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oolBallNew\middle2\xlsx_config\"/>
    </mc:Choice>
  </mc:AlternateContent>
  <bookViews>
    <workbookView xWindow="-28920" yWindow="-120" windowWidth="29040" windowHeight="15720" activeTab="1"/>
  </bookViews>
  <sheets>
    <sheet name="item" sheetId="11" r:id="rId1"/>
    <sheet name="cue" sheetId="1" r:id="rId2"/>
    <sheet name="cue_level" sheetId="12" r:id="rId3"/>
    <sheet name="cue_attribute" sheetId="25" r:id="rId4"/>
    <sheet name="cue_experience" sheetId="23" r:id="rId5"/>
    <sheet name="clothes" sheetId="22" r:id="rId6"/>
    <sheet name="quality_price" sheetId="27" r:id="rId7"/>
    <sheet name="combination" sheetId="20" r:id="rId8"/>
    <sheet name="cue_table" sheetId="24" r:id="rId9"/>
    <sheet name="head" sheetId="21" r:id="rId10"/>
    <sheet name="direct_purchase" sheetId="26" r:id="rId11"/>
    <sheet name="cue_effect" sheetId="28" r:id="rId12"/>
    <sheet name="effect" sheetId="29" r:id="rId13"/>
  </sheets>
  <definedNames>
    <definedName name="_xlnm._FilterDatabase" localSheetId="1" hidden="1">cue!$A$11:$W$733</definedName>
    <definedName name="_xlnm._FilterDatabase" localSheetId="0" hidden="1">item!$A$11:$P$2439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85" i="11" l="1"/>
  <c r="E1785" i="11"/>
  <c r="D1785" i="11"/>
  <c r="B1785" i="11"/>
  <c r="F74" i="1"/>
  <c r="D476" i="11"/>
  <c r="B476" i="11"/>
  <c r="D479" i="11"/>
  <c r="B479" i="11"/>
  <c r="D478" i="11"/>
  <c r="B478" i="11"/>
  <c r="D477" i="11"/>
  <c r="B477" i="11"/>
  <c r="H74" i="11"/>
  <c r="B211" i="11"/>
  <c r="I211" i="11"/>
  <c r="D211" i="11"/>
  <c r="B1292" i="11" l="1"/>
  <c r="D1292" i="11"/>
  <c r="B1290" i="11"/>
  <c r="D1290" i="11"/>
  <c r="B1289" i="11"/>
  <c r="D1289" i="11"/>
  <c r="B1291" i="11" l="1"/>
  <c r="D1291" i="11"/>
  <c r="E1784" i="11" l="1"/>
  <c r="B1784" i="11"/>
  <c r="D1784" i="11"/>
  <c r="H1784" i="11"/>
  <c r="E2224" i="11"/>
  <c r="I926" i="11" l="1"/>
  <c r="B475" i="11"/>
  <c r="D475" i="11"/>
  <c r="B2224" i="11"/>
  <c r="D2224" i="11"/>
  <c r="B2340" i="11"/>
  <c r="B2334" i="11" l="1"/>
  <c r="D2340" i="11"/>
  <c r="D2334" i="11"/>
  <c r="E2223" i="11" l="1"/>
  <c r="B2223" i="11"/>
  <c r="D2223" i="11"/>
  <c r="B1311" i="11"/>
  <c r="D1311" i="11"/>
  <c r="B2335" i="11"/>
  <c r="D2335" i="11"/>
  <c r="B2288" i="11"/>
  <c r="D2288" i="11"/>
  <c r="B474" i="11"/>
  <c r="D474" i="11"/>
  <c r="B18" i="24"/>
  <c r="B17" i="24"/>
  <c r="B16" i="24"/>
  <c r="I131" i="23"/>
  <c r="I130" i="23"/>
  <c r="I129" i="23"/>
  <c r="I128" i="23"/>
  <c r="I127" i="23"/>
  <c r="I126" i="23"/>
  <c r="L21" i="23"/>
  <c r="L20" i="23"/>
  <c r="L19" i="23"/>
  <c r="L18" i="23"/>
  <c r="K18" i="23"/>
  <c r="L17" i="23"/>
  <c r="L16" i="23"/>
  <c r="F539" i="1"/>
  <c r="F500" i="1"/>
  <c r="F499" i="1"/>
  <c r="F498" i="1"/>
  <c r="F497" i="1"/>
  <c r="F496" i="1"/>
  <c r="F495" i="1"/>
  <c r="T494" i="1"/>
  <c r="R494" i="1"/>
  <c r="F494" i="1"/>
  <c r="T493" i="1"/>
  <c r="R493" i="1"/>
  <c r="F493" i="1"/>
  <c r="T492" i="1"/>
  <c r="R492" i="1"/>
  <c r="F492" i="1"/>
  <c r="T491" i="1"/>
  <c r="R491" i="1"/>
  <c r="F491" i="1"/>
  <c r="R490" i="1"/>
  <c r="F490" i="1"/>
  <c r="T489" i="1"/>
  <c r="R489" i="1"/>
  <c r="F489" i="1"/>
  <c r="T488" i="1"/>
  <c r="R488" i="1"/>
  <c r="F488" i="1"/>
  <c r="T487" i="1"/>
  <c r="R487" i="1"/>
  <c r="F487" i="1"/>
  <c r="R486" i="1"/>
  <c r="F486" i="1"/>
  <c r="T485" i="1"/>
  <c r="R485" i="1"/>
  <c r="F485" i="1"/>
  <c r="T484" i="1"/>
  <c r="R484" i="1"/>
  <c r="T479" i="1"/>
  <c r="R47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0" i="1"/>
  <c r="F439" i="1"/>
  <c r="F438" i="1"/>
  <c r="F437" i="1"/>
  <c r="F436" i="1"/>
  <c r="F435" i="1"/>
  <c r="F434" i="1"/>
  <c r="R433" i="1"/>
  <c r="F433" i="1"/>
  <c r="T432" i="1"/>
  <c r="R432" i="1"/>
  <c r="F432" i="1"/>
  <c r="R431" i="1"/>
  <c r="F431" i="1"/>
  <c r="T430" i="1"/>
  <c r="R430" i="1"/>
  <c r="T429" i="1"/>
  <c r="R429" i="1"/>
  <c r="F429" i="1"/>
  <c r="R428" i="1"/>
  <c r="F428" i="1"/>
  <c r="T427" i="1"/>
  <c r="R427" i="1"/>
  <c r="F427" i="1"/>
  <c r="R426" i="1"/>
  <c r="F426" i="1"/>
  <c r="T425" i="1"/>
  <c r="R425" i="1"/>
  <c r="F425" i="1"/>
  <c r="R424" i="1"/>
  <c r="F424" i="1"/>
  <c r="T423" i="1"/>
  <c r="R423" i="1"/>
  <c r="F423" i="1"/>
  <c r="R422" i="1"/>
  <c r="F422" i="1"/>
  <c r="T421" i="1"/>
  <c r="R421" i="1"/>
  <c r="F421" i="1"/>
  <c r="T420" i="1"/>
  <c r="R420" i="1"/>
  <c r="F420" i="1"/>
  <c r="R419" i="1"/>
  <c r="F419" i="1"/>
  <c r="T418" i="1"/>
  <c r="R418" i="1"/>
  <c r="F418" i="1"/>
  <c r="R417" i="1"/>
  <c r="F417" i="1"/>
  <c r="T416" i="1"/>
  <c r="R416" i="1"/>
  <c r="F416" i="1"/>
  <c r="R415" i="1"/>
  <c r="F415" i="1"/>
  <c r="R414" i="1"/>
  <c r="F414" i="1"/>
  <c r="T413" i="1"/>
  <c r="R413" i="1"/>
  <c r="F413" i="1"/>
  <c r="T412" i="1"/>
  <c r="R412" i="1"/>
  <c r="F412" i="1"/>
  <c r="T411" i="1"/>
  <c r="R411" i="1"/>
  <c r="F411" i="1"/>
  <c r="T410" i="1"/>
  <c r="R410" i="1"/>
  <c r="F410" i="1"/>
  <c r="R409" i="1"/>
  <c r="F409" i="1"/>
  <c r="T408" i="1"/>
  <c r="R408" i="1"/>
  <c r="F408" i="1"/>
  <c r="T407" i="1"/>
  <c r="R407" i="1"/>
  <c r="F407" i="1"/>
  <c r="T406" i="1"/>
  <c r="R406" i="1"/>
  <c r="F406" i="1"/>
  <c r="R405" i="1"/>
  <c r="F405" i="1"/>
  <c r="T404" i="1"/>
  <c r="R404" i="1"/>
  <c r="F404" i="1"/>
  <c r="T403" i="1"/>
  <c r="R403" i="1"/>
  <c r="F403" i="1"/>
  <c r="R402" i="1"/>
  <c r="F402" i="1"/>
  <c r="T401" i="1"/>
  <c r="R401" i="1"/>
  <c r="F401" i="1"/>
  <c r="T400" i="1"/>
  <c r="R400" i="1"/>
  <c r="F400" i="1"/>
  <c r="R399" i="1"/>
  <c r="F399" i="1"/>
  <c r="T398" i="1"/>
  <c r="R398" i="1"/>
  <c r="F398" i="1"/>
  <c r="T397" i="1"/>
  <c r="R397" i="1"/>
  <c r="F397" i="1"/>
  <c r="T396" i="1"/>
  <c r="R396" i="1"/>
  <c r="F396" i="1"/>
  <c r="T395" i="1"/>
  <c r="R395" i="1"/>
  <c r="F395" i="1"/>
  <c r="R394" i="1"/>
  <c r="F394" i="1"/>
  <c r="T393" i="1"/>
  <c r="R393" i="1"/>
  <c r="F393" i="1"/>
  <c r="T392" i="1"/>
  <c r="R392" i="1"/>
  <c r="F392" i="1"/>
  <c r="R391" i="1"/>
  <c r="F391" i="1"/>
  <c r="T390" i="1"/>
  <c r="R390" i="1"/>
  <c r="F390" i="1"/>
  <c r="T389" i="1"/>
  <c r="R389" i="1"/>
  <c r="F389" i="1"/>
  <c r="R388" i="1"/>
  <c r="F388" i="1"/>
  <c r="T387" i="1"/>
  <c r="R387" i="1"/>
  <c r="F387" i="1"/>
  <c r="T386" i="1"/>
  <c r="R386" i="1"/>
  <c r="F386" i="1"/>
  <c r="R385" i="1"/>
  <c r="F385" i="1"/>
  <c r="T384" i="1"/>
  <c r="R384" i="1"/>
  <c r="F384" i="1"/>
  <c r="T383" i="1"/>
  <c r="R383" i="1"/>
  <c r="F383" i="1"/>
  <c r="R382" i="1"/>
  <c r="F382" i="1"/>
  <c r="T381" i="1"/>
  <c r="R381" i="1"/>
  <c r="F381" i="1"/>
  <c r="R380" i="1"/>
  <c r="F380" i="1"/>
  <c r="T379" i="1"/>
  <c r="R379" i="1"/>
  <c r="F379" i="1"/>
  <c r="T378" i="1"/>
  <c r="R378" i="1"/>
  <c r="F378" i="1"/>
  <c r="R377" i="1"/>
  <c r="F377" i="1"/>
  <c r="R376" i="1"/>
  <c r="F376" i="1"/>
  <c r="F375" i="1"/>
  <c r="T374" i="1"/>
  <c r="R374" i="1"/>
  <c r="F374" i="1"/>
  <c r="T373" i="1"/>
  <c r="R373" i="1"/>
  <c r="F373" i="1"/>
  <c r="R372" i="1"/>
  <c r="F372" i="1"/>
  <c r="T371" i="1"/>
  <c r="R371" i="1"/>
  <c r="F371" i="1"/>
  <c r="T370" i="1"/>
  <c r="R370" i="1"/>
  <c r="F370" i="1"/>
  <c r="R369" i="1"/>
  <c r="F369" i="1"/>
  <c r="T368" i="1"/>
  <c r="R368" i="1"/>
  <c r="F368" i="1"/>
  <c r="T367" i="1"/>
  <c r="R367" i="1"/>
  <c r="F367" i="1"/>
  <c r="R366" i="1"/>
  <c r="F366" i="1"/>
  <c r="T365" i="1"/>
  <c r="R365" i="1"/>
  <c r="F365" i="1"/>
  <c r="T364" i="1"/>
  <c r="R364" i="1"/>
  <c r="F364" i="1"/>
  <c r="H238" i="1"/>
  <c r="H237" i="1"/>
  <c r="F205" i="1"/>
  <c r="F204" i="1"/>
  <c r="F203" i="1"/>
  <c r="F202" i="1"/>
  <c r="F201" i="1"/>
  <c r="F200" i="1"/>
  <c r="F199" i="1"/>
  <c r="F198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79" i="1"/>
  <c r="F78" i="1"/>
  <c r="F77" i="1"/>
  <c r="F76" i="1"/>
  <c r="F75" i="1"/>
  <c r="F73" i="1"/>
  <c r="F72" i="1"/>
  <c r="F71" i="1"/>
  <c r="F70" i="1"/>
  <c r="F69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8" i="1"/>
  <c r="F37" i="1"/>
  <c r="F36" i="1"/>
  <c r="F35" i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H17" i="1"/>
  <c r="F17" i="1"/>
  <c r="H16" i="1"/>
  <c r="F16" i="1"/>
  <c r="P11" i="1"/>
  <c r="O11" i="1"/>
  <c r="N11" i="1"/>
  <c r="M11" i="1"/>
  <c r="D2420" i="11"/>
  <c r="B2420" i="11"/>
  <c r="D2419" i="11"/>
  <c r="B2419" i="11"/>
  <c r="D2418" i="11"/>
  <c r="B2418" i="11"/>
  <c r="D2417" i="11"/>
  <c r="B2417" i="11"/>
  <c r="D2416" i="11"/>
  <c r="B2416" i="11"/>
  <c r="D2415" i="11"/>
  <c r="B2415" i="11"/>
  <c r="D2414" i="11"/>
  <c r="B2414" i="11"/>
  <c r="D2413" i="11"/>
  <c r="B2413" i="11"/>
  <c r="D2412" i="11"/>
  <c r="B2412" i="11"/>
  <c r="D2411" i="11"/>
  <c r="B2411" i="11"/>
  <c r="D2410" i="11"/>
  <c r="B2410" i="11"/>
  <c r="D2409" i="11"/>
  <c r="B2409" i="11"/>
  <c r="D2408" i="11"/>
  <c r="B2408" i="11"/>
  <c r="D2407" i="11"/>
  <c r="B2407" i="11"/>
  <c r="D2406" i="11"/>
  <c r="B2406" i="11"/>
  <c r="D2405" i="11"/>
  <c r="B2405" i="11"/>
  <c r="D2404" i="11"/>
  <c r="B2404" i="11"/>
  <c r="D2403" i="11"/>
  <c r="B2403" i="11"/>
  <c r="D2402" i="11"/>
  <c r="B2402" i="11"/>
  <c r="D2401" i="11"/>
  <c r="B2401" i="11"/>
  <c r="D2400" i="11"/>
  <c r="B2400" i="11"/>
  <c r="D2399" i="11"/>
  <c r="B2399" i="11"/>
  <c r="D2398" i="11"/>
  <c r="B2398" i="11"/>
  <c r="D2397" i="11"/>
  <c r="B2397" i="11"/>
  <c r="D2396" i="11"/>
  <c r="B2396" i="11"/>
  <c r="D2395" i="11"/>
  <c r="B2395" i="11"/>
  <c r="D2394" i="11"/>
  <c r="B2394" i="11"/>
  <c r="D2393" i="11"/>
  <c r="B2393" i="11"/>
  <c r="D2392" i="11"/>
  <c r="B2392" i="11"/>
  <c r="D2391" i="11"/>
  <c r="B2391" i="11"/>
  <c r="D2390" i="11"/>
  <c r="B2390" i="11"/>
  <c r="D2389" i="11"/>
  <c r="B2389" i="11"/>
  <c r="D2388" i="11"/>
  <c r="B2388" i="11"/>
  <c r="D2387" i="11"/>
  <c r="B2387" i="11"/>
  <c r="D2386" i="11"/>
  <c r="B2386" i="11"/>
  <c r="D2385" i="11"/>
  <c r="B2385" i="11"/>
  <c r="D2384" i="11"/>
  <c r="B2384" i="11"/>
  <c r="D2383" i="11"/>
  <c r="B2383" i="11"/>
  <c r="D2382" i="11"/>
  <c r="B2382" i="11"/>
  <c r="D2381" i="11"/>
  <c r="B2381" i="11"/>
  <c r="D2380" i="11"/>
  <c r="B2380" i="11"/>
  <c r="D2379" i="11"/>
  <c r="B2379" i="11"/>
  <c r="D2378" i="11"/>
  <c r="B2378" i="11"/>
  <c r="D2377" i="11"/>
  <c r="B2377" i="11"/>
  <c r="D2376" i="11"/>
  <c r="B2376" i="11"/>
  <c r="D2375" i="11"/>
  <c r="B2375" i="11"/>
  <c r="D2374" i="11"/>
  <c r="B2374" i="11"/>
  <c r="D2373" i="11"/>
  <c r="B2373" i="11"/>
  <c r="D2372" i="11"/>
  <c r="B2372" i="11"/>
  <c r="D2371" i="11"/>
  <c r="B2371" i="11"/>
  <c r="D2370" i="11"/>
  <c r="B2370" i="11"/>
  <c r="D2369" i="11"/>
  <c r="B2369" i="11"/>
  <c r="D2368" i="11"/>
  <c r="B2368" i="11"/>
  <c r="D2367" i="11"/>
  <c r="B2367" i="11"/>
  <c r="D2366" i="11"/>
  <c r="B2366" i="11"/>
  <c r="D2365" i="11"/>
  <c r="B2365" i="11"/>
  <c r="D2364" i="11"/>
  <c r="B2364" i="11"/>
  <c r="D2363" i="11"/>
  <c r="B2363" i="11"/>
  <c r="D2362" i="11"/>
  <c r="B2362" i="11"/>
  <c r="D2361" i="11"/>
  <c r="B2361" i="11"/>
  <c r="D2360" i="11"/>
  <c r="B2360" i="11"/>
  <c r="D2359" i="11"/>
  <c r="B2359" i="11"/>
  <c r="D2358" i="11"/>
  <c r="B2358" i="11"/>
  <c r="D2357" i="11"/>
  <c r="B2357" i="11"/>
  <c r="D2356" i="11"/>
  <c r="B2356" i="11"/>
  <c r="D2355" i="11"/>
  <c r="B2355" i="11"/>
  <c r="D2354" i="11"/>
  <c r="B2354" i="11"/>
  <c r="D2353" i="11"/>
  <c r="B2353" i="11"/>
  <c r="D2352" i="11"/>
  <c r="B2352" i="11"/>
  <c r="D2351" i="11"/>
  <c r="B2351" i="11"/>
  <c r="D2350" i="11"/>
  <c r="B2350" i="11"/>
  <c r="D2349" i="11"/>
  <c r="B2349" i="11"/>
  <c r="D2348" i="11"/>
  <c r="B2348" i="11"/>
  <c r="D2347" i="11"/>
  <c r="B2347" i="11"/>
  <c r="D2346" i="11"/>
  <c r="B2346" i="11"/>
  <c r="D2345" i="11"/>
  <c r="B2345" i="11"/>
  <c r="D2344" i="11"/>
  <c r="B2344" i="11"/>
  <c r="D2343" i="11"/>
  <c r="B2343" i="11"/>
  <c r="D2342" i="11"/>
  <c r="B2342" i="11"/>
  <c r="D2341" i="11"/>
  <c r="B2341" i="11"/>
  <c r="D2339" i="11"/>
  <c r="B2339" i="11"/>
  <c r="D2338" i="11"/>
  <c r="B2338" i="11"/>
  <c r="D2337" i="11"/>
  <c r="B2337" i="11"/>
  <c r="D2336" i="11"/>
  <c r="B2336" i="11"/>
  <c r="D2333" i="11"/>
  <c r="B2333" i="11"/>
  <c r="D2332" i="11"/>
  <c r="B2332" i="11"/>
  <c r="D2331" i="11"/>
  <c r="B2331" i="11"/>
  <c r="D2330" i="11"/>
  <c r="B2330" i="11"/>
  <c r="D2329" i="11"/>
  <c r="B2329" i="11"/>
  <c r="D2328" i="11"/>
  <c r="B2328" i="11"/>
  <c r="D2327" i="11"/>
  <c r="B2327" i="11"/>
  <c r="D2326" i="11"/>
  <c r="B2326" i="11"/>
  <c r="D2325" i="11"/>
  <c r="B2325" i="11"/>
  <c r="D2324" i="11"/>
  <c r="B2324" i="11"/>
  <c r="D2323" i="11"/>
  <c r="B2323" i="11"/>
  <c r="D2322" i="11"/>
  <c r="B2322" i="11"/>
  <c r="D2321" i="11"/>
  <c r="B2321" i="11"/>
  <c r="D2320" i="11"/>
  <c r="B2320" i="11"/>
  <c r="D2319" i="11"/>
  <c r="B2319" i="11"/>
  <c r="D2318" i="11"/>
  <c r="B2318" i="11"/>
  <c r="D2317" i="11"/>
  <c r="B2317" i="11"/>
  <c r="D2316" i="11"/>
  <c r="B2316" i="11"/>
  <c r="D2315" i="11"/>
  <c r="B2315" i="11"/>
  <c r="D2314" i="11"/>
  <c r="B2314" i="11"/>
  <c r="D2313" i="11"/>
  <c r="B2313" i="11"/>
  <c r="D2312" i="11"/>
  <c r="B2312" i="11"/>
  <c r="D2311" i="11"/>
  <c r="B2311" i="11"/>
  <c r="D2310" i="11"/>
  <c r="B2310" i="11"/>
  <c r="D2309" i="11"/>
  <c r="B2309" i="11"/>
  <c r="D2308" i="11"/>
  <c r="B2308" i="11"/>
  <c r="D2307" i="11"/>
  <c r="B2307" i="11"/>
  <c r="D2306" i="11"/>
  <c r="B2306" i="11"/>
  <c r="D2305" i="11"/>
  <c r="B2305" i="11"/>
  <c r="D2304" i="11"/>
  <c r="B2304" i="11"/>
  <c r="D2303" i="11"/>
  <c r="B2303" i="11"/>
  <c r="D2302" i="11"/>
  <c r="B2302" i="11"/>
  <c r="D2301" i="11"/>
  <c r="B2301" i="11"/>
  <c r="D2300" i="11"/>
  <c r="B2300" i="11"/>
  <c r="D2299" i="11"/>
  <c r="B2299" i="11"/>
  <c r="D2298" i="11"/>
  <c r="B2298" i="11"/>
  <c r="D2297" i="11"/>
  <c r="B2297" i="11"/>
  <c r="D2296" i="11"/>
  <c r="B2296" i="11"/>
  <c r="D2295" i="11"/>
  <c r="B2295" i="11"/>
  <c r="D2294" i="11"/>
  <c r="B2294" i="11"/>
  <c r="D2293" i="11"/>
  <c r="B2293" i="11"/>
  <c r="D2292" i="11"/>
  <c r="B2292" i="11"/>
  <c r="D2291" i="11"/>
  <c r="B2291" i="11"/>
  <c r="D2290" i="11"/>
  <c r="B2290" i="11"/>
  <c r="D2289" i="11"/>
  <c r="B2289" i="11"/>
  <c r="E2287" i="11"/>
  <c r="D2287" i="11"/>
  <c r="B2287" i="11"/>
  <c r="E2286" i="11"/>
  <c r="D2286" i="11"/>
  <c r="B2286" i="11"/>
  <c r="D2285" i="11"/>
  <c r="B2285" i="11"/>
  <c r="D2284" i="11"/>
  <c r="B2284" i="11"/>
  <c r="D2283" i="11"/>
  <c r="B2283" i="11"/>
  <c r="D2282" i="11"/>
  <c r="B2282" i="11"/>
  <c r="E2281" i="11"/>
  <c r="D2281" i="11"/>
  <c r="B2281" i="11"/>
  <c r="E2280" i="11"/>
  <c r="D2280" i="11"/>
  <c r="B2280" i="11"/>
  <c r="E2279" i="11"/>
  <c r="E2278" i="11"/>
  <c r="E2277" i="11"/>
  <c r="E2276" i="11"/>
  <c r="E2275" i="11"/>
  <c r="D2275" i="11"/>
  <c r="B2275" i="11"/>
  <c r="E2274" i="11"/>
  <c r="D2274" i="11"/>
  <c r="B2274" i="11"/>
  <c r="E2273" i="11"/>
  <c r="D2273" i="11"/>
  <c r="B2273" i="11"/>
  <c r="E2272" i="11"/>
  <c r="D2272" i="11"/>
  <c r="B2272" i="11"/>
  <c r="E2271" i="11"/>
  <c r="D2271" i="11"/>
  <c r="B2271" i="11"/>
  <c r="E2270" i="11"/>
  <c r="D2270" i="11"/>
  <c r="B2270" i="11"/>
  <c r="E2269" i="11"/>
  <c r="D2269" i="11"/>
  <c r="B2269" i="11"/>
  <c r="E2268" i="11"/>
  <c r="D2268" i="11"/>
  <c r="B2268" i="11"/>
  <c r="E2267" i="11"/>
  <c r="D2267" i="11"/>
  <c r="B2267" i="11"/>
  <c r="E2266" i="11"/>
  <c r="D2266" i="11"/>
  <c r="B2266" i="11"/>
  <c r="E2265" i="11"/>
  <c r="D2265" i="11"/>
  <c r="B2265" i="11"/>
  <c r="E2264" i="11"/>
  <c r="D2264" i="11"/>
  <c r="B2264" i="11"/>
  <c r="E2263" i="11"/>
  <c r="D2263" i="11"/>
  <c r="B2263" i="11"/>
  <c r="E2262" i="11"/>
  <c r="D2262" i="11"/>
  <c r="B2262" i="11"/>
  <c r="E2261" i="11"/>
  <c r="D2261" i="11"/>
  <c r="B2261" i="11"/>
  <c r="E2260" i="11"/>
  <c r="D2260" i="11"/>
  <c r="B2260" i="11"/>
  <c r="E2259" i="11"/>
  <c r="D2259" i="11"/>
  <c r="B2259" i="11"/>
  <c r="E2258" i="11"/>
  <c r="D2258" i="11"/>
  <c r="B2258" i="11"/>
  <c r="E2257" i="11"/>
  <c r="D2257" i="11"/>
  <c r="B2257" i="11"/>
  <c r="E2256" i="11"/>
  <c r="D2256" i="11"/>
  <c r="B2256" i="11"/>
  <c r="E2255" i="11"/>
  <c r="D2255" i="11"/>
  <c r="B2255" i="11"/>
  <c r="E2254" i="11"/>
  <c r="D2254" i="11"/>
  <c r="B2254" i="11"/>
  <c r="E2253" i="11"/>
  <c r="D2253" i="11"/>
  <c r="B2253" i="11"/>
  <c r="E2252" i="11"/>
  <c r="D2252" i="11"/>
  <c r="B2252" i="11"/>
  <c r="E2251" i="11"/>
  <c r="D2251" i="11"/>
  <c r="B2251" i="11"/>
  <c r="E2250" i="11"/>
  <c r="D2250" i="11"/>
  <c r="B2250" i="11"/>
  <c r="E2249" i="11"/>
  <c r="D2249" i="11"/>
  <c r="B2249" i="11"/>
  <c r="E2248" i="11"/>
  <c r="D2248" i="11"/>
  <c r="B2248" i="11"/>
  <c r="E2247" i="11"/>
  <c r="D2247" i="11"/>
  <c r="B2247" i="11"/>
  <c r="E2246" i="11"/>
  <c r="D2246" i="11"/>
  <c r="B2246" i="11"/>
  <c r="E2245" i="11"/>
  <c r="D2245" i="11"/>
  <c r="B2245" i="11"/>
  <c r="E2244" i="11"/>
  <c r="D2244" i="11"/>
  <c r="B2244" i="11"/>
  <c r="E2243" i="11"/>
  <c r="D2243" i="11"/>
  <c r="B2243" i="11"/>
  <c r="E2242" i="11"/>
  <c r="D2242" i="11"/>
  <c r="B2242" i="11"/>
  <c r="E2241" i="11"/>
  <c r="D2241" i="11"/>
  <c r="B2241" i="11"/>
  <c r="E2240" i="11"/>
  <c r="D2240" i="11"/>
  <c r="B2240" i="11"/>
  <c r="E2239" i="11"/>
  <c r="D2239" i="11"/>
  <c r="B2239" i="11"/>
  <c r="E2238" i="11"/>
  <c r="D2238" i="11"/>
  <c r="B2238" i="11"/>
  <c r="E2237" i="11"/>
  <c r="D2237" i="11"/>
  <c r="B2237" i="11"/>
  <c r="E2236" i="11"/>
  <c r="D2236" i="11"/>
  <c r="B2236" i="11"/>
  <c r="E2222" i="11"/>
  <c r="D2222" i="11"/>
  <c r="B2222" i="11"/>
  <c r="E2221" i="11"/>
  <c r="D2221" i="11"/>
  <c r="B2221" i="11"/>
  <c r="E2220" i="11"/>
  <c r="D2220" i="11"/>
  <c r="B2220" i="11"/>
  <c r="E2219" i="11"/>
  <c r="D2219" i="11"/>
  <c r="B2219" i="11"/>
  <c r="E2218" i="11"/>
  <c r="D2218" i="11"/>
  <c r="B2218" i="11"/>
  <c r="E2217" i="11"/>
  <c r="D2217" i="11"/>
  <c r="B2217" i="11"/>
  <c r="E2216" i="11"/>
  <c r="D2216" i="11"/>
  <c r="B2216" i="11"/>
  <c r="E2215" i="11"/>
  <c r="D2215" i="11"/>
  <c r="B2215" i="11"/>
  <c r="E2214" i="11"/>
  <c r="D2214" i="11"/>
  <c r="B2214" i="11"/>
  <c r="E2213" i="11"/>
  <c r="D2213" i="11"/>
  <c r="B2213" i="11"/>
  <c r="E2212" i="11"/>
  <c r="D2212" i="11"/>
  <c r="B2212" i="11"/>
  <c r="E2211" i="11"/>
  <c r="D2211" i="11"/>
  <c r="B2211" i="11"/>
  <c r="E2210" i="11"/>
  <c r="D2210" i="11"/>
  <c r="B2210" i="11"/>
  <c r="E2209" i="11"/>
  <c r="D2209" i="11"/>
  <c r="B2209" i="11"/>
  <c r="E2208" i="11"/>
  <c r="D2208" i="11"/>
  <c r="B2208" i="11"/>
  <c r="E2207" i="11"/>
  <c r="D2207" i="11"/>
  <c r="B2207" i="11"/>
  <c r="E2206" i="11"/>
  <c r="D2206" i="11"/>
  <c r="B2206" i="11"/>
  <c r="E2205" i="11"/>
  <c r="D2205" i="11"/>
  <c r="B2205" i="11"/>
  <c r="D2183" i="11"/>
  <c r="B2183" i="11"/>
  <c r="D2182" i="11"/>
  <c r="B2182" i="11"/>
  <c r="D2181" i="11"/>
  <c r="B2181" i="11"/>
  <c r="H2180" i="11"/>
  <c r="B2180" i="11"/>
  <c r="H2179" i="11"/>
  <c r="B2179" i="11"/>
  <c r="D2178" i="11"/>
  <c r="B2178" i="11"/>
  <c r="H2177" i="11"/>
  <c r="D2177" i="11"/>
  <c r="B2177" i="11"/>
  <c r="H2176" i="11"/>
  <c r="D2176" i="11"/>
  <c r="B2176" i="11"/>
  <c r="H2175" i="11"/>
  <c r="D2175" i="11"/>
  <c r="B2175" i="11"/>
  <c r="H2174" i="11"/>
  <c r="D2174" i="11"/>
  <c r="B2174" i="11"/>
  <c r="H2173" i="11"/>
  <c r="D2173" i="11"/>
  <c r="B2173" i="11"/>
  <c r="H2172" i="11"/>
  <c r="D2172" i="11"/>
  <c r="H2171" i="11"/>
  <c r="D2171" i="11"/>
  <c r="H2170" i="11"/>
  <c r="D2170" i="11"/>
  <c r="H2169" i="11"/>
  <c r="D2169" i="11"/>
  <c r="H2168" i="11"/>
  <c r="D2168" i="11"/>
  <c r="H2167" i="11"/>
  <c r="D2167" i="11"/>
  <c r="H2166" i="11"/>
  <c r="D2166" i="11"/>
  <c r="H2165" i="11"/>
  <c r="D2165" i="11"/>
  <c r="H2164" i="11"/>
  <c r="D2164" i="11"/>
  <c r="H2163" i="11"/>
  <c r="D2163" i="11"/>
  <c r="H2162" i="11"/>
  <c r="D2162" i="11"/>
  <c r="H2161" i="11"/>
  <c r="D2161" i="11"/>
  <c r="H2160" i="11"/>
  <c r="D2160" i="11"/>
  <c r="H2159" i="11"/>
  <c r="D2159" i="11"/>
  <c r="H2158" i="11"/>
  <c r="D2158" i="11"/>
  <c r="H2157" i="11"/>
  <c r="D2157" i="11"/>
  <c r="H2156" i="11"/>
  <c r="D2156" i="11"/>
  <c r="H2155" i="11"/>
  <c r="D2155" i="11"/>
  <c r="K2140" i="11"/>
  <c r="K2141" i="11" s="1"/>
  <c r="K2142" i="11" s="1"/>
  <c r="K2133" i="11"/>
  <c r="K2134" i="11" s="1"/>
  <c r="K2135" i="11" s="1"/>
  <c r="K2136" i="11" s="1"/>
  <c r="K2128" i="11"/>
  <c r="K2129" i="11" s="1"/>
  <c r="K2130" i="11" s="1"/>
  <c r="K2131" i="11" s="1"/>
  <c r="K2123" i="11"/>
  <c r="K2124" i="11" s="1"/>
  <c r="K2125" i="11" s="1"/>
  <c r="K2126" i="11" s="1"/>
  <c r="K2118" i="11"/>
  <c r="K2119" i="11" s="1"/>
  <c r="K2120" i="11" s="1"/>
  <c r="K2121" i="11" s="1"/>
  <c r="K2113" i="11"/>
  <c r="K2114" i="11" s="1"/>
  <c r="K2115" i="11" s="1"/>
  <c r="K2116" i="11" s="1"/>
  <c r="K2108" i="11"/>
  <c r="K2109" i="11" s="1"/>
  <c r="K2110" i="11" s="1"/>
  <c r="K2111" i="11" s="1"/>
  <c r="D2108" i="11"/>
  <c r="D2109" i="11" s="1"/>
  <c r="D2110" i="11" s="1"/>
  <c r="D2111" i="11" s="1"/>
  <c r="D2112" i="11" s="1"/>
  <c r="D2113" i="11" s="1"/>
  <c r="D2114" i="11" s="1"/>
  <c r="D2115" i="11" s="1"/>
  <c r="D2116" i="11" s="1"/>
  <c r="D2117" i="11" s="1"/>
  <c r="D2118" i="11" s="1"/>
  <c r="D2119" i="11" s="1"/>
  <c r="D2120" i="11" s="1"/>
  <c r="D2121" i="11" s="1"/>
  <c r="D2122" i="11" s="1"/>
  <c r="D2123" i="11" s="1"/>
  <c r="D2124" i="11" s="1"/>
  <c r="D2125" i="11" s="1"/>
  <c r="D2126" i="11" s="1"/>
  <c r="D2127" i="11" s="1"/>
  <c r="D2128" i="11" s="1"/>
  <c r="D2129" i="11" s="1"/>
  <c r="D2130" i="11" s="1"/>
  <c r="D2131" i="11" s="1"/>
  <c r="D2132" i="11" s="1"/>
  <c r="D2133" i="11" s="1"/>
  <c r="D2134" i="11" s="1"/>
  <c r="D2135" i="11" s="1"/>
  <c r="D2136" i="11" s="1"/>
  <c r="D2137" i="11" s="1"/>
  <c r="D2138" i="11" s="1"/>
  <c r="D2139" i="11" s="1"/>
  <c r="D2140" i="11" s="1"/>
  <c r="D2141" i="11" s="1"/>
  <c r="D2142" i="11" s="1"/>
  <c r="D2143" i="11" s="1"/>
  <c r="D2144" i="11" s="1"/>
  <c r="B2108" i="11"/>
  <c r="B2109" i="11" s="1"/>
  <c r="B2110" i="11" s="1"/>
  <c r="B2111" i="11" s="1"/>
  <c r="B2112" i="11" s="1"/>
  <c r="B2113" i="11" s="1"/>
  <c r="B2114" i="11" s="1"/>
  <c r="B2115" i="11" s="1"/>
  <c r="B2116" i="11" s="1"/>
  <c r="B2117" i="11" s="1"/>
  <c r="B2118" i="11" s="1"/>
  <c r="B2119" i="11" s="1"/>
  <c r="B2120" i="11" s="1"/>
  <c r="B2121" i="11" s="1"/>
  <c r="B2122" i="11" s="1"/>
  <c r="B2123" i="11" s="1"/>
  <c r="B2124" i="11" s="1"/>
  <c r="B2125" i="11" s="1"/>
  <c r="B2126" i="11" s="1"/>
  <c r="B2127" i="11" s="1"/>
  <c r="B2128" i="11" s="1"/>
  <c r="B2129" i="11" s="1"/>
  <c r="B2130" i="11" s="1"/>
  <c r="B2131" i="11" s="1"/>
  <c r="B2132" i="11" s="1"/>
  <c r="B2133" i="11" s="1"/>
  <c r="B2134" i="11" s="1"/>
  <c r="B2135" i="11" s="1"/>
  <c r="B2136" i="11" s="1"/>
  <c r="B2137" i="11" s="1"/>
  <c r="B2138" i="11" s="1"/>
  <c r="B2139" i="11" s="1"/>
  <c r="B2140" i="11" s="1"/>
  <c r="B2141" i="11" s="1"/>
  <c r="B2142" i="11" s="1"/>
  <c r="B2143" i="11" s="1"/>
  <c r="B2144" i="11" s="1"/>
  <c r="A2108" i="11"/>
  <c r="A2109" i="11" s="1"/>
  <c r="A2110" i="11" s="1"/>
  <c r="A2111" i="11" s="1"/>
  <c r="A2112" i="11" s="1"/>
  <c r="A2113" i="11" s="1"/>
  <c r="A2114" i="11" s="1"/>
  <c r="A2115" i="11" s="1"/>
  <c r="A2116" i="11" s="1"/>
  <c r="A2117" i="11" s="1"/>
  <c r="A2118" i="11" s="1"/>
  <c r="A2119" i="11" s="1"/>
  <c r="A2120" i="11" s="1"/>
  <c r="A2121" i="11" s="1"/>
  <c r="A2122" i="11" s="1"/>
  <c r="A2123" i="11" s="1"/>
  <c r="A2124" i="11" s="1"/>
  <c r="A2125" i="11" s="1"/>
  <c r="A2126" i="11" s="1"/>
  <c r="A2127" i="11" s="1"/>
  <c r="A2128" i="11" s="1"/>
  <c r="A2129" i="11" s="1"/>
  <c r="A2130" i="11" s="1"/>
  <c r="A2131" i="11" s="1"/>
  <c r="A2132" i="11" s="1"/>
  <c r="A2133" i="11" s="1"/>
  <c r="A2134" i="11" s="1"/>
  <c r="A2135" i="11" s="1"/>
  <c r="A2136" i="11" s="1"/>
  <c r="A2137" i="11" s="1"/>
  <c r="A2138" i="11" s="1"/>
  <c r="A2139" i="11" s="1"/>
  <c r="A2140" i="11" s="1"/>
  <c r="A2141" i="11" s="1"/>
  <c r="A2142" i="11" s="1"/>
  <c r="A2143" i="11" s="1"/>
  <c r="A2144" i="11" s="1"/>
  <c r="D2105" i="11"/>
  <c r="B2105" i="11"/>
  <c r="D2104" i="11"/>
  <c r="B2104" i="11"/>
  <c r="D2103" i="11"/>
  <c r="B2103" i="11"/>
  <c r="D2094" i="11"/>
  <c r="B2094" i="11"/>
  <c r="D2093" i="11"/>
  <c r="B2093" i="11"/>
  <c r="D2092" i="11"/>
  <c r="B2092" i="11"/>
  <c r="D2091" i="11"/>
  <c r="B2091" i="11"/>
  <c r="D2090" i="11"/>
  <c r="B2090" i="11"/>
  <c r="D2089" i="11"/>
  <c r="B2089" i="11"/>
  <c r="D2088" i="11"/>
  <c r="B2088" i="11"/>
  <c r="D2087" i="11"/>
  <c r="B2087" i="11"/>
  <c r="D2086" i="11"/>
  <c r="B2086" i="11"/>
  <c r="D2085" i="11"/>
  <c r="B2085" i="11"/>
  <c r="D2084" i="11"/>
  <c r="B2084" i="11"/>
  <c r="D2083" i="11"/>
  <c r="B2083" i="11"/>
  <c r="D2076" i="11"/>
  <c r="B2076" i="11"/>
  <c r="D2075" i="11"/>
  <c r="B2075" i="11"/>
  <c r="D2074" i="11"/>
  <c r="B2074" i="11"/>
  <c r="D2073" i="11"/>
  <c r="B2073" i="11"/>
  <c r="D2072" i="11"/>
  <c r="B2072" i="11"/>
  <c r="D2071" i="11"/>
  <c r="B2071" i="11"/>
  <c r="D2070" i="11"/>
  <c r="B2070" i="11"/>
  <c r="D2051" i="11"/>
  <c r="B2051" i="11"/>
  <c r="D2050" i="11"/>
  <c r="B2050" i="11"/>
  <c r="D2049" i="11"/>
  <c r="B2049" i="11"/>
  <c r="D2048" i="11"/>
  <c r="B2048" i="11"/>
  <c r="D2047" i="11"/>
  <c r="B2047" i="11"/>
  <c r="D2046" i="11"/>
  <c r="B2046" i="11"/>
  <c r="D2045" i="11"/>
  <c r="B2045" i="11"/>
  <c r="D2044" i="11"/>
  <c r="B2044" i="11"/>
  <c r="D2043" i="11"/>
  <c r="B2043" i="11"/>
  <c r="D2042" i="11"/>
  <c r="B2042" i="11"/>
  <c r="D2041" i="11"/>
  <c r="B2041" i="11"/>
  <c r="D2040" i="11"/>
  <c r="B2040" i="11"/>
  <c r="D2039" i="11"/>
  <c r="B2039" i="11"/>
  <c r="D2038" i="11"/>
  <c r="B2038" i="11"/>
  <c r="D2037" i="11"/>
  <c r="D2036" i="11"/>
  <c r="D2035" i="11"/>
  <c r="D2034" i="11"/>
  <c r="D2033" i="11"/>
  <c r="B2033" i="11"/>
  <c r="D2032" i="11"/>
  <c r="B2032" i="11"/>
  <c r="D2031" i="11"/>
  <c r="D2030" i="11"/>
  <c r="B2030" i="11"/>
  <c r="D2029" i="11"/>
  <c r="D2028" i="11"/>
  <c r="D2027" i="11"/>
  <c r="D2026" i="11"/>
  <c r="D2025" i="11"/>
  <c r="D2024" i="11"/>
  <c r="D2023" i="11"/>
  <c r="B2023" i="11"/>
  <c r="D2022" i="11"/>
  <c r="B2022" i="11"/>
  <c r="D2021" i="11"/>
  <c r="B2021" i="11"/>
  <c r="D2020" i="11"/>
  <c r="B2020" i="11"/>
  <c r="D2019" i="11"/>
  <c r="B2019" i="11"/>
  <c r="D2018" i="11"/>
  <c r="B2018" i="11"/>
  <c r="D2017" i="11"/>
  <c r="D2016" i="11"/>
  <c r="D2015" i="11"/>
  <c r="B2015" i="11"/>
  <c r="D2014" i="11"/>
  <c r="D2013" i="11"/>
  <c r="D2012" i="11"/>
  <c r="D2011" i="11"/>
  <c r="D2010" i="11"/>
  <c r="D2009" i="11"/>
  <c r="D2008" i="11"/>
  <c r="D2007" i="11"/>
  <c r="D2006" i="11"/>
  <c r="D2005" i="11"/>
  <c r="D2004" i="11"/>
  <c r="D2003" i="11"/>
  <c r="H2002" i="11"/>
  <c r="D2002" i="11"/>
  <c r="H2001" i="11"/>
  <c r="D2001" i="11"/>
  <c r="H2000" i="11"/>
  <c r="D2000" i="11"/>
  <c r="H1999" i="11"/>
  <c r="D1999" i="11"/>
  <c r="H1998" i="11"/>
  <c r="D1998" i="11"/>
  <c r="H1997" i="11"/>
  <c r="D1997" i="11"/>
  <c r="H1996" i="11"/>
  <c r="D1996" i="11"/>
  <c r="H1995" i="11"/>
  <c r="D1995" i="11"/>
  <c r="H1994" i="11"/>
  <c r="D1994" i="11"/>
  <c r="H1993" i="11"/>
  <c r="D1993" i="11"/>
  <c r="H1992" i="11"/>
  <c r="D1992" i="11"/>
  <c r="H1991" i="11"/>
  <c r="D1991" i="11"/>
  <c r="H1990" i="11"/>
  <c r="D1990" i="11"/>
  <c r="H1989" i="11"/>
  <c r="D1989" i="11"/>
  <c r="H1988" i="11"/>
  <c r="D1988" i="11"/>
  <c r="H1987" i="11"/>
  <c r="D1987" i="11"/>
  <c r="H1986" i="11"/>
  <c r="D1986" i="11"/>
  <c r="H1985" i="11"/>
  <c r="D1985" i="11"/>
  <c r="H1984" i="11"/>
  <c r="D1984" i="11"/>
  <c r="D1983" i="11"/>
  <c r="D1982" i="11"/>
  <c r="D1981" i="11"/>
  <c r="D1980" i="11"/>
  <c r="H1979" i="11"/>
  <c r="D1979" i="11"/>
  <c r="H1978" i="11"/>
  <c r="D1978" i="11"/>
  <c r="H1977" i="11"/>
  <c r="D1977" i="11"/>
  <c r="H1976" i="11"/>
  <c r="D1976" i="11"/>
  <c r="H1975" i="11"/>
  <c r="D1975" i="11"/>
  <c r="H1974" i="11"/>
  <c r="D1974" i="11"/>
  <c r="H1973" i="11"/>
  <c r="D1973" i="11"/>
  <c r="H1972" i="11"/>
  <c r="D1972" i="11"/>
  <c r="H1971" i="11"/>
  <c r="D1971" i="11"/>
  <c r="H1970" i="11"/>
  <c r="D1970" i="11"/>
  <c r="H1969" i="11"/>
  <c r="D1969" i="11"/>
  <c r="H1968" i="11"/>
  <c r="D1968" i="11"/>
  <c r="H1967" i="11"/>
  <c r="D1967" i="11"/>
  <c r="H1966" i="11"/>
  <c r="D1966" i="11"/>
  <c r="H1965" i="11"/>
  <c r="D1965" i="11"/>
  <c r="B1965" i="11"/>
  <c r="H1964" i="11"/>
  <c r="D1964" i="11"/>
  <c r="B1964" i="11"/>
  <c r="H1963" i="11"/>
  <c r="D1963" i="11"/>
  <c r="B1963" i="11"/>
  <c r="H1962" i="11"/>
  <c r="D1962" i="11"/>
  <c r="B1962" i="11"/>
  <c r="H1961" i="11"/>
  <c r="D1961" i="11"/>
  <c r="B1961" i="11"/>
  <c r="H1960" i="11"/>
  <c r="D1960" i="11"/>
  <c r="B1960" i="11"/>
  <c r="H1959" i="11"/>
  <c r="D1959" i="11"/>
  <c r="B1959" i="11"/>
  <c r="H1958" i="11"/>
  <c r="D1958" i="11"/>
  <c r="B1958" i="11"/>
  <c r="H1957" i="11"/>
  <c r="D1957" i="11"/>
  <c r="B1957" i="11"/>
  <c r="H1956" i="11"/>
  <c r="D1956" i="11"/>
  <c r="B1956" i="11"/>
  <c r="H1955" i="11"/>
  <c r="D1955" i="11"/>
  <c r="B1955" i="11"/>
  <c r="H1954" i="11"/>
  <c r="D1954" i="11"/>
  <c r="B1954" i="11"/>
  <c r="H1953" i="11"/>
  <c r="D1953" i="11"/>
  <c r="B1953" i="11"/>
  <c r="H1952" i="11"/>
  <c r="D1952" i="11"/>
  <c r="B1952" i="11"/>
  <c r="H1951" i="11"/>
  <c r="D1951" i="11"/>
  <c r="B1951" i="11"/>
  <c r="H1950" i="11"/>
  <c r="D1950" i="11"/>
  <c r="B1950" i="11"/>
  <c r="H1949" i="11"/>
  <c r="D1949" i="11"/>
  <c r="B1949" i="11"/>
  <c r="H1947" i="11"/>
  <c r="D1947" i="11"/>
  <c r="B1947" i="11"/>
  <c r="H1946" i="11"/>
  <c r="D1946" i="11"/>
  <c r="B1946" i="11"/>
  <c r="H1945" i="11"/>
  <c r="D1945" i="11"/>
  <c r="B1945" i="11"/>
  <c r="H1944" i="11"/>
  <c r="D1944" i="11"/>
  <c r="B1944" i="11"/>
  <c r="D1943" i="11"/>
  <c r="B1943" i="11"/>
  <c r="H1942" i="11"/>
  <c r="D1942" i="11"/>
  <c r="B1942" i="11"/>
  <c r="D1941" i="11"/>
  <c r="B1941" i="11"/>
  <c r="D1940" i="11"/>
  <c r="B1940" i="11"/>
  <c r="D1939" i="11"/>
  <c r="B1939" i="11"/>
  <c r="D1938" i="11"/>
  <c r="B1938" i="11"/>
  <c r="D1937" i="11"/>
  <c r="B1937" i="11"/>
  <c r="D1936" i="11"/>
  <c r="B1936" i="11"/>
  <c r="D1935" i="11"/>
  <c r="B1935" i="11"/>
  <c r="D1934" i="11"/>
  <c r="B1934" i="11"/>
  <c r="D1933" i="11"/>
  <c r="B1933" i="11"/>
  <c r="D1932" i="11"/>
  <c r="D1931" i="11"/>
  <c r="D1930" i="11"/>
  <c r="D1929" i="11"/>
  <c r="D1928" i="11"/>
  <c r="D1927" i="11"/>
  <c r="D1926" i="11"/>
  <c r="D1925" i="11"/>
  <c r="D1924" i="11"/>
  <c r="D1923" i="11"/>
  <c r="D1922" i="11"/>
  <c r="D1921" i="11"/>
  <c r="D1920" i="11"/>
  <c r="D1919" i="11"/>
  <c r="D1918" i="11"/>
  <c r="D1917" i="11"/>
  <c r="D1916" i="11"/>
  <c r="D1915" i="11"/>
  <c r="D1914" i="11"/>
  <c r="H1913" i="11"/>
  <c r="D1913" i="11"/>
  <c r="H1912" i="11"/>
  <c r="D1912" i="11"/>
  <c r="H1911" i="11"/>
  <c r="D1911" i="11"/>
  <c r="H1910" i="11"/>
  <c r="D1910" i="11"/>
  <c r="H1909" i="11"/>
  <c r="D1909" i="11"/>
  <c r="H1908" i="11"/>
  <c r="D1908" i="11"/>
  <c r="H1907" i="11"/>
  <c r="D1907" i="11"/>
  <c r="H1906" i="11"/>
  <c r="D1906" i="11"/>
  <c r="H1905" i="11"/>
  <c r="D1905" i="11"/>
  <c r="H1904" i="11"/>
  <c r="D1904" i="11"/>
  <c r="H1903" i="11"/>
  <c r="D1903" i="11"/>
  <c r="H1902" i="11"/>
  <c r="D1902" i="11"/>
  <c r="H1901" i="11"/>
  <c r="D1901" i="11"/>
  <c r="H1900" i="11"/>
  <c r="D1900" i="11"/>
  <c r="H1899" i="11"/>
  <c r="D1899" i="11"/>
  <c r="H1898" i="11"/>
  <c r="D1898" i="11"/>
  <c r="H1897" i="11"/>
  <c r="D1897" i="11"/>
  <c r="H1896" i="11"/>
  <c r="D1896" i="11"/>
  <c r="H1895" i="11"/>
  <c r="D1895" i="11"/>
  <c r="H1894" i="11"/>
  <c r="D1894" i="11"/>
  <c r="H1893" i="11"/>
  <c r="D1893" i="11"/>
  <c r="H1892" i="11"/>
  <c r="D1892" i="11"/>
  <c r="H1882" i="11"/>
  <c r="D1882" i="11"/>
  <c r="B1882" i="11"/>
  <c r="H1881" i="11"/>
  <c r="D1881" i="11"/>
  <c r="B1881" i="11"/>
  <c r="H1880" i="11"/>
  <c r="D1880" i="11"/>
  <c r="B1880" i="11"/>
  <c r="H1879" i="11"/>
  <c r="D1879" i="11"/>
  <c r="B1879" i="11"/>
  <c r="H1878" i="11"/>
  <c r="D1878" i="11"/>
  <c r="B1878" i="11"/>
  <c r="H1877" i="11"/>
  <c r="D1877" i="11"/>
  <c r="B1877" i="11"/>
  <c r="H1876" i="11"/>
  <c r="D1876" i="11"/>
  <c r="B1876" i="11"/>
  <c r="H1875" i="11"/>
  <c r="D1875" i="11"/>
  <c r="B1875" i="11"/>
  <c r="H1874" i="11"/>
  <c r="D1874" i="11"/>
  <c r="B1874" i="11"/>
  <c r="D1873" i="11"/>
  <c r="B1873" i="11"/>
  <c r="D1872" i="11"/>
  <c r="B1872" i="11"/>
  <c r="D1871" i="11"/>
  <c r="B1871" i="11"/>
  <c r="D1870" i="11"/>
  <c r="D1869" i="11"/>
  <c r="D1867" i="11"/>
  <c r="D1866" i="11"/>
  <c r="D1865" i="11"/>
  <c r="H1864" i="11"/>
  <c r="D1864" i="11"/>
  <c r="H1863" i="11"/>
  <c r="D1863" i="11"/>
  <c r="H1862" i="11"/>
  <c r="D1862" i="11"/>
  <c r="H1861" i="11"/>
  <c r="D1861" i="11"/>
  <c r="H1860" i="11"/>
  <c r="D1860" i="11"/>
  <c r="H1859" i="11"/>
  <c r="D1859" i="11"/>
  <c r="H1858" i="11"/>
  <c r="D1858" i="11"/>
  <c r="H1857" i="11"/>
  <c r="D1857" i="11"/>
  <c r="H1856" i="11"/>
  <c r="D1856" i="11"/>
  <c r="D1854" i="11"/>
  <c r="H1843" i="11"/>
  <c r="D1843" i="11"/>
  <c r="H1842" i="11"/>
  <c r="D1842" i="11"/>
  <c r="H1841" i="11"/>
  <c r="D1841" i="11"/>
  <c r="H1840" i="11"/>
  <c r="D1840" i="11"/>
  <c r="H1839" i="11"/>
  <c r="D1839" i="11"/>
  <c r="H1838" i="11"/>
  <c r="D1838" i="11"/>
  <c r="H1837" i="11"/>
  <c r="D1837" i="11"/>
  <c r="H1836" i="11"/>
  <c r="D1836" i="11"/>
  <c r="H1835" i="11"/>
  <c r="D1835" i="11"/>
  <c r="H1834" i="11"/>
  <c r="D1834" i="11"/>
  <c r="H1833" i="11"/>
  <c r="D1833" i="11"/>
  <c r="H1832" i="11"/>
  <c r="D1832" i="11"/>
  <c r="H1831" i="11"/>
  <c r="D1831" i="11"/>
  <c r="H1830" i="11"/>
  <c r="D1830" i="11"/>
  <c r="H1829" i="11"/>
  <c r="D1829" i="11"/>
  <c r="H1828" i="11"/>
  <c r="D1828" i="11"/>
  <c r="H1827" i="11"/>
  <c r="D1827" i="11"/>
  <c r="H1826" i="11"/>
  <c r="D1826" i="11"/>
  <c r="H1825" i="11"/>
  <c r="D1825" i="11"/>
  <c r="H1822" i="11"/>
  <c r="D1822" i="11"/>
  <c r="H1821" i="11"/>
  <c r="D1821" i="11"/>
  <c r="H1820" i="11"/>
  <c r="D1820" i="11"/>
  <c r="H1819" i="11"/>
  <c r="D1819" i="11"/>
  <c r="H1818" i="11"/>
  <c r="D1818" i="11"/>
  <c r="H1817" i="11"/>
  <c r="D1817" i="11"/>
  <c r="H1816" i="11"/>
  <c r="D1816" i="11"/>
  <c r="H1815" i="11"/>
  <c r="D1815" i="11"/>
  <c r="B1815" i="11"/>
  <c r="H1814" i="11"/>
  <c r="D1814" i="11"/>
  <c r="H1813" i="11"/>
  <c r="D1813" i="11"/>
  <c r="H1812" i="11"/>
  <c r="D1812" i="11"/>
  <c r="H1811" i="11"/>
  <c r="D1811" i="11"/>
  <c r="H1810" i="11"/>
  <c r="D1810" i="11"/>
  <c r="H1809" i="11"/>
  <c r="D1809" i="11"/>
  <c r="H1808" i="11"/>
  <c r="D1808" i="11"/>
  <c r="H1807" i="11"/>
  <c r="D1807" i="11"/>
  <c r="H1806" i="11"/>
  <c r="D1806" i="11"/>
  <c r="H1805" i="11"/>
  <c r="D1805" i="11"/>
  <c r="H1804" i="11"/>
  <c r="D1804" i="11"/>
  <c r="H1803" i="11"/>
  <c r="D1803" i="11"/>
  <c r="H1802" i="11"/>
  <c r="D1802" i="11"/>
  <c r="H1801" i="11"/>
  <c r="D1801" i="11"/>
  <c r="H1800" i="11"/>
  <c r="D1800" i="11"/>
  <c r="H1799" i="11"/>
  <c r="D1799" i="11"/>
  <c r="H1798" i="11"/>
  <c r="D1798" i="11"/>
  <c r="H1797" i="11"/>
  <c r="D1797" i="11"/>
  <c r="H1796" i="11"/>
  <c r="D1796" i="11"/>
  <c r="H1795" i="11"/>
  <c r="D1795" i="11"/>
  <c r="H1794" i="11"/>
  <c r="D1794" i="11"/>
  <c r="H1793" i="11"/>
  <c r="D1793" i="11"/>
  <c r="H1792" i="11"/>
  <c r="D1792" i="11"/>
  <c r="H1791" i="11"/>
  <c r="D1791" i="11"/>
  <c r="H1790" i="11"/>
  <c r="D1790" i="11"/>
  <c r="H1789" i="11"/>
  <c r="D1789" i="11"/>
  <c r="H1788" i="11"/>
  <c r="D1788" i="11"/>
  <c r="H1787" i="11"/>
  <c r="D1787" i="11"/>
  <c r="H1786" i="11"/>
  <c r="D1786" i="11"/>
  <c r="H1783" i="11"/>
  <c r="E1783" i="11"/>
  <c r="D1783" i="11"/>
  <c r="B1783" i="11"/>
  <c r="H1782" i="11"/>
  <c r="E1782" i="11"/>
  <c r="D1782" i="11"/>
  <c r="B1782" i="11"/>
  <c r="H1781" i="11"/>
  <c r="E1781" i="11"/>
  <c r="D1781" i="11"/>
  <c r="B1781" i="11"/>
  <c r="H1780" i="11"/>
  <c r="E1780" i="11"/>
  <c r="D1780" i="11"/>
  <c r="B1780" i="11"/>
  <c r="H1779" i="11"/>
  <c r="E1779" i="11"/>
  <c r="D1779" i="11"/>
  <c r="B1779" i="11"/>
  <c r="H1778" i="11"/>
  <c r="E1778" i="11"/>
  <c r="D1778" i="11"/>
  <c r="B1778" i="11"/>
  <c r="H1777" i="11"/>
  <c r="E1777" i="11"/>
  <c r="D1777" i="11"/>
  <c r="B1777" i="11"/>
  <c r="H1776" i="11"/>
  <c r="E1776" i="11"/>
  <c r="D1776" i="11"/>
  <c r="B1776" i="11"/>
  <c r="H1775" i="11"/>
  <c r="E1775" i="11"/>
  <c r="D1775" i="11"/>
  <c r="B1775" i="11"/>
  <c r="H1774" i="11"/>
  <c r="E1774" i="11"/>
  <c r="D1774" i="11"/>
  <c r="B1774" i="11"/>
  <c r="H1773" i="11"/>
  <c r="E1773" i="11"/>
  <c r="D1773" i="11"/>
  <c r="B1773" i="11"/>
  <c r="H1772" i="11"/>
  <c r="E1772" i="11"/>
  <c r="D1772" i="11"/>
  <c r="B1772" i="11"/>
  <c r="H1771" i="11"/>
  <c r="E1771" i="11"/>
  <c r="D1771" i="11"/>
  <c r="B1771" i="11"/>
  <c r="H1770" i="11"/>
  <c r="E1770" i="11"/>
  <c r="D1770" i="11"/>
  <c r="B1770" i="11"/>
  <c r="H1769" i="11"/>
  <c r="E1769" i="11"/>
  <c r="D1769" i="11"/>
  <c r="B1769" i="11"/>
  <c r="H1768" i="11"/>
  <c r="E1768" i="11"/>
  <c r="D1768" i="11"/>
  <c r="B1768" i="11"/>
  <c r="H1767" i="11"/>
  <c r="E1767" i="11"/>
  <c r="D1767" i="11"/>
  <c r="B1767" i="11"/>
  <c r="H1766" i="11"/>
  <c r="E1766" i="11"/>
  <c r="D1766" i="11"/>
  <c r="B1766" i="11"/>
  <c r="H1765" i="11"/>
  <c r="E1765" i="11"/>
  <c r="D1765" i="11"/>
  <c r="B1765" i="11"/>
  <c r="H1764" i="11"/>
  <c r="E1764" i="11"/>
  <c r="D1764" i="11"/>
  <c r="B1764" i="11"/>
  <c r="H1763" i="11"/>
  <c r="E1763" i="11"/>
  <c r="D1763" i="11"/>
  <c r="B1763" i="11"/>
  <c r="H1762" i="11"/>
  <c r="E1762" i="11"/>
  <c r="D1762" i="11"/>
  <c r="B1762" i="11"/>
  <c r="H1761" i="11"/>
  <c r="E1761" i="11"/>
  <c r="D1761" i="11"/>
  <c r="B1761" i="11"/>
  <c r="H1760" i="11"/>
  <c r="E1760" i="11"/>
  <c r="D1760" i="11"/>
  <c r="B1760" i="11"/>
  <c r="H1759" i="11"/>
  <c r="E1759" i="11"/>
  <c r="D1759" i="11"/>
  <c r="B1759" i="11"/>
  <c r="H1758" i="11"/>
  <c r="E1758" i="11"/>
  <c r="D1758" i="11"/>
  <c r="B1758" i="11"/>
  <c r="H1757" i="11"/>
  <c r="E1757" i="11"/>
  <c r="D1757" i="11"/>
  <c r="B1757" i="11"/>
  <c r="H1756" i="11"/>
  <c r="E1756" i="11"/>
  <c r="D1756" i="11"/>
  <c r="B1756" i="11"/>
  <c r="H1755" i="11"/>
  <c r="E1755" i="11"/>
  <c r="D1755" i="11"/>
  <c r="B1755" i="11"/>
  <c r="H1754" i="11"/>
  <c r="E1754" i="11"/>
  <c r="D1754" i="11"/>
  <c r="B1754" i="11"/>
  <c r="H1753" i="11"/>
  <c r="E1753" i="11"/>
  <c r="D1753" i="11"/>
  <c r="B1753" i="11"/>
  <c r="H1752" i="11"/>
  <c r="E1752" i="11"/>
  <c r="D1752" i="11"/>
  <c r="B1752" i="11"/>
  <c r="H1751" i="11"/>
  <c r="E1751" i="11"/>
  <c r="D1751" i="11"/>
  <c r="B1751" i="11"/>
  <c r="H1750" i="11"/>
  <c r="E1750" i="11"/>
  <c r="D1750" i="11"/>
  <c r="B1750" i="11"/>
  <c r="H1749" i="11"/>
  <c r="E1749" i="11"/>
  <c r="D1749" i="11"/>
  <c r="B1749" i="11"/>
  <c r="H1748" i="11"/>
  <c r="E1748" i="11"/>
  <c r="D1748" i="11"/>
  <c r="B1748" i="11"/>
  <c r="H1747" i="11"/>
  <c r="E1747" i="11"/>
  <c r="D1747" i="11"/>
  <c r="B1747" i="11"/>
  <c r="H1746" i="11"/>
  <c r="E1746" i="11"/>
  <c r="D1746" i="11"/>
  <c r="B1746" i="11"/>
  <c r="H1745" i="11"/>
  <c r="E1745" i="11"/>
  <c r="D1745" i="11"/>
  <c r="B1745" i="11"/>
  <c r="H1744" i="11"/>
  <c r="E1744" i="11"/>
  <c r="D1744" i="11"/>
  <c r="B1744" i="11"/>
  <c r="H1743" i="11"/>
  <c r="E1743" i="11"/>
  <c r="D1743" i="11"/>
  <c r="B1743" i="11"/>
  <c r="H1742" i="11"/>
  <c r="E1742" i="11"/>
  <c r="D1742" i="11"/>
  <c r="B1742" i="11"/>
  <c r="E1741" i="11"/>
  <c r="H1740" i="11"/>
  <c r="E1740" i="11"/>
  <c r="D1740" i="11"/>
  <c r="B1740" i="11"/>
  <c r="E1739" i="11"/>
  <c r="E1738" i="11"/>
  <c r="E1737" i="11"/>
  <c r="E1736" i="11"/>
  <c r="E1735" i="11"/>
  <c r="E1734" i="11"/>
  <c r="E1733" i="11"/>
  <c r="H1732" i="11"/>
  <c r="E1732" i="11"/>
  <c r="D1732" i="11"/>
  <c r="B1732" i="11"/>
  <c r="H1731" i="11"/>
  <c r="E1731" i="11"/>
  <c r="D1731" i="11"/>
  <c r="B1731" i="11"/>
  <c r="H1730" i="11"/>
  <c r="E1730" i="11"/>
  <c r="D1730" i="11"/>
  <c r="B1730" i="11"/>
  <c r="H1729" i="11"/>
  <c r="E1729" i="11"/>
  <c r="D1729" i="11"/>
  <c r="B1729" i="11"/>
  <c r="H1728" i="11"/>
  <c r="E1728" i="11"/>
  <c r="D1728" i="11"/>
  <c r="B1728" i="11"/>
  <c r="H1727" i="11"/>
  <c r="E1727" i="11"/>
  <c r="D1727" i="11"/>
  <c r="B1727" i="11"/>
  <c r="H1726" i="11"/>
  <c r="E1726" i="11"/>
  <c r="D1726" i="11"/>
  <c r="B1726" i="11"/>
  <c r="H1725" i="11"/>
  <c r="E1725" i="11"/>
  <c r="D1725" i="11"/>
  <c r="B1725" i="11"/>
  <c r="H1724" i="11"/>
  <c r="E1724" i="11"/>
  <c r="D1724" i="11"/>
  <c r="B1724" i="11"/>
  <c r="H1723" i="11"/>
  <c r="E1723" i="11"/>
  <c r="D1723" i="11"/>
  <c r="B1723" i="11"/>
  <c r="H1722" i="11"/>
  <c r="E1722" i="11"/>
  <c r="D1722" i="11"/>
  <c r="B1722" i="11"/>
  <c r="H1721" i="11"/>
  <c r="E1721" i="11"/>
  <c r="D1721" i="11"/>
  <c r="B1721" i="11"/>
  <c r="H1720" i="11"/>
  <c r="E1720" i="11"/>
  <c r="D1720" i="11"/>
  <c r="B1720" i="11"/>
  <c r="H1719" i="11"/>
  <c r="E1719" i="11"/>
  <c r="D1719" i="11"/>
  <c r="B1719" i="11"/>
  <c r="H1718" i="11"/>
  <c r="E1718" i="11"/>
  <c r="D1718" i="11"/>
  <c r="B1718" i="11"/>
  <c r="H1717" i="11"/>
  <c r="E1717" i="11"/>
  <c r="D1717" i="11"/>
  <c r="B1717" i="11"/>
  <c r="H1716" i="11"/>
  <c r="E1716" i="11"/>
  <c r="D1716" i="11"/>
  <c r="B1716" i="11"/>
  <c r="H1715" i="11"/>
  <c r="E1715" i="11"/>
  <c r="D1715" i="11"/>
  <c r="B1715" i="11"/>
  <c r="H1714" i="11"/>
  <c r="E1714" i="11"/>
  <c r="D1714" i="11"/>
  <c r="B1714" i="11"/>
  <c r="H1713" i="11"/>
  <c r="E1713" i="11"/>
  <c r="D1713" i="11"/>
  <c r="B1713" i="11"/>
  <c r="H1712" i="11"/>
  <c r="E1712" i="11"/>
  <c r="D1712" i="11"/>
  <c r="B1712" i="11"/>
  <c r="H1711" i="11"/>
  <c r="E1711" i="11"/>
  <c r="D1711" i="11"/>
  <c r="B1711" i="11"/>
  <c r="H1710" i="11"/>
  <c r="E1710" i="11"/>
  <c r="D1710" i="11"/>
  <c r="B1710" i="11"/>
  <c r="H1709" i="11"/>
  <c r="E1709" i="11"/>
  <c r="D1709" i="11"/>
  <c r="B1709" i="11"/>
  <c r="H1708" i="11"/>
  <c r="E1708" i="11"/>
  <c r="D1708" i="11"/>
  <c r="B1708" i="11"/>
  <c r="H1707" i="11"/>
  <c r="E1707" i="11"/>
  <c r="D1707" i="11"/>
  <c r="B1707" i="11"/>
  <c r="H1706" i="11"/>
  <c r="E1706" i="11"/>
  <c r="D1706" i="11"/>
  <c r="B1706" i="11"/>
  <c r="H1705" i="11"/>
  <c r="E1705" i="11"/>
  <c r="D1705" i="11"/>
  <c r="B1705" i="11"/>
  <c r="H1704" i="11"/>
  <c r="E1704" i="11"/>
  <c r="D1704" i="11"/>
  <c r="B1704" i="11"/>
  <c r="H1703" i="11"/>
  <c r="E1703" i="11"/>
  <c r="D1703" i="11"/>
  <c r="B1703" i="11"/>
  <c r="H1702" i="11"/>
  <c r="E1702" i="11"/>
  <c r="D1702" i="11"/>
  <c r="B1702" i="11"/>
  <c r="D1701" i="11"/>
  <c r="B1701" i="11"/>
  <c r="D1700" i="11"/>
  <c r="B1700" i="11"/>
  <c r="D1699" i="11"/>
  <c r="B1699" i="11"/>
  <c r="D1698" i="11"/>
  <c r="B1698" i="11"/>
  <c r="D1697" i="11"/>
  <c r="B1697" i="11"/>
  <c r="D1696" i="11"/>
  <c r="B1696" i="11"/>
  <c r="D1695" i="11"/>
  <c r="B1695" i="11"/>
  <c r="D1694" i="11"/>
  <c r="B1694" i="11"/>
  <c r="D1693" i="11"/>
  <c r="B1693" i="11"/>
  <c r="D1692" i="11"/>
  <c r="B1692" i="11"/>
  <c r="D1691" i="11"/>
  <c r="B1691" i="11"/>
  <c r="D1690" i="11"/>
  <c r="B1690" i="11"/>
  <c r="D1689" i="11"/>
  <c r="B1689" i="11"/>
  <c r="D1688" i="11"/>
  <c r="B1688" i="11"/>
  <c r="D1687" i="11"/>
  <c r="B1687" i="11"/>
  <c r="D1686" i="11"/>
  <c r="B1686" i="11"/>
  <c r="D1685" i="11"/>
  <c r="B1685" i="11"/>
  <c r="D1684" i="11"/>
  <c r="B1684" i="11"/>
  <c r="D1683" i="11"/>
  <c r="B1683" i="11"/>
  <c r="D1682" i="11"/>
  <c r="B1682" i="11"/>
  <c r="D1681" i="11"/>
  <c r="B1681" i="11"/>
  <c r="D1680" i="11"/>
  <c r="B1680" i="11"/>
  <c r="D1679" i="11"/>
  <c r="B1679" i="11"/>
  <c r="D1678" i="11"/>
  <c r="B1678" i="11"/>
  <c r="D1677" i="11"/>
  <c r="B1677" i="11"/>
  <c r="D1676" i="11"/>
  <c r="B1676" i="11"/>
  <c r="D1675" i="11"/>
  <c r="B1675" i="11"/>
  <c r="D1674" i="11"/>
  <c r="B1674" i="11"/>
  <c r="D1673" i="11"/>
  <c r="B1673" i="11"/>
  <c r="D1667" i="11"/>
  <c r="B1667" i="11"/>
  <c r="D1666" i="11"/>
  <c r="B1666" i="11"/>
  <c r="D1665" i="11"/>
  <c r="B1665" i="11"/>
  <c r="D1615" i="11"/>
  <c r="B1615" i="11"/>
  <c r="D1614" i="11"/>
  <c r="B1614" i="11"/>
  <c r="D1613" i="11"/>
  <c r="B1613" i="11"/>
  <c r="D1612" i="11"/>
  <c r="B1612" i="11"/>
  <c r="D1611" i="11"/>
  <c r="B1611" i="11"/>
  <c r="D1610" i="11"/>
  <c r="B1610" i="11"/>
  <c r="D1609" i="11"/>
  <c r="B1609" i="11"/>
  <c r="D1608" i="11"/>
  <c r="B1608" i="11"/>
  <c r="D1607" i="11"/>
  <c r="B1607" i="11"/>
  <c r="D1606" i="11"/>
  <c r="B1606" i="11"/>
  <c r="D1605" i="11"/>
  <c r="B1605" i="11"/>
  <c r="D1604" i="11"/>
  <c r="B1604" i="11"/>
  <c r="D1603" i="11"/>
  <c r="B1603" i="11"/>
  <c r="D1602" i="11"/>
  <c r="B1602" i="11"/>
  <c r="D1601" i="11"/>
  <c r="B1601" i="11"/>
  <c r="D1600" i="11"/>
  <c r="B1600" i="11"/>
  <c r="D1599" i="11"/>
  <c r="B1599" i="11"/>
  <c r="D1598" i="11"/>
  <c r="B1598" i="11"/>
  <c r="D1597" i="11"/>
  <c r="B1597" i="11"/>
  <c r="D1596" i="11"/>
  <c r="B1596" i="11"/>
  <c r="D1461" i="11"/>
  <c r="B1461" i="11"/>
  <c r="D1460" i="11"/>
  <c r="B1460" i="11"/>
  <c r="D1459" i="11"/>
  <c r="B1459" i="11"/>
  <c r="D1458" i="11"/>
  <c r="B1458" i="11"/>
  <c r="D1453" i="11"/>
  <c r="B1453" i="11"/>
  <c r="D1452" i="11"/>
  <c r="B1452" i="11"/>
  <c r="D1451" i="11"/>
  <c r="B1451" i="11"/>
  <c r="D1450" i="11"/>
  <c r="B1450" i="11"/>
  <c r="D1449" i="11"/>
  <c r="B1449" i="11"/>
  <c r="D1448" i="11"/>
  <c r="B1448" i="11"/>
  <c r="D1447" i="11"/>
  <c r="B1447" i="11"/>
  <c r="D1446" i="11"/>
  <c r="B1446" i="11"/>
  <c r="D1445" i="11"/>
  <c r="B1445" i="11"/>
  <c r="D1444" i="11"/>
  <c r="B1444" i="11"/>
  <c r="D1443" i="11"/>
  <c r="B1443" i="11"/>
  <c r="D1442" i="11"/>
  <c r="B1442" i="11"/>
  <c r="D1418" i="11"/>
  <c r="B1418" i="11"/>
  <c r="D1417" i="11"/>
  <c r="B1417" i="11"/>
  <c r="D1416" i="11"/>
  <c r="B1416" i="11"/>
  <c r="D1415" i="11"/>
  <c r="B1415" i="11"/>
  <c r="D1310" i="11"/>
  <c r="B1310" i="11"/>
  <c r="D1309" i="11"/>
  <c r="B1309" i="11"/>
  <c r="D1308" i="11"/>
  <c r="B1308" i="11"/>
  <c r="D1307" i="11"/>
  <c r="B1307" i="11"/>
  <c r="D1306" i="11"/>
  <c r="B1306" i="11"/>
  <c r="D1305" i="11"/>
  <c r="B1305" i="11"/>
  <c r="D1304" i="11"/>
  <c r="B1304" i="11"/>
  <c r="D1303" i="11"/>
  <c r="B1303" i="11"/>
  <c r="D1302" i="11"/>
  <c r="B1302" i="11"/>
  <c r="D1301" i="11"/>
  <c r="B1301" i="11"/>
  <c r="D1300" i="11"/>
  <c r="B1300" i="11"/>
  <c r="D1299" i="11"/>
  <c r="B1299" i="11"/>
  <c r="D1298" i="11"/>
  <c r="B1298" i="11"/>
  <c r="D1297" i="11"/>
  <c r="B1297" i="11"/>
  <c r="D1296" i="11"/>
  <c r="B1296" i="11"/>
  <c r="D1295" i="11"/>
  <c r="B1295" i="11"/>
  <c r="D1294" i="11"/>
  <c r="B1294" i="11"/>
  <c r="D1293" i="11"/>
  <c r="B1293" i="11"/>
  <c r="D1288" i="11"/>
  <c r="B1288" i="11"/>
  <c r="D1287" i="11"/>
  <c r="B1287" i="11"/>
  <c r="D1286" i="11"/>
  <c r="B1286" i="11"/>
  <c r="D1285" i="11"/>
  <c r="B1285" i="11"/>
  <c r="D1284" i="11"/>
  <c r="B1284" i="11"/>
  <c r="D1283" i="11"/>
  <c r="B1283" i="11"/>
  <c r="D1282" i="11"/>
  <c r="B1282" i="11"/>
  <c r="D1281" i="11"/>
  <c r="B1281" i="11"/>
  <c r="D1280" i="11"/>
  <c r="B1280" i="11"/>
  <c r="D1279" i="11"/>
  <c r="B1279" i="11"/>
  <c r="D1278" i="11"/>
  <c r="B1278" i="11"/>
  <c r="D1277" i="11"/>
  <c r="B1277" i="11"/>
  <c r="D1276" i="11"/>
  <c r="B1276" i="11"/>
  <c r="D1275" i="11"/>
  <c r="B1275" i="11"/>
  <c r="D1274" i="11"/>
  <c r="B1274" i="11"/>
  <c r="D1273" i="11"/>
  <c r="B1273" i="11"/>
  <c r="D1272" i="11"/>
  <c r="B1272" i="11"/>
  <c r="D1271" i="11"/>
  <c r="B1271" i="11"/>
  <c r="B1270" i="11"/>
  <c r="B1269" i="11"/>
  <c r="B1268" i="11"/>
  <c r="B1267" i="11"/>
  <c r="B1266" i="11"/>
  <c r="B1265" i="11"/>
  <c r="B1264" i="11"/>
  <c r="B1263" i="11"/>
  <c r="B1262" i="11"/>
  <c r="D1261" i="11"/>
  <c r="B1261" i="11"/>
  <c r="D1260" i="11"/>
  <c r="B1260" i="11"/>
  <c r="D1259" i="11"/>
  <c r="B1259" i="11"/>
  <c r="D1258" i="11"/>
  <c r="B1258" i="11"/>
  <c r="D1257" i="11"/>
  <c r="B1257" i="11"/>
  <c r="D1256" i="11"/>
  <c r="B1256" i="11"/>
  <c r="D1255" i="11"/>
  <c r="B1255" i="11"/>
  <c r="D1254" i="11"/>
  <c r="B1254" i="11"/>
  <c r="D1253" i="11"/>
  <c r="B1253" i="11"/>
  <c r="D1252" i="11"/>
  <c r="B1252" i="11"/>
  <c r="D1251" i="11"/>
  <c r="B1251" i="11"/>
  <c r="D1250" i="11"/>
  <c r="B1250" i="11"/>
  <c r="D1249" i="11"/>
  <c r="B1249" i="11"/>
  <c r="D1248" i="11"/>
  <c r="B1248" i="11"/>
  <c r="D1247" i="11"/>
  <c r="B1247" i="11"/>
  <c r="D1246" i="11"/>
  <c r="B1246" i="11"/>
  <c r="D1245" i="11"/>
  <c r="B1245" i="11"/>
  <c r="D1244" i="11"/>
  <c r="B1244" i="11"/>
  <c r="D1243" i="11"/>
  <c r="B1243" i="11"/>
  <c r="D1242" i="11"/>
  <c r="B1242" i="11"/>
  <c r="D1241" i="11"/>
  <c r="B1241" i="11"/>
  <c r="D1240" i="11"/>
  <c r="B1240" i="11"/>
  <c r="D1239" i="11"/>
  <c r="B1239" i="11"/>
  <c r="D1238" i="11"/>
  <c r="B1238" i="11"/>
  <c r="D1237" i="11"/>
  <c r="B1237" i="11"/>
  <c r="D1236" i="11"/>
  <c r="B1236" i="11"/>
  <c r="D1235" i="11"/>
  <c r="B1235" i="11"/>
  <c r="D1234" i="11"/>
  <c r="B1234" i="11"/>
  <c r="D1233" i="11"/>
  <c r="B1233" i="11"/>
  <c r="D1232" i="11"/>
  <c r="B1232" i="11"/>
  <c r="D1231" i="11"/>
  <c r="B1231" i="11"/>
  <c r="D1230" i="11"/>
  <c r="B1230" i="11"/>
  <c r="D1229" i="11"/>
  <c r="B1229" i="11"/>
  <c r="D1228" i="11"/>
  <c r="B1228" i="11"/>
  <c r="D1227" i="11"/>
  <c r="B1227" i="11"/>
  <c r="D1226" i="11"/>
  <c r="B1226" i="11"/>
  <c r="D1225" i="11"/>
  <c r="B1225" i="11"/>
  <c r="D1224" i="11"/>
  <c r="B1224" i="11"/>
  <c r="D1223" i="11"/>
  <c r="B1223" i="11"/>
  <c r="D1222" i="11"/>
  <c r="B1222" i="11"/>
  <c r="D1221" i="11"/>
  <c r="B1221" i="11"/>
  <c r="D1220" i="11"/>
  <c r="B1220" i="11"/>
  <c r="D1219" i="11"/>
  <c r="B1219" i="11"/>
  <c r="D1218" i="11"/>
  <c r="B1218" i="11"/>
  <c r="D1217" i="11"/>
  <c r="B1217" i="11"/>
  <c r="D1216" i="11"/>
  <c r="B1216" i="11"/>
  <c r="D1215" i="11"/>
  <c r="B1215" i="11"/>
  <c r="D1214" i="11"/>
  <c r="B1214" i="11"/>
  <c r="D1213" i="11"/>
  <c r="B1213" i="11"/>
  <c r="D1212" i="11"/>
  <c r="B1212" i="11"/>
  <c r="D1211" i="11"/>
  <c r="B1211" i="11"/>
  <c r="D1210" i="11"/>
  <c r="B1210" i="11"/>
  <c r="D1209" i="11"/>
  <c r="B1209" i="11"/>
  <c r="D1208" i="11"/>
  <c r="B1208" i="11"/>
  <c r="D1207" i="11"/>
  <c r="B1207" i="11"/>
  <c r="D1206" i="11"/>
  <c r="B1206" i="11"/>
  <c r="D1205" i="11"/>
  <c r="B1205" i="11"/>
  <c r="D1204" i="11"/>
  <c r="B1204" i="11"/>
  <c r="D1203" i="11"/>
  <c r="B1203" i="11"/>
  <c r="D1202" i="11"/>
  <c r="B1202" i="11"/>
  <c r="D1201" i="11"/>
  <c r="B1201" i="11"/>
  <c r="D1200" i="11"/>
  <c r="B1200" i="11"/>
  <c r="D1199" i="11"/>
  <c r="B1199" i="11"/>
  <c r="D1198" i="11"/>
  <c r="B1198" i="11"/>
  <c r="D1197" i="11"/>
  <c r="B1197" i="11"/>
  <c r="D1196" i="11"/>
  <c r="B1196" i="11"/>
  <c r="D1195" i="11"/>
  <c r="B1195" i="11"/>
  <c r="D1194" i="11"/>
  <c r="B1194" i="11"/>
  <c r="D1193" i="11"/>
  <c r="B1193" i="11"/>
  <c r="D1192" i="11"/>
  <c r="B1192" i="11"/>
  <c r="D1191" i="11"/>
  <c r="B1191" i="11"/>
  <c r="D1190" i="11"/>
  <c r="B1190" i="11"/>
  <c r="D1189" i="11"/>
  <c r="B1189" i="11"/>
  <c r="D1188" i="11"/>
  <c r="B1188" i="11"/>
  <c r="D1187" i="11"/>
  <c r="B1187" i="11"/>
  <c r="D1186" i="11"/>
  <c r="B1186" i="11"/>
  <c r="D1185" i="11"/>
  <c r="B1185" i="11"/>
  <c r="D1184" i="11"/>
  <c r="B1184" i="11"/>
  <c r="D1183" i="11"/>
  <c r="B1183" i="11"/>
  <c r="D1182" i="11"/>
  <c r="B1182" i="11"/>
  <c r="D1181" i="11"/>
  <c r="B1181" i="11"/>
  <c r="D1180" i="11"/>
  <c r="B1180" i="11"/>
  <c r="D1179" i="11"/>
  <c r="B1179" i="11"/>
  <c r="D1178" i="11"/>
  <c r="B1178" i="11"/>
  <c r="D1177" i="11"/>
  <c r="B1177" i="11"/>
  <c r="D1176" i="11"/>
  <c r="B1176" i="11"/>
  <c r="D1175" i="11"/>
  <c r="B1175" i="11"/>
  <c r="D1174" i="11"/>
  <c r="B1174" i="11"/>
  <c r="D1173" i="11"/>
  <c r="B1173" i="11"/>
  <c r="D1172" i="11"/>
  <c r="B1172" i="11"/>
  <c r="D1171" i="11"/>
  <c r="B1171" i="11"/>
  <c r="D1170" i="11"/>
  <c r="B1170" i="11"/>
  <c r="D1169" i="11"/>
  <c r="B1169" i="11"/>
  <c r="D1168" i="11"/>
  <c r="B1168" i="11"/>
  <c r="D1167" i="11"/>
  <c r="B1167" i="11"/>
  <c r="D1166" i="11"/>
  <c r="B1166" i="11"/>
  <c r="D1165" i="11"/>
  <c r="B1165" i="11"/>
  <c r="D1164" i="11"/>
  <c r="B1164" i="11"/>
  <c r="D1163" i="11"/>
  <c r="B1163" i="11"/>
  <c r="D1162" i="11"/>
  <c r="B1162" i="11"/>
  <c r="D1161" i="11"/>
  <c r="B1161" i="11"/>
  <c r="D1160" i="11"/>
  <c r="B1160" i="11"/>
  <c r="D1159" i="11"/>
  <c r="B1159" i="11"/>
  <c r="D1158" i="11"/>
  <c r="B1158" i="11"/>
  <c r="D1157" i="11"/>
  <c r="B1157" i="11"/>
  <c r="D1156" i="11"/>
  <c r="B1156" i="11"/>
  <c r="D1155" i="11"/>
  <c r="B1155" i="11"/>
  <c r="D1154" i="11"/>
  <c r="B1154" i="11"/>
  <c r="D1153" i="11"/>
  <c r="B1153" i="11"/>
  <c r="D1152" i="11"/>
  <c r="B1152" i="11"/>
  <c r="D1151" i="11"/>
  <c r="B1151" i="11"/>
  <c r="D1150" i="11"/>
  <c r="B1150" i="11"/>
  <c r="D1149" i="11"/>
  <c r="B1149" i="11"/>
  <c r="D1148" i="11"/>
  <c r="B1148" i="11"/>
  <c r="D1147" i="11"/>
  <c r="B1147" i="11"/>
  <c r="D1146" i="11"/>
  <c r="B1146" i="11"/>
  <c r="D1145" i="11"/>
  <c r="B1145" i="11"/>
  <c r="D1144" i="11"/>
  <c r="B1144" i="11"/>
  <c r="D1143" i="11"/>
  <c r="B1143" i="11"/>
  <c r="D1142" i="11"/>
  <c r="B1142" i="11"/>
  <c r="D1141" i="11"/>
  <c r="B1141" i="11"/>
  <c r="D1140" i="11"/>
  <c r="B1140" i="11"/>
  <c r="D1139" i="11"/>
  <c r="B1139" i="11"/>
  <c r="D1138" i="11"/>
  <c r="B1138" i="11"/>
  <c r="D1137" i="11"/>
  <c r="B1137" i="11"/>
  <c r="D1136" i="11"/>
  <c r="B1136" i="11"/>
  <c r="D1135" i="11"/>
  <c r="B1135" i="11"/>
  <c r="D1134" i="11"/>
  <c r="B1134" i="11"/>
  <c r="D1133" i="11"/>
  <c r="B1133" i="11"/>
  <c r="D1132" i="11"/>
  <c r="B1132" i="11"/>
  <c r="D1131" i="11"/>
  <c r="B1131" i="11"/>
  <c r="D1130" i="11"/>
  <c r="B1130" i="11"/>
  <c r="D1129" i="11"/>
  <c r="B1129" i="11"/>
  <c r="D1128" i="11"/>
  <c r="B1128" i="11"/>
  <c r="D1127" i="11"/>
  <c r="B1127" i="11"/>
  <c r="D1126" i="11"/>
  <c r="B1126" i="11"/>
  <c r="D1125" i="11"/>
  <c r="B1125" i="11"/>
  <c r="D1124" i="11"/>
  <c r="B1124" i="11"/>
  <c r="D1123" i="11"/>
  <c r="B1123" i="11"/>
  <c r="D1122" i="11"/>
  <c r="B1122" i="11"/>
  <c r="D1121" i="11"/>
  <c r="B1121" i="11"/>
  <c r="D1120" i="11"/>
  <c r="B1120" i="11"/>
  <c r="D1119" i="11"/>
  <c r="B1119" i="11"/>
  <c r="D1118" i="11"/>
  <c r="B1118" i="11"/>
  <c r="D1117" i="11"/>
  <c r="B1117" i="11"/>
  <c r="D1116" i="11"/>
  <c r="B1116" i="11"/>
  <c r="D1115" i="11"/>
  <c r="B1115" i="11"/>
  <c r="D1114" i="11"/>
  <c r="B1114" i="11"/>
  <c r="D1113" i="11"/>
  <c r="B1113" i="11"/>
  <c r="D1112" i="11"/>
  <c r="B1112" i="11"/>
  <c r="D1111" i="11"/>
  <c r="B1111" i="11"/>
  <c r="D1110" i="11"/>
  <c r="B1110" i="11"/>
  <c r="D1109" i="11"/>
  <c r="B1109" i="11"/>
  <c r="D1108" i="11"/>
  <c r="B1108" i="11"/>
  <c r="D1107" i="11"/>
  <c r="B1107" i="11"/>
  <c r="D1106" i="11"/>
  <c r="B1106" i="11"/>
  <c r="D1105" i="11"/>
  <c r="B1105" i="11"/>
  <c r="D1104" i="11"/>
  <c r="B1104" i="11"/>
  <c r="D1103" i="11"/>
  <c r="B1103" i="11"/>
  <c r="D1102" i="11"/>
  <c r="B1102" i="11"/>
  <c r="D1101" i="11"/>
  <c r="B1101" i="11"/>
  <c r="D1100" i="11"/>
  <c r="B1100" i="11"/>
  <c r="D1099" i="11"/>
  <c r="B1099" i="11"/>
  <c r="D1098" i="11"/>
  <c r="B1098" i="11"/>
  <c r="D1097" i="11"/>
  <c r="B1097" i="11"/>
  <c r="D1096" i="11"/>
  <c r="B1096" i="11"/>
  <c r="D1095" i="11"/>
  <c r="B1095" i="11"/>
  <c r="D1094" i="11"/>
  <c r="B1094" i="11"/>
  <c r="D1093" i="11"/>
  <c r="B1093" i="11"/>
  <c r="D1092" i="11"/>
  <c r="B1092" i="11"/>
  <c r="D1091" i="11"/>
  <c r="B1091" i="11"/>
  <c r="D1090" i="11"/>
  <c r="B1090" i="11"/>
  <c r="D1089" i="11"/>
  <c r="B1089" i="11"/>
  <c r="D1088" i="11"/>
  <c r="B1088" i="11"/>
  <c r="D1087" i="11"/>
  <c r="B1087" i="11"/>
  <c r="D1086" i="11"/>
  <c r="B1086" i="11"/>
  <c r="D1085" i="11"/>
  <c r="B1085" i="11"/>
  <c r="D1084" i="11"/>
  <c r="B1084" i="11"/>
  <c r="D1083" i="11"/>
  <c r="B1083" i="11"/>
  <c r="D1082" i="11"/>
  <c r="B1082" i="11"/>
  <c r="D1081" i="11"/>
  <c r="B1081" i="11"/>
  <c r="D1080" i="11"/>
  <c r="B1080" i="11"/>
  <c r="D1079" i="11"/>
  <c r="B1079" i="11"/>
  <c r="D1078" i="11"/>
  <c r="B1078" i="11"/>
  <c r="D1077" i="11"/>
  <c r="B1077" i="11"/>
  <c r="D1076" i="11"/>
  <c r="B1076" i="11"/>
  <c r="D1075" i="11"/>
  <c r="B1075" i="11"/>
  <c r="D1074" i="11"/>
  <c r="B1074" i="11"/>
  <c r="D1073" i="11"/>
  <c r="B1073" i="11"/>
  <c r="D1072" i="11"/>
  <c r="B1072" i="11"/>
  <c r="D1071" i="11"/>
  <c r="B1071" i="11"/>
  <c r="D1070" i="11"/>
  <c r="B1070" i="11"/>
  <c r="D1069" i="11"/>
  <c r="B1069" i="11"/>
  <c r="D1068" i="11"/>
  <c r="B1068" i="11"/>
  <c r="D1067" i="11"/>
  <c r="B1067" i="11"/>
  <c r="D1066" i="11"/>
  <c r="B1066" i="11"/>
  <c r="D1065" i="11"/>
  <c r="B1065" i="11"/>
  <c r="D1064" i="11"/>
  <c r="B1064" i="11"/>
  <c r="D1063" i="11"/>
  <c r="B1063" i="11"/>
  <c r="D1062" i="11"/>
  <c r="B1062" i="11"/>
  <c r="D1061" i="11"/>
  <c r="B1061" i="11"/>
  <c r="D1060" i="11"/>
  <c r="B1060" i="11"/>
  <c r="D1059" i="11"/>
  <c r="B1059" i="11"/>
  <c r="D1058" i="11"/>
  <c r="B1058" i="11"/>
  <c r="D1057" i="11"/>
  <c r="B1057" i="11"/>
  <c r="D1056" i="11"/>
  <c r="B1056" i="11"/>
  <c r="D1055" i="11"/>
  <c r="B1055" i="11"/>
  <c r="D1054" i="11"/>
  <c r="B1054" i="11"/>
  <c r="D1053" i="11"/>
  <c r="B1053" i="11"/>
  <c r="D1052" i="11"/>
  <c r="B1052" i="11"/>
  <c r="D1051" i="11"/>
  <c r="B1051" i="11"/>
  <c r="D1050" i="11"/>
  <c r="B1050" i="11"/>
  <c r="D1049" i="11"/>
  <c r="B1049" i="11"/>
  <c r="D1048" i="11"/>
  <c r="B1048" i="11"/>
  <c r="D1047" i="11"/>
  <c r="B1047" i="11"/>
  <c r="D1046" i="11"/>
  <c r="B1046" i="11"/>
  <c r="D1045" i="11"/>
  <c r="B1045" i="11"/>
  <c r="D1044" i="11"/>
  <c r="B1044" i="11"/>
  <c r="D1043" i="11"/>
  <c r="B1043" i="11"/>
  <c r="D1042" i="11"/>
  <c r="B1042" i="11"/>
  <c r="D1041" i="11"/>
  <c r="B1041" i="11"/>
  <c r="D1040" i="11"/>
  <c r="B1040" i="11"/>
  <c r="D1039" i="11"/>
  <c r="B1039" i="11"/>
  <c r="D1038" i="11"/>
  <c r="B1038" i="11"/>
  <c r="D1037" i="11"/>
  <c r="B1037" i="11"/>
  <c r="D1036" i="11"/>
  <c r="B1036" i="11"/>
  <c r="D1035" i="11"/>
  <c r="B1035" i="11"/>
  <c r="D1034" i="11"/>
  <c r="B1034" i="11"/>
  <c r="D1033" i="11"/>
  <c r="B1033" i="11"/>
  <c r="D1032" i="11"/>
  <c r="B1032" i="11"/>
  <c r="D1031" i="11"/>
  <c r="B1031" i="11"/>
  <c r="D1030" i="11"/>
  <c r="B1030" i="11"/>
  <c r="D1029" i="11"/>
  <c r="B1029" i="11"/>
  <c r="D1028" i="11"/>
  <c r="B1028" i="11"/>
  <c r="D1027" i="11"/>
  <c r="B1027" i="11"/>
  <c r="D1026" i="11"/>
  <c r="B1026" i="11"/>
  <c r="D1025" i="11"/>
  <c r="B1025" i="11"/>
  <c r="D1024" i="11"/>
  <c r="B1024" i="11"/>
  <c r="D1023" i="11"/>
  <c r="B1023" i="11"/>
  <c r="D1022" i="11"/>
  <c r="B1022" i="11"/>
  <c r="D1021" i="11"/>
  <c r="B1021" i="11"/>
  <c r="D1020" i="11"/>
  <c r="B1020" i="11"/>
  <c r="D1019" i="11"/>
  <c r="B1019" i="11"/>
  <c r="D1018" i="11"/>
  <c r="B1018" i="11"/>
  <c r="D1017" i="11"/>
  <c r="B1017" i="11"/>
  <c r="D1016" i="11"/>
  <c r="B1016" i="11"/>
  <c r="D1015" i="11"/>
  <c r="B1015" i="11"/>
  <c r="D1014" i="11"/>
  <c r="B1014" i="11"/>
  <c r="D1013" i="11"/>
  <c r="B1013" i="11"/>
  <c r="D1012" i="11"/>
  <c r="B1012" i="11"/>
  <c r="D1011" i="11"/>
  <c r="B1011" i="11"/>
  <c r="D1010" i="11"/>
  <c r="B1010" i="11"/>
  <c r="D1009" i="11"/>
  <c r="B1009" i="11"/>
  <c r="D1008" i="11"/>
  <c r="B1008" i="11"/>
  <c r="D1007" i="11"/>
  <c r="B1007" i="11"/>
  <c r="D1006" i="11"/>
  <c r="B1006" i="11"/>
  <c r="D1005" i="11"/>
  <c r="B1005" i="11"/>
  <c r="D1004" i="11"/>
  <c r="B1004" i="11"/>
  <c r="D1003" i="11"/>
  <c r="B1003" i="11"/>
  <c r="D1002" i="11"/>
  <c r="B1002" i="11"/>
  <c r="D1001" i="11"/>
  <c r="B1001" i="11"/>
  <c r="D1000" i="11"/>
  <c r="B1000" i="11"/>
  <c r="D999" i="11"/>
  <c r="B999" i="11"/>
  <c r="D998" i="11"/>
  <c r="B998" i="11"/>
  <c r="D997" i="11"/>
  <c r="B997" i="11"/>
  <c r="D996" i="11"/>
  <c r="B996" i="11"/>
  <c r="D995" i="11"/>
  <c r="B995" i="11"/>
  <c r="D994" i="11"/>
  <c r="B994" i="11"/>
  <c r="D993" i="11"/>
  <c r="B993" i="11"/>
  <c r="D992" i="11"/>
  <c r="B992" i="11"/>
  <c r="D991" i="11"/>
  <c r="B991" i="11"/>
  <c r="D990" i="11"/>
  <c r="B990" i="11"/>
  <c r="D989" i="11"/>
  <c r="B989" i="11"/>
  <c r="D988" i="11"/>
  <c r="B988" i="11"/>
  <c r="D987" i="11"/>
  <c r="B987" i="11"/>
  <c r="D986" i="11"/>
  <c r="B986" i="11"/>
  <c r="D985" i="11"/>
  <c r="B985" i="11"/>
  <c r="D984" i="11"/>
  <c r="B984" i="11"/>
  <c r="D983" i="11"/>
  <c r="B983" i="11"/>
  <c r="D982" i="11"/>
  <c r="B982" i="11"/>
  <c r="D981" i="11"/>
  <c r="B981" i="11"/>
  <c r="D980" i="11"/>
  <c r="B980" i="11"/>
  <c r="D979" i="11"/>
  <c r="B979" i="11"/>
  <c r="D978" i="11"/>
  <c r="B978" i="11"/>
  <c r="D977" i="11"/>
  <c r="B977" i="11"/>
  <c r="D976" i="11"/>
  <c r="B976" i="11"/>
  <c r="D975" i="11"/>
  <c r="B975" i="11"/>
  <c r="D974" i="11"/>
  <c r="B974" i="11"/>
  <c r="D973" i="11"/>
  <c r="B973" i="11"/>
  <c r="D972" i="11"/>
  <c r="B972" i="11"/>
  <c r="D971" i="11"/>
  <c r="B971" i="11"/>
  <c r="D970" i="11"/>
  <c r="B970" i="11"/>
  <c r="D969" i="11"/>
  <c r="B969" i="11"/>
  <c r="D968" i="11"/>
  <c r="B968" i="11"/>
  <c r="D967" i="11"/>
  <c r="B967" i="11"/>
  <c r="D966" i="11"/>
  <c r="B966" i="11"/>
  <c r="D965" i="11"/>
  <c r="B965" i="11"/>
  <c r="D964" i="11"/>
  <c r="B964" i="11"/>
  <c r="D963" i="11"/>
  <c r="B963" i="11"/>
  <c r="D962" i="11"/>
  <c r="B962" i="11"/>
  <c r="D961" i="11"/>
  <c r="B961" i="11"/>
  <c r="D960" i="11"/>
  <c r="B960" i="11"/>
  <c r="D959" i="11"/>
  <c r="B959" i="11"/>
  <c r="D958" i="11"/>
  <c r="B958" i="11"/>
  <c r="I956" i="11"/>
  <c r="H956" i="11"/>
  <c r="D956" i="11"/>
  <c r="B956" i="11"/>
  <c r="I955" i="11"/>
  <c r="H955" i="11"/>
  <c r="D955" i="11"/>
  <c r="B955" i="11"/>
  <c r="I954" i="11"/>
  <c r="H954" i="11"/>
  <c r="D954" i="11"/>
  <c r="B954" i="11"/>
  <c r="I953" i="11"/>
  <c r="H953" i="11"/>
  <c r="D953" i="11"/>
  <c r="B953" i="11"/>
  <c r="I952" i="11"/>
  <c r="H952" i="11"/>
  <c r="D952" i="11"/>
  <c r="B952" i="11"/>
  <c r="I951" i="11"/>
  <c r="H951" i="11"/>
  <c r="D951" i="11"/>
  <c r="B951" i="11"/>
  <c r="I950" i="11"/>
  <c r="H950" i="11"/>
  <c r="D950" i="11"/>
  <c r="B950" i="11"/>
  <c r="I949" i="11"/>
  <c r="H949" i="11"/>
  <c r="D949" i="11"/>
  <c r="B949" i="11"/>
  <c r="I948" i="11"/>
  <c r="H948" i="11"/>
  <c r="D948" i="11"/>
  <c r="B948" i="11"/>
  <c r="D947" i="11"/>
  <c r="B947" i="11"/>
  <c r="I946" i="11"/>
  <c r="H946" i="11"/>
  <c r="D946" i="11"/>
  <c r="B946" i="11"/>
  <c r="I945" i="11"/>
  <c r="H945" i="11"/>
  <c r="D945" i="11"/>
  <c r="B945" i="11"/>
  <c r="I944" i="11"/>
  <c r="H944" i="11"/>
  <c r="D944" i="11"/>
  <c r="B944" i="11"/>
  <c r="I943" i="11"/>
  <c r="H943" i="11"/>
  <c r="D943" i="11"/>
  <c r="B943" i="11"/>
  <c r="I942" i="11"/>
  <c r="H942" i="11"/>
  <c r="D942" i="11"/>
  <c r="B942" i="11"/>
  <c r="I941" i="11"/>
  <c r="H941" i="11"/>
  <c r="D941" i="11"/>
  <c r="B941" i="11"/>
  <c r="I940" i="11"/>
  <c r="H940" i="11"/>
  <c r="D940" i="11"/>
  <c r="B940" i="11"/>
  <c r="I939" i="11"/>
  <c r="H939" i="11"/>
  <c r="D939" i="11"/>
  <c r="B939" i="11"/>
  <c r="I938" i="11"/>
  <c r="H938" i="11"/>
  <c r="D938" i="11"/>
  <c r="B938" i="11"/>
  <c r="I937" i="11"/>
  <c r="H937" i="11"/>
  <c r="D937" i="11"/>
  <c r="B937" i="11"/>
  <c r="I936" i="11"/>
  <c r="H936" i="11"/>
  <c r="D936" i="11"/>
  <c r="B936" i="11"/>
  <c r="I935" i="11"/>
  <c r="H935" i="11"/>
  <c r="D935" i="11"/>
  <c r="B935" i="11"/>
  <c r="I934" i="11"/>
  <c r="H934" i="11"/>
  <c r="D934" i="11"/>
  <c r="B934" i="11"/>
  <c r="I933" i="11"/>
  <c r="H933" i="11"/>
  <c r="D933" i="11"/>
  <c r="B933" i="11"/>
  <c r="I932" i="11"/>
  <c r="H932" i="11"/>
  <c r="D932" i="11"/>
  <c r="B932" i="11"/>
  <c r="I931" i="11"/>
  <c r="H931" i="11"/>
  <c r="D931" i="11"/>
  <c r="B931" i="11"/>
  <c r="I930" i="11"/>
  <c r="H930" i="11"/>
  <c r="D930" i="11"/>
  <c r="B930" i="11"/>
  <c r="I929" i="11"/>
  <c r="H929" i="11"/>
  <c r="D929" i="11"/>
  <c r="B929" i="11"/>
  <c r="I928" i="11"/>
  <c r="H928" i="11"/>
  <c r="D928" i="11"/>
  <c r="B928" i="11"/>
  <c r="I927" i="11"/>
  <c r="H927" i="11"/>
  <c r="D927" i="11"/>
  <c r="B927" i="11"/>
  <c r="I925" i="11"/>
  <c r="I924" i="11"/>
  <c r="I923" i="11"/>
  <c r="I922" i="11"/>
  <c r="I921" i="11"/>
  <c r="I920" i="11"/>
  <c r="D920" i="11"/>
  <c r="B920" i="11"/>
  <c r="I919" i="11"/>
  <c r="D919" i="11"/>
  <c r="B919" i="11"/>
  <c r="I918" i="11"/>
  <c r="D918" i="11"/>
  <c r="B918" i="11"/>
  <c r="I917" i="11"/>
  <c r="D917" i="11"/>
  <c r="B917" i="11"/>
  <c r="I916" i="11"/>
  <c r="D916" i="11"/>
  <c r="B916" i="11"/>
  <c r="I915" i="11"/>
  <c r="D915" i="11"/>
  <c r="B915" i="11"/>
  <c r="I914" i="11"/>
  <c r="D914" i="11"/>
  <c r="B914" i="11"/>
  <c r="I913" i="11"/>
  <c r="D913" i="11"/>
  <c r="B913" i="11"/>
  <c r="I912" i="11"/>
  <c r="D912" i="11"/>
  <c r="B912" i="11"/>
  <c r="I911" i="11"/>
  <c r="D911" i="11"/>
  <c r="B911" i="11"/>
  <c r="I910" i="11"/>
  <c r="D910" i="11"/>
  <c r="B910" i="11"/>
  <c r="I909" i="11"/>
  <c r="D909" i="11"/>
  <c r="B909" i="11"/>
  <c r="I908" i="11"/>
  <c r="D908" i="11"/>
  <c r="B908" i="11"/>
  <c r="I907" i="11"/>
  <c r="D907" i="11"/>
  <c r="B907" i="11"/>
  <c r="I906" i="11"/>
  <c r="D906" i="11"/>
  <c r="B906" i="11"/>
  <c r="I905" i="11"/>
  <c r="D905" i="11"/>
  <c r="B905" i="11"/>
  <c r="I904" i="11"/>
  <c r="D904" i="11"/>
  <c r="B904" i="11"/>
  <c r="D652" i="11"/>
  <c r="B652" i="11"/>
  <c r="D648" i="11"/>
  <c r="B648" i="11"/>
  <c r="D643" i="11"/>
  <c r="B643" i="11"/>
  <c r="D639" i="11"/>
  <c r="B639" i="11"/>
  <c r="D638" i="11"/>
  <c r="B638" i="11"/>
  <c r="D637" i="11"/>
  <c r="B637" i="11"/>
  <c r="D636" i="11"/>
  <c r="B636" i="11"/>
  <c r="D635" i="11"/>
  <c r="B635" i="11"/>
  <c r="D634" i="11"/>
  <c r="B634" i="11"/>
  <c r="D633" i="11"/>
  <c r="B633" i="11"/>
  <c r="D632" i="11"/>
  <c r="B632" i="11"/>
  <c r="D631" i="11"/>
  <c r="B631" i="11"/>
  <c r="D630" i="11"/>
  <c r="B630" i="11"/>
  <c r="D629" i="11"/>
  <c r="B629" i="11"/>
  <c r="D628" i="11"/>
  <c r="B628" i="11"/>
  <c r="D627" i="11"/>
  <c r="B627" i="11"/>
  <c r="D626" i="11"/>
  <c r="B626" i="11"/>
  <c r="D625" i="11"/>
  <c r="B625" i="11"/>
  <c r="D624" i="11"/>
  <c r="B624" i="11"/>
  <c r="D623" i="11"/>
  <c r="B623" i="11"/>
  <c r="D622" i="11"/>
  <c r="B622" i="11"/>
  <c r="D621" i="11"/>
  <c r="B621" i="11"/>
  <c r="D620" i="11"/>
  <c r="B620" i="11"/>
  <c r="D619" i="11"/>
  <c r="B619" i="11"/>
  <c r="D618" i="11"/>
  <c r="B618" i="11"/>
  <c r="D617" i="11"/>
  <c r="B617" i="11"/>
  <c r="D616" i="11"/>
  <c r="B616" i="11"/>
  <c r="D615" i="11"/>
  <c r="B615" i="11"/>
  <c r="D614" i="11"/>
  <c r="B614" i="11"/>
  <c r="D613" i="11"/>
  <c r="B613" i="11"/>
  <c r="D612" i="11"/>
  <c r="B612" i="11"/>
  <c r="D611" i="11"/>
  <c r="B611" i="11"/>
  <c r="H610" i="11"/>
  <c r="D610" i="11"/>
  <c r="B610" i="11"/>
  <c r="H609" i="11"/>
  <c r="D609" i="11"/>
  <c r="B609" i="11"/>
  <c r="H608" i="11"/>
  <c r="D608" i="11"/>
  <c r="B608" i="11"/>
  <c r="H607" i="11"/>
  <c r="D607" i="11"/>
  <c r="B607" i="11"/>
  <c r="H606" i="11"/>
  <c r="D606" i="11"/>
  <c r="B606" i="11"/>
  <c r="H605" i="11"/>
  <c r="D605" i="11"/>
  <c r="B605" i="11"/>
  <c r="H604" i="11"/>
  <c r="D604" i="11"/>
  <c r="B604" i="11"/>
  <c r="D603" i="11"/>
  <c r="B603" i="11"/>
  <c r="D602" i="11"/>
  <c r="B602" i="11"/>
  <c r="D601" i="11"/>
  <c r="B601" i="11"/>
  <c r="H600" i="11"/>
  <c r="D600" i="11"/>
  <c r="B600" i="11"/>
  <c r="D599" i="11"/>
  <c r="B599" i="11"/>
  <c r="D598" i="11"/>
  <c r="B598" i="11"/>
  <c r="D597" i="11"/>
  <c r="B597" i="11"/>
  <c r="D596" i="11"/>
  <c r="B596" i="11"/>
  <c r="D595" i="11"/>
  <c r="B595" i="11"/>
  <c r="D594" i="11"/>
  <c r="B594" i="11"/>
  <c r="D593" i="11"/>
  <c r="B593" i="11"/>
  <c r="D592" i="11"/>
  <c r="B592" i="11"/>
  <c r="D591" i="11"/>
  <c r="B591" i="11"/>
  <c r="D590" i="11"/>
  <c r="B590" i="11"/>
  <c r="D589" i="11"/>
  <c r="B589" i="11"/>
  <c r="D588" i="11"/>
  <c r="B588" i="11"/>
  <c r="D587" i="11"/>
  <c r="B587" i="11"/>
  <c r="D586" i="11"/>
  <c r="B586" i="11"/>
  <c r="D585" i="11"/>
  <c r="B585" i="11"/>
  <c r="D584" i="11"/>
  <c r="B584" i="11"/>
  <c r="D583" i="11"/>
  <c r="B583" i="11"/>
  <c r="D582" i="11"/>
  <c r="B582" i="11"/>
  <c r="D581" i="11"/>
  <c r="B581" i="11"/>
  <c r="D580" i="11"/>
  <c r="B580" i="11"/>
  <c r="D579" i="11"/>
  <c r="B579" i="11"/>
  <c r="D578" i="11"/>
  <c r="B578" i="11"/>
  <c r="D577" i="11"/>
  <c r="B577" i="11"/>
  <c r="D576" i="11"/>
  <c r="B576" i="11"/>
  <c r="D575" i="11"/>
  <c r="B575" i="11"/>
  <c r="D574" i="11"/>
  <c r="B574" i="11"/>
  <c r="D573" i="11"/>
  <c r="B573" i="11"/>
  <c r="D572" i="11"/>
  <c r="B572" i="11"/>
  <c r="D571" i="11"/>
  <c r="B571" i="11"/>
  <c r="D570" i="11"/>
  <c r="B570" i="11"/>
  <c r="D569" i="11"/>
  <c r="B569" i="11"/>
  <c r="D568" i="11"/>
  <c r="B568" i="11"/>
  <c r="D567" i="11"/>
  <c r="B567" i="11"/>
  <c r="D566" i="11"/>
  <c r="B566" i="11"/>
  <c r="D565" i="11"/>
  <c r="B565" i="11"/>
  <c r="D564" i="11"/>
  <c r="B564" i="11"/>
  <c r="D563" i="11"/>
  <c r="B563" i="11"/>
  <c r="D562" i="11"/>
  <c r="B562" i="11"/>
  <c r="D561" i="11"/>
  <c r="B561" i="11"/>
  <c r="D560" i="11"/>
  <c r="B560" i="11"/>
  <c r="D559" i="11"/>
  <c r="B559" i="11"/>
  <c r="D558" i="11"/>
  <c r="B558" i="11"/>
  <c r="D557" i="11"/>
  <c r="B557" i="11"/>
  <c r="D556" i="11"/>
  <c r="B556" i="11"/>
  <c r="D555" i="11"/>
  <c r="B555" i="11"/>
  <c r="D554" i="11"/>
  <c r="B554" i="11"/>
  <c r="D553" i="11"/>
  <c r="B553" i="11"/>
  <c r="D552" i="11"/>
  <c r="B552" i="11"/>
  <c r="D551" i="11"/>
  <c r="B551" i="11"/>
  <c r="D550" i="11"/>
  <c r="B550" i="11"/>
  <c r="D549" i="11"/>
  <c r="B549" i="11"/>
  <c r="D548" i="11"/>
  <c r="B548" i="11"/>
  <c r="D547" i="11"/>
  <c r="B547" i="11"/>
  <c r="D546" i="11"/>
  <c r="B546" i="11"/>
  <c r="D545" i="11"/>
  <c r="B545" i="11"/>
  <c r="D544" i="11"/>
  <c r="B544" i="11"/>
  <c r="D543" i="11"/>
  <c r="B543" i="11"/>
  <c r="D542" i="11"/>
  <c r="B542" i="11"/>
  <c r="D541" i="11"/>
  <c r="B541" i="11"/>
  <c r="D540" i="11"/>
  <c r="B540" i="11"/>
  <c r="D539" i="11"/>
  <c r="B539" i="11"/>
  <c r="D538" i="11"/>
  <c r="B538" i="11"/>
  <c r="D537" i="11"/>
  <c r="B537" i="11"/>
  <c r="D536" i="11"/>
  <c r="B536" i="11"/>
  <c r="D535" i="11"/>
  <c r="B535" i="11"/>
  <c r="D534" i="11"/>
  <c r="B534" i="11"/>
  <c r="D533" i="11"/>
  <c r="B533" i="11"/>
  <c r="D532" i="11"/>
  <c r="B532" i="11"/>
  <c r="D531" i="11"/>
  <c r="B531" i="11"/>
  <c r="D530" i="11"/>
  <c r="B530" i="11"/>
  <c r="D529" i="11"/>
  <c r="B529" i="11"/>
  <c r="D528" i="11"/>
  <c r="B528" i="11"/>
  <c r="D527" i="11"/>
  <c r="B527" i="11"/>
  <c r="D526" i="11"/>
  <c r="B526" i="11"/>
  <c r="D525" i="11"/>
  <c r="B525" i="11"/>
  <c r="D524" i="11"/>
  <c r="B524" i="11"/>
  <c r="D523" i="11"/>
  <c r="B523" i="11"/>
  <c r="D522" i="11"/>
  <c r="B522" i="11"/>
  <c r="D521" i="11"/>
  <c r="B521" i="11"/>
  <c r="D520" i="11"/>
  <c r="B520" i="11"/>
  <c r="D519" i="11"/>
  <c r="B519" i="11"/>
  <c r="D518" i="11"/>
  <c r="B518" i="11"/>
  <c r="D517" i="11"/>
  <c r="B517" i="11"/>
  <c r="D516" i="11"/>
  <c r="B516" i="11"/>
  <c r="D515" i="11"/>
  <c r="B515" i="11"/>
  <c r="D514" i="11"/>
  <c r="B514" i="11"/>
  <c r="D513" i="11"/>
  <c r="B513" i="11"/>
  <c r="D512" i="11"/>
  <c r="B512" i="11"/>
  <c r="D511" i="11"/>
  <c r="B511" i="11"/>
  <c r="D510" i="11"/>
  <c r="B510" i="11"/>
  <c r="D509" i="11"/>
  <c r="B509" i="11"/>
  <c r="D508" i="11"/>
  <c r="B508" i="11"/>
  <c r="D507" i="11"/>
  <c r="B507" i="11"/>
  <c r="D506" i="11"/>
  <c r="B506" i="11"/>
  <c r="D505" i="11"/>
  <c r="B505" i="11"/>
  <c r="D504" i="11"/>
  <c r="B504" i="11"/>
  <c r="D503" i="11"/>
  <c r="B503" i="11"/>
  <c r="D502" i="11"/>
  <c r="B502" i="11"/>
  <c r="D501" i="11"/>
  <c r="B501" i="11"/>
  <c r="D500" i="11"/>
  <c r="B500" i="11"/>
  <c r="D499" i="11"/>
  <c r="B499" i="11"/>
  <c r="D498" i="11"/>
  <c r="B498" i="11"/>
  <c r="D497" i="11"/>
  <c r="B497" i="11"/>
  <c r="D496" i="11"/>
  <c r="B496" i="11"/>
  <c r="D495" i="11"/>
  <c r="B495" i="11"/>
  <c r="D494" i="11"/>
  <c r="B494" i="11"/>
  <c r="D493" i="11"/>
  <c r="B493" i="11"/>
  <c r="D492" i="11"/>
  <c r="B492" i="11"/>
  <c r="D491" i="11"/>
  <c r="B491" i="11"/>
  <c r="D490" i="11"/>
  <c r="B490" i="11"/>
  <c r="D489" i="11"/>
  <c r="B489" i="11"/>
  <c r="D488" i="11"/>
  <c r="B488" i="11"/>
  <c r="D487" i="11"/>
  <c r="B487" i="11"/>
  <c r="D486" i="11"/>
  <c r="B486" i="11"/>
  <c r="D485" i="11"/>
  <c r="B485" i="11"/>
  <c r="D484" i="11"/>
  <c r="B484" i="11"/>
  <c r="D483" i="11"/>
  <c r="B483" i="11"/>
  <c r="D482" i="11"/>
  <c r="B482" i="11"/>
  <c r="D481" i="11"/>
  <c r="B481" i="11"/>
  <c r="D480" i="11"/>
  <c r="B480" i="11"/>
  <c r="D473" i="11"/>
  <c r="B473" i="11"/>
  <c r="D472" i="11"/>
  <c r="B472" i="11"/>
  <c r="D471" i="11"/>
  <c r="B471" i="11"/>
  <c r="D470" i="11"/>
  <c r="B470" i="11"/>
  <c r="D469" i="11"/>
  <c r="B469" i="11"/>
  <c r="D468" i="11"/>
  <c r="B468" i="11"/>
  <c r="D467" i="11"/>
  <c r="B467" i="11"/>
  <c r="D466" i="11"/>
  <c r="B466" i="11"/>
  <c r="E465" i="11"/>
  <c r="D465" i="11"/>
  <c r="B465" i="11"/>
  <c r="E464" i="11"/>
  <c r="D464" i="11"/>
  <c r="B464" i="11"/>
  <c r="D463" i="11"/>
  <c r="B463" i="11"/>
  <c r="D462" i="11"/>
  <c r="B462" i="11"/>
  <c r="D461" i="11"/>
  <c r="B461" i="11"/>
  <c r="D460" i="11"/>
  <c r="B460" i="11"/>
  <c r="D459" i="11"/>
  <c r="B459" i="11"/>
  <c r="D458" i="11"/>
  <c r="B458" i="11"/>
  <c r="D457" i="11"/>
  <c r="B457" i="11"/>
  <c r="D456" i="11"/>
  <c r="B456" i="11"/>
  <c r="D455" i="11"/>
  <c r="B455" i="11"/>
  <c r="D454" i="11"/>
  <c r="B454" i="11"/>
  <c r="D453" i="11"/>
  <c r="B453" i="11"/>
  <c r="D452" i="11"/>
  <c r="B452" i="11"/>
  <c r="D451" i="11"/>
  <c r="B451" i="11"/>
  <c r="D450" i="11"/>
  <c r="B450" i="11"/>
  <c r="D449" i="11"/>
  <c r="B449" i="11"/>
  <c r="D448" i="11"/>
  <c r="B448" i="11"/>
  <c r="D447" i="11"/>
  <c r="B447" i="11"/>
  <c r="D446" i="11"/>
  <c r="B446" i="11"/>
  <c r="D445" i="11"/>
  <c r="B445" i="11"/>
  <c r="D444" i="11"/>
  <c r="B444" i="11"/>
  <c r="D443" i="11"/>
  <c r="B443" i="11"/>
  <c r="D442" i="11"/>
  <c r="B442" i="11"/>
  <c r="D441" i="11"/>
  <c r="B441" i="11"/>
  <c r="D440" i="11"/>
  <c r="B440" i="11"/>
  <c r="D439" i="11"/>
  <c r="B439" i="11"/>
  <c r="D438" i="11"/>
  <c r="B438" i="11"/>
  <c r="D437" i="11"/>
  <c r="B437" i="11"/>
  <c r="D436" i="11"/>
  <c r="B436" i="11"/>
  <c r="D435" i="11"/>
  <c r="B435" i="11"/>
  <c r="D434" i="11"/>
  <c r="B434" i="11"/>
  <c r="D433" i="11"/>
  <c r="B433" i="11"/>
  <c r="D432" i="11"/>
  <c r="B432" i="11"/>
  <c r="D431" i="11"/>
  <c r="B431" i="11"/>
  <c r="D430" i="11"/>
  <c r="B430" i="11"/>
  <c r="E429" i="11"/>
  <c r="D429" i="11"/>
  <c r="B429" i="11"/>
  <c r="H428" i="11"/>
  <c r="E428" i="11"/>
  <c r="D428" i="11"/>
  <c r="B428" i="11"/>
  <c r="H427" i="11"/>
  <c r="E427" i="11"/>
  <c r="D427" i="11"/>
  <c r="B427" i="11"/>
  <c r="H426" i="11"/>
  <c r="E426" i="11"/>
  <c r="D426" i="11"/>
  <c r="B426" i="11"/>
  <c r="H425" i="11"/>
  <c r="E425" i="11"/>
  <c r="D425" i="11"/>
  <c r="B425" i="11"/>
  <c r="H424" i="11"/>
  <c r="E424" i="11"/>
  <c r="D424" i="11"/>
  <c r="B424" i="11"/>
  <c r="H423" i="11"/>
  <c r="E423" i="11"/>
  <c r="D423" i="11"/>
  <c r="B423" i="11"/>
  <c r="H422" i="11"/>
  <c r="E422" i="11"/>
  <c r="D422" i="11"/>
  <c r="B422" i="11"/>
  <c r="H421" i="11"/>
  <c r="E421" i="11"/>
  <c r="D421" i="11"/>
  <c r="B421" i="11"/>
  <c r="H420" i="11"/>
  <c r="E420" i="11"/>
  <c r="D420" i="11"/>
  <c r="B420" i="11"/>
  <c r="H419" i="11"/>
  <c r="E419" i="11"/>
  <c r="D419" i="11"/>
  <c r="B419" i="11"/>
  <c r="H418" i="11"/>
  <c r="E418" i="11"/>
  <c r="D418" i="11"/>
  <c r="B418" i="11"/>
  <c r="H417" i="11"/>
  <c r="E417" i="11"/>
  <c r="D417" i="11"/>
  <c r="B417" i="11"/>
  <c r="H416" i="11"/>
  <c r="D416" i="11"/>
  <c r="B416" i="11"/>
  <c r="H415" i="11"/>
  <c r="D415" i="11"/>
  <c r="B415" i="11"/>
  <c r="D414" i="11"/>
  <c r="B414" i="11"/>
  <c r="D413" i="11"/>
  <c r="B413" i="11"/>
  <c r="D412" i="11"/>
  <c r="B412" i="11"/>
  <c r="D411" i="11"/>
  <c r="B411" i="11"/>
  <c r="D410" i="11"/>
  <c r="B410" i="11"/>
  <c r="D409" i="11"/>
  <c r="B409" i="11"/>
  <c r="D350" i="11"/>
  <c r="B350" i="11"/>
  <c r="D349" i="11"/>
  <c r="B349" i="11"/>
  <c r="D348" i="11"/>
  <c r="B348" i="11"/>
  <c r="D347" i="11"/>
  <c r="B347" i="11"/>
  <c r="D346" i="11"/>
  <c r="B346" i="11"/>
  <c r="D345" i="11"/>
  <c r="B345" i="11"/>
  <c r="D344" i="11"/>
  <c r="B344" i="11"/>
  <c r="D343" i="11"/>
  <c r="B343" i="11"/>
  <c r="D342" i="11"/>
  <c r="B342" i="11"/>
  <c r="D341" i="11"/>
  <c r="B341" i="11"/>
  <c r="D340" i="11"/>
  <c r="B340" i="11"/>
  <c r="D339" i="11"/>
  <c r="B339" i="11"/>
  <c r="D338" i="11"/>
  <c r="B338" i="11"/>
  <c r="D337" i="11"/>
  <c r="B337" i="11"/>
  <c r="D336" i="11"/>
  <c r="B336" i="11"/>
  <c r="D335" i="11"/>
  <c r="B335" i="11"/>
  <c r="D334" i="11"/>
  <c r="B334" i="11"/>
  <c r="D333" i="11"/>
  <c r="B333" i="11"/>
  <c r="D332" i="11"/>
  <c r="B332" i="11"/>
  <c r="D331" i="11"/>
  <c r="B331" i="11"/>
  <c r="D330" i="11"/>
  <c r="B330" i="11"/>
  <c r="D329" i="11"/>
  <c r="B329" i="11"/>
  <c r="D328" i="11"/>
  <c r="B328" i="11"/>
  <c r="D327" i="11"/>
  <c r="B327" i="11"/>
  <c r="D326" i="11"/>
  <c r="B326" i="11"/>
  <c r="D325" i="11"/>
  <c r="B325" i="11"/>
  <c r="D324" i="11"/>
  <c r="B324" i="11"/>
  <c r="D323" i="11"/>
  <c r="B323" i="11"/>
  <c r="D322" i="11"/>
  <c r="B322" i="11"/>
  <c r="D321" i="11"/>
  <c r="B321" i="11"/>
  <c r="D320" i="11"/>
  <c r="B320" i="11"/>
  <c r="D319" i="11"/>
  <c r="B319" i="11"/>
  <c r="D318" i="11"/>
  <c r="B318" i="11"/>
  <c r="D317" i="11"/>
  <c r="B317" i="11"/>
  <c r="D316" i="11"/>
  <c r="B316" i="11"/>
  <c r="D315" i="11"/>
  <c r="B315" i="11"/>
  <c r="D314" i="11"/>
  <c r="B314" i="11"/>
  <c r="D313" i="11"/>
  <c r="B313" i="11"/>
  <c r="D312" i="11"/>
  <c r="B312" i="11"/>
  <c r="D311" i="11"/>
  <c r="B311" i="11"/>
  <c r="D310" i="11"/>
  <c r="B310" i="11"/>
  <c r="H309" i="11"/>
  <c r="D309" i="11"/>
  <c r="B309" i="11"/>
  <c r="H308" i="11"/>
  <c r="D308" i="11"/>
  <c r="B308" i="11"/>
  <c r="H307" i="11"/>
  <c r="D307" i="11"/>
  <c r="B307" i="11"/>
  <c r="H306" i="11"/>
  <c r="D306" i="11"/>
  <c r="B306" i="11"/>
  <c r="H305" i="11"/>
  <c r="D305" i="11"/>
  <c r="B305" i="11"/>
  <c r="H304" i="11"/>
  <c r="D304" i="11"/>
  <c r="B304" i="11"/>
  <c r="H303" i="11"/>
  <c r="D303" i="11"/>
  <c r="B303" i="11"/>
  <c r="H302" i="11"/>
  <c r="D302" i="11"/>
  <c r="B302" i="11"/>
  <c r="H301" i="11"/>
  <c r="D301" i="11"/>
  <c r="B301" i="11"/>
  <c r="H300" i="11"/>
  <c r="D300" i="11"/>
  <c r="B300" i="11"/>
  <c r="H299" i="11"/>
  <c r="D299" i="11"/>
  <c r="B299" i="11"/>
  <c r="H298" i="11"/>
  <c r="D298" i="11"/>
  <c r="B298" i="11"/>
  <c r="H297" i="11"/>
  <c r="D297" i="11"/>
  <c r="B297" i="11"/>
  <c r="H296" i="11"/>
  <c r="D296" i="11"/>
  <c r="B296" i="11"/>
  <c r="H295" i="11"/>
  <c r="D295" i="11"/>
  <c r="B295" i="11"/>
  <c r="H294" i="11"/>
  <c r="D294" i="11"/>
  <c r="B294" i="11"/>
  <c r="H293" i="11"/>
  <c r="D293" i="11"/>
  <c r="B293" i="11"/>
  <c r="H292" i="11"/>
  <c r="D292" i="11"/>
  <c r="B292" i="11"/>
  <c r="H291" i="11"/>
  <c r="D291" i="11"/>
  <c r="B291" i="11"/>
  <c r="H290" i="11"/>
  <c r="D290" i="11"/>
  <c r="B290" i="11"/>
  <c r="H289" i="11"/>
  <c r="D289" i="11"/>
  <c r="B289" i="11"/>
  <c r="H288" i="11"/>
  <c r="D288" i="11"/>
  <c r="B288" i="11"/>
  <c r="H287" i="11"/>
  <c r="D287" i="11"/>
  <c r="B287" i="11"/>
  <c r="H286" i="11"/>
  <c r="D286" i="11"/>
  <c r="B286" i="11"/>
  <c r="H285" i="11"/>
  <c r="D285" i="11"/>
  <c r="B285" i="11"/>
  <c r="H284" i="11"/>
  <c r="D284" i="11"/>
  <c r="B284" i="11"/>
  <c r="H283" i="11"/>
  <c r="D283" i="11"/>
  <c r="B283" i="11"/>
  <c r="H282" i="11"/>
  <c r="D282" i="11"/>
  <c r="B282" i="11"/>
  <c r="H281" i="11"/>
  <c r="D281" i="11"/>
  <c r="B281" i="11"/>
  <c r="H280" i="11"/>
  <c r="D280" i="11"/>
  <c r="B280" i="11"/>
  <c r="I279" i="11"/>
  <c r="D279" i="11"/>
  <c r="B279" i="11"/>
  <c r="I278" i="11"/>
  <c r="D278" i="11"/>
  <c r="B278" i="11"/>
  <c r="I277" i="11"/>
  <c r="D277" i="11"/>
  <c r="B277" i="11"/>
  <c r="D276" i="11"/>
  <c r="B276" i="11"/>
  <c r="D275" i="11"/>
  <c r="B275" i="11"/>
  <c r="I274" i="11"/>
  <c r="D274" i="11"/>
  <c r="B274" i="11"/>
  <c r="D273" i="11"/>
  <c r="B273" i="11"/>
  <c r="D272" i="11"/>
  <c r="B272" i="11"/>
  <c r="D271" i="11"/>
  <c r="B271" i="11"/>
  <c r="I270" i="11"/>
  <c r="D270" i="11"/>
  <c r="B270" i="11"/>
  <c r="D269" i="11"/>
  <c r="B269" i="11"/>
  <c r="D268" i="11"/>
  <c r="B268" i="11"/>
  <c r="D267" i="11"/>
  <c r="B267" i="11"/>
  <c r="I266" i="11"/>
  <c r="D266" i="11"/>
  <c r="B266" i="11"/>
  <c r="D265" i="11"/>
  <c r="B265" i="11"/>
  <c r="D264" i="11"/>
  <c r="B264" i="11"/>
  <c r="I263" i="11"/>
  <c r="D263" i="11"/>
  <c r="B263" i="11"/>
  <c r="D262" i="11"/>
  <c r="B262" i="11"/>
  <c r="D261" i="11"/>
  <c r="B261" i="11"/>
  <c r="D260" i="11"/>
  <c r="B260" i="11"/>
  <c r="I259" i="11"/>
  <c r="D259" i="11"/>
  <c r="B259" i="11"/>
  <c r="D258" i="11"/>
  <c r="B258" i="11"/>
  <c r="D257" i="11"/>
  <c r="B257" i="11"/>
  <c r="I256" i="11"/>
  <c r="D256" i="11"/>
  <c r="B256" i="11"/>
  <c r="I255" i="11"/>
  <c r="D255" i="11"/>
  <c r="B255" i="11"/>
  <c r="I254" i="11"/>
  <c r="D254" i="11"/>
  <c r="B254" i="11"/>
  <c r="I253" i="11"/>
  <c r="D253" i="11"/>
  <c r="B253" i="11"/>
  <c r="I252" i="11"/>
  <c r="D252" i="11"/>
  <c r="B252" i="11"/>
  <c r="I251" i="11"/>
  <c r="D251" i="11"/>
  <c r="B251" i="11"/>
  <c r="I250" i="11"/>
  <c r="D250" i="11"/>
  <c r="B250" i="11"/>
  <c r="I249" i="11"/>
  <c r="D249" i="11"/>
  <c r="B249" i="11"/>
  <c r="I248" i="11"/>
  <c r="D248" i="11"/>
  <c r="B248" i="11"/>
  <c r="I247" i="11"/>
  <c r="D247" i="11"/>
  <c r="B247" i="11"/>
  <c r="I246" i="11"/>
  <c r="D246" i="11"/>
  <c r="B246" i="11"/>
  <c r="I245" i="11"/>
  <c r="D245" i="11"/>
  <c r="B245" i="11"/>
  <c r="D244" i="11"/>
  <c r="B244" i="11"/>
  <c r="I243" i="11"/>
  <c r="D243" i="11"/>
  <c r="B243" i="11"/>
  <c r="I242" i="11"/>
  <c r="D242" i="11"/>
  <c r="B242" i="11"/>
  <c r="I241" i="11"/>
  <c r="D241" i="11"/>
  <c r="B241" i="11"/>
  <c r="I240" i="11"/>
  <c r="D240" i="11"/>
  <c r="B240" i="11"/>
  <c r="I239" i="11"/>
  <c r="D239" i="11"/>
  <c r="B239" i="11"/>
  <c r="I238" i="11"/>
  <c r="D238" i="11"/>
  <c r="B238" i="11"/>
  <c r="D237" i="11"/>
  <c r="B237" i="11"/>
  <c r="I236" i="11"/>
  <c r="D236" i="11"/>
  <c r="B236" i="11"/>
  <c r="I235" i="11"/>
  <c r="D235" i="11"/>
  <c r="B235" i="11"/>
  <c r="I234" i="11"/>
  <c r="D234" i="11"/>
  <c r="B234" i="11"/>
  <c r="I233" i="11"/>
  <c r="D233" i="11"/>
  <c r="B233" i="11"/>
  <c r="I232" i="11"/>
  <c r="D232" i="11"/>
  <c r="B232" i="11"/>
  <c r="I231" i="11"/>
  <c r="D231" i="11"/>
  <c r="B231" i="11"/>
  <c r="I230" i="11"/>
  <c r="D230" i="11"/>
  <c r="B230" i="11"/>
  <c r="I229" i="11"/>
  <c r="D229" i="11"/>
  <c r="B229" i="11"/>
  <c r="I228" i="11"/>
  <c r="D228" i="11"/>
  <c r="B228" i="11"/>
  <c r="I227" i="11"/>
  <c r="D227" i="11"/>
  <c r="B227" i="11"/>
  <c r="I226" i="11"/>
  <c r="D226" i="11"/>
  <c r="B226" i="11"/>
  <c r="I225" i="11"/>
  <c r="D225" i="11"/>
  <c r="B225" i="11"/>
  <c r="I224" i="11"/>
  <c r="D224" i="11"/>
  <c r="B224" i="11"/>
  <c r="I223" i="11"/>
  <c r="D223" i="11"/>
  <c r="B223" i="11"/>
  <c r="I222" i="11"/>
  <c r="D222" i="11"/>
  <c r="B222" i="11"/>
  <c r="I221" i="11"/>
  <c r="D221" i="11"/>
  <c r="B221" i="11"/>
  <c r="I220" i="11"/>
  <c r="D220" i="11"/>
  <c r="B220" i="11"/>
  <c r="I219" i="11"/>
  <c r="D219" i="11"/>
  <c r="B219" i="11"/>
  <c r="I218" i="11"/>
  <c r="D218" i="11"/>
  <c r="B218" i="11"/>
  <c r="I217" i="11"/>
  <c r="D217" i="11"/>
  <c r="B217" i="11"/>
  <c r="I216" i="11"/>
  <c r="D216" i="11"/>
  <c r="B216" i="11"/>
  <c r="I215" i="11"/>
  <c r="D215" i="11"/>
  <c r="B215" i="11"/>
  <c r="I214" i="11"/>
  <c r="D214" i="11"/>
  <c r="B214" i="11"/>
  <c r="I213" i="11"/>
  <c r="D213" i="11"/>
  <c r="B213" i="11"/>
  <c r="I212" i="11"/>
  <c r="D212" i="11"/>
  <c r="B212" i="11"/>
  <c r="I210" i="11"/>
  <c r="D210" i="11"/>
  <c r="B210" i="11"/>
  <c r="I209" i="11"/>
  <c r="D209" i="11"/>
  <c r="B209" i="11"/>
  <c r="I208" i="11"/>
  <c r="D208" i="11"/>
  <c r="B208" i="11"/>
  <c r="I207" i="11"/>
  <c r="D207" i="11"/>
  <c r="B207" i="11"/>
  <c r="I206" i="11"/>
  <c r="D206" i="11"/>
  <c r="B206" i="11"/>
  <c r="I205" i="11"/>
  <c r="D205" i="11"/>
  <c r="B205" i="11"/>
  <c r="I204" i="11"/>
  <c r="D204" i="11"/>
  <c r="B204" i="11"/>
  <c r="I203" i="11"/>
  <c r="D203" i="11"/>
  <c r="B203" i="11"/>
  <c r="I202" i="11"/>
  <c r="D202" i="11"/>
  <c r="B202" i="11"/>
  <c r="I201" i="11"/>
  <c r="D201" i="11"/>
  <c r="B201" i="11"/>
  <c r="I200" i="11"/>
  <c r="D200" i="11"/>
  <c r="B200" i="11"/>
  <c r="I199" i="11"/>
  <c r="D199" i="11"/>
  <c r="B199" i="11"/>
  <c r="I198" i="11"/>
  <c r="D198" i="11"/>
  <c r="B198" i="11"/>
  <c r="I197" i="11"/>
  <c r="D197" i="11"/>
  <c r="B197" i="11"/>
  <c r="I196" i="11"/>
  <c r="D196" i="11"/>
  <c r="B196" i="11"/>
  <c r="I195" i="11"/>
  <c r="D195" i="11"/>
  <c r="B195" i="11"/>
  <c r="I194" i="11"/>
  <c r="D194" i="11"/>
  <c r="B194" i="11"/>
  <c r="I193" i="11"/>
  <c r="D193" i="11"/>
  <c r="B193" i="11"/>
  <c r="I192" i="11"/>
  <c r="D192" i="11"/>
  <c r="B192" i="11"/>
  <c r="I191" i="11"/>
  <c r="D191" i="11"/>
  <c r="B191" i="11"/>
  <c r="I190" i="11"/>
  <c r="D190" i="11"/>
  <c r="B190" i="11"/>
  <c r="I189" i="11"/>
  <c r="D189" i="11"/>
  <c r="B189" i="11"/>
  <c r="I188" i="11"/>
  <c r="D188" i="11"/>
  <c r="B188" i="11"/>
  <c r="I187" i="11"/>
  <c r="D187" i="11"/>
  <c r="B187" i="11"/>
  <c r="D186" i="11"/>
  <c r="B186" i="11"/>
  <c r="D185" i="11"/>
  <c r="B185" i="11"/>
  <c r="D184" i="11"/>
  <c r="B184" i="11"/>
  <c r="D183" i="11"/>
  <c r="B183" i="11"/>
  <c r="D182" i="11"/>
  <c r="B182" i="11"/>
  <c r="D181" i="11"/>
  <c r="B181" i="11"/>
  <c r="D180" i="11"/>
  <c r="B180" i="11"/>
  <c r="D179" i="11"/>
  <c r="B179" i="11"/>
  <c r="D178" i="11"/>
  <c r="B178" i="11"/>
  <c r="D177" i="11"/>
  <c r="B177" i="11"/>
  <c r="D176" i="11"/>
  <c r="B176" i="11"/>
  <c r="D175" i="11"/>
  <c r="B175" i="11"/>
  <c r="D174" i="11"/>
  <c r="B174" i="11"/>
  <c r="D173" i="11"/>
  <c r="B173" i="11"/>
  <c r="D172" i="11"/>
  <c r="B172" i="11"/>
  <c r="D171" i="11"/>
  <c r="B171" i="11"/>
  <c r="D170" i="11"/>
  <c r="B170" i="11"/>
  <c r="D169" i="11"/>
  <c r="B169" i="11"/>
  <c r="D168" i="11"/>
  <c r="B168" i="11"/>
  <c r="D167" i="11"/>
  <c r="B167" i="11"/>
  <c r="D166" i="11"/>
  <c r="B166" i="11"/>
  <c r="D165" i="11"/>
  <c r="B165" i="11"/>
  <c r="D164" i="11"/>
  <c r="B164" i="11"/>
  <c r="D163" i="11"/>
  <c r="B163" i="11"/>
  <c r="D162" i="11"/>
  <c r="B162" i="11"/>
  <c r="D161" i="11"/>
  <c r="B161" i="11"/>
  <c r="D160" i="11"/>
  <c r="B160" i="11"/>
  <c r="D159" i="11"/>
  <c r="B159" i="11"/>
  <c r="D158" i="11"/>
  <c r="B158" i="11"/>
  <c r="D157" i="11"/>
  <c r="B157" i="11"/>
  <c r="D156" i="11"/>
  <c r="B156" i="11"/>
  <c r="D155" i="11"/>
  <c r="B155" i="11"/>
  <c r="D154" i="11"/>
  <c r="B154" i="11"/>
  <c r="D153" i="11"/>
  <c r="B153" i="11"/>
  <c r="D152" i="11"/>
  <c r="B152" i="11"/>
  <c r="D151" i="11"/>
  <c r="B151" i="11"/>
  <c r="D150" i="11"/>
  <c r="B150" i="11"/>
  <c r="D149" i="11"/>
  <c r="B149" i="11"/>
  <c r="D148" i="11"/>
  <c r="B148" i="11"/>
  <c r="D147" i="11"/>
  <c r="B147" i="11"/>
  <c r="D146" i="11"/>
  <c r="B146" i="11"/>
  <c r="D145" i="11"/>
  <c r="B145" i="11"/>
  <c r="D144" i="11"/>
  <c r="B144" i="11"/>
  <c r="D143" i="11"/>
  <c r="B143" i="11"/>
  <c r="D142" i="11"/>
  <c r="B142" i="11"/>
  <c r="D141" i="11"/>
  <c r="B141" i="11"/>
  <c r="D140" i="11"/>
  <c r="B140" i="11"/>
  <c r="H139" i="11"/>
  <c r="H140" i="11" s="1"/>
  <c r="H141" i="11" s="1"/>
  <c r="D139" i="11"/>
  <c r="B139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</calcChain>
</file>

<file path=xl/comments1.xml><?xml version="1.0" encoding="utf-8"?>
<comments xmlns="http://schemas.openxmlformats.org/spreadsheetml/2006/main">
  <authors>
    <author>杨宗水</author>
    <author>zhouzhen</author>
    <author>Aki</author>
    <author>Administrator</author>
    <author>Piao Shengning</author>
    <author>Carys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100000~199999：球杆
  100000~109999：限时球杆
  110000~119999：充能球杆
200000~299999：服装
300000~399999：球桌
400000~499999：体验卡
510000~519999：球杆碎片
520000~529999：服装碎片
530000~539999：球桌碎片
600000~699999：材料
700000~799999：其他道具
710000~719999：活跃活动收集道具
900000~999999：宝箱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实际生效道具描述
需配置id到语言包</t>
        </r>
      </text>
    </comment>
    <comment ref="E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中文描述
方便策划维护</t>
        </r>
      </text>
    </comment>
    <comment ref="F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类型
0：货币
1：限时球杆
2：充能球杆
3：服装
4：球桌
5：体验卡
6：碎片
7：材料
8：其他
9：头像
10：头像框
11：宝箱
12：体验球杆
13：专属球杆
14：局内聊天-文字
15：局内聊天-普通表情
16：局内聊天-魔法表情
17：局内聊天-魔法表情10连
18：气泡
19：试玩X局的球杆
20：免广告
21：倒计时特效
22：试用球桌
23：称号
24：积分商城兑换道具货币
25：球杆自选礼包
26：拖尾特效
27：进洞特效
28：母球
29：对局宝箱
33：8球皮肤
34：斯诺克皮肤
35：礼物抽奖宝箱
100：自动使用的限时体验物品
技术实现：
1、2共用球杆页
3服装分页
4球桌分页
5之后共用道具分页</t>
        </r>
      </text>
    </comment>
    <comment ref="G12" authorId="1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1、使用
2、合成
3、去使用：点击跳转
4、自动使用</t>
        </r>
      </text>
    </comment>
    <comment ref="H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道具icon
id.图片类型
需支持动态特效图
</t>
        </r>
      </text>
    </comment>
    <comment ref="I12" authorId="2" shapeId="0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物品类型为母球时，输入模型ID可修改模型</t>
        </r>
      </text>
    </comment>
    <comment ref="J12" authorId="3" shapeId="0">
      <text>
        <r>
          <rPr>
            <b/>
            <sz val="9"/>
            <rFont val="宋体"/>
            <family val="3"/>
            <charset val="134"/>
          </rPr>
          <t xml:space="preserve">signal:
球杆特效需要调整的大小倍数，填1则正常显示
</t>
        </r>
      </text>
    </comment>
    <comment ref="K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球杆、服装、球桌的初始品质等级
其他类型无
1：D 无
2：C 绿
3：B 蓝
4：A 紫
5：S 橙
6：SS 红
7：SSS 金</t>
        </r>
      </text>
    </comment>
    <comment ref="L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功能标签：程序根据需求逐步添加
1：宝箱掉落
2：熟练度绝对值加成
3：角色经验绝对值加成
4：体验卡对应球杆
5：经验胜局卡
6：金币胜局卡
7：闯关道具
8：体验卡对应物品id
9：气泡内文字颜色
10：免广告类型
11：球杆星级属性
12：球杆自选礼包内容
13:拖尾特效ID
14：进洞特效ID
15:母球贴图ID
16：角色背包背景
17.上线走马灯播报id
18：宝箱大图</t>
        </r>
      </text>
    </comment>
    <comment ref="M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预留字段1，根据功能标签解释实现不同的功能
4，体验球杆id，体验时长
7，1：超级瞄准  2：自由球  3：清除障碍   4：回转
11，球杆星级 12.自选礼包奖励组ID
</t>
        </r>
      </text>
    </comment>
    <comment ref="N12" authorId="1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0：无提示
1：获得时提示”new“
2：获得时提示”new“，拥有时提示小红点</t>
        </r>
      </text>
    </comment>
    <comment ref="O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表示大于等于多少级才能使用，否则提示“等级不足”</t>
        </r>
      </text>
    </comment>
    <comment ref="Q12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对局内力度条球杆</t>
        </r>
      </text>
    </comment>
    <comment ref="R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S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T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实际生效道具描述
需配置id到语言包</t>
        </r>
      </text>
    </comment>
    <comment ref="U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B13" authorId="4" shapeId="0">
      <text>
        <r>
          <rPr>
            <sz val="11"/>
            <color indexed="8"/>
            <rFont val="Helvetica"/>
            <family val="2"/>
          </rPr>
          <t xml:space="preserve">Piao Shengning:
</t>
        </r>
        <r>
          <rPr>
            <sz val="11"/>
            <color indexed="8"/>
            <rFont val="宋体"/>
            <family val="3"/>
            <charset val="134"/>
          </rPr>
          <t>字段类型</t>
        </r>
        <r>
          <rPr>
            <sz val="11"/>
            <color indexed="8"/>
            <rFont val="Helvetica"/>
            <family val="2"/>
          </rPr>
          <t>:int32</t>
        </r>
        <r>
          <rPr>
            <sz val="11"/>
            <color indexed="8"/>
            <rFont val="宋体"/>
            <family val="3"/>
            <charset val="134"/>
          </rPr>
          <t>、int64、double、string等</t>
        </r>
      </text>
    </comment>
    <comment ref="R13" authorId="4" shapeId="0">
      <text>
        <r>
          <rPr>
            <sz val="11"/>
            <color indexed="8"/>
            <rFont val="Helvetica"/>
            <family val="2"/>
          </rPr>
          <t xml:space="preserve">Piao Shengning:
</t>
        </r>
        <r>
          <rPr>
            <sz val="11"/>
            <color indexed="8"/>
            <rFont val="宋体"/>
            <family val="3"/>
            <charset val="134"/>
          </rPr>
          <t>字段类型</t>
        </r>
        <r>
          <rPr>
            <sz val="11"/>
            <color indexed="8"/>
            <rFont val="Helvetica"/>
            <family val="2"/>
          </rPr>
          <t>:int32</t>
        </r>
        <r>
          <rPr>
            <sz val="11"/>
            <color indexed="8"/>
            <rFont val="宋体"/>
            <family val="3"/>
            <charset val="134"/>
          </rPr>
          <t>、int64、double、string等</t>
        </r>
      </text>
    </comment>
    <comment ref="B14" authorId="4" shapeId="0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  <comment ref="R14" authorId="4" shapeId="0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  <comment ref="M136" authorId="5" shapeId="0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掉落组id</t>
        </r>
      </text>
    </comment>
    <comment ref="R584" authorId="0" shapeId="0">
      <text>
        <r>
          <rPr>
            <b/>
            <sz val="9"/>
            <rFont val="宋体"/>
            <family val="3"/>
            <charset val="134"/>
          </rPr>
          <t xml:space="preserve">杨宗水:男女ID一致，但icon和模型不一致
</t>
        </r>
      </text>
    </comment>
    <comment ref="A904" authorId="0" shapeId="0">
      <text>
        <r>
          <rPr>
            <b/>
            <sz val="9"/>
            <rFont val="宋体"/>
            <family val="3"/>
            <charset val="134"/>
          </rPr>
          <t xml:space="preserve">杨宗水:男女ID一致，但icon和模型不一致
</t>
        </r>
      </text>
    </comment>
    <comment ref="H904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男女服装ID一致，需根据性别显示对应的道具icon
前为男，后为女</t>
        </r>
      </text>
    </comment>
    <comment ref="I904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男女服装ID一致，需根据性别显示对应的模型</t>
        </r>
      </text>
    </comment>
    <comment ref="M2155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掉落组ID配置</t>
        </r>
      </text>
    </comment>
    <comment ref="M216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掉落组ID配置</t>
        </r>
      </text>
    </comment>
  </commentList>
</comments>
</file>

<file path=xl/comments2.xml><?xml version="1.0" encoding="utf-8"?>
<comments xmlns="http://schemas.openxmlformats.org/spreadsheetml/2006/main">
  <authors>
    <author>杨宗水</author>
    <author>Administrator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球杆类型
1：时限球杆
2：充能球杆
3：体验球杆</t>
        </r>
      </text>
    </comment>
    <comment ref="D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耐久度
仅耐久球杆有效</t>
        </r>
      </text>
    </comment>
    <comment ref="E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特效id</t>
        </r>
      </text>
    </comment>
    <comment ref="F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1：基础瞄准线
2：有折线
3：曲线</t>
        </r>
      </text>
    </comment>
    <comment ref="G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与item表一致，供本表一览参考</t>
        </r>
      </text>
    </comment>
    <comment ref="H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直接填写满星进阶后变成的球杆id
默认0不可进阶</t>
        </r>
      </text>
    </comment>
    <comment ref="I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属性力度</t>
        </r>
      </text>
    </comment>
    <comment ref="J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属性加塞</t>
        </r>
      </text>
    </comment>
    <comment ref="K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属性瞄准线</t>
        </r>
      </text>
    </comment>
    <comment ref="L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  <comment ref="M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力度等级影响系数
默认不影响，范围+-100%内
负数为减，正数为增
</t>
        </r>
      </text>
    </comment>
    <comment ref="N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加塞等级影响系数
默认不影响，范围+-100%内
负数为减，正数为增
</t>
        </r>
      </text>
    </comment>
    <comment ref="O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瞄准线等级影响系数
默认不影响，范围+-100%内
负数为减，正数为增
</t>
        </r>
      </text>
    </comment>
    <comment ref="P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魅力评分等级影响系数
默认不影响，范围+-100%内
负数为减，正数为增
</t>
        </r>
      </text>
    </comment>
    <comment ref="Q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升星消耗的材料1序号
每个球杆不一样
0：无专属材料</t>
        </r>
      </text>
    </comment>
    <comment ref="R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进阶消耗的材料1id</t>
        </r>
      </text>
    </comment>
    <comment ref="V12" authorId="1" shapeId="0">
      <text>
        <r>
          <rPr>
            <b/>
            <sz val="9"/>
            <rFont val="宋体"/>
            <family val="3"/>
            <charset val="134"/>
          </rPr>
          <t>Dam:</t>
        </r>
        <r>
          <rPr>
            <sz val="9"/>
            <rFont val="宋体"/>
            <family val="3"/>
            <charset val="134"/>
          </rPr>
          <t xml:space="preserve">
球杆的主属性类型
1：力度
2：加塞
3：瞄准
不填默认为力度</t>
        </r>
      </text>
    </comment>
    <comment ref="W12" authorId="1" shapeId="0">
      <text>
        <r>
          <rPr>
            <b/>
            <sz val="9"/>
            <rFont val="宋体"/>
            <family val="3"/>
            <charset val="134"/>
          </rPr>
          <t>Dam:</t>
        </r>
        <r>
          <rPr>
            <sz val="9"/>
            <rFont val="宋体"/>
            <family val="3"/>
            <charset val="134"/>
          </rPr>
          <t xml:space="preserve">
[1,0]：显示为活动限定不跳转
[2,61]：显示为点击获取，跳转到61
其余默认按价格显示</t>
        </r>
      </text>
    </comment>
  </commentList>
</comments>
</file>

<file path=xl/comments3.xml><?xml version="1.0" encoding="utf-8"?>
<comments xmlns="http://schemas.openxmlformats.org/spreadsheetml/2006/main">
  <authors>
    <author>杨宗水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等级对应品质
1：D
2：C
3：B
4：A
5：S
6：SS
7：SSS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球杆星级
每个品质等级都有5星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升级类型
0：无法升级
1：升星
2：进阶</t>
        </r>
      </text>
    </comment>
    <comment ref="D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力度基于基础值提升的百分比，单位为%</t>
        </r>
      </text>
    </comment>
    <comment ref="E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加塞基于基础值提升的百分比，单位为%</t>
        </r>
      </text>
    </comment>
    <comment ref="F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瞄准线基于基础值提升的百分比，单位为%</t>
        </r>
      </text>
    </comment>
    <comment ref="G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闯关加分基于基础值提升的百分比，单位为%</t>
        </r>
      </text>
    </comment>
    <comment ref="H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材料1消耗数量</t>
        </r>
      </text>
    </comment>
    <comment ref="I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材料2序号
所有球杆一致
但不同等级有区别</t>
        </r>
      </text>
    </comment>
    <comment ref="J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材料2消耗数量</t>
        </r>
      </text>
    </comment>
    <comment ref="K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升级消耗熟练度</t>
        </r>
      </text>
    </comment>
    <comment ref="A16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取消D级
</t>
        </r>
      </text>
    </comment>
    <comment ref="A40" authorId="0" shapeId="0">
      <text>
        <r>
          <rPr>
            <b/>
            <sz val="9"/>
            <rFont val="宋体"/>
            <family val="3"/>
            <charset val="134"/>
          </rPr>
          <t>杨宗水
预留拓展SS</t>
        </r>
      </text>
    </comment>
    <comment ref="A46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预留后续升级SSS</t>
        </r>
      </text>
    </comment>
  </commentList>
</comments>
</file>

<file path=xl/comments4.xml><?xml version="1.0" encoding="utf-8"?>
<comments xmlns="http://schemas.openxmlformats.org/spreadsheetml/2006/main">
  <authors>
    <author>杨宗水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等级对应品质
1：D
2：C
3：B
4：A
5：S
6：SS
7：SSS</t>
        </r>
      </text>
    </comment>
  </commentList>
</comments>
</file>

<file path=xl/comments5.xml><?xml version="1.0" encoding="utf-8"?>
<comments xmlns="http://schemas.openxmlformats.org/spreadsheetml/2006/main">
  <authors>
    <author>zhouzhen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与item表一一对应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与体验卡对应的球杆id</t>
        </r>
      </text>
    </comment>
    <comment ref="D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1：钻石
2：金币</t>
        </r>
      </text>
    </comment>
    <comment ref="E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体验卡对应的直售价格</t>
        </r>
      </text>
    </comment>
    <comment ref="F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体验卡对应球杆的星级</t>
        </r>
      </text>
    </comment>
    <comment ref="H12" authorId="0" shapeId="0">
      <text>
        <r>
          <rPr>
            <sz val="9"/>
            <rFont val="宋体"/>
            <family val="3"/>
            <charset val="134"/>
          </rPr>
          <t>我要变强功能
0不参与我要变强功能
1为参与我要变强功能的球杆</t>
        </r>
      </text>
    </comment>
  </commentList>
</comments>
</file>

<file path=xl/comments6.xml><?xml version="1.0" encoding="utf-8"?>
<comments xmlns="http://schemas.openxmlformats.org/spreadsheetml/2006/main">
  <authors>
    <author>杨宗水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</commentList>
</comments>
</file>

<file path=xl/comments7.xml><?xml version="1.0" encoding="utf-8"?>
<comments xmlns="http://schemas.openxmlformats.org/spreadsheetml/2006/main">
  <authors>
    <author>zhouzhen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与item表一一对应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1：钻石
2：金币</t>
        </r>
      </text>
    </comment>
    <comment ref="D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体验卡对应的直售价格</t>
        </r>
      </text>
    </comment>
    <comment ref="E12" authorId="0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体验卡对应球杆的星级</t>
        </r>
      </text>
    </comment>
  </commentList>
</comments>
</file>

<file path=xl/comments8.xml><?xml version="1.0" encoding="utf-8"?>
<comments xmlns="http://schemas.openxmlformats.org/spreadsheetml/2006/main">
  <authors>
    <author>杨宗水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合成消耗的碎片id</t>
        </r>
      </text>
    </comment>
    <comment ref="D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[[合成消耗数量,限时],[合成消耗数量,限时],[合成消耗数量,限时]]
可缺省，最多3档
限时为整数天，填0为永久</t>
        </r>
      </text>
    </comment>
    <comment ref="E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不同性别的玩家合成物品不同
0：都可合成
1：仅男性可合成
2：仅女性可合成</t>
        </r>
      </text>
    </comment>
  </commentList>
</comments>
</file>

<file path=xl/comments9.xml><?xml version="1.0" encoding="utf-8"?>
<comments xmlns="http://schemas.openxmlformats.org/spreadsheetml/2006/main">
  <authors>
    <author>杨宗水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B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</commentList>
</comments>
</file>

<file path=xl/comments10.xml><?xml version="1.0" encoding="utf-8"?>
<comments xmlns="http://schemas.openxmlformats.org/spreadsheetml/2006/main">
  <authors>
    <author>杨宗水</author>
    <author>zhouzhen</author>
    <author>Aki</author>
    <author>Administrator</author>
  </authors>
  <commentList>
    <comment ref="B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0：比赛
1：活动
2：其他
后续版本看情况调整或新增</t>
        </r>
      </text>
    </comment>
    <comment ref="C12" authorId="1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1、头像
2、头像框
3、气泡
4、表情
5、互动表情
6、倒计时</t>
        </r>
      </text>
    </comment>
    <comment ref="D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初始时是否显示在头像列表
可实现头像售卖
0：不显示
1：显示
2：自定义头像
3：QQ头像
4：微信头像</t>
        </r>
      </text>
    </comment>
    <comment ref="E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0：无解锁条件
1：玩家等级X
2：VIP等级X
3：获得某个物品
4：累计消费XX付费货币（钻石）
5：累计真人对局盈利XX活跃货币（金币）
6：成就达到X级
7：玩家8球段位达到XXX
8：作为道具发放
9：货币购买
另外，可作为item道具奖励投放
根据版本情况新增</t>
        </r>
      </text>
    </comment>
    <comment ref="F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J12" authorId="0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  <comment ref="K12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数字小的在前</t>
        </r>
      </text>
    </comment>
    <comment ref="A33" authorId="3" shapeId="0">
      <text>
        <r>
          <rPr>
            <b/>
            <sz val="9"/>
            <rFont val="宋体"/>
            <family val="3"/>
            <charset val="134"/>
          </rPr>
          <t>Danr:</t>
        </r>
        <r>
          <rPr>
            <sz val="9"/>
            <rFont val="宋体"/>
            <family val="3"/>
            <charset val="134"/>
          </rPr>
          <t xml:space="preserve">
新年头像暂时屏蔽</t>
        </r>
      </text>
    </comment>
    <comment ref="A34" authorId="3" shapeId="0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新年头像暂时屏蔽</t>
        </r>
      </text>
    </comment>
    <comment ref="F62" authorId="1" shapeId="0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第一个1代表个数，拥有1个某物品，后面的为物品id，所有满足要求的物品id</t>
        </r>
      </text>
    </comment>
    <comment ref="F79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货币类型,单价</t>
        </r>
      </text>
    </comment>
    <comment ref="A98" authorId="3" shapeId="0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兔年头像框先置灰</t>
        </r>
      </text>
    </comment>
    <comment ref="A99" authorId="3" shapeId="0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情人节头像框先置灰</t>
        </r>
      </text>
    </comment>
    <comment ref="A100" authorId="3" shapeId="0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龙凤头像框先置灰</t>
        </r>
      </text>
    </comment>
    <comment ref="A170" authorId="3" shapeId="0">
      <text>
        <r>
          <rPr>
            <b/>
            <sz val="9"/>
            <rFont val="宋体"/>
            <family val="3"/>
            <charset val="134"/>
          </rPr>
          <t xml:space="preserve">Dan：
</t>
        </r>
        <r>
          <rPr>
            <sz val="9"/>
            <rFont val="宋体"/>
            <family val="3"/>
            <charset val="134"/>
          </rPr>
          <t>新年魔法表情暂时关闭</t>
        </r>
      </text>
    </comment>
    <comment ref="A184" authorId="3" shapeId="0">
      <text>
        <r>
          <rPr>
            <b/>
            <sz val="9"/>
            <rFont val="宋体"/>
            <family val="3"/>
            <charset val="134"/>
          </rPr>
          <t xml:space="preserve">Dan：
</t>
        </r>
        <r>
          <rPr>
            <sz val="9"/>
            <rFont val="宋体"/>
            <family val="3"/>
            <charset val="134"/>
          </rPr>
          <t>新年魔法表情暂时关闭</t>
        </r>
      </text>
    </comment>
    <comment ref="A210" authorId="3" shapeId="0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新年气泡</t>
        </r>
      </text>
    </comment>
    <comment ref="F230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货币类型，单价</t>
        </r>
      </text>
    </comment>
    <comment ref="F232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货币类型，单价</t>
        </r>
      </text>
    </comment>
    <comment ref="A233" authorId="3" shapeId="0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新年倒计时</t>
        </r>
      </text>
    </comment>
    <comment ref="F233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货币类型，单价</t>
        </r>
      </text>
    </comment>
    <comment ref="F234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货币类型，单价</t>
        </r>
      </text>
    </comment>
    <comment ref="F235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货币类型，单价</t>
        </r>
      </text>
    </comment>
    <comment ref="F236" authorId="2" shapeId="0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货币类型，单价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杨宗水</author>
  </authors>
  <commentList>
    <comment ref="A12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与item表一一对应</t>
        </r>
      </text>
    </comment>
    <comment ref="B12" authorId="1" shapeId="0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默认钻石</t>
        </r>
      </text>
    </comment>
  </commentList>
</comments>
</file>

<file path=xl/sharedStrings.xml><?xml version="1.0" encoding="utf-8"?>
<sst xmlns="http://schemas.openxmlformats.org/spreadsheetml/2006/main" count="11196" uniqueCount="5719">
  <si>
    <t>CONFIG_NAME</t>
  </si>
  <si>
    <t>item</t>
  </si>
  <si>
    <t>配置名, 如果没有这个字段, 则这个Sheet不会导出</t>
  </si>
  <si>
    <t>CONFIG_DESCRIPTION</t>
  </si>
  <si>
    <t>所有球杆、服装、球桌、道具等物品的统一id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</si>
  <si>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</si>
  <si>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</si>
  <si>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</si>
  <si>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</si>
  <si>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</si>
  <si>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</si>
  <si>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</si>
  <si>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</si>
  <si>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</si>
  <si>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</si>
  <si>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</si>
  <si>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</si>
  <si>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</si>
  <si>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名称语言序号</t>
  </si>
  <si>
    <t>参考中文名</t>
  </si>
  <si>
    <t>描述语言序号</t>
  </si>
  <si>
    <t>参考中文描述</t>
  </si>
  <si>
    <t>物品类型</t>
  </si>
  <si>
    <t>使用类型</t>
  </si>
  <si>
    <t>预览图</t>
  </si>
  <si>
    <t>模型</t>
  </si>
  <si>
    <t>特效调整</t>
  </si>
  <si>
    <t>品质等级</t>
  </si>
  <si>
    <t>功能标签</t>
  </si>
  <si>
    <t>解释字段1</t>
  </si>
  <si>
    <t>背包提示类型</t>
  </si>
  <si>
    <t>解锁等级</t>
  </si>
  <si>
    <t>钻石定价</t>
  </si>
  <si>
    <t>对局内球杆</t>
  </si>
  <si>
    <t>女生名称</t>
  </si>
  <si>
    <t>参考中文</t>
  </si>
  <si>
    <t>参考描述</t>
  </si>
  <si>
    <t>id</t>
  </si>
  <si>
    <t>name</t>
  </si>
  <si>
    <t>name_ch</t>
  </si>
  <si>
    <t>des</t>
  </si>
  <si>
    <t>des_ch</t>
  </si>
  <si>
    <t>type</t>
  </si>
  <si>
    <t>type_use</t>
  </si>
  <si>
    <t>icon</t>
  </si>
  <si>
    <t>mode</t>
  </si>
  <si>
    <t>effects_adjust</t>
  </si>
  <si>
    <t>quality</t>
  </si>
  <si>
    <t>tag</t>
  </si>
  <si>
    <t>field</t>
  </si>
  <si>
    <t>type_tips</t>
  </si>
  <si>
    <t>level</t>
  </si>
  <si>
    <t>value</t>
  </si>
  <si>
    <t>cue_ingame</t>
  </si>
  <si>
    <t>name_girl</t>
  </si>
  <si>
    <t>des_girl</t>
  </si>
  <si>
    <t>int32</t>
  </si>
  <si>
    <t>string</t>
  </si>
  <si>
    <t>key,lua,pb,json</t>
  </si>
  <si>
    <t>lua,pb,json</t>
  </si>
  <si>
    <t>vb</t>
  </si>
  <si>
    <t>icon_1</t>
  </si>
  <si>
    <t>钻石</t>
  </si>
  <si>
    <t>可用于兑换金币、购买道具等。</t>
  </si>
  <si>
    <t>金币</t>
  </si>
  <si>
    <t>通用货币：可用于对局消耗、商城购买等。</t>
  </si>
  <si>
    <t>体力</t>
  </si>
  <si>
    <t>闯关体力：用于挑战关卡，每30分钟回复1点。</t>
  </si>
  <si>
    <t>活跃度</t>
  </si>
  <si>
    <t>完成日常任务累积活跃度，领取每日、每周活跃礼包。</t>
  </si>
  <si>
    <t>经验</t>
  </si>
  <si>
    <t>对局、闯关等途径可获得经验。每日可获取经验上限为&lt;color=#fff442&gt;15000&lt;/color&gt;。</t>
  </si>
  <si>
    <t>VIP经验</t>
  </si>
  <si>
    <t>通过活跃活动可获得，用于提升VIP等级。</t>
  </si>
  <si>
    <t>活跃点</t>
  </si>
  <si>
    <t>完成新手任务累计活跃点，换取终极大奖。</t>
  </si>
  <si>
    <t>活跃值</t>
  </si>
  <si>
    <t>完成俱乐部任务累计活跃值，可用于俱乐部商店兑换物品</t>
  </si>
  <si>
    <t>极限挑战币</t>
  </si>
  <si>
    <t>完成极限挑战每日任务可获得极限挑战兑换币，可用于兑换商店兑换物品</t>
  </si>
  <si>
    <t>积分</t>
  </si>
  <si>
    <t>进行扭蛋可获得积分，可用于兑换积分商城内的物品</t>
  </si>
  <si>
    <t>极限挑战次数</t>
  </si>
  <si>
    <t>极限挑战消耗，随时间恢复</t>
  </si>
  <si>
    <t>兑换券</t>
  </si>
  <si>
    <t>对局、闯关、活跃等途径可获得球杆币。可用于兑换商店兑换永久球杆和培养材料。</t>
  </si>
  <si>
    <t>0</t>
  </si>
  <si>
    <t>强化币</t>
  </si>
  <si>
    <t>对局、闯关、活跃等途径可获得球杆币。可用于球杆的升星、升阶。</t>
  </si>
  <si>
    <t>钻石藏宝图</t>
  </si>
  <si>
    <t>参与钻石宝藏寻宝可获得钻石藏宝图，可用于宝藏商店兑换永久球杆。</t>
  </si>
  <si>
    <t>金币藏宝图</t>
  </si>
  <si>
    <t>参与金币宝藏寻宝可获得金币藏宝图，可用于宝藏商店兑换永久球杆。</t>
  </si>
  <si>
    <t>航海币</t>
  </si>
  <si>
    <t>完成活动任务可获得航海币，参与航海探险收集永久球杆和其他大奖</t>
  </si>
  <si>
    <t>通行证对局活跃度</t>
  </si>
  <si>
    <t>通行证任务活跃度</t>
  </si>
  <si>
    <t>免费</t>
  </si>
  <si>
    <t>用于神秘商城中购买免费商品</t>
  </si>
  <si>
    <t>视频券</t>
  </si>
  <si>
    <t>抵消一次视频广告</t>
  </si>
  <si>
    <t>icon_20</t>
  </si>
  <si>
    <t>大喇叭</t>
  </si>
  <si>
    <t>用于世界聊天置顶发言</t>
  </si>
  <si>
    <t>3,64</t>
  </si>
  <si>
    <t>icon_21</t>
  </si>
  <si>
    <t>苹果</t>
  </si>
  <si>
    <t>用于欢乐果园兑换奖励</t>
  </si>
  <si>
    <t>icon_22</t>
  </si>
  <si>
    <t>香蕉</t>
  </si>
  <si>
    <t>icon_23</t>
  </si>
  <si>
    <t>用于积分商城兑换奖励</t>
  </si>
  <si>
    <t>icon_24</t>
  </si>
  <si>
    <t>小喇叭</t>
  </si>
  <si>
    <t>用户地域聊天置顶发言</t>
  </si>
  <si>
    <t>3,69</t>
  </si>
  <si>
    <t>icon_25</t>
  </si>
  <si>
    <t>刮刮券</t>
  </si>
  <si>
    <t>用于刮刮乐活动，刮奖获取永久球杆和其它奖励</t>
  </si>
  <si>
    <t>3,70</t>
  </si>
  <si>
    <t>icon_26</t>
  </si>
  <si>
    <t>A杆自选礼包</t>
  </si>
  <si>
    <t>开启自选永久A级球杆</t>
  </si>
  <si>
    <t>icon_27</t>
  </si>
  <si>
    <t>足球币</t>
  </si>
  <si>
    <t>绿茵欢乐季活动可获得足球币。可用于该活动的兑换商店兑换好礼</t>
  </si>
  <si>
    <t>icon_28</t>
  </si>
  <si>
    <t>玲珑珠宝</t>
  </si>
  <si>
    <t>玲珑夺宝活动获取。可用于该活动的兑换商店兑换好礼</t>
  </si>
  <si>
    <t>icon_29</t>
  </si>
  <si>
    <t>小铃铛</t>
  </si>
  <si>
    <t>瑞雪迎新季活动可获得小铃铛。可用于该活动的兑换商店兑换好礼</t>
  </si>
  <si>
    <t>icon_30</t>
  </si>
  <si>
    <t>普通骰子</t>
  </si>
  <si>
    <t>用于寻宝之路活动，掷骰子得到点数</t>
  </si>
  <si>
    <t>icon_31</t>
  </si>
  <si>
    <t>金色骰子</t>
  </si>
  <si>
    <t>用于寻宝之路活动，直接选择点数</t>
  </si>
  <si>
    <t>3,76</t>
  </si>
  <si>
    <t>icon_32</t>
  </si>
  <si>
    <t>新春福币</t>
  </si>
  <si>
    <t>新春夺宝活动获取。可用于该活动的兑换商店兑换好礼</t>
  </si>
  <si>
    <t>icon_33</t>
  </si>
  <si>
    <t>灯笼</t>
  </si>
  <si>
    <t>新春贺岁季活动可获得。可用于该活动的兑换商店兑换好礼</t>
  </si>
  <si>
    <t>icon_34</t>
  </si>
  <si>
    <t>情书</t>
  </si>
  <si>
    <t>情缘夺宝活动获取。可用于该活动的兑换商店兑换好礼</t>
  </si>
  <si>
    <t>icon_37</t>
  </si>
  <si>
    <t>纸飞机</t>
  </si>
  <si>
    <t>青涩回忆活动获取。可用于该活动的兑换商店兑换好礼</t>
  </si>
  <si>
    <t>icon_38</t>
  </si>
  <si>
    <t>劳动币</t>
  </si>
  <si>
    <t>劳动闪耀季活动可获得。可用于该活动的兑换商店兑换好礼</t>
  </si>
  <si>
    <t>icon_39</t>
  </si>
  <si>
    <t>礼物积分</t>
  </si>
  <si>
    <t>收到礼物后获得的积分，可用于在兑换商店中兑换商品</t>
  </si>
  <si>
    <t>icon_40</t>
  </si>
  <si>
    <t>机械齿轮</t>
  </si>
  <si>
    <t>寻金探宝活动获取，可用于该活动的兑换商店兑换好礼。</t>
  </si>
  <si>
    <t>icon_41</t>
  </si>
  <si>
    <t>角粽币</t>
  </si>
  <si>
    <t>端午怀恋季活动可获得，可用于该活动的兑换商店兑换好礼。</t>
  </si>
  <si>
    <t>icon_42</t>
  </si>
  <si>
    <t>兑换币</t>
  </si>
  <si>
    <t>抽奖活动获取，可在抽奖活动中兑换好礼</t>
  </si>
  <si>
    <t>icon_43</t>
  </si>
  <si>
    <t>服饰幸运币</t>
  </si>
  <si>
    <t>可以在服饰夺宝系统中抽取极品服饰</t>
  </si>
  <si>
    <t>icon_44</t>
  </si>
  <si>
    <t>武侠兑换币</t>
  </si>
  <si>
    <t>武侠抽奖币</t>
  </si>
  <si>
    <t>球桌夺宝币</t>
  </si>
  <si>
    <t>星座夺宝币</t>
  </si>
  <si>
    <t>球杆幸运币</t>
  </si>
  <si>
    <t>可以在球杆夺宝系统中抽取极品球杆</t>
  </si>
  <si>
    <t>icon_49</t>
  </si>
  <si>
    <r>
      <rPr>
        <sz val="11"/>
        <color theme="1"/>
        <rFont val="等线"/>
        <family val="3"/>
        <charset val="134"/>
      </rPr>
      <t>房卡卷</t>
    </r>
  </si>
  <si>
    <r>
      <rPr>
        <sz val="11"/>
        <color theme="1"/>
        <rFont val="等线"/>
        <family val="3"/>
        <charset val="134"/>
      </rPr>
      <t>用于补充主题派对入座时间</t>
    </r>
  </si>
  <si>
    <t>icon_50</t>
  </si>
  <si>
    <t>稀有寻宝币</t>
  </si>
  <si>
    <t>可在钻石寻宝中抽取相关物品。</t>
  </si>
  <si>
    <t>icon_51</t>
  </si>
  <si>
    <t>精品寻宝币</t>
  </si>
  <si>
    <t>可在金币寻宝中抽取相关物品。</t>
  </si>
  <si>
    <t>icon_52</t>
  </si>
  <si>
    <t>球杆神铸币</t>
  </si>
  <si>
    <t>可在神杆打造中抽取相关物品。</t>
  </si>
  <si>
    <t>icon_53</t>
  </si>
  <si>
    <t>紧箍咒</t>
  </si>
  <si>
    <t>寻梦西游活动获取，可用于该活动的兑换商店兑换好礼。</t>
  </si>
  <si>
    <t>icon_54</t>
  </si>
  <si>
    <t>团圆币</t>
  </si>
  <si>
    <t>中秋团圆季活动可获得，可用于该活动的兑换商店兑换好礼。</t>
  </si>
  <si>
    <t>icon_55</t>
  </si>
  <si>
    <t>柿饼币</t>
  </si>
  <si>
    <t>重阳赏秋季活动可获得，可用于该活动的兑换商店兑换好礼。</t>
  </si>
  <si>
    <t>icon_56</t>
  </si>
  <si>
    <t>月光宝盒</t>
  </si>
  <si>
    <t>寻梦奇缘活动获取，可用于该活动的兑换商店兑换好礼。</t>
  </si>
  <si>
    <t>icon_57</t>
  </si>
  <si>
    <t>icon_58</t>
  </si>
  <si>
    <t>抽奖币</t>
  </si>
  <si>
    <t>icon_59</t>
  </si>
  <si>
    <t>血流币</t>
  </si>
  <si>
    <t>疯狂血流货币：可用于对局消耗等。</t>
  </si>
  <si>
    <t>icon_100</t>
  </si>
  <si>
    <t>8球初级厅普通宝箱</t>
  </si>
  <si>
    <t>icon_10001</t>
  </si>
  <si>
    <t>ui_bx_1</t>
  </si>
  <si>
    <t>8球初级厅稀有宝箱</t>
  </si>
  <si>
    <t>icon_10002</t>
  </si>
  <si>
    <t>ui_bx_2</t>
  </si>
  <si>
    <t>8球初级厅史诗宝箱</t>
  </si>
  <si>
    <t>icon_10003</t>
  </si>
  <si>
    <t>ui_bx_3</t>
  </si>
  <si>
    <t>8球初级厅传说宝箱</t>
  </si>
  <si>
    <t>icon_10004</t>
  </si>
  <si>
    <t>ui_bx_4</t>
  </si>
  <si>
    <t>8球中级厅普通宝箱</t>
  </si>
  <si>
    <t>8球中级厅稀有宝箱</t>
  </si>
  <si>
    <t>8球中级厅史诗宝箱</t>
  </si>
  <si>
    <t>8球中级厅传说宝箱</t>
  </si>
  <si>
    <t>8球高级厅普通宝箱</t>
  </si>
  <si>
    <t>8球高级厅稀有宝箱</t>
  </si>
  <si>
    <t>8球高级厅史诗宝箱</t>
  </si>
  <si>
    <t>8球高级厅传说宝箱</t>
  </si>
  <si>
    <t>8球大师厅普通宝箱</t>
  </si>
  <si>
    <t>8球大师厅稀有宝箱</t>
  </si>
  <si>
    <t>8球大师厅史诗宝箱</t>
  </si>
  <si>
    <t>8球大师厅传说宝箱</t>
  </si>
  <si>
    <t>8球Allin厅普通宝箱</t>
  </si>
  <si>
    <t>8球Allin厅稀有宝箱</t>
  </si>
  <si>
    <t>8球Allin厅史诗宝箱</t>
  </si>
  <si>
    <t>8球Allin厅传说宝箱</t>
  </si>
  <si>
    <t>8球新手厅普通宝箱</t>
  </si>
  <si>
    <t>8球新手厅稀有宝箱</t>
  </si>
  <si>
    <t>8球新手厅史诗宝箱</t>
  </si>
  <si>
    <t>8球新手厅传说宝箱</t>
  </si>
  <si>
    <t>斯诺克初级厅普通宝箱</t>
  </si>
  <si>
    <t>斯诺克初级厅稀有宝箱</t>
  </si>
  <si>
    <t>斯诺克初级厅史诗宝箱</t>
  </si>
  <si>
    <t>斯诺克初级厅传说宝箱</t>
  </si>
  <si>
    <t>斯诺克中级厅普通宝箱</t>
  </si>
  <si>
    <t>斯诺克中级厅稀有宝箱</t>
  </si>
  <si>
    <t>斯诺克中级厅史诗宝箱</t>
  </si>
  <si>
    <t>斯诺克中级厅传说宝箱</t>
  </si>
  <si>
    <t>斯诺克高级厅普通宝箱</t>
  </si>
  <si>
    <t>斯诺克高级厅稀有宝箱</t>
  </si>
  <si>
    <t>斯诺克高级厅史诗宝箱</t>
  </si>
  <si>
    <t>斯诺克高级厅传说宝箱</t>
  </si>
  <si>
    <t>斯诺克大师厅普通宝箱</t>
  </si>
  <si>
    <t>斯诺克大师厅稀有宝箱</t>
  </si>
  <si>
    <t>斯诺克大师厅史诗宝箱</t>
  </si>
  <si>
    <t>斯诺克大师厅传说宝箱</t>
  </si>
  <si>
    <t>血流初级厅普通宝箱</t>
  </si>
  <si>
    <t>血流初级厅稀有宝箱</t>
  </si>
  <si>
    <t>血流初级厅史诗宝箱</t>
  </si>
  <si>
    <t>血流初级厅传说宝箱</t>
  </si>
  <si>
    <t>血流中级厅普通宝箱</t>
  </si>
  <si>
    <t>血流中级厅稀有宝箱</t>
  </si>
  <si>
    <t>血流中级厅史诗宝箱</t>
  </si>
  <si>
    <t>血流中级厅传说宝箱</t>
  </si>
  <si>
    <t>血流高级厅普通宝箱</t>
  </si>
  <si>
    <t>血流高级厅稀有宝箱</t>
  </si>
  <si>
    <t>血流高级厅史诗宝箱</t>
  </si>
  <si>
    <t>血流高级厅传说宝箱</t>
  </si>
  <si>
    <t>血流大师厅普通宝箱</t>
  </si>
  <si>
    <t>血流大师厅稀有宝箱</t>
  </si>
  <si>
    <t>血流大师厅史诗宝箱</t>
  </si>
  <si>
    <t>血流大师厅传说宝箱</t>
  </si>
  <si>
    <t>球杆神铸礼包</t>
  </si>
  <si>
    <t>财运亨通头像框（1天），额外赠送球杆神铸币1枚。</t>
  </si>
  <si>
    <t>icon_10007</t>
  </si>
  <si>
    <t>球杆幸运礼包</t>
  </si>
  <si>
    <t>财运亨通头像框（1天），额外赠送球杆幸运币1枚。</t>
  </si>
  <si>
    <t>icon_10008</t>
  </si>
  <si>
    <t>服饰幸运礼包</t>
  </si>
  <si>
    <t>财运亨通头像框（1天），额外赠送服装幸运币1枚。</t>
  </si>
  <si>
    <t>icon_10009</t>
  </si>
  <si>
    <t>原木球杆</t>
  </si>
  <si>
    <t>原木打造的经典球杆，品质等级为C。</t>
  </si>
  <si>
    <t>原木打造的经典球杆，品质等级为B。</t>
  </si>
  <si>
    <t>原木打造的经典球杆，品质等级为A。</t>
  </si>
  <si>
    <t>地狱火焰</t>
  </si>
  <si>
    <t>地狱火焰主球球杆，品质等级为A。</t>
  </si>
  <si>
    <t>icon_100011</t>
  </si>
  <si>
    <t>地狱火焰主题球杆，品质等级为S。</t>
  </si>
  <si>
    <t>地狱火焰主题球杆，品质等级为SS。</t>
  </si>
  <si>
    <t>地狱火焰主球球杆，品质等级为SSS。</t>
  </si>
  <si>
    <t>1</t>
  </si>
  <si>
    <t>国色天香</t>
  </si>
  <si>
    <t>国色天香主题球杆，品质为S。</t>
  </si>
  <si>
    <t>icon_100021</t>
  </si>
  <si>
    <t>国色天香主题球杆，品质为SS。</t>
  </si>
  <si>
    <t>国色天香主题球杆，品质为SSS。</t>
  </si>
  <si>
    <t>白银球杆</t>
  </si>
  <si>
    <t>白银镶边的经典球杆，品质等级为C。</t>
  </si>
  <si>
    <t>icon_100031</t>
  </si>
  <si>
    <t>白银镶边的经典球杆，品质等级为B。</t>
  </si>
  <si>
    <t>白银镶边的经典球杆，品质等级为A。</t>
  </si>
  <si>
    <t>骑士长枪</t>
  </si>
  <si>
    <t>骑士长枪主题球杆，品质等级为A。</t>
  </si>
  <si>
    <t>icon_100041</t>
  </si>
  <si>
    <t>骑士长枪主题球杆，品质等级为S。</t>
  </si>
  <si>
    <t>骑士长枪主题球杆，品质等级为SS。</t>
  </si>
  <si>
    <t>骑士长枪主题球杆，品质等级为SSS。</t>
  </si>
  <si>
    <t>icon_100044</t>
  </si>
  <si>
    <t>如鱼得水</t>
  </si>
  <si>
    <t>如鱼得水主题球杆，品质等级为S。</t>
  </si>
  <si>
    <t>icon_100051</t>
  </si>
  <si>
    <t>如鱼得水主题球杆，品质等级为SS。</t>
  </si>
  <si>
    <t>如鱼得水主题球杆，品质等级为SSS。</t>
  </si>
  <si>
    <t>如鱼得水主题球杆，品质等级为A。</t>
  </si>
  <si>
    <t>街头潮牌</t>
  </si>
  <si>
    <t>街头潮牌主题球杆，品质等级为A。</t>
  </si>
  <si>
    <t>icon_100061</t>
  </si>
  <si>
    <t>街头潮牌主题球杆，品质等级为S。</t>
  </si>
  <si>
    <t>街头潮牌主题球杆，品质等级为SS。</t>
  </si>
  <si>
    <t>紫金葫芦</t>
  </si>
  <si>
    <t>紫金葫芦主题球杆，品质等级为S。</t>
  </si>
  <si>
    <t>icon_100071</t>
  </si>
  <si>
    <t>紫金葫芦主题球杆，品质等级为SS。</t>
  </si>
  <si>
    <t>紫金葫芦主球球杆，品质等级为SSS。</t>
  </si>
  <si>
    <t>黑色琴键</t>
  </si>
  <si>
    <t>黑色琴键主题球杆，品质等级为S。</t>
  </si>
  <si>
    <t>icon_100081</t>
  </si>
  <si>
    <t>黑色琴键主题球杆，品质等级为SS。</t>
  </si>
  <si>
    <t>黑色琴键主球球杆，品质等级为SSS。</t>
  </si>
  <si>
    <t>电音吉他</t>
  </si>
  <si>
    <t>电音吉他主题球杆，品质等级为S。</t>
  </si>
  <si>
    <t>icon_100091</t>
  </si>
  <si>
    <t>电音吉他主题球杆，品质等级为SS。</t>
  </si>
  <si>
    <t>电音吉他主球球杆，品质等级为SSS。</t>
  </si>
  <si>
    <t>台球麦霸</t>
  </si>
  <si>
    <t>台球麦霸主题球杆，品质等级为S。</t>
  </si>
  <si>
    <t>icon_100101</t>
  </si>
  <si>
    <t>台球麦霸主题球杆，品质等级为SS。</t>
  </si>
  <si>
    <t>台球麦霸主球球杆，品质等级为SSS。</t>
  </si>
  <si>
    <t>喵星物语</t>
  </si>
  <si>
    <t>喵星物语主题球杆，品质等级为SS。</t>
  </si>
  <si>
    <t>icon_100111</t>
  </si>
  <si>
    <t>喵星物语主题球杆，品质等级为SSS。</t>
  </si>
  <si>
    <t>喵星物语主题球杆，品质等级为S。</t>
  </si>
  <si>
    <t>夏日海滩</t>
  </si>
  <si>
    <t>夏日海滩主题球杆，品质等级为S。</t>
  </si>
  <si>
    <t>icon_100121</t>
  </si>
  <si>
    <t>暂无模型</t>
  </si>
  <si>
    <t>夏日海滩主题球杆，品质等级为SS。</t>
  </si>
  <si>
    <t>夏日海滩主球球杆，品质等级为SSS。</t>
  </si>
  <si>
    <t>圣诞糖果</t>
  </si>
  <si>
    <t>圣诞糖果主题球杆，品质等级为S。</t>
  </si>
  <si>
    <t>icon_100131</t>
  </si>
  <si>
    <t>圣诞糖果主题球杆，品质等级为SS。</t>
  </si>
  <si>
    <t>圣诞糖果主球球杆，品质等级为SSS。</t>
  </si>
  <si>
    <t>圣诞树</t>
  </si>
  <si>
    <t>圣诞树主题球杆，品质等级为S。</t>
  </si>
  <si>
    <t>icon_100141</t>
  </si>
  <si>
    <t>圣诞树主题球杆，品质等级为SS。</t>
  </si>
  <si>
    <t>圣诞树主球球杆，品质等级为SSS。</t>
  </si>
  <si>
    <t>黄铜球杆</t>
  </si>
  <si>
    <t>黄铜镶边的经典球杆，品质等级为C。</t>
  </si>
  <si>
    <t>icon_100151</t>
  </si>
  <si>
    <t>黄铜镶边的经典球杆，品质等级为B。</t>
  </si>
  <si>
    <t>黄铜镶边的经典球杆，品质等级为A。</t>
  </si>
  <si>
    <t>梅花三弄</t>
  </si>
  <si>
    <t>梅花三弄主题球杆，品质等级为A。</t>
  </si>
  <si>
    <t>icon_100161</t>
  </si>
  <si>
    <t>梅花三弄主题球杆，品质等级为S。</t>
  </si>
  <si>
    <t>龙回头</t>
  </si>
  <si>
    <t>龙回头主题球杆，品质等级为B。</t>
  </si>
  <si>
    <t>icon_100171</t>
  </si>
  <si>
    <t>龙回头主题球杆，品质等级为A。</t>
  </si>
  <si>
    <t>龙回头主题球杆，品质等级为S。</t>
  </si>
  <si>
    <t>龙回头主题球杆，品质等级为SS。</t>
  </si>
  <si>
    <t>龙回头主题球杆，品质等级为SSS。</t>
  </si>
  <si>
    <t>成就大师</t>
  </si>
  <si>
    <t>成就大师主题球杆，品质等级为SS。</t>
  </si>
  <si>
    <t>icon_100181</t>
  </si>
  <si>
    <t>台球达人</t>
  </si>
  <si>
    <t>台球达人主题球杆，品质等级B</t>
  </si>
  <si>
    <t>icon_100191</t>
  </si>
  <si>
    <t>台球达人主题球杆，品质等级A</t>
  </si>
  <si>
    <t>台球达人主题球杆，品质等级S</t>
  </si>
  <si>
    <t>台球达人主题球杆，品质等级SS</t>
  </si>
  <si>
    <t>台球达人主题球杆，品质等级SSS</t>
  </si>
  <si>
    <t>雄鹰权杖</t>
  </si>
  <si>
    <t>雄鹰权杖主题球杆，品质等级S</t>
  </si>
  <si>
    <t>icon_100201</t>
  </si>
  <si>
    <t>雄鹰权杖主题球杆，品质等级SS</t>
  </si>
  <si>
    <t>雄鹰权杖主题球杆，品质等级SSS</t>
  </si>
  <si>
    <t>双龙戏珠</t>
  </si>
  <si>
    <t>双龙戏珠主题球杆，品质等级A</t>
  </si>
  <si>
    <t>icon_100221</t>
  </si>
  <si>
    <t>双龙戏珠主题球杆，品质等级S</t>
  </si>
  <si>
    <t>双龙戏珠主题球杆，品质等级SS</t>
  </si>
  <si>
    <t>流光宝石</t>
  </si>
  <si>
    <t>流光宝石主题球杆，品质等级A</t>
  </si>
  <si>
    <t>icon_100231</t>
  </si>
  <si>
    <t>流光宝石主题球杆，品质等级S</t>
  </si>
  <si>
    <t>枫叶</t>
  </si>
  <si>
    <t>枫叶主题球杆，品质等级A</t>
  </si>
  <si>
    <t>icon_100241</t>
  </si>
  <si>
    <t>枫叶主题球杆，品质等级S</t>
  </si>
  <si>
    <t>劳动光荣</t>
  </si>
  <si>
    <t>五一主题球杆，品质等级B</t>
  </si>
  <si>
    <t>icon_100251</t>
  </si>
  <si>
    <t>五一主题球杆，品质等级A</t>
  </si>
  <si>
    <t>五一主题球杆，品质等级S</t>
  </si>
  <si>
    <t>五一主题球杆，品质等级SS</t>
  </si>
  <si>
    <t>五一主题球杆，品质等级SSS</t>
  </si>
  <si>
    <t>icon_100261</t>
  </si>
  <si>
    <t>楠木球杆</t>
  </si>
  <si>
    <t>楠木主题球杆，品质等级C</t>
  </si>
  <si>
    <t>楠木主题球杆，品质等级B</t>
  </si>
  <si>
    <t>楠木主题球杆，品质等级A</t>
  </si>
  <si>
    <t>智慧权杖</t>
  </si>
  <si>
    <t>智慧权杖主题球杆，品质等级C</t>
  </si>
  <si>
    <t>icon_100271</t>
  </si>
  <si>
    <t>智慧权杖主题球杆，品质等级B</t>
  </si>
  <si>
    <t>智慧权杖主题球杆，品质等级A</t>
  </si>
  <si>
    <t>权力之杖</t>
  </si>
  <si>
    <t>权力之杖主题球杆，品质等级C</t>
  </si>
  <si>
    <t>icon_100281</t>
  </si>
  <si>
    <t>权力之杖主题球杆，品质等级B</t>
  </si>
  <si>
    <t>权力之杖主题球杆，品质等级A</t>
  </si>
  <si>
    <t>橡木球杆</t>
  </si>
  <si>
    <t>橡木主题球杆，品质等级C</t>
  </si>
  <si>
    <t>icon_100291</t>
  </si>
  <si>
    <t>橡木主题球杆，品质等级B</t>
  </si>
  <si>
    <t>橡木主题球杆，品质等级A</t>
  </si>
  <si>
    <t>方天画戟</t>
  </si>
  <si>
    <t>方天画戟主题球杆，品质等级S</t>
  </si>
  <si>
    <t>icon_100321</t>
  </si>
  <si>
    <t>方天画戟主题球杆，品质等级SS</t>
  </si>
  <si>
    <t>方天画戟主题球杆，品质等级SSS</t>
  </si>
  <si>
    <t>青龙偃月</t>
  </si>
  <si>
    <t>青龙偃月主题球杆，品质等级S</t>
  </si>
  <si>
    <t>icon_100331</t>
  </si>
  <si>
    <t>青龙偃月主题球杆，品质等级SS</t>
  </si>
  <si>
    <t>青龙偃月主题球杆，品质等级SSS</t>
  </si>
  <si>
    <t>青龙偃月主题球杆，品质等级Z</t>
  </si>
  <si>
    <t>法老权杖</t>
  </si>
  <si>
    <t>法老权杖主题球杆，品质等级S</t>
  </si>
  <si>
    <t>icon_100341</t>
  </si>
  <si>
    <t>法老权杖主题球杆，品质等级SS</t>
  </si>
  <si>
    <t>法老权杖主题球杆，品质等级SSS</t>
  </si>
  <si>
    <t>龙胆亮银</t>
  </si>
  <si>
    <t>龙胆亮银主题球杆，品质等级S</t>
  </si>
  <si>
    <t>icon_100351</t>
  </si>
  <si>
    <t>龙胆亮银主题球杆，品质等级SS</t>
  </si>
  <si>
    <t>龙胆亮银主题球杆，品质等级SSS</t>
  </si>
  <si>
    <t>龙胆亮银主题球杆，品质等级Z</t>
  </si>
  <si>
    <t>icon_100354</t>
  </si>
  <si>
    <t>哪吒</t>
  </si>
  <si>
    <t>哪吒主题球杆，品质等级S</t>
  </si>
  <si>
    <t>icon_100361</t>
  </si>
  <si>
    <t>哪吒主题球杆，品质等级SS</t>
  </si>
  <si>
    <t>哪吒主题球杆，品质等级SSS</t>
  </si>
  <si>
    <t>DBA星耀</t>
  </si>
  <si>
    <t>DBA星耀主题球杆，品质等级S</t>
  </si>
  <si>
    <t>icon_100371</t>
  </si>
  <si>
    <t>DBA星耀主题球杆，品质等级SS</t>
  </si>
  <si>
    <t>DBA星耀主题球杆，品质等级SSS</t>
  </si>
  <si>
    <t>DBA悟道</t>
  </si>
  <si>
    <t>DBA悟道主题球杆，品质等级A</t>
  </si>
  <si>
    <t>icon_100381</t>
  </si>
  <si>
    <t>DBA悟道主题球杆，品质等级S</t>
  </si>
  <si>
    <t>丈八蛇矛</t>
  </si>
  <si>
    <t>丈八蛇矛主题球杆，品质等级S</t>
  </si>
  <si>
    <t>icon_100391</t>
  </si>
  <si>
    <t>丈八蛇矛主题球杆，品质等级SS</t>
  </si>
  <si>
    <t>丈八蛇矛主题球杆，品质等级SSS</t>
  </si>
  <si>
    <t>南瓜头</t>
  </si>
  <si>
    <t>南瓜头主题球杆，品质等级S</t>
  </si>
  <si>
    <t>icon_100401</t>
  </si>
  <si>
    <t>南瓜头主题球杆，品质等级SS</t>
  </si>
  <si>
    <t>南瓜头主题球杆，品质等级SSS</t>
  </si>
  <si>
    <t>甜心宝贝</t>
  </si>
  <si>
    <t>甜心宝贝主题球杆，品质等级S</t>
  </si>
  <si>
    <t>icon_100411</t>
  </si>
  <si>
    <t>甜心宝贝主题球杆，品质等级SS</t>
  </si>
  <si>
    <t>甜心宝贝主题球杆，品质等级SSS</t>
  </si>
  <si>
    <t>甜心宝贝主题球杆，品质等级A</t>
  </si>
  <si>
    <t>乌木球杆</t>
  </si>
  <si>
    <t>乌木球杆主题球杆，品质等级S</t>
  </si>
  <si>
    <t>icon_100421</t>
  </si>
  <si>
    <t>乌木球杆主题球杆，品质等级SS</t>
  </si>
  <si>
    <t>乌木球杆主题球杆，品质等级SSS</t>
  </si>
  <si>
    <t>玉如意</t>
  </si>
  <si>
    <t>玉如意主题球杆，品质等级S</t>
  </si>
  <si>
    <t>icon_100431</t>
  </si>
  <si>
    <t>玉如意主题球杆，品质等级SS</t>
  </si>
  <si>
    <t>玉如意主题球杆，品质等级SSS</t>
  </si>
  <si>
    <t>玉如意主题球杆，品质等级A</t>
  </si>
  <si>
    <t>枫叶团扇</t>
  </si>
  <si>
    <t>枫叶团扇主题球杆，品质等级S</t>
  </si>
  <si>
    <t>icon_100441</t>
  </si>
  <si>
    <t>枫叶团扇主题球杆，品质等级SS</t>
  </si>
  <si>
    <t>枫叶团扇主题球杆，品质等级SSS</t>
  </si>
  <si>
    <t>枫叶团扇主题球杆，品质等级A</t>
  </si>
  <si>
    <t>白色死神</t>
  </si>
  <si>
    <t>白色死神主题球杆，品质等级S</t>
  </si>
  <si>
    <t>icon_100451</t>
  </si>
  <si>
    <t>白色死神主题球杆，品质等级SS</t>
  </si>
  <si>
    <t>白色死神主题球杆，品质等级SSS</t>
  </si>
  <si>
    <t>虎头虎脑</t>
  </si>
  <si>
    <t>虎头虎脑主题球杆，品质等级S</t>
  </si>
  <si>
    <t>icon_100461</t>
  </si>
  <si>
    <t>虎头虎脑主题球杆，品质等级SS</t>
  </si>
  <si>
    <t>虎头虎脑主题球杆，品质等级SSS</t>
  </si>
  <si>
    <t>七彩缤纷</t>
  </si>
  <si>
    <t>七彩缤纷主题球杆，品质等级A</t>
  </si>
  <si>
    <t>翠绿球杆</t>
  </si>
  <si>
    <t>翠绿色彩主题球杆，品质等级A</t>
  </si>
  <si>
    <t>豹纹迷幻</t>
  </si>
  <si>
    <t>豹纹迷幻主题球杆，品质等级A</t>
  </si>
  <si>
    <t>奶牛球杆</t>
  </si>
  <si>
    <t>奶牛主题球杆，品质等级A</t>
  </si>
  <si>
    <t>炙热金属</t>
  </si>
  <si>
    <t>炙热金属主题球杆，品质等级A</t>
  </si>
  <si>
    <t>彩带飘飘</t>
  </si>
  <si>
    <t>彩带飘飘主题球杆，品质等级A</t>
  </si>
  <si>
    <t>无华球杆</t>
  </si>
  <si>
    <t>无华主题球杆，品质等级A</t>
  </si>
  <si>
    <t>传统球杆</t>
  </si>
  <si>
    <t>传统主题球杆，品质等级A</t>
  </si>
  <si>
    <t>皮质球杆</t>
  </si>
  <si>
    <t>皮质主题球杆，品质等级A</t>
  </si>
  <si>
    <t>紫檀木</t>
  </si>
  <si>
    <t>紫檀木主题球杆，品质等级A</t>
  </si>
  <si>
    <t>紫色球杆</t>
  </si>
  <si>
    <t>紫色主题球杆，品质等级A</t>
  </si>
  <si>
    <t>古老图腾</t>
  </si>
  <si>
    <t>古老图腾主题球杆，品质等级A</t>
  </si>
  <si>
    <t>水晶球杆</t>
  </si>
  <si>
    <t>水晶主题球杆，品质等级A</t>
  </si>
  <si>
    <t>青竹</t>
  </si>
  <si>
    <t>青竹主题球杆，品质等级A</t>
  </si>
  <si>
    <t>白骨</t>
  </si>
  <si>
    <t>白骨主题球杆，品质等级A</t>
  </si>
  <si>
    <t>凛冽冰川</t>
  </si>
  <si>
    <t>凛冽冰川主题球杆，品质等级A</t>
  </si>
  <si>
    <t>炽热火焰</t>
  </si>
  <si>
    <t>炽热火焰主题球杆，品质等级A</t>
  </si>
  <si>
    <t>七彩宝石</t>
  </si>
  <si>
    <t>七彩宝石主题球杆，品质等级A</t>
  </si>
  <si>
    <t>青花瓷</t>
  </si>
  <si>
    <t>青花瓷主题球杆，品质等级A</t>
  </si>
  <si>
    <t>丛林迷彩</t>
  </si>
  <si>
    <t>丛林迷彩主题球杆，品质等级A</t>
  </si>
  <si>
    <t>碧绿翡翠</t>
  </si>
  <si>
    <t>碧绿翡翠主题球杆，品质等级A</t>
  </si>
  <si>
    <t>古董球杆</t>
  </si>
  <si>
    <t>古董主题球杆，品质等级A</t>
  </si>
  <si>
    <t>科技球杆</t>
  </si>
  <si>
    <t>科技主题球杆，品质等级A</t>
  </si>
  <si>
    <t>鳄鱼球杆</t>
  </si>
  <si>
    <t>鳄鱼主题球杆，品质等级A</t>
  </si>
  <si>
    <t>绚丽多彩</t>
  </si>
  <si>
    <t>绚丽多彩主题球杆，品质等级A</t>
  </si>
  <si>
    <t>混搭球杆</t>
  </si>
  <si>
    <t>混搭主题球杆，品质等级A</t>
  </si>
  <si>
    <t>星空璀璨</t>
  </si>
  <si>
    <t>星空璀璨主题球杆，品质等级A</t>
  </si>
  <si>
    <t>宝石球杆</t>
  </si>
  <si>
    <t>宝石主题球杆，品质等级A</t>
  </si>
  <si>
    <t>四叶草</t>
  </si>
  <si>
    <t>四叶草主题球杆，品质等级A</t>
  </si>
  <si>
    <t>铅笔</t>
  </si>
  <si>
    <t>铅笔主题球杆，品质等级A</t>
  </si>
  <si>
    <t>绿茵驰骋</t>
  </si>
  <si>
    <t>绿茵活动专属球杆，品质等级S</t>
  </si>
  <si>
    <t>icon_100812</t>
  </si>
  <si>
    <t>绿茵活动专属球杆，品质等级SS</t>
  </si>
  <si>
    <t>绿茵活动专属球杆，品质等级SSS</t>
  </si>
  <si>
    <t>icon_100813</t>
  </si>
  <si>
    <t>绿茵活动专属球杆，品质等级A</t>
  </si>
  <si>
    <t>icon_100811</t>
  </si>
  <si>
    <t>龙凤呈祥</t>
  </si>
  <si>
    <t>新春活动专属球杆，品质等级SSS</t>
  </si>
  <si>
    <t>icon_100824</t>
  </si>
  <si>
    <t>鸿运萝卜</t>
  </si>
  <si>
    <t>新春活动专属球杆，品质等级A</t>
  </si>
  <si>
    <t>icon_100834</t>
  </si>
  <si>
    <t>新春活动专属球杆，品质等级S</t>
  </si>
  <si>
    <t>新春活动专属球杆，品质等级SS</t>
  </si>
  <si>
    <t>上上签</t>
  </si>
  <si>
    <t>icon_100841</t>
  </si>
  <si>
    <t>icon_100842</t>
  </si>
  <si>
    <t>icon_100843</t>
  </si>
  <si>
    <t>icon_100844</t>
  </si>
  <si>
    <t>吉运锦鲤</t>
  </si>
  <si>
    <t>寻宝之路活动专属球杆，品质等级SS</t>
  </si>
  <si>
    <t>icon_100853</t>
  </si>
  <si>
    <t>寻宝之路活动专属球杆，品质等级SSS</t>
  </si>
  <si>
    <t>icon_100854</t>
  </si>
  <si>
    <t>黄金闪耀</t>
  </si>
  <si>
    <t>黄金段位专属球杆，品质等级B</t>
  </si>
  <si>
    <t>icon_100863</t>
  </si>
  <si>
    <t>黄金段位专属球杆，品质等级A</t>
  </si>
  <si>
    <t>黄金段位专属球杆，品质等级S</t>
  </si>
  <si>
    <t>真爱花束</t>
  </si>
  <si>
    <t>情缘夺宝活动专属球杆，品质等级S</t>
  </si>
  <si>
    <t>icon_100874</t>
  </si>
  <si>
    <t>情缘夺宝活动专属球杆，品质等级SS</t>
  </si>
  <si>
    <t>情缘夺宝活动专属球杆，品质等级SSS</t>
  </si>
  <si>
    <t>至尊皇权</t>
  </si>
  <si>
    <t>至尊皇权主题球杆，品质等级A</t>
  </si>
  <si>
    <t>icon_100884</t>
  </si>
  <si>
    <t>至尊皇权主题球杆，品质等级S</t>
  </si>
  <si>
    <t>至尊皇权主题球杆，品质等级SS</t>
  </si>
  <si>
    <t>至尊皇权主题球杆，品质等级SSS</t>
  </si>
  <si>
    <t>梦幻学园</t>
  </si>
  <si>
    <t>梦幻学园主题球杆，品质等级SSS</t>
  </si>
  <si>
    <t>icon_100894</t>
  </si>
  <si>
    <t>弧电枪</t>
  </si>
  <si>
    <t>弧电枪主题球杆，品质等级S</t>
  </si>
  <si>
    <t>icon_100914</t>
  </si>
  <si>
    <t>弧电枪主题球杆，品质等级SS</t>
  </si>
  <si>
    <t>弧电枪主题球杆，品质等级SSS</t>
  </si>
  <si>
    <t>核心驱动</t>
  </si>
  <si>
    <t>核心驱动主题球杆，品质等级S</t>
  </si>
  <si>
    <t>icon_100924</t>
  </si>
  <si>
    <t>核心驱动主题球杆，品质等级SS</t>
  </si>
  <si>
    <t>核心驱动主题球杆，品质等级SSS</t>
  </si>
  <si>
    <t>愿者上钩</t>
  </si>
  <si>
    <t>愿者上钩主题球杆，品质等级S</t>
  </si>
  <si>
    <t>icon_100934</t>
  </si>
  <si>
    <t>愿者上钩主题球杆，品质等级SS</t>
  </si>
  <si>
    <t>愿者上钩主题球杆，品质等级SSS</t>
  </si>
  <si>
    <t>桃之夭夭</t>
  </si>
  <si>
    <t>桃之夭夭主题球杆，品质等级S</t>
  </si>
  <si>
    <t>icon_100944</t>
  </si>
  <si>
    <t>桃之夭夭主题球杆，品质等级SS</t>
  </si>
  <si>
    <t>桃之夭夭主题球杆，品质等级SSS</t>
  </si>
  <si>
    <t>神圣羽杖</t>
  </si>
  <si>
    <t>神圣羽杖主题球杆，品质等级S</t>
  </si>
  <si>
    <t>icon_100952</t>
  </si>
  <si>
    <t>神圣羽杖主题球杆，品质等级SS</t>
  </si>
  <si>
    <t>icon_100953</t>
  </si>
  <si>
    <t>神圣羽杖主题球杆，品质等级SSS</t>
  </si>
  <si>
    <t>icon_100954</t>
  </si>
  <si>
    <t>蓝梦月泪</t>
  </si>
  <si>
    <t>蓝梦月泪主题球杆，品质等级S</t>
  </si>
  <si>
    <t>icon_100962</t>
  </si>
  <si>
    <t>蓝梦月泪主题球杆，品质等级SS</t>
  </si>
  <si>
    <t>icon_100963</t>
  </si>
  <si>
    <t>蓝梦月泪主题球杆，品质等级SSS</t>
  </si>
  <si>
    <t>icon_100964</t>
  </si>
  <si>
    <t>祥瑞之星</t>
  </si>
  <si>
    <t>祥瑞之星主题球杆，品质等级S</t>
  </si>
  <si>
    <t>icon_100972</t>
  </si>
  <si>
    <t>祥瑞之星主题球杆，品质等级SS</t>
  </si>
  <si>
    <t>icon_100973</t>
  </si>
  <si>
    <t>祥瑞之星主题球杆，品质等级SSS</t>
  </si>
  <si>
    <t>icon_100974</t>
  </si>
  <si>
    <t>樱韵霜芒</t>
  </si>
  <si>
    <t>樱韵霜芒主题球杆，品质等级S</t>
  </si>
  <si>
    <t>icon_100982</t>
  </si>
  <si>
    <t>樱韵霜芒主题球杆，品质等级SS</t>
  </si>
  <si>
    <t>icon_100983</t>
  </si>
  <si>
    <t>樱韵霜芒主题球杆，品质等级SSS</t>
  </si>
  <si>
    <t>icon_100984</t>
  </si>
  <si>
    <t>翠竹清韵</t>
  </si>
  <si>
    <t>翠竹清韵主题球杆，品质等级S</t>
  </si>
  <si>
    <t>icon_100992</t>
  </si>
  <si>
    <t>翠竹清韵主题球杆，品质等级SS</t>
  </si>
  <si>
    <t>icon_100993</t>
  </si>
  <si>
    <t>翠竹清韵主题球杆，品质等级SSS</t>
  </si>
  <si>
    <t>icon_100994</t>
  </si>
  <si>
    <t>墨韵留香</t>
  </si>
  <si>
    <t>墨韵留香主题球杆，品质等级S</t>
  </si>
  <si>
    <t>icon_101002</t>
  </si>
  <si>
    <t>墨韵留香主题球杆，品质等级SS</t>
  </si>
  <si>
    <t>icon_101003</t>
  </si>
  <si>
    <t>墨韵留香主题球杆，品质等级SSS</t>
  </si>
  <si>
    <t>icon_101004</t>
  </si>
  <si>
    <t>海洋之心</t>
  </si>
  <si>
    <t>海洋之心主题球杆，品质等级S</t>
  </si>
  <si>
    <t>icon_101012</t>
  </si>
  <si>
    <t>海洋之心主题球杆，品质等级SS</t>
  </si>
  <si>
    <t>icon_101013</t>
  </si>
  <si>
    <t>海洋之心主题球杆，品质等级SSS</t>
  </si>
  <si>
    <t>icon_101014</t>
  </si>
  <si>
    <t>笔落春秋</t>
  </si>
  <si>
    <t>笔落春秋主题球杆，品质等级S</t>
  </si>
  <si>
    <t>icon_101022</t>
  </si>
  <si>
    <t>笔落春秋主题球杆，品质等级SS</t>
  </si>
  <si>
    <t>icon_101023</t>
  </si>
  <si>
    <t>笔落春秋主题球杆，品质等级SSS</t>
  </si>
  <si>
    <t>icon_101024</t>
  </si>
  <si>
    <t>冰源风暴</t>
  </si>
  <si>
    <t>冰源风暴主题球杆，品质等级S</t>
  </si>
  <si>
    <t>icon_101032</t>
  </si>
  <si>
    <t>冰源风暴主题球杆，品质等级SS</t>
  </si>
  <si>
    <t>icon_101033</t>
  </si>
  <si>
    <t>冰源风暴主题球杆，品质等级SSS</t>
  </si>
  <si>
    <t>icon_101034</t>
  </si>
  <si>
    <t>凤羽流霞</t>
  </si>
  <si>
    <t>凤羽流霞主题球杆，品质等级S</t>
  </si>
  <si>
    <t>icon_101042</t>
  </si>
  <si>
    <t>凤羽流霞主题球杆，品质等级SS</t>
  </si>
  <si>
    <t>icon_101043</t>
  </si>
  <si>
    <t>凤羽流霞主题球杆，品质等级SSS</t>
  </si>
  <si>
    <t>icon_101044</t>
  </si>
  <si>
    <t>守护之刃</t>
  </si>
  <si>
    <t>守护之刃主题球杆，品质等级S</t>
  </si>
  <si>
    <t>icon_101052</t>
  </si>
  <si>
    <t>守护之刃主题球杆，品质等级SS</t>
  </si>
  <si>
    <t>icon_101053</t>
  </si>
  <si>
    <t>守护之刃主题球杆，品质等级SSS</t>
  </si>
  <si>
    <t>icon_101054</t>
  </si>
  <si>
    <t>金色权杖</t>
  </si>
  <si>
    <t>金色权杖主题球杆，品质等级S</t>
  </si>
  <si>
    <t>icon_101062</t>
  </si>
  <si>
    <t>金色权杖主题球杆，品质等级SS</t>
  </si>
  <si>
    <t>icon_101063</t>
  </si>
  <si>
    <t>金色权杖主题球杆，品质等级SSS</t>
  </si>
  <si>
    <t>icon_101064</t>
  </si>
  <si>
    <t>澄心定意</t>
  </si>
  <si>
    <t>澄心定意主题球杆，品质等级S</t>
  </si>
  <si>
    <t>icon_101072</t>
  </si>
  <si>
    <t>澄心定意主题球杆，品质等级SS</t>
  </si>
  <si>
    <t>icon_101073</t>
  </si>
  <si>
    <t>澄心定意主题球杆，品质等级SSS</t>
  </si>
  <si>
    <t>icon_101074</t>
  </si>
  <si>
    <t>术士权杖</t>
  </si>
  <si>
    <t>术士权杖主题球杆，品质等级S</t>
  </si>
  <si>
    <t>icon_101082</t>
  </si>
  <si>
    <t>术士权杖主题球杆，品质等级SS</t>
  </si>
  <si>
    <t>icon_101083</t>
  </si>
  <si>
    <t>术士权杖主题球杆，品质等级SSS</t>
  </si>
  <si>
    <t>icon_101084</t>
  </si>
  <si>
    <t>惩戒之刃</t>
  </si>
  <si>
    <t>惩戒之刃主题球杆，品质等级S</t>
  </si>
  <si>
    <t>icon_101092</t>
  </si>
  <si>
    <t>惩戒之刃主题球杆，品质等级SS</t>
  </si>
  <si>
    <t>icon_101093</t>
  </si>
  <si>
    <t>惩戒之刃主题球杆，品质等级SSS</t>
  </si>
  <si>
    <t>icon_101094</t>
  </si>
  <si>
    <t>川流之径</t>
  </si>
  <si>
    <t>川流之径主题球杆，品质等级S</t>
  </si>
  <si>
    <t>icon_101102</t>
  </si>
  <si>
    <t>川流之径主题球杆，品质等级SS</t>
  </si>
  <si>
    <t>icon_101103</t>
  </si>
  <si>
    <t>川流之径主题球杆，品质等级SSS</t>
  </si>
  <si>
    <t>icon_101104</t>
  </si>
  <si>
    <t>秩序之矛</t>
  </si>
  <si>
    <t>秩序之矛主题球杆，品质等级S</t>
  </si>
  <si>
    <t>icon_101112</t>
  </si>
  <si>
    <t>秩序之矛主题球杆，品质等级SS</t>
  </si>
  <si>
    <t>icon_101113</t>
  </si>
  <si>
    <t>秩序之矛主题球杆，品质等级SSS</t>
  </si>
  <si>
    <t>icon_101114</t>
  </si>
  <si>
    <t>部落图腾</t>
  </si>
  <si>
    <t>部落图腾主题球杆，品质等级S</t>
  </si>
  <si>
    <t>icon_101122</t>
  </si>
  <si>
    <t>部落图腾主题球杆，品质等级SS</t>
  </si>
  <si>
    <t>icon_101123</t>
  </si>
  <si>
    <t>部落图腾主题球杆，品质等级SSS</t>
  </si>
  <si>
    <t>icon_101124</t>
  </si>
  <si>
    <t>蒸汽核心</t>
  </si>
  <si>
    <t>蒸汽核心主题球杆，品质等级S</t>
  </si>
  <si>
    <t>icon_101132</t>
  </si>
  <si>
    <t>蒸汽核心主题球杆，品质等级SS</t>
  </si>
  <si>
    <t>icon_101133</t>
  </si>
  <si>
    <t>蒸汽核心主题球杆，品质等级SSS</t>
  </si>
  <si>
    <t>icon_101134</t>
  </si>
  <si>
    <t>箬竹翠韵</t>
  </si>
  <si>
    <t>箬竹翠韵主题球杆，品质等级A</t>
  </si>
  <si>
    <t>icon_101142</t>
  </si>
  <si>
    <t>箬竹翠韵主题球杆，品质等级S</t>
  </si>
  <si>
    <t>箬竹翠韵主题球杆，品质等级SS</t>
  </si>
  <si>
    <t>icon_101143</t>
  </si>
  <si>
    <t>箬竹翠韵主题球杆，品质等级SSS</t>
  </si>
  <si>
    <t>icon_101144</t>
  </si>
  <si>
    <t>黛玉龙骧</t>
  </si>
  <si>
    <t>黛玉龙骧主题球杆，品质等级S</t>
  </si>
  <si>
    <t>icon_101152</t>
  </si>
  <si>
    <t>黛玉龙骧主题球杆，品质等级SS</t>
  </si>
  <si>
    <t>icon_101153</t>
  </si>
  <si>
    <t>黛玉龙骧主题球杆，品质等级SSS</t>
  </si>
  <si>
    <t>icon_101154</t>
  </si>
  <si>
    <t>武侠古风球杆S</t>
  </si>
  <si>
    <t>icon_101162</t>
  </si>
  <si>
    <t>武侠古风球杆SS</t>
  </si>
  <si>
    <t>icon_101163</t>
  </si>
  <si>
    <t>武侠古风球杆SSS</t>
  </si>
  <si>
    <t>icon_101164</t>
  </si>
  <si>
    <t>雅典娜</t>
  </si>
  <si>
    <t>雅典娜主题球杆，品质等级Z</t>
  </si>
  <si>
    <t>海王三叉戟</t>
  </si>
  <si>
    <t>海王三叉戟主题球杆，品质等级SSS</t>
  </si>
  <si>
    <t>白羊座</t>
  </si>
  <si>
    <t>金牛座</t>
  </si>
  <si>
    <t>双子座</t>
  </si>
  <si>
    <t>巨蟹座</t>
  </si>
  <si>
    <t>狮子座</t>
  </si>
  <si>
    <t>处女座</t>
  </si>
  <si>
    <t>天秤座</t>
  </si>
  <si>
    <t>天蝎座</t>
  </si>
  <si>
    <t>射手座</t>
  </si>
  <si>
    <t>魔羯座</t>
  </si>
  <si>
    <t>水瓶座</t>
  </si>
  <si>
    <t>双鱼座</t>
  </si>
  <si>
    <t>如意金箍棒</t>
  </si>
  <si>
    <t>icon_101314</t>
  </si>
  <si>
    <t>圣光祈福</t>
  </si>
  <si>
    <t>圣光祈福主题球杆，品质等级S</t>
  </si>
  <si>
    <t>icon_101322</t>
  </si>
  <si>
    <t>圣光祈福主题球杆，品质等级SS</t>
  </si>
  <si>
    <t>icon_101323</t>
  </si>
  <si>
    <t>圣光祈福主题球杆，品质等级SSS</t>
  </si>
  <si>
    <t>icon_101324</t>
  </si>
  <si>
    <t>炽热阳炎</t>
  </si>
  <si>
    <t>炽热阳炎主题球杆，品质等级S</t>
  </si>
  <si>
    <t>icon_101332</t>
  </si>
  <si>
    <t>炽热阳炎主题球杆，品质等级SS</t>
  </si>
  <si>
    <t>icon_101333</t>
  </si>
  <si>
    <t>炽热阳炎主题球杆，品质等级SSS</t>
  </si>
  <si>
    <t>icon_101334</t>
  </si>
  <si>
    <t>茱影浮翠</t>
  </si>
  <si>
    <t>茱影浮翠主题球杆，品质等级A</t>
  </si>
  <si>
    <t>icon_101342</t>
  </si>
  <si>
    <t>茱影浮翠主题球杆，品质等级S</t>
  </si>
  <si>
    <t>茱影浮翠主题球杆，品质等级SS</t>
  </si>
  <si>
    <t>icon_101343</t>
  </si>
  <si>
    <t>茱影浮翠主题球杆，品质等级SSS</t>
  </si>
  <si>
    <t>icon_101344</t>
  </si>
  <si>
    <t>敦煌琴音</t>
  </si>
  <si>
    <t>敦煌琴音主题球杆，品质等级S</t>
  </si>
  <si>
    <t>icon_101352</t>
  </si>
  <si>
    <t>敦煌琴音主题球杆，品质等级SS</t>
  </si>
  <si>
    <t>icon_101353</t>
  </si>
  <si>
    <t>敦煌琴音主题球杆，品质等级SSS</t>
  </si>
  <si>
    <t>icon_101354</t>
  </si>
  <si>
    <t>箜篌踏歌</t>
  </si>
  <si>
    <t>箜篌踏歌主题球杆，品质等级S</t>
  </si>
  <si>
    <t>icon_101362</t>
  </si>
  <si>
    <t>箜篌踏歌主题球杆，品质等级SS</t>
  </si>
  <si>
    <t>icon_101363</t>
  </si>
  <si>
    <t>箜篌踏歌主题球杆，品质等级SSS</t>
  </si>
  <si>
    <t>icon_101364</t>
  </si>
  <si>
    <t>幻影萧萧</t>
  </si>
  <si>
    <t>幻影萧萧主题球杆，品质等级S</t>
  </si>
  <si>
    <t>icon_101372</t>
  </si>
  <si>
    <t>幻影萧萧主题球杆，品质等级SS</t>
  </si>
  <si>
    <t>icon_101373</t>
  </si>
  <si>
    <t>幻影萧萧主题球杆，品质等级SSS</t>
  </si>
  <si>
    <t>icon_101374</t>
  </si>
  <si>
    <t>孔翠鸣筝</t>
  </si>
  <si>
    <t>孔翠鸣筝主题球杆，品质等级S</t>
  </si>
  <si>
    <t>icon_101382</t>
  </si>
  <si>
    <t>孔翠鸣筝主题球杆，品质等级SS</t>
  </si>
  <si>
    <t>icon_101383</t>
  </si>
  <si>
    <t>孔翠鸣筝主题球杆，品质等级SSS</t>
  </si>
  <si>
    <t>icon_101384</t>
  </si>
  <si>
    <t>梦幻琴海</t>
  </si>
  <si>
    <t>梦幻琴海主题球杆，品质等级S</t>
  </si>
  <si>
    <t>icon_101392</t>
  </si>
  <si>
    <t>梦幻琴海主题球杆，品质等级SS</t>
  </si>
  <si>
    <t>icon_101393</t>
  </si>
  <si>
    <t>梦幻琴海主题球杆，品质等级SSS</t>
  </si>
  <si>
    <t>icon_101394</t>
  </si>
  <si>
    <t>山雨箭来</t>
  </si>
  <si>
    <t>山雨箭来主题球杆，品质等级S</t>
  </si>
  <si>
    <t>icon_101402</t>
  </si>
  <si>
    <t>山雨箭来主题球杆，品质等级SS</t>
  </si>
  <si>
    <t>icon_101403</t>
  </si>
  <si>
    <t>山雨箭来主题球杆，品质等级SSS</t>
  </si>
  <si>
    <t>icon_101404</t>
  </si>
  <si>
    <t>剑影飒沓</t>
  </si>
  <si>
    <t>剑影飒沓主题球杆，品质等级S</t>
  </si>
  <si>
    <t>icon_101412</t>
  </si>
  <si>
    <t>剑影飒沓主题球杆，品质等级SS</t>
  </si>
  <si>
    <t>icon_101413</t>
  </si>
  <si>
    <t>剑影飒沓主题球杆，品质等级SSS</t>
  </si>
  <si>
    <t>icon_101414</t>
  </si>
  <si>
    <t>花飞鹤舞</t>
  </si>
  <si>
    <t>花飞鹤舞主题球杆，品质等级S</t>
  </si>
  <si>
    <t>icon_101422</t>
  </si>
  <si>
    <t>花飞鹤舞主题球杆，品质等级SS</t>
  </si>
  <si>
    <t>icon_101423</t>
  </si>
  <si>
    <t>花飞鹤舞主题球杆，品质等级SSS</t>
  </si>
  <si>
    <t>icon_101424</t>
  </si>
  <si>
    <t>紫青宝剑</t>
  </si>
  <si>
    <t>icon_101434</t>
  </si>
  <si>
    <t>icon_101444</t>
  </si>
  <si>
    <t>张灯结彩</t>
  </si>
  <si>
    <t>张灯结彩主题球杆，品质等级A</t>
  </si>
  <si>
    <t>icon_101452</t>
  </si>
  <si>
    <t>张灯结彩主题球杆，品质等级S</t>
  </si>
  <si>
    <t>张灯结彩主题球杆，品质等级SS</t>
  </si>
  <si>
    <t>icon_101453</t>
  </si>
  <si>
    <t>张灯结彩主题球杆，品质等级SSS</t>
  </si>
  <si>
    <t>icon_101454</t>
  </si>
  <si>
    <t>icon_101462</t>
  </si>
  <si>
    <t>icon_101463</t>
  </si>
  <si>
    <t>icon_101464</t>
  </si>
  <si>
    <t>A级满星地狱火焰</t>
  </si>
  <si>
    <t>S级满星地狱火焰</t>
  </si>
  <si>
    <t>SS级满星地狱火焰</t>
  </si>
  <si>
    <t>SSS级满星地狱火焰</t>
  </si>
  <si>
    <t>S级满星国色天香</t>
  </si>
  <si>
    <t>SS级满星国色天香</t>
  </si>
  <si>
    <t>SSS级满星国色天香</t>
  </si>
  <si>
    <t>A级满星白银球杆</t>
  </si>
  <si>
    <t>S级满星骑士长枪</t>
  </si>
  <si>
    <t>SS级满星骑士长枪</t>
  </si>
  <si>
    <t>SSS级满星骑士长枪</t>
  </si>
  <si>
    <t>A级满星骑士长枪</t>
  </si>
  <si>
    <t>A级满星如鱼得水</t>
  </si>
  <si>
    <t>S级满星如鱼得水</t>
  </si>
  <si>
    <t>SS级满星如鱼得水</t>
  </si>
  <si>
    <t>SSS级满星如鱼得水</t>
  </si>
  <si>
    <t>A级满星街头潮牌</t>
  </si>
  <si>
    <t>S级满星街头潮牌</t>
  </si>
  <si>
    <t>SS级满星街头潮牌</t>
  </si>
  <si>
    <t>S级满星紫金葫芦</t>
  </si>
  <si>
    <t>SS级满星紫金葫芦</t>
  </si>
  <si>
    <t>SSS级满星紫金葫芦</t>
  </si>
  <si>
    <t>S级满星黑色琴键</t>
  </si>
  <si>
    <t>SS级满星黑色琴键</t>
  </si>
  <si>
    <t>SSS级满星黑色琴键</t>
  </si>
  <si>
    <t>S级满星电音吉他</t>
  </si>
  <si>
    <t>SS级满星电音吉他</t>
  </si>
  <si>
    <t>SSS级满星电音吉他</t>
  </si>
  <si>
    <t>S级满星台球麦霸</t>
  </si>
  <si>
    <t>SS级满星台球麦霸</t>
  </si>
  <si>
    <t>SSS级满星台球麦霸</t>
  </si>
  <si>
    <t>SS级满星喵星物语</t>
  </si>
  <si>
    <t>SSS级满星喵星物语</t>
  </si>
  <si>
    <t>S级满星喵星物语</t>
  </si>
  <si>
    <t>S级满星夏日海滩</t>
  </si>
  <si>
    <t>SS级满星夏日海滩</t>
  </si>
  <si>
    <t>SSS级满星夏日海滩</t>
  </si>
  <si>
    <t>S级满星圣诞糖果</t>
  </si>
  <si>
    <t>SS级满星圣诞糖果</t>
  </si>
  <si>
    <t>SSS级满星圣诞糖果</t>
  </si>
  <si>
    <t>S级满星圣诞树</t>
  </si>
  <si>
    <t>SS级满星圣诞树</t>
  </si>
  <si>
    <t>SSS级满星圣诞树</t>
  </si>
  <si>
    <t>A级满星圣诞树</t>
  </si>
  <si>
    <t>A级满星黄铜球杆</t>
  </si>
  <si>
    <t>S级满星梅花三弄</t>
  </si>
  <si>
    <t>SS级满星梅花三弄</t>
  </si>
  <si>
    <t>SSS级满星梅花三弄</t>
  </si>
  <si>
    <t>S级0星龙回头</t>
  </si>
  <si>
    <t>S级满星龙回头</t>
  </si>
  <si>
    <t>SS级满星龙回头</t>
  </si>
  <si>
    <t>SSS级满星龙回头</t>
  </si>
  <si>
    <t>A级满星龙回头</t>
  </si>
  <si>
    <t>SS级满星成就大师</t>
  </si>
  <si>
    <t>A级满星台球达人</t>
  </si>
  <si>
    <t>S级满星台球达人</t>
  </si>
  <si>
    <t>SS级满星台球达人</t>
  </si>
  <si>
    <t>SSS级满星台球达人</t>
  </si>
  <si>
    <t>S级满星雄鹰权杖</t>
  </si>
  <si>
    <t>SS级满星雄鹰权杖</t>
  </si>
  <si>
    <t>SSS级满星雄鹰权杖</t>
  </si>
  <si>
    <t>A级满星双龙戏珠</t>
  </si>
  <si>
    <t>S级满星双龙戏珠</t>
  </si>
  <si>
    <t>SS级满星双龙戏珠</t>
  </si>
  <si>
    <t>A级满星流光宝石</t>
  </si>
  <si>
    <t>A级满星枫叶</t>
  </si>
  <si>
    <t>S级满星劳动光荣</t>
  </si>
  <si>
    <t>A级满星楠木球杆</t>
  </si>
  <si>
    <t>A级满星智慧权杖</t>
  </si>
  <si>
    <t>A级满星权力之杖</t>
  </si>
  <si>
    <t>A级满星橡木球杆</t>
  </si>
  <si>
    <t>S级满星方天画戟</t>
  </si>
  <si>
    <t>SS级满星方天画戟</t>
  </si>
  <si>
    <t>SSS级满星方天画戟</t>
  </si>
  <si>
    <t>S级满星青龙偃月</t>
  </si>
  <si>
    <t>SS级满星青龙偃月</t>
  </si>
  <si>
    <t>SSS级满星青龙偃月</t>
  </si>
  <si>
    <t>Z级满星青龙偃月</t>
  </si>
  <si>
    <t>S级满星法老权杖</t>
  </si>
  <si>
    <t>SS级满星法老权杖</t>
  </si>
  <si>
    <t>SSS级满星法老权杖</t>
  </si>
  <si>
    <t>S级满星龙胆亮银</t>
  </si>
  <si>
    <t>SS级满星龙胆亮银</t>
  </si>
  <si>
    <t>SSS级满星龙胆亮银</t>
  </si>
  <si>
    <t>S级满星哪吒</t>
  </si>
  <si>
    <t>SS级满星哪吒</t>
  </si>
  <si>
    <t>SSS级满星哪吒</t>
  </si>
  <si>
    <t>S级满星DBA星耀</t>
  </si>
  <si>
    <t>SS级满星DBA星耀</t>
  </si>
  <si>
    <t>SSS级满星DBA星耀</t>
  </si>
  <si>
    <t>A级满星DBA悟道</t>
  </si>
  <si>
    <t>S级满星DBA悟道</t>
  </si>
  <si>
    <t>S级满星丈八蛇矛</t>
  </si>
  <si>
    <t>SS级满星丈八蛇矛</t>
  </si>
  <si>
    <t>SSS级满星丈八蛇矛</t>
  </si>
  <si>
    <t>S级满星南瓜头</t>
  </si>
  <si>
    <t>SS级满星南瓜头</t>
  </si>
  <si>
    <t>SSS级满星南瓜头</t>
  </si>
  <si>
    <t>S级满星甜心宝贝</t>
  </si>
  <si>
    <t>SS级满星甜心宝贝</t>
  </si>
  <si>
    <t>SSS级满星甜心宝贝</t>
  </si>
  <si>
    <t>S级满星乌木球杆</t>
  </si>
  <si>
    <t>SS级满星乌木球杆</t>
  </si>
  <si>
    <t>SSS级满星乌木球杆</t>
  </si>
  <si>
    <t>S级满星玉如意</t>
  </si>
  <si>
    <t>SS级满星玉如意</t>
  </si>
  <si>
    <t>SSS级满星玉如意</t>
  </si>
  <si>
    <t>S级满星枫叶团扇</t>
  </si>
  <si>
    <t>SS级满星枫叶团扇</t>
  </si>
  <si>
    <t>SSS级满星枫叶团扇</t>
  </si>
  <si>
    <t>S级满星白色死神</t>
  </si>
  <si>
    <t>SS级满星白色死神</t>
  </si>
  <si>
    <t>SSS级满星白色死神</t>
  </si>
  <si>
    <t>S级满星虎头虎脑</t>
  </si>
  <si>
    <t>SS级满星虎头虎脑</t>
  </si>
  <si>
    <t>SSS级满星虎头虎脑</t>
  </si>
  <si>
    <t>S级满星绿茵驰骋</t>
  </si>
  <si>
    <t>SS级满星绿茵驰骋</t>
  </si>
  <si>
    <t>SSS级满星绿茵驰骋</t>
  </si>
  <si>
    <t>A级满星绿茵驰骋</t>
  </si>
  <si>
    <t>SSS级满星龙凤呈祥</t>
  </si>
  <si>
    <t>A级满星鸿运萝卜</t>
  </si>
  <si>
    <t>S级满星鸿运萝卜</t>
  </si>
  <si>
    <t>SS级满星鸿运萝卜</t>
  </si>
  <si>
    <t>SSS级满星鸿运萝卜</t>
  </si>
  <si>
    <t>A级满星上上签</t>
  </si>
  <si>
    <t>S级满星上上签</t>
  </si>
  <si>
    <t>SS级满星上上签</t>
  </si>
  <si>
    <t>SSS级满星上上签</t>
  </si>
  <si>
    <t>SS级满星吉运锦鲤</t>
  </si>
  <si>
    <t>SSS级满星吉运锦鲤</t>
  </si>
  <si>
    <t>B级满星黄金闪耀</t>
  </si>
  <si>
    <t>A级满星黄金闪耀</t>
  </si>
  <si>
    <t>S级满星黄金闪耀</t>
  </si>
  <si>
    <t>S级满星真爱花束</t>
  </si>
  <si>
    <t>SS级满星真爱花束</t>
  </si>
  <si>
    <t>SSS级满星真爱花束</t>
  </si>
  <si>
    <t>A级满星至尊皇权</t>
  </si>
  <si>
    <t>S级满星至尊皇权</t>
  </si>
  <si>
    <t>SS级满星至尊皇权</t>
  </si>
  <si>
    <t>SSS级满星至尊皇权</t>
  </si>
  <si>
    <t>SSS级满星梦幻学园</t>
  </si>
  <si>
    <t>S级满星弧电枪</t>
  </si>
  <si>
    <t>SS级满星弧电枪</t>
  </si>
  <si>
    <t>SSS级满星弧电枪</t>
  </si>
  <si>
    <t>S级满星核心驱动</t>
  </si>
  <si>
    <t>SS级满星核心驱动</t>
  </si>
  <si>
    <t>SSS级满星核心驱动</t>
  </si>
  <si>
    <t>S级满星愿者上钩</t>
  </si>
  <si>
    <t>SS级满星愿者上钩</t>
  </si>
  <si>
    <t>SSS级满星愿者上钩</t>
  </si>
  <si>
    <t>S级满星桃之夭夭</t>
  </si>
  <si>
    <t>SS级满星桃之夭夭</t>
  </si>
  <si>
    <t>SSS级满星桃之夭夭</t>
  </si>
  <si>
    <t>S级满星神圣羽杖</t>
  </si>
  <si>
    <t>SS级满星神圣羽杖</t>
  </si>
  <si>
    <t>SSS级满星神圣羽杖</t>
  </si>
  <si>
    <t>S级满星蓝梦月泪</t>
  </si>
  <si>
    <t>SS级满星蓝梦月泪</t>
  </si>
  <si>
    <t>SSS级满星蓝梦月泪</t>
  </si>
  <si>
    <t>地狱火焰主题试玩球杆，品质等级为S。</t>
  </si>
  <si>
    <t>地狱火焰主题试玩球杆，品质等级为SS。</t>
  </si>
  <si>
    <t>地狱火焰主球试玩球杆，品质等级为SSS。</t>
  </si>
  <si>
    <t>国色天香主题试玩球杆，品质为SS。</t>
  </si>
  <si>
    <t>国色天香主题试玩球杆，品质为SSS。</t>
  </si>
  <si>
    <t>骑士长枪主题试玩球杆，品质等级为S。</t>
  </si>
  <si>
    <t>骑士长枪主题试玩球杆，品质等级为SS。</t>
  </si>
  <si>
    <t>骑士长枪主题试玩球杆，品质等级为SSS。</t>
  </si>
  <si>
    <t>如鱼得水主题试玩球杆，品质等级为SS。</t>
  </si>
  <si>
    <t>如鱼得水主题试玩球杆，品质等级为SSS。</t>
  </si>
  <si>
    <t>街头潮牌主题试玩球杆，品质等级为S。</t>
  </si>
  <si>
    <t>街头潮牌主题试玩球杆，品质等级为SS。</t>
  </si>
  <si>
    <t>紫金葫芦主题试玩球杆，品质等级为S。</t>
  </si>
  <si>
    <t>紫金葫芦主题试玩球杆，品质等级为SS。</t>
  </si>
  <si>
    <t>紫金葫芦主球试玩球杆，品质等级为SSS。</t>
  </si>
  <si>
    <t>黑色琴键主题试玩球杆，品质等级为S。</t>
  </si>
  <si>
    <t>黑色琴键主题试玩球杆，品质等级为SS。</t>
  </si>
  <si>
    <t>黑色琴键主球试玩球杆，品质等级为SSS。</t>
  </si>
  <si>
    <t>电音吉他主题试玩球杆，品质等级为S。</t>
  </si>
  <si>
    <t>电音吉他主题试玩球杆，品质等级为SS。</t>
  </si>
  <si>
    <t>电音吉他主球试玩球杆，品质等级为SSS。</t>
  </si>
  <si>
    <t>台球麦霸主题试玩球杆，品质等级为S。</t>
  </si>
  <si>
    <t>台球麦霸主题试玩球杆，品质等级为SS。</t>
  </si>
  <si>
    <t>台球麦霸主球试玩球杆，品质等级为SSS。</t>
  </si>
  <si>
    <t>喵星物语主题试玩球杆，品质等级为SS。</t>
  </si>
  <si>
    <t>喵星物语主题试玩球杆，品质等级为SSS。</t>
  </si>
  <si>
    <t>喵星物语主题试玩球杆，品质等级为S。</t>
  </si>
  <si>
    <t>夏日海滩主题试玩球杆，品质等级为S。</t>
  </si>
  <si>
    <t>夏日海滩主题试玩球杆，品质等级为SS。</t>
  </si>
  <si>
    <t>夏日海滩主球试玩球杆，品质等级为SSS。</t>
  </si>
  <si>
    <t>圣诞糖果主题试玩球杆，品质等级为S。</t>
  </si>
  <si>
    <t>圣诞糖果主题试玩球杆，品质等级为SS。</t>
  </si>
  <si>
    <t>圣诞糖果主球试玩球杆，品质等级为SSS。</t>
  </si>
  <si>
    <t>圣诞树主题试玩球杆，品质等级为S。</t>
  </si>
  <si>
    <t>圣诞树主题试玩球杆，品质等级为SS。</t>
  </si>
  <si>
    <t>圣诞树主球试玩球杆，品质等级为SSS。</t>
  </si>
  <si>
    <t>梅花三弄主题试玩球杆，品质等级为S。</t>
  </si>
  <si>
    <t>龙回头主题试玩球杆，品质等级为S。</t>
  </si>
  <si>
    <t>龙回头主题试玩球杆，品质等级为SS。</t>
  </si>
  <si>
    <t>龙回头主题试玩球杆，品质等级为SSS。</t>
  </si>
  <si>
    <t>成就大师主题试玩球杆，品质等级为SS。</t>
  </si>
  <si>
    <t>台球达人主题试玩球杆，品质等级S</t>
  </si>
  <si>
    <t>台球达人主题试玩球杆，品质等级SS</t>
  </si>
  <si>
    <t>台球达人主题试玩球杆，品质等级SSS</t>
  </si>
  <si>
    <t>雄鹰权杖主题试玩球杆，品质等级S</t>
  </si>
  <si>
    <t>雄鹰权杖主题试玩球杆，品质等级SS</t>
  </si>
  <si>
    <t>雄鹰权杖主题试玩球杆，品质等级SSS</t>
  </si>
  <si>
    <t>双龙戏珠主题试玩球杆，品质等级S</t>
  </si>
  <si>
    <t>双龙戏珠主题试玩球杆，品质等级SS</t>
  </si>
  <si>
    <t>流光宝石主题试玩球杆，品质等级S</t>
  </si>
  <si>
    <t>枫叶主题试玩球杆，品质等级S</t>
  </si>
  <si>
    <t>五一主题试玩球杆，品质等级S</t>
  </si>
  <si>
    <t>五一主题试玩球杆，品质等级SS</t>
  </si>
  <si>
    <t>五一主题试玩球杆，品质等级SSS</t>
  </si>
  <si>
    <t>方天画戟主题试玩球杆，品质等级S</t>
  </si>
  <si>
    <t>方天画戟主题试玩球杆，品质等级SS</t>
  </si>
  <si>
    <t>方天画戟主题试玩球杆，品质等级SSS</t>
  </si>
  <si>
    <t>青龙偃月主题试玩球杆，品质等级S</t>
  </si>
  <si>
    <t>青龙偃月主题试玩球杆，品质等级SS</t>
  </si>
  <si>
    <t>青龙偃月主题试玩球杆，品质等级SSS</t>
  </si>
  <si>
    <t>青龙偃月主题试玩球杆，品质等级Z</t>
  </si>
  <si>
    <t>法老权杖主题试玩球杆，品质等级S</t>
  </si>
  <si>
    <t>法老权杖主题试玩球杆，品质等级SS</t>
  </si>
  <si>
    <t>法老权杖主题试玩球杆，品质等级SSS</t>
  </si>
  <si>
    <t>龙胆亮银主题试玩球杆，品质等级S</t>
  </si>
  <si>
    <t>龙胆亮银主题试玩球杆，品质等级SS</t>
  </si>
  <si>
    <t>龙胆亮银主题试玩球杆，品质等级SSS</t>
  </si>
  <si>
    <t>龙胆亮银主题试玩球杆，品质等级Z</t>
  </si>
  <si>
    <t>哪吒主题试玩球杆，品质等级S</t>
  </si>
  <si>
    <t>哪吒主题试玩球杆，品质等级SS</t>
  </si>
  <si>
    <t>哪吒主题试玩球杆，品质等级SSS</t>
  </si>
  <si>
    <t>DBA星耀主题试玩球杆，品质等级S</t>
  </si>
  <si>
    <t>DBA星耀主题试玩球杆，品质等级SS</t>
  </si>
  <si>
    <t>DBA星耀主题试玩球杆，品质等级SSS</t>
  </si>
  <si>
    <t>DBA悟道主题试玩球杆，品质等级S</t>
  </si>
  <si>
    <t>丈八蛇矛主题试玩球杆，品质等级S</t>
  </si>
  <si>
    <t>丈八蛇矛主题试玩球杆，品质等级SS</t>
  </si>
  <si>
    <t>丈八蛇矛主题试玩球杆，品质等级SSS</t>
  </si>
  <si>
    <t>南瓜头主题试玩球杆，品质等级S</t>
  </si>
  <si>
    <t>南瓜头主题试玩球杆，品质等级SS</t>
  </si>
  <si>
    <t>南瓜头主题试玩球杆，品质等级SSS</t>
  </si>
  <si>
    <t>甜心宝贝主题试玩球杆，品质等级S</t>
  </si>
  <si>
    <t>甜心宝贝主题试玩球杆，品质等级SS</t>
  </si>
  <si>
    <t>甜心宝贝主题试玩球杆，品质等级SSS</t>
  </si>
  <si>
    <t>乌木试玩球杆主题试玩球杆，品质等级S</t>
  </si>
  <si>
    <t>乌木试玩球杆主题试玩球杆，品质等级SS</t>
  </si>
  <si>
    <t>乌木试玩球杆主题试玩球杆，品质等级SSS</t>
  </si>
  <si>
    <t>玉如意主题试玩球杆，品质等级S</t>
  </si>
  <si>
    <t>玉如意主题试玩球杆，品质等级SS</t>
  </si>
  <si>
    <t>玉如意主题试玩球杆，品质等级SSS</t>
  </si>
  <si>
    <t>枫叶团扇主题试玩球杆，品质等级S</t>
  </si>
  <si>
    <t>枫叶团扇主题试玩球杆，品质等级SS</t>
  </si>
  <si>
    <t>枫叶团扇主题试玩球杆，品质等级SSS</t>
  </si>
  <si>
    <t>白色死神主题试玩球杆，品质等级S</t>
  </si>
  <si>
    <t>白色死神主题试玩球杆，品质等级SS</t>
  </si>
  <si>
    <t>白色死神主题试玩球杆，品质等级SSS</t>
  </si>
  <si>
    <t>虎头虎脑主题试玩球杆，品质等级S</t>
  </si>
  <si>
    <t>虎头虎脑主题试玩球杆，品质等级SS</t>
  </si>
  <si>
    <t>虎头虎脑主题试玩球杆，品质等级SSS</t>
  </si>
  <si>
    <t>绿茵活动专属试玩球杆，品质等级S</t>
  </si>
  <si>
    <t>绿茵活动专属试玩球杆，品质等级SS</t>
  </si>
  <si>
    <t>绿茵活动专属试玩球杆，品质等级SSS</t>
  </si>
  <si>
    <t>新春活动专属试玩球杆，品质等级S</t>
  </si>
  <si>
    <t>新春活动专属试玩球杆，品质等级SS</t>
  </si>
  <si>
    <t>新春活动专属试玩球杆，品质等级SSS</t>
  </si>
  <si>
    <t>寻宝之路活动专属试玩球杆，品质等级SS</t>
  </si>
  <si>
    <t>寻宝之路活动专属试玩球杆，品质等级SSS</t>
  </si>
  <si>
    <t>黄金段位专属试玩球杆，品质等级S</t>
  </si>
  <si>
    <t>情缘夺宝活动专属试玩球杆，品质等级S</t>
  </si>
  <si>
    <t>情缘夺宝活动专属试玩球杆，品质等级SS</t>
  </si>
  <si>
    <t>情缘夺宝活动专属试玩球杆，品质等级SSS</t>
  </si>
  <si>
    <t>至尊皇权主题试玩球杆，品质等级S</t>
  </si>
  <si>
    <t>至尊皇权主题试玩球杆，品质等级SS</t>
  </si>
  <si>
    <t>至尊皇权主题试玩球杆，品质等级SSS</t>
  </si>
  <si>
    <t>梦幻学园主题试玩球杆，品质等级SSS</t>
  </si>
  <si>
    <t>冰源风暴试玩球杆，品质等级S</t>
  </si>
  <si>
    <t>冰源风暴试玩球杆，品质等级SS</t>
  </si>
  <si>
    <t>冰源风暴试玩球杆，品质等级SSS</t>
  </si>
  <si>
    <t>弧电枪主题试玩球杆，品质等级S</t>
  </si>
  <si>
    <t>弧电枪主题试玩球杆，品质等级SS</t>
  </si>
  <si>
    <t>弧电枪主题试玩球杆，品质等级SSS</t>
  </si>
  <si>
    <t>核心驱动主题试玩球杆，品质等级S</t>
  </si>
  <si>
    <t>核心驱动主题试玩球杆，品质等级SS</t>
  </si>
  <si>
    <t>核心驱动主题试玩球杆，品质等级SSS</t>
  </si>
  <si>
    <t>愿者上钩主题试玩球杆，品质等级S</t>
  </si>
  <si>
    <t>愿者上钩主题试玩球杆，品质等级SS</t>
  </si>
  <si>
    <t>愿者上钩主题试玩球杆，品质等级SSS</t>
  </si>
  <si>
    <t>桃之夭夭主题试玩球杆，品质等级S</t>
  </si>
  <si>
    <t>桃之夭夭主题试玩球杆，品质等级SS</t>
  </si>
  <si>
    <t>桃之夭夭主题试玩球杆，品质等级SSS</t>
  </si>
  <si>
    <t>神圣羽杖主题试玩球杆，品质等级S</t>
  </si>
  <si>
    <t>神圣羽杖主题试玩球杆，品质等级SS</t>
  </si>
  <si>
    <t>神圣羽杖主题试玩球杆，品质等级SSS</t>
  </si>
  <si>
    <t>蓝梦月泪主题试玩球杆，品质等级S</t>
  </si>
  <si>
    <t>蓝梦月泪主题试玩球杆，品质等级SS</t>
  </si>
  <si>
    <t>蓝梦月泪主题试玩球杆，品质等级SSS</t>
  </si>
  <si>
    <t>祥瑞之星主题试玩球杆，品质等级S</t>
  </si>
  <si>
    <t>祥瑞之星主题试玩球杆，品质等级SS</t>
  </si>
  <si>
    <t>祥瑞之星主题试玩球杆，品质等级SSS</t>
  </si>
  <si>
    <t>樱韵霜芒主题试玩球杆，品质等级S</t>
  </si>
  <si>
    <t>樱韵霜芒主题试玩球杆，品质等级SS</t>
  </si>
  <si>
    <t>樱韵霜芒主题试玩球杆，品质等级SSS</t>
  </si>
  <si>
    <t>翠竹清韵主题试玩球杆，品质等级S</t>
  </si>
  <si>
    <t>翠竹清韵主题试玩球杆，品质等级SS</t>
  </si>
  <si>
    <t>翠竹清韵主题试玩球杆，品质等级SSS</t>
  </si>
  <si>
    <t>墨韵留香主题试玩球杆，品质等级S</t>
  </si>
  <si>
    <t>墨韵留香主题试玩球杆，品质等级SS</t>
  </si>
  <si>
    <t>墨韵留香主题试玩球杆，品质等级SSS</t>
  </si>
  <si>
    <t>海洋之心主题试玩球杆，品质等级S</t>
  </si>
  <si>
    <t>海洋之心主题试玩球杆，品质等级SS</t>
  </si>
  <si>
    <t>海洋之心主题试玩球杆，品质等级SSS</t>
  </si>
  <si>
    <t>笔落春秋主题试玩球杆，品质等级S</t>
  </si>
  <si>
    <t>笔落春秋主题试玩球杆，品质等级SS</t>
  </si>
  <si>
    <t>笔落春秋主题试玩球杆，品质等级SSS</t>
  </si>
  <si>
    <t>冰源风暴主题试玩球杆，品质等级S</t>
  </si>
  <si>
    <t>冰源风暴主题试玩球杆，品质等级SS</t>
  </si>
  <si>
    <t>冰源风暴主题试玩球杆，品质等级SSS</t>
  </si>
  <si>
    <t>凤羽流霞主题试玩球杆，品质等级S</t>
  </si>
  <si>
    <t>凤羽流霞主题试玩球杆，品质等级SS</t>
  </si>
  <si>
    <t>凤羽流霞主题试玩球杆，品质等级SSS</t>
  </si>
  <si>
    <t>守护之刃主题试玩球杆，品质等级S</t>
  </si>
  <si>
    <t>守护之刃主题试玩球杆，品质等级SS</t>
  </si>
  <si>
    <t>守护之刃主题试玩球杆，品质等级SSS</t>
  </si>
  <si>
    <t>金色权杖主题试玩球杆，品质等级S</t>
  </si>
  <si>
    <t>金色权杖主题试玩球杆，品质等级SS</t>
  </si>
  <si>
    <t>金色权杖主题试玩球杆，品质等级SSS</t>
  </si>
  <si>
    <t>澄心定意主题试玩球杆，品质等级S</t>
  </si>
  <si>
    <t>澄心定意主题试玩球杆，品质等级SS</t>
  </si>
  <si>
    <t>澄心定意主题试玩球杆，品质等级SSS</t>
  </si>
  <si>
    <t>术士权杖主题试玩球杆，品质等级S</t>
  </si>
  <si>
    <t>术士权杖主题试玩球杆，品质等级SS</t>
  </si>
  <si>
    <t>术士权杖主题试玩球杆，品质等级SSS</t>
  </si>
  <si>
    <t>惩戒之刃主题试玩球杆，品质等级S</t>
  </si>
  <si>
    <t>惩戒之刃主题试玩球杆，品质等级SS</t>
  </si>
  <si>
    <t>惩戒之刃主题试玩球杆，品质等级SSS</t>
  </si>
  <si>
    <t>川流之径主题试玩球杆，品质等级S</t>
  </si>
  <si>
    <t>川流之径主题试玩球杆，品质等级SS</t>
  </si>
  <si>
    <t>川流之径主题试玩球杆，品质等级SSS</t>
  </si>
  <si>
    <t>秩序之矛主题试玩球杆，品质等级S</t>
  </si>
  <si>
    <t>秩序之矛主题试玩球杆，品质等级SS</t>
  </si>
  <si>
    <t>秩序之矛主题试玩球杆，品质等级SSS</t>
  </si>
  <si>
    <t>部落图腾主题试玩球杆，品质等级S</t>
  </si>
  <si>
    <t>部落图腾主题试玩球杆，品质等级SS</t>
  </si>
  <si>
    <t>部落图腾主题试玩球杆，品质等级SSS</t>
  </si>
  <si>
    <t>蒸汽核心主题试玩球杆，品质等级S</t>
  </si>
  <si>
    <t>蒸汽核心主题试玩球杆，品质等级SS</t>
  </si>
  <si>
    <t>蒸汽核心主题试玩球杆，品质等级SSS</t>
  </si>
  <si>
    <t>箬竹翠韵主题试玩球杆，品质等级S</t>
  </si>
  <si>
    <t>箬竹翠韵主题试玩球杆，品质等级SS</t>
  </si>
  <si>
    <t>箬竹翠韵主题试玩球杆，品质等级SSS</t>
  </si>
  <si>
    <t>icon_101174</t>
  </si>
  <si>
    <t>icon_101183</t>
  </si>
  <si>
    <t>白羊座主题球杆，品质等级Z</t>
  </si>
  <si>
    <t>icon_101194</t>
  </si>
  <si>
    <t>金牛座主题球杆，品质等级Z</t>
  </si>
  <si>
    <t>icon_101204</t>
  </si>
  <si>
    <t>双子座主题球杆，品质等级Z</t>
  </si>
  <si>
    <t>icon_101214</t>
  </si>
  <si>
    <t>巨蟹座主题球杆，品质等级Z</t>
  </si>
  <si>
    <t>icon_101224</t>
  </si>
  <si>
    <t>狮子座主题球杆，品质等级Z</t>
  </si>
  <si>
    <t>icon_101234</t>
  </si>
  <si>
    <t>处女座主题球杆，品质等级Z</t>
  </si>
  <si>
    <t>icon_101244</t>
  </si>
  <si>
    <t>天秤座主题球杆，品质等级Z</t>
  </si>
  <si>
    <t>icon_101254</t>
  </si>
  <si>
    <t>天蝎座主题球杆，品质等级Z</t>
  </si>
  <si>
    <t>icon_101264</t>
  </si>
  <si>
    <t>射手座主题球杆，品质等级Z</t>
  </si>
  <si>
    <t>icon_101274</t>
  </si>
  <si>
    <t>魔羯座主题球杆，品质等级Z</t>
  </si>
  <si>
    <t>icon_101284</t>
  </si>
  <si>
    <t>水瓶座主题球杆，品质等级Z</t>
  </si>
  <si>
    <t>icon_101294</t>
  </si>
  <si>
    <t>双鱼座主题球杆，品质等级Z</t>
  </si>
  <si>
    <t>icon_101304</t>
  </si>
  <si>
    <t>如意金箍棒主题球杆，品质等级Z</t>
  </si>
  <si>
    <t>经典衬衫</t>
  </si>
  <si>
    <t>初始的服装，经典而端庄。</t>
  </si>
  <si>
    <t>icon_200001,icon_210001</t>
  </si>
  <si>
    <t>街头潮牌主题服装。</t>
  </si>
  <si>
    <t>icon_200002,icon_210002</t>
  </si>
  <si>
    <t>夏日派对</t>
  </si>
  <si>
    <t>夏日派对主题服装。</t>
  </si>
  <si>
    <t>icon_200003,icon_210003</t>
  </si>
  <si>
    <t>牛仔很忙</t>
  </si>
  <si>
    <t>牛仔很忙主题服装。</t>
  </si>
  <si>
    <t>icon_200004,icon_210004</t>
  </si>
  <si>
    <t>超级巨星</t>
  </si>
  <si>
    <t>超级巨星主题服装。</t>
  </si>
  <si>
    <t>icon_200005,icon_210005</t>
  </si>
  <si>
    <t>黑色礼服</t>
  </si>
  <si>
    <t>黑色礼服主题服装。</t>
  </si>
  <si>
    <t>icon_200006,icon_210006</t>
  </si>
  <si>
    <t>虎啸风生</t>
  </si>
  <si>
    <t>虎啸风生主题服装。</t>
  </si>
  <si>
    <t>icon_200007,icon_210007</t>
  </si>
  <si>
    <t>关羽</t>
  </si>
  <si>
    <t>关羽角色服装</t>
  </si>
  <si>
    <t>icon_200008,icon_200008</t>
  </si>
  <si>
    <t>ui_djk_base_2_1</t>
  </si>
  <si>
    <t>关银屏</t>
  </si>
  <si>
    <t>关银屏角色服装</t>
  </si>
  <si>
    <t>icon_200009,icon_200009</t>
  </si>
  <si>
    <t>瑞兔锦衣</t>
  </si>
  <si>
    <t>瑞兔锦衣新春主题服装</t>
  </si>
  <si>
    <t>icon_200010,icon_210010</t>
  </si>
  <si>
    <t>纯白爱恋</t>
  </si>
  <si>
    <t>纯白爱恋主题服装</t>
  </si>
  <si>
    <t>icon_200011,icon_210011</t>
  </si>
  <si>
    <t>半夏时光</t>
  </si>
  <si>
    <t>半夏时光主题服装</t>
  </si>
  <si>
    <t>icon_200012,icon_210012</t>
  </si>
  <si>
    <t>活力运动装</t>
  </si>
  <si>
    <t>校园主题服装</t>
  </si>
  <si>
    <t>icon_200013,icon_210013</t>
  </si>
  <si>
    <t>运动卫衣</t>
  </si>
  <si>
    <t>运动主题服装</t>
  </si>
  <si>
    <t>icon_200014,icon_210014</t>
  </si>
  <si>
    <t>田径运动服</t>
  </si>
  <si>
    <t>icon_200015,icon_210015</t>
  </si>
  <si>
    <t>服装5</t>
  </si>
  <si>
    <t>icon_200016,icon_210016</t>
  </si>
  <si>
    <t>蒸汽朋克</t>
  </si>
  <si>
    <t>蒸汽秩序主题服装</t>
  </si>
  <si>
    <t>icon_200017,icon_210017</t>
  </si>
  <si>
    <t>幻阙长风男</t>
  </si>
  <si>
    <t>icon_200018,icon_210018</t>
  </si>
  <si>
    <t>幻阙长风女</t>
  </si>
  <si>
    <t>古风武侠套装</t>
  </si>
  <si>
    <t>icon_200019,icon_210019</t>
  </si>
  <si>
    <t>齐天大圣</t>
  </si>
  <si>
    <t>西游主题服装</t>
  </si>
  <si>
    <t>icon_200020,icon_200020</t>
  </si>
  <si>
    <t>至尊宝</t>
  </si>
  <si>
    <t>icon_200021,icon_210021</t>
  </si>
  <si>
    <t>紫霞仙子</t>
  </si>
  <si>
    <t>寻梦奇缘主题服装</t>
  </si>
  <si>
    <t>春节主题服装</t>
  </si>
  <si>
    <t>icon_200022,icon_210022</t>
  </si>
  <si>
    <t>靛蓝球桌</t>
  </si>
  <si>
    <t>靛蓝色桌布，棕黄边的球桌</t>
  </si>
  <si>
    <t>黛绿球桌</t>
  </si>
  <si>
    <t>黛绿色桌布，黑边的球桌</t>
  </si>
  <si>
    <t>暗红球桌</t>
  </si>
  <si>
    <t>暗红色桌布，白边的球桌</t>
  </si>
  <si>
    <t>鹅黄球桌</t>
  </si>
  <si>
    <t>鹅黄色桌布，淡灰边的球桌</t>
  </si>
  <si>
    <t>炫紫球桌</t>
  </si>
  <si>
    <t>炫紫色桌布，棕红边的球桌</t>
  </si>
  <si>
    <t>西瓜球桌</t>
  </si>
  <si>
    <t>瓜红色桌布，绿边的球桌。</t>
  </si>
  <si>
    <t>黑金科技</t>
  </si>
  <si>
    <t>黑金科技桌布，暗黑色桌边，真皮材质的球桌</t>
  </si>
  <si>
    <t>水晶之恋</t>
  </si>
  <si>
    <t>蓝紫色桌布，水晶边的球桌</t>
  </si>
  <si>
    <t>动力驱动</t>
  </si>
  <si>
    <t>淡紫色桌布，机械边的球桌</t>
  </si>
  <si>
    <t>繁星点点</t>
  </si>
  <si>
    <t>星空壮桌布，白云边的球桌</t>
  </si>
  <si>
    <t>机械齿轮主题球桌</t>
  </si>
  <si>
    <t>萌宠猫爪主题限定球桌</t>
  </si>
  <si>
    <t>玛雅文明</t>
  </si>
  <si>
    <t>玛雅文明主题球桌</t>
  </si>
  <si>
    <t>国色天香主题限定球桌</t>
  </si>
  <si>
    <t>棒棒糖</t>
  </si>
  <si>
    <t>棒棒糖主题球桌</t>
  </si>
  <si>
    <t>青花瓷主题球桌</t>
  </si>
  <si>
    <t>骑士之誓</t>
  </si>
  <si>
    <t>骑士主题球桌</t>
  </si>
  <si>
    <t>王梦南专属DBA星耀球桌</t>
  </si>
  <si>
    <t>虎虎生威</t>
  </si>
  <si>
    <t>虎虎生威主题球桌</t>
  </si>
  <si>
    <t>金戈铁马</t>
  </si>
  <si>
    <t>金戈铁马主题限定球桌</t>
  </si>
  <si>
    <t>绿茵足场</t>
  </si>
  <si>
    <t>绿茵欢乐季主题球桌</t>
  </si>
  <si>
    <t>icon_300021</t>
  </si>
  <si>
    <t>缤纷圣诞</t>
  </si>
  <si>
    <t>缤纷圣诞主题球桌</t>
  </si>
  <si>
    <t>兔步青云</t>
  </si>
  <si>
    <t>兔步青云主题球桌</t>
  </si>
  <si>
    <t>真爱至上</t>
  </si>
  <si>
    <t>真爱至上主题球桌</t>
  </si>
  <si>
    <t>校园生活</t>
  </si>
  <si>
    <t>校园生活主题球桌</t>
  </si>
  <si>
    <t>劳动先锋</t>
  </si>
  <si>
    <t>劳动先锋主题球桌</t>
  </si>
  <si>
    <t>机械动力</t>
  </si>
  <si>
    <t>蒸汽秩序主题球桌</t>
  </si>
  <si>
    <t>碧水祥云</t>
  </si>
  <si>
    <t>端午怀恋主题球桌</t>
  </si>
  <si>
    <t>乾坤拂尘</t>
  </si>
  <si>
    <t>古风2</t>
  </si>
  <si>
    <t>icon_300001</t>
  </si>
  <si>
    <t>icon_300002</t>
  </si>
  <si>
    <t>icon_300003</t>
  </si>
  <si>
    <t>icon_300004</t>
  </si>
  <si>
    <t>icon_300005</t>
  </si>
  <si>
    <t>icon_300006</t>
  </si>
  <si>
    <t>icon_300007</t>
  </si>
  <si>
    <t>icon_300008</t>
  </si>
  <si>
    <t>icon_300009</t>
  </si>
  <si>
    <t>icon_300010</t>
  </si>
  <si>
    <t>icon_300011</t>
  </si>
  <si>
    <t>icon_300012</t>
  </si>
  <si>
    <t>icon_300017</t>
  </si>
  <si>
    <t>icon_300019</t>
  </si>
  <si>
    <t>地狱火焰(3天)</t>
  </si>
  <si>
    <t>使用后可体验&lt;color=#fff442&gt;3天&lt;/color&gt;A级满星球杆-地狱火焰。</t>
  </si>
  <si>
    <t>120010,72</t>
  </si>
  <si>
    <t>地狱火焰(5天)</t>
  </si>
  <si>
    <t>使用后可体验&lt;color=#fff442&gt;5天&lt;/color&gt;A级满星球杆-地狱火焰。</t>
  </si>
  <si>
    <t>120010,120</t>
  </si>
  <si>
    <t>使用后可体验&lt;color=#fff442&gt;5天&lt;/color&gt;S级满星球杆-地狱火焰。</t>
  </si>
  <si>
    <t>120011,120</t>
  </si>
  <si>
    <t>地狱火焰(1天)</t>
  </si>
  <si>
    <t>使用后可体验&lt;color=#fff442&gt;1天&lt;/color&gt;S级满星球杆-地狱火焰。</t>
  </si>
  <si>
    <t>120011,24</t>
  </si>
  <si>
    <t>使用后可体验&lt;color=#fff442&gt;3天&lt;/color&gt;S级满星球杆-地狱火焰。</t>
  </si>
  <si>
    <t>120011,72</t>
  </si>
  <si>
    <t>地狱火焰(7天)</t>
  </si>
  <si>
    <t>使用后可体验&lt;color=#fff442&gt;7天&lt;/color&gt;S级满星球杆-地狱火焰。</t>
  </si>
  <si>
    <t>120011,168</t>
  </si>
  <si>
    <t>使用后可体验&lt;color=#fff442&gt;1天&lt;/color&gt;SS级满星球杆-地狱火焰。</t>
  </si>
  <si>
    <t>120012,24</t>
  </si>
  <si>
    <t>使用后可体验&lt;color=#fff442&gt;3天&lt;/color&gt;SS级满星球杆-地狱火焰。</t>
  </si>
  <si>
    <t>120012,72</t>
  </si>
  <si>
    <t>使用后可体验&lt;color=#fff442&gt;7天&lt;/color&gt;SS级满星球杆-地狱火焰。</t>
  </si>
  <si>
    <t>120012,168</t>
  </si>
  <si>
    <t>使用后可体验&lt;color=#fff442&gt;1天&lt;/color&gt;SSS级满星球杆-地狱火焰。</t>
  </si>
  <si>
    <t>120013,24</t>
  </si>
  <si>
    <t>使用后可体验&lt;color=#fff442&gt;3天&lt;/color&gt;SSS级满星球杆-地狱火焰。</t>
  </si>
  <si>
    <t>120013,72</t>
  </si>
  <si>
    <t>使用后可体验&lt;color=#fff442&gt;7天&lt;/color&gt;SSS级满星球杆-地狱火焰。</t>
  </si>
  <si>
    <t>120013,168</t>
  </si>
  <si>
    <t>国色天香(30天)</t>
  </si>
  <si>
    <t>使用后可体验&lt;color=#fff442&gt;30天&lt;/color&gt;S级满星球杆-国色天香。</t>
  </si>
  <si>
    <t>120021,720</t>
  </si>
  <si>
    <t>国色天香(1天)</t>
  </si>
  <si>
    <t>使用后可体验&lt;color=#fff442&gt;1天&lt;/color&gt;S级满星球杆-国色天香。</t>
  </si>
  <si>
    <t>120021,24</t>
  </si>
  <si>
    <t>国色天香(3天)</t>
  </si>
  <si>
    <t>使用后可体验&lt;color=#fff442&gt;3天&lt;/color&gt;S级满星球杆-国色天香。</t>
  </si>
  <si>
    <t>120021,72</t>
  </si>
  <si>
    <t>国色天香(7天)</t>
  </si>
  <si>
    <t>使用后可体验&lt;color=#fff442&gt;7天&lt;/color&gt;S级满星球杆-国色天香。</t>
  </si>
  <si>
    <t>120021,168</t>
  </si>
  <si>
    <t>使用后可体验&lt;color=#fff442&gt;1天&lt;/color&gt;SS级满星球杆-国色天香。</t>
  </si>
  <si>
    <t>120022,24</t>
  </si>
  <si>
    <t>使用后可体验&lt;color=#fff442&gt;3天&lt;/color&gt;SS级满星球杆-国色天香。</t>
  </si>
  <si>
    <t>120022,72</t>
  </si>
  <si>
    <t>使用后可体验&lt;color=#fff442&gt;7天&lt;/color&gt;SS级满星球杆-国色天香。</t>
  </si>
  <si>
    <t>120022,168</t>
  </si>
  <si>
    <t>使用后可体验&lt;color=#fff442&gt;1天&lt;/color&gt;SSS级满星球杆-国色天香。</t>
  </si>
  <si>
    <t>120023,24</t>
  </si>
  <si>
    <t>使用后可体验&lt;color=#fff442&gt;3天&lt;/color&gt;SSS级满星球杆-国色天香。</t>
  </si>
  <si>
    <t>120023,72</t>
  </si>
  <si>
    <t>使用后可体验&lt;color=#fff442&gt;7天&lt;/color&gt;SSS级满星球杆-国色天香。</t>
  </si>
  <si>
    <t>120023,168</t>
  </si>
  <si>
    <t>使用后可体验&lt;color=#fff442&gt;30天&lt;/color&gt;SS级满星球杆-国色天香。</t>
  </si>
  <si>
    <t>120022,720</t>
  </si>
  <si>
    <t>白银球杆(1天)</t>
  </si>
  <si>
    <t>使用后可体验&lt;color=#fff442&gt;1天&lt;/color&gt;A级满星球杆-白银球杆。</t>
  </si>
  <si>
    <t>120031,24</t>
  </si>
  <si>
    <t>白银球杆(3天)</t>
  </si>
  <si>
    <t>使用后可体验&lt;color=#fff442&gt;3天&lt;/color&gt;A级满星球杆-白银球杆。</t>
  </si>
  <si>
    <t>120031,72</t>
  </si>
  <si>
    <t>白银球杆(7天)</t>
  </si>
  <si>
    <t>使用后可体验&lt;color=#fff442&gt;7天&lt;/color&gt;A级满星球杆-白银球杆。</t>
  </si>
  <si>
    <t>120031,168</t>
  </si>
  <si>
    <t>骑士长枪(1天)</t>
  </si>
  <si>
    <t>使用后可体验&lt;color=#fff442&gt;1天&lt;/color&gt;S级满星球杆-骑士长枪。</t>
  </si>
  <si>
    <t>120041,24</t>
  </si>
  <si>
    <t>骑士长枪(3天)</t>
  </si>
  <si>
    <t>使用后可体验&lt;color=#fff442&gt;3天&lt;/color&gt;S级满星球杆-骑士长枪。</t>
  </si>
  <si>
    <t>120041,72</t>
  </si>
  <si>
    <t>骑士长枪(7天)</t>
  </si>
  <si>
    <t>使用后可体验&lt;color=#fff442&gt;7天&lt;/color&gt;S级满星球杆-骑士长枪。</t>
  </si>
  <si>
    <t>120041,168</t>
  </si>
  <si>
    <t>使用后可体验&lt;color=#fff442&gt;1天&lt;/color&gt;SS级满星球杆-骑士长枪。</t>
  </si>
  <si>
    <t>120042,24</t>
  </si>
  <si>
    <t>使用后可体验&lt;color=#fff442&gt;3天&lt;/color&gt;SS级满星球杆-骑士长枪。</t>
  </si>
  <si>
    <t>120042,72</t>
  </si>
  <si>
    <t>使用后可体验&lt;color=#fff442&gt;7天&lt;/color&gt;SS级满星球杆-骑士长枪。</t>
  </si>
  <si>
    <t>120042,168</t>
  </si>
  <si>
    <t>使用后可体验&lt;color=#fff442&gt;1天&lt;/color&gt;SSS级满星球杆-骑士长枪。</t>
  </si>
  <si>
    <t>120043,24</t>
  </si>
  <si>
    <t>使用后可体验&lt;color=#fff442&gt;3天&lt;/color&gt;SSS级满星球杆-骑士长枪。</t>
  </si>
  <si>
    <t>120043,72</t>
  </si>
  <si>
    <t>使用后可体验&lt;color=#fff442&gt;7天&lt;/color&gt;SSS级满星球杆-骑士长枪。</t>
  </si>
  <si>
    <t>120043,168</t>
  </si>
  <si>
    <t>如鱼得水(1天)</t>
  </si>
  <si>
    <t>使用后可体验&lt;color=#fff442&gt;1天&lt;/color&gt;S级满星球杆-如鱼得水。</t>
  </si>
  <si>
    <t>120051,24</t>
  </si>
  <si>
    <t>如鱼得水(3天)</t>
  </si>
  <si>
    <t>使用后可体验&lt;color=#fff442&gt;3天&lt;/color&gt;S级满星球杆-如鱼得水。</t>
  </si>
  <si>
    <t>120051,72</t>
  </si>
  <si>
    <t>如鱼得水(7天)</t>
  </si>
  <si>
    <t>使用后可体验&lt;color=#fff442&gt;7天&lt;/color&gt;S级满星球杆-如鱼得水。</t>
  </si>
  <si>
    <t>120051,168</t>
  </si>
  <si>
    <t>使用后可体验&lt;color=#fff442&gt;1天&lt;/color&gt;SS级满星球杆-如鱼得水。</t>
  </si>
  <si>
    <t>120052,24</t>
  </si>
  <si>
    <t>使用后可体验&lt;color=#fff442&gt;3天&lt;/color&gt;SS级满星球杆-如鱼得水。</t>
  </si>
  <si>
    <t>120052,72</t>
  </si>
  <si>
    <t>使用后可体验&lt;color=#fff442&gt;7天&lt;/color&gt;SS级满星球杆-如鱼得水。</t>
  </si>
  <si>
    <t>120052,168</t>
  </si>
  <si>
    <t>使用后可体验&lt;color=#fff442&gt;1天&lt;/color&gt;SSS级满星球杆-如鱼得水。</t>
  </si>
  <si>
    <t>120053,24</t>
  </si>
  <si>
    <t>使用后可体验&lt;color=#fff442&gt;3天&lt;/color&gt;SSS级满星球杆-如鱼得水。</t>
  </si>
  <si>
    <t>120053,72</t>
  </si>
  <si>
    <t>使用后可体验&lt;color=#fff442&gt;7天&lt;/color&gt;SSS级满星球杆-如鱼得水。</t>
  </si>
  <si>
    <t>120053,168</t>
  </si>
  <si>
    <t>如鱼得水(3小时)</t>
  </si>
  <si>
    <t>使用后可体验&lt;color=#fff442&gt;6小时&lt;/color&gt;SS级满星球杆-如鱼得水。</t>
  </si>
  <si>
    <t>120052,3</t>
  </si>
  <si>
    <t>街头潮牌(1天)</t>
  </si>
  <si>
    <t>使用后可体验&lt;color=#fff442&gt;1天&lt;/color&gt;S级满星球杆-街头潮牌。</t>
  </si>
  <si>
    <t>120061,24</t>
  </si>
  <si>
    <t>街头潮牌(3天)</t>
  </si>
  <si>
    <t>使用后可体验&lt;color=#fff442&gt;3天&lt;/color&gt;S级满星球杆-街头潮牌。</t>
  </si>
  <si>
    <t>120061,72</t>
  </si>
  <si>
    <t>街头潮牌(7天)</t>
  </si>
  <si>
    <t>使用后可体验&lt;color=#fff442&gt;7天&lt;/color&gt;S级满星球杆-街头潮牌。</t>
  </si>
  <si>
    <t>120061,168</t>
  </si>
  <si>
    <t>使用后可体验&lt;color=#fff442&gt;1天&lt;/color&gt;SS级满星球杆-街头潮牌。</t>
  </si>
  <si>
    <t>120062,24</t>
  </si>
  <si>
    <t>使用后可体验&lt;color=#fff442&gt;3天&lt;/color&gt;SS级满星球杆-街头潮牌。</t>
  </si>
  <si>
    <t>120062,72</t>
  </si>
  <si>
    <t>使用后可体验&lt;color=#fff442&gt;7天&lt;/color&gt;SS级满星球杆-街头潮牌。</t>
  </si>
  <si>
    <t>120062,168</t>
  </si>
  <si>
    <t>使用后可体验&lt;color=#fff442&gt;3天&lt;/color&gt;A级满星球杆-街头潮牌。</t>
  </si>
  <si>
    <t>120060,72</t>
  </si>
  <si>
    <t>街头潮牌(5天)</t>
  </si>
  <si>
    <t>使用后可体验&lt;color=#fff442&gt;5天&lt;/color&gt;A级满星球杆-街头潮牌。</t>
  </si>
  <si>
    <t>120060,120</t>
  </si>
  <si>
    <t>使用后可体验&lt;color=#fff442&gt;5天&lt;/color&gt;S级满星球杆-街头潮牌。</t>
  </si>
  <si>
    <t>120061,120</t>
  </si>
  <si>
    <t>紫金葫芦(1天)</t>
  </si>
  <si>
    <t>使用后可体验&lt;color=#fff442&gt;1天&lt;/color&gt;S级满星球杆-紫金葫芦。</t>
  </si>
  <si>
    <t>120071,24</t>
  </si>
  <si>
    <t>紫金葫芦(3天)</t>
  </si>
  <si>
    <t>使用后可体验&lt;color=#fff442&gt;3天&lt;/color&gt;S级满星球杆-紫金葫芦。</t>
  </si>
  <si>
    <t>120071,72</t>
  </si>
  <si>
    <t>紫金葫芦(7天)</t>
  </si>
  <si>
    <t>使用后可体验&lt;color=#fff442&gt;7天&lt;/color&gt;S级满星球杆-紫金葫芦。</t>
  </si>
  <si>
    <t>120071,168</t>
  </si>
  <si>
    <t>使用后可体验&lt;color=#fff442&gt;1天&lt;/color&gt;SS级满星球杆-紫金葫芦。</t>
  </si>
  <si>
    <t>120072,24</t>
  </si>
  <si>
    <t>使用后可体验&lt;color=#fff442&gt;3天&lt;/color&gt;SS级满星球杆-紫金葫芦。</t>
  </si>
  <si>
    <t>120072,72</t>
  </si>
  <si>
    <t>使用后可体验&lt;color=#fff442&gt;7天&lt;/color&gt;SS级满星球杆-紫金葫芦。</t>
  </si>
  <si>
    <t>120072,168</t>
  </si>
  <si>
    <t>使用后可体验&lt;color=#fff442&gt;1天&lt;/color&gt;SSS级满星球杆-紫金葫芦。</t>
  </si>
  <si>
    <t>120073,24</t>
  </si>
  <si>
    <t>使用后可体验&lt;color=#fff442&gt;3天&lt;/color&gt;SSS级满星球杆-紫金葫芦。</t>
  </si>
  <si>
    <t>120073,72</t>
  </si>
  <si>
    <t>使用后可体验&lt;color=#fff442&gt;7天&lt;/color&gt;SSS级满星球杆-紫金葫芦。</t>
  </si>
  <si>
    <t>120073,168</t>
  </si>
  <si>
    <t>黑色琴键(1天)</t>
  </si>
  <si>
    <t>使用后可体验&lt;color=#fff442&gt;1天&lt;/color&gt;S级满星球杆-黑色琴键。</t>
  </si>
  <si>
    <t>120081,24</t>
  </si>
  <si>
    <t>黑色琴键(3天)</t>
  </si>
  <si>
    <t>使用后可体验&lt;color=#fff442&gt;3天&lt;/color&gt;S级满星球杆-黑色琴键。</t>
  </si>
  <si>
    <t>120081,72</t>
  </si>
  <si>
    <t>黑色琴键(7天)</t>
  </si>
  <si>
    <t>使用后可体验&lt;color=#fff442&gt;7天&lt;/color&gt;S级满星球杆-黑色琴键。</t>
  </si>
  <si>
    <t>120081,168</t>
  </si>
  <si>
    <t>使用后可体验&lt;color=#fff442&gt;1天&lt;/color&gt;SS级满星球杆-黑色琴键。</t>
  </si>
  <si>
    <t>120082,24</t>
  </si>
  <si>
    <t>使用后可体验&lt;color=#fff442&gt;3天&lt;/color&gt;SS级满星球杆-黑色琴键。</t>
  </si>
  <si>
    <t>120082,72</t>
  </si>
  <si>
    <t>使用后可体验&lt;color=#fff442&gt;7天&lt;/color&gt;SS级满星球杆-黑色琴键。</t>
  </si>
  <si>
    <t>120082,168</t>
  </si>
  <si>
    <t>使用后可体验&lt;color=#fff442&gt;1天&lt;/color&gt;SSS级满星球杆-黑色琴键。</t>
  </si>
  <si>
    <t>120083,24</t>
  </si>
  <si>
    <t>使用后可体验&lt;color=#fff442&gt;3天&lt;/color&gt;SSS级满星球杆-黑色琴键。</t>
  </si>
  <si>
    <t>120083,72</t>
  </si>
  <si>
    <t>使用后可体验&lt;color=#fff442&gt;7天&lt;/color&gt;SSS级满星球杆-黑色琴键。</t>
  </si>
  <si>
    <t>120083,168</t>
  </si>
  <si>
    <t>电音吉他(1天)</t>
  </si>
  <si>
    <t>使用后可体验&lt;color=#fff442&gt;1天&lt;/color&gt;S级满星球杆-电音吉他。</t>
  </si>
  <si>
    <t>120091,24</t>
  </si>
  <si>
    <t>电音吉他(3天)</t>
  </si>
  <si>
    <t>使用后可体验&lt;color=#fff442&gt;3天&lt;/color&gt;S级满星球杆-电音吉他。</t>
  </si>
  <si>
    <t>120091,72</t>
  </si>
  <si>
    <t>电音吉他(7天)</t>
  </si>
  <si>
    <t>使用后可体验&lt;color=#fff442&gt;7天&lt;/color&gt;S级满星球杆-电音吉他。</t>
  </si>
  <si>
    <t>120091,168</t>
  </si>
  <si>
    <t>使用后可体验&lt;color=#fff442&gt;1天&lt;/color&gt;SS级满星球杆-电音吉他。</t>
  </si>
  <si>
    <t>120092,24</t>
  </si>
  <si>
    <t>使用后可体验&lt;color=#fff442&gt;3天&lt;/color&gt;SS级满星球杆-电音吉他。</t>
  </si>
  <si>
    <t>120092,72</t>
  </si>
  <si>
    <t>使用后可体验&lt;color=#fff442&gt;7天&lt;/color&gt;SS级满星球杆-电音吉他。</t>
  </si>
  <si>
    <t>120092,168</t>
  </si>
  <si>
    <t>使用后可体验&lt;color=#fff442&gt;1天&lt;/color&gt;SSS级满星球杆-电音吉他。</t>
  </si>
  <si>
    <t>120093,24</t>
  </si>
  <si>
    <t>使用后可体验&lt;color=#fff442&gt;3天&lt;/color&gt;SSS级满星球杆-电音吉他。</t>
  </si>
  <si>
    <t>120093,72</t>
  </si>
  <si>
    <t>使用后可体验&lt;color=#fff442&gt;7天&lt;/color&gt;SSS级满星球杆-电音吉他。</t>
  </si>
  <si>
    <t>120093,168</t>
  </si>
  <si>
    <t>台球麦霸(1天)</t>
  </si>
  <si>
    <t>使用后可体验&lt;color=#fff442&gt;1天&lt;/color&gt;S级满星球杆-台球麦霸。</t>
  </si>
  <si>
    <t>120101,24</t>
  </si>
  <si>
    <t>台球麦霸(3天)</t>
  </si>
  <si>
    <t>使用后可体验&lt;color=#fff442&gt;3天&lt;/color&gt;S级满星球杆-台球麦霸。</t>
  </si>
  <si>
    <t>120101,72</t>
  </si>
  <si>
    <t>台球麦霸(7天)</t>
  </si>
  <si>
    <t>使用后可体验&lt;color=#fff442&gt;7天&lt;/color&gt;S级满星球杆-台球麦霸。</t>
  </si>
  <si>
    <t>120101,168</t>
  </si>
  <si>
    <t>使用后可体验&lt;color=#fff442&gt;1天&lt;/color&gt;SS级满星球杆-台球麦霸。</t>
  </si>
  <si>
    <t>120102,24</t>
  </si>
  <si>
    <t>使用后可体验&lt;color=#fff442&gt;3天&lt;/color&gt;SS级满星球杆-台球麦霸。</t>
  </si>
  <si>
    <t>120102,72</t>
  </si>
  <si>
    <t>使用后可体验&lt;color=#fff442&gt;7天&lt;/color&gt;SS级满星球杆-台球麦霸。</t>
  </si>
  <si>
    <t>120102,168</t>
  </si>
  <si>
    <t>使用后可体验&lt;color=#fff442&gt;1天&lt;/color&gt;SSS级满星球杆-台球麦霸。</t>
  </si>
  <si>
    <t>120103,24</t>
  </si>
  <si>
    <t>使用后可体验&lt;color=#fff442&gt;3天&lt;/color&gt;SSS级满星球杆-台球麦霸。</t>
  </si>
  <si>
    <t>120103,72</t>
  </si>
  <si>
    <t>使用后可体验&lt;color=#fff442&gt;7天&lt;/color&gt;SSS级满星球杆-台球麦霸。</t>
  </si>
  <si>
    <t>120103,168</t>
  </si>
  <si>
    <t>喵星物语(1天)</t>
  </si>
  <si>
    <t>使用后可体验&lt;color=#fff442&gt;1天&lt;/color&gt;SS级满星球杆-喵星物语。</t>
  </si>
  <si>
    <t>120111,24</t>
  </si>
  <si>
    <t>喵星物语(3天)</t>
  </si>
  <si>
    <t>使用后可体验&lt;color=#fff442&gt;3天&lt;/color&gt;SS级满星球杆-喵星物语。</t>
  </si>
  <si>
    <t>120111,72</t>
  </si>
  <si>
    <t>喵星物语(7天)</t>
  </si>
  <si>
    <t>使用后可体验&lt;color=#fff442&gt;7天&lt;/color&gt;SS级满星球杆-喵星物语。</t>
  </si>
  <si>
    <t>120111,168</t>
  </si>
  <si>
    <t>使用后可体验&lt;color=#fff442&gt;1天&lt;/color&gt;S级满星球杆-喵星物语。</t>
  </si>
  <si>
    <t>120114,24</t>
  </si>
  <si>
    <t>使用后可体验&lt;color=#fff442&gt;3天&lt;/color&gt;S级满星球杆-喵星物语。</t>
  </si>
  <si>
    <t>120114,72</t>
  </si>
  <si>
    <t>使用后可体验&lt;color=#fff442&gt;7天&lt;/color&gt;S级满星球杆-喵星物语。</t>
  </si>
  <si>
    <t>120114,168</t>
  </si>
  <si>
    <t>使用后可体验&lt;color=#fff442&gt;1天&lt;/color&gt;SSS级满星球杆-喵星物语。</t>
  </si>
  <si>
    <t>120113,24</t>
  </si>
  <si>
    <t>使用后可体验&lt;color=#fff442&gt;3天&lt;/color&gt;SSS级满星球杆-喵星物语。</t>
  </si>
  <si>
    <t>120113,72</t>
  </si>
  <si>
    <t>使用后可体验&lt;color=#fff442&gt;7天&lt;/color&gt;SSS级满星球杆-喵星物语。</t>
  </si>
  <si>
    <t>120113,168</t>
  </si>
  <si>
    <t>夏日海滩(1天)</t>
  </si>
  <si>
    <t>使用后可体验&lt;color=#fff442&gt;1天&lt;/color&gt;S级满星球杆-夏日海滩。</t>
  </si>
  <si>
    <t>120121,24</t>
  </si>
  <si>
    <t>夏日海滩(3天)</t>
  </si>
  <si>
    <t>使用后可体验&lt;color=#fff442&gt;3天&lt;/color&gt;S级满星球杆-夏日海滩。</t>
  </si>
  <si>
    <t>120121,72</t>
  </si>
  <si>
    <t>夏日海滩(30天)</t>
  </si>
  <si>
    <t>使用后可体验&lt;color=#fff442&gt;30天&lt;/color&gt;S级满星球杆-夏日海滩。</t>
  </si>
  <si>
    <t>120121,720</t>
  </si>
  <si>
    <t>使用后可体验&lt;color=#fff442&gt;1天&lt;/color&gt;SS级满星球杆-夏日海滩。</t>
  </si>
  <si>
    <t>120122,24</t>
  </si>
  <si>
    <t>使用后可体验&lt;color=#fff442&gt;3天&lt;/color&gt;SS级满星球杆-夏日海滩。</t>
  </si>
  <si>
    <t>120122,72</t>
  </si>
  <si>
    <t>夏日海滩(7天)</t>
  </si>
  <si>
    <t>使用后可体验&lt;color=#fff442&gt;7天&lt;/color&gt;SS级满星球杆-夏日海滩。</t>
  </si>
  <si>
    <t>120122,168</t>
  </si>
  <si>
    <t>使用后可体验&lt;color=#fff442&gt;1天&lt;/color&gt;SSS级满星球杆-夏日海滩。</t>
  </si>
  <si>
    <t>120123,24</t>
  </si>
  <si>
    <t>使用后可体验&lt;color=#fff442&gt;3天&lt;/color&gt;SSS级满星球杆-夏日海滩。</t>
  </si>
  <si>
    <t>120123,72</t>
  </si>
  <si>
    <t>使用后可体验&lt;color=#fff442&gt;7天&lt;/color&gt;SSS级满星球杆-夏日海滩。</t>
  </si>
  <si>
    <t>120123,168</t>
  </si>
  <si>
    <t>使用后可体验&lt;color=#fff442&gt;30天&lt;/color&gt;SS级满星球杆-夏日海滩。</t>
  </si>
  <si>
    <t>120122,720</t>
  </si>
  <si>
    <t>圣诞糖果(1天)</t>
  </si>
  <si>
    <t>使用后可体验&lt;color=#fff442&gt;1天&lt;/color&gt;S级满星球杆-圣诞糖果。</t>
  </si>
  <si>
    <t>120131,24</t>
  </si>
  <si>
    <t>圣诞糖果(3天)</t>
  </si>
  <si>
    <t>使用后可体验&lt;color=#fff442&gt;3天&lt;/color&gt;S级满星球杆-圣诞糖果。</t>
  </si>
  <si>
    <t>120131,72</t>
  </si>
  <si>
    <t>圣诞糖果(7天)</t>
  </si>
  <si>
    <t>使用后可体验&lt;color=#fff442&gt;7天&lt;/color&gt;S级满星球杆-圣诞糖果。</t>
  </si>
  <si>
    <t>120131,168</t>
  </si>
  <si>
    <t>使用后可体验&lt;color=#fff442&gt;1天&lt;/color&gt;SS级满星球杆-圣诞糖果。</t>
  </si>
  <si>
    <t>120132,24</t>
  </si>
  <si>
    <t>使用后可体验&lt;color=#fff442&gt;3天&lt;/color&gt;SS级满星球杆-圣诞糖果。</t>
  </si>
  <si>
    <t>120132,72</t>
  </si>
  <si>
    <t>使用后可体验&lt;color=#fff442&gt;7天&lt;/color&gt;SS级满星球杆-圣诞糖果。</t>
  </si>
  <si>
    <t>120132,168</t>
  </si>
  <si>
    <t>使用后可体验&lt;color=#fff442&gt;1天&lt;/color&gt;SSS级满星球杆-圣诞糖果。</t>
  </si>
  <si>
    <t>120133,24</t>
  </si>
  <si>
    <t>使用后可体验&lt;color=#fff442&gt;3天&lt;/color&gt;SSS级满星球杆-圣诞糖果。</t>
  </si>
  <si>
    <t>120133,72</t>
  </si>
  <si>
    <t>使用后可体验&lt;color=#fff442&gt;7天&lt;/color&gt;SSS级满星球杆-圣诞糖果。</t>
  </si>
  <si>
    <t>120133,168</t>
  </si>
  <si>
    <t>圣诞树(1天)</t>
  </si>
  <si>
    <t>使用后可体验&lt;color=#fff442&gt;1天&lt;/color&gt;S级满星球杆-圣诞树。</t>
  </si>
  <si>
    <t>120141,24</t>
  </si>
  <si>
    <t>圣诞树(3天)</t>
  </si>
  <si>
    <t>使用后可体验&lt;color=#fff442&gt;3天&lt;/color&gt;S级满星球杆-圣诞树。</t>
  </si>
  <si>
    <t>120141,72</t>
  </si>
  <si>
    <t>圣诞树(7天)</t>
  </si>
  <si>
    <t>使用后可体验&lt;color=#fff442&gt;7天&lt;/color&gt;S级满星球杆-圣诞树。</t>
  </si>
  <si>
    <t>120141,168</t>
  </si>
  <si>
    <t>使用后可体验&lt;color=#fff442&gt;1天&lt;/color&gt;SS级满星球杆-圣诞树。</t>
  </si>
  <si>
    <t>120142,24</t>
  </si>
  <si>
    <t>使用后可体验&lt;color=#fff442&gt;3天&lt;/color&gt;SS级满星球杆-圣诞树。</t>
  </si>
  <si>
    <t>120142,72</t>
  </si>
  <si>
    <t>使用后可体验&lt;color=#fff442&gt;7天&lt;/color&gt;SS级满星球杆-圣诞树。</t>
  </si>
  <si>
    <t>120142,168</t>
  </si>
  <si>
    <t>使用后可体验&lt;color=#fff442&gt;1天&lt;/color&gt;SSS级满星球杆-圣诞树。</t>
  </si>
  <si>
    <t>120143,24</t>
  </si>
  <si>
    <t>使用后可体验&lt;color=#fff442&gt;3天&lt;/color&gt;SSS级满星球杆-圣诞树。</t>
  </si>
  <si>
    <t>120143,72</t>
  </si>
  <si>
    <t>使用后可体验&lt;color=#fff442&gt;7天&lt;/color&gt;SSS级满星球杆-圣诞树。</t>
  </si>
  <si>
    <t>120143,168</t>
  </si>
  <si>
    <t>黄铜球杆(1天)</t>
  </si>
  <si>
    <t>使用后可体验&lt;color=#fff442&gt;1天&lt;/color&gt;A级满星球杆-黄铜球杆。</t>
  </si>
  <si>
    <t>120151,24</t>
  </si>
  <si>
    <t>黄铜球杆(3天)</t>
  </si>
  <si>
    <t>使用后可体验&lt;color=#fff442&gt;3天&lt;/color&gt;A级满星球杆-黄铜球杆。</t>
  </si>
  <si>
    <t>120151,72</t>
  </si>
  <si>
    <t>黄铜球杆(7天)</t>
  </si>
  <si>
    <t>使用后可体验&lt;color=#fff442&gt;7天&lt;/color&gt;A级满星球杆-黄铜球杆。</t>
  </si>
  <si>
    <t>120151,168</t>
  </si>
  <si>
    <t>梅花三弄(1天)</t>
  </si>
  <si>
    <t>获得后可体验&lt;color=#fff442&gt;1天&lt;/color&gt;S级满星球杆-梅花三弄。</t>
  </si>
  <si>
    <t>120161,24</t>
  </si>
  <si>
    <t>梅花三弄(3天)</t>
  </si>
  <si>
    <t>获得后可体验&lt;color=#fff442&gt;3天&lt;/color&gt;S级满星球杆-梅花三弄。</t>
  </si>
  <si>
    <t>120161,72</t>
  </si>
  <si>
    <t>梅花三弄(7天)</t>
  </si>
  <si>
    <t>获得后可体验&lt;color=#fff442&gt;7天&lt;/color&gt;S级满星球杆-梅花三弄。</t>
  </si>
  <si>
    <t>120161,168</t>
  </si>
  <si>
    <t>龙回头(3天)</t>
  </si>
  <si>
    <t>使用后可体验&lt;color=#fff442&gt;3天&lt;/color&gt;S级0星球杆-龙回头。</t>
  </si>
  <si>
    <t>120170,72</t>
  </si>
  <si>
    <t>龙回头(1天)</t>
  </si>
  <si>
    <t>使用后可体验&lt;color=#fff442&gt;1天&lt;/color&gt;S级满星球杆-龙回头。</t>
  </si>
  <si>
    <t>120171,24</t>
  </si>
  <si>
    <t>使用后可体验&lt;color=#fff442&gt;3天&lt;/color&gt;S级满星球杆-龙回头。</t>
  </si>
  <si>
    <t>120171,72</t>
  </si>
  <si>
    <t>龙回头(7天)</t>
  </si>
  <si>
    <t>使用后可体验&lt;color=#fff442&gt;7天&lt;/color&gt;S级满星球杆-龙回头。</t>
  </si>
  <si>
    <t>120171,168</t>
  </si>
  <si>
    <t>使用后可体验&lt;color=#fff442&gt;1天&lt;/color&gt;SS级满星球杆-龙回头。</t>
  </si>
  <si>
    <t>120172,24</t>
  </si>
  <si>
    <t>使用后可体验&lt;color=#fff442&gt;3天&lt;/color&gt;SS级满星球杆-龙回头。</t>
  </si>
  <si>
    <t>120172,72</t>
  </si>
  <si>
    <t>使用后可体验&lt;color=#fff442&gt;7天&lt;/color&gt;SS级满星球杆-龙回头。</t>
  </si>
  <si>
    <t>120172,168</t>
  </si>
  <si>
    <t>使用后可体验&lt;color=#fff442&gt;1天&lt;/color&gt;SSS级满星球杆-龙回头。</t>
  </si>
  <si>
    <t>120173,24</t>
  </si>
  <si>
    <t>使用后可体验&lt;color=#fff442&gt;3天&lt;/color&gt;SSS级满星球杆-龙回头。</t>
  </si>
  <si>
    <t>120173,72</t>
  </si>
  <si>
    <t>使用后可体验&lt;color=#fff442&gt;7天&lt;/color&gt;SSS级满星球杆-龙回头。</t>
  </si>
  <si>
    <t>120173,168</t>
  </si>
  <si>
    <t>使用后可体验&lt;color=#fff442&gt;1天&lt;/color&gt;A级满星球杆-龙回头。</t>
  </si>
  <si>
    <t>120174,24</t>
  </si>
  <si>
    <t>成就大师(1天)</t>
  </si>
  <si>
    <t>使用后可体验&lt;color=#fff442&gt;1天&lt;/color&gt;SS级满星球杆-成就大师。</t>
  </si>
  <si>
    <t>120181,24</t>
  </si>
  <si>
    <t>成就大师(3天)</t>
  </si>
  <si>
    <t>使用后可体验&lt;color=#fff442&gt;3天&lt;/color&gt;SS级满星球杆-成就大师。</t>
  </si>
  <si>
    <t>120181,72</t>
  </si>
  <si>
    <t>成就大师(7天)</t>
  </si>
  <si>
    <t>使用后可体验&lt;color=#fff442&gt;7天&lt;/color&gt;SS级满星球杆-成就大师。</t>
  </si>
  <si>
    <t>120181,168</t>
  </si>
  <si>
    <t>台球达人(5天)</t>
  </si>
  <si>
    <t>使用后可体验&lt;color=#fff442&gt;5天&lt;/color&gt;S级满星球杆-台球达人。</t>
  </si>
  <si>
    <t>120191,120</t>
  </si>
  <si>
    <t>台球达人(3天)</t>
  </si>
  <si>
    <t>使用后可体验&lt;color=#fff442&gt;3天&lt;/color&gt;A级满星球杆-台球达人。</t>
  </si>
  <si>
    <t>120190,72</t>
  </si>
  <si>
    <t>使用后可体验&lt;color=#fff442&gt;5天&lt;/color&gt;A级满星球杆-台球达人。</t>
  </si>
  <si>
    <t>120190,120</t>
  </si>
  <si>
    <t>台球达人(1天)</t>
  </si>
  <si>
    <t>使用后可体验&lt;color=#fff442&gt;1天&lt;/color&gt;S级满星球杆-台球达人。</t>
  </si>
  <si>
    <t>120191,24</t>
  </si>
  <si>
    <t>使用后可体验&lt;color=#fff442&gt;3天&lt;/color&gt;S级满星球杆-台球达人。</t>
  </si>
  <si>
    <t>120191,72</t>
  </si>
  <si>
    <t>台球达人(7天)</t>
  </si>
  <si>
    <t>使用后可体验&lt;color=#fff442&gt;7天&lt;/color&gt;S级满星球杆-台球达人。</t>
  </si>
  <si>
    <t>120191,168</t>
  </si>
  <si>
    <t>使用后可体验&lt;color=#fff442&gt;1天&lt;/color&gt;SS级满星球杆-台球达人。</t>
  </si>
  <si>
    <t>120192,24</t>
  </si>
  <si>
    <t>使用后可体验&lt;color=#fff442&gt;3天&lt;/color&gt;SS级满星球杆-台球达人。</t>
  </si>
  <si>
    <t>120192,72</t>
  </si>
  <si>
    <t>使用后可体验&lt;color=#fff442&gt;7天&lt;/color&gt;SS级满星球杆-台球达人。</t>
  </si>
  <si>
    <t>120192,168</t>
  </si>
  <si>
    <t>使用后可体验&lt;color=#fff442&gt;1天&lt;/color&gt;SSS级满星球杆-台球达人。</t>
  </si>
  <si>
    <t>120193,24</t>
  </si>
  <si>
    <t>使用后可体验&lt;color=#fff442&gt;3天&lt;/color&gt;SSS级满星球杆-台球达人。</t>
  </si>
  <si>
    <t>120193,72</t>
  </si>
  <si>
    <t>使用后可体验&lt;color=#fff442&gt;7天&lt;/color&gt;SSS级满星球杆-台球达人。</t>
  </si>
  <si>
    <t>120193,168</t>
  </si>
  <si>
    <t>雄鹰权杖(1天)</t>
  </si>
  <si>
    <t>使用后可体验&lt;color=#fff442&gt;1天&lt;/color&gt;S级满星球杆-雄鹰权杖。</t>
  </si>
  <si>
    <t>120201,24</t>
  </si>
  <si>
    <t>雄鹰权杖(3天)</t>
  </si>
  <si>
    <t>使用后可体验&lt;color=#fff442&gt;3天&lt;/color&gt;S级满星球杆-雄鹰权杖。</t>
  </si>
  <si>
    <t>120201,72</t>
  </si>
  <si>
    <t>雄鹰权杖(7天)</t>
  </si>
  <si>
    <t>使用后可体验&lt;color=#fff442&gt;7天&lt;/color&gt;S级满星球杆-雄鹰权杖。</t>
  </si>
  <si>
    <t>120201,168</t>
  </si>
  <si>
    <t>使用后可体验&lt;color=#fff442&gt;1天&lt;/color&gt;SS级满星球杆-雄鹰权杖。</t>
  </si>
  <si>
    <t>120202,24</t>
  </si>
  <si>
    <t>使用后可体验&lt;color=#fff442&gt;3天&lt;/color&gt;SS级满星球杆-雄鹰权杖。</t>
  </si>
  <si>
    <t>120202,72</t>
  </si>
  <si>
    <t>使用后可体验&lt;color=#fff442&gt;7天&lt;/color&gt;SS级满星球杆-雄鹰权杖。</t>
  </si>
  <si>
    <t>120202,168</t>
  </si>
  <si>
    <t>使用后可体验&lt;color=#fff442&gt;1天&lt;/color&gt;SSS级满星球杆-雄鹰权杖。</t>
  </si>
  <si>
    <t>120203,24</t>
  </si>
  <si>
    <t>使用后可体验&lt;color=#fff442&gt;3天&lt;/color&gt;SSS级满星球杆-雄鹰权杖。</t>
  </si>
  <si>
    <t>120203,72</t>
  </si>
  <si>
    <t>使用后可体验&lt;color=#fff442&gt;7天&lt;/color&gt;SSS级满星球杆-雄鹰权杖。</t>
  </si>
  <si>
    <t>120203,168</t>
  </si>
  <si>
    <t>双龙戏珠(1天)</t>
  </si>
  <si>
    <t>获得后可体验&lt;color=#fff442&gt;1天&lt;/color&gt;A级满星球杆-双龙戏珠。</t>
  </si>
  <si>
    <t>120221,24</t>
  </si>
  <si>
    <t>获得后可体验&lt;color=#fff442&gt;1天&lt;/color&gt;S级满星球杆-双龙戏珠。</t>
  </si>
  <si>
    <t>120222,24</t>
  </si>
  <si>
    <t>获得后可体验&lt;color=#fff442&gt;1天&lt;/color&gt;SS级满星球杆-双龙戏珠。</t>
  </si>
  <si>
    <t>120223,24</t>
  </si>
  <si>
    <t>双龙戏珠(3天)</t>
  </si>
  <si>
    <t>获得后可体验&lt;color=#fff442&gt;3天&lt;/color&gt;A级满星球杆-双龙戏珠。</t>
  </si>
  <si>
    <t>120221,72</t>
  </si>
  <si>
    <t>获得后可体验&lt;color=#fff442&gt;3天&lt;/color&gt;S级满星球杆-双龙戏珠。</t>
  </si>
  <si>
    <t>120222,72</t>
  </si>
  <si>
    <t>获得后可体验&lt;color=#fff442&gt;3天&lt;/color&gt;SS级满星球杆-双龙戏珠。</t>
  </si>
  <si>
    <t>120223,72</t>
  </si>
  <si>
    <t>双龙戏珠(7天)</t>
  </si>
  <si>
    <t>获得后可体验&lt;color=#fff442&gt;7天&lt;/color&gt;A级满星球杆-双龙戏珠。</t>
  </si>
  <si>
    <t>120221,168</t>
  </si>
  <si>
    <t>获得后可体验&lt;color=#fff442&gt;7天&lt;/color&gt;S级满星球杆-双龙戏珠。</t>
  </si>
  <si>
    <t>120222,168</t>
  </si>
  <si>
    <t>获得后可体验&lt;color=#fff442&gt;7天&lt;/color&gt;SS级满星球杆-双龙戏珠。</t>
  </si>
  <si>
    <t>120223,168</t>
  </si>
  <si>
    <t>流光宝石(1天)</t>
  </si>
  <si>
    <t>获得后可体验&lt;color=#fff442&gt;1天&lt;/color&gt;A级满星球杆-流光宝石。</t>
  </si>
  <si>
    <t>120231,24</t>
  </si>
  <si>
    <t>流光宝石(3天)</t>
  </si>
  <si>
    <t>获得后可体验&lt;color=#fff442&gt;3天&lt;/color&gt;A级满星球杆-流光宝石。</t>
  </si>
  <si>
    <t>120231,72</t>
  </si>
  <si>
    <t>流光宝石(7天)</t>
  </si>
  <si>
    <t>获得后可体验&lt;color=#fff442&gt;7天&lt;/color&gt;A级满星球杆-流光宝石。</t>
  </si>
  <si>
    <t>120231,168</t>
  </si>
  <si>
    <t>枫叶(1天)</t>
  </si>
  <si>
    <t>获得后可体验&lt;color=#fff442&gt;1天&lt;/color&gt;A级满星球杆-枫叶。</t>
  </si>
  <si>
    <t>120241,24</t>
  </si>
  <si>
    <t>枫叶(3天)</t>
  </si>
  <si>
    <t>获得后可体验&lt;color=#fff442&gt;3天&lt;/color&gt;A级满星球杆-枫叶。</t>
  </si>
  <si>
    <t>120241,72</t>
  </si>
  <si>
    <t>枫叶(7天)</t>
  </si>
  <si>
    <t>获得后可体验&lt;color=#fff442&gt;7天&lt;/color&gt;A级满星球杆-枫叶。</t>
  </si>
  <si>
    <t>120241,168</t>
  </si>
  <si>
    <t>劳动光荣(1天)</t>
  </si>
  <si>
    <t>获得后可体验&lt;color=#fff442&gt;1天&lt;/color&gt;S级满星球杆-劳动光荣。</t>
  </si>
  <si>
    <t>120253,24</t>
  </si>
  <si>
    <t>劳动光荣(3天)</t>
  </si>
  <si>
    <t>获得后可体验&lt;color=#fff442&gt;3天&lt;/color&gt;S级满星球杆-劳动光荣。</t>
  </si>
  <si>
    <t>icon_100252</t>
  </si>
  <si>
    <t>120253,72</t>
  </si>
  <si>
    <t>劳动光荣(7天)</t>
  </si>
  <si>
    <t>获得后可体验&lt;color=#fff442&gt;7天&lt;/color&gt;S级满星球杆-劳动光荣。</t>
  </si>
  <si>
    <t>icon_100253</t>
  </si>
  <si>
    <t>120253,168</t>
  </si>
  <si>
    <t>楠木球杆(1天)</t>
  </si>
  <si>
    <t>获得后可体验&lt;color=#fff442&gt;1天&lt;/color&gt;A级满星球杆-楠木球杆。</t>
  </si>
  <si>
    <t>120261,24</t>
  </si>
  <si>
    <t>楠木球杆(3天)</t>
  </si>
  <si>
    <t>获得后可体验&lt;color=#fff442&gt;3天&lt;/color&gt;A级满星球杆-楠木球杆。</t>
  </si>
  <si>
    <t>120261,72</t>
  </si>
  <si>
    <t>楠木球杆(7天)</t>
  </si>
  <si>
    <t>获得后可体验&lt;color=#fff442&gt;7天&lt;/color&gt;A级满星球杆-楠木球杆。</t>
  </si>
  <si>
    <t>120261,168</t>
  </si>
  <si>
    <t>智慧权杖(1天)</t>
  </si>
  <si>
    <t>获得后可体验&lt;color=#fff442&gt;1天&lt;/color&gt;A级满星球杆-智慧权杖。</t>
  </si>
  <si>
    <t>120271,24</t>
  </si>
  <si>
    <t>智慧权杖(3天)</t>
  </si>
  <si>
    <t>获得后可体验&lt;color=#fff442&gt;3天&lt;/color&gt;A级满星球杆-智慧权杖。</t>
  </si>
  <si>
    <t>120271,72</t>
  </si>
  <si>
    <t>智慧权杖(7天)</t>
  </si>
  <si>
    <t>获得后可体验&lt;color=#fff442&gt;7天&lt;/color&gt;A级满星球杆-智慧权杖。</t>
  </si>
  <si>
    <t>120271,168</t>
  </si>
  <si>
    <t>权力之杖(1天)</t>
  </si>
  <si>
    <t>获得后可体验&lt;color=#fff442&gt;1天&lt;/color&gt;A级满星球杆-权力之杖。</t>
  </si>
  <si>
    <t>120281,24</t>
  </si>
  <si>
    <t>权力之杖(3天)</t>
  </si>
  <si>
    <t>获得后可体验&lt;color=#fff442&gt;3天&lt;/color&gt;A级满星球杆-权力之杖。</t>
  </si>
  <si>
    <t>120281,72</t>
  </si>
  <si>
    <t>权力之杖(7天)</t>
  </si>
  <si>
    <t>获得后可体验&lt;color=#fff442&gt;7天&lt;/color&gt;A级满星球杆-权力之杖。</t>
  </si>
  <si>
    <t>120281,168</t>
  </si>
  <si>
    <t>橡木球杆(1天)</t>
  </si>
  <si>
    <t>获得后可体验&lt;color=#fff442&gt;1天&lt;/color&gt;A级满星球杆-橡木球杆。</t>
  </si>
  <si>
    <t>120291,24</t>
  </si>
  <si>
    <t>橡木球杆(3天)</t>
  </si>
  <si>
    <t>获得后可体验&lt;color=#fff442&gt;3天&lt;/color&gt;A级满星球杆-橡木球杆。</t>
  </si>
  <si>
    <t>120291,72</t>
  </si>
  <si>
    <t>橡木球杆(7天)</t>
  </si>
  <si>
    <t>获得后可体验&lt;color=#fff442&gt;7天&lt;/color&gt;A级满星球杆-橡木球杆。</t>
  </si>
  <si>
    <t>120291,168</t>
  </si>
  <si>
    <t>获得后可体验&lt;color=#fff442&gt;30天&lt;/color&gt;S级满星球杆-方天画戟。</t>
  </si>
  <si>
    <t>120321,720</t>
  </si>
  <si>
    <t>哪吒(1天)</t>
  </si>
  <si>
    <t>使用后可体验&lt;color=#fff442&gt;1天&lt;/color&gt;S级满星球杆-哪吒。</t>
  </si>
  <si>
    <t>120361,24</t>
  </si>
  <si>
    <t>哪吒(3天)</t>
  </si>
  <si>
    <t>使用后可体验&lt;color=#fff442&gt;3天&lt;/color&gt;S级满星球杆-哪吒。</t>
  </si>
  <si>
    <t>120361,72</t>
  </si>
  <si>
    <t>哪吒(7天)</t>
  </si>
  <si>
    <t>使用后可体验&lt;color=#fff442&gt;7天&lt;/color&gt;S级满星球杆-哪吒。</t>
  </si>
  <si>
    <t>120361,168</t>
  </si>
  <si>
    <t>使用后可体验&lt;color=#fff442&gt;1天&lt;/color&gt;SS级满星球杆-哪吒。</t>
  </si>
  <si>
    <t>120362,24</t>
  </si>
  <si>
    <t>使用后可体验&lt;color=#fff442&gt;3天&lt;/color&gt;SS级满星球杆-哪吒。</t>
  </si>
  <si>
    <t>120362,72</t>
  </si>
  <si>
    <t>使用后可体验&lt;color=#fff442&gt;7天&lt;/color&gt;SS级满星球杆-哪吒。</t>
  </si>
  <si>
    <t>120362,168</t>
  </si>
  <si>
    <t>使用后可体验&lt;color=#fff442&gt;1天&lt;/color&gt;SSS级满星球杆-哪吒。</t>
  </si>
  <si>
    <t>120363,24</t>
  </si>
  <si>
    <t>使用后可体验&lt;color=#fff442&gt;3天&lt;/color&gt;SSS级满星球杆-哪吒。</t>
  </si>
  <si>
    <t>120363,72</t>
  </si>
  <si>
    <t>使用后可体验&lt;color=#fff442&gt;7天&lt;/color&gt;SSS级满星球杆-哪吒。</t>
  </si>
  <si>
    <t>120363,168</t>
  </si>
  <si>
    <t>南瓜头(1天)</t>
  </si>
  <si>
    <t>使用后可体验&lt;color=#fff442&gt;1天&lt;/color&gt;S级满星球杆-南瓜头。</t>
  </si>
  <si>
    <t>120401,24</t>
  </si>
  <si>
    <t>南瓜头(3天)</t>
  </si>
  <si>
    <t>使用后可体验&lt;color=#fff442&gt;3天&lt;/color&gt;S级满星球杆-南瓜头。</t>
  </si>
  <si>
    <t>120401,72</t>
  </si>
  <si>
    <t>南瓜头(7天)</t>
  </si>
  <si>
    <t>使用后可体验&lt;color=#fff442&gt;7天&lt;/color&gt;S级满星球杆-南瓜头。</t>
  </si>
  <si>
    <t>120401,168</t>
  </si>
  <si>
    <t>使用后可体验&lt;color=#fff442&gt;1天&lt;/color&gt;SS级满星球杆-南瓜头。</t>
  </si>
  <si>
    <t>120402,24</t>
  </si>
  <si>
    <t>使用后可体验&lt;color=#fff442&gt;3天&lt;/color&gt;SS级满星球杆-南瓜头。</t>
  </si>
  <si>
    <t>120402,72</t>
  </si>
  <si>
    <t>使用后可体验&lt;color=#fff442&gt;7天&lt;/color&gt;SS级满星球杆-南瓜头。</t>
  </si>
  <si>
    <t>120402,168</t>
  </si>
  <si>
    <t>使用后可体验&lt;color=#fff442&gt;1天&lt;/color&gt;SSS级满星球杆-南瓜头。</t>
  </si>
  <si>
    <t>120403,24</t>
  </si>
  <si>
    <t>使用后可体验&lt;color=#fff442&gt;3天&lt;/color&gt;SSS级满星球杆-南瓜头。</t>
  </si>
  <si>
    <t>120403,72</t>
  </si>
  <si>
    <t>使用后可体验&lt;color=#fff442&gt;7天&lt;/color&gt;SSS级满星球杆-南瓜头。</t>
  </si>
  <si>
    <t>120403,168</t>
  </si>
  <si>
    <t>甜心宝贝(1天)</t>
  </si>
  <si>
    <t>使用后可体验&lt;color=#fff442&gt;1天&lt;/color&gt;S级满星球杆-甜心宝贝。</t>
  </si>
  <si>
    <t>120411,24</t>
  </si>
  <si>
    <t>甜心宝贝(3天)</t>
  </si>
  <si>
    <t>使用后可体验&lt;color=#fff442&gt;3天&lt;/color&gt;S级满星球杆-甜心宝贝。</t>
  </si>
  <si>
    <t>120411,72</t>
  </si>
  <si>
    <t>甜心宝贝(7天)</t>
  </si>
  <si>
    <t>使用后可体验&lt;color=#fff442&gt;7天&lt;/color&gt;S级满星球杆-甜心宝贝。</t>
  </si>
  <si>
    <t>120411,168</t>
  </si>
  <si>
    <t>使用后可体验&lt;color=#fff442&gt;1天&lt;/color&gt;SS级满星球杆-甜心宝贝。</t>
  </si>
  <si>
    <t>120412,24</t>
  </si>
  <si>
    <t>使用后可体验&lt;color=#fff442&gt;3天&lt;/color&gt;SS级满星球杆-甜心宝贝。</t>
  </si>
  <si>
    <t>120412,72</t>
  </si>
  <si>
    <t>使用后可体验&lt;color=#fff442&gt;7天&lt;/color&gt;SS级满星球杆-甜心宝贝。</t>
  </si>
  <si>
    <t>120412,168</t>
  </si>
  <si>
    <t>使用后可体验&lt;color=#fff442&gt;1天&lt;/color&gt;SSS级满星球杆-甜心宝贝。</t>
  </si>
  <si>
    <t>120413,24</t>
  </si>
  <si>
    <t>使用后可体验&lt;color=#fff442&gt;3天&lt;/color&gt;SSS级满星球杆-甜心宝贝。</t>
  </si>
  <si>
    <t>120413,72</t>
  </si>
  <si>
    <t>使用后可体验&lt;color=#fff442&gt;7天&lt;/color&gt;SSS级满星球杆-甜心宝贝。</t>
  </si>
  <si>
    <t>120413,168</t>
  </si>
  <si>
    <t>乌木球杆(30天)</t>
  </si>
  <si>
    <t>使用后可体验&lt;color=#fff442&gt;30天&lt;/color&gt;S级满星球杆-乌木球杆。</t>
  </si>
  <si>
    <t>120421,720</t>
  </si>
  <si>
    <t>乌木球杆(1天)</t>
  </si>
  <si>
    <t>使用后可体验&lt;color=#fff442&gt;1天&lt;/color&gt;S级满星球杆-乌木球杆。</t>
  </si>
  <si>
    <t>120421,24</t>
  </si>
  <si>
    <t>乌木球杆(3天)</t>
  </si>
  <si>
    <t>使用后可体验&lt;color=#fff442&gt;3天&lt;/color&gt;S级满星球杆-乌木球杆。</t>
  </si>
  <si>
    <t>120421,72</t>
  </si>
  <si>
    <t>乌木球杆(7天)</t>
  </si>
  <si>
    <t>使用后可体验&lt;color=#fff442&gt;7天&lt;/color&gt;S级满星球杆-乌木球杆。</t>
  </si>
  <si>
    <t>120421,168</t>
  </si>
  <si>
    <t>使用后可体验&lt;color=#fff442&gt;1天&lt;/color&gt;SS级满星球杆-乌木球杆。</t>
  </si>
  <si>
    <t>120422,24</t>
  </si>
  <si>
    <t>使用后可体验&lt;color=#fff442&gt;3天&lt;/color&gt;SS级满星球杆-乌木球杆。</t>
  </si>
  <si>
    <t>120422,72</t>
  </si>
  <si>
    <t>使用后可体验&lt;color=#fff442&gt;7天&lt;/color&gt;SS级满星球杆-乌木球杆。</t>
  </si>
  <si>
    <t>120422,168</t>
  </si>
  <si>
    <t>使用后可体验&lt;color=#fff442&gt;1天&lt;/color&gt;SSS级满星球杆-乌木球杆。</t>
  </si>
  <si>
    <t>120423,24</t>
  </si>
  <si>
    <t>使用后可体验&lt;color=#fff442&gt;3天&lt;/color&gt;SSS级满星球杆-乌木球杆。</t>
  </si>
  <si>
    <t>120423,72</t>
  </si>
  <si>
    <t>使用后可体验&lt;color=#fff442&gt;7天&lt;/color&gt;SSS级满星球杆-乌木球杆。</t>
  </si>
  <si>
    <t>120423,168</t>
  </si>
  <si>
    <t>使用后可体验&lt;color=#fff442&gt;30天&lt;/color&gt;SS级满星球杆-乌木球杆。</t>
  </si>
  <si>
    <t>120422,720</t>
  </si>
  <si>
    <t>玉如意(1天)</t>
  </si>
  <si>
    <t>使用后可体验&lt;color=#fff442&gt;1天&lt;/color&gt;S级满星球杆-玉如意。</t>
  </si>
  <si>
    <t>120431,24</t>
  </si>
  <si>
    <t>玉如意(3天)</t>
  </si>
  <si>
    <t>使用后可体验&lt;color=#fff442&gt;3天&lt;/color&gt;S级满星球杆-玉如意。</t>
  </si>
  <si>
    <t>120431,72</t>
  </si>
  <si>
    <t>玉如意(7天)</t>
  </si>
  <si>
    <t>使用后可体验&lt;color=#fff442&gt;7天&lt;/color&gt;S级满星球杆-玉如意。</t>
  </si>
  <si>
    <t>120431,168</t>
  </si>
  <si>
    <t>使用后可体验&lt;color=#fff442&gt;1天&lt;/color&gt;SS级满星球杆-玉如意。</t>
  </si>
  <si>
    <t>120432,24</t>
  </si>
  <si>
    <t>使用后可体验&lt;color=#fff442&gt;3天&lt;/color&gt;SS级满星球杆-玉如意。</t>
  </si>
  <si>
    <t>120432,72</t>
  </si>
  <si>
    <t>使用后可体验&lt;color=#fff442&gt;7天&lt;/color&gt;SS级满星球杆-玉如意。</t>
  </si>
  <si>
    <t>120432,168</t>
  </si>
  <si>
    <t>使用后可体验&lt;color=#fff442&gt;1天&lt;/color&gt;SSS级满星球杆-玉如意。</t>
  </si>
  <si>
    <t>120433,24</t>
  </si>
  <si>
    <t>使用后可体验&lt;color=#fff442&gt;3天&lt;/color&gt;SSS级满星球杆-玉如意。</t>
  </si>
  <si>
    <t>120433,72</t>
  </si>
  <si>
    <t>使用后可体验&lt;color=#fff442&gt;7天&lt;/color&gt;SSS级满星球杆-玉如意。</t>
  </si>
  <si>
    <t>120433,168</t>
  </si>
  <si>
    <t>枫叶团扇(1天)</t>
  </si>
  <si>
    <t>使用后可体验&lt;color=#fff442&gt;1天&lt;/color&gt;S级满星球杆-枫叶团扇。</t>
  </si>
  <si>
    <t>120441,24</t>
  </si>
  <si>
    <t>枫叶团扇(3天)</t>
  </si>
  <si>
    <t>使用后可体验&lt;color=#fff442&gt;3天&lt;/color&gt;S级满星球杆-枫叶团扇。</t>
  </si>
  <si>
    <t>120441,72</t>
  </si>
  <si>
    <t>枫叶团扇(7天)</t>
  </si>
  <si>
    <t>使用后可体验&lt;color=#fff442&gt;7天&lt;/color&gt;S级满星球杆-枫叶团扇。</t>
  </si>
  <si>
    <t>120441,168</t>
  </si>
  <si>
    <t>使用后可体验&lt;color=#fff442&gt;1天&lt;/color&gt;SS级满星球杆-枫叶团扇。</t>
  </si>
  <si>
    <t>120442,24</t>
  </si>
  <si>
    <t>使用后可体验&lt;color=#fff442&gt;3天&lt;/color&gt;SS级满星球杆-枫叶团扇。</t>
  </si>
  <si>
    <t>120442,72</t>
  </si>
  <si>
    <t>使用后可体验&lt;color=#fff442&gt;7天&lt;/color&gt;SS级满星球杆-枫叶团扇。</t>
  </si>
  <si>
    <t>120442,168</t>
  </si>
  <si>
    <t>使用后可体验&lt;color=#fff442&gt;1天&lt;/color&gt;SSS级满星球杆-枫叶团扇。</t>
  </si>
  <si>
    <t>120443,24</t>
  </si>
  <si>
    <t>使用后可体验&lt;color=#fff442&gt;3天&lt;/color&gt;SSS级满星球杆-枫叶团扇。</t>
  </si>
  <si>
    <t>120443,72</t>
  </si>
  <si>
    <t>使用后可体验&lt;color=#fff442&gt;7天&lt;/color&gt;SSS级满星球杆-枫叶团扇。</t>
  </si>
  <si>
    <t>120443,168</t>
  </si>
  <si>
    <t>白色死神(1天)</t>
  </si>
  <si>
    <t>使用后可体验&lt;color=#fff442&gt;1天&lt;/color&gt;S级满星球杆-白色死神。</t>
  </si>
  <si>
    <t>120451,24</t>
  </si>
  <si>
    <t>白色死神(3天)</t>
  </si>
  <si>
    <t>使用后可体验&lt;color=#fff442&gt;3天&lt;/color&gt;S级满星球杆-白色死神。</t>
  </si>
  <si>
    <t>120451,72</t>
  </si>
  <si>
    <t>白色死神(7天)</t>
  </si>
  <si>
    <t>使用后可体验&lt;color=#fff442&gt;7天&lt;/color&gt;S级满星球杆-白色死神。</t>
  </si>
  <si>
    <t>120451,168</t>
  </si>
  <si>
    <t>使用后可体验&lt;color=#fff442&gt;1天&lt;/color&gt;SS级满星球杆-白色死神。</t>
  </si>
  <si>
    <t>120452,24</t>
  </si>
  <si>
    <t>使用后可体验&lt;color=#fff442&gt;3天&lt;/color&gt;SS级满星球杆-白色死神。</t>
  </si>
  <si>
    <t>120452,72</t>
  </si>
  <si>
    <t>使用后可体验&lt;color=#fff442&gt;7天&lt;/color&gt;SS级满星球杆-白色死神。</t>
  </si>
  <si>
    <t>120452,168</t>
  </si>
  <si>
    <t>使用后可体验&lt;color=#fff442&gt;1天&lt;/color&gt;SSS级满星球杆-白色死神。</t>
  </si>
  <si>
    <t>120453,24</t>
  </si>
  <si>
    <t>使用后可体验&lt;color=#fff442&gt;3天&lt;/color&gt;SSS级满星球杆-白色死神。</t>
  </si>
  <si>
    <t>120453,72</t>
  </si>
  <si>
    <t>使用后可体验&lt;color=#fff442&gt;7天&lt;/color&gt;SSS级满星球杆-白色死神。</t>
  </si>
  <si>
    <t>120453,168</t>
  </si>
  <si>
    <t>虎头虎脑(1天)</t>
  </si>
  <si>
    <t>使用后可体验&lt;color=#fff442&gt;1天&lt;/color&gt;S级满星球杆-虎头虎脑。</t>
  </si>
  <si>
    <t>120461,24</t>
  </si>
  <si>
    <t>虎头虎脑(3天)</t>
  </si>
  <si>
    <t>使用后可体验&lt;color=#fff442&gt;3天&lt;/color&gt;S级满星球杆-虎头虎脑。</t>
  </si>
  <si>
    <t>120461,72</t>
  </si>
  <si>
    <t>虎头虎脑(7天)</t>
  </si>
  <si>
    <t>使用后可体验&lt;color=#fff442&gt;7天&lt;/color&gt;S级满星球杆-虎头虎脑。</t>
  </si>
  <si>
    <t>120461,168</t>
  </si>
  <si>
    <t>使用后可体验&lt;color=#fff442&gt;1天&lt;/color&gt;SS级满星球杆-虎头虎脑。</t>
  </si>
  <si>
    <t>120462,24</t>
  </si>
  <si>
    <t>使用后可体验&lt;color=#fff442&gt;3天&lt;/color&gt;SS级满星球杆-虎头虎脑。</t>
  </si>
  <si>
    <t>120462,72</t>
  </si>
  <si>
    <t>使用后可体验&lt;color=#fff442&gt;7天&lt;/color&gt;SS级满星球杆-虎头虎脑。</t>
  </si>
  <si>
    <t>120462,168</t>
  </si>
  <si>
    <t>使用后可体验&lt;color=#fff442&gt;1天&lt;/color&gt;SSS级满星球杆-虎头虎脑。</t>
  </si>
  <si>
    <t>120463,24</t>
  </si>
  <si>
    <t>使用后可体验&lt;color=#fff442&gt;3天&lt;/color&gt;SSS级满星球杆-虎头虎脑。</t>
  </si>
  <si>
    <t>120463,72</t>
  </si>
  <si>
    <t>使用后可体验&lt;color=#fff442&gt;7天&lt;/color&gt;SSS级满星球杆-虎头虎脑。</t>
  </si>
  <si>
    <t>120463,168</t>
  </si>
  <si>
    <t>使用后可体验&lt;color=#fff442&gt;3天&lt;/color&gt;A级满星球杆-如鱼得水。</t>
  </si>
  <si>
    <t>120050,72</t>
  </si>
  <si>
    <t>如鱼得水(5天)</t>
  </si>
  <si>
    <t>使用后可体验&lt;color=#fff442&gt;5天&lt;/color&gt;A级满星球杆-如鱼得水。</t>
  </si>
  <si>
    <t>120050,120</t>
  </si>
  <si>
    <t>使用后可体验&lt;color=#fff442&gt;5天&lt;/color&gt;S级满星球杆-如鱼得水。</t>
  </si>
  <si>
    <t>120051,120</t>
  </si>
  <si>
    <t>绿茵驰骋(1天)</t>
  </si>
  <si>
    <t>使用后可体验&lt;color=#fff442&gt;1天&lt;/color&gt;S级满星球杆-绿茵驰骋。</t>
  </si>
  <si>
    <t>120811,24</t>
  </si>
  <si>
    <t>绿茵驰骋((3天)</t>
  </si>
  <si>
    <t>使用后可体验&lt;color=#fff442&gt;3天&lt;/color&gt;S级满星球杆-绿茵驰骋。</t>
  </si>
  <si>
    <t>120811,72</t>
  </si>
  <si>
    <t>绿茵驰骋((7天)</t>
  </si>
  <si>
    <t>使用后可体验&lt;color=#fff442&gt;7天&lt;/color&gt;S级满星球杆-绿茵驰骋。</t>
  </si>
  <si>
    <t>120811,168</t>
  </si>
  <si>
    <t>使用后可体验&lt;color=#fff442&gt;1天&lt;/color&gt;SS级满星球杆-绿茵驰骋。</t>
  </si>
  <si>
    <t>120812,24</t>
  </si>
  <si>
    <t>使用后可体验&lt;color=#fff442&gt;3天&lt;/color&gt;SS级满星球杆-绿茵驰骋。</t>
  </si>
  <si>
    <t>120812,72</t>
  </si>
  <si>
    <t>使用后可体验&lt;color=#fff442&gt;7天&lt;/color&gt;SS级满星球杆-绿茵驰骋。</t>
  </si>
  <si>
    <t>120812,168</t>
  </si>
  <si>
    <t>使用后可体验&lt;color=#fff442&gt;1天&lt;/color&gt;SSS级满星球杆-绿茵驰骋。</t>
  </si>
  <si>
    <t>120813,24</t>
  </si>
  <si>
    <t>使用后可体验&lt;color=#fff442&gt;3天&lt;/color&gt;SSS级满星球杆-绿茵驰骋。</t>
  </si>
  <si>
    <t>120813,72</t>
  </si>
  <si>
    <t>使用后可体验&lt;color=#fff442&gt;7天&lt;/color&gt;SSS级满星球杆-绿茵驰骋。</t>
  </si>
  <si>
    <t>120813,168</t>
  </si>
  <si>
    <t>绿茵驰骋((30天)</t>
  </si>
  <si>
    <t>使用后可体验&lt;color=#fff442&gt;30天&lt;/color&gt;S级满星球杆-绿茵驰骋。</t>
  </si>
  <si>
    <t>120811,720</t>
  </si>
  <si>
    <t>鸿运萝卜(1天)</t>
  </si>
  <si>
    <t>使用后可体验&lt;color=#fff442&gt;1天&lt;/color&gt;S级满星球杆-鸿运萝卜。</t>
  </si>
  <si>
    <t>120831,24</t>
  </si>
  <si>
    <t>鸿运萝卜(3天)</t>
  </si>
  <si>
    <t>使用后可体验&lt;color=#fff442&gt;3天&lt;/color&gt;S级满星球杆-鸿运萝卜。</t>
  </si>
  <si>
    <t>120831,72</t>
  </si>
  <si>
    <t>鸿运萝卜(7天)</t>
  </si>
  <si>
    <t>使用后可体验&lt;color=#fff442&gt;7天&lt;/color&gt;S级满星球杆-鸿运萝卜。</t>
  </si>
  <si>
    <t>120831,168</t>
  </si>
  <si>
    <t>使用后可体验&lt;color=#fff442&gt;1天&lt;/color&gt;SS级满星球杆-鸿运萝卜。</t>
  </si>
  <si>
    <t>120832,24</t>
  </si>
  <si>
    <t>使用后可体验&lt;color=#fff442&gt;3天&lt;/color&gt;SS级满星球杆-鸿运萝卜。</t>
  </si>
  <si>
    <t>120832,72</t>
  </si>
  <si>
    <t>使用后可体验&lt;color=#fff442&gt;7天&lt;/color&gt;SS级满星球杆-鸿运萝卜。</t>
  </si>
  <si>
    <t>120832,168</t>
  </si>
  <si>
    <t>使用后可体验&lt;color=#fff442&gt;1天&lt;/color&gt;SSS级满星球杆-鸿运萝卜。</t>
  </si>
  <si>
    <t>120833,24</t>
  </si>
  <si>
    <t>使用后可体验&lt;color=#fff442&gt;3天&lt;/color&gt;SSS级满星球杆-鸿运萝卜。</t>
  </si>
  <si>
    <t>120833,72</t>
  </si>
  <si>
    <t>使用后可体验&lt;color=#fff442&gt;7天&lt;/color&gt;SSS级满星球杆-鸿运萝卜。</t>
  </si>
  <si>
    <t>120833,168</t>
  </si>
  <si>
    <t>上上签(1天)</t>
  </si>
  <si>
    <t>使用后可体验&lt;color=#fff442&gt;1天&lt;/color&gt;S级满星球杆-上上签。</t>
  </si>
  <si>
    <t>120841,24</t>
  </si>
  <si>
    <t>上上签(3天)</t>
  </si>
  <si>
    <t>使用后可体验&lt;color=#fff442&gt;3天&lt;/color&gt;S级满星球杆-上上签。</t>
  </si>
  <si>
    <t>120841,72</t>
  </si>
  <si>
    <t>上上签(7天)</t>
  </si>
  <si>
    <t>使用后可体验&lt;color=#fff442&gt;7天&lt;/color&gt;S级满星球杆-上上签。</t>
  </si>
  <si>
    <t>120841,168</t>
  </si>
  <si>
    <t>使用后可体验&lt;color=#fff442&gt;1天&lt;/color&gt;SS级满星球杆-上上签。</t>
  </si>
  <si>
    <t>120842,24</t>
  </si>
  <si>
    <t>使用后可体验&lt;color=#fff442&gt;3天&lt;/color&gt;SS级满星球杆-上上签。</t>
  </si>
  <si>
    <t>120842,72</t>
  </si>
  <si>
    <t>使用后可体验&lt;color=#fff442&gt;7天&lt;/color&gt;SS级满星球杆-上上签。</t>
  </si>
  <si>
    <t>120842,168</t>
  </si>
  <si>
    <t>使用后可体验&lt;color=#fff442&gt;1天&lt;/color&gt;SSS级满星球杆-上上签。</t>
  </si>
  <si>
    <t>120843,24</t>
  </si>
  <si>
    <t>使用后可体验&lt;color=#fff442&gt;3天&lt;/color&gt;SSS级满星球杆-上上签。</t>
  </si>
  <si>
    <t>120843,72</t>
  </si>
  <si>
    <t>使用后可体验&lt;color=#fff442&gt;7天&lt;/color&gt;SSS级满星球杆-上上签。</t>
  </si>
  <si>
    <t>120843,168</t>
  </si>
  <si>
    <t>法老权杖(1天)</t>
  </si>
  <si>
    <t>使用后可体验&lt;color=#fff442&gt;1天&lt;/color&gt;S级满星球杆-法老权杖。</t>
  </si>
  <si>
    <t>120341,24</t>
  </si>
  <si>
    <t>法老权杖(3天)</t>
  </si>
  <si>
    <t>使用后可体验&lt;color=#fff442&gt;3天&lt;/color&gt;S级满星球杆-法老权杖。</t>
  </si>
  <si>
    <t>120341,72</t>
  </si>
  <si>
    <t>法老权杖(7天)</t>
  </si>
  <si>
    <t>使用后可体验&lt;color=#fff442&gt;7天&lt;/color&gt;S级满星球杆-法老权杖。</t>
  </si>
  <si>
    <t>120341,168</t>
  </si>
  <si>
    <t>使用后可体验&lt;color=#fff442&gt;1天&lt;/color&gt;SS级满星球杆-法老权杖。</t>
  </si>
  <si>
    <t>icon_100342</t>
  </si>
  <si>
    <t>120342,24</t>
  </si>
  <si>
    <t>使用后可体验&lt;color=#fff442&gt;3天&lt;/color&gt;SS级满星球杆-法老权杖。</t>
  </si>
  <si>
    <t>120342,72</t>
  </si>
  <si>
    <t>使用后可体验&lt;color=#fff442&gt;7天&lt;/color&gt;SS级满星球杆-法老权杖。</t>
  </si>
  <si>
    <t>120342,168</t>
  </si>
  <si>
    <t>使用后可体验&lt;color=#fff442&gt;1天&lt;/color&gt;SSS级满星球杆-法老权杖。</t>
  </si>
  <si>
    <t>icon_100343</t>
  </si>
  <si>
    <t>120343,24</t>
  </si>
  <si>
    <t>使用后可体验&lt;color=#fff442&gt;3天&lt;/color&gt;SSS级满星球杆-法老权杖。</t>
  </si>
  <si>
    <t>120343,72</t>
  </si>
  <si>
    <t>使用后可体验&lt;color=#fff442&gt;7天&lt;/color&gt;SSS级满星球杆-法老权杖。</t>
  </si>
  <si>
    <t>120343,168</t>
  </si>
  <si>
    <t>蒸汽核心(1天)</t>
  </si>
  <si>
    <t>使用后可体验&lt;color=#fff442&gt;1天&lt;/color&gt;S级满星球杆-蒸汽核心。</t>
  </si>
  <si>
    <t>120972,24</t>
  </si>
  <si>
    <t>蒸汽核心(3天)</t>
  </si>
  <si>
    <t>使用后可体验&lt;color=#fff442&gt;3天&lt;/color&gt;S级满星球杆-蒸汽核心。</t>
  </si>
  <si>
    <t>120972,72</t>
  </si>
  <si>
    <t>蒸汽核心(7天)</t>
  </si>
  <si>
    <t>使用后可体验&lt;color=#fff442&gt;7天&lt;/color&gt;S级满星球杆-蒸汽核心。</t>
  </si>
  <si>
    <t>120972,168</t>
  </si>
  <si>
    <t>使用后可体验&lt;color=#fff442&gt;1天&lt;/color&gt;SS级满星球杆-蒸汽核心。</t>
  </si>
  <si>
    <t>120973,24</t>
  </si>
  <si>
    <t>使用后可体验&lt;color=#fff442&gt;3天&lt;/color&gt;SS级满星球杆-蒸汽核心。</t>
  </si>
  <si>
    <t>120973,72</t>
  </si>
  <si>
    <t>使用后可体验&lt;color=#fff442&gt;7天&lt;/color&gt;SS级满星球杆-蒸汽核心。</t>
  </si>
  <si>
    <t>120973,168</t>
  </si>
  <si>
    <t>使用后可体验&lt;color=#fff442&gt;1天&lt;/color&gt;SSS级满星球杆-蒸汽核心。</t>
  </si>
  <si>
    <t>120974,24</t>
  </si>
  <si>
    <t>使用后可体验&lt;color=#fff442&gt;3天&lt;/color&gt;SSS级满星球杆-蒸汽核心。</t>
  </si>
  <si>
    <t>120974,72</t>
  </si>
  <si>
    <t>使用后可体验&lt;color=#fff442&gt;7天&lt;/color&gt;SSS级满星球杆-蒸汽核心。</t>
  </si>
  <si>
    <t>120974,168</t>
  </si>
  <si>
    <t>箬竹翠韵(1天)</t>
  </si>
  <si>
    <t>使用后可体验&lt;color=#fff442&gt;1天&lt;/color&gt;S级满星球杆-箬竹翠韵。</t>
  </si>
  <si>
    <t>120982,24</t>
  </si>
  <si>
    <t>箬竹翠韵(3天)</t>
  </si>
  <si>
    <t>使用后可体验&lt;color=#fff442&gt;3天&lt;/color&gt;S级满星球杆-箬竹翠韵。</t>
  </si>
  <si>
    <t>120982,72</t>
  </si>
  <si>
    <t>箬竹翠韵(7天)</t>
  </si>
  <si>
    <t>使用后可体验&lt;color=#fff442&gt;7天&lt;/color&gt;S级满星球杆-箬竹翠韵。</t>
  </si>
  <si>
    <t>120982,168</t>
  </si>
  <si>
    <t>使用后可体验&lt;color=#fff442&gt;1天&lt;/color&gt;SS级满星球杆-箬竹翠韵。</t>
  </si>
  <si>
    <t>120983,24</t>
  </si>
  <si>
    <t>使用后可体验&lt;color=#fff442&gt;3天&lt;/color&gt;SS级满星球杆-箬竹翠韵。</t>
  </si>
  <si>
    <t>120983,72</t>
  </si>
  <si>
    <t>使用后可体验&lt;color=#fff442&gt;7天&lt;/color&gt;SS级满星球杆-箬竹翠韵。</t>
  </si>
  <si>
    <t>120983,168</t>
  </si>
  <si>
    <t>使用后可体验&lt;color=#fff442&gt;1天&lt;/color&gt;SSS级满星球杆-箬竹翠韵。</t>
  </si>
  <si>
    <t>120984,24</t>
  </si>
  <si>
    <t>使用后可体验&lt;color=#fff442&gt;3天&lt;/color&gt;SSS级满星球杆-箬竹翠韵。</t>
  </si>
  <si>
    <t>120984,72</t>
  </si>
  <si>
    <t>使用后可体验&lt;color=#fff442&gt;7天&lt;/color&gt;SSS级满星球杆-箬竹翠韵。</t>
  </si>
  <si>
    <t>120984,168</t>
  </si>
  <si>
    <t>茱影浮翠(1天)</t>
  </si>
  <si>
    <t>使用后可体验&lt;color=#fff442&gt;1天&lt;/color&gt;S级满星球杆-茱影浮翠。</t>
  </si>
  <si>
    <t>121342,24</t>
  </si>
  <si>
    <t>茱影浮翠(3天)</t>
  </si>
  <si>
    <t>使用后可体验&lt;color=#fff442&gt;3天&lt;/color&gt;S级满星球杆-茱影浮翠。</t>
  </si>
  <si>
    <t>121342,72</t>
  </si>
  <si>
    <t>茱影浮翠(7天)</t>
  </si>
  <si>
    <t>使用后可体验&lt;color=#fff442&gt;7天&lt;/color&gt;S级满星球杆-茱影浮翠。</t>
  </si>
  <si>
    <t>121342,168</t>
  </si>
  <si>
    <t>使用后可体验&lt;color=#fff442&gt;1天&lt;/color&gt;SS级满星球杆-茱影浮翠。</t>
  </si>
  <si>
    <t>121343,24</t>
  </si>
  <si>
    <t>使用后可体验&lt;color=#fff442&gt;3天&lt;/color&gt;SS级满星球杆-茱影浮翠。</t>
  </si>
  <si>
    <t>121343,72</t>
  </si>
  <si>
    <t>使用后可体验&lt;color=#fff442&gt;7天&lt;/color&gt;SS级满星球杆-茱影浮翠。</t>
  </si>
  <si>
    <t>121343,168</t>
  </si>
  <si>
    <t>使用后可体验&lt;color=#fff442&gt;1天&lt;/color&gt;SSS级满星球杆-茱影浮翠。</t>
  </si>
  <si>
    <t>121344,24</t>
  </si>
  <si>
    <t>使用后可体验&lt;color=#fff442&gt;3天&lt;/color&gt;SSS级满星球杆-茱影浮翠。</t>
  </si>
  <si>
    <t>121344,72</t>
  </si>
  <si>
    <t>使用后可体验&lt;color=#fff442&gt;7天&lt;/color&gt;SSS级满星球杆-茱影浮翠。</t>
  </si>
  <si>
    <t>121344,168</t>
  </si>
  <si>
    <t>张灯结彩(1天)</t>
  </si>
  <si>
    <t>使用后可体验&lt;color=#fff442&gt;1天&lt;/color&gt;S级满星球杆-张灯结彩。</t>
  </si>
  <si>
    <t>121452,24</t>
  </si>
  <si>
    <t>张灯结彩(3天)</t>
  </si>
  <si>
    <t>使用后可体验&lt;color=#fff442&gt;3天&lt;/color&gt;S级满星球杆-张灯结彩。</t>
  </si>
  <si>
    <t>121452,72</t>
  </si>
  <si>
    <t>张灯结彩(7天)</t>
  </si>
  <si>
    <t>使用后可体验&lt;color=#fff442&gt;7天&lt;/color&gt;S级满星球杆-张灯结彩。</t>
  </si>
  <si>
    <t>121452,168</t>
  </si>
  <si>
    <t>使用后可体验&lt;color=#fff442&gt;1天&lt;/color&gt;SS级满星球杆-张灯结彩。</t>
  </si>
  <si>
    <t>121453,24</t>
  </si>
  <si>
    <t>使用后可体验&lt;color=#fff442&gt;3天&lt;/color&gt;SS级满星球杆-张灯结彩。</t>
  </si>
  <si>
    <t>121453,72</t>
  </si>
  <si>
    <t>使用后可体验&lt;color=#fff442&gt;7天&lt;/color&gt;SS级满星球杆-张灯结彩。</t>
  </si>
  <si>
    <t>121453,168</t>
  </si>
  <si>
    <t>使用后可体验&lt;color=#fff442&gt;1天&lt;/color&gt;SSS级满星球杆-张灯结彩。</t>
  </si>
  <si>
    <t>121454,24</t>
  </si>
  <si>
    <t>使用后可体验&lt;color=#fff442&gt;3天&lt;/color&gt;SSS级满星球杆-张灯结彩。</t>
  </si>
  <si>
    <t>121454,72</t>
  </si>
  <si>
    <t>使用后可体验&lt;color=#fff442&gt;7天&lt;/color&gt;SSS级满星球杆-张灯结彩。</t>
  </si>
  <si>
    <t>121454,168</t>
  </si>
  <si>
    <t>经典衬衫(1天)</t>
  </si>
  <si>
    <t>获得后可免费体验&lt;color=#fff442&gt;1&lt;/color&gt;天服装-&lt;color=#fff442&gt;经典衬衫&lt;/color&gt;。</t>
  </si>
  <si>
    <t>200001,24</t>
  </si>
  <si>
    <t>经典衬衫(3天)</t>
  </si>
  <si>
    <t>获得后可免费体验&lt;color=#fff442&gt;3&lt;/color&gt;天服装-&lt;color=#fff442&gt;经典衬衫&lt;/color&gt;。</t>
  </si>
  <si>
    <t>200001,72</t>
  </si>
  <si>
    <t>经典衬衫(7天)</t>
  </si>
  <si>
    <t>获得后可免费体验&lt;color=#fff442&gt;7&lt;/color&gt;天服装-&lt;color=#fff442&gt;经典衬衫&lt;/color&gt;。</t>
  </si>
  <si>
    <t>200001,168</t>
  </si>
  <si>
    <t>经典衬衫(30天)</t>
  </si>
  <si>
    <t>获得后可免费体验&lt;color=#fff442&gt;30&lt;/color&gt;天服装-&lt;color=#fff442&gt;经典衬衫&lt;/color&gt;。</t>
  </si>
  <si>
    <t>200001,720</t>
  </si>
  <si>
    <t>获得后可免费体验&lt;color=#fff442&gt;1&lt;/color&gt;天服装-&lt;color=#fff442&gt;街头潮牌&lt;/color&gt;。</t>
  </si>
  <si>
    <t>200002,24</t>
  </si>
  <si>
    <t>获得后可免费体验&lt;color=#fff442&gt;3&lt;/color&gt;天服装-&lt;color=#fff442&gt;街头潮牌&lt;/color&gt;。</t>
  </si>
  <si>
    <t>200002,72</t>
  </si>
  <si>
    <t>获得后可免费体验&lt;color=#fff442&gt;7&lt;/color&gt;天服装-&lt;color=#fff442&gt;街头潮牌&lt;/color&gt;。</t>
  </si>
  <si>
    <t>200002,168</t>
  </si>
  <si>
    <t>街头潮牌(30天)</t>
  </si>
  <si>
    <t>获得后可免费体验&lt;color=#fff442&gt;30&lt;/color&gt;天服装-&lt;color=#fff442&gt;街头潮牌&lt;/color&gt;。</t>
  </si>
  <si>
    <t>200002,720</t>
  </si>
  <si>
    <t>夏日派对(1天)</t>
  </si>
  <si>
    <t>获得后可免费体验&lt;color=#fff442&gt;1&lt;/color&gt;天服装-&lt;color=#fff442&gt;夏日派对&lt;/color&gt;。</t>
  </si>
  <si>
    <t>200003,24</t>
  </si>
  <si>
    <t>夏日派对(3天)</t>
  </si>
  <si>
    <t>获得后可免费体验&lt;color=#fff442&gt;3&lt;/color&gt;天服装-&lt;color=#fff442&gt;夏日派对&lt;/color&gt;。</t>
  </si>
  <si>
    <t>200003,72</t>
  </si>
  <si>
    <t>夏日派对(7天)</t>
  </si>
  <si>
    <t>获得后可免费体验&lt;color=#fff442&gt;7&lt;/color&gt;天服装-&lt;color=#fff442&gt;夏日派对&lt;/color&gt;。</t>
  </si>
  <si>
    <t>200003,168</t>
  </si>
  <si>
    <t>夏日派对(30天)</t>
  </si>
  <si>
    <t>获得后可免费体验&lt;color=#fff442&gt;30&lt;/color&gt;天服装-&lt;color=#fff442&gt;夏日派对&lt;/color&gt;。</t>
  </si>
  <si>
    <t>200003,720</t>
  </si>
  <si>
    <t>牛仔很忙(1天)</t>
  </si>
  <si>
    <t>获得后可免费体验&lt;color=#fff442&gt;1&lt;/color&gt;天服装-&lt;color=#fff442&gt;牛仔很忙&lt;/color&gt;。</t>
  </si>
  <si>
    <t>200004,24</t>
  </si>
  <si>
    <t>牛仔很忙(3天)</t>
  </si>
  <si>
    <t>获得后可免费体验&lt;color=#fff442&gt;3&lt;/color&gt;天服装-&lt;color=#fff442&gt;牛仔很忙&lt;/color&gt;。</t>
  </si>
  <si>
    <t>200004,72</t>
  </si>
  <si>
    <t>牛仔很忙(7天)</t>
  </si>
  <si>
    <t>获得后可免费体验&lt;color=#fff442&gt;7&lt;/color&gt;天服装-&lt;color=#fff442&gt;牛仔很忙&lt;/color&gt;。</t>
  </si>
  <si>
    <t>200004,168</t>
  </si>
  <si>
    <t>牛仔很忙(30天)</t>
  </si>
  <si>
    <t>获得后可免费体验&lt;color=#fff442&gt;30&lt;/color&gt;天服装-&lt;color=#fff442&gt;牛仔很忙&lt;/color&gt;。</t>
  </si>
  <si>
    <t>200004,720</t>
  </si>
  <si>
    <t>牛仔很忙(5天)</t>
  </si>
  <si>
    <t>获得后可免费体验&lt;color=#fff442&gt;5&lt;/color&gt;天服装-&lt;color=#fff442&gt;牛仔很忙&lt;/color&gt;。</t>
  </si>
  <si>
    <t>200004,120</t>
  </si>
  <si>
    <t>超级巨星(1天)</t>
  </si>
  <si>
    <t>获得后可免费体验&lt;color=#fff442&gt;1&lt;/color&gt;天服装-&lt;color=#fff442&gt;超级巨星&lt;/color&gt;。</t>
  </si>
  <si>
    <t>200005,24</t>
  </si>
  <si>
    <t>超级巨星(3天)</t>
  </si>
  <si>
    <t>获得后可免费体验&lt;color=#fff442&gt;3&lt;/color&gt;天服装-&lt;color=#fff442&gt;超级巨星&lt;/color&gt;。</t>
  </si>
  <si>
    <t>200005,72</t>
  </si>
  <si>
    <t>超级巨星(7天)</t>
  </si>
  <si>
    <t>获得后可免费体验&lt;color=#fff442&gt;7&lt;/color&gt;天服装-&lt;color=#fff442&gt;超级巨星&lt;/color&gt;。</t>
  </si>
  <si>
    <t>200005,168</t>
  </si>
  <si>
    <t>超级巨星(30天)</t>
  </si>
  <si>
    <t>获得后可免费体验&lt;color=#fff442&gt;30&lt;/color&gt;天服装-&lt;color=#fff442&gt;超级巨星&lt;/color&gt;。</t>
  </si>
  <si>
    <t>200005,720</t>
  </si>
  <si>
    <t>超级巨星(5天)</t>
  </si>
  <si>
    <t>获得后可免费体验&lt;color=#fff442&gt;5&lt;/color&gt;天服装-&lt;color=#fff442&gt;超级巨星&lt;/color&gt;。</t>
  </si>
  <si>
    <t>200005,120</t>
  </si>
  <si>
    <t>黑色礼服(1天)</t>
  </si>
  <si>
    <t>获得后可免费体验&lt;color=#fff442&gt;1&lt;/color&gt;天服装-&lt;color=#fff442&gt;黑色礼服&lt;/color&gt;。</t>
  </si>
  <si>
    <t>200006,24</t>
  </si>
  <si>
    <t>黑色礼服(3天)</t>
  </si>
  <si>
    <t>获得后可免费体验&lt;color=#fff442&gt;3&lt;/color&gt;天服装-&lt;color=#fff442&gt;黑色礼服&lt;/color&gt;。</t>
  </si>
  <si>
    <t>200006,72</t>
  </si>
  <si>
    <t>黑色礼服(7天)</t>
  </si>
  <si>
    <t>获得后可免费体验&lt;color=#fff442&gt;7&lt;/color&gt;天服装-&lt;color=#fff442&gt;黑色礼服&lt;/color&gt;。</t>
  </si>
  <si>
    <t>200006,168</t>
  </si>
  <si>
    <t>黑色礼服(30天)</t>
  </si>
  <si>
    <t>获得后可免费体验&lt;color=#fff442&gt;30&lt;/color&gt;天服装-&lt;color=#fff442&gt;黑色礼服&lt;/color&gt;。</t>
  </si>
  <si>
    <t>200006,720</t>
  </si>
  <si>
    <t>黑色礼服(5天)</t>
  </si>
  <si>
    <t>获得后可免费体验&lt;color=#fff442&gt;5&lt;/color&gt;天服装-&lt;color=#fff442&gt;黑色礼服&lt;/color&gt;。</t>
  </si>
  <si>
    <t>200006,120</t>
  </si>
  <si>
    <t>虎啸风生(1天)</t>
  </si>
  <si>
    <t>获得后可免费体验&lt;color=#fff442&gt;1&lt;/color&gt;天服装-&lt;color=#fff442&gt;虎啸风生&lt;/color&gt;。</t>
  </si>
  <si>
    <t>200007,24</t>
  </si>
  <si>
    <t>虎啸风生(3天)</t>
  </si>
  <si>
    <t>获得后可免费体验&lt;color=#fff442&gt;3&lt;/color&gt;天服装-&lt;color=#fff442&gt;虎啸风生&lt;/color&gt;。</t>
  </si>
  <si>
    <t>200007,72</t>
  </si>
  <si>
    <t>虎啸风生(7天)</t>
  </si>
  <si>
    <t>获得后可免费体验&lt;color=#fff442&gt;7&lt;/color&gt;天服装-&lt;color=#fff442&gt;虎啸风生&lt;/color&gt;。</t>
  </si>
  <si>
    <t>200007,168</t>
  </si>
  <si>
    <t>虎啸风生(30天)</t>
  </si>
  <si>
    <t>获得后可免费体验&lt;color=#fff442&gt;30&lt;/color&gt;天服装-&lt;color=#fff442&gt;虎啸风生&lt;/color&gt;。</t>
  </si>
  <si>
    <t>200007,720</t>
  </si>
  <si>
    <t>活力运动装(3天)</t>
  </si>
  <si>
    <t>获得后可免费体验&lt;color=#fff442&gt;3&lt;/color&gt;天服装-&lt;color=#fff442&gt;活力运动装&lt;/color&gt;。</t>
  </si>
  <si>
    <t>200013,72</t>
  </si>
  <si>
    <t>古风服装(1天)</t>
  </si>
  <si>
    <t>获得后可免费体验&lt;color=#fff442&gt;1&lt;/color&gt;天服装-&lt;color=#fff442&gt;古风服装&lt;/color&gt;。</t>
  </si>
  <si>
    <t>200018,24</t>
  </si>
  <si>
    <t>齐天大圣（1天）</t>
  </si>
  <si>
    <t>获得后可免费体验&lt;color=#fff442&gt;1&lt;/color&gt;天服装-&lt;color=#fff442&gt;齐天大圣服装&lt;/color&gt;。</t>
  </si>
  <si>
    <t>200020,24</t>
  </si>
  <si>
    <t>至尊宝（1天）</t>
  </si>
  <si>
    <t>获得后可免费体验&lt;color=#fff442&gt;1&lt;/color&gt;天服装-&lt;color=#fff442&gt;至尊宝服装&lt;/color&gt;。</t>
  </si>
  <si>
    <t>200021,24</t>
  </si>
  <si>
    <t>紫霞仙子（1天）</t>
  </si>
  <si>
    <t>获得后可免费体验&lt;color=#fff442&gt;1&lt;/color&gt;天服装-&lt;color=#fff442&gt;紫霞仙子&lt;/color&gt;。</t>
  </si>
  <si>
    <t>200022,24</t>
  </si>
  <si>
    <t>凤雏（1天）</t>
  </si>
  <si>
    <t>获得后可免费体验&lt;color=#fff442&gt;1&lt;/color&gt;天服装-&lt;color=#fff442&gt;凤雏&lt;/color&gt;。</t>
  </si>
  <si>
    <t>靛蓝球桌(1天)</t>
  </si>
  <si>
    <t>获得后可免费体验&lt;color=#fff442&gt;1&lt;/color&gt;天球桌-&lt;color=#fff442&gt;靛蓝球桌&lt;/color&gt;。</t>
  </si>
  <si>
    <t>300001,24</t>
  </si>
  <si>
    <t>靛蓝球桌(3天)</t>
  </si>
  <si>
    <t>获得后可免费体验&lt;color=#fff442&gt;3&lt;/color&gt;天球桌-&lt;color=#fff442&gt;靛蓝球桌&lt;/color&gt;。</t>
  </si>
  <si>
    <t>300001,72</t>
  </si>
  <si>
    <t>靛蓝球桌(7天)</t>
  </si>
  <si>
    <t>获得后可免费体验&lt;color=#fff442&gt;7&lt;/color&gt;天球桌-&lt;color=#fff442&gt;靛蓝球桌&lt;/color&gt;。</t>
  </si>
  <si>
    <t>300001,168</t>
  </si>
  <si>
    <t>靛蓝球桌(30天)</t>
  </si>
  <si>
    <t>获得后可免费体验&lt;color=#fff442&gt;30&lt;/color&gt;天球桌-&lt;color=#fff442&gt;靛蓝球桌&lt;/color&gt;。</t>
  </si>
  <si>
    <t>300001,720</t>
  </si>
  <si>
    <t>黛绿球桌(1天)</t>
  </si>
  <si>
    <t>获得后可免费体验&lt;color=#fff442&gt;1&lt;/color&gt;天球桌-&lt;color=#fff442&gt;黛绿球桌&lt;/color&gt;。</t>
  </si>
  <si>
    <t>300002,24</t>
  </si>
  <si>
    <t>黛绿球桌(3天)</t>
  </si>
  <si>
    <t>获得后可免费体验&lt;color=#fff442&gt;3&lt;/color&gt;天球桌-&lt;color=#fff442&gt;黛绿球桌&lt;/color&gt;。</t>
  </si>
  <si>
    <t>300002,72</t>
  </si>
  <si>
    <t>黛绿球桌(7天)</t>
  </si>
  <si>
    <t>获得后可免费体验&lt;color=#fff442&gt;7&lt;/color&gt;天球桌-&lt;color=#fff442&gt;黛绿球桌&lt;/color&gt;。</t>
  </si>
  <si>
    <t>300002,168</t>
  </si>
  <si>
    <t>黛绿球桌(30天)</t>
  </si>
  <si>
    <t>获得后可免费体验&lt;color=#fff442&gt;30&lt;/color&gt;天球桌-&lt;color=#fff442&gt;黛绿球桌&lt;/color&gt;。</t>
  </si>
  <si>
    <t>300002,720</t>
  </si>
  <si>
    <t>暗红球桌(1天)</t>
  </si>
  <si>
    <t>获得后可免费体验&lt;color=#fff442&gt;1&lt;/color&gt;天球桌-&lt;color=#fff442&gt;暗红球桌&lt;/color&gt;。</t>
  </si>
  <si>
    <t>300003,24</t>
  </si>
  <si>
    <t>暗红球桌(3天)</t>
  </si>
  <si>
    <t>获得后可免费体验&lt;color=#fff442&gt;3&lt;/color&gt;天球桌-&lt;color=#fff442&gt;暗红球桌&lt;/color&gt;。</t>
  </si>
  <si>
    <t>300003,72</t>
  </si>
  <si>
    <t>暗红球桌(7天)</t>
  </si>
  <si>
    <t>获得后可免费体验&lt;color=#fff442&gt;7&lt;/color&gt;天球桌-&lt;color=#fff442&gt;暗红球桌&lt;/color&gt;。</t>
  </si>
  <si>
    <t>300003,168</t>
  </si>
  <si>
    <t>暗红球桌(30天)</t>
  </si>
  <si>
    <t>获得后可免费体验&lt;color=#fff442&gt;30&lt;/color&gt;天球桌-&lt;color=#fff442&gt;暗红球桌&lt;/color&gt;。</t>
  </si>
  <si>
    <t>300003,720</t>
  </si>
  <si>
    <t>鹅黄球桌(1天)</t>
  </si>
  <si>
    <t>获得后可免费体验&lt;color=#fff442&gt;1&lt;/color&gt;天球桌-&lt;color=#fff442&gt;鹅黄球桌&lt;/color&gt;。</t>
  </si>
  <si>
    <t>300004,24</t>
  </si>
  <si>
    <t>鹅黄球桌(3天)</t>
  </si>
  <si>
    <t>获得后可免费体验&lt;color=#fff442&gt;3&lt;/color&gt;天球桌-&lt;color=#fff442&gt;鹅黄球桌&lt;/color&gt;。</t>
  </si>
  <si>
    <t>300004,72</t>
  </si>
  <si>
    <t>鹅黄球桌(7天)</t>
  </si>
  <si>
    <t>获得后可免费体验&lt;color=#fff442&gt;7&lt;/color&gt;天球桌-&lt;color=#fff442&gt;鹅黄球桌&lt;/color&gt;。</t>
  </si>
  <si>
    <t>300004,168</t>
  </si>
  <si>
    <t>鹅黄球桌(30天)</t>
  </si>
  <si>
    <t>获得后可免费体验&lt;color=#fff442&gt;30&lt;/color&gt;天球桌-&lt;color=#fff442&gt;鹅黄球桌&lt;/color&gt;。</t>
  </si>
  <si>
    <t>300004,720</t>
  </si>
  <si>
    <t>炫紫球桌(1天)</t>
  </si>
  <si>
    <t>获得后可免费体验&lt;color=#fff442&gt;1&lt;/color&gt;天球桌-&lt;color=#fff442&gt;炫紫球桌&lt;/color&gt;。</t>
  </si>
  <si>
    <t>300005,24</t>
  </si>
  <si>
    <t>炫紫球桌(3天)</t>
  </si>
  <si>
    <t>获得后可免费体验&lt;color=#fff442&gt;3&lt;/color&gt;天球桌-&lt;color=#fff442&gt;炫紫球桌&lt;/color&gt;。</t>
  </si>
  <si>
    <t>300005,72</t>
  </si>
  <si>
    <t>炫紫球桌(7天)</t>
  </si>
  <si>
    <t>获得后可免费体验&lt;color=#fff442&gt;7&lt;/color&gt;天球桌-&lt;color=#fff442&gt;炫紫球桌&lt;/color&gt;。</t>
  </si>
  <si>
    <t>300005,168</t>
  </si>
  <si>
    <t>炫紫球桌(30天)</t>
  </si>
  <si>
    <t>获得后可免费体验&lt;color=#fff442&gt;30&lt;/color&gt;天球桌-&lt;color=#fff442&gt;炫紫球桌&lt;/color&gt;。</t>
  </si>
  <si>
    <t>300005,720</t>
  </si>
  <si>
    <t>西瓜球桌(1天)</t>
  </si>
  <si>
    <t>获得后可免费体验&lt;color=#fff442&gt;1&lt;/color&gt;天球桌-&lt;color=#fff442&gt;西瓜球桌&lt;/color&gt;。</t>
  </si>
  <si>
    <t>300006,24</t>
  </si>
  <si>
    <t>西瓜球桌(3天)</t>
  </si>
  <si>
    <t>获得后可免费体验&lt;color=#fff442&gt;3&lt;/color&gt;天球桌-&lt;color=#fff442&gt;西瓜球桌&lt;/color&gt;。</t>
  </si>
  <si>
    <t>300006,72</t>
  </si>
  <si>
    <t>西瓜球桌(7天)</t>
  </si>
  <si>
    <t>获得后可免费体验&lt;color=#fff442&gt;7&lt;/color&gt;天球桌-&lt;color=#fff442&gt;西瓜球桌&lt;/color&gt;。</t>
  </si>
  <si>
    <t>300006,168</t>
  </si>
  <si>
    <t>西瓜球桌(30天)</t>
  </si>
  <si>
    <t>获得后可免费体验&lt;color=#fff442&gt;30&lt;/color&gt;天球桌-&lt;color=#fff442&gt;西瓜球桌&lt;/color&gt;。</t>
  </si>
  <si>
    <t>300006,720</t>
  </si>
  <si>
    <t>西瓜球桌(5天)</t>
  </si>
  <si>
    <t>获得后可免费体验&lt;color=#fff442&gt;5&lt;/color&gt;天球桌-&lt;color=#fff442&gt;西瓜球桌&lt;/color&gt;。</t>
  </si>
  <si>
    <t>300006,120</t>
  </si>
  <si>
    <t>黑金科技(1天)</t>
  </si>
  <si>
    <t>获得后可免费体验&lt;color=#fff442&gt;1&lt;/color&gt;天球桌-&lt;color=#fff442&gt;黑金科技&lt;/color&gt;。</t>
  </si>
  <si>
    <t>300007,24</t>
  </si>
  <si>
    <t>黑金科技(3天)</t>
  </si>
  <si>
    <t>获得后可免费体验&lt;color=#fff442&gt;3&lt;/color&gt;天球桌-&lt;color=#fff442&gt;黑金科技&lt;/color&gt;。</t>
  </si>
  <si>
    <t>300007,72</t>
  </si>
  <si>
    <t>黑金科技(7天)</t>
  </si>
  <si>
    <t>获得后可免费体验&lt;color=#fff442&gt;7&lt;/color&gt;天球桌-&lt;color=#fff442&gt;黑金科技&lt;/color&gt;。</t>
  </si>
  <si>
    <t>300007,168</t>
  </si>
  <si>
    <t>黑金科技(30天)</t>
  </si>
  <si>
    <t>获得后可免费体验&lt;color=#fff442&gt;30&lt;/color&gt;天球桌-&lt;color=#fff442&gt;黑金科技&lt;/color&gt;。</t>
  </si>
  <si>
    <t>300007,720</t>
  </si>
  <si>
    <t>水晶之恋(1天)</t>
  </si>
  <si>
    <t>获得后可免费体验&lt;color=#fff442&gt;1&lt;/color&gt;天球桌-&lt;color=#fff442&gt;水晶之恋&lt;/color&gt;。</t>
  </si>
  <si>
    <t>300008,24</t>
  </si>
  <si>
    <t>水晶之恋(3天)</t>
  </si>
  <si>
    <t>获得后可免费体验&lt;color=#fff442&gt;3&lt;/color&gt;天球桌-&lt;color=#fff442&gt;水晶之恋&lt;/color&gt;。</t>
  </si>
  <si>
    <t>300008,72</t>
  </si>
  <si>
    <t>水晶之恋(7天)</t>
  </si>
  <si>
    <t>获得后可免费体验&lt;color=#fff442&gt;7&lt;/color&gt;天球桌-&lt;color=#fff442&gt;水晶之恋&lt;/color&gt;。</t>
  </si>
  <si>
    <t>300008,168</t>
  </si>
  <si>
    <t>水晶之恋(30天)</t>
  </si>
  <si>
    <t>获得后可免费体验&lt;color=#fff442&gt;30&lt;/color&gt;天球桌-&lt;color=#fff442&gt;水晶之恋&lt;/color&gt;。</t>
  </si>
  <si>
    <t>300008,720</t>
  </si>
  <si>
    <t>动力驱动(1天)</t>
  </si>
  <si>
    <t>获得后可免费体验&lt;color=#fff442&gt;1&lt;/color&gt;天球桌-&lt;color=#fff442&gt;动力驱动&lt;/color&gt;。</t>
  </si>
  <si>
    <t>300009,24</t>
  </si>
  <si>
    <t>动力驱动(3天)</t>
  </si>
  <si>
    <t>获得后可免费体验&lt;color=#fff442&gt;3&lt;/color&gt;天球桌-&lt;color=#fff442&gt;动力驱动&lt;/color&gt;。</t>
  </si>
  <si>
    <t>300009,72</t>
  </si>
  <si>
    <t>动力驱动(7天)</t>
  </si>
  <si>
    <t>获得后可免费体验&lt;color=#fff442&gt;7&lt;/color&gt;天球桌-&lt;color=#fff442&gt;动力驱动&lt;/color&gt;。</t>
  </si>
  <si>
    <t>300009,168</t>
  </si>
  <si>
    <t>动力驱动(30天)</t>
  </si>
  <si>
    <t>获得后可免费体验&lt;color=#fff442&gt;30&lt;/color&gt;天球桌-&lt;color=#fff442&gt;动力驱动&lt;/color&gt;。</t>
  </si>
  <si>
    <t>300009,720</t>
  </si>
  <si>
    <t>繁星点点(1天)</t>
  </si>
  <si>
    <t>获得后可免费体验&lt;color=#fff442&gt;1&lt;/color&gt;天球桌-&lt;color=#fff442&gt;繁星点点&lt;/color&gt;。</t>
  </si>
  <si>
    <t>300010,24</t>
  </si>
  <si>
    <t>繁星点点(3天)</t>
  </si>
  <si>
    <t>获得后可免费体验&lt;color=#fff442&gt;3&lt;/color&gt;天球桌-&lt;color=#fff442&gt;繁星点点&lt;/color&gt;。</t>
  </si>
  <si>
    <t>300010,72</t>
  </si>
  <si>
    <t>繁星点点(7天)</t>
  </si>
  <si>
    <t>获得后可免费体验&lt;color=#fff442&gt;7&lt;/color&gt;天球桌-&lt;color=#fff442&gt;繁星点点&lt;/color&gt;。</t>
  </si>
  <si>
    <t>300010,168</t>
  </si>
  <si>
    <t>繁星点点(30天)</t>
  </si>
  <si>
    <t>获得后可免费体验&lt;color=#fff442&gt;30&lt;/color&gt;天球桌-&lt;color=#fff442&gt;繁星点点&lt;/color&gt;。</t>
  </si>
  <si>
    <t>300010,720</t>
  </si>
  <si>
    <t>繁星点点(5天)</t>
  </si>
  <si>
    <t>获得后可免费体验&lt;color=#fff442&gt;5&lt;/color&gt;天球桌-&lt;color=#fff442&gt;繁星点点&lt;/color&gt;。</t>
  </si>
  <si>
    <t>300010,120</t>
  </si>
  <si>
    <t>机械齿轮(1天)</t>
  </si>
  <si>
    <t>获得后可免费体验&lt;color=#fff442&gt;1&lt;/color&gt;天球桌-&lt;color=#fff442&gt;机械齿轮&lt;/color&gt;。</t>
  </si>
  <si>
    <t>300011,24</t>
  </si>
  <si>
    <t>机械齿轮(3天)</t>
  </si>
  <si>
    <t>获得后可免费体验&lt;color=#fff442&gt;3&lt;/color&gt;天球桌-&lt;color=#fff442&gt;机械齿轮&lt;/color&gt;。</t>
  </si>
  <si>
    <t>300011,72</t>
  </si>
  <si>
    <t>机械齿轮(7天)</t>
  </si>
  <si>
    <t>获得后可免费体验&lt;color=#fff442&gt;7&lt;/color&gt;天球桌-&lt;color=#fff442&gt;机械齿轮&lt;/color&gt;。</t>
  </si>
  <si>
    <t>300011,168</t>
  </si>
  <si>
    <t>机械齿轮(30天)</t>
  </si>
  <si>
    <t>获得后可免费体验&lt;color=#fff442&gt;30&lt;/color&gt;天球桌-&lt;color=#fff442&gt;机械齿轮&lt;/color&gt;。</t>
  </si>
  <si>
    <t>300011,720</t>
  </si>
  <si>
    <t>获得后可免费体验&lt;color=#fff442&gt;1&lt;/color&gt;天球桌-&lt;color=#fff442&gt;喵星物语&lt;/color&gt;。</t>
  </si>
  <si>
    <t>300012,24</t>
  </si>
  <si>
    <t>获得后可免费体验&lt;color=#fff442&gt;3&lt;/color&gt;天球桌-&lt;color=#fff442&gt;喵星物语&lt;/color&gt;。</t>
  </si>
  <si>
    <t>300012,72</t>
  </si>
  <si>
    <t>获得后可免费体验&lt;color=#fff442&gt;7&lt;/color&gt;天球桌-&lt;color=#fff442&gt;喵星物语&lt;/color&gt;。</t>
  </si>
  <si>
    <t>300012,168</t>
  </si>
  <si>
    <t>喵星物语(30天)</t>
  </si>
  <si>
    <t>获得后可免费体验&lt;color=#fff442&gt;30&lt;/color&gt;天球桌-&lt;color=#fff442&gt;喵星物语&lt;/color&gt;。</t>
  </si>
  <si>
    <t>300012,720</t>
  </si>
  <si>
    <t>喵星物语(5天)</t>
  </si>
  <si>
    <t>获得后可免费体验&lt;color=#fff442&gt;5&lt;/color&gt;天球桌-&lt;color=#fff442&gt;喵星物语&lt;/color&gt;。</t>
  </si>
  <si>
    <t>300012,120</t>
  </si>
  <si>
    <t>虎虎生威(1天)</t>
  </si>
  <si>
    <t>获得后可免费体验&lt;color=#fff442&gt;1&lt;/color&gt;天球桌-&lt;color=#fff442&gt;虎虎生威&lt;/color&gt;。</t>
  </si>
  <si>
    <t>300019,24</t>
  </si>
  <si>
    <t>虎虎生威(3天)</t>
  </si>
  <si>
    <t>获得后可免费体验&lt;color=#fff442&gt;3&lt;/color&gt;天球桌-&lt;color=#fff442&gt;虎虎生威&lt;/color&gt;。</t>
  </si>
  <si>
    <t>300019,72</t>
  </si>
  <si>
    <t>虎虎生威(7天)</t>
  </si>
  <si>
    <t>获得后可免费体验&lt;color=#fff442&gt;7&lt;/color&gt;天球桌-&lt;color=#fff442&gt;虎虎生威&lt;/color&gt;。</t>
  </si>
  <si>
    <t>300019,168</t>
  </si>
  <si>
    <t>虎虎生威(30天)</t>
  </si>
  <si>
    <t>获得后可免费体验&lt;color=#fff442&gt;30&lt;/color&gt;天球桌-&lt;color=#fff442&gt;虎虎生威&lt;/color&gt;。</t>
  </si>
  <si>
    <t>300019,720</t>
  </si>
  <si>
    <t>虎虎生威(5天)</t>
  </si>
  <si>
    <t>获得后可免费体验&lt;color=#fff442&gt;5&lt;/color&gt;天球桌-&lt;color=#fff442&gt;虎虎生威&lt;/color&gt;。</t>
  </si>
  <si>
    <t>300019,120</t>
  </si>
  <si>
    <t>金戈铁马(3天)</t>
  </si>
  <si>
    <t>获得后可免费体验&lt;color=#fff442&gt;3&lt;/color&gt;天球桌-&lt;color=#fff442&gt;金戈铁马&lt;/color&gt;。</t>
  </si>
  <si>
    <t>icon_300020</t>
  </si>
  <si>
    <t>300020,72</t>
  </si>
  <si>
    <t>绿茵足场(1天)</t>
  </si>
  <si>
    <t>获得后可免费体验&lt;color=#fff442&gt;1&lt;/color&gt;天球桌-&lt;color=#fff442&gt;绿茵足场&lt;/color&gt;。</t>
  </si>
  <si>
    <t>300021,24</t>
  </si>
  <si>
    <t>绿茵足场(3天)</t>
  </si>
  <si>
    <t>获得后可免费体验&lt;color=#fff442&gt;3&lt;/color&gt;天球桌-&lt;color=#fff442&gt;绿茵足场&lt;/color&gt;。</t>
  </si>
  <si>
    <t>300021,72</t>
  </si>
  <si>
    <t>绿茵足场(7天)</t>
  </si>
  <si>
    <t>获得后可免费体验&lt;color=#fff442&gt;7&lt;/color&gt;天球桌-&lt;color=#fff442&gt;绿茵足场&lt;/color&gt;。</t>
  </si>
  <si>
    <t>300021,168</t>
  </si>
  <si>
    <t>绿茵足场(30天)</t>
  </si>
  <si>
    <t>获得后可免费体验&lt;color=#fff442&gt;30&lt;/color&gt;天球桌-&lt;color=#fff442&gt;绿茵足场&lt;/color&gt;。</t>
  </si>
  <si>
    <t>300021,720</t>
  </si>
  <si>
    <t>缤纷圣诞(1天)</t>
  </si>
  <si>
    <t>获得后可免费体验&lt;color=#fff442&gt;1&lt;/color&gt;天球桌-&lt;color=#fff442&gt;缤纷圣诞&lt;/color&gt;。</t>
  </si>
  <si>
    <t>icon_300022</t>
  </si>
  <si>
    <t>300022,24</t>
  </si>
  <si>
    <t>缤纷圣诞(3天)</t>
  </si>
  <si>
    <t>获得后可免费体验&lt;color=#fff442&gt;3&lt;/color&gt;天球桌-&lt;color=#fff442&gt;缤纷圣诞&lt;/color&gt;。</t>
  </si>
  <si>
    <t>300022,72</t>
  </si>
  <si>
    <t>缤纷圣诞(7天)</t>
  </si>
  <si>
    <t>获得后可免费体验&lt;color=#fff442&gt;7&lt;/color&gt;天球桌-&lt;color=#fff442&gt;缤纷圣诞&lt;/color&gt;。</t>
  </si>
  <si>
    <t>300022,168</t>
  </si>
  <si>
    <t>缤纷圣诞(30天)</t>
  </si>
  <si>
    <t>获得后可免费体验&lt;color=#fff442&gt;30&lt;/color&gt;天球桌-&lt;color=#fff442&gt;缤纷圣诞&lt;/color&gt;。</t>
  </si>
  <si>
    <t>300022,720</t>
  </si>
  <si>
    <t>兔步青云(1天)</t>
  </si>
  <si>
    <t>获得后可免费体验&lt;color=#fff442&gt;1&lt;/color&gt;天球桌-&lt;color=#fff442&gt;兔步青云&lt;/color&gt;。</t>
  </si>
  <si>
    <t>icon_300023</t>
  </si>
  <si>
    <t>300023,24</t>
  </si>
  <si>
    <t>兔步青云(3天)</t>
  </si>
  <si>
    <t>获得后可免费体验&lt;color=#fff442&gt;3&lt;/color&gt;天球桌-&lt;color=#fff442&gt;兔步青云&lt;/color&gt;。</t>
  </si>
  <si>
    <t>兔步青云(7天)</t>
  </si>
  <si>
    <t>获得后可免费体验&lt;color=#fff442&gt;7&lt;/color&gt;天球桌-&lt;color=#fff442&gt;兔步青云&lt;/color&gt;。</t>
  </si>
  <si>
    <t>300023,168</t>
  </si>
  <si>
    <t>兔步青云(30天)</t>
  </si>
  <si>
    <t>获得后可免费体验&lt;color=#fff442&gt;30&lt;/color&gt;天球桌-&lt;color=#fff442&gt;兔步青云&lt;/color&gt;。</t>
  </si>
  <si>
    <t>300023,720</t>
  </si>
  <si>
    <t>骑士之誓球桌(1天)</t>
  </si>
  <si>
    <t>获得后可免费体验&lt;color=#fff442&gt;1&lt;/color&gt;天球桌-&lt;color=#fff442&gt;骑士之誓球桌&lt;/color&gt;。</t>
  </si>
  <si>
    <t>300017,24</t>
  </si>
  <si>
    <t>骑士之誓球桌(3天)</t>
  </si>
  <si>
    <t>获得后可免费体验&lt;color=#fff442&gt;3&lt;/color&gt;天球桌-&lt;color=#fff442&gt;骑士之誓球桌&lt;/color&gt;。</t>
  </si>
  <si>
    <t>300017,72</t>
  </si>
  <si>
    <t>骑士之誓球桌(7天)</t>
  </si>
  <si>
    <t>获得后可免费体验&lt;color=#fff442&gt;7&lt;/color&gt;天球桌-&lt;color=#fff442&gt;骑士之誓球桌&lt;/color&gt;。</t>
  </si>
  <si>
    <t>300017,168</t>
  </si>
  <si>
    <t>骑士之誓球桌(30天)</t>
  </si>
  <si>
    <t>获得后可免费体验&lt;color=#fff442&gt;30&lt;/color&gt;天球桌-&lt;color=#fff442&gt;骑士之誓球桌&lt;/color&gt;。</t>
  </si>
  <si>
    <t>300017,720</t>
  </si>
  <si>
    <t>默认头像(1天）</t>
  </si>
  <si>
    <t>获得后可免费体验&lt;color=#fff442&gt;1&lt;/color&gt;天头像-&lt;color=#fff442&gt;默认头像&lt;/color&gt;。</t>
  </si>
  <si>
    <t>icon_800000</t>
  </si>
  <si>
    <t>800000,24</t>
  </si>
  <si>
    <t>默认头像(3天）</t>
  </si>
  <si>
    <t>获得后可免费体验&lt;color=#fff442&gt;3&lt;/color&gt;天头像-&lt;color=#fff442&gt;默认头像&lt;/color&gt;。</t>
  </si>
  <si>
    <t>800000,72</t>
  </si>
  <si>
    <t>中秋佳节(1天）</t>
  </si>
  <si>
    <t>获得后可免费体验&lt;color=#fff442&gt;1&lt;/color&gt;天头像框-&lt;color=#fff442&gt;中秋佳节&lt;/color&gt;。</t>
  </si>
  <si>
    <t>icon_810019</t>
  </si>
  <si>
    <t>810019,24</t>
  </si>
  <si>
    <t>中秋佳节(3天）</t>
  </si>
  <si>
    <t>获得后可免费体验&lt;color=#fff442&gt;3&lt;/color&gt;天头像框-&lt;color=#fff442&gt;中秋佳节&lt;/color&gt;。</t>
  </si>
  <si>
    <t>810019,72</t>
  </si>
  <si>
    <t>电视头像框(7天)</t>
  </si>
  <si>
    <t>获得后可免费体验&lt;color=#fff442&gt;7&lt;/color&gt;天头像框-&lt;color=#fff442&gt;电视&lt;/color&gt;。</t>
  </si>
  <si>
    <t>icon_440013</t>
  </si>
  <si>
    <t>810023,168</t>
  </si>
  <si>
    <t>俱乐部金头像框(7天)</t>
  </si>
  <si>
    <t>获得后可免费体验&lt;color=#fff442&gt;7&lt;/color&gt;天头像框-&lt;color=#fff442&gt;俱乐部金头像框&lt;/color&gt;。</t>
  </si>
  <si>
    <t>icon_810020</t>
  </si>
  <si>
    <t>810020,168</t>
  </si>
  <si>
    <t>俱乐部银头像框(7天)</t>
  </si>
  <si>
    <t>获得后可免费体验&lt;color=#fff442&gt;7&lt;/color&gt;天头像框-&lt;color=#fff442&gt;俱乐部银头像框&lt;/color&gt;。</t>
  </si>
  <si>
    <t>icon_810021</t>
  </si>
  <si>
    <t>810021,168</t>
  </si>
  <si>
    <t>俱乐部铜头像框(7天)</t>
  </si>
  <si>
    <t>获得后可免费体验&lt;color=#fff442&gt;7&lt;/color&gt;天头像框-&lt;color=#fff442&gt;俱乐部铜头像框&lt;/color&gt;。</t>
  </si>
  <si>
    <t>icon_810022</t>
  </si>
  <si>
    <t>810022,168</t>
  </si>
  <si>
    <t>墩墩头像框(30天)</t>
  </si>
  <si>
    <t>获得后可免费体验&lt;color=#fff442&gt;30&lt;/color&gt;天头像框-&lt;color=#fff442&gt;墩墩头像框&lt;/color&gt;。</t>
  </si>
  <si>
    <t>icon_810030</t>
  </si>
  <si>
    <t>810030</t>
  </si>
  <si>
    <t>810030,720</t>
  </si>
  <si>
    <t>墩墩头像框(7天)</t>
  </si>
  <si>
    <t>获得后可免费体验&lt;color=#fff442&gt;7&lt;/color&gt;天头像框-&lt;color=#fff442&gt;墩墩头像框&lt;/color&gt;。</t>
  </si>
  <si>
    <t>810030,168</t>
  </si>
  <si>
    <t>墩墩头像框(3天)</t>
  </si>
  <si>
    <t>获得后可免费体验&lt;color=#fff442&gt;3&lt;/color&gt;天头像框-&lt;color=#fff442&gt;墩墩头像框&lt;/color&gt;。</t>
  </si>
  <si>
    <t>810030,72</t>
  </si>
  <si>
    <t>貔貅携福头像框(30天)</t>
  </si>
  <si>
    <t>获得后可免费体验&lt;color=#fff442&gt;30&lt;/color&gt;天头像框-&lt;color=#fff442&gt;貔貅携福头像框&lt;/color&gt;。</t>
  </si>
  <si>
    <t>icon_810031</t>
  </si>
  <si>
    <t>810031</t>
  </si>
  <si>
    <t>810031,720</t>
  </si>
  <si>
    <t>貔貅携福头像框(3天)</t>
  </si>
  <si>
    <t>获得后可免费体验&lt;color=#fff442&gt;3&lt;/color&gt;天头像框-&lt;color=#fff442&gt;貔貅携福头像框&lt;/color&gt;。</t>
  </si>
  <si>
    <t>810031,72</t>
  </si>
  <si>
    <t>貔貅携福头像框(7天)</t>
  </si>
  <si>
    <t>获得后可免费体验&lt;color=#fff442&gt;7&lt;/color&gt;天头像框-&lt;color=#fff442&gt;貔貅携福头像框&lt;/color&gt;。</t>
  </si>
  <si>
    <t>810031,168</t>
  </si>
  <si>
    <t>初级主播头像框（7天）</t>
  </si>
  <si>
    <t>获得后可免费体验&lt;color=#fff442&gt;7&lt;/color&gt;天头像框-&lt;color=#fff442&gt;初级主播头像框&lt;/color&gt;。</t>
  </si>
  <si>
    <t>icon_810032</t>
  </si>
  <si>
    <t>810032,168</t>
  </si>
  <si>
    <t>高级主播头像框（7天）</t>
  </si>
  <si>
    <t>获得后可免费体验&lt;color=#fff442&gt;7&lt;/color&gt;天头像框-&lt;color=#fff442&gt;高级主播头像框&lt;/color&gt;。</t>
  </si>
  <si>
    <t>icon_810033</t>
  </si>
  <si>
    <t>810033,168</t>
  </si>
  <si>
    <t>球圣头像框（60天）</t>
  </si>
  <si>
    <t>获得后可免费体验&lt;color=#fff442&gt;60&lt;/color&gt;天头像框-&lt;color=#fff442&gt;球圣头像框&lt;/color&gt;。</t>
  </si>
  <si>
    <t>icon_810034</t>
  </si>
  <si>
    <t>810034,1440</t>
  </si>
  <si>
    <t>球仙头像框（60天）</t>
  </si>
  <si>
    <t>获得后可免费体验&lt;color=#fff442&gt;60&lt;/color&gt;天头像框-&lt;color=#fff442&gt;球仙头像框&lt;/color&gt;。</t>
  </si>
  <si>
    <t>icon_810035</t>
  </si>
  <si>
    <t>810035,1440</t>
  </si>
  <si>
    <t>球神头像框（60天）</t>
  </si>
  <si>
    <t>获得后可免费体验&lt;color=#fff442&gt;60&lt;/color&gt;天头像框-&lt;color=#fff442&gt;球神头像框&lt;/color&gt;。</t>
  </si>
  <si>
    <t>icon_810036</t>
  </si>
  <si>
    <t>810036,1440</t>
  </si>
  <si>
    <t>绿茵头像框(1天）</t>
  </si>
  <si>
    <t>获得后可免费体验&lt;color=#fff442&gt;1&lt;/color&gt;天头像框-&lt;color=#fff442&gt;绿茵头像框&lt;/color&gt;。</t>
  </si>
  <si>
    <t>icon_810042</t>
  </si>
  <si>
    <t>810042,24</t>
  </si>
  <si>
    <t>绿茵头像框(3天）</t>
  </si>
  <si>
    <t>获得后可免费体验&lt;color=#fff442&gt;3&lt;/color&gt;天头像框-&lt;color=#fff442&gt;绿茵头像框&lt;/color&gt;。</t>
  </si>
  <si>
    <t>810042,72</t>
  </si>
  <si>
    <t>绿茵头像框(7天）</t>
  </si>
  <si>
    <t>获得后可免费体验&lt;color=#fff442&gt;7&lt;/color&gt;天头像框-&lt;color=#fff442&gt;绿茵头像框&lt;/color&gt;。</t>
  </si>
  <si>
    <t>810042,168</t>
  </si>
  <si>
    <t>绿茵头像框(30天）</t>
  </si>
  <si>
    <t>获得后可免费体验&lt;color=#fff442&gt;30&lt;/color&gt;天头像框-&lt;color=#fff442&gt;绿茵头像框&lt;/color&gt;。</t>
  </si>
  <si>
    <t>810042,720</t>
  </si>
  <si>
    <t>铃儿叮当头像框(1天）</t>
  </si>
  <si>
    <t>获得后可免费体验&lt;color=#fff442&gt;1&lt;/color&gt;天头像框-&lt;color=#fff442&gt;铃儿叮当头像框&lt;/color&gt;。</t>
  </si>
  <si>
    <t>icon_810048</t>
  </si>
  <si>
    <t>810048,24</t>
  </si>
  <si>
    <t>铃儿叮当头像框(3天）</t>
  </si>
  <si>
    <t>获得后可免费体验&lt;color=#fff442&gt;3&lt;/color&gt;天头像框-&lt;color=#fff442&gt;铃儿叮当头像框&lt;/color&gt;。</t>
  </si>
  <si>
    <t>810048,72</t>
  </si>
  <si>
    <t>铃儿叮当头像框(7天）</t>
  </si>
  <si>
    <t>获得后可免费体验&lt;color=#fff442&gt;7&lt;/color&gt;天头像框-&lt;color=#fff442&gt;铃儿叮当头像框&lt;/color&gt;。</t>
  </si>
  <si>
    <t>810048,168</t>
  </si>
  <si>
    <t>铃儿叮当头像框(30天）</t>
  </si>
  <si>
    <t>获得后可免费体验&lt;color=#fff442&gt;30&lt;/color&gt;天头像框-&lt;color=#fff442&gt;铃儿叮当头像框&lt;/color&gt;。</t>
  </si>
  <si>
    <t>810048,720</t>
  </si>
  <si>
    <t>兔迎百福头像框(1天）</t>
  </si>
  <si>
    <t>获得后可免费体验&lt;color=#fff442&gt;1&lt;/color&gt;天头像框-&lt;color=#fff442&gt;兔迎百福头像框&lt;/color&gt;。</t>
  </si>
  <si>
    <t>icon_810049</t>
  </si>
  <si>
    <t>810049,24</t>
  </si>
  <si>
    <t>兔迎百福头像框(3天）</t>
  </si>
  <si>
    <t>获得后可免费体验&lt;color=#fff442&gt;3&lt;/color&gt;天头像框-&lt;color=#fff442&gt;兔迎百福头像框&lt;/color&gt;。</t>
  </si>
  <si>
    <t>810049,72</t>
  </si>
  <si>
    <t>兔迎百福头像框(7天）</t>
  </si>
  <si>
    <t>获得后可免费体验&lt;color=#fff442&gt;7&lt;/color&gt;天头像框-&lt;color=#fff442&gt;兔迎百福头像框&lt;/color&gt;。</t>
  </si>
  <si>
    <t>810049,168</t>
  </si>
  <si>
    <t>兔迎百福头像框(30天）</t>
  </si>
  <si>
    <t>获得后可免费体验&lt;color=#fff442&gt;30&lt;/color&gt;天头像框-&lt;color=#fff442&gt;兔迎百福头像框&lt;/color&gt;。</t>
  </si>
  <si>
    <t>810049,720</t>
  </si>
  <si>
    <t>琥珀之翼头像框(7天)</t>
  </si>
  <si>
    <t>获得后可免费体验&lt;color=#fff442&gt;7&lt;/color&gt;天头像框-&lt;color=#fff442&gt;琥珀之翼头像框&lt;/color&gt;。</t>
  </si>
  <si>
    <t>icon_810037</t>
  </si>
  <si>
    <t>810037,168</t>
  </si>
  <si>
    <t>璀璨之翼头像框(7天)</t>
  </si>
  <si>
    <t>获得后可免费体验&lt;color=#fff442&gt;7&lt;/color&gt;天头像框-&lt;color=#fff442&gt;璀璨之翼头像框&lt;/color&gt;。</t>
  </si>
  <si>
    <t>icon_810038</t>
  </si>
  <si>
    <t>810038,168</t>
  </si>
  <si>
    <t>闪耀之翼头像框(7天)</t>
  </si>
  <si>
    <t>获得后可免费体验&lt;color=#fff442&gt;7&lt;/color&gt;天头像框-&lt;color=#fff442&gt;闪耀之翼头像框&lt;/color&gt;。</t>
  </si>
  <si>
    <t>icon_810052</t>
  </si>
  <si>
    <t>810052,168</t>
  </si>
  <si>
    <t>梅花头像框(3天)</t>
  </si>
  <si>
    <t>获得后可免费体验&lt;color=#fff442&gt;3&lt;/color&gt;天头像框-&lt;color=#fff442&gt;梅花头像框&lt;/color&gt;。</t>
  </si>
  <si>
    <t>icon_810013</t>
  </si>
  <si>
    <t>810013,72</t>
  </si>
  <si>
    <t>龙舟头像框(1天）</t>
  </si>
  <si>
    <t>获得后可免费体验&lt;color=#fff442&gt;1&lt;/color&gt;天头像框-&lt;color=#fff442&gt;龙舟头像框&lt;/color&gt;。</t>
  </si>
  <si>
    <t>icon_810057</t>
  </si>
  <si>
    <t>810057,24</t>
  </si>
  <si>
    <t>龙舟头像框(3天）</t>
  </si>
  <si>
    <t>获得后可免费体验&lt;color=#fff442&gt;3&lt;/color&gt;天头像框-&lt;color=#fff442&gt;龙舟头像框&lt;/color&gt;。</t>
  </si>
  <si>
    <t>810057,72</t>
  </si>
  <si>
    <t>龙舟头像框(7天）</t>
  </si>
  <si>
    <t>获得后可免费体验&lt;color=#fff442&gt;7&lt;/color&gt;天头像框-&lt;color=#fff442&gt;龙舟头像框&lt;/color&gt;。</t>
  </si>
  <si>
    <t>810057,168</t>
  </si>
  <si>
    <t>龙舟头像框(30天）</t>
  </si>
  <si>
    <t>获得后可免费体验&lt;color=#fff442&gt;30&lt;/color&gt;天头像框-&lt;color=#fff442&gt;龙舟头像框&lt;/color&gt;。</t>
  </si>
  <si>
    <t>810057,720</t>
  </si>
  <si>
    <t>灯夜头像框(1天）</t>
  </si>
  <si>
    <t>获得后可免费体验&lt;color=#fff442&gt;1&lt;/color&gt;天头像框-&lt;color=#fff442&gt;灯夜头像框&lt;/color&gt;。</t>
  </si>
  <si>
    <t>icon_810047</t>
  </si>
  <si>
    <t>810047,24</t>
  </si>
  <si>
    <t>灯夜头像框(3天）</t>
  </si>
  <si>
    <t>获得后可免费体验&lt;color=#fff442&gt;3&lt;/color&gt;天头像框-&lt;color=#fff442&gt;灯夜头像框&lt;/color&gt;。</t>
  </si>
  <si>
    <t>810047,72</t>
  </si>
  <si>
    <t>灯夜头像框(7天）</t>
  </si>
  <si>
    <t>获得后可免费体验&lt;color=#fff442&gt;7&lt;/color&gt;天头像框-&lt;color=#fff442&gt;灯夜头像框&lt;/color&gt;。</t>
  </si>
  <si>
    <t>810047,168</t>
  </si>
  <si>
    <t>灯夜头像框(30天）</t>
  </si>
  <si>
    <t>获得后可免费体验&lt;color=#fff442&gt;30&lt;/color&gt;天头像框-&lt;color=#fff442&gt;灯夜头像框&lt;/color&gt;。</t>
  </si>
  <si>
    <t>810047,720</t>
  </si>
  <si>
    <t>海滩假日头像框(1天）</t>
  </si>
  <si>
    <t>获得后可免费体验&lt;color=#fff442&gt;1&lt;/color&gt;天头像框-&lt;color=#fff442&gt;海滩假日头像框&lt;/color&gt;。</t>
  </si>
  <si>
    <t>icon_810040</t>
  </si>
  <si>
    <t>810040,24</t>
  </si>
  <si>
    <t>海滩假日头像框(3天）</t>
  </si>
  <si>
    <t>获得后可免费体验&lt;color=#fff442&gt;3&lt;/color&gt;天头像框-&lt;color=#fff442&gt;海滩假日头像框&lt;/color&gt;。</t>
  </si>
  <si>
    <t>810040,72</t>
  </si>
  <si>
    <t>海滩假日头像框(7天）</t>
  </si>
  <si>
    <t>获得后可免费体验&lt;color=#fff442&gt;7&lt;/color&gt;天头像框-&lt;color=#fff442&gt;海滩假日头像框&lt;/color&gt;。</t>
  </si>
  <si>
    <t>810040,168</t>
  </si>
  <si>
    <t>海滩假日头像框(30天）</t>
  </si>
  <si>
    <t>获得后可免费体验&lt;color=#fff442&gt;30&lt;/color&gt;天头像框-&lt;color=#fff442&gt;海滩假日头像框&lt;/color&gt;。</t>
  </si>
  <si>
    <t>810040,720</t>
  </si>
  <si>
    <t>雨过天晴头像框(1天）</t>
  </si>
  <si>
    <t>获得后可免费体验&lt;color=#fff442&gt;1&lt;/color&gt;天头像框-&lt;color=#fff442&gt;雨过天晴头像框&lt;/color&gt;。</t>
  </si>
  <si>
    <t>icon_810045</t>
  </si>
  <si>
    <t>810045,24</t>
  </si>
  <si>
    <t>雨过天晴头像框(3天）</t>
  </si>
  <si>
    <t>获得后可免费体验&lt;color=#fff442&gt;3&lt;/color&gt;天头像框-&lt;color=#fff442&gt;雨过天晴头像框&lt;/color&gt;。</t>
  </si>
  <si>
    <t>810045,72</t>
  </si>
  <si>
    <t>雨过天晴头像框(7天）</t>
  </si>
  <si>
    <t>获得后可免费体验&lt;color=#fff442&gt;7&lt;/color&gt;天头像框-&lt;color=#fff442&gt;雨过天晴头像框&lt;/color&gt;。</t>
  </si>
  <si>
    <t>810045,168</t>
  </si>
  <si>
    <t>雨过天晴头像框(30天）</t>
  </si>
  <si>
    <t>获得后可免费体验&lt;color=#fff442&gt;30&lt;/color&gt;天头像框-&lt;color=#fff442&gt;雨过天晴头像框&lt;/color&gt;。</t>
  </si>
  <si>
    <t>810045,720</t>
  </si>
  <si>
    <t>学院纪念头像框(1天）</t>
  </si>
  <si>
    <t>获得后可免费体验&lt;color=#fff442&gt;1&lt;/color&gt;天头像框-&lt;color=#fff442&gt;学院纪念头像框&lt;/color&gt;。</t>
  </si>
  <si>
    <t>icon_810054</t>
  </si>
  <si>
    <t>810054,24</t>
  </si>
  <si>
    <t>学院纪念头像框(3天）</t>
  </si>
  <si>
    <t>获得后可免费体验&lt;color=#fff442&gt;3&lt;/color&gt;天头像框-&lt;color=#fff442&gt;学院纪念头像框&lt;/color&gt;。</t>
  </si>
  <si>
    <t>810054,72</t>
  </si>
  <si>
    <t>学院纪念头像框(7天）</t>
  </si>
  <si>
    <t>获得后可免费体验&lt;color=#fff442&gt;7&lt;/color&gt;天头像框-&lt;color=#fff442&gt;学院纪念头像框&lt;/color&gt;。</t>
  </si>
  <si>
    <t>810054,168</t>
  </si>
  <si>
    <t>学院纪念头像框(30天）</t>
  </si>
  <si>
    <t>获得后可免费体验&lt;color=#fff442&gt;30&lt;/color&gt;天头像框-&lt;color=#fff442&gt;学院纪念头像框&lt;/color&gt;。</t>
  </si>
  <si>
    <t>810054,720</t>
  </si>
  <si>
    <t>冰天雪地头像框(1天）</t>
  </si>
  <si>
    <t>获得后可免费体验&lt;color=#fff442&gt;1&lt;/color&gt;天头像框-&lt;color=#fff442&gt;冰天雪地头像框&lt;/color&gt;。</t>
  </si>
  <si>
    <t>icon_810046</t>
  </si>
  <si>
    <t>810046,24</t>
  </si>
  <si>
    <t>冰天雪地头像框(3天）</t>
  </si>
  <si>
    <t>获得后可免费体验&lt;color=#fff442&gt;3&lt;/color&gt;天头像框-&lt;color=#fff442&gt;冰天雪地头像框&lt;/color&gt;。</t>
  </si>
  <si>
    <t>810046,72</t>
  </si>
  <si>
    <t>冰天雪地头像框(7天）</t>
  </si>
  <si>
    <t>获得后可免费体验&lt;color=#fff442&gt;7&lt;/color&gt;天头像框-&lt;color=#fff442&gt;冰天雪地头像框&lt;/color&gt;。</t>
  </si>
  <si>
    <t>810046,168</t>
  </si>
  <si>
    <t>冰天雪地头像框(30天）</t>
  </si>
  <si>
    <t>获得后可免费体验&lt;color=#fff442&gt;30&lt;/color&gt;天头像框-&lt;color=#fff442&gt;冰天雪地头像框&lt;/color&gt;。</t>
  </si>
  <si>
    <t>810046,720</t>
  </si>
  <si>
    <t>龙凤呈祥头像框(1天）</t>
  </si>
  <si>
    <t>获得后可免费体验&lt;color=#fff442&gt;1&lt;/color&gt;天头像框-&lt;color=#fff442&gt;龙凤呈祥头像框&lt;/color&gt;。</t>
  </si>
  <si>
    <t>icon_810051</t>
  </si>
  <si>
    <t>810051,24</t>
  </si>
  <si>
    <t>龙凤呈祥头像框(3天）</t>
  </si>
  <si>
    <t>获得后可免费体验&lt;color=#fff442&gt;3&lt;/color&gt;天头像框-&lt;color=#fff442&gt;龙凤呈祥头像框&lt;/color&gt;。</t>
  </si>
  <si>
    <t>810051,72</t>
  </si>
  <si>
    <t>龙凤呈祥头像框(7天）</t>
  </si>
  <si>
    <t>获得后可免费体验&lt;color=#fff442&gt;7&lt;/color&gt;天头像框-&lt;color=#fff442&gt;龙凤呈祥头像框&lt;/color&gt;。</t>
  </si>
  <si>
    <t>810051,168</t>
  </si>
  <si>
    <t>龙凤呈祥头像框(30天）</t>
  </si>
  <si>
    <t>获得后可免费体验&lt;color=#fff442&gt;30&lt;/color&gt;天头像框-&lt;color=#fff442&gt;龙凤呈祥头像框&lt;/color&gt;。</t>
  </si>
  <si>
    <t>810051,720</t>
  </si>
  <si>
    <t>王孟南头像框(1天）</t>
  </si>
  <si>
    <t>获得后可免费体验&lt;color=#fff442&gt;1&lt;/color&gt;天头像框-&lt;color=#fff442&gt;王孟南头像框&lt;/color&gt;。</t>
  </si>
  <si>
    <t>icon_810029</t>
  </si>
  <si>
    <t>810029,24</t>
  </si>
  <si>
    <t>王孟南头像框(3天）</t>
  </si>
  <si>
    <t>获得后可免费体验&lt;color=#fff442&gt;3&lt;/color&gt;天头像框-&lt;color=#fff442&gt;王孟南头像框&lt;/color&gt;。</t>
  </si>
  <si>
    <t>810029,72</t>
  </si>
  <si>
    <t>王孟南头像框(7天）</t>
  </si>
  <si>
    <t>获得后可免费体验&lt;color=#fff442&gt;7&lt;/color&gt;天头像框-&lt;color=#fff442&gt;王孟南头像框&lt;/color&gt;。</t>
  </si>
  <si>
    <t>810029,168</t>
  </si>
  <si>
    <t>王孟南头像框(30天）</t>
  </si>
  <si>
    <t>获得后可免费体验&lt;color=#fff442&gt;30&lt;/color&gt;天头像框-&lt;color=#fff442&gt;王孟南头像框&lt;/color&gt;。</t>
  </si>
  <si>
    <t>810029,720</t>
  </si>
  <si>
    <t>貔貅携福头像框(1天）</t>
  </si>
  <si>
    <t>获得后可免费体验&lt;color=#fff442&gt;1&lt;/color&gt;天头像框-&lt;color=#fff442&gt;貔貅携福头像框&lt;/color&gt;。</t>
  </si>
  <si>
    <t>810031,24</t>
  </si>
  <si>
    <t>貔貅携福头像框(3天）</t>
  </si>
  <si>
    <t>貔貅携福头像框(7天）</t>
  </si>
  <si>
    <t>貔貅携福头像框(31天）</t>
  </si>
  <si>
    <t>获得后可免费体验&lt;color=#fff442&gt;31&lt;/color&gt;天头像框-&lt;color=#fff442&gt;貔貅携福头像框&lt;/color&gt;。</t>
  </si>
  <si>
    <t>财运亨通头像框(1天）</t>
  </si>
  <si>
    <t>获得后可免费体验&lt;color=#fff442&gt;1&lt;/color&gt;天头像框-&lt;color=#fff442&gt;财运亨通头像框&lt;/color&gt;。</t>
  </si>
  <si>
    <t>icon_810060</t>
  </si>
  <si>
    <t>810060,24</t>
  </si>
  <si>
    <t>财运亨通头像框(3天）</t>
  </si>
  <si>
    <t>获得后可免费体验&lt;color=#fff442&gt;3&lt;/color&gt;天头像框-&lt;color=#fff442&gt;财运亨通头像框&lt;/color&gt;。</t>
  </si>
  <si>
    <t>810060,72</t>
  </si>
  <si>
    <t>财运亨通头像框(7天）</t>
  </si>
  <si>
    <t>获得后可免费体验&lt;color=#fff442&gt;7&lt;/color&gt;天头像框-&lt;color=#fff442&gt;财运亨通头像框&lt;/color&gt;。</t>
  </si>
  <si>
    <t>810060,168</t>
  </si>
  <si>
    <t>财运亨通头像框(30天）</t>
  </si>
  <si>
    <t>获得后可免费体验&lt;color=#fff442&gt;30&lt;/color&gt;天头像框-&lt;color=#fff442&gt;财运亨通头像框&lt;/color&gt;。</t>
  </si>
  <si>
    <t>810060,720</t>
  </si>
  <si>
    <t>深海秘境头像框(1天）</t>
  </si>
  <si>
    <t>获得后可免费体验&lt;color=#fff442&gt;1&lt;/color&gt;天头像框-&lt;color=#fff442&gt;深海秘境头像框&lt;/color&gt;。</t>
  </si>
  <si>
    <t>icon_810063</t>
  </si>
  <si>
    <t>810063,24</t>
  </si>
  <si>
    <t>深海秘境头像框(3天）</t>
  </si>
  <si>
    <t>获得后可免费体验&lt;color=#fff442&gt;3&lt;/color&gt;天头像框-&lt;color=#fff442&gt;深海秘境头像框&lt;/color&gt;。</t>
  </si>
  <si>
    <t>810063,72</t>
  </si>
  <si>
    <t>深海秘境头像框(7天）</t>
  </si>
  <si>
    <t>获得后可免费体验&lt;color=#fff442&gt;7&lt;/color&gt;天头像框-&lt;color=#fff442&gt;深海秘境头像框&lt;/color&gt;。</t>
  </si>
  <si>
    <t>810063,168</t>
  </si>
  <si>
    <t>深海秘境头像框(30天）</t>
  </si>
  <si>
    <t>获得后可免费体验&lt;color=#fff442&gt;30&lt;/color&gt;天头像框-&lt;color=#fff442&gt;深海秘境头像框&lt;/color&gt;。</t>
  </si>
  <si>
    <t>810063,720</t>
  </si>
  <si>
    <t>枪械雷鸣头像框(1天）</t>
  </si>
  <si>
    <t>获得后可免费体验&lt;color=#fff442&gt;1&lt;/color&gt;天头像框-&lt;color=#fff442&gt;枪械雷鸣头像框&lt;/color&gt;。</t>
  </si>
  <si>
    <t>icon_810064</t>
  </si>
  <si>
    <t>810064,24</t>
  </si>
  <si>
    <t>枪械雷鸣头像框(3天）</t>
  </si>
  <si>
    <t>获得后可免费体验&lt;color=#fff442&gt;3&lt;/color&gt;天头像框-&lt;color=#fff442&gt;枪械雷鸣头像框&lt;/color&gt;。</t>
  </si>
  <si>
    <t>810064,72</t>
  </si>
  <si>
    <t>枪械雷鸣头像框(7天）</t>
  </si>
  <si>
    <t>获得后可免费体验&lt;color=#fff442&gt;7&lt;/color&gt;天头像框-&lt;color=#fff442&gt;枪械雷鸣头像框&lt;/color&gt;。</t>
  </si>
  <si>
    <t>810064,168</t>
  </si>
  <si>
    <t>枪械雷鸣头像框(30天）</t>
  </si>
  <si>
    <t>获得后可免费体验&lt;color=#fff442&gt;30&lt;/color&gt;天头像框-&lt;color=#fff442&gt;枪械雷鸣头像框&lt;/color&gt;。</t>
  </si>
  <si>
    <t>810064,720</t>
  </si>
  <si>
    <t>冰霜寒玉头像框(1天）</t>
  </si>
  <si>
    <t>获得后可免费体验&lt;color=#fff442&gt;1&lt;/color&gt;天头像框-&lt;color=#fff442&gt;冰霜寒玉头像框&lt;/color&gt;。</t>
  </si>
  <si>
    <t>icon_810065</t>
  </si>
  <si>
    <t>810065,24</t>
  </si>
  <si>
    <t>冰霜寒玉头像框(3天）</t>
  </si>
  <si>
    <t>获得后可免费体验&lt;color=#fff442&gt;3&lt;/color&gt;天头像框-&lt;color=#fff442&gt;冰霜寒玉头像框&lt;/color&gt;。</t>
  </si>
  <si>
    <t>810065,72</t>
  </si>
  <si>
    <t>冰霜寒玉头像框(7天）</t>
  </si>
  <si>
    <t>获得后可免费体验&lt;color=#fff442&gt;7&lt;/color&gt;天头像框-&lt;color=#fff442&gt;冰霜寒玉头像框&lt;/color&gt;。</t>
  </si>
  <si>
    <t>810065,168</t>
  </si>
  <si>
    <t>冰霜寒玉头像框(30天）</t>
  </si>
  <si>
    <t>获得后可免费体验&lt;color=#fff442&gt;30&lt;/color&gt;天头像框-&lt;color=#fff442&gt;冰霜寒玉头像框&lt;/color&gt;。</t>
  </si>
  <si>
    <t>810065,720</t>
  </si>
  <si>
    <t>山色空蒙头像框(1天）</t>
  </si>
  <si>
    <t>获得后可免费体验&lt;color=#fff442&gt;1&lt;/color&gt;天头像框-&lt;color=#fff442&gt;山色空蒙头像框&lt;/color&gt;。</t>
  </si>
  <si>
    <t>icon_810066</t>
  </si>
  <si>
    <t>810066,24</t>
  </si>
  <si>
    <t>山色空蒙头像框(3天）</t>
  </si>
  <si>
    <t>获得后可免费体验&lt;color=#fff442&gt;3&lt;/color&gt;天头像框-&lt;color=#fff442&gt;山色空蒙头像框&lt;/color&gt;。</t>
  </si>
  <si>
    <t>810066,72</t>
  </si>
  <si>
    <t>山色空蒙头像框(7天）</t>
  </si>
  <si>
    <t>获得后可免费体验&lt;color=#fff442&gt;7&lt;/color&gt;天头像框-&lt;color=#fff442&gt;山色空蒙头像框&lt;/color&gt;。</t>
  </si>
  <si>
    <t>810066,168</t>
  </si>
  <si>
    <t>山色空蒙头像框(30天）</t>
  </si>
  <si>
    <t>获得后可免费体验&lt;color=#fff442&gt;30&lt;/color&gt;天头像框-&lt;color=#fff442&gt;山色空蒙头像框&lt;/color&gt;。</t>
  </si>
  <si>
    <t>810066,720</t>
  </si>
  <si>
    <t>剑影绝尘头像框(1天）</t>
  </si>
  <si>
    <t>获得后可免费体验&lt;color=#fff442&gt;1&lt;/color&gt;天头像框-&lt;color=#fff442&gt;剑影绝尘头像框&lt;/color&gt;。</t>
  </si>
  <si>
    <t>icon_810067</t>
  </si>
  <si>
    <t>810067,24</t>
  </si>
  <si>
    <t>剑影绝尘头像框(3天）</t>
  </si>
  <si>
    <t>获得后可免费体验&lt;color=#fff442&gt;3&lt;/color&gt;天头像框-&lt;color=#fff442&gt;剑影绝尘头像框&lt;/color&gt;。</t>
  </si>
  <si>
    <t>810067,72</t>
  </si>
  <si>
    <t>剑影绝尘头像框(7天）</t>
  </si>
  <si>
    <t>获得后可免费体验&lt;color=#fff442&gt;7&lt;/color&gt;天头像框-&lt;color=#fff442&gt;剑影绝尘头像框&lt;/color&gt;。</t>
  </si>
  <si>
    <t>810067,168</t>
  </si>
  <si>
    <t>剑影绝尘头像框(30天）</t>
  </si>
  <si>
    <t>获得后可免费体验&lt;color=#fff442&gt;30&lt;/color&gt;天头像框-&lt;color=#fff442&gt;剑影绝尘头像框&lt;/color&gt;。</t>
  </si>
  <si>
    <t>810067,720</t>
  </si>
  <si>
    <t>花香鹤影头像框(1天）</t>
  </si>
  <si>
    <t>获得后可免费体验&lt;color=#fff442&gt;1&lt;/color&gt;天头像框-&lt;color=#fff442&gt;花香鹤影头像框&lt;/color&gt;。</t>
  </si>
  <si>
    <t>icon_810068</t>
  </si>
  <si>
    <t>810068,24</t>
  </si>
  <si>
    <t>花香鹤影头像框(3天）</t>
  </si>
  <si>
    <t>获得后可免费体验&lt;color=#fff442&gt;3&lt;/color&gt;天头像框-&lt;color=#fff442&gt;花香鹤影头像框&lt;/color&gt;。</t>
  </si>
  <si>
    <t>810068,72</t>
  </si>
  <si>
    <t>花香鹤影头像框(7天）</t>
  </si>
  <si>
    <t>获得后可免费体验&lt;color=#fff442&gt;7&lt;/color&gt;天头像框-&lt;color=#fff442&gt;花香鹤影头像框&lt;/color&gt;。</t>
  </si>
  <si>
    <t>810068,168</t>
  </si>
  <si>
    <t>花香鹤影头像框(30天）</t>
  </si>
  <si>
    <t>获得后可免费体验&lt;color=#fff442&gt;30&lt;/color&gt;天头像框-&lt;color=#fff442&gt;花香鹤影头像框&lt;/color&gt;。</t>
  </si>
  <si>
    <t>810068,720</t>
  </si>
  <si>
    <t>权杖之谜头像框(1天）</t>
  </si>
  <si>
    <t>获得后可免费体验&lt;color=#fff442&gt;1&lt;/color&gt;天头像框-&lt;color=#fff442&gt;权杖之谜头像框&lt;/color&gt;。</t>
  </si>
  <si>
    <t>icon_810069</t>
  </si>
  <si>
    <t>810069,24</t>
  </si>
  <si>
    <t>权杖之谜头像框(3天）</t>
  </si>
  <si>
    <t>获得后可免费体验&lt;color=#fff442&gt;3&lt;/color&gt;天头像框-&lt;color=#fff442&gt;权杖之谜头像框&lt;/color&gt;。</t>
  </si>
  <si>
    <t>810069,72</t>
  </si>
  <si>
    <t>权杖之谜头像框(7天）</t>
  </si>
  <si>
    <t>获得后可免费体验&lt;color=#fff442&gt;7&lt;/color&gt;天头像框-&lt;color=#fff442&gt;权杖之谜头像框&lt;/color&gt;。</t>
  </si>
  <si>
    <t>810069,168</t>
  </si>
  <si>
    <t>权杖之谜头像框(30天）</t>
  </si>
  <si>
    <t>获得后可免费体验&lt;color=#fff442&gt;30&lt;/color&gt;天头像框-&lt;color=#fff442&gt;权杖之谜头像框&lt;/color&gt;。</t>
  </si>
  <si>
    <t>810069,720</t>
  </si>
  <si>
    <t>花色幻影头像框(1天）</t>
  </si>
  <si>
    <t>获得后可免费体验&lt;color=#fff442&gt;1&lt;/color&gt;天头像框-&lt;color=#fff442&gt;花色幻影头像框&lt;/color&gt;。</t>
  </si>
  <si>
    <t>icon_810070</t>
  </si>
  <si>
    <t>810070,24</t>
  </si>
  <si>
    <t>花色幻影头像框(3天）</t>
  </si>
  <si>
    <t>获得后可免费体验&lt;color=#fff442&gt;3&lt;/color&gt;天头像框-&lt;color=#fff442&gt;花色幻影头像框&lt;/color&gt;。</t>
  </si>
  <si>
    <t>810070,72</t>
  </si>
  <si>
    <t>花色幻影头像框(7天）</t>
  </si>
  <si>
    <t>获得后可免费体验&lt;color=#fff442&gt;7&lt;/color&gt;天头像框-&lt;color=#fff442&gt;花色幻影头像框&lt;/color&gt;。</t>
  </si>
  <si>
    <t>810070,168</t>
  </si>
  <si>
    <t>花色幻影头像框(30天）</t>
  </si>
  <si>
    <t>获得后可免费体验&lt;color=#fff442&gt;30&lt;/color&gt;天头像框-&lt;color=#fff442&gt;花色幻影头像框&lt;/color&gt;。</t>
  </si>
  <si>
    <t>810070,720</t>
  </si>
  <si>
    <t>落霞余晖头像框(1天）</t>
  </si>
  <si>
    <t>获得后可免费体验&lt;color=#fff442&gt;1&lt;/color&gt;天头像框-&lt;color=#fff442&gt;落霞余晖头像框&lt;/color&gt;。</t>
  </si>
  <si>
    <t>icon_810071</t>
  </si>
  <si>
    <t>810071,24</t>
  </si>
  <si>
    <t>落霞余晖头像框(3天）</t>
  </si>
  <si>
    <t>获得后可免费体验&lt;color=#fff442&gt;3&lt;/color&gt;天头像框-&lt;color=#fff442&gt;落霞余晖头像框&lt;/color&gt;。</t>
  </si>
  <si>
    <t>810071,72</t>
  </si>
  <si>
    <t>落霞余晖头像框(7天）</t>
  </si>
  <si>
    <t>获得后可免费体验&lt;color=#fff442&gt;7&lt;/color&gt;天头像框-&lt;color=#fff442&gt;落霞余晖头像框&lt;/color&gt;。</t>
  </si>
  <si>
    <t>810071,168</t>
  </si>
  <si>
    <t>落霞余晖头像框(30天）</t>
  </si>
  <si>
    <t>获得后可免费体验&lt;color=#fff442&gt;30&lt;/color&gt;天头像框-&lt;color=#fff442&gt;落霞余晖头像框&lt;/color&gt;。</t>
  </si>
  <si>
    <t>810071,720</t>
  </si>
  <si>
    <t>炽热之源头像框(1天）</t>
  </si>
  <si>
    <t>获得后可免费体验&lt;color=#fff442&gt;1&lt;/color&gt;天头像框-&lt;color=#fff442&gt;炽热之源头像框&lt;/color&gt;。</t>
  </si>
  <si>
    <t>icon_810072</t>
  </si>
  <si>
    <t>810072,24</t>
  </si>
  <si>
    <t>炽热之源头像框(3天）</t>
  </si>
  <si>
    <t>获得后可免费体验&lt;color=#fff442&gt;3&lt;/color&gt;天头像框-&lt;color=#fff442&gt;炽热之源头像框&lt;/color&gt;。</t>
  </si>
  <si>
    <t>810072,72</t>
  </si>
  <si>
    <t>炽热之源头像框(7天）</t>
  </si>
  <si>
    <t>获得后可免费体验&lt;color=#fff442&gt;7&lt;/color&gt;天头像框-&lt;color=#fff442&gt;炽热之源头像框&lt;/color&gt;。</t>
  </si>
  <si>
    <t>810072,168</t>
  </si>
  <si>
    <t>炽热之源头像框(30天）</t>
  </si>
  <si>
    <t>获得后可免费体验&lt;color=#fff442&gt;30&lt;/color&gt;天头像框-&lt;color=#fff442&gt;炽热之源头像框&lt;/color&gt;。</t>
  </si>
  <si>
    <t>810072,720</t>
  </si>
  <si>
    <t>点赞(1天）</t>
  </si>
  <si>
    <t>获得后可免费体验&lt;color=#fff442&gt;1&lt;/color&gt;天表情-&lt;color=#fff442&gt;点赞&lt;/color&gt;。</t>
  </si>
  <si>
    <t>bq_zan</t>
  </si>
  <si>
    <t>840007,24</t>
  </si>
  <si>
    <t>点赞(3天）</t>
  </si>
  <si>
    <t>获得后可免费体验&lt;color=#fff442&gt;3&lt;/color&gt;天表情-&lt;color=#fff442&gt;点赞&lt;/color&gt;。</t>
  </si>
  <si>
    <t>840007,72</t>
  </si>
  <si>
    <t>台球王者(1天）</t>
  </si>
  <si>
    <t>获得后可免费体验&lt;color=#fff442&gt;1&lt;/color&gt;天聊天气泡-&lt;color=#fff442&gt;台球王者&lt;/color&gt;。</t>
  </si>
  <si>
    <t>icon_870002</t>
  </si>
  <si>
    <t>870002,24</t>
  </si>
  <si>
    <t>台球王者(3天）</t>
  </si>
  <si>
    <t>获得后可免费体验&lt;color=#fff442&gt;3&lt;/color&gt;天聊天气泡-&lt;color=#fff442&gt;台球王者&lt;/color&gt;。</t>
  </si>
  <si>
    <t>870002,72</t>
  </si>
  <si>
    <t>台球王者(7天）</t>
  </si>
  <si>
    <t>获得后可免费体验&lt;color=#fff442&gt;7&lt;/color&gt;天聊天气泡-&lt;color=#fff442&gt;台球王者&lt;/color&gt;。</t>
  </si>
  <si>
    <t>870002,168</t>
  </si>
  <si>
    <t>台球王者(30天）</t>
  </si>
  <si>
    <t>获得后可免费体验&lt;color=#fff442&gt;30&lt;/color&gt;天聊天气泡-&lt;color=#fff443&gt;台球王者&lt;/color&gt;。</t>
  </si>
  <si>
    <t>870002,720</t>
  </si>
  <si>
    <t>喵星物语(1天）</t>
  </si>
  <si>
    <t>获得后可免费体验&lt;color=#fff442&gt;1&lt;/color&gt;天聊天气泡-&lt;color=#fff442&gt;喵星物语&lt;/color&gt;。</t>
  </si>
  <si>
    <t>icon_870003</t>
  </si>
  <si>
    <t>870003,24</t>
  </si>
  <si>
    <t>喵星物语(3天）</t>
  </si>
  <si>
    <t>获得后可免费体验&lt;color=#fff442&gt;3&lt;/color&gt;天聊天气泡-&lt;color=#fff442&gt;喵星物语&lt;/color&gt;。</t>
  </si>
  <si>
    <t>870003,72</t>
  </si>
  <si>
    <t>喵星物语(7天）</t>
  </si>
  <si>
    <t>获得后可免费体验&lt;color=#fff442&gt;7&lt;/color&gt;天聊天气泡-&lt;color=#fff442&gt;喵星物语&lt;/color&gt;。</t>
  </si>
  <si>
    <t>870003,168</t>
  </si>
  <si>
    <t>喵星物语(30天）</t>
  </si>
  <si>
    <t>获得后可免费体验&lt;color=#fff442&gt;30&lt;/color&gt;天聊天气泡-&lt;color=#fff443&gt;喵星物语&lt;/color&gt;。</t>
  </si>
  <si>
    <t>870003,720</t>
  </si>
  <si>
    <t>大鱼海棠(1天）</t>
  </si>
  <si>
    <t>获得后可免费体验&lt;color=#fff442&gt;1&lt;/color&gt;天聊天气泡-&lt;color=#fff442&gt;大鱼海棠&lt;/color&gt;。</t>
  </si>
  <si>
    <t>icon_870004</t>
  </si>
  <si>
    <t>870004,24</t>
  </si>
  <si>
    <t>大鱼海棠(3天）</t>
  </si>
  <si>
    <t>获得后可免费体验&lt;color=#fff442&gt;3&lt;/color&gt;天聊天气泡-&lt;color=#fff442&gt;大鱼海棠&lt;/color&gt;。</t>
  </si>
  <si>
    <t>870004,72</t>
  </si>
  <si>
    <t>大鱼海棠(7天）</t>
  </si>
  <si>
    <t>获得后可免费体验&lt;color=#fff442&gt;7&lt;/color&gt;天聊天气泡-&lt;color=#fff442&gt;大鱼海棠&lt;/color&gt;。</t>
  </si>
  <si>
    <t>870004,168</t>
  </si>
  <si>
    <t>大鱼海棠(30天）</t>
  </si>
  <si>
    <t>获得后可免费体验&lt;color=#fff442&gt;30&lt;/color&gt;天聊天气泡-&lt;color=#fff443&gt;大鱼海棠&lt;/color&gt;。</t>
  </si>
  <si>
    <t>870004,720</t>
  </si>
  <si>
    <t>如鱼得水(1天）</t>
  </si>
  <si>
    <t>获得后可免费体验&lt;color=#fff442&gt;1&lt;/color&gt;天聊天气泡-&lt;color=#fff442&gt;如鱼得水&lt;/color&gt;。</t>
  </si>
  <si>
    <t>icon_870005</t>
  </si>
  <si>
    <t>870005,24</t>
  </si>
  <si>
    <t>如鱼得水(3天）</t>
  </si>
  <si>
    <t>获得后可免费体验&lt;color=#fff442&gt;3&lt;/color&gt;天聊天气泡-&lt;color=#fff442&gt;如鱼得水&lt;/color&gt;。</t>
  </si>
  <si>
    <t>870005,72</t>
  </si>
  <si>
    <t>如鱼得水(7天）</t>
  </si>
  <si>
    <t>获得后可免费体验&lt;color=#fff442&gt;7&lt;/color&gt;天聊天气泡-&lt;color=#fff442&gt;如鱼得水&lt;/color&gt;。</t>
  </si>
  <si>
    <t>870005,168</t>
  </si>
  <si>
    <t>如鱼得水(30天）</t>
  </si>
  <si>
    <t>获得后可免费体验&lt;color=#fff442&gt;30&lt;/color&gt;天聊天气泡-&lt;color=#fff443&gt;如鱼得水&lt;/color&gt;。</t>
  </si>
  <si>
    <t>870005,720</t>
  </si>
  <si>
    <t>年年有余(1天）</t>
  </si>
  <si>
    <t>获得后可免费体验&lt;color=#fff442&gt;1&lt;/color&gt;天聊天气泡-&lt;color=#fff442&gt;年年有余&lt;/color&gt;。</t>
  </si>
  <si>
    <t>icon_870006</t>
  </si>
  <si>
    <t>870006,24</t>
  </si>
  <si>
    <t>年年有余(3天）</t>
  </si>
  <si>
    <t>获得后可免费体验&lt;color=#fff442&gt;3&lt;/color&gt;天聊天气泡-&lt;color=#fff442&gt;年年有余&lt;/color&gt;。</t>
  </si>
  <si>
    <t>870006,72</t>
  </si>
  <si>
    <t>年年有余(7天）</t>
  </si>
  <si>
    <t>获得后可免费体验&lt;color=#fff442&gt;7&lt;/color&gt;天聊天气泡-&lt;color=#fff442&gt;年年有余&lt;/color&gt;。</t>
  </si>
  <si>
    <t>870006,168</t>
  </si>
  <si>
    <t>年年有余(30天）</t>
  </si>
  <si>
    <t>获得后可免费体验&lt;color=#fff442&gt;30&lt;/color&gt;天聊天气泡-&lt;color=#fff443&gt;年年有余&lt;/color&gt;。</t>
  </si>
  <si>
    <t>870006,720</t>
  </si>
  <si>
    <t>西瓜(1天）</t>
  </si>
  <si>
    <t>获得后可免费体验&lt;color=#fff442&gt;1&lt;/color&gt;天聊天气泡-&lt;color=#fff442&gt;西瓜&lt;/color&gt;。</t>
  </si>
  <si>
    <t>icon_870007</t>
  </si>
  <si>
    <t>870007,24</t>
  </si>
  <si>
    <t>西瓜(3天）</t>
  </si>
  <si>
    <t>获得后可免费体验&lt;color=#fff442&gt;3&lt;/color&gt;天聊天气泡-&lt;color=#fff442&gt;西瓜&lt;/color&gt;。</t>
  </si>
  <si>
    <t>870007,72</t>
  </si>
  <si>
    <t>西瓜(7天）</t>
  </si>
  <si>
    <t>获得后可免费体验&lt;color=#fff442&gt;7&lt;/color&gt;天聊天气泡-&lt;color=#fff442&gt;西瓜&lt;/color&gt;。</t>
  </si>
  <si>
    <t>870007,168</t>
  </si>
  <si>
    <t>西瓜(30天）</t>
  </si>
  <si>
    <t>获得后可免费体验&lt;color=#fff442&gt;30&lt;/color&gt;天聊天气泡-&lt;color=#fff443&gt;西瓜&lt;/color&gt;。</t>
  </si>
  <si>
    <t>870007,720</t>
  </si>
  <si>
    <t>小恶魔(1天）</t>
  </si>
  <si>
    <t>获得后可免费体验&lt;color=#fff442&gt;1&lt;/color&gt;天聊天气泡-&lt;color=#fff442&gt;小恶魔&lt;/color&gt;。</t>
  </si>
  <si>
    <t>icon_870008</t>
  </si>
  <si>
    <t>870008,24</t>
  </si>
  <si>
    <t>小恶魔(3天）</t>
  </si>
  <si>
    <t>获得后可免费体验&lt;color=#fff442&gt;3&lt;/color&gt;天聊天气泡-&lt;color=#fff442&gt;小恶魔&lt;/color&gt;。</t>
  </si>
  <si>
    <t>870008,72</t>
  </si>
  <si>
    <t>小恶魔(7天）</t>
  </si>
  <si>
    <t>获得后可免费体验&lt;color=#fff442&gt;7&lt;/color&gt;天聊天气泡-&lt;color=#fff442&gt;小恶魔&lt;/color&gt;。</t>
  </si>
  <si>
    <t>870008,168</t>
  </si>
  <si>
    <t>小恶魔(30天）</t>
  </si>
  <si>
    <t>获得后可免费体验&lt;color=#fff442&gt;30&lt;/color&gt;天聊天气泡-&lt;color=#fff443&gt;小恶魔&lt;/color&gt;。</t>
  </si>
  <si>
    <t>870008,720</t>
  </si>
  <si>
    <t>好好学习(1天）</t>
  </si>
  <si>
    <t>获得后可免费体验&lt;color=#fff442&gt;1&lt;/color&gt;天聊天气泡-&lt;color=#fff442&gt;好好学习&lt;/color&gt;。</t>
  </si>
  <si>
    <t>icon_870009</t>
  </si>
  <si>
    <t>870009,24</t>
  </si>
  <si>
    <t>好好学习(3天）</t>
  </si>
  <si>
    <t>获得后可免费体验&lt;color=#fff442&gt;3&lt;/color&gt;天聊天气泡-&lt;color=#fff442&gt;好好学习&lt;/color&gt;。</t>
  </si>
  <si>
    <t>870009,72</t>
  </si>
  <si>
    <t>好好学习(7天）</t>
  </si>
  <si>
    <t>获得后可免费体验&lt;color=#fff442&gt;7&lt;/color&gt;天聊天气泡-&lt;color=#fff442&gt;好好学习&lt;/color&gt;。</t>
  </si>
  <si>
    <t>870009,168</t>
  </si>
  <si>
    <t>好好学习(30天）</t>
  </si>
  <si>
    <t>获得后可免费体验&lt;color=#fff442&gt;30&lt;/color&gt;天聊天气泡-&lt;color=#fff443&gt;好好学习&lt;/color&gt;。</t>
  </si>
  <si>
    <t>870009,720</t>
  </si>
  <si>
    <t>霓虹闪耀(1天）</t>
  </si>
  <si>
    <t>获得后可免费体验&lt;color=#fff442&gt;1&lt;/color&gt;天聊天气泡-&lt;color=#fff443&gt;霓虹闪耀&lt;/color&gt;。</t>
  </si>
  <si>
    <t>icon_870014</t>
  </si>
  <si>
    <t>870014,24</t>
  </si>
  <si>
    <t>霓虹闪耀(3天）</t>
  </si>
  <si>
    <t>获得后可免费体验&lt;color=#fff442&gt;3&lt;/color&gt;天聊天气泡-&lt;color=#fff443&gt;霓虹闪耀&lt;/color&gt;。</t>
  </si>
  <si>
    <t>870014,72</t>
  </si>
  <si>
    <t>霓虹闪耀(7天）</t>
  </si>
  <si>
    <t>获得后可免费体验&lt;color=#fff442&gt;7&lt;/color&gt;天聊天气泡-&lt;color=#fff443&gt;霓虹闪耀&lt;/color&gt;。</t>
  </si>
  <si>
    <t>870014,168</t>
  </si>
  <si>
    <t>霓虹闪耀(30天）</t>
  </si>
  <si>
    <t>获得后可免费体验&lt;color=#fff442&gt;30&lt;/color&gt;天聊天气泡-&lt;color=#fff443&gt;霓虹闪耀&lt;/color&gt;。</t>
  </si>
  <si>
    <t>870014,720</t>
  </si>
  <si>
    <t>超级车头(1天）</t>
  </si>
  <si>
    <t>获得后可免费体验&lt;color=#fff442&gt;1&lt;/color&gt;天聊天气泡-&lt;color=#fff443&gt;超级车头&lt;/color&gt;。</t>
  </si>
  <si>
    <t>icon_870015</t>
  </si>
  <si>
    <t>870015,24</t>
  </si>
  <si>
    <t>超级车头(3天）</t>
  </si>
  <si>
    <t>获得后可免费体验&lt;color=#fff442&gt;3&lt;/color&gt;天聊天气泡-&lt;color=#fff443&gt;超级车头&lt;/color&gt;。</t>
  </si>
  <si>
    <t>870015,72</t>
  </si>
  <si>
    <t>超级车头(7天）</t>
  </si>
  <si>
    <t>获得后可免费体验&lt;color=#fff442&gt;7&lt;/color&gt;天聊天气泡-&lt;color=#fff443&gt;超级车头&lt;/color&gt;。</t>
  </si>
  <si>
    <t>870015,168</t>
  </si>
  <si>
    <t>超级车头(30天）</t>
  </si>
  <si>
    <t>获得后可免费体验&lt;color=#fff442&gt;30&lt;/color&gt;天聊天气泡-&lt;color=#fff443&gt;超级车头&lt;/color&gt;。</t>
  </si>
  <si>
    <t>870015,720</t>
  </si>
  <si>
    <t>回忆的秋天(1天）</t>
  </si>
  <si>
    <t>获得后可免费体验&lt;color=#fff442&gt;1&lt;/color&gt;天聊天气泡-&lt;color=#fff443&gt;回忆的秋天&lt;/color&gt;。</t>
  </si>
  <si>
    <t>icon_870016</t>
  </si>
  <si>
    <t>870016,24</t>
  </si>
  <si>
    <t>回忆的秋天(3天）</t>
  </si>
  <si>
    <t>获得后可免费体验&lt;color=#fff442&gt;3&lt;/color&gt;天聊天气泡-&lt;color=#fff443&gt;回忆的秋天&lt;/color&gt;。</t>
  </si>
  <si>
    <t>870016,72</t>
  </si>
  <si>
    <t>回忆的秋天(7天）</t>
  </si>
  <si>
    <t>获得后可免费体验&lt;color=#fff442&gt;7&lt;/color&gt;天聊天气泡-&lt;color=#fff443&gt;回忆的秋天&lt;/color&gt;。</t>
  </si>
  <si>
    <t>870016,168</t>
  </si>
  <si>
    <t>回忆的秋天(30天）</t>
  </si>
  <si>
    <t>获得后可免费体验&lt;color=#fff442&gt;30&lt;/color&gt;天聊天气泡-&lt;color=#fff443&gt;回忆的秋天&lt;/color&gt;。</t>
  </si>
  <si>
    <t>870016,720</t>
  </si>
  <si>
    <t>荧光屏(1天）</t>
  </si>
  <si>
    <t>获得后可免费体验&lt;color=#fff442&gt;1&lt;/color&gt;天聊天气泡-&lt;color=#fff443&gt;荧光屏&lt;/color&gt;。</t>
  </si>
  <si>
    <t>icon_870017</t>
  </si>
  <si>
    <t>870017,24</t>
  </si>
  <si>
    <t>荧光屏(3天）</t>
  </si>
  <si>
    <t>获得后可免费体验&lt;color=#fff442&gt;3&lt;/color&gt;天聊天气泡-&lt;color=#fff443&gt;荧光屏&lt;/color&gt;。</t>
  </si>
  <si>
    <t>870017,72</t>
  </si>
  <si>
    <t>荧光屏(7天）</t>
  </si>
  <si>
    <t>获得后可免费体验&lt;color=#fff442&gt;7&lt;/color&gt;天聊天气泡-&lt;color=#fff443&gt;荧光屏&lt;/color&gt;。</t>
  </si>
  <si>
    <t>870017,168</t>
  </si>
  <si>
    <t>荧光屏(30天）</t>
  </si>
  <si>
    <t>获得后可免费体验&lt;color=#fff442&gt;30&lt;/color&gt;天聊天气泡-&lt;color=#fff443&gt;荧光屏&lt;/color&gt;。</t>
  </si>
  <si>
    <t>870017,720</t>
  </si>
  <si>
    <t>部落格(1天）</t>
  </si>
  <si>
    <t>获得后可免费体验&lt;color=#fff442&gt;1&lt;/color&gt;天聊天气泡-&lt;color=#fff443&gt;部落格&lt;/color&gt;。</t>
  </si>
  <si>
    <t>icon_870018</t>
  </si>
  <si>
    <t>870018,24</t>
  </si>
  <si>
    <t>部落格(3天）</t>
  </si>
  <si>
    <t>获得后可免费体验&lt;color=#fff442&gt;3&lt;/color&gt;天聊天气泡-&lt;color=#fff443&gt;部落格&lt;/color&gt;。</t>
  </si>
  <si>
    <t>870018,72</t>
  </si>
  <si>
    <t>部落格(7天）</t>
  </si>
  <si>
    <t>获得后可免费体验&lt;color=#fff442&gt;7&lt;/color&gt;天聊天气泡-&lt;color=#fff443&gt;部落格&lt;/color&gt;。</t>
  </si>
  <si>
    <t>870018,168</t>
  </si>
  <si>
    <t>部落格(30天）</t>
  </si>
  <si>
    <t>获得后可免费体验&lt;color=#fff442&gt;30&lt;/color&gt;天聊天气泡-&lt;color=#fff443&gt;部落格&lt;/color&gt;。</t>
  </si>
  <si>
    <t>870018,720</t>
  </si>
  <si>
    <t>街头涂鸦(1天）</t>
  </si>
  <si>
    <t>获得后可免费体验&lt;color=#fff442&gt;1&lt;/color&gt;天聊天气泡-&lt;color=#fff443&gt;街头涂鸦&lt;/color&gt;。</t>
  </si>
  <si>
    <t>icon_870013</t>
  </si>
  <si>
    <t>870013,24</t>
  </si>
  <si>
    <t>街头涂鸦(3天）</t>
  </si>
  <si>
    <t>获得后可免费体验&lt;color=#fff442&gt;3&lt;/color&gt;天聊天气泡-&lt;color=#fff443&gt;街头涂鸦&lt;/color&gt;。</t>
  </si>
  <si>
    <t>870013,72</t>
  </si>
  <si>
    <t>街头涂鸦(7天）</t>
  </si>
  <si>
    <t>获得后可免费体验&lt;color=#fff442&gt;7&lt;/color&gt;天聊天气泡-&lt;color=#fff443&gt;街头涂鸦&lt;/color&gt;。</t>
  </si>
  <si>
    <t>870013,168</t>
  </si>
  <si>
    <t>街头涂鸦(30天）</t>
  </si>
  <si>
    <t>获得后可免费体验&lt;color=#fff442&gt;30&lt;/color&gt;天聊天气泡-&lt;color=#fff443&gt;街头涂鸦&lt;/color&gt;。</t>
  </si>
  <si>
    <t>870013,720</t>
  </si>
  <si>
    <t>绿草如茵(1天）</t>
  </si>
  <si>
    <t>获得后可免费体验&lt;color=#fff442&gt;1&lt;/color&gt;天聊天气泡-&lt;color=#fff443&gt;绿草如茵&lt;/color&gt;。</t>
  </si>
  <si>
    <t>icon_870019</t>
  </si>
  <si>
    <t>870019,24</t>
  </si>
  <si>
    <t>绿草如茵(3天）</t>
  </si>
  <si>
    <t>获得后可免费体验&lt;color=#fff442&gt;3&lt;/color&gt;天聊天气泡-&lt;color=#fff443&gt;绿草如茵&lt;/color&gt;。</t>
  </si>
  <si>
    <t>870019,72</t>
  </si>
  <si>
    <t>绿草如茵(7天）</t>
  </si>
  <si>
    <t>获得后可免费体验&lt;color=#fff442&gt;7&lt;/color&gt;天聊天气泡-&lt;color=#fff443&gt;绿草如茵&lt;/color&gt;。</t>
  </si>
  <si>
    <t>870019,168</t>
  </si>
  <si>
    <t>绿草如茵(30天）</t>
  </si>
  <si>
    <t>获得后可免费体验&lt;color=#fff442&gt;30&lt;/color&gt;天聊天气泡-&lt;color=#fff443&gt;绿草如茵&lt;/color&gt;。</t>
  </si>
  <si>
    <t>870019,720</t>
  </si>
  <si>
    <t>龙凤呈祥(1天）</t>
  </si>
  <si>
    <t>获得后可免费体验&lt;color=#fff442&gt;1&lt;/color&gt;天聊天气泡-&lt;color=#fff443&gt;龙凤呈祥&lt;/color&gt;。</t>
  </si>
  <si>
    <t>icon_870021</t>
  </si>
  <si>
    <t>870021,24</t>
  </si>
  <si>
    <t>龙凤呈祥(3天）</t>
  </si>
  <si>
    <t>获得后可免费体验&lt;color=#fff442&gt;3&lt;/color&gt;天聊天气泡-&lt;color=#fff443&gt;龙凤呈祥&lt;/color&gt;。</t>
  </si>
  <si>
    <t>870021,72</t>
  </si>
  <si>
    <t>龙凤呈祥(7天）</t>
  </si>
  <si>
    <t>获得后可免费体验&lt;color=#fff442&gt;7&lt;/color&gt;天聊天气泡-&lt;color=#fff443&gt;龙凤呈祥&lt;/color&gt;。</t>
  </si>
  <si>
    <t>870021,168</t>
  </si>
  <si>
    <t>龙凤呈祥(30天）</t>
  </si>
  <si>
    <t>获得后可免费体验&lt;color=#fff442&gt;30&lt;/color&gt;天聊天气泡-&lt;color=#fff443&gt;龙凤呈祥&lt;/color&gt;。</t>
  </si>
  <si>
    <t>870021,720</t>
  </si>
  <si>
    <t>行运气泡(1天）</t>
  </si>
  <si>
    <t>获得后可免费体验&lt;color=#fff442&gt;1&lt;/color&gt;天聊天气泡-&lt;color=#fff443&gt;行运气泡&lt;/color&gt;。</t>
  </si>
  <si>
    <t>icon_870022</t>
  </si>
  <si>
    <t>870022,24</t>
  </si>
  <si>
    <t>行运气泡(3天）</t>
  </si>
  <si>
    <t>获得后可免费体验&lt;color=#fff442&gt;3&lt;/color&gt;天聊天气泡-&lt;color=#fff443&gt;行运气泡&lt;/color&gt;。</t>
  </si>
  <si>
    <t>870022,72</t>
  </si>
  <si>
    <t>行运气泡(7天）</t>
  </si>
  <si>
    <t>获得后可免费体验&lt;color=#fff442&gt;7&lt;/color&gt;天聊天气泡-&lt;color=#fff443&gt;行运气泡&lt;/color&gt;。</t>
  </si>
  <si>
    <t>870022,168</t>
  </si>
  <si>
    <t>行运气泡(30天）</t>
  </si>
  <si>
    <t>获得后可免费体验&lt;color=#fff442&gt;30&lt;/color&gt;天聊天气泡-&lt;color=#fff443&gt;行运气泡&lt;/color&gt;。</t>
  </si>
  <si>
    <t>870022,720</t>
  </si>
  <si>
    <t>一掷千金(1天）</t>
  </si>
  <si>
    <t>获得后可免费体验&lt;color=#fff442&gt;1&lt;/color&gt;天聊天气泡-&lt;color=#fff443&gt;一掷千金&lt;/color&gt;。</t>
  </si>
  <si>
    <t>icon_870026</t>
  </si>
  <si>
    <t>870026,24</t>
  </si>
  <si>
    <t>一掷千金(3天）</t>
  </si>
  <si>
    <t>获得后可免费体验&lt;color=#fff442&gt;3&lt;/color&gt;天聊天气泡-&lt;color=#fff443&gt;一掷千金&lt;/color&gt;。</t>
  </si>
  <si>
    <t>870026,72</t>
  </si>
  <si>
    <t>一掷千金(7天）</t>
  </si>
  <si>
    <t>获得后可免费体验&lt;color=#fff442&gt;7&lt;/color&gt;天聊天气泡-&lt;color=#fff443&gt;一掷千金&lt;/color&gt;。</t>
  </si>
  <si>
    <t>870026,168</t>
  </si>
  <si>
    <t>一掷千金(30天）</t>
  </si>
  <si>
    <t>获得后可免费体验&lt;color=#fff442&gt;30&lt;/color&gt;天聊天气泡-&lt;color=#fff443&gt;一掷千金&lt;/color&gt;。</t>
  </si>
  <si>
    <t>870026,720</t>
  </si>
  <si>
    <t>富甲一方(1天）</t>
  </si>
  <si>
    <t>获得后可免费体验&lt;color=#fff442&gt;1&lt;/color&gt;天聊天气泡-&lt;color=#fff443&gt;富甲一方&lt;/color&gt;。</t>
  </si>
  <si>
    <t>icon_870027</t>
  </si>
  <si>
    <t>870027,24</t>
  </si>
  <si>
    <t>富甲一方(3天）</t>
  </si>
  <si>
    <t>获得后可免费体验&lt;color=#fff442&gt;3&lt;/color&gt;天聊天气泡-&lt;color=#fff443&gt;富甲一方&lt;/color&gt;。</t>
  </si>
  <si>
    <t>870027,72</t>
  </si>
  <si>
    <t>富甲一方(7天）</t>
  </si>
  <si>
    <t>获得后可免费体验&lt;color=#fff442&gt;7&lt;/color&gt;天聊天气泡-&lt;color=#fff443&gt;富甲一方&lt;/color&gt;。</t>
  </si>
  <si>
    <t>870027,168</t>
  </si>
  <si>
    <t>富甲一方(30天）</t>
  </si>
  <si>
    <t>获得后可免费体验&lt;color=#fff442&gt;30&lt;/color&gt;天聊天气泡-&lt;color=#fff443&gt;富甲一方&lt;/color&gt;。</t>
  </si>
  <si>
    <t>870027,720</t>
  </si>
  <si>
    <t>青龙气泡(1天）</t>
  </si>
  <si>
    <t>获得后可免费体验&lt;color=#fff442&gt;1&lt;/color&gt;天聊天气泡-&lt;color=#fff443&gt;青龙气泡&lt;/color&gt;。</t>
  </si>
  <si>
    <t>icon_870028</t>
  </si>
  <si>
    <t>青龙气泡(3天）</t>
  </si>
  <si>
    <t>获得后可免费体验&lt;color=#fff442&gt;3&lt;/color&gt;天聊天气泡-&lt;color=#fff443&gt;青龙气泡&lt;/color&gt;。</t>
  </si>
  <si>
    <t>青龙气泡(7天）</t>
  </si>
  <si>
    <t>获得后可免费体验&lt;color=#fff442&gt;7&lt;/color&gt;天聊天气泡-&lt;color=#fff443&gt;青龙气泡&lt;/color&gt;。</t>
  </si>
  <si>
    <t>青龙气泡(30天）</t>
  </si>
  <si>
    <t>获得后可免费体验&lt;color=#fff442&gt;30&lt;/color&gt;天聊天气泡-&lt;color=#fff443&gt;青龙气泡&lt;/color&gt;。</t>
  </si>
  <si>
    <t>王孟南气泡(1天）</t>
  </si>
  <si>
    <t>获得后可免费体验&lt;color=#fff442&gt;1&lt;/color&gt;天聊天气泡-&lt;color=#fff443&gt;王孟南气泡&lt;/color&gt;。</t>
  </si>
  <si>
    <t>icon_870010</t>
  </si>
  <si>
    <t>870010,24</t>
  </si>
  <si>
    <t>王孟南气泡(3天）</t>
  </si>
  <si>
    <t>获得后可免费体验&lt;color=#fff442&gt;3&lt;/color&gt;天聊天气泡-&lt;color=#fff443&gt;王孟南气泡&lt;/color&gt;。</t>
  </si>
  <si>
    <t>870010,72</t>
  </si>
  <si>
    <t>王孟南气泡(7天）</t>
  </si>
  <si>
    <t>获得后可免费体验&lt;color=#fff442&gt;7&lt;/color&gt;天聊天气泡-&lt;color=#fff443&gt;王孟南气泡&lt;/color&gt;。</t>
  </si>
  <si>
    <t>870010,168</t>
  </si>
  <si>
    <t>王孟南气泡(30天）</t>
  </si>
  <si>
    <t>获得后可免费体验&lt;color=#fff442&gt;30&lt;/color&gt;天聊天气泡-&lt;color=#fff443&gt;王孟南气泡&lt;/color&gt;。</t>
  </si>
  <si>
    <t>870010,720</t>
  </si>
  <si>
    <t>海洋瑰宝气泡(1天）</t>
  </si>
  <si>
    <t>获得后可免费体验&lt;color=#fff442&gt;1&lt;/color&gt;天聊天气泡-&lt;color=#fff443&gt;海洋瑰宝气泡&lt;/color&gt;。</t>
  </si>
  <si>
    <t>icon_870032</t>
  </si>
  <si>
    <t>870032,24</t>
  </si>
  <si>
    <t>海洋瑰宝气泡(3天）</t>
  </si>
  <si>
    <t>获得后可免费体验&lt;color=#fff442&gt;3&lt;/color&gt;天聊天气泡-&lt;color=#fff443&gt;海洋瑰宝气泡&lt;/color&gt;。</t>
  </si>
  <si>
    <t>870032,72</t>
  </si>
  <si>
    <t>海洋瑰宝气泡(7天）</t>
  </si>
  <si>
    <t>获得后可免费体验&lt;color=#fff442&gt;7&lt;/color&gt;天聊天气泡-&lt;color=#fff443&gt;海洋瑰宝气泡&lt;/color&gt;。</t>
  </si>
  <si>
    <t>870032,168</t>
  </si>
  <si>
    <t>海洋瑰宝气泡(30天）</t>
  </si>
  <si>
    <t>获得后可免费体验&lt;color=#fff442&gt;30&lt;/color&gt;天聊天气泡-&lt;color=#fff443&gt;海洋瑰宝气泡&lt;/color&gt;。</t>
  </si>
  <si>
    <t>870032,720</t>
  </si>
  <si>
    <t>正义之鸣气泡(1天）</t>
  </si>
  <si>
    <t>获得后可免费体验&lt;color=#fff442&gt;1&lt;/color&gt;天聊天气泡-&lt;color=#fff443&gt;正义之鸣气泡&lt;/color&gt;。</t>
  </si>
  <si>
    <t>icon_870033</t>
  </si>
  <si>
    <t>870033,24</t>
  </si>
  <si>
    <t>正义之鸣气泡(3天）</t>
  </si>
  <si>
    <t>获得后可免费体验&lt;color=#fff442&gt;3&lt;/color&gt;天聊天气泡-&lt;color=#fff443&gt;正义之鸣气泡&lt;/color&gt;。</t>
  </si>
  <si>
    <t>870033,72</t>
  </si>
  <si>
    <t>正义之鸣气泡(7天）</t>
  </si>
  <si>
    <t>获得后可免费体验&lt;color=#fff442&gt;7&lt;/color&gt;天聊天气泡-&lt;color=#fff443&gt;正义之鸣气泡&lt;/color&gt;。</t>
  </si>
  <si>
    <t>870033,168</t>
  </si>
  <si>
    <t>正义之鸣气泡(30天）</t>
  </si>
  <si>
    <t>获得后可免费体验&lt;color=#fff442&gt;30&lt;/color&gt;天聊天气泡-&lt;color=#fff443&gt;正义之鸣气泡&lt;/color&gt;。</t>
  </si>
  <si>
    <t>870033,720</t>
  </si>
  <si>
    <t>莹玉冰蓝气泡(1天）</t>
  </si>
  <si>
    <t>获得后可免费体验&lt;color=#fff442&gt;1&lt;/color&gt;天聊天气泡-&lt;color=#fff443&gt;莹玉冰蓝气泡&lt;/color&gt;。</t>
  </si>
  <si>
    <t>icon_870034</t>
  </si>
  <si>
    <t>870034,24</t>
  </si>
  <si>
    <t>莹玉冰蓝气泡(3天）</t>
  </si>
  <si>
    <t>获得后可免费体验&lt;color=#fff442&gt;3&lt;/color&gt;天聊天气泡-&lt;color=#fff443&gt;莹玉冰蓝气泡&lt;/color&gt;。</t>
  </si>
  <si>
    <t>870034,72</t>
  </si>
  <si>
    <t>莹玉冰蓝气泡(7天）</t>
  </si>
  <si>
    <t>获得后可免费体验&lt;color=#fff442&gt;7&lt;/color&gt;天聊天气泡-&lt;color=#fff443&gt;莹玉冰蓝气泡&lt;/color&gt;。</t>
  </si>
  <si>
    <t>870034,168</t>
  </si>
  <si>
    <t>莹玉冰蓝气泡(30天）</t>
  </si>
  <si>
    <t>获得后可免费体验&lt;color=#fff442&gt;30&lt;/color&gt;天聊天气泡-&lt;color=#fff443&gt;莹玉冰蓝气泡&lt;/color&gt;。</t>
  </si>
  <si>
    <t>870034,720</t>
  </si>
  <si>
    <t>鹤羽气泡(1天）</t>
  </si>
  <si>
    <t>获得后可免费体验&lt;color=#fff442&gt;1&lt;/color&gt;天聊天气泡-&lt;color=#fff443&gt;鹤羽气泡&lt;/color&gt;。</t>
  </si>
  <si>
    <t>icon_870035</t>
  </si>
  <si>
    <t>870035,24</t>
  </si>
  <si>
    <t>鹤羽气泡(3天）</t>
  </si>
  <si>
    <t>获得后可免费体验&lt;color=#fff442&gt;3&lt;/color&gt;天聊天气泡-&lt;color=#fff443&gt;鹤羽气泡&lt;/color&gt;。</t>
  </si>
  <si>
    <t>870035,72</t>
  </si>
  <si>
    <t>鹤羽气泡(7天）</t>
  </si>
  <si>
    <t>获得后可免费体验&lt;color=#fff442&gt;7&lt;/color&gt;天聊天气泡-&lt;color=#fff443&gt;鹤羽气泡&lt;/color&gt;。</t>
  </si>
  <si>
    <t>870035,168</t>
  </si>
  <si>
    <t>鹤羽气泡(30天）</t>
  </si>
  <si>
    <t>获得后可免费体验&lt;color=#fff442&gt;30&lt;/color&gt;天聊天气泡-&lt;color=#fff443&gt;鹤羽气泡&lt;/color&gt;。</t>
  </si>
  <si>
    <t>870035,720</t>
  </si>
  <si>
    <t>剑坠气泡(1天）</t>
  </si>
  <si>
    <t>获得后可免费体验&lt;color=#fff442&gt;1&lt;/color&gt;天聊天气泡-&lt;color=#fff443&gt;剑坠气泡&lt;/color&gt;。</t>
  </si>
  <si>
    <t>icon_870036</t>
  </si>
  <si>
    <t>870036,24</t>
  </si>
  <si>
    <t>剑坠气泡(3天）</t>
  </si>
  <si>
    <t>获得后可免费体验&lt;color=#fff442&gt;3&lt;/color&gt;天聊天气泡-&lt;color=#fff443&gt;剑坠气泡&lt;/color&gt;。</t>
  </si>
  <si>
    <t>870036,72</t>
  </si>
  <si>
    <t>剑坠气泡(7天）</t>
  </si>
  <si>
    <t>获得后可免费体验&lt;color=#fff442&gt;7&lt;/color&gt;天聊天气泡-&lt;color=#fff443&gt;剑坠气泡&lt;/color&gt;。</t>
  </si>
  <si>
    <t>870036,168</t>
  </si>
  <si>
    <t>剑坠气泡(30天）</t>
  </si>
  <si>
    <t>获得后可免费体验&lt;color=#fff442&gt;30&lt;/color&gt;天聊天气泡-&lt;color=#fff443&gt;剑坠气泡&lt;/color&gt;。</t>
  </si>
  <si>
    <t>870036,720</t>
  </si>
  <si>
    <t>白鹤游花气泡(1天）</t>
  </si>
  <si>
    <t>获得后可免费体验&lt;color=#fff442&gt;1&lt;/color&gt;天聊天气泡-&lt;color=#fff443&gt;白鹤游花气泡&lt;/color&gt;。</t>
  </si>
  <si>
    <t>icon_870037</t>
  </si>
  <si>
    <t>870037,24</t>
  </si>
  <si>
    <t>白鹤游花气泡(3天）</t>
  </si>
  <si>
    <t>获得后可免费体验&lt;color=#fff442&gt;3&lt;/color&gt;天聊天气泡-&lt;color=#fff443&gt;白鹤游花气泡&lt;/color&gt;。</t>
  </si>
  <si>
    <t>870037,72</t>
  </si>
  <si>
    <t>白鹤游花气泡(7天）</t>
  </si>
  <si>
    <t>获得后可免费体验&lt;color=#fff442&gt;7&lt;/color&gt;天聊天气泡-&lt;color=#fff443&gt;白鹤游花气泡&lt;/color&gt;。</t>
  </si>
  <si>
    <t>870037,168</t>
  </si>
  <si>
    <t>白鹤游花气泡(30天）</t>
  </si>
  <si>
    <t>获得后可免费体验&lt;color=#fff442&gt;30&lt;/color&gt;天聊天气泡-&lt;color=#fff443&gt;白鹤游花气泡&lt;/color&gt;。</t>
  </si>
  <si>
    <t>870037,720</t>
  </si>
  <si>
    <t>黄金陶符气泡(1天）</t>
  </si>
  <si>
    <t>获得后可免费体验&lt;color=#fff442&gt;1&lt;/color&gt;天聊天气泡-&lt;color=#fff443&gt;黄金陶符气泡&lt;/color&gt;。</t>
  </si>
  <si>
    <t>icon_870038</t>
  </si>
  <si>
    <t>870038,24</t>
  </si>
  <si>
    <t>黄金陶符气泡(3天）</t>
  </si>
  <si>
    <t>获得后可免费体验&lt;color=#fff442&gt;3&lt;/color&gt;天聊天气泡-&lt;color=#fff443&gt;黄金陶符气泡&lt;/color&gt;。</t>
  </si>
  <si>
    <t>870038,72</t>
  </si>
  <si>
    <t>黄金陶符气泡(7天）</t>
  </si>
  <si>
    <t>获得后可免费体验&lt;color=#fff442&gt;7&lt;/color&gt;天聊天气泡-&lt;color=#fff443&gt;黄金陶符气泡&lt;/color&gt;。</t>
  </si>
  <si>
    <t>870038,168</t>
  </si>
  <si>
    <t>黄金陶符气泡(30天）</t>
  </si>
  <si>
    <t>获得后可免费体验&lt;color=#fff442&gt;30&lt;/color&gt;天聊天气泡-&lt;color=#fff443&gt;黄金陶符气泡&lt;/color&gt;。</t>
  </si>
  <si>
    <t>870038,720</t>
  </si>
  <si>
    <t>矛之乐章气泡(1天）</t>
  </si>
  <si>
    <t>获得后可免费体验&lt;color=#fff442&gt;1&lt;/color&gt;天聊天气泡-&lt;color=#fff443&gt;矛之乐章气泡&lt;/color&gt;。</t>
  </si>
  <si>
    <t>icon_870040</t>
  </si>
  <si>
    <t>870040,24</t>
  </si>
  <si>
    <t>矛之乐章气泡(3天）</t>
  </si>
  <si>
    <t>获得后可免费体验&lt;color=#fff442&gt;3&lt;/color&gt;天聊天气泡-&lt;color=#fff443&gt;矛之乐章气泡&lt;/color&gt;。</t>
  </si>
  <si>
    <t>870040,72</t>
  </si>
  <si>
    <t>矛之乐章气泡(7天）</t>
  </si>
  <si>
    <t>获得后可免费体验&lt;color=#fff442&gt;7&lt;/color&gt;天聊天气泡-&lt;color=#fff443&gt;矛之乐章气泡&lt;/color&gt;。</t>
  </si>
  <si>
    <t>870040,168</t>
  </si>
  <si>
    <t>矛之乐章气泡(30天）</t>
  </si>
  <si>
    <t>获得后可免费体验&lt;color=#fff442&gt;30&lt;/color&gt;天聊天气泡-&lt;color=#fff443&gt;矛之乐章气泡&lt;/color&gt;。</t>
  </si>
  <si>
    <t>870040,720</t>
  </si>
  <si>
    <t>飞羽留痕气泡(1天）</t>
  </si>
  <si>
    <t>获得后可免费体验&lt;color=#fff442&gt;1&lt;/color&gt;天聊天气泡-&lt;color=#fff443&gt;飞羽留痕气泡&lt;/color&gt;。</t>
  </si>
  <si>
    <t>icon_870041</t>
  </si>
  <si>
    <t>870041,24</t>
  </si>
  <si>
    <t>飞羽留痕气泡(3天）</t>
  </si>
  <si>
    <t>获得后可免费体验&lt;color=#fff442&gt;3&lt;/color&gt;天聊天气泡-&lt;color=#fff443&gt;飞羽留痕气泡&lt;/color&gt;。</t>
  </si>
  <si>
    <t>870041,72</t>
  </si>
  <si>
    <t>飞羽留痕气泡(7天）</t>
  </si>
  <si>
    <t>获得后可免费体验&lt;color=#fff442&gt;7&lt;/color&gt;天聊天气泡-&lt;color=#fff443&gt;飞羽留痕气泡&lt;/color&gt;。</t>
  </si>
  <si>
    <t>870041,168</t>
  </si>
  <si>
    <t>飞羽留痕气泡(30天）</t>
  </si>
  <si>
    <t>获得后可免费体验&lt;color=#fff442&gt;30&lt;/color&gt;天聊天气泡-&lt;color=#fff443&gt;飞羽留痕气泡&lt;/color&gt;。</t>
  </si>
  <si>
    <t>870041,720</t>
  </si>
  <si>
    <t>炽翎气泡(1天）</t>
  </si>
  <si>
    <t>获得后可免费体验&lt;color=#fff442&gt;1&lt;/color&gt;天聊天气泡-&lt;color=#fff443&gt;炽翎气泡&lt;/color&gt;。</t>
  </si>
  <si>
    <t>icon_870042</t>
  </si>
  <si>
    <t>870042,24</t>
  </si>
  <si>
    <t>炽翎气泡(3天）</t>
  </si>
  <si>
    <t>获得后可免费体验&lt;color=#fff442&gt;3&lt;/color&gt;天聊天气泡-&lt;color=#fff443&gt;炽翎气泡&lt;/color&gt;。</t>
  </si>
  <si>
    <t>870042,72</t>
  </si>
  <si>
    <t>炽翎气泡(7天）</t>
  </si>
  <si>
    <t>获得后可免费体验&lt;color=#fff442&gt;7&lt;/color&gt;天聊天气泡-&lt;color=#fff443&gt;炽翎气泡&lt;/color&gt;。</t>
  </si>
  <si>
    <t>870042,168</t>
  </si>
  <si>
    <t>炽翎气泡(30天）</t>
  </si>
  <si>
    <t>获得后可免费体验&lt;color=#fff442&gt;30&lt;/color&gt;天聊天气泡-&lt;color=#fff443&gt;炽翎气泡&lt;/color&gt;。</t>
  </si>
  <si>
    <t>870042,720</t>
  </si>
  <si>
    <t>冰雪倒计时(30天)</t>
  </si>
  <si>
    <t>获得后可免费体验&lt;color=#fff442&gt;30&lt;/color&gt;天倒计时特效-&lt;color=#fff443&gt;冰雪倒计时&lt;/color&gt;。</t>
  </si>
  <si>
    <t>icon_880002</t>
  </si>
  <si>
    <t>880002,720</t>
  </si>
  <si>
    <t>虎爪倒计时(30天)</t>
  </si>
  <si>
    <t>获得后可免费体验&lt;color=#fff442&gt;30&lt;/color&gt;天倒计时特效-&lt;color=#fff443&gt;虎爪倒计时&lt;/color&gt;。</t>
  </si>
  <si>
    <t>icon_880003</t>
  </si>
  <si>
    <t>880003,720</t>
  </si>
  <si>
    <t>纵横四方(1天)</t>
  </si>
  <si>
    <t>获得后可免费体验&lt;color=#fff442&gt;1&lt;/color&gt;天拖尾&lt;color=#fff443&gt;纵横四方&lt;/color&gt;。</t>
  </si>
  <si>
    <t>icon_940001</t>
  </si>
  <si>
    <t>940001,24</t>
  </si>
  <si>
    <t>纵横四方(3天)</t>
  </si>
  <si>
    <t>获得后可免费体验&lt;color=#fff442&gt;3&lt;/color&gt;天拖尾&lt;color=#fff443&gt;纵横四方&lt;/color&gt;。</t>
  </si>
  <si>
    <t>940001,72</t>
  </si>
  <si>
    <t>纵横四方(7天)</t>
  </si>
  <si>
    <t>获得后可免费体验&lt;color=#fff442&gt;7&lt;/color&gt;天拖尾&lt;color=#fff443&gt;纵横四方&lt;/color&gt;。</t>
  </si>
  <si>
    <t>940001,168</t>
  </si>
  <si>
    <t>星辰极光(1天)</t>
  </si>
  <si>
    <t>获得后可免费体验&lt;color=#fff442&gt;1&lt;/color&gt;天进洞特效&lt;color=#fff443&gt;星辰极光&lt;/color&gt;。</t>
  </si>
  <si>
    <t>icon_950022</t>
  </si>
  <si>
    <t>952022,24</t>
  </si>
  <si>
    <t>星辰极光(3天)</t>
  </si>
  <si>
    <t>获得后可免费体验&lt;color=#fff442&gt;3&lt;/color&gt;天进洞特效&lt;color=#fff443&gt;星辰极光&lt;/color&gt;。</t>
  </si>
  <si>
    <t>952022,72</t>
  </si>
  <si>
    <t>星辰极光(7天)</t>
  </si>
  <si>
    <t>获得后可免费体验&lt;color=#fff442&gt;7&lt;/color&gt;天进洞特效&lt;color=#fff443&gt;星辰极光&lt;/color&gt;。</t>
  </si>
  <si>
    <t>952022,168</t>
  </si>
  <si>
    <t>原木球杆碎片</t>
  </si>
  <si>
    <t>原木碎片，可用于球杆合成、升阶。</t>
  </si>
  <si>
    <t>icon_510001</t>
  </si>
  <si>
    <t>地狱火焰碎片</t>
  </si>
  <si>
    <t>地狱火焰碎片，可用于球杆合成、升阶。</t>
  </si>
  <si>
    <t>icon_510011</t>
  </si>
  <si>
    <t>国色天香碎片</t>
  </si>
  <si>
    <t>国色天香碎片，可用于球杆合成、升阶。</t>
  </si>
  <si>
    <t>icon_510021</t>
  </si>
  <si>
    <t>白银球杆碎片</t>
  </si>
  <si>
    <t>白银碎片，可用于球杆合成、升阶。</t>
  </si>
  <si>
    <t>icon_510031</t>
  </si>
  <si>
    <t>骑士长枪碎片</t>
  </si>
  <si>
    <t>骑士长枪碎片，可用于球杆合成、升阶。</t>
  </si>
  <si>
    <t>icon_510041</t>
  </si>
  <si>
    <t>如鱼得水碎片</t>
  </si>
  <si>
    <t>如鱼得水碎片，可用于球杆合成、升阶。</t>
  </si>
  <si>
    <t>icon_510051</t>
  </si>
  <si>
    <t>街头潮牌碎片</t>
  </si>
  <si>
    <t>街头潮牌碎片，可用于球杆合成、升阶。</t>
  </si>
  <si>
    <t>icon_510061</t>
  </si>
  <si>
    <t>紫金葫芦碎片</t>
  </si>
  <si>
    <t>紫金葫芦碎片，可用于球杆合成、升阶。</t>
  </si>
  <si>
    <t>icon_510071</t>
  </si>
  <si>
    <t>黑色琴键碎片</t>
  </si>
  <si>
    <t>黑色琴键碎片，可用于球杆合成、升阶。</t>
  </si>
  <si>
    <t>icon_510081</t>
  </si>
  <si>
    <t>电音吉他碎片</t>
  </si>
  <si>
    <t>电音吉他碎片，可用于球杆合成、升阶。</t>
  </si>
  <si>
    <t>icon_510091</t>
  </si>
  <si>
    <t>台球麦霸碎片</t>
  </si>
  <si>
    <t>台球麦霸碎片，可用于球杆合成、升阶。</t>
  </si>
  <si>
    <t>icon_510101</t>
  </si>
  <si>
    <t>喵星物语碎片</t>
  </si>
  <si>
    <t>喵星物语碎片，可用于球杆合成、升阶。</t>
  </si>
  <si>
    <t>icon_510111</t>
  </si>
  <si>
    <t>夏日海滩碎片</t>
  </si>
  <si>
    <t>夏日海滩碎片，可用于球杆合成、升阶。</t>
  </si>
  <si>
    <t>icon_510121</t>
  </si>
  <si>
    <t>圣诞树碎片</t>
  </si>
  <si>
    <t>圣诞树碎片，可用于球杆合成、升阶。</t>
  </si>
  <si>
    <t>icon_510131</t>
  </si>
  <si>
    <t>圣诞糖果碎片</t>
  </si>
  <si>
    <t>圣诞糖果碎片，可用于球杆合成、升阶。</t>
  </si>
  <si>
    <t>icon_510141</t>
  </si>
  <si>
    <t>黄铜球杆碎片</t>
  </si>
  <si>
    <t>黄铜球杆碎片，可用于球杆合成、升阶。</t>
  </si>
  <si>
    <t>icon_510151</t>
  </si>
  <si>
    <t>梅花三弄碎片</t>
  </si>
  <si>
    <t>梅花三弄碎片，可用于球杆合成、升阶。</t>
  </si>
  <si>
    <t>icon_510161</t>
  </si>
  <si>
    <t>龙回头碎片</t>
  </si>
  <si>
    <t>龙回头碎片，可用于球杆合成、升阶。</t>
  </si>
  <si>
    <t>icon_510171</t>
  </si>
  <si>
    <t>成就大师碎片</t>
  </si>
  <si>
    <t>成就大师碎片，可用于球杆合成、升阶。</t>
  </si>
  <si>
    <t>icon_510181</t>
  </si>
  <si>
    <t>台球达人碎片</t>
  </si>
  <si>
    <t>台球达人碎片，可用于台球达人球杆的合成、升阶。</t>
  </si>
  <si>
    <t>icon_510191</t>
  </si>
  <si>
    <t>雄鹰权杖碎片</t>
  </si>
  <si>
    <t>雄鹰权杖碎片，可用于雄鹰权杖球杆的合成、升阶。</t>
  </si>
  <si>
    <t>icon_510201</t>
  </si>
  <si>
    <t>双龙戏珠碎片</t>
  </si>
  <si>
    <t>双龙戏珠碎片，可用于球杆的合成、升阶。</t>
  </si>
  <si>
    <t>icon_510221</t>
  </si>
  <si>
    <t>流光宝石碎片</t>
  </si>
  <si>
    <t>流光宝石碎片，可用于球杆的合成、升阶。</t>
  </si>
  <si>
    <t>icon_510231</t>
  </si>
  <si>
    <t>枫叶球杆碎片</t>
  </si>
  <si>
    <t>枫叶球杆碎片，可用于球杆的合成、升阶。</t>
  </si>
  <si>
    <t>icon_510241</t>
  </si>
  <si>
    <t>劳动光荣碎片</t>
  </si>
  <si>
    <t>劳动光荣碎片，可用于球杆的合成、升阶。</t>
  </si>
  <si>
    <t>icon_510251</t>
  </si>
  <si>
    <t>楠木球杆碎片</t>
  </si>
  <si>
    <t>楠木球杆碎片，可用于球杆的合成、升阶。</t>
  </si>
  <si>
    <t>icon_510261</t>
  </si>
  <si>
    <t>智慧权杖碎片</t>
  </si>
  <si>
    <t>智慧权杖碎片，可用于球杆的合成、升阶。</t>
  </si>
  <si>
    <t>icon_510271</t>
  </si>
  <si>
    <t>权力之杖碎片</t>
  </si>
  <si>
    <t>权力之杖碎片，可用于球杆的合成、升阶。</t>
  </si>
  <si>
    <t>icon_510281</t>
  </si>
  <si>
    <t>橡木球杆碎片</t>
  </si>
  <si>
    <t>橡木球杆碎片，可用于球杆的合成、升阶。</t>
  </si>
  <si>
    <t>icon_510291</t>
  </si>
  <si>
    <t>方天画戟碎片</t>
  </si>
  <si>
    <t>青龙偃月碎片</t>
  </si>
  <si>
    <t>法老权杖碎片</t>
  </si>
  <si>
    <t>龙胆亮银碎片</t>
  </si>
  <si>
    <t>哪吒碎片</t>
  </si>
  <si>
    <t>DBA星耀碎片</t>
  </si>
  <si>
    <t>DBA悟道碎片</t>
  </si>
  <si>
    <t>丈八蛇矛碎片</t>
  </si>
  <si>
    <t>南瓜头碎片</t>
  </si>
  <si>
    <t>甜心宝贝碎片</t>
  </si>
  <si>
    <t>乌木球杆碎片</t>
  </si>
  <si>
    <t>玉如意碎片</t>
  </si>
  <si>
    <t>枫叶团扇碎片</t>
  </si>
  <si>
    <t>白色死神碎片</t>
  </si>
  <si>
    <t>虎头虎脑碎片</t>
  </si>
  <si>
    <t>绿茵驰骋碎片</t>
  </si>
  <si>
    <t>龙凤呈祥碎片</t>
  </si>
  <si>
    <t>鸿运萝卜碎片</t>
  </si>
  <si>
    <t>上上签碎片</t>
  </si>
  <si>
    <t>吉运锦鲤碎片</t>
  </si>
  <si>
    <t>黄金闪耀碎片</t>
  </si>
  <si>
    <t>真爱花束碎片</t>
  </si>
  <si>
    <t>至尊皇权碎片</t>
  </si>
  <si>
    <t>梦幻校园碎片</t>
  </si>
  <si>
    <t>弧电枪碎片</t>
  </si>
  <si>
    <t>核心驱动碎片</t>
  </si>
  <si>
    <t>愿者上钩碎片</t>
  </si>
  <si>
    <t>桃之夭夭碎片</t>
  </si>
  <si>
    <t>神圣羽杖碎片</t>
  </si>
  <si>
    <t>蓝梦月泪碎片</t>
  </si>
  <si>
    <t>祥瑞之星碎片</t>
  </si>
  <si>
    <t>icon_510971</t>
  </si>
  <si>
    <t>樱韵霜芒碎片</t>
  </si>
  <si>
    <t>icon_510981</t>
  </si>
  <si>
    <t>翠竹清韵碎片</t>
  </si>
  <si>
    <t>icon_510991</t>
  </si>
  <si>
    <t>墨韵留香碎片</t>
  </si>
  <si>
    <t>icon_511001</t>
  </si>
  <si>
    <t>海洋之心碎片</t>
  </si>
  <si>
    <t>icon_511011</t>
  </si>
  <si>
    <t>笔落春秋碎片</t>
  </si>
  <si>
    <t>icon_511021</t>
  </si>
  <si>
    <t>冰源风暴碎片</t>
  </si>
  <si>
    <t>icon_511031</t>
  </si>
  <si>
    <t>凤羽流霞碎片</t>
  </si>
  <si>
    <t>碧绿翡翠碎片</t>
  </si>
  <si>
    <t>icon_511051</t>
  </si>
  <si>
    <t>守护之刃碎片</t>
  </si>
  <si>
    <t>金色权杖碎片</t>
  </si>
  <si>
    <t>澄心定意碎片</t>
  </si>
  <si>
    <t>术士权杖碎片</t>
  </si>
  <si>
    <t>惩戒之刃碎片</t>
  </si>
  <si>
    <t>川流之径碎片</t>
  </si>
  <si>
    <t>秩序之矛碎片</t>
  </si>
  <si>
    <t>部落图腾碎片</t>
  </si>
  <si>
    <t>蒸汽核心碎片</t>
  </si>
  <si>
    <t>箬竹翠韵碎片</t>
  </si>
  <si>
    <t>黛玉龙骧碎片</t>
  </si>
  <si>
    <t>古风球杆2碎片</t>
  </si>
  <si>
    <t>雅典娜球杆碎片</t>
  </si>
  <si>
    <t>海王三叉戟碎片</t>
  </si>
  <si>
    <t>白羊座碎片</t>
  </si>
  <si>
    <t>金牛座碎片</t>
  </si>
  <si>
    <t>双子座碎片</t>
  </si>
  <si>
    <t>巨蟹座碎片</t>
  </si>
  <si>
    <t>狮子座碎片</t>
  </si>
  <si>
    <t>处女座碎片</t>
  </si>
  <si>
    <t>天秤座碎片</t>
  </si>
  <si>
    <t>天蝎座碎片</t>
  </si>
  <si>
    <t>射手座碎片</t>
  </si>
  <si>
    <t>魔羯座碎片</t>
  </si>
  <si>
    <t>水瓶座碎片</t>
  </si>
  <si>
    <t>双鱼座碎片</t>
  </si>
  <si>
    <t>如意金箍棒碎片</t>
  </si>
  <si>
    <t>圣光祈福碎片</t>
  </si>
  <si>
    <t>炽热阳炎碎片</t>
  </si>
  <si>
    <t>茱影浮翠碎片</t>
  </si>
  <si>
    <t>敦煌琴音碎片</t>
  </si>
  <si>
    <t>箜篌踏歌碎片</t>
  </si>
  <si>
    <t>幻影萧萧碎片</t>
  </si>
  <si>
    <t>孔翠鸣筝碎片</t>
  </si>
  <si>
    <t>梦幻琴海碎片</t>
  </si>
  <si>
    <t>山雨箭来碎片</t>
  </si>
  <si>
    <t>剑影飒沓碎片</t>
  </si>
  <si>
    <t>花飞鹤舞碎片</t>
  </si>
  <si>
    <t>紫青宝剑碎片</t>
  </si>
  <si>
    <t>张灯结彩碎片</t>
  </si>
  <si>
    <t>经典衬衫碎片</t>
  </si>
  <si>
    <t>服装碎片，收集50个可合成服饰-经典衬衫。</t>
  </si>
  <si>
    <t>服装碎片，收集50个可合成服饰-街头潮牌。</t>
  </si>
  <si>
    <t>夏日派对碎片</t>
  </si>
  <si>
    <t>服装碎片，收集100个可合成服饰-夏日海滩。</t>
  </si>
  <si>
    <t>牛仔很忙碎片</t>
  </si>
  <si>
    <t>服装碎片，收集100个可合成服饰-牛仔很忙。</t>
  </si>
  <si>
    <t>超级巨星碎片</t>
  </si>
  <si>
    <t>服装碎片，收集100个可合成服饰-超级巨星。</t>
  </si>
  <si>
    <t>黑色礼服碎片</t>
  </si>
  <si>
    <t>服装碎片，收集100个可合成服饰-黑色礼服。</t>
  </si>
  <si>
    <t>虎啸风生碎片</t>
  </si>
  <si>
    <t>服装碎片，收集100个可合成服饰-虎啸风生。</t>
  </si>
  <si>
    <t>关羽角色碎片</t>
  </si>
  <si>
    <t>角色碎片，收集3000个可合成角色-关羽</t>
  </si>
  <si>
    <t>关银屏角色碎片</t>
  </si>
  <si>
    <t>角色碎片，收集3000个可合成角色-关银屏</t>
  </si>
  <si>
    <t>靛蓝球桌碎片</t>
  </si>
  <si>
    <t>球桌碎片，收集50个可合成球桌-靛蓝球桌。</t>
  </si>
  <si>
    <t>黛绿球桌碎片</t>
  </si>
  <si>
    <t>球桌碎片，收集50个可合成球桌-黛绿球桌。</t>
  </si>
  <si>
    <t>暗红球桌碎片</t>
  </si>
  <si>
    <t>球桌碎片，收集50个可合成球桌-暗红球桌。</t>
  </si>
  <si>
    <t>鹅黄球桌碎片</t>
  </si>
  <si>
    <t>球桌碎片，收集50个可合成球桌-鹅黄球桌。</t>
  </si>
  <si>
    <t>炫紫球桌碎片</t>
  </si>
  <si>
    <t>球桌碎片，收集50个可合成球桌-炫紫球桌。</t>
  </si>
  <si>
    <t>西瓜球桌碎片</t>
  </si>
  <si>
    <t>球桌碎片，收集50个可合成球桌-西瓜球桌。</t>
  </si>
  <si>
    <t>黑金科技碎片</t>
  </si>
  <si>
    <t>球桌碎片，收集100个可合成球桌-黑金科技。</t>
  </si>
  <si>
    <t>水晶之恋碎片</t>
  </si>
  <si>
    <t>球桌碎片，收集50个可合成球桌-水晶之恋。</t>
  </si>
  <si>
    <t>动力驱动碎片</t>
  </si>
  <si>
    <t>球桌碎片，收集100个可合成球桌-动力驱动。</t>
  </si>
  <si>
    <t>繁星点点碎片</t>
  </si>
  <si>
    <t>球桌碎片，收集100个可合成球桌-繁星点点。</t>
  </si>
  <si>
    <t>机械齿轮碎片</t>
  </si>
  <si>
    <t>球桌碎片，收集100个可合成球桌-机械齿轮。</t>
  </si>
  <si>
    <t>球桌碎片，收集100个可合成球桌-喵星物语。</t>
  </si>
  <si>
    <t>玛雅文明碎片</t>
  </si>
  <si>
    <t>球桌碎片，收集100个可合成球桌-玛雅文明。</t>
  </si>
  <si>
    <t>球桌碎片，收集100个可合成球桌-国色天香。</t>
  </si>
  <si>
    <t>棒棒糖碎片</t>
  </si>
  <si>
    <t>球桌碎片，收集100个可合成球桌-棒棒糖。</t>
  </si>
  <si>
    <t>青花瓷碎片</t>
  </si>
  <si>
    <t>球桌碎片，收集100个可合成球桌-青花瓷。</t>
  </si>
  <si>
    <t>骑士之誓碎片</t>
  </si>
  <si>
    <t>球桌碎片，收集100个可合成球桌-骑士之誓。</t>
  </si>
  <si>
    <t>球桌碎片，收集100个可合成球桌-DBA星耀。</t>
  </si>
  <si>
    <t>虎虎生威碎片</t>
  </si>
  <si>
    <t>球桌碎片，收集100个可合成球桌-虎虎生威</t>
  </si>
  <si>
    <t>绿茵足场碎片</t>
  </si>
  <si>
    <t>球桌碎片，收集500个可合成球桌-绿茵足场</t>
  </si>
  <si>
    <t>新春球桌碎片</t>
  </si>
  <si>
    <t>球桌碎片，收集1000个可合成球桌-新春球桌</t>
  </si>
  <si>
    <t>升星木</t>
  </si>
  <si>
    <t>可用于球杆升星。</t>
  </si>
  <si>
    <t>3,28</t>
  </si>
  <si>
    <t>D级升阶木</t>
  </si>
  <si>
    <t>可用于D级球杆进阶为C级球杆。</t>
  </si>
  <si>
    <t>C级升阶木</t>
  </si>
  <si>
    <t>可用于C级球杆进阶为B级球杆。</t>
  </si>
  <si>
    <t>B级升阶木</t>
  </si>
  <si>
    <t>可用于B级球杆进阶为A级球杆。</t>
  </si>
  <si>
    <t>A级升阶木</t>
  </si>
  <si>
    <t>可用于A级球杆进阶为S级球杆。</t>
  </si>
  <si>
    <t>S级升阶木</t>
  </si>
  <si>
    <t>可用于S级球杆进阶为SS级球杆。</t>
  </si>
  <si>
    <t>SS级升阶木</t>
  </si>
  <si>
    <t>可用于SS级球杆进阶为SSS级球杆。</t>
  </si>
  <si>
    <t>纯洁白银</t>
  </si>
  <si>
    <t>999钻石档位的伴侣道具</t>
  </si>
  <si>
    <t>icon_720001</t>
  </si>
  <si>
    <t>奢华粉钻</t>
  </si>
  <si>
    <t>1999钻石档位的伴侣道具</t>
  </si>
  <si>
    <t>icon_720003</t>
  </si>
  <si>
    <t>初级熟练卡</t>
  </si>
  <si>
    <t>使用后增加10点球杆点熟练度。</t>
  </si>
  <si>
    <t>强化币礼包(中）</t>
  </si>
  <si>
    <t>打开后获得10个强化币。</t>
  </si>
  <si>
    <t>502</t>
  </si>
  <si>
    <t>强化币礼包(大）</t>
  </si>
  <si>
    <t>打开后获得50个强化币。</t>
  </si>
  <si>
    <t>503</t>
  </si>
  <si>
    <t>初级经验药水</t>
  </si>
  <si>
    <t>使用后增加角色经验100点。</t>
  </si>
  <si>
    <t>中级经验药水</t>
  </si>
  <si>
    <t>使用后增加角色经验1000点。</t>
  </si>
  <si>
    <t>高级经验药水</t>
  </si>
  <si>
    <t>使用后增加角色经验5000点。</t>
  </si>
  <si>
    <t>超级瞄准</t>
  </si>
  <si>
    <t>闯关道具：使用后可使球杆瞄准线无限延长。</t>
  </si>
  <si>
    <t>3,6</t>
  </si>
  <si>
    <t>自由球</t>
  </si>
  <si>
    <t>闯关道具：使用后获得母球自由球。</t>
  </si>
  <si>
    <t>清除障碍</t>
  </si>
  <si>
    <t>闯关道具：使用后可清除任意一颗非目标球。</t>
  </si>
  <si>
    <t>回转</t>
  </si>
  <si>
    <t>闯关道具：使用后可回退到上一杆击球。</t>
  </si>
  <si>
    <t>加强旋转</t>
  </si>
  <si>
    <t>对局道具：使用后将加强下次击球旋转加塞。</t>
  </si>
  <si>
    <t>3,2</t>
  </si>
  <si>
    <t>加强力度</t>
  </si>
  <si>
    <t>对局道具：使用后将加强下次击球力度。</t>
  </si>
  <si>
    <t>延长瞄准线</t>
  </si>
  <si>
    <t>对局道具：使用后将加强下次击球瞄准线。</t>
  </si>
  <si>
    <t>性别切换卡</t>
  </si>
  <si>
    <t>可用于切换角色性别</t>
  </si>
  <si>
    <t>改名卡</t>
  </si>
  <si>
    <t>可用于修改游戏昵称。</t>
  </si>
  <si>
    <t>3胜经验卡</t>
  </si>
  <si>
    <t>使用后，接下来的&lt;color=#fff442&gt;3&lt;/color&gt;场对局胜利时可额外获得&lt;color=#fff442&gt;200&lt;/color&gt;点经验。</t>
  </si>
  <si>
    <t>3,200</t>
  </si>
  <si>
    <t>10胜经验卡</t>
  </si>
  <si>
    <t>使用后，接下来的&lt;color=#fff442&gt;10&lt;/color&gt;场对局胜利时可额外获得&lt;color=#fff442&gt;200&lt;/color&gt;点经验。</t>
  </si>
  <si>
    <t>10,200</t>
  </si>
  <si>
    <t>3胜金币卡</t>
  </si>
  <si>
    <t>使用后，接下来的&lt;color=#fff442&gt;3&lt;/color&gt;场对局胜利时可额外获得&lt;color=#fff442&gt;1000&lt;/color&gt;点金币。</t>
  </si>
  <si>
    <t>3,1000</t>
  </si>
  <si>
    <t>10胜金币卡</t>
  </si>
  <si>
    <t>使用后，接下来的&lt;color=#fff442&gt;10&lt;/color&gt;场对局胜利时可额外获得&lt;color=#fff442&gt;1000&lt;/color&gt;点金币。</t>
  </si>
  <si>
    <t>10,1000</t>
  </si>
  <si>
    <t>暴力开球</t>
  </si>
  <si>
    <t>对局道具：使用后将大大加强开球力度和加塞属性</t>
  </si>
  <si>
    <t>icon_700020</t>
  </si>
  <si>
    <t>逆天改命</t>
  </si>
  <si>
    <t>对局道具：使用后重置刷新倍率圈的位置（仅限血流模式使用）</t>
  </si>
  <si>
    <t>3,67</t>
  </si>
  <si>
    <t>icon_700021</t>
  </si>
  <si>
    <t>超级瞄准低级</t>
  </si>
  <si>
    <t>对局道具：使用后获得一回合的超长瞄准线</t>
  </si>
  <si>
    <t>icon_700022</t>
  </si>
  <si>
    <t>超级瞄准中级</t>
  </si>
  <si>
    <t>超级瞄准高级</t>
  </si>
  <si>
    <t>超级瞄准大师</t>
  </si>
  <si>
    <t>超级瞄准allin</t>
  </si>
  <si>
    <t>中秋月饼</t>
  </si>
  <si>
    <t>活动期间收集中秋月饼，兑换SS满星球杆&lt;color=#fff442&gt;国色天香&lt;/color&gt;体验卡。</t>
  </si>
  <si>
    <t>3,49</t>
  </si>
  <si>
    <t>icon_710001</t>
  </si>
  <si>
    <t>抽奖券</t>
  </si>
  <si>
    <t>免费宝箱抽奖券，可抽奖1次。</t>
  </si>
  <si>
    <t>3,73</t>
  </si>
  <si>
    <t>icon_730001</t>
  </si>
  <si>
    <t>默认头像</t>
  </si>
  <si>
    <t>初始默认的头像</t>
  </si>
  <si>
    <t>初始角色女</t>
  </si>
  <si>
    <t>初始女角色的头像</t>
  </si>
  <si>
    <t>初始角色男</t>
  </si>
  <si>
    <t>初始男角色的头像</t>
  </si>
  <si>
    <t>魅力女郎</t>
  </si>
  <si>
    <t>高端玩家</t>
  </si>
  <si>
    <t>青春活力女</t>
  </si>
  <si>
    <t>青春活力男</t>
  </si>
  <si>
    <t>街头潮牌女</t>
  </si>
  <si>
    <t>街头潮牌女的头像</t>
  </si>
  <si>
    <t>街头潮牌男</t>
  </si>
  <si>
    <t>街头潮牌男的头像</t>
  </si>
  <si>
    <t>自定义头像</t>
  </si>
  <si>
    <t>icon_800009</t>
  </si>
  <si>
    <t>QQ头像</t>
  </si>
  <si>
    <t>微信头像</t>
  </si>
  <si>
    <t>王孟南头像</t>
  </si>
  <si>
    <t>王孟南专属头像</t>
  </si>
  <si>
    <t>icon_800012</t>
  </si>
  <si>
    <t>关羽头像</t>
  </si>
  <si>
    <t>icon_800013</t>
  </si>
  <si>
    <t>关银屏头像</t>
  </si>
  <si>
    <t>icon_800014</t>
  </si>
  <si>
    <t>足球王者头像</t>
  </si>
  <si>
    <t>我是足球界的王者，谁不服？</t>
  </si>
  <si>
    <t>icon_800015</t>
  </si>
  <si>
    <t>圣诞头像男</t>
  </si>
  <si>
    <t>圣诞男角色的头像</t>
  </si>
  <si>
    <t>icon_800016</t>
  </si>
  <si>
    <t>圣诞头像女</t>
  </si>
  <si>
    <t>圣诞女角色的头像</t>
  </si>
  <si>
    <t>icon_800017</t>
  </si>
  <si>
    <t>兔年头像女</t>
  </si>
  <si>
    <t>兔年女角色的头像</t>
  </si>
  <si>
    <t>兔年头像男</t>
  </si>
  <si>
    <t>兔年男角色的头像</t>
  </si>
  <si>
    <t>情缘头像男</t>
  </si>
  <si>
    <t>情缘男角色的头像</t>
  </si>
  <si>
    <t>情缘头像女</t>
  </si>
  <si>
    <t>情缘女角色的头像</t>
  </si>
  <si>
    <t>校园头像男</t>
  </si>
  <si>
    <t>校园男角色的头像</t>
  </si>
  <si>
    <t>校园头像女</t>
  </si>
  <si>
    <t>校园女角色的头像</t>
  </si>
  <si>
    <t>蒸汽头像男</t>
  </si>
  <si>
    <t>蒸汽秩序男角色的头像</t>
  </si>
  <si>
    <t>蒸汽头像女</t>
  </si>
  <si>
    <t>蒸汽秩序女角色的头像</t>
  </si>
  <si>
    <t>巅峰对决头像</t>
  </si>
  <si>
    <t>icon_800027</t>
  </si>
  <si>
    <t>icon_800028</t>
  </si>
  <si>
    <t>齐天大圣男</t>
  </si>
  <si>
    <t>寻梦西游男角色的头像</t>
  </si>
  <si>
    <t>icon_800029</t>
  </si>
  <si>
    <t>icon_800030</t>
  </si>
  <si>
    <t>寻梦西游女角色的头像</t>
  </si>
  <si>
    <t>icon_800031</t>
  </si>
  <si>
    <t>icon_800032</t>
  </si>
  <si>
    <t>icon_800033</t>
  </si>
  <si>
    <t>初始头像框</t>
  </si>
  <si>
    <t>等级达人</t>
  </si>
  <si>
    <t>30级头像框</t>
  </si>
  <si>
    <t>台球王者V1</t>
  </si>
  <si>
    <t>台球王者V2</t>
  </si>
  <si>
    <t>台球王者V3</t>
  </si>
  <si>
    <t>台球王者V4</t>
  </si>
  <si>
    <t>台球王者V5</t>
  </si>
  <si>
    <t>台球王者V6</t>
  </si>
  <si>
    <t>台球王者V7</t>
  </si>
  <si>
    <t>台球王者V8</t>
  </si>
  <si>
    <t>新手头像框</t>
  </si>
  <si>
    <t>成就大师头像框，成就达成&lt;color=#fff442&gt;20&lt;/color&gt;级可获得。</t>
  </si>
  <si>
    <t>梅花头像框</t>
  </si>
  <si>
    <t>消耗达人</t>
  </si>
  <si>
    <t>盈利高手</t>
  </si>
  <si>
    <t>潮牌头像框</t>
  </si>
  <si>
    <t>街头潮牌头像框</t>
  </si>
  <si>
    <t>8球大师</t>
  </si>
  <si>
    <t>8球大师头像框</t>
  </si>
  <si>
    <t>8球传奇</t>
  </si>
  <si>
    <t>8球传奇头像框</t>
  </si>
  <si>
    <t>中秋佳节</t>
  </si>
  <si>
    <t>中秋佳节头像框</t>
  </si>
  <si>
    <t>俱乐部金头像框</t>
  </si>
  <si>
    <t>俱乐部金色头像框</t>
  </si>
  <si>
    <t>俱乐部银头像框</t>
  </si>
  <si>
    <t>俱乐部银色头像框</t>
  </si>
  <si>
    <t>俱乐部铜头像框</t>
  </si>
  <si>
    <t>俱乐部铜色头像框</t>
  </si>
  <si>
    <t>电视头像框</t>
  </si>
  <si>
    <t>S1联赛冠军俱乐部</t>
  </si>
  <si>
    <t>S1联赛冠军俱乐部头像框</t>
  </si>
  <si>
    <t>icon_810023</t>
  </si>
  <si>
    <t>S2联赛冠军俱乐部</t>
  </si>
  <si>
    <t>S2联赛冠军俱乐部头像框</t>
  </si>
  <si>
    <t>icon_810024</t>
  </si>
  <si>
    <t>S3联赛冠军俱乐部</t>
  </si>
  <si>
    <t>S3联赛冠军俱乐部头像框</t>
  </si>
  <si>
    <t>icon_810025</t>
  </si>
  <si>
    <t>S4联赛冠军俱乐部</t>
  </si>
  <si>
    <t>S4联赛冠军俱乐部头像框</t>
  </si>
  <si>
    <t>icon_810026</t>
  </si>
  <si>
    <t>S5联赛冠军俱乐部</t>
  </si>
  <si>
    <t>S5联赛冠军俱乐部头像框</t>
  </si>
  <si>
    <t>icon_810027</t>
  </si>
  <si>
    <t>王孟南头像框</t>
  </si>
  <si>
    <t>王孟南专属头像框</t>
  </si>
  <si>
    <t>墩墩头像框</t>
  </si>
  <si>
    <t>墩墩头像框，魅力评分10000</t>
  </si>
  <si>
    <t>貔貅携福头像框</t>
  </si>
  <si>
    <t>貔貅携福头像框，魅力评分10000</t>
  </si>
  <si>
    <t>初级主播头像框</t>
  </si>
  <si>
    <t>初级主播专属头像框</t>
  </si>
  <si>
    <t>高级主播头像框</t>
  </si>
  <si>
    <t>高级主播专属头像框</t>
  </si>
  <si>
    <t>球圣头像框</t>
  </si>
  <si>
    <t>段位达到球圣时，获得此头像框</t>
  </si>
  <si>
    <t>球仙头像框</t>
  </si>
  <si>
    <t>段位达到球仙时，获得此头像框</t>
  </si>
  <si>
    <t>球神头像框</t>
  </si>
  <si>
    <t>段位达到球神时，获得此头像框</t>
  </si>
  <si>
    <t>琥珀之翼头像框</t>
  </si>
  <si>
    <t>璀璨之翼头像框</t>
  </si>
  <si>
    <t>梦境花园头像框</t>
  </si>
  <si>
    <t>icon_810039</t>
  </si>
  <si>
    <t>海滩假日头像框</t>
  </si>
  <si>
    <t>熊熊头像框</t>
  </si>
  <si>
    <t>icon_810041</t>
  </si>
  <si>
    <t>绿茵头像框</t>
  </si>
  <si>
    <t>青玉头像框</t>
  </si>
  <si>
    <t>icon_810043</t>
  </si>
  <si>
    <t>梦幻乐园头像框</t>
  </si>
  <si>
    <t>icon_810044</t>
  </si>
  <si>
    <t>雨过天晴头像框</t>
  </si>
  <si>
    <t>冰天雪地头像框</t>
  </si>
  <si>
    <t>灯夜头像框</t>
  </si>
  <si>
    <t>铃儿叮当头像框</t>
  </si>
  <si>
    <t>兔迎百福头像框</t>
  </si>
  <si>
    <t>浪漫情缘头像框</t>
  </si>
  <si>
    <t>icon_810050</t>
  </si>
  <si>
    <t>龙凤呈祥头像框</t>
  </si>
  <si>
    <t>闪耀之翼头像框</t>
  </si>
  <si>
    <t>至尊头像框</t>
  </si>
  <si>
    <t>学院纪念头像框</t>
  </si>
  <si>
    <t>创造荣光头像框</t>
  </si>
  <si>
    <t>机械先锋头像框</t>
  </si>
  <si>
    <t>蒸汽秩序头像框</t>
  </si>
  <si>
    <t>龙舟头像框</t>
  </si>
  <si>
    <t>古风1</t>
  </si>
  <si>
    <t>财运亨通头像框</t>
  </si>
  <si>
    <t>桂花浮玉头像框</t>
  </si>
  <si>
    <t>菊香酒韵头像框</t>
  </si>
  <si>
    <t>深海秘境头像框</t>
  </si>
  <si>
    <t>深海秘境头像框，海洋之心球杆配套</t>
  </si>
  <si>
    <t>枪械雷鸣头像框</t>
  </si>
  <si>
    <t>枪械雷鸣头像框，弧电枪球杆配套</t>
  </si>
  <si>
    <t>冰霜寒玉头像框</t>
  </si>
  <si>
    <t>冰霜寒玉头像框，冰源风暴球杆配套</t>
  </si>
  <si>
    <t>山色空蒙头像框</t>
  </si>
  <si>
    <t>山雨箭来专属头像框</t>
  </si>
  <si>
    <t>剑影绝尘头像框</t>
  </si>
  <si>
    <t>剑影飒沓专属头像框</t>
  </si>
  <si>
    <t>花香鹤影头像框</t>
  </si>
  <si>
    <t>花飞鹤舞专属头像框</t>
  </si>
  <si>
    <t>权杖之谜头像框</t>
  </si>
  <si>
    <t>金色权杖专属头像框</t>
  </si>
  <si>
    <t>花色幻影头像框</t>
  </si>
  <si>
    <t>秩序之矛专属头像框</t>
  </si>
  <si>
    <t>落霞余晖头像框</t>
  </si>
  <si>
    <t>凤羽流霞专属头像框</t>
  </si>
  <si>
    <t>炽热之源头像框</t>
  </si>
  <si>
    <t>炽热阳炎专属头像框</t>
  </si>
  <si>
    <t>欢庆元旦头像框</t>
  </si>
  <si>
    <t>2024元旦专属头像框</t>
  </si>
  <si>
    <t>潘小婷</t>
  </si>
  <si>
    <t>潘小婷头像</t>
  </si>
  <si>
    <t>丁小辉</t>
  </si>
  <si>
    <t>丁小辉头像</t>
  </si>
  <si>
    <t>史蒂芬</t>
  </si>
  <si>
    <t>史蒂芬头像</t>
  </si>
  <si>
    <t>马克</t>
  </si>
  <si>
    <t>马克头像</t>
  </si>
  <si>
    <t>杰克</t>
  </si>
  <si>
    <t>杰克头像</t>
  </si>
  <si>
    <t>颜小韬</t>
  </si>
  <si>
    <t>傅小俊</t>
  </si>
  <si>
    <t>傅小俊头像</t>
  </si>
  <si>
    <t>梁小博</t>
  </si>
  <si>
    <t>梁小博头像</t>
  </si>
  <si>
    <t>史蒂夫</t>
  </si>
  <si>
    <t>史蒂夫头像</t>
  </si>
  <si>
    <t>车小兰</t>
  </si>
  <si>
    <t>车小兰头像</t>
  </si>
  <si>
    <t>詹姆斯</t>
  </si>
  <si>
    <t>詹姆斯头像</t>
  </si>
  <si>
    <t>罗小逊</t>
  </si>
  <si>
    <t>罗小逊头像</t>
  </si>
  <si>
    <t>希小斯</t>
  </si>
  <si>
    <t>希小斯头像</t>
  </si>
  <si>
    <t>鲨鱼利文</t>
  </si>
  <si>
    <t>鲨鱼利文头像</t>
  </si>
  <si>
    <t>洋哥</t>
  </si>
  <si>
    <t>洋哥头像</t>
  </si>
  <si>
    <t>icon_800004</t>
  </si>
  <si>
    <t>大卫</t>
  </si>
  <si>
    <t>大卫头像</t>
  </si>
  <si>
    <t>icon_800006</t>
  </si>
  <si>
    <t>玛蒂</t>
  </si>
  <si>
    <t>玛蒂头像</t>
  </si>
  <si>
    <t>icon_800003</t>
  </si>
  <si>
    <t>林小雨</t>
  </si>
  <si>
    <t>林小雨头像</t>
  </si>
  <si>
    <t>icon_800005</t>
  </si>
  <si>
    <t>局内聊天-文字</t>
  </si>
  <si>
    <t>好球</t>
  </si>
  <si>
    <t>来啊！</t>
  </si>
  <si>
    <t>谢谢</t>
  </si>
  <si>
    <t>让你一杆</t>
  </si>
  <si>
    <t>唉，一杆清台没了</t>
  </si>
  <si>
    <t>结束别走，再战一局！</t>
  </si>
  <si>
    <t>投降吧，我准备清台了！</t>
  </si>
  <si>
    <t>你好</t>
  </si>
  <si>
    <t>加个好友吧！</t>
  </si>
  <si>
    <t>有本事添彩赢回来啊！</t>
  </si>
  <si>
    <t>敢不敢让我碰下球！</t>
  </si>
  <si>
    <t>拜拜再见！</t>
  </si>
  <si>
    <t>看来我得把脚放下来，用手打了</t>
  </si>
  <si>
    <t>别走啊，再搞两局</t>
  </si>
  <si>
    <t>靓仔，给次机会吧</t>
  </si>
  <si>
    <t>靓仔，别灰心啊，你可以的</t>
  </si>
  <si>
    <t>故意失误，人情世故</t>
  </si>
  <si>
    <t>你尽管大力，剩下的交给奇迹</t>
  </si>
  <si>
    <t>基操基操，勿6</t>
  </si>
  <si>
    <t>大笑</t>
  </si>
  <si>
    <t>想起了开心的事情~</t>
  </si>
  <si>
    <t>bq_smile</t>
  </si>
  <si>
    <t>呵呵呵</t>
  </si>
  <si>
    <t>不怀好意的笑了起来</t>
  </si>
  <si>
    <t>bq_qie</t>
  </si>
  <si>
    <t>发怒</t>
  </si>
  <si>
    <t>信不信我把你桌子掀了</t>
  </si>
  <si>
    <t>bq_angry</t>
  </si>
  <si>
    <t>求求了</t>
  </si>
  <si>
    <t>打不进…打不进…打不进</t>
  </si>
  <si>
    <t>bq_shao</t>
  </si>
  <si>
    <t>哭泣</t>
  </si>
  <si>
    <t>呜呜呜呜呜，让让我吧</t>
  </si>
  <si>
    <t>bq_cry</t>
  </si>
  <si>
    <t>耍帅</t>
  </si>
  <si>
    <t>不要迷恋哥，哥只是个传说</t>
  </si>
  <si>
    <t>bq_cool</t>
  </si>
  <si>
    <t>嘻嘻</t>
  </si>
  <si>
    <t>嘻嘻嘻嘻嘻~</t>
  </si>
  <si>
    <t>bq_daxiao</t>
  </si>
  <si>
    <t>点赞</t>
  </si>
  <si>
    <t>哎呦，打的真棒啊</t>
  </si>
  <si>
    <t>挥手</t>
  </si>
  <si>
    <t>拜拜啦，下次见~</t>
  </si>
  <si>
    <t>bq_huishou</t>
  </si>
  <si>
    <t>握个手</t>
  </si>
  <si>
    <t>朋友一生一起走~</t>
  </si>
  <si>
    <t>bq_shakehand</t>
  </si>
  <si>
    <t>流汗</t>
  </si>
  <si>
    <t>汗流浃背~</t>
  </si>
  <si>
    <t>bq_liuhan</t>
  </si>
  <si>
    <t>捂脸笑</t>
  </si>
  <si>
    <t>捂脸之后放声大笑，哈哈哈~</t>
  </si>
  <si>
    <t>bq_wulianxiao</t>
  </si>
  <si>
    <t>烟花</t>
  </si>
  <si>
    <t>一起放烟花咯~</t>
  </si>
  <si>
    <t>bq_yanhua</t>
  </si>
  <si>
    <t>哈哈大笑</t>
  </si>
  <si>
    <t>哈哈哈~</t>
  </si>
  <si>
    <t>bq_happy</t>
  </si>
  <si>
    <t>生气</t>
  </si>
  <si>
    <t>我要生气了，哼！</t>
  </si>
  <si>
    <t>bq_indignant</t>
  </si>
  <si>
    <t>大哭</t>
  </si>
  <si>
    <t>呜呜呜~</t>
  </si>
  <si>
    <t>bq_sad</t>
  </si>
  <si>
    <t>敲打</t>
  </si>
  <si>
    <t>打你！</t>
  </si>
  <si>
    <t>bq_hit</t>
  </si>
  <si>
    <t>疑惑</t>
  </si>
  <si>
    <t>打个问号？</t>
  </si>
  <si>
    <t>bq_query</t>
  </si>
  <si>
    <t>卖萌</t>
  </si>
  <si>
    <t>看我这么可爱的份上嘛~</t>
  </si>
  <si>
    <t>bq_lovable</t>
  </si>
  <si>
    <t>比心</t>
  </si>
  <si>
    <t>爱你哦~</t>
  </si>
  <si>
    <t>bq_love</t>
  </si>
  <si>
    <t>闪亮登场</t>
  </si>
  <si>
    <t>聚光灯打向我！</t>
  </si>
  <si>
    <t>bq_come</t>
  </si>
  <si>
    <t>玫瑰花</t>
  </si>
  <si>
    <t>送你一束爱心玫瑰~</t>
  </si>
  <si>
    <t>act_bq_rose</t>
  </si>
  <si>
    <t>丢个番茄</t>
  </si>
  <si>
    <t>老许要番茄不要?</t>
  </si>
  <si>
    <t>act_bq_tomato</t>
  </si>
  <si>
    <t>丢个炸弹</t>
  </si>
  <si>
    <t>二营长，把我的意大利炮推上来</t>
  </si>
  <si>
    <t>act_bq_boom</t>
  </si>
  <si>
    <t>丢个鸡蛋</t>
  </si>
  <si>
    <t>新鲜土鸡蛋，给你尝尝鲜</t>
  </si>
  <si>
    <t>act_bq_egg</t>
  </si>
  <si>
    <t>智商捉鸡</t>
  </si>
  <si>
    <t>哎呀，你真的是智商捉急啊</t>
  </si>
  <si>
    <t>act_bq_chicken</t>
  </si>
  <si>
    <t>平底锅</t>
  </si>
  <si>
    <t>反手就是一平底锅</t>
  </si>
  <si>
    <t>act_bq_pan</t>
  </si>
  <si>
    <t>足球射门</t>
  </si>
  <si>
    <t>我只是足球的搬运工</t>
  </si>
  <si>
    <t>act_bq_football</t>
  </si>
  <si>
    <t>扔雪球</t>
  </si>
  <si>
    <t>一起愉快的打雪仗吧</t>
  </si>
  <si>
    <t>act_bq_snowball</t>
  </si>
  <si>
    <t>放鞭炮</t>
  </si>
  <si>
    <t>啪！新年快乐哦</t>
  </si>
  <si>
    <t>act_bq_banger</t>
  </si>
  <si>
    <t>劳动星星</t>
  </si>
  <si>
    <t>局内魔法表情：劳动星星，光荣劳动</t>
  </si>
  <si>
    <t>act_bq_star</t>
  </si>
  <si>
    <t>激昂龙舟</t>
  </si>
  <si>
    <t>局内魔法表情：乘风破浪，独占鳌头</t>
  </si>
  <si>
    <t>act_bq_dragon</t>
  </si>
  <si>
    <t>团圆月饼</t>
  </si>
  <si>
    <t>局内魔法表情：秋意渐浓，共庆佳节</t>
  </si>
  <si>
    <t>act_bq_mid-autumn</t>
  </si>
  <si>
    <t>柿柿如意</t>
  </si>
  <si>
    <t>局内魔法表情：九九重阳，收获满满</t>
  </si>
  <si>
    <t>act_bq_chongyang</t>
  </si>
  <si>
    <t>庆祝</t>
  </si>
  <si>
    <t>局内魔法表情：新年伊始，喜乐常随</t>
  </si>
  <si>
    <t>act_bq_New_Year</t>
  </si>
  <si>
    <t>十连玫瑰</t>
  </si>
  <si>
    <t>没有什么是一束玫瑰不能解决的，一束不行就十束</t>
  </si>
  <si>
    <t>十连番茄</t>
  </si>
  <si>
    <t>看我的番茄十连击</t>
  </si>
  <si>
    <t>十连炸弹</t>
  </si>
  <si>
    <t>开炮、开炮、开炮</t>
  </si>
  <si>
    <t>十连鸡蛋</t>
  </si>
  <si>
    <t>十连捉鸡</t>
  </si>
  <si>
    <t>十连拍锅</t>
  </si>
  <si>
    <t>反手就是10个平底锅</t>
  </si>
  <si>
    <t>十连射门</t>
  </si>
  <si>
    <t>我只是搬运了十次足球到你面前</t>
  </si>
  <si>
    <t>十连雪球</t>
  </si>
  <si>
    <t>一起疯狂的打雪仗吧</t>
  </si>
  <si>
    <t>十连鞭炮</t>
  </si>
  <si>
    <t>劈里啪啦！热热闹闹迎新春</t>
  </si>
  <si>
    <t>十连星星</t>
  </si>
  <si>
    <t>十连龙舟</t>
  </si>
  <si>
    <t>十连月饼</t>
  </si>
  <si>
    <t>十连柿子</t>
  </si>
  <si>
    <t>十连庆祝</t>
  </si>
  <si>
    <t>默认气泡</t>
  </si>
  <si>
    <t>经典默认气泡</t>
  </si>
  <si>
    <t>icon_870001</t>
  </si>
  <si>
    <t>#FFFFFF</t>
  </si>
  <si>
    <t>台球王者</t>
  </si>
  <si>
    <t>快来一起打球吧</t>
  </si>
  <si>
    <t>#63320E</t>
  </si>
  <si>
    <t>萌宠猫爪主题限定气泡</t>
  </si>
  <si>
    <t>#BA6564</t>
  </si>
  <si>
    <t>大鱼海棠</t>
  </si>
  <si>
    <t>大鱼逍遥游，海棠遍地开</t>
  </si>
  <si>
    <t>#234366</t>
  </si>
  <si>
    <t>如鱼得水主题球杆限定气泡</t>
  </si>
  <si>
    <t>年年有余</t>
  </si>
  <si>
    <t>你见过红鲤鱼吗</t>
  </si>
  <si>
    <t>#662823</t>
  </si>
  <si>
    <t>西瓜</t>
  </si>
  <si>
    <t>西瓜主题限制气泡</t>
  </si>
  <si>
    <t>小恶魔</t>
  </si>
  <si>
    <t>小心被我吓着呦</t>
  </si>
  <si>
    <t>好好学习</t>
  </si>
  <si>
    <t>好好学习，天天向上</t>
  </si>
  <si>
    <t>王孟南气泡</t>
  </si>
  <si>
    <t>王孟南专属聊天气泡</t>
  </si>
  <si>
    <t>#a6bdff</t>
  </si>
  <si>
    <t>大喇叭气泡</t>
  </si>
  <si>
    <t>icon_870011</t>
  </si>
  <si>
    <t>小喇叭气泡</t>
  </si>
  <si>
    <t>icon_870012</t>
  </si>
  <si>
    <t>街头涂鸦</t>
  </si>
  <si>
    <t>公共场所，请勿乱涂乱画</t>
  </si>
  <si>
    <t>霓虹闪耀</t>
  </si>
  <si>
    <t>好靓，我的24K···</t>
  </si>
  <si>
    <t>#DAFBFC</t>
  </si>
  <si>
    <t>超级车头</t>
  </si>
  <si>
    <t>哇哦！好快的车头</t>
  </si>
  <si>
    <t>#1D1D30</t>
  </si>
  <si>
    <t>回忆的秋天</t>
  </si>
  <si>
    <t>好想回到那个秋天~</t>
  </si>
  <si>
    <t>荧光屏</t>
  </si>
  <si>
    <t>掌握尖端科技</t>
  </si>
  <si>
    <t>部落格</t>
  </si>
  <si>
    <t>你拍一我拍一，大家都是好盆友</t>
  </si>
  <si>
    <t>绿草如茵</t>
  </si>
  <si>
    <t>想在草地上尽情奔跑</t>
  </si>
  <si>
    <t>#FFFEFD</t>
  </si>
  <si>
    <t>青玉气泡</t>
  </si>
  <si>
    <t>玲珑主题专属气泡</t>
  </si>
  <si>
    <t>icon_870020</t>
  </si>
  <si>
    <t>#0E6362</t>
  </si>
  <si>
    <t>龙凤呈祥气泡</t>
  </si>
  <si>
    <t>新春主题专属气泡</t>
  </si>
  <si>
    <t>#A71412</t>
  </si>
  <si>
    <t>行运气泡</t>
  </si>
  <si>
    <t>新春好运，年年有鱼</t>
  </si>
  <si>
    <t>情意浓浓</t>
  </si>
  <si>
    <t>情缘主题专属气泡</t>
  </si>
  <si>
    <t>icon_870023</t>
  </si>
  <si>
    <t>#630E0E</t>
  </si>
  <si>
    <t>翻飞书卷</t>
  </si>
  <si>
    <t>青涩回忆专属活动气泡</t>
  </si>
  <si>
    <t>icon_870024</t>
  </si>
  <si>
    <t>#BD5B16</t>
  </si>
  <si>
    <t>蒸汽秩序</t>
  </si>
  <si>
    <t>蒸汽秩序专属活动气泡</t>
  </si>
  <si>
    <t>icon_870025</t>
  </si>
  <si>
    <t>#6E4C07</t>
  </si>
  <si>
    <t>一掷千金</t>
  </si>
  <si>
    <t>送礼榜周榜前三专属气泡</t>
  </si>
  <si>
    <t>富甲一方</t>
  </si>
  <si>
    <t>送礼榜总榜前三专属气泡</t>
  </si>
  <si>
    <t>青龙气泡</t>
  </si>
  <si>
    <t>端午节专属活动气泡</t>
  </si>
  <si>
    <t>幻阙长风气泡</t>
  </si>
  <si>
    <t>幻阙长风服饰专属气泡</t>
  </si>
  <si>
    <t>icon_870029</t>
  </si>
  <si>
    <t>#5E33C6</t>
  </si>
  <si>
    <t>icon_870030</t>
  </si>
  <si>
    <t>齐天大圣气泡</t>
  </si>
  <si>
    <t>齐天大圣服饰专属气泡</t>
  </si>
  <si>
    <t>icon_870031</t>
  </si>
  <si>
    <t>#DEB667</t>
  </si>
  <si>
    <t>海洋瑰宝气泡</t>
  </si>
  <si>
    <t>海洋之心主题专属气泡</t>
  </si>
  <si>
    <t>#402CBF</t>
  </si>
  <si>
    <t>正义之鸣气泡</t>
  </si>
  <si>
    <t>枪炮雷鸣主题专属气泡</t>
  </si>
  <si>
    <t>#30346D</t>
  </si>
  <si>
    <t>莹玉冰蓝气泡</t>
  </si>
  <si>
    <t>冰源风暴主题专属气泡</t>
  </si>
  <si>
    <t>#3055A7</t>
  </si>
  <si>
    <t>鹤羽气泡</t>
  </si>
  <si>
    <t>山雨箭来专属气泡</t>
  </si>
  <si>
    <t>剑坠气泡</t>
  </si>
  <si>
    <t>剑影飒沓专属气泡</t>
  </si>
  <si>
    <t>白鹤游花气泡</t>
  </si>
  <si>
    <t>花飞鹤舞专属气泡</t>
  </si>
  <si>
    <t>黄金陶符气泡</t>
  </si>
  <si>
    <t>金色权杖主题专属气泡</t>
  </si>
  <si>
    <t>相思令气泡</t>
  </si>
  <si>
    <t>寻梦奇缘服饰专属气泡</t>
  </si>
  <si>
    <t>icon_870039</t>
  </si>
  <si>
    <t>#E04C4C</t>
  </si>
  <si>
    <t>矛之乐章气泡</t>
  </si>
  <si>
    <t>秩序之矛专属气泡</t>
  </si>
  <si>
    <t>#383F8D</t>
  </si>
  <si>
    <t>飞羽留痕气泡</t>
  </si>
  <si>
    <t>凤羽流霞专属气泡</t>
  </si>
  <si>
    <t>炽翎气泡</t>
  </si>
  <si>
    <t>炽热阳炎专属气泡</t>
  </si>
  <si>
    <t>#F0F0F0</t>
  </si>
  <si>
    <t>icon_870043</t>
  </si>
  <si>
    <t>初始倒计时</t>
  </si>
  <si>
    <t>对局内初始倒计时特效</t>
  </si>
  <si>
    <t>icon_880001</t>
  </si>
  <si>
    <t>冰雪倒计时</t>
  </si>
  <si>
    <t>对局内冰雪倒计时特效，魅力评分21000</t>
  </si>
  <si>
    <t>虎爪倒计时</t>
  </si>
  <si>
    <t>对局内虎爪倒计时特效，魅力评分21000</t>
  </si>
  <si>
    <t>icon_880004</t>
  </si>
  <si>
    <t>icon_880005</t>
  </si>
  <si>
    <t>icon_880006</t>
  </si>
  <si>
    <t>icon_880007</t>
  </si>
  <si>
    <t>青龙倒计时</t>
  </si>
  <si>
    <t>对局内青龙倒计时特效，魅力评分21000</t>
  </si>
  <si>
    <t>icon_880008</t>
  </si>
  <si>
    <t>龙凤倒计时</t>
  </si>
  <si>
    <t>对局内倒计时特效，魅力评分21000</t>
  </si>
  <si>
    <t>icon_880009</t>
  </si>
  <si>
    <t>心动倒计时</t>
  </si>
  <si>
    <t>对局内心动倒计时特效，魅力评分21000</t>
  </si>
  <si>
    <t>icon_880010</t>
  </si>
  <si>
    <t>学园倒计时</t>
  </si>
  <si>
    <t>对局内学园倒计时特效，魅力评分21000</t>
  </si>
  <si>
    <t>icon_880011</t>
  </si>
  <si>
    <t>回转时刻倒计时</t>
  </si>
  <si>
    <t>对局内回转时刻倒计时特效，魅力评分21000</t>
  </si>
  <si>
    <t>icon_880012</t>
  </si>
  <si>
    <t>一杆清台</t>
  </si>
  <si>
    <t>清台次数：</t>
  </si>
  <si>
    <t>title_0001</t>
  </si>
  <si>
    <t>清台达人</t>
  </si>
  <si>
    <t>title_0002</t>
  </si>
  <si>
    <t>清台高手</t>
  </si>
  <si>
    <t>title_0003</t>
  </si>
  <si>
    <t>清台冠军</t>
  </si>
  <si>
    <t>title_0004</t>
  </si>
  <si>
    <t>清台王者</t>
  </si>
  <si>
    <t>title_0005</t>
  </si>
  <si>
    <t>进球熟手</t>
  </si>
  <si>
    <t>累计进球颗数：</t>
  </si>
  <si>
    <t>title_0006</t>
  </si>
  <si>
    <t>进球达人</t>
  </si>
  <si>
    <t>title_0007</t>
  </si>
  <si>
    <t>进球高手</t>
  </si>
  <si>
    <t>title_0008</t>
  </si>
  <si>
    <t>进球冠军</t>
  </si>
  <si>
    <t>title_0009</t>
  </si>
  <si>
    <t>进球王者</t>
  </si>
  <si>
    <t>title_0010</t>
  </si>
  <si>
    <t>连胜熟手</t>
  </si>
  <si>
    <t>连胜次数：</t>
  </si>
  <si>
    <t>title_0011</t>
  </si>
  <si>
    <t>常胜达人</t>
  </si>
  <si>
    <t>title_0012</t>
  </si>
  <si>
    <t>常胜高手</t>
  </si>
  <si>
    <t>title_0013</t>
  </si>
  <si>
    <t>常胜冠军</t>
  </si>
  <si>
    <t>title_0014</t>
  </si>
  <si>
    <t>常胜王者</t>
  </si>
  <si>
    <t>title_0015</t>
  </si>
  <si>
    <t>收藏能手</t>
  </si>
  <si>
    <t>魅力评分：</t>
  </si>
  <si>
    <t>title_0016</t>
  </si>
  <si>
    <t>收藏达人</t>
  </si>
  <si>
    <t>title_0017</t>
  </si>
  <si>
    <t>收藏高手</t>
  </si>
  <si>
    <t>title_0018</t>
  </si>
  <si>
    <t>收藏冠军</t>
  </si>
  <si>
    <t>title_0019</t>
  </si>
  <si>
    <t>收藏王者</t>
  </si>
  <si>
    <t>title_0020</t>
  </si>
  <si>
    <t>小有名气</t>
  </si>
  <si>
    <t>累计关注人数：</t>
  </si>
  <si>
    <t>title_0021</t>
  </si>
  <si>
    <t>备受瞩目</t>
  </si>
  <si>
    <t>title_0022</t>
  </si>
  <si>
    <t>小明星</t>
  </si>
  <si>
    <t>title_0023</t>
  </si>
  <si>
    <t>大明星</t>
  </si>
  <si>
    <t>title_0024</t>
  </si>
  <si>
    <t>万人迷</t>
  </si>
  <si>
    <t>title_0025</t>
  </si>
  <si>
    <t>小财主</t>
  </si>
  <si>
    <t>累计充值：</t>
  </si>
  <si>
    <t>title_0026</t>
  </si>
  <si>
    <t>小富商</t>
  </si>
  <si>
    <t>title_0027</t>
  </si>
  <si>
    <t>大土豪</t>
  </si>
  <si>
    <t>title_0028</t>
  </si>
  <si>
    <t>大富豪</t>
  </si>
  <si>
    <t>title_0029</t>
  </si>
  <si>
    <t>大财神</t>
  </si>
  <si>
    <t>title_0030</t>
  </si>
  <si>
    <t>新晋教习</t>
  </si>
  <si>
    <t>徒弟出师个数：</t>
  </si>
  <si>
    <t>ui_st_ch_1</t>
  </si>
  <si>
    <t>精英训导</t>
  </si>
  <si>
    <t>ui_st_ch_2</t>
  </si>
  <si>
    <t>为人师表</t>
  </si>
  <si>
    <t>ui_st_ch_3</t>
  </si>
  <si>
    <t>桃李天下</t>
  </si>
  <si>
    <t>ui_st_ch_4</t>
  </si>
  <si>
    <t>当代师尊</t>
  </si>
  <si>
    <t>ui_st_ch_5</t>
  </si>
  <si>
    <t>传奇名师</t>
  </si>
  <si>
    <t>ui_st_ch_6</t>
  </si>
  <si>
    <t>[@$@]的徒弟</t>
  </si>
  <si>
    <t>成为徒弟</t>
  </si>
  <si>
    <t>title_0031</t>
  </si>
  <si>
    <t>[@$@]的伴侣</t>
  </si>
  <si>
    <t>成为伴侣</t>
  </si>
  <si>
    <t>title_0032</t>
  </si>
  <si>
    <t>崭露头角</t>
  </si>
  <si>
    <t>累计人气值：</t>
  </si>
  <si>
    <t>title_0041</t>
  </si>
  <si>
    <t>社交好手</t>
  </si>
  <si>
    <t>title_0042</t>
  </si>
  <si>
    <t>社交达人</t>
  </si>
  <si>
    <t>title_0043</t>
  </si>
  <si>
    <t>人气巨星</t>
  </si>
  <si>
    <t>title_0044</t>
  </si>
  <si>
    <t>人气天王</t>
  </si>
  <si>
    <t>title_0045</t>
  </si>
  <si>
    <t>豪华俱乐部</t>
  </si>
  <si>
    <t>A级俱乐部前十获得</t>
  </si>
  <si>
    <t>title_0046</t>
  </si>
  <si>
    <t>殿堂俱乐部</t>
  </si>
  <si>
    <t>S级俱乐部获得</t>
  </si>
  <si>
    <t>title_0047</t>
  </si>
  <si>
    <t>最强殿堂俱乐部</t>
  </si>
  <si>
    <t>S+级俱乐部获得</t>
  </si>
  <si>
    <t>title_0048</t>
  </si>
  <si>
    <t>送礼榜周榜前三奖励</t>
  </si>
  <si>
    <t>title_0049</t>
  </si>
  <si>
    <t>送礼榜总榜前三奖励</t>
  </si>
  <si>
    <t>title_0050</t>
  </si>
  <si>
    <t>高手礼包(1级)</t>
  </si>
  <si>
    <t>《台球王者》迎新礼包，&lt;color=#fff442&gt;1&lt;/color&gt;级可打开。</t>
  </si>
  <si>
    <t>高手礼包(5级)</t>
  </si>
  <si>
    <t>《台球王者》升级回馈礼包，&lt;color=#fff442&gt;5&lt;/color&gt;级可打开。</t>
  </si>
  <si>
    <t>高手礼包(10级)</t>
  </si>
  <si>
    <t>《台球王者》升级回馈礼包，&lt;color=#fff442&gt;10&lt;/color&gt;级可打开。</t>
  </si>
  <si>
    <t>高手礼包(15级)</t>
  </si>
  <si>
    <t>《台球王者》升级回馈礼包，&lt;color=#fff442&gt;15&lt;/color&gt;级可打开。</t>
  </si>
  <si>
    <t>高手礼包(20级)</t>
  </si>
  <si>
    <t>《台球王者》升级回馈礼包，&lt;color=#fff442&gt;20&lt;/color&gt;级可打开。</t>
  </si>
  <si>
    <t>高手礼包(25级)</t>
  </si>
  <si>
    <t>《台球王者》升级回馈礼包，&lt;color=#fff442&gt;25&lt;/color&gt;级可打开。</t>
  </si>
  <si>
    <t>高手礼包(30级)</t>
  </si>
  <si>
    <t>《台球王者》升级回馈礼包，&lt;color=#fff442&gt;30&lt;/color&gt;级可打开。</t>
  </si>
  <si>
    <t>每日幸运礼盒</t>
  </si>
  <si>
    <t>打开可获得以下奖励之一：金币 x2088、金币 x3888、升星木 x1、三胜经验卡 x1、三胜金币卡 x1、S球杆-如鱼得水(1天)。</t>
  </si>
  <si>
    <t>进阶材料箱</t>
  </si>
  <si>
    <t>打开后，可随机获得C、B、A、S品质的球杆进阶材料其中之一。</t>
  </si>
  <si>
    <t>VIP0每日礼包</t>
  </si>
  <si>
    <t>打开可获得以下奖励：100金币、1点VIP经验值。VIP等级越高，每日奖励越丰富。</t>
  </si>
  <si>
    <t>VIP1每日礼包</t>
  </si>
  <si>
    <t>打开可获得以下奖励：300金币、1个升星木、2个强化石、1点VIP经验值。VIP等级越高，每日奖励越丰富。</t>
  </si>
  <si>
    <t>VIP2每日礼包</t>
  </si>
  <si>
    <t>打开可获得以下奖励：1000金币、1个升星木、2个强化石、1点VIP经验值。VIP等级越高，每日奖励越丰富。</t>
  </si>
  <si>
    <t>VIP3每日礼包</t>
  </si>
  <si>
    <t>打开可获得以下奖励：1500金币、2个升星木、3个强化石、1点VIP经验值。VIP等级越高，每日奖励越丰富。</t>
  </si>
  <si>
    <t>VIP4每日礼包</t>
  </si>
  <si>
    <t>打开可获得以下奖励：2000金币、2个升星木、4个强化石、1点VIP经验值。VIP等级越高，每日奖励越丰富。</t>
  </si>
  <si>
    <t>VIP5每日礼包</t>
  </si>
  <si>
    <t>打开可获得以下奖励：2500金币、3个升星木、5个强化石、1点VIP经验值。VIP等级越高，每日奖励越丰富。</t>
  </si>
  <si>
    <t>VIP6每日礼包</t>
  </si>
  <si>
    <t>打开可获得以下奖励：3000金币、3个升星木、6个强化石、1点VIP经验值。VIP等级越高，每日奖励越丰富。</t>
  </si>
  <si>
    <t>VIP7每日礼包</t>
  </si>
  <si>
    <t>打开可获得以下奖励：3500金币、4个升星木、7个强化石、1点VIP经验值。VIP等级越高，每日奖励越丰富。</t>
  </si>
  <si>
    <t>VIP8每日礼包</t>
  </si>
  <si>
    <t>打开可获得以下奖励：4000金币、4个升星木、8个强化石、1点VIP经验值。VIP等级越高，每日奖励越丰富。</t>
  </si>
  <si>
    <t>910011</t>
  </si>
  <si>
    <t>初级升阶礼包</t>
  </si>
  <si>
    <t>内含B~S升阶材料。</t>
  </si>
  <si>
    <t>中级升阶礼包</t>
  </si>
  <si>
    <t>高级升阶礼包</t>
  </si>
  <si>
    <t>内含A~SS升阶材料。</t>
  </si>
  <si>
    <t>大师升阶礼包</t>
  </si>
  <si>
    <t>内含S~SSS升阶材料。</t>
  </si>
  <si>
    <t>订阅每日特权礼包</t>
  </si>
  <si>
    <t>打开随机获得以下奖励：18钻石(必得)、10点VIP经验(必得)、1888金币、升星木 x2、初级熟练卡 x10。</t>
  </si>
  <si>
    <t>免广告</t>
  </si>
  <si>
    <t>有效期间可以免看广告</t>
  </si>
  <si>
    <t>ui_mgg_ggtb</t>
  </si>
  <si>
    <t>168</t>
  </si>
  <si>
    <t>VIP9每日礼包</t>
  </si>
  <si>
    <t>打开可获得以下奖励：4500金币、5个升星木、9个强化石、1点VIP经验值。VIP等级越高，每日奖励越丰富。</t>
  </si>
  <si>
    <t>910018</t>
  </si>
  <si>
    <t>VIP10每日礼包</t>
  </si>
  <si>
    <t>打开可获得以下奖励：5000金币、5个升星木、10个强化石、1点VIP经验值。VIP等级越高，每日奖励越丰富。</t>
  </si>
  <si>
    <t>910019</t>
  </si>
  <si>
    <t>1200元京东卡</t>
  </si>
  <si>
    <t>参赛队伍成员总计可获得1200元的京东卡</t>
  </si>
  <si>
    <t>ui_jdk_icon</t>
  </si>
  <si>
    <t>800元京东卡</t>
  </si>
  <si>
    <t>参赛队伍成员总计可获得800元的京东卡</t>
  </si>
  <si>
    <t>400元京东卡</t>
  </si>
  <si>
    <t>参赛队伍成员总计可获得400元的京东卡</t>
  </si>
  <si>
    <t>活跃宝箱1</t>
  </si>
  <si>
    <t>activity_1</t>
  </si>
  <si>
    <t>活跃宝箱2</t>
  </si>
  <si>
    <t>activity_2</t>
  </si>
  <si>
    <t>活跃宝箱3</t>
  </si>
  <si>
    <t>activity_3</t>
  </si>
  <si>
    <t>活跃宝箱4</t>
  </si>
  <si>
    <t>activity_4</t>
  </si>
  <si>
    <t>活跃宝箱5</t>
  </si>
  <si>
    <t>activity_5</t>
  </si>
  <si>
    <t>活跃宝箱6</t>
  </si>
  <si>
    <t>activity_6</t>
  </si>
  <si>
    <t>活跃宝箱7</t>
  </si>
  <si>
    <t>activity_7</t>
  </si>
  <si>
    <t>对局互动表情礼包</t>
  </si>
  <si>
    <t>打开随机获得2—4个对局互动表情</t>
  </si>
  <si>
    <t>icon_930003</t>
  </si>
  <si>
    <t>920007</t>
  </si>
  <si>
    <t>航海幸运礼包</t>
  </si>
  <si>
    <t>打开随机获得魔法表情、升级材料、金币、钻石</t>
  </si>
  <si>
    <t>icon_930005</t>
  </si>
  <si>
    <t>920009</t>
  </si>
  <si>
    <t>幸运大礼包</t>
  </si>
  <si>
    <t>打开随机获得S以上限时球杆、进洞、拖尾，更有几率获得永久S级球杆、进洞、拖尾。</t>
  </si>
  <si>
    <t>icon_930006</t>
  </si>
  <si>
    <t>920010</t>
  </si>
  <si>
    <t>金币礼包</t>
  </si>
  <si>
    <t>打开随机获得4888、12888、88888其中之一的金币</t>
  </si>
  <si>
    <t>920011</t>
  </si>
  <si>
    <t>icon_940000</t>
  </si>
  <si>
    <t>940000_trail</t>
  </si>
  <si>
    <t>纵横四方</t>
  </si>
  <si>
    <t>可在背包、对局内替换使用【纵横四方】拖尾效果</t>
  </si>
  <si>
    <t>940001_trail</t>
  </si>
  <si>
    <t>浪潮</t>
  </si>
  <si>
    <t>可在背包、对局内替换使用【浪潮】拖尾效果</t>
  </si>
  <si>
    <t>icon_940002</t>
  </si>
  <si>
    <t>940002_trail</t>
  </si>
  <si>
    <t>心心相印</t>
  </si>
  <si>
    <t>可在背包、对局内替换使用【心心相印】拖尾效果</t>
  </si>
  <si>
    <t>icon_940003</t>
  </si>
  <si>
    <t>940003_trail</t>
  </si>
  <si>
    <t>连环闪电</t>
  </si>
  <si>
    <t>可在背包、对局内替换使用【连环闪电】拖尾效果</t>
  </si>
  <si>
    <t>icon_940004</t>
  </si>
  <si>
    <t>940004_trail</t>
  </si>
  <si>
    <t>音律</t>
  </si>
  <si>
    <t>可在背包、对局内替换使用【音律】拖尾效果</t>
  </si>
  <si>
    <t>icon_940005</t>
  </si>
  <si>
    <t>940005_trail</t>
  </si>
  <si>
    <t>轻盈之风</t>
  </si>
  <si>
    <t>可在背包、对局内替换使用【轻盈之风】拖尾效果</t>
  </si>
  <si>
    <t>icon_940006</t>
  </si>
  <si>
    <t>940006_trail</t>
  </si>
  <si>
    <t>疾驰绿茵</t>
  </si>
  <si>
    <t>可在背包、对局内替换使用【疾驰绿茵】拖尾效果</t>
  </si>
  <si>
    <t>icon_940007</t>
  </si>
  <si>
    <t>940007_trail</t>
  </si>
  <si>
    <t>霹雳闪光</t>
  </si>
  <si>
    <t>可在背包、对局内替换使用【霹雳闪光】拖尾效果</t>
  </si>
  <si>
    <t>icon_940008</t>
  </si>
  <si>
    <t>940008_trail</t>
  </si>
  <si>
    <t>雪花飘飘</t>
  </si>
  <si>
    <t>可在背包、对局内替换使用【雪花飘飘】拖尾效果</t>
  </si>
  <si>
    <t>icon_940009</t>
  </si>
  <si>
    <t>940009_trail</t>
  </si>
  <si>
    <t>龙凤飞掠</t>
  </si>
  <si>
    <t>icon_940010</t>
  </si>
  <si>
    <t>940010_trail</t>
  </si>
  <si>
    <t>吉兔送福</t>
  </si>
  <si>
    <t>icon_940011</t>
  </si>
  <si>
    <t>940011_trail</t>
  </si>
  <si>
    <t>红玫瑰</t>
  </si>
  <si>
    <t>icon_940012</t>
  </si>
  <si>
    <t>940012_trail</t>
  </si>
  <si>
    <t>皇龙之炎</t>
  </si>
  <si>
    <t>icon_940013</t>
  </si>
  <si>
    <t>940013_trail</t>
  </si>
  <si>
    <t>欢庆劳动</t>
  </si>
  <si>
    <t>icon_940014</t>
  </si>
  <si>
    <t>940014_trail</t>
  </si>
  <si>
    <t>青葱岁月</t>
  </si>
  <si>
    <t>icon_940015</t>
  </si>
  <si>
    <t>940015_trail</t>
  </si>
  <si>
    <t>蒸汽齿轮</t>
  </si>
  <si>
    <t>icon_940016</t>
  </si>
  <si>
    <t>940016_trail</t>
  </si>
  <si>
    <t>穿云竞渡</t>
  </si>
  <si>
    <t>icon_940017</t>
  </si>
  <si>
    <t>940017_trail</t>
  </si>
  <si>
    <t>icon_940018</t>
  </si>
  <si>
    <t>940018_trail</t>
  </si>
  <si>
    <t>icon_940019</t>
  </si>
  <si>
    <t>940019_trail</t>
  </si>
  <si>
    <t>枪出如龙</t>
  </si>
  <si>
    <t>icon_940020</t>
  </si>
  <si>
    <t>940020_trail</t>
  </si>
  <si>
    <t>天外来客</t>
  </si>
  <si>
    <t>icon_940021</t>
  </si>
  <si>
    <t>940021_trail</t>
  </si>
  <si>
    <t>萝卜寄语</t>
  </si>
  <si>
    <t>icon_940022</t>
  </si>
  <si>
    <t>940022_trail</t>
  </si>
  <si>
    <t>寒花辇路</t>
  </si>
  <si>
    <t>icon_940023</t>
  </si>
  <si>
    <t>940023_trail</t>
  </si>
  <si>
    <t>踏紫幽</t>
  </si>
  <si>
    <t>icon_940024</t>
  </si>
  <si>
    <t>940024_trail</t>
  </si>
  <si>
    <t>千灯誓约</t>
  </si>
  <si>
    <t>icon_940025</t>
  </si>
  <si>
    <t>940025_trail</t>
  </si>
  <si>
    <t>icon_940026</t>
  </si>
  <si>
    <t>940026_trail</t>
  </si>
  <si>
    <t>icon_940027</t>
  </si>
  <si>
    <t>940027_trail</t>
  </si>
  <si>
    <t>icon_950000</t>
  </si>
  <si>
    <t>950000_goal</t>
  </si>
  <si>
    <t>绝尘破势</t>
  </si>
  <si>
    <t>可在背包、对局内替换使用【绝尘破势】进洞效果</t>
  </si>
  <si>
    <t>icon_950001</t>
  </si>
  <si>
    <t>100331_goal</t>
  </si>
  <si>
    <t>浪涌</t>
  </si>
  <si>
    <t>可在背包、对局内替换使用【浪涌】进洞效果</t>
  </si>
  <si>
    <t>icon_950002</t>
  </si>
  <si>
    <t>100121_goal</t>
  </si>
  <si>
    <t>直击红心</t>
  </si>
  <si>
    <t>可在背包、对局内替换使用【直击红心】进洞效果</t>
  </si>
  <si>
    <t>icon_950003</t>
  </si>
  <si>
    <t>100111_goal</t>
  </si>
  <si>
    <t>雷霆一击</t>
  </si>
  <si>
    <t>可在背包、对局内替换使用【雷霆一击】进洞效果</t>
  </si>
  <si>
    <t>icon_950004</t>
  </si>
  <si>
    <t>100091_goal</t>
  </si>
  <si>
    <t>音爆</t>
  </si>
  <si>
    <t>可在背包、对局内替换使用【音爆】进洞效果</t>
  </si>
  <si>
    <t>icon_950005</t>
  </si>
  <si>
    <t>100081_goal</t>
  </si>
  <si>
    <t>轻风落叶</t>
  </si>
  <si>
    <t>可在背包、对局内替换使用【轻风落叶】进洞效果</t>
  </si>
  <si>
    <t>icon_950006</t>
  </si>
  <si>
    <t>100041_goal</t>
  </si>
  <si>
    <t>凯旋球杯</t>
  </si>
  <si>
    <t>可在背包、对局内替换使用【凯旋球杯】进洞效果</t>
  </si>
  <si>
    <t>icon_950007</t>
  </si>
  <si>
    <t>950007_goal</t>
  </si>
  <si>
    <t>惊雷</t>
  </si>
  <si>
    <t>可在背包、对局内替换使用【惊雷】进洞效果</t>
  </si>
  <si>
    <t>icon_952020</t>
  </si>
  <si>
    <t>950020_goal</t>
  </si>
  <si>
    <t>燎原烈火</t>
  </si>
  <si>
    <t>icon_950009</t>
  </si>
  <si>
    <t>100011_goal</t>
  </si>
  <si>
    <t>昙花一现</t>
  </si>
  <si>
    <t>icon_950010</t>
  </si>
  <si>
    <t>100021_goal</t>
  </si>
  <si>
    <t>霜寒凌天</t>
  </si>
  <si>
    <t>icon_950011</t>
  </si>
  <si>
    <t>100051_goal</t>
  </si>
  <si>
    <t>电玩律动</t>
  </si>
  <si>
    <t>icon_950012</t>
  </si>
  <si>
    <t>100061_goal</t>
  </si>
  <si>
    <t>悦动音符</t>
  </si>
  <si>
    <t>icon_950013</t>
  </si>
  <si>
    <t>100071_goal</t>
  </si>
  <si>
    <t>火龙吟</t>
  </si>
  <si>
    <t>icon_950014</t>
  </si>
  <si>
    <t>100171_goal</t>
  </si>
  <si>
    <t>大星</t>
  </si>
  <si>
    <t>icon_950015</t>
  </si>
  <si>
    <t>100181_goal</t>
  </si>
  <si>
    <t>星散</t>
  </si>
  <si>
    <t>icon_950016</t>
  </si>
  <si>
    <t>100191_goal</t>
  </si>
  <si>
    <t>烈焰飞羽</t>
  </si>
  <si>
    <t>icon_950017</t>
  </si>
  <si>
    <t>100201_goal</t>
  </si>
  <si>
    <t>掠影浮光</t>
  </si>
  <si>
    <t>icon_950018</t>
  </si>
  <si>
    <t>100321_goal</t>
  </si>
  <si>
    <t>圣十字</t>
  </si>
  <si>
    <t>icon_950019</t>
  </si>
  <si>
    <t>100341_goal</t>
  </si>
  <si>
    <t>辉光</t>
  </si>
  <si>
    <t>icon_950020</t>
  </si>
  <si>
    <t>100351_goal</t>
  </si>
  <si>
    <t>焚炎</t>
  </si>
  <si>
    <t>icon_950021</t>
  </si>
  <si>
    <t>100361_goal</t>
  </si>
  <si>
    <t>星辰极光</t>
  </si>
  <si>
    <t>100371_goal</t>
  </si>
  <si>
    <t>日冕</t>
  </si>
  <si>
    <t>icon_950023</t>
  </si>
  <si>
    <t>100391_goal</t>
  </si>
  <si>
    <t>捣蛋瓜</t>
  </si>
  <si>
    <t>icon_950024</t>
  </si>
  <si>
    <t>100401_goal</t>
  </si>
  <si>
    <t>甜蜜心情</t>
  </si>
  <si>
    <t>icon_950025</t>
  </si>
  <si>
    <t>100411_goal</t>
  </si>
  <si>
    <t>秋光叶落</t>
  </si>
  <si>
    <t>icon_950026</t>
  </si>
  <si>
    <t>100421_goal</t>
  </si>
  <si>
    <t>清莲绽放</t>
  </si>
  <si>
    <t>icon_950027</t>
  </si>
  <si>
    <t>100431_goal</t>
  </si>
  <si>
    <t>幻蝶</t>
  </si>
  <si>
    <t>icon_950028</t>
  </si>
  <si>
    <t>100441_goal</t>
  </si>
  <si>
    <t>幽冥火</t>
  </si>
  <si>
    <t>icon_950029</t>
  </si>
  <si>
    <t>100451_goal</t>
  </si>
  <si>
    <t>爆竹</t>
  </si>
  <si>
    <t>icon_950030</t>
  </si>
  <si>
    <t>100461_goal</t>
  </si>
  <si>
    <t>叮铃铛</t>
  </si>
  <si>
    <t>icon_950031</t>
  </si>
  <si>
    <t>100141_goal</t>
  </si>
  <si>
    <t>凤舞龙翔</t>
  </si>
  <si>
    <t>icon_952032</t>
  </si>
  <si>
    <t>952032_goal</t>
  </si>
  <si>
    <t>玉兔迎春</t>
  </si>
  <si>
    <t>icon_952033</t>
  </si>
  <si>
    <t>952033_goal</t>
  </si>
  <si>
    <t>玫瑰之恋</t>
  </si>
  <si>
    <t>icon_952034</t>
  </si>
  <si>
    <t>952034_goal</t>
  </si>
  <si>
    <t>皇龙啸</t>
  </si>
  <si>
    <t>icon_952035</t>
  </si>
  <si>
    <t>952035_goal</t>
  </si>
  <si>
    <t>荣光绽放</t>
  </si>
  <si>
    <t>icon_952036</t>
  </si>
  <si>
    <t>952036_goal</t>
  </si>
  <si>
    <t>纸上航线</t>
  </si>
  <si>
    <t>icon_952037</t>
  </si>
  <si>
    <t>952037_goal</t>
  </si>
  <si>
    <t>逆转时光</t>
  </si>
  <si>
    <t>icon_952038</t>
  </si>
  <si>
    <t>952038_goal</t>
  </si>
  <si>
    <t>燕环角粽</t>
  </si>
  <si>
    <t>icon_952039</t>
  </si>
  <si>
    <t>952039_goal</t>
  </si>
  <si>
    <t>icon_952040</t>
  </si>
  <si>
    <t>952040_goal</t>
  </si>
  <si>
    <t>icon_952041</t>
  </si>
  <si>
    <t>952041_goal</t>
  </si>
  <si>
    <t>石破天惊</t>
  </si>
  <si>
    <t>icon_952042</t>
  </si>
  <si>
    <t>952042_goal</t>
  </si>
  <si>
    <t>烘云托月</t>
  </si>
  <si>
    <t>icon_952043</t>
  </si>
  <si>
    <t>952043_goal</t>
  </si>
  <si>
    <t>时菊耀秋</t>
  </si>
  <si>
    <t>icon_952044</t>
  </si>
  <si>
    <t>952044_goal</t>
  </si>
  <si>
    <t>紫魅流光</t>
  </si>
  <si>
    <t>icon_952045</t>
  </si>
  <si>
    <t>952045_goal</t>
  </si>
  <si>
    <t>万家灯火</t>
  </si>
  <si>
    <t>icon_952046</t>
  </si>
  <si>
    <t>952046_goal</t>
  </si>
  <si>
    <t>icon_952047</t>
  </si>
  <si>
    <t>952047_goal</t>
  </si>
  <si>
    <t>icon_952048</t>
  </si>
  <si>
    <t>经典母球</t>
  </si>
  <si>
    <t>icon_960001</t>
  </si>
  <si>
    <t>ballTexture0</t>
  </si>
  <si>
    <t>足球</t>
  </si>
  <si>
    <t>icon_960002</t>
  </si>
  <si>
    <t>football</t>
  </si>
  <si>
    <t>闪耀足球</t>
  </si>
  <si>
    <t>icon_960003</t>
  </si>
  <si>
    <t>960003_ball</t>
  </si>
  <si>
    <t>圣诞彩球</t>
  </si>
  <si>
    <t>icon_960004</t>
  </si>
  <si>
    <t>960004_ball</t>
  </si>
  <si>
    <t>绣球</t>
  </si>
  <si>
    <t>icon_960005</t>
  </si>
  <si>
    <t>960005_ball</t>
  </si>
  <si>
    <t>劳动荣誉</t>
  </si>
  <si>
    <t>icon_960006</t>
  </si>
  <si>
    <t>960006_ball</t>
  </si>
  <si>
    <t>端阳安康</t>
  </si>
  <si>
    <t>可在背包、对局内替换使用【端阳安康】母球</t>
  </si>
  <si>
    <t>icon_960007</t>
  </si>
  <si>
    <t>960007_ball</t>
  </si>
  <si>
    <t>星之伊始</t>
  </si>
  <si>
    <t>中秋团圆</t>
  </si>
  <si>
    <t>可在背包、对局内替换使用【中秋团圆】母球</t>
  </si>
  <si>
    <t>icon_960009</t>
  </si>
  <si>
    <t>960009_ball</t>
  </si>
  <si>
    <t>菊烟如诗</t>
  </si>
  <si>
    <t>可在背包、对局内替换使用【菊烟如诗】母球</t>
  </si>
  <si>
    <t>icon_960010</t>
  </si>
  <si>
    <t>960010_ball</t>
  </si>
  <si>
    <t>元旦祈愿</t>
  </si>
  <si>
    <t>icon_960011</t>
  </si>
  <si>
    <t>960011_ball</t>
  </si>
  <si>
    <t>icon_960012</t>
  </si>
  <si>
    <t>960012_ball</t>
  </si>
  <si>
    <t>疾驰绿茵(1天)</t>
  </si>
  <si>
    <t>获得后可免费体验&lt;color=#fff442&gt;1&lt;/color&gt;天拖尾效果-&lt;color=#fff442&gt;疾驰绿茵&lt;/color&gt;。</t>
  </si>
  <si>
    <t>940007,24</t>
  </si>
  <si>
    <t>疾驰绿茵(3天)</t>
  </si>
  <si>
    <t>获得后可免费体验&lt;color=#fff442&gt;3&lt;/color&gt;天拖尾效果-&lt;color=#fff442&gt;疾驰绿茵&lt;/color&gt;。</t>
  </si>
  <si>
    <t>940007,72</t>
  </si>
  <si>
    <t>疾驰绿茵(7天)</t>
  </si>
  <si>
    <t>获得后可免费体验&lt;color=#fff442&gt;7&lt;/color&gt;天拖尾效果-&lt;color=#fff442&gt;疾驰绿茵&lt;/color&gt;。</t>
  </si>
  <si>
    <t>940007,168</t>
  </si>
  <si>
    <t>疾驰绿茵(30天)</t>
  </si>
  <si>
    <t>获得后可免费体验&lt;color=#fff442&gt;30&lt;/color&gt;天拖尾效果-&lt;color=#fff442&gt;疾驰绿茵&lt;/color&gt;。</t>
  </si>
  <si>
    <t>940007,720</t>
  </si>
  <si>
    <t>霹雳闪光(1天)</t>
  </si>
  <si>
    <t>获得后可免费体验&lt;color=#fff442&gt;1&lt;/color&gt;天拖尾效果-&lt;color=#fff442&gt;霹雳闪光&lt;/color&gt;。</t>
  </si>
  <si>
    <t>940008,24</t>
  </si>
  <si>
    <t>霹雳闪光(3天)</t>
  </si>
  <si>
    <t>获得后可免费体验&lt;color=#fff442&gt;3&lt;/color&gt;天拖尾效果-&lt;color=#fff442&gt;霹雳闪光&lt;/color&gt;。</t>
  </si>
  <si>
    <t>940008,72</t>
  </si>
  <si>
    <t>霹雳闪光(7天)</t>
  </si>
  <si>
    <t>获得后可免费体验&lt;color=#fff442&gt;7&lt;/color&gt;天拖尾效果-&lt;color=#fff442&gt;霹雳闪光&lt;/color&gt;。</t>
  </si>
  <si>
    <t>940008,168</t>
  </si>
  <si>
    <t>霹雳闪光(30天)</t>
  </si>
  <si>
    <t>获得后可免费体验&lt;color=#fff442&gt;30&lt;/color&gt;天拖尾效果-&lt;color=#fff442&gt;霹雳闪光&lt;/color&gt;。</t>
  </si>
  <si>
    <t>940008,720</t>
  </si>
  <si>
    <t>雪花飘飘(1天)</t>
  </si>
  <si>
    <t>获得后可免费体验&lt;color=#fff442&gt;1&lt;/color&gt;天拖尾效果-&lt;color=#fff442&gt;雪花飘飘&lt;/color&gt;。</t>
  </si>
  <si>
    <t>940009,24</t>
  </si>
  <si>
    <t>雪花飘飘(3天)</t>
  </si>
  <si>
    <t>获得后可免费体验&lt;color=#fff442&gt;3&lt;/color&gt;天拖尾效果-&lt;color=#fff442&gt;雪花飘飘&lt;/color&gt;。</t>
  </si>
  <si>
    <t>940009,72</t>
  </si>
  <si>
    <t>雪花飘飘7天)</t>
  </si>
  <si>
    <t>获得后可免费体验&lt;color=#fff442&gt;7&lt;/color&gt;天拖尾效果-&lt;color=#fff442&gt;雪花飘飘&lt;/color&gt;。</t>
  </si>
  <si>
    <t>940009,168</t>
  </si>
  <si>
    <t>雪花飘飘(30天)</t>
  </si>
  <si>
    <t>获得后可免费体验&lt;color=#fff442&gt;30&lt;/color&gt;天拖尾效果-&lt;color=#fff442&gt;雪花飘飘&lt;/color&gt;。</t>
  </si>
  <si>
    <t>940009,720</t>
  </si>
  <si>
    <t>吉兔送福(1天)</t>
  </si>
  <si>
    <t>获得后可免费体验&lt;color=#fff442&gt;1&lt;/color&gt;天拖尾效果-&lt;color=#fff442&gt;吉兔送福&lt;/color&gt;。</t>
  </si>
  <si>
    <t>940011,24</t>
  </si>
  <si>
    <t>吉兔送福(3天)</t>
  </si>
  <si>
    <t>获得后可免费体验&lt;color=#fff442&gt;3&lt;/color&gt;天拖尾效果-&lt;color=#fff442&gt;吉兔送福&lt;/color&gt;。</t>
  </si>
  <si>
    <t>940011,72</t>
  </si>
  <si>
    <t>吉兔送福(7天)</t>
  </si>
  <si>
    <t>获得后可免费体验&lt;color=#fff442&gt;7&lt;/color&gt;天拖尾效果-&lt;color=#fff442&gt;吉兔送福&lt;/color&gt;。</t>
  </si>
  <si>
    <t>940011,168</t>
  </si>
  <si>
    <t>吉兔送福(30天)</t>
  </si>
  <si>
    <t>获得后可免费体验&lt;color=#fff442&gt;30&lt;/color&gt;天拖尾效果-&lt;color=#fff442&gt;吉兔送福&lt;/color&gt;。</t>
  </si>
  <si>
    <t>940011,720</t>
  </si>
  <si>
    <t>皇龙之炎(1天)</t>
  </si>
  <si>
    <t>获得后可免费体验&lt;color=#fff442&gt;1&lt;/color&gt;天拖尾效果-&lt;color=#fff442&gt;皇龙之炎&lt;/color&gt;。</t>
  </si>
  <si>
    <t>940013,24</t>
  </si>
  <si>
    <t>欢庆劳动(1天)</t>
  </si>
  <si>
    <t>获得后可免费体验&lt;color=#fff442&gt;1&lt;/color&gt;天拖尾效果-&lt;color=#fff442&gt;欢庆劳动&lt;/color&gt;。</t>
  </si>
  <si>
    <t>940014,24</t>
  </si>
  <si>
    <t>欢庆劳动(3天)</t>
  </si>
  <si>
    <t>获得后可免费体验&lt;color=#fff442&gt;3&lt;/color&gt;天拖尾效果-&lt;color=#fff442&gt;欢庆劳动&lt;/color&gt;。</t>
  </si>
  <si>
    <t>940014,72</t>
  </si>
  <si>
    <t>欢庆劳动(7天)</t>
  </si>
  <si>
    <t>获得后可免费体验&lt;color=#fff442&gt;7&lt;/color&gt;天拖尾效果-&lt;color=#fff442&gt;欢庆劳动&lt;/color&gt;。</t>
  </si>
  <si>
    <t>940014,168</t>
  </si>
  <si>
    <t>欢庆劳动(30天)</t>
  </si>
  <si>
    <t>获得后可免费体验&lt;color=#fff442&gt;30&lt;/color&gt;天拖尾效果-&lt;color=#fff442&gt;欢庆劳动&lt;/color&gt;。</t>
  </si>
  <si>
    <t>940014,720</t>
  </si>
  <si>
    <t>心心相印(1天)</t>
  </si>
  <si>
    <t>获得后可免费体验&lt;color=#fff442&gt;1&lt;/color&gt;天拖尾效果-&lt;color=#fff442&gt;心心相印&lt;/color&gt;。</t>
  </si>
  <si>
    <t>940003,24</t>
  </si>
  <si>
    <t>心心相印(3天)</t>
  </si>
  <si>
    <t>获得后可免费体验&lt;color=#fff442&gt;3&lt;/color&gt;天拖尾效果-&lt;color=#fff442&gt;心心相印&lt;/color&gt;。</t>
  </si>
  <si>
    <t>940003,72</t>
  </si>
  <si>
    <t>心心相印(7天)</t>
  </si>
  <si>
    <t>获得后可免费体验&lt;color=#fff442&gt;7&lt;/color&gt;天拖尾效果-&lt;color=#fff442&gt;心心相印&lt;/color&gt;。</t>
  </si>
  <si>
    <t>940003,168</t>
  </si>
  <si>
    <t>心心相印(30天)</t>
  </si>
  <si>
    <t>获得后可免费体验&lt;color=#fff442&gt;30&lt;/color&gt;天拖尾效果-&lt;color=#fff442&gt;心心相印&lt;/color&gt;。</t>
  </si>
  <si>
    <t>940003,720</t>
  </si>
  <si>
    <t>穿云竞渡(1天)</t>
  </si>
  <si>
    <t>获得后可免费体验&lt;color=#fff442&gt;1&lt;/color&gt;天拖尾效果-&lt;color=#fff442&gt;穿云竞渡&lt;/color&gt;。</t>
  </si>
  <si>
    <t>940017,24</t>
  </si>
  <si>
    <t>穿云竞渡(3天)</t>
  </si>
  <si>
    <t>获得后可免费体验&lt;color=#fff442&gt;3&lt;/color&gt;天拖尾效果-&lt;color=#fff442&gt;穿云竞渡&lt;/color&gt;。</t>
  </si>
  <si>
    <t>940017,72</t>
  </si>
  <si>
    <t>穿云竞渡(7天)</t>
  </si>
  <si>
    <t>获得后可免费体验&lt;color=#fff442&gt;7&lt;/color&gt;天拖尾效果-&lt;color=#fff442&gt;穿云竞渡&lt;/color&gt;。</t>
  </si>
  <si>
    <t>940017,168</t>
  </si>
  <si>
    <t>穿云竞渡(30天)</t>
  </si>
  <si>
    <t>获得后可免费体验&lt;color=#fff442&gt;30&lt;/color&gt;天拖尾效果-&lt;color=#fff442&gt;穿云竞渡&lt;/color&gt;。</t>
  </si>
  <si>
    <t>940017,720</t>
  </si>
  <si>
    <t>萝卜寄语(1天)</t>
  </si>
  <si>
    <t>获得后可免费体验&lt;color=#fff442&gt;1&lt;/color&gt;天拖尾效果-&lt;color=#fff442&gt;萝卜寄语&lt;/color&gt;。</t>
  </si>
  <si>
    <t>940022,24</t>
  </si>
  <si>
    <t>萝卜寄语(3天)</t>
  </si>
  <si>
    <t>获得后可免费体验&lt;color=#fff442&gt;3&lt;/color&gt;天拖尾效果-&lt;color=#fff442&gt;萝卜寄语&lt;/color&gt;。</t>
  </si>
  <si>
    <t>940022,72</t>
  </si>
  <si>
    <t>萝卜寄语(7天)</t>
  </si>
  <si>
    <t>获得后可免费体验&lt;color=#fff442&gt;7&lt;/color&gt;天拖尾效果-&lt;color=#fff442&gt;萝卜寄语&lt;/color&gt;。</t>
  </si>
  <si>
    <t>940022,168</t>
  </si>
  <si>
    <t>萝卜寄语(30天)</t>
  </si>
  <si>
    <t>获得后可免费体验&lt;color=#fff442&gt;30&lt;/color&gt;天拖尾效果-&lt;color=#fff442&gt;萝卜寄语&lt;/color&gt;。</t>
  </si>
  <si>
    <t>940022,720</t>
  </si>
  <si>
    <t>寒花辇路(1天)</t>
  </si>
  <si>
    <t>获得后可免费体验&lt;color=#fff442&gt;1&lt;/color&gt;天拖尾效果-&lt;color=#fff442&gt;寒花辇路&lt;/color&gt;。</t>
  </si>
  <si>
    <t>940023,24</t>
  </si>
  <si>
    <t>寒花辇路(3天)</t>
  </si>
  <si>
    <t>获得后可免费体验&lt;color=#fff442&gt;3&lt;/color&gt;天拖尾效果-&lt;color=#fff442&gt;寒花辇路&lt;/color&gt;。</t>
  </si>
  <si>
    <t>940023,72</t>
  </si>
  <si>
    <t>寒花辇路(7天)</t>
  </si>
  <si>
    <t>获得后可免费体验&lt;color=#fff442&gt;7&lt;/color&gt;天拖尾效果-&lt;color=#fff442&gt;寒花辇路&lt;/color&gt;。</t>
  </si>
  <si>
    <t>940023,168</t>
  </si>
  <si>
    <t>寒花辇路(30天)</t>
  </si>
  <si>
    <t>获得后可免费体验&lt;color=#fff442&gt;30&lt;/color&gt;天拖尾效果-&lt;color=#fff442&gt;寒花辇路&lt;/color&gt;。</t>
  </si>
  <si>
    <t>940023,720</t>
  </si>
  <si>
    <t>千灯誓约(1天)</t>
  </si>
  <si>
    <t>获得后可免费体验&lt;color=#fff442&gt;1&lt;/color&gt;天拖尾效果-&lt;color=#fff442&gt;千灯誓约&lt;/color&gt;。</t>
  </si>
  <si>
    <t>940025,24</t>
  </si>
  <si>
    <t>千灯誓约(3天)</t>
  </si>
  <si>
    <t>获得后可免费体验&lt;color=#fff442&gt;3&lt;/color&gt;天拖尾效果-&lt;color=#fff442&gt;千灯誓约&lt;/color&gt;。</t>
  </si>
  <si>
    <t>940025,72</t>
  </si>
  <si>
    <t>千灯誓约(7天)</t>
  </si>
  <si>
    <t>获得后可免费体验&lt;color=#fff442&gt;7&lt;/color&gt;天拖尾效果-&lt;color=#fff442&gt;千灯誓约&lt;/color&gt;。</t>
  </si>
  <si>
    <t>940025,168</t>
  </si>
  <si>
    <t>千灯誓约(30天)</t>
  </si>
  <si>
    <t>获得后可免费体验&lt;color=#fff442&gt;30&lt;/color&gt;天拖尾效果-&lt;color=#fff442&gt;千灯誓约&lt;/color&gt;。</t>
  </si>
  <si>
    <t>940025,720</t>
  </si>
  <si>
    <t>940026,24</t>
  </si>
  <si>
    <t>940026,72</t>
  </si>
  <si>
    <t>940026,168</t>
  </si>
  <si>
    <t>940026,720</t>
  </si>
  <si>
    <t>凯旋球杯(1天)</t>
  </si>
  <si>
    <t>获得后可免费体验&lt;color=#fff442&gt;1&lt;/color&gt;天进洞效果-&lt;color=#fff442&gt;凯旋球杯&lt;/color&gt;。</t>
  </si>
  <si>
    <t>950007,24</t>
  </si>
  <si>
    <t>凯旋球杯(3天)</t>
  </si>
  <si>
    <t>获得后可免费体验&lt;color=#fff442&gt;3&lt;/color&gt;天进洞效果-&lt;color=#fff442&gt;凯旋球杯&lt;/color&gt;。</t>
  </si>
  <si>
    <t>950007,72</t>
  </si>
  <si>
    <t>凯旋球杯(7天)</t>
  </si>
  <si>
    <t>获得后可免费体验&lt;color=#fff442&gt;7&lt;/color&gt;天进洞效果-&lt;color=#fff442&gt;凯旋球杯&lt;/color&gt;。</t>
  </si>
  <si>
    <t>950007,168</t>
  </si>
  <si>
    <t>凯旋球杯(30天)</t>
  </si>
  <si>
    <t>获得后可免费体验&lt;color=#fff442&gt;30&lt;/color&gt;天进洞效果-&lt;color=#fff442&gt;凯旋球杯&lt;/color&gt;。</t>
  </si>
  <si>
    <t>950007,720</t>
  </si>
  <si>
    <t>叮铃铛(1天)</t>
  </si>
  <si>
    <t>获得后可免费体验&lt;color=#fff442&gt;1&lt;/color&gt;天进洞效果-&lt;color=#fff442&gt;叮铃铛&lt;/color&gt;。</t>
  </si>
  <si>
    <t>952031,24</t>
  </si>
  <si>
    <t>叮铃铛(3天)</t>
  </si>
  <si>
    <t>获得后可免费体验&lt;color=#fff442&gt;3&lt;/color&gt;天进洞效果-&lt;color=#fff442&gt;叮铃铛&lt;/color&gt;。</t>
  </si>
  <si>
    <t>952031,72</t>
  </si>
  <si>
    <t>叮铃铛(7天)</t>
  </si>
  <si>
    <t>获得后可免费体验&lt;color=#fff442&gt;7&lt;/color&gt;天进洞效果-&lt;color=#fff442&gt;叮铃铛&lt;/color&gt;。</t>
  </si>
  <si>
    <t>952031,168</t>
  </si>
  <si>
    <t>叮铃铛(30天)</t>
  </si>
  <si>
    <t>获得后可免费体验&lt;color=#fff442&gt;30&lt;/color&gt;天进洞效果-&lt;color=#fff442&gt;叮铃铛&lt;/color&gt;。</t>
  </si>
  <si>
    <t>952031,720</t>
  </si>
  <si>
    <t>玉兔迎春(1天)</t>
  </si>
  <si>
    <t>获得后可免费体验&lt;color=#fff442&gt;1&lt;/color&gt;天进洞效果-&lt;color=#fff442&gt;玉兔迎春&lt;/color&gt;。</t>
  </si>
  <si>
    <t>952033,24</t>
  </si>
  <si>
    <t>玉兔迎春(3天)</t>
  </si>
  <si>
    <t>获得后可免费体验&lt;color=#fff442&gt;3&lt;/color&gt;天进洞效果-&lt;color=#fff442&gt;玉兔迎春&lt;/color&gt;。</t>
  </si>
  <si>
    <t>952033,72</t>
  </si>
  <si>
    <t>玉兔迎春(7天)</t>
  </si>
  <si>
    <t>获得后可免费体验&lt;color=#fff442&gt;7&lt;/color&gt;天进洞效果-&lt;color=#fff442&gt;玉兔迎春&lt;/color&gt;。</t>
  </si>
  <si>
    <t>952033,168</t>
  </si>
  <si>
    <t>玉兔迎春(30天)</t>
  </si>
  <si>
    <t>获得后可免费体验&lt;color=#fff442&gt;30&lt;/color&gt;天进洞效果-&lt;color=#fff442&gt;玉兔迎春&lt;/color&gt;。</t>
  </si>
  <si>
    <t>952033,720</t>
  </si>
  <si>
    <t>皇龙啸(1天)</t>
  </si>
  <si>
    <t>获得后可免费体验&lt;color=#fff442&gt;1&lt;/color&gt;天进洞效果-&lt;color=#fff442&gt;皇龙啸&lt;/color&gt;。</t>
  </si>
  <si>
    <t>952035,24</t>
  </si>
  <si>
    <t>皇龙啸(3天)</t>
  </si>
  <si>
    <t>获得后可免费体验&lt;color=#fff442&gt;3&lt;/color&gt;天进洞效果-&lt;color=#fff442&gt;皇龙啸&lt;/color&gt;。</t>
  </si>
  <si>
    <t>952035,72</t>
  </si>
  <si>
    <t>皇龙啸(7天)</t>
  </si>
  <si>
    <t>获得后可免费体验&lt;color=#fff442&gt;7&lt;/color&gt;天进洞效果-&lt;color=#fff442&gt;皇龙啸&lt;/color&gt;。</t>
  </si>
  <si>
    <t>952035,168</t>
  </si>
  <si>
    <t>皇龙啸(30天)</t>
  </si>
  <si>
    <t>获得后可免费体验&lt;color=#fff442&gt;30&lt;/color&gt;天进洞效果-&lt;color=#fff442&gt;皇龙啸&lt;/color&gt;。</t>
  </si>
  <si>
    <t>952035,720</t>
  </si>
  <si>
    <t>荣光绽放(1天)</t>
  </si>
  <si>
    <t>获得后可免费体验&lt;color=#fff442&gt;1&lt;/color&gt;天进洞效果-&lt;color=#fff442&gt;荣光绽放&lt;/color&gt;。</t>
  </si>
  <si>
    <t>952036,24</t>
  </si>
  <si>
    <t>荣光绽放(3天)</t>
  </si>
  <si>
    <t>获得后可免费体验&lt;color=#fff442&gt;3&lt;/color&gt;天进洞效果-&lt;color=#fff442&gt;荣光绽放&lt;/color&gt;。</t>
  </si>
  <si>
    <t>952036,72</t>
  </si>
  <si>
    <t>荣光绽放(7天)</t>
  </si>
  <si>
    <t>获得后可免费体验&lt;color=#fff442&gt;7&lt;/color&gt;天进洞效果-&lt;color=#fff442&gt;荣光绽放&lt;/color&gt;。</t>
  </si>
  <si>
    <t>952036,168</t>
  </si>
  <si>
    <t>荣光绽放(30天)</t>
  </si>
  <si>
    <t>获得后可免费体验&lt;color=#fff442&gt;30&lt;/color&gt;天进洞效果-&lt;color=#fff442&gt;荣光绽放&lt;/color&gt;。</t>
  </si>
  <si>
    <t>952036,720</t>
  </si>
  <si>
    <t>甜蜜心情(1天)</t>
  </si>
  <si>
    <t>获得后可免费体验&lt;color=#fff442&gt;1&lt;/color&gt;天进洞效果-&lt;color=#fff442&gt;甜蜜心情&lt;/color&gt;。</t>
  </si>
  <si>
    <t>952025,24</t>
  </si>
  <si>
    <t>甜蜜心情(3天)</t>
  </si>
  <si>
    <t>获得后可免费体验&lt;color=#fff442&gt;3&lt;/color&gt;天进洞效果-&lt;color=#fff442&gt;甜蜜心情&lt;/color&gt;。</t>
  </si>
  <si>
    <t>952025,72</t>
  </si>
  <si>
    <t>甜蜜心情(7天)</t>
  </si>
  <si>
    <t>获得后可免费体验&lt;color=#fff442&gt;7&lt;/color&gt;天进洞效果-&lt;color=#fff442&gt;甜蜜心情&lt;/color&gt;。</t>
  </si>
  <si>
    <t>952025,168</t>
  </si>
  <si>
    <t>甜蜜心情(30天)</t>
  </si>
  <si>
    <t>获得后可免费体验&lt;color=#fff442&gt;30&lt;/color&gt;天进洞效果-&lt;color=#fff442&gt;甜蜜心情&lt;/color&gt;。</t>
  </si>
  <si>
    <t>952025,720</t>
  </si>
  <si>
    <t>燕环角粽(1天)</t>
  </si>
  <si>
    <t>获得后可免费体验&lt;color=#fff442&gt;1&lt;/color&gt;天进洞效果-&lt;color=#fff442&gt;燕环角粽&lt;/color&gt;。</t>
  </si>
  <si>
    <t>952039,24</t>
  </si>
  <si>
    <t>燕环角粽(3天)</t>
  </si>
  <si>
    <t>获得后可免费体验&lt;color=#fff442&gt;3&lt;/color&gt;天进洞效果-&lt;color=#fff442&gt;燕环角粽&lt;/color&gt;。</t>
  </si>
  <si>
    <t>952039,72</t>
  </si>
  <si>
    <t>燕环角粽(7天)</t>
  </si>
  <si>
    <t>获得后可免费体验&lt;color=#fff442&gt;7&lt;/color&gt;天进洞效果-&lt;color=#fff442&gt;燕环角粽&lt;/color&gt;。</t>
  </si>
  <si>
    <t>952039,168</t>
  </si>
  <si>
    <t>燕环角粽(30天)</t>
  </si>
  <si>
    <t>获得后可免费体验&lt;color=#fff442&gt;30&lt;/color&gt;天进洞效果-&lt;color=#fff442&gt;燕环角粽&lt;/color&gt;。</t>
  </si>
  <si>
    <t>952039,720</t>
  </si>
  <si>
    <t>烘云托月(1天)</t>
  </si>
  <si>
    <t>获得后可免费体验&lt;color=#fff442&gt;1&lt;/color&gt;天进洞效果-&lt;color=#fff442&gt;烘云托月&lt;/color&gt;。</t>
  </si>
  <si>
    <t>952043,24</t>
  </si>
  <si>
    <t>烘云托月(3天)</t>
  </si>
  <si>
    <t>获得后可免费体验&lt;color=#fff442&gt;3&lt;/color&gt;天进洞效果-&lt;color=#fff442&gt;烘云托月&lt;/color&gt;。</t>
  </si>
  <si>
    <t>952043,72</t>
  </si>
  <si>
    <t>烘云托月(7天)</t>
  </si>
  <si>
    <t>获得后可免费体验&lt;color=#fff442&gt;7&lt;/color&gt;天进洞效果-&lt;color=#fff442&gt;烘云托月&lt;/color&gt;。</t>
  </si>
  <si>
    <t>952043,168</t>
  </si>
  <si>
    <t>烘云托月(30天)</t>
  </si>
  <si>
    <t>获得后可免费体验&lt;color=#fff442&gt;30&lt;/color&gt;天进洞效果-&lt;color=#fff442&gt;烘云托月&lt;/color&gt;。</t>
  </si>
  <si>
    <t>952043,720</t>
  </si>
  <si>
    <t>时菊耀秋(1天)</t>
  </si>
  <si>
    <t>获得后可免费体验&lt;color=#fff442&gt;1&lt;/color&gt;天进洞效果-&lt;color=#fff442&gt;时菊耀秋&lt;/color&gt;。</t>
  </si>
  <si>
    <t>952044,24</t>
  </si>
  <si>
    <t>时菊耀秋(3天)</t>
  </si>
  <si>
    <t>获得后可免费体验&lt;color=#fff442&gt;3&lt;/color&gt;天进洞效果-&lt;color=#fff442&gt;时菊耀秋&lt;/color&gt;。</t>
  </si>
  <si>
    <t>952044,72</t>
  </si>
  <si>
    <t>时菊耀秋(7天)</t>
  </si>
  <si>
    <t>获得后可免费体验&lt;color=#fff442&gt;7&lt;/color&gt;天进洞效果-&lt;color=#fff442&gt;时菊耀秋&lt;/color&gt;。</t>
  </si>
  <si>
    <t>952044,168</t>
  </si>
  <si>
    <t>时菊耀秋(30天)</t>
  </si>
  <si>
    <t>获得后可免费体验&lt;color=#fff442&gt;30&lt;/color&gt;天进洞效果-&lt;color=#fff442&gt;时菊耀秋&lt;/color&gt;。</t>
  </si>
  <si>
    <t>952044,720</t>
  </si>
  <si>
    <t>万家灯火(1天)</t>
  </si>
  <si>
    <t>获得后可免费体验&lt;color=#fff442&gt;1&lt;/color&gt;天进洞效果-&lt;color=#fff442&gt;万家灯火&lt;/color&gt;。</t>
  </si>
  <si>
    <t>952046,24</t>
  </si>
  <si>
    <t>万家灯火(3天)</t>
  </si>
  <si>
    <t>获得后可免费体验&lt;color=#fff442&gt;3&lt;/color&gt;天进洞效果-&lt;color=#fff442&gt;万家灯火&lt;/color&gt;。</t>
  </si>
  <si>
    <t>952046,72</t>
  </si>
  <si>
    <t>万家灯火(7天)</t>
  </si>
  <si>
    <t>获得后可免费体验&lt;color=#fff442&gt;7&lt;/color&gt;天进洞效果-&lt;color=#fff442&gt;万家灯火&lt;/color&gt;。</t>
  </si>
  <si>
    <t>952046,168</t>
  </si>
  <si>
    <t>万家灯火(30天)</t>
  </si>
  <si>
    <t>获得后可免费体验&lt;color=#fff442&gt;30&lt;/color&gt;天进洞效果-&lt;color=#fff442&gt;万家灯火&lt;/color&gt;。</t>
  </si>
  <si>
    <t>952046,720</t>
  </si>
  <si>
    <t>952047,24</t>
  </si>
  <si>
    <t>952047,72</t>
  </si>
  <si>
    <t>952047,168</t>
  </si>
  <si>
    <t>952047,720</t>
  </si>
  <si>
    <t>足球(1天)</t>
  </si>
  <si>
    <t>获得后可免费体验&lt;color=#fff442&gt;1&lt;/color&gt;天母球-&lt;color=#fff442&gt;足球&lt;/color&gt;。</t>
  </si>
  <si>
    <t>960002,24</t>
  </si>
  <si>
    <t>足球(3天)</t>
  </si>
  <si>
    <t>获得后可免费体验&lt;color=#fff442&gt;3&lt;/color&gt;天母球-&lt;color=#fff442&gt;足球&lt;/color&gt;。</t>
  </si>
  <si>
    <t>960002,72</t>
  </si>
  <si>
    <t>足球(7天)</t>
  </si>
  <si>
    <t>获得后可免费体验&lt;color=#fff442&gt;7&lt;/color&gt;天母球-&lt;color=#fff442&gt;足球&lt;/color&gt;。</t>
  </si>
  <si>
    <t>960002,168</t>
  </si>
  <si>
    <t>足球(30天)</t>
  </si>
  <si>
    <t>获得后可免费体验&lt;color=#fff442&gt;30&lt;/color&gt;天母球-&lt;color=#fff442&gt;足球&lt;/color&gt;。</t>
  </si>
  <si>
    <t>960002,720</t>
  </si>
  <si>
    <t>闪耀足球(1天)</t>
  </si>
  <si>
    <t>获得后可免费体验&lt;color=#fff442&gt;1&lt;/color&gt;天母球-&lt;color=#fff442&gt;闪耀足球&lt;/color&gt;。</t>
  </si>
  <si>
    <t>960003,24</t>
  </si>
  <si>
    <t>闪耀足球(3天)</t>
  </si>
  <si>
    <t>获得后可免费体验&lt;color=#fff442&gt;3&lt;/color&gt;天母球-&lt;color=#fff442&gt;闪耀足球&lt;/color&gt;。</t>
  </si>
  <si>
    <t>960003,72</t>
  </si>
  <si>
    <t>闪耀足球(7天)</t>
  </si>
  <si>
    <t>获得后可免费体验&lt;color=#fff442&gt;7&lt;/color&gt;天母球-&lt;color=#fff442&gt;闪耀足球&lt;/color&gt;。</t>
  </si>
  <si>
    <t>960003,168</t>
  </si>
  <si>
    <t>闪耀足球(30天)</t>
  </si>
  <si>
    <t>获得后可免费体验&lt;color=#fff442&gt;30&lt;/color&gt;天母球-&lt;color=#fff442&gt;闪耀足球&lt;/color&gt;。</t>
  </si>
  <si>
    <t>960003,720</t>
  </si>
  <si>
    <t>圣诞彩球(1天)</t>
  </si>
  <si>
    <t>获得后可免费体验&lt;color=#fff442&gt;1&lt;/color&gt;天母球-&lt;color=#fff442&gt;圣诞彩球&lt;/color&gt;。</t>
  </si>
  <si>
    <t>960004,24</t>
  </si>
  <si>
    <t>圣诞彩球(3天)</t>
  </si>
  <si>
    <t>获得后可免费体验&lt;color=#fff442&gt;3&lt;/color&gt;天母球-&lt;color=#fff442&gt;圣诞彩球&lt;/color&gt;。</t>
  </si>
  <si>
    <t>960004,72</t>
  </si>
  <si>
    <t>圣诞彩球(7天)</t>
  </si>
  <si>
    <t>获得后可免费体验&lt;color=#fff442&gt;7&lt;/color&gt;天母球-&lt;color=#fff442&gt;圣诞彩球&lt;/color&gt;。</t>
  </si>
  <si>
    <t>960004,168</t>
  </si>
  <si>
    <t>圣诞彩球(30天)</t>
  </si>
  <si>
    <t>获得后可免费体验&lt;color=#fff442&gt;30&lt;/color&gt;天母球-&lt;color=#fff442&gt;圣诞彩球&lt;/color&gt;。</t>
  </si>
  <si>
    <t>960004,720</t>
  </si>
  <si>
    <t>绣球(1天)</t>
  </si>
  <si>
    <t>获得后可免费体验&lt;color=#fff442&gt;1&lt;/color&gt;天母球-&lt;color=#fff442&gt;绣球&lt;/color&gt;。</t>
  </si>
  <si>
    <t>960005,24</t>
  </si>
  <si>
    <t>绣球(3天)</t>
  </si>
  <si>
    <t>获得后可免费体验&lt;color=#fff442&gt;3&lt;/color&gt;天母球-&lt;color=#fff442&gt;绣球&lt;/color&gt;。</t>
  </si>
  <si>
    <t>960005,72</t>
  </si>
  <si>
    <t>绣球(7天)</t>
  </si>
  <si>
    <t>获得后可免费体验&lt;color=#fff442&gt;7&lt;/color&gt;天母球-&lt;color=#fff442&gt;绣球&lt;/color&gt;。</t>
  </si>
  <si>
    <t>960005,168</t>
  </si>
  <si>
    <t>绣球(30天)</t>
  </si>
  <si>
    <t>获得后可免费体验&lt;color=#fff442&gt;30&lt;/color&gt;天母球-&lt;color=#fff442&gt;绣球&lt;/color&gt;。</t>
  </si>
  <si>
    <t>960005,720</t>
  </si>
  <si>
    <t>劳动荣誉(1天)</t>
  </si>
  <si>
    <t>获得后可免费体验&lt;color=#fff442&gt;1&lt;/color&gt;天母球-&lt;color=#fff442&gt;劳动荣誉&lt;/color&gt;。</t>
  </si>
  <si>
    <t>960006,24</t>
  </si>
  <si>
    <t>劳动荣誉(3天)</t>
  </si>
  <si>
    <t>获得后可免费体验&lt;color=#fff442&gt;3&lt;/color&gt;天母球-&lt;color=#fff442&gt;劳动荣誉&lt;/color&gt;。</t>
  </si>
  <si>
    <t>960006,72</t>
  </si>
  <si>
    <t>劳动荣誉(7天)</t>
  </si>
  <si>
    <t>获得后可免费体验&lt;color=#fff442&gt;7&lt;/color&gt;天母球-&lt;color=#fff442&gt;劳动荣誉&lt;/color&gt;。</t>
  </si>
  <si>
    <t>960006,168</t>
  </si>
  <si>
    <t>劳动荣誉(30天)</t>
  </si>
  <si>
    <t>获得后可免费体验&lt;color=#fff442&gt;30&lt;/color&gt;天母球-&lt;color=#fff442&gt;劳动荣誉&lt;/color&gt;。</t>
  </si>
  <si>
    <t>960006,720</t>
  </si>
  <si>
    <t>端阳安康(1天)</t>
  </si>
  <si>
    <t>获得后可免费体验&lt;color=#fff442&gt;1&lt;/color&gt;天母球-&lt;color=#fff442&gt;端阳安康&lt;/color&gt;。</t>
  </si>
  <si>
    <t>960007,24</t>
  </si>
  <si>
    <t>端阳安康(3天)</t>
  </si>
  <si>
    <t>获得后可免费体验&lt;color=#fff442&gt;3&lt;/color&gt;天母球-&lt;color=#fff442&gt;端阳安康&lt;/color&gt;。</t>
  </si>
  <si>
    <t>960007,72</t>
  </si>
  <si>
    <t>端阳安康(7天)</t>
  </si>
  <si>
    <t>获得后可免费体验&lt;color=#fff442&gt;7&lt;/color&gt;天母球-&lt;color=#fff442&gt;端阳安康&lt;/color&gt;。</t>
  </si>
  <si>
    <t>960007,168</t>
  </si>
  <si>
    <t>端阳安康(30天)</t>
  </si>
  <si>
    <t>获得后可免费体验&lt;color=#fff442&gt;30&lt;/color&gt;天母球-&lt;color=#fff442&gt;端阳安康&lt;/color&gt;。</t>
  </si>
  <si>
    <t>960007,720</t>
  </si>
  <si>
    <t>中秋团圆(1天)</t>
  </si>
  <si>
    <t>获得后可免费体验&lt;color=#fff442&gt;1&lt;/color&gt;天母球-&lt;color=#fff442&gt;中秋团圆&lt;/color&gt;。</t>
  </si>
  <si>
    <t>960009,24</t>
  </si>
  <si>
    <t>中秋团圆(3天)</t>
  </si>
  <si>
    <t>获得后可免费体验&lt;color=#fff442&gt;3&lt;/color&gt;天母球-&lt;color=#fff442&gt;中秋团圆&lt;/color&gt;。</t>
  </si>
  <si>
    <t>960009,72</t>
  </si>
  <si>
    <t>中秋团圆(7天)</t>
  </si>
  <si>
    <t>获得后可免费体验&lt;color=#fff442&gt;7&lt;/color&gt;天母球-&lt;color=#fff442&gt;中秋团圆&lt;/color&gt;。</t>
  </si>
  <si>
    <t>960009,168</t>
  </si>
  <si>
    <t>中秋团圆(30天)</t>
  </si>
  <si>
    <t>获得后可免费体验&lt;color=#fff442&gt;30&lt;/color&gt;天母球-&lt;color=#fff442&gt;中秋团圆&lt;/color&gt;。</t>
  </si>
  <si>
    <t>960009,720</t>
  </si>
  <si>
    <t>菊烟如诗(1天)</t>
  </si>
  <si>
    <t>获得后可免费体验&lt;color=#fff442&gt;1&lt;/color&gt;天母球-&lt;color=#fff442&gt;菊烟如诗&lt;/color&gt;。</t>
  </si>
  <si>
    <t>960010,24</t>
  </si>
  <si>
    <t>菊烟如诗(3天)</t>
  </si>
  <si>
    <t>获得后可免费体验&lt;color=#fff442&gt;3&lt;/color&gt;天母球-&lt;color=#fff442&gt;菊烟如诗&lt;/color&gt;。</t>
  </si>
  <si>
    <t>960010,72</t>
  </si>
  <si>
    <t>菊烟如诗(7天)</t>
  </si>
  <si>
    <t>获得后可免费体验&lt;color=#fff442&gt;7&lt;/color&gt;天母球-&lt;color=#fff442&gt;菊烟如诗&lt;/color&gt;。</t>
  </si>
  <si>
    <t>960010,168</t>
  </si>
  <si>
    <t>菊烟如诗(30天)</t>
  </si>
  <si>
    <t>获得后可免费体验&lt;color=#fff442&gt;30&lt;/color&gt;天母球-&lt;color=#fff442&gt;菊烟如诗&lt;/color&gt;。</t>
  </si>
  <si>
    <t>960010,720</t>
  </si>
  <si>
    <t>元旦祈愿(1天)</t>
  </si>
  <si>
    <t>获得后可免费体验&lt;color=#fff442&gt;1&lt;/color&gt;天母球-&lt;color=#fff442&gt;元旦祈愿&lt;/color&gt;。</t>
  </si>
  <si>
    <t>960011,24</t>
  </si>
  <si>
    <t>元旦祈愿(3天)</t>
  </si>
  <si>
    <t>获得后可免费体验&lt;color=#fff442&gt;3&lt;/color&gt;天母球-&lt;color=#fff442&gt;元旦祈愿&lt;/color&gt;。</t>
  </si>
  <si>
    <t>960011,72</t>
  </si>
  <si>
    <t>元旦祈愿(7天)</t>
  </si>
  <si>
    <t>获得后可免费体验&lt;color=#fff442&gt;7&lt;/color&gt;天母球-&lt;color=#fff442&gt;元旦祈愿&lt;/color&gt;。</t>
  </si>
  <si>
    <t>960011,168</t>
  </si>
  <si>
    <t>元旦祈愿(30天)</t>
  </si>
  <si>
    <t>获得后可免费体验&lt;color=#fff442&gt;30&lt;/color&gt;天母球-&lt;color=#fff442&gt;元旦祈愿&lt;/color&gt;。</t>
  </si>
  <si>
    <t>960011,720</t>
  </si>
  <si>
    <t>960012,24</t>
  </si>
  <si>
    <t>960012,72</t>
  </si>
  <si>
    <t>960012,168</t>
  </si>
  <si>
    <t>960012,720</t>
  </si>
  <si>
    <t>鲜花</t>
  </si>
  <si>
    <t>赠人鲜花手留余香</t>
  </si>
  <si>
    <t>icon_1000001</t>
  </si>
  <si>
    <t>能量饮料</t>
  </si>
  <si>
    <t>0糖0卡，健康选择！</t>
  </si>
  <si>
    <t>icon_1000002</t>
  </si>
  <si>
    <t>送给思念的人~</t>
  </si>
  <si>
    <t>icon_1000003</t>
  </si>
  <si>
    <t>蛋糕</t>
  </si>
  <si>
    <t>不过生日，也可以收蛋糕</t>
  </si>
  <si>
    <t>icon_1000004</t>
  </si>
  <si>
    <t>敞篷超跑</t>
  </si>
  <si>
    <t>能追上我的思必得吗</t>
  </si>
  <si>
    <t>icon_1000005</t>
  </si>
  <si>
    <t>私人飞机</t>
  </si>
  <si>
    <t>芜湖，起飞咯~</t>
  </si>
  <si>
    <t>icon_1000006</t>
  </si>
  <si>
    <t>豪华游艇</t>
  </si>
  <si>
    <t>豪华游艇，激起波涛骇浪</t>
  </si>
  <si>
    <t>icon_1000007</t>
  </si>
  <si>
    <t>大火箭</t>
  </si>
  <si>
    <t>全体人员注意了，开火！</t>
  </si>
  <si>
    <t>icon_1000008</t>
  </si>
  <si>
    <t>小心心</t>
  </si>
  <si>
    <t>一颗小心心，人气值+1</t>
  </si>
  <si>
    <t>icon_1000009</t>
  </si>
  <si>
    <t>人气偶像(徽章)</t>
  </si>
  <si>
    <t>人气榜周榜获得</t>
  </si>
  <si>
    <t>icon_1010001</t>
  </si>
  <si>
    <t>27</t>
  </si>
  <si>
    <t>人气大神(徽章)</t>
  </si>
  <si>
    <t>人气榜总榜获得</t>
  </si>
  <si>
    <t>icon_1010002</t>
  </si>
  <si>
    <t>28</t>
  </si>
  <si>
    <t>爱心背景图1</t>
  </si>
  <si>
    <t>icon_1020001</t>
  </si>
  <si>
    <t>火焰背景图2</t>
  </si>
  <si>
    <t>icon_1020002</t>
  </si>
  <si>
    <t>极光背景图3</t>
  </si>
  <si>
    <t>icon_1020003</t>
  </si>
  <si>
    <t>夜城背景图4</t>
  </si>
  <si>
    <t>icon_1020004</t>
  </si>
  <si>
    <t>爱心光效1</t>
  </si>
  <si>
    <t>icon_1030001</t>
  </si>
  <si>
    <t>火焰光效2</t>
  </si>
  <si>
    <t>icon_1030002</t>
  </si>
  <si>
    <t>极光光效3</t>
  </si>
  <si>
    <t>icon_1030003</t>
  </si>
  <si>
    <t>夜城光效4</t>
  </si>
  <si>
    <t>icon_1030004</t>
  </si>
  <si>
    <t>cue</t>
  </si>
  <si>
    <t>最终属性=初始属性+星级绝对值加成*(1+系数/100)</t>
  </si>
  <si>
    <t>球杆类型</t>
  </si>
  <si>
    <t>耐久度</t>
  </si>
  <si>
    <t>进球、拖尾特效</t>
  </si>
  <si>
    <t>瞄准线等级</t>
  </si>
  <si>
    <t>进阶球杆id</t>
  </si>
  <si>
    <t>力度</t>
  </si>
  <si>
    <t>加塞</t>
  </si>
  <si>
    <t>瞄准</t>
  </si>
  <si>
    <t>魅力评分</t>
  </si>
  <si>
    <t>专属升星材料</t>
  </si>
  <si>
    <t>专属进阶材料</t>
  </si>
  <si>
    <t>补偿碎片ID</t>
  </si>
  <si>
    <t>补偿碎片</t>
  </si>
  <si>
    <t>球杆主属性</t>
  </si>
  <si>
    <t>满即预览按钮配置</t>
  </si>
  <si>
    <t>durability</t>
  </si>
  <si>
    <t>effect_id</t>
  </si>
  <si>
    <t>level_aim</t>
  </si>
  <si>
    <t>id_advanced</t>
  </si>
  <si>
    <t>force</t>
  </si>
  <si>
    <t>spin</t>
  </si>
  <si>
    <t>aim</t>
  </si>
  <si>
    <t>charm_value</t>
  </si>
  <si>
    <t>force_factor</t>
  </si>
  <si>
    <t>spin_factor</t>
  </si>
  <si>
    <t>aim_factor</t>
  </si>
  <si>
    <t>charm_value_factor</t>
  </si>
  <si>
    <t>compensation</t>
  </si>
  <si>
    <t>count_comp</t>
  </si>
  <si>
    <t>cue_main</t>
  </si>
  <si>
    <t>button</t>
  </si>
  <si>
    <t>list</t>
  </si>
  <si>
    <t>获得品阶</t>
  </si>
  <si>
    <t>补偿数量</t>
  </si>
  <si>
    <t>,</t>
  </si>
  <si>
    <t>[]</t>
  </si>
  <si>
    <t>C</t>
  </si>
  <si>
    <t>B</t>
  </si>
  <si>
    <t>A</t>
  </si>
  <si>
    <t>S</t>
  </si>
  <si>
    <t>SS</t>
  </si>
  <si>
    <t>SSS</t>
  </si>
  <si>
    <t>[2,61]</t>
  </si>
  <si>
    <t>[1,0]</t>
  </si>
  <si>
    <t>[2,105]</t>
  </si>
  <si>
    <t>枫林尽染</t>
  </si>
  <si>
    <t>时光秩序</t>
  </si>
  <si>
    <t>[2,106]</t>
  </si>
  <si>
    <t>元旦球杆</t>
  </si>
  <si>
    <t>春节球杆</t>
  </si>
  <si>
    <t>地狱火焰(体验球杆)</t>
  </si>
  <si>
    <t>国色天香(体验球杆)</t>
  </si>
  <si>
    <t>白银球杆(体验球杆)</t>
  </si>
  <si>
    <t>骑士长枪(体验球杆)</t>
  </si>
  <si>
    <t>如鱼得水(体验球杆)</t>
  </si>
  <si>
    <t>街头潮牌(体验球杆)</t>
  </si>
  <si>
    <t>紫金葫芦(体验球杆)</t>
  </si>
  <si>
    <t>黑色琴键(体验球杆)</t>
  </si>
  <si>
    <t>电音吉他(体验球杆)</t>
  </si>
  <si>
    <t>台球麦霸(体验球杆)</t>
  </si>
  <si>
    <t>喵星物语(体验球杆)</t>
  </si>
  <si>
    <t>夏日海滩(体验球杆)</t>
  </si>
  <si>
    <t>圣诞糖果(体验球杆)</t>
  </si>
  <si>
    <t>圣诞树(体验球杆)</t>
  </si>
  <si>
    <t>黄铜球杆(体验球杆)</t>
  </si>
  <si>
    <t>梅花三弄(体验球杆)</t>
  </si>
  <si>
    <t>龙回头(体验球杆)</t>
  </si>
  <si>
    <t>成就大师(体验球杆)</t>
  </si>
  <si>
    <t>台球达人(体验球杆)</t>
  </si>
  <si>
    <t>雄鹰权杖(体验球杆)</t>
  </si>
  <si>
    <t>双龙戏珠(体验)</t>
  </si>
  <si>
    <t>流光宝石(体验)</t>
  </si>
  <si>
    <t>枫叶(体验)</t>
  </si>
  <si>
    <t>劳动光荣(体验)</t>
  </si>
  <si>
    <t>楠木球杆(体验)</t>
  </si>
  <si>
    <t>智慧权杖(体验)</t>
  </si>
  <si>
    <t>权力之杖(体验)</t>
  </si>
  <si>
    <t>橡木球杆(体验)</t>
  </si>
  <si>
    <t>龙凤呈祥(体验球杆)</t>
  </si>
  <si>
    <t>鸿运萝卜(体验球杆)</t>
  </si>
  <si>
    <t>上上签(体验球杆)</t>
  </si>
  <si>
    <t>吉运锦鲤(体验球杆)</t>
  </si>
  <si>
    <t>黄金闪耀(体验球杆)</t>
  </si>
  <si>
    <t>真爱花束(体验球杆)</t>
  </si>
  <si>
    <t>至尊皇权(体验球杆)</t>
  </si>
  <si>
    <t>梦幻学园(体验球杆)</t>
  </si>
  <si>
    <t>弧电枪(体验球杆)</t>
  </si>
  <si>
    <t>核心驱动(体验球杆)</t>
  </si>
  <si>
    <t>愿者上钩(体验球杆)</t>
  </si>
  <si>
    <t>桃之夭夭(体验球杆)</t>
  </si>
  <si>
    <t>神圣羽杖(体验球杆)</t>
  </si>
  <si>
    <t>蓝梦月泪(体验球杆)</t>
  </si>
  <si>
    <t>蒸汽核心(体验球杆)</t>
  </si>
  <si>
    <t>箬竹翠韵(体验球杆)</t>
  </si>
  <si>
    <t>茱影浮翠(体验球杆)</t>
  </si>
  <si>
    <t>张灯结彩(体验球杆)</t>
  </si>
  <si>
    <t>喵星物语(专属球杆)</t>
  </si>
  <si>
    <t>cue_level</t>
  </si>
  <si>
    <t>球杆升级属性配置</t>
  </si>
  <si>
    <t>品质</t>
  </si>
  <si>
    <t>星级</t>
  </si>
  <si>
    <t>升级类型</t>
  </si>
  <si>
    <t>力度绝对值</t>
  </si>
  <si>
    <t>加塞绝对值</t>
  </si>
  <si>
    <t>瞄准绝对值</t>
  </si>
  <si>
    <t>魅力评分绝对值</t>
  </si>
  <si>
    <t>材料1消耗数量</t>
  </si>
  <si>
    <t>通用材料</t>
  </si>
  <si>
    <t>材料2消耗数量</t>
  </si>
  <si>
    <t>熟练度消耗</t>
  </si>
  <si>
    <t>star</t>
  </si>
  <si>
    <t>upgrade_type</t>
  </si>
  <si>
    <t>force_ratio</t>
  </si>
  <si>
    <t>spin_ratio</t>
  </si>
  <si>
    <t>aim_ratio</t>
  </si>
  <si>
    <t>charm_value_ratio</t>
  </si>
  <si>
    <t>fir_material_count</t>
  </si>
  <si>
    <t>sec_material_count</t>
  </si>
  <si>
    <t>multikey,lua,pb,json</t>
  </si>
  <si>
    <t>cue_attribute</t>
  </si>
  <si>
    <t>球杆品质属性上限</t>
  </si>
  <si>
    <t>力度最大值</t>
  </si>
  <si>
    <t>加塞最大值</t>
  </si>
  <si>
    <t>瞄准最大值</t>
  </si>
  <si>
    <t>魅力评分最大值</t>
  </si>
  <si>
    <t>force_max</t>
  </si>
  <si>
    <t>spin_max</t>
  </si>
  <si>
    <t>aim_max</t>
  </si>
  <si>
    <t>charm_max</t>
  </si>
  <si>
    <t>cue_experience</t>
  </si>
  <si>
    <t>体验球杆id</t>
  </si>
  <si>
    <t>对应球杆id</t>
  </si>
  <si>
    <t>货币类型</t>
  </si>
  <si>
    <t>直售价格</t>
  </si>
  <si>
    <t>原价</t>
  </si>
  <si>
    <t>我要变强</t>
  </si>
  <si>
    <t>experience_id</t>
  </si>
  <si>
    <t>cue_id</t>
  </si>
  <si>
    <t>type_money</t>
  </si>
  <si>
    <t>price</t>
  </si>
  <si>
    <t>ori_price</t>
  </si>
  <si>
    <t>strong</t>
  </si>
  <si>
    <t>新球杆</t>
  </si>
  <si>
    <t>原木球杆(体验球杆)</t>
  </si>
  <si>
    <t>双龙戏珠SS</t>
  </si>
  <si>
    <t>喵星物语SS</t>
  </si>
  <si>
    <t>clothes</t>
  </si>
  <si>
    <t>服装属性配置</t>
  </si>
  <si>
    <t>补偿物品ID</t>
  </si>
  <si>
    <t>经典服饰</t>
  </si>
  <si>
    <t>服装2</t>
  </si>
  <si>
    <t>服装3</t>
  </si>
  <si>
    <t>服装4</t>
  </si>
  <si>
    <t>quality_price</t>
  </si>
  <si>
    <t>球杆品质价位配置</t>
  </si>
  <si>
    <t>品质id</t>
  </si>
  <si>
    <t>A级品质球杆</t>
  </si>
  <si>
    <t>S级品质球杆</t>
  </si>
  <si>
    <t>SS级品质球杆</t>
  </si>
  <si>
    <t>SSS级品质球杆</t>
  </si>
  <si>
    <t>combination</t>
  </si>
  <si>
    <t>合成对应配置</t>
  </si>
  <si>
    <t>待合成物品序号</t>
  </si>
  <si>
    <t>消耗碎片序号</t>
  </si>
  <si>
    <t>合成消耗数量</t>
  </si>
  <si>
    <t>可合成性别</t>
  </si>
  <si>
    <t>com_id</t>
  </si>
  <si>
    <t>piece_id</t>
  </si>
  <si>
    <t>count</t>
  </si>
  <si>
    <t>sex_can</t>
  </si>
  <si>
    <t>原配置</t>
  </si>
  <si>
    <t>等级</t>
  </si>
  <si>
    <t>备注</t>
  </si>
  <si>
    <t>[[30,0]]</t>
  </si>
  <si>
    <t>[[200,0]]</t>
  </si>
  <si>
    <t>[[1000,0]]</t>
  </si>
  <si>
    <t>SS起步</t>
  </si>
  <si>
    <t>[[100,0]]</t>
  </si>
  <si>
    <t>[[500,0]]</t>
  </si>
  <si>
    <t>S级起步</t>
  </si>
  <si>
    <t>C级起步</t>
  </si>
  <si>
    <t>[[50,0]]</t>
  </si>
  <si>
    <t>A级起步</t>
  </si>
  <si>
    <t>电音吉他S</t>
  </si>
  <si>
    <t>龙回头A</t>
  </si>
  <si>
    <t>[[80,0]]</t>
  </si>
  <si>
    <t>B级起步</t>
  </si>
  <si>
    <t>c</t>
  </si>
  <si>
    <t>[[3000,0]]</t>
  </si>
  <si>
    <t>SSS级起步</t>
  </si>
  <si>
    <t>Z</t>
  </si>
  <si>
    <t>cue_table</t>
  </si>
  <si>
    <t>球桌补偿配置</t>
  </si>
  <si>
    <t>球桌详情图</t>
  </si>
  <si>
    <t>table_picture</t>
  </si>
  <si>
    <t>picture_1</t>
  </si>
  <si>
    <t>picture_300001</t>
  </si>
  <si>
    <t>picture_300002</t>
  </si>
  <si>
    <t>picture_300003</t>
  </si>
  <si>
    <t>暖橘球桌</t>
  </si>
  <si>
    <t>picture_300004</t>
  </si>
  <si>
    <t>picture_300005</t>
  </si>
  <si>
    <t>picture_300006</t>
  </si>
  <si>
    <t>picture_300007</t>
  </si>
  <si>
    <t>picture_300008</t>
  </si>
  <si>
    <t>picture_300009</t>
  </si>
  <si>
    <t>picture_300010</t>
  </si>
  <si>
    <t>picture_300011</t>
  </si>
  <si>
    <t>picture_300012</t>
  </si>
  <si>
    <t>picture_300013</t>
  </si>
  <si>
    <t>picture_300014</t>
  </si>
  <si>
    <t>picture_300015</t>
  </si>
  <si>
    <t>picture_300016</t>
  </si>
  <si>
    <t>picture_300017</t>
  </si>
  <si>
    <t>picture_300018</t>
  </si>
  <si>
    <t>picture_300019</t>
  </si>
  <si>
    <t>战场球桌</t>
  </si>
  <si>
    <t>picture_300020</t>
  </si>
  <si>
    <t>picture_300021</t>
  </si>
  <si>
    <t>圣诞球桌</t>
  </si>
  <si>
    <t>picture_300022</t>
  </si>
  <si>
    <t>新春球桌</t>
  </si>
  <si>
    <t>picture_300023</t>
  </si>
  <si>
    <t>picture_300024</t>
  </si>
  <si>
    <t>picture_300025</t>
  </si>
  <si>
    <t>picture_300026</t>
  </si>
  <si>
    <t>picture_300027</t>
  </si>
  <si>
    <t>端午球桌</t>
  </si>
  <si>
    <t>picture_300028</t>
  </si>
  <si>
    <t>head</t>
  </si>
  <si>
    <t>头像、头像框配置表</t>
  </si>
  <si>
    <t>显示分类</t>
  </si>
  <si>
    <t>是否初始拥有</t>
  </si>
  <si>
    <t>解锁条件id</t>
  </si>
  <si>
    <t>条件解释字段</t>
  </si>
  <si>
    <t>条件语言序号</t>
  </si>
  <si>
    <t>获得方式跳转</t>
  </si>
  <si>
    <t>显示顺序</t>
  </si>
  <si>
    <t>item_id</t>
  </si>
  <si>
    <t>show</t>
  </si>
  <si>
    <t>type_show</t>
  </si>
  <si>
    <t>have_If</t>
  </si>
  <si>
    <t>condition</t>
  </si>
  <si>
    <t>link</t>
  </si>
  <si>
    <t>order</t>
  </si>
  <si>
    <t>无解锁条件</t>
  </si>
  <si>
    <t>1,200002</t>
  </si>
  <si>
    <t>获得首充服装-街头潮牌后解锁</t>
  </si>
  <si>
    <t>玲珑专属活动获得</t>
  </si>
  <si>
    <t>绿茵专属活动获得</t>
  </si>
  <si>
    <t>青涩回忆专属活动获得</t>
  </si>
  <si>
    <t>寻金探宝专属活动获得</t>
  </si>
  <si>
    <t>仙缘觅宝专属活动获得</t>
  </si>
  <si>
    <t>寻梦西游专属活动获得</t>
  </si>
  <si>
    <t>寻梦奇缘专属活动获得</t>
  </si>
  <si>
    <t>账号等级达到&lt;color=#FF767A&gt;30&lt;/color&gt;级</t>
  </si>
  <si>
    <t>VIP等级达到&lt;color=#FF767A&gt;1&lt;/color&gt;</t>
  </si>
  <si>
    <t>VIP等级达到&lt;color=#FF767A&gt;2&lt;/color&gt;</t>
  </si>
  <si>
    <t>VIP等级达到&lt;color=#FF767A&gt;3&lt;/color&gt;</t>
  </si>
  <si>
    <t>VIP等级达到&lt;color=#FF767A&gt;4&lt;/color&gt;</t>
  </si>
  <si>
    <t>VIP等级达到&lt;color=#FF767A&gt;5&lt;/color&gt;</t>
  </si>
  <si>
    <t>VIP等级达到&lt;color=#FF767A&gt;6&lt;/color&gt;</t>
  </si>
  <si>
    <t>VIP等级达到&lt;color=#FF767A&gt;7&lt;/color&gt;</t>
  </si>
  <si>
    <t>VIP等级达到&lt;color=#FF767A&gt;8&lt;/color&gt;</t>
  </si>
  <si>
    <t>成就等级达到&lt;color=#FF767A&gt;20&lt;/color&gt;级</t>
  </si>
  <si>
    <t>1,100161,100162</t>
  </si>
  <si>
    <t>拥有梅花三弄永久球杆</t>
  </si>
  <si>
    <t>累计消耗&lt;color=#FF767A&gt;5000&lt;/color&gt;钻石</t>
  </si>
  <si>
    <t>对局累计盈利&lt;color=#FF767A&gt;100000&lt;/color&gt;金币</t>
  </si>
  <si>
    <t>首充任意金额即可获得</t>
  </si>
  <si>
    <t>参与活动免费获取</t>
  </si>
  <si>
    <t>俱乐部盈利榜获得第一名</t>
  </si>
  <si>
    <t>俱乐部盈利榜获得2~4名</t>
  </si>
  <si>
    <t>俱乐部盈利榜获得5~10名</t>
  </si>
  <si>
    <t>免广告7日特权头像框</t>
  </si>
  <si>
    <t>S1联赛活动中俱乐部获得冠军</t>
  </si>
  <si>
    <t>S2联赛活动中俱乐部获得冠军</t>
  </si>
  <si>
    <t>S3联赛活动中俱乐部获得冠军</t>
  </si>
  <si>
    <t>S4联赛活动中俱乐部获得冠军</t>
  </si>
  <si>
    <t>S5联赛活动中俱乐部获得冠军</t>
  </si>
  <si>
    <t>王孟南专属活动中兑换</t>
  </si>
  <si>
    <t>1,388</t>
  </si>
  <si>
    <t>388钻石直购</t>
  </si>
  <si>
    <t>通行证活动中获取</t>
  </si>
  <si>
    <t>完成首播任务获得</t>
  </si>
  <si>
    <t>完成每周直播对局任务获得</t>
  </si>
  <si>
    <t>琥珀荣誉头像框</t>
  </si>
  <si>
    <t>璀璨荣誉头像框</t>
  </si>
  <si>
    <t>端午节头像框</t>
  </si>
  <si>
    <t>海洋之心头像框</t>
  </si>
  <si>
    <t>弧电枪头像框</t>
  </si>
  <si>
    <t>冰源风暴头像框</t>
  </si>
  <si>
    <t>金色权杖头像框</t>
  </si>
  <si>
    <t>闯关中赢下&lt;color=#FF767A&gt;潘小婷&lt;/color&gt;获得</t>
  </si>
  <si>
    <t>闯关中赢下&lt;color=#FF767A&gt;丁小辉&lt;/color&gt;获得</t>
  </si>
  <si>
    <t>闯关中赢下&lt;color=#FF767A&gt;史蒂芬&lt;/color&gt;获得</t>
  </si>
  <si>
    <t>闯关中赢下&lt;color=#FF767A&gt;马克&lt;/color&gt;获得</t>
  </si>
  <si>
    <t>闯关中赢下&lt;color=#FF767A&gt;大卫&lt;/color&gt;获得</t>
  </si>
  <si>
    <t>闯关中赢下&lt;color=#FF767A&gt;颜小韬&lt;/color&gt;获得</t>
  </si>
  <si>
    <t>闯关中赢下&lt;color=#FF767A&gt;傅小俊&lt;/color&gt;获得</t>
  </si>
  <si>
    <t>闯关中赢下&lt;color=#FF767A&gt;梁小博&lt;/color&gt;获得</t>
  </si>
  <si>
    <t>闯关中赢下&lt;color=#FF767A&gt;史蒂夫&lt;/color&gt;获得</t>
  </si>
  <si>
    <t>闯关中赢下&lt;color=#FF767A&gt;车小兰&lt;/color&gt;获得</t>
  </si>
  <si>
    <t>闯关中赢下&lt;color=#FF767A&gt;詹姆斯&lt;/color&gt;获得</t>
  </si>
  <si>
    <t>闯关中赢下&lt;color=#FF767A&gt;罗小逊&lt;/color&gt;获得</t>
  </si>
  <si>
    <t>闯关中赢下&lt;color=#FF767A&gt;希小斯&lt;/color&gt;获得</t>
  </si>
  <si>
    <t>闯关中赢下&lt;color=#FF767A&gt;鲨鱼利文&lt;/color&gt;获得</t>
  </si>
  <si>
    <t>闯关中赢下&lt;color=#FF767A&gt;洋哥&lt;/color&gt;获得</t>
  </si>
  <si>
    <t>闯关中赢下&lt;color=#FF767A&gt;玛蒂&lt;/color&gt;获得</t>
  </si>
  <si>
    <t>闯关中赢下&lt;color=#FF767A&gt;林小雨&lt;/color&gt;获得</t>
  </si>
  <si>
    <t>默认初始气泡</t>
  </si>
  <si>
    <t>参与特殊活动获得</t>
  </si>
  <si>
    <t>1,100051,100052.100053</t>
  </si>
  <si>
    <t>拥有永久球杆-如鱼得水后自动解锁</t>
  </si>
  <si>
    <t>王孟南专属活动获得</t>
  </si>
  <si>
    <t>商城购买大喇叭获得</t>
  </si>
  <si>
    <t>商城购买小喇叭获得</t>
  </si>
  <si>
    <t>购买获得</t>
  </si>
  <si>
    <t>新春专属活动获得</t>
  </si>
  <si>
    <t>情缘专属活动获得</t>
  </si>
  <si>
    <t>蒸汽秩序专属活动获得</t>
  </si>
  <si>
    <t>送礼榜周榜前三获得</t>
  </si>
  <si>
    <t>送礼榜总榜前三获得</t>
  </si>
  <si>
    <t>限时夺宝活动获得</t>
  </si>
  <si>
    <t>默认初始倒计时</t>
  </si>
  <si>
    <t>1,688</t>
  </si>
  <si>
    <t>商城购买冰雪倒计时</t>
  </si>
  <si>
    <t>商城购买虎爪倒计时</t>
  </si>
  <si>
    <t>1,1088</t>
  </si>
  <si>
    <t>玲珑主题专属青龙倒计时</t>
  </si>
  <si>
    <t>新春主题专属倒计时</t>
  </si>
  <si>
    <t>情缘主题专属倒计时</t>
  </si>
  <si>
    <t>青涩回忆专属倒计时</t>
  </si>
  <si>
    <t>寻金探宝专属倒计时</t>
  </si>
  <si>
    <t>direct_purchase</t>
  </si>
  <si>
    <t>道具直购参考价格表</t>
  </si>
  <si>
    <t>物品</t>
  </si>
  <si>
    <t>价格</t>
  </si>
  <si>
    <t>cue_effect</t>
  </si>
  <si>
    <t>Z杆特效表</t>
  </si>
  <si>
    <t>球杆id</t>
  </si>
  <si>
    <t>特效</t>
  </si>
  <si>
    <t>显示区域宽高</t>
  </si>
  <si>
    <t>显示区域锚点</t>
  </si>
  <si>
    <t>显示区域坐标</t>
  </si>
  <si>
    <t>effect</t>
  </si>
  <si>
    <t>size</t>
  </si>
  <si>
    <t>pivot</t>
  </si>
  <si>
    <t>pos</t>
  </si>
  <si>
    <t>1,2,3</t>
  </si>
  <si>
    <t>128,450</t>
  </si>
  <si>
    <t>64,450</t>
  </si>
  <si>
    <t>4,5,6</t>
  </si>
  <si>
    <t>300,128</t>
  </si>
  <si>
    <t>300,64</t>
  </si>
  <si>
    <t>7,8,9</t>
  </si>
  <si>
    <t>150,380</t>
  </si>
  <si>
    <t>75,380</t>
  </si>
  <si>
    <t>75,450</t>
  </si>
  <si>
    <t>10,11,12</t>
  </si>
  <si>
    <t>球杆特效资源表</t>
  </si>
  <si>
    <t>特效id</t>
  </si>
  <si>
    <t>特效名称</t>
  </si>
  <si>
    <t>特效宽高</t>
  </si>
  <si>
    <t>特效锚点</t>
  </si>
  <si>
    <t>特效坐标</t>
  </si>
  <si>
    <t>特效缩放</t>
  </si>
  <si>
    <t>特效旋转角度</t>
  </si>
  <si>
    <t>scale</t>
  </si>
  <si>
    <t>rotation</t>
  </si>
  <si>
    <t>100333_Batting_cue_fx</t>
  </si>
  <si>
    <t>1,1</t>
  </si>
  <si>
    <t>100333_Batting_fx</t>
  </si>
  <si>
    <t>280,280</t>
  </si>
  <si>
    <t>140,140</t>
  </si>
  <si>
    <t>2,2</t>
  </si>
  <si>
    <t>100333_Batting_Hit_fx</t>
  </si>
  <si>
    <t>278,278</t>
  </si>
  <si>
    <t>139,139</t>
  </si>
  <si>
    <t>450,450</t>
  </si>
  <si>
    <t>100353_Batting_cue_fx</t>
  </si>
  <si>
    <t>75,0</t>
  </si>
  <si>
    <t>120</t>
  </si>
  <si>
    <t>60</t>
  </si>
  <si>
    <t>100353_Batting_Hit_fx</t>
  </si>
  <si>
    <t>400,300</t>
  </si>
  <si>
    <t>101314_Batting_fx</t>
  </si>
  <si>
    <t>101314_Batting_fx02</t>
  </si>
  <si>
    <t>420,420</t>
  </si>
  <si>
    <t>210,210</t>
  </si>
  <si>
    <t>101314_Batting_Hit_fx</t>
  </si>
  <si>
    <t>400,400</t>
  </si>
  <si>
    <t>200,200</t>
  </si>
  <si>
    <t>380,380</t>
  </si>
  <si>
    <t>101434_Batting_jian_fx</t>
  </si>
  <si>
    <t>128,400</t>
  </si>
  <si>
    <t>64,400</t>
  </si>
  <si>
    <t>-60</t>
  </si>
  <si>
    <t>101434_Batting_jian_fx02</t>
  </si>
  <si>
    <t>200,450</t>
  </si>
  <si>
    <t>100,450</t>
  </si>
  <si>
    <t>101434_Batting_Hit_fx</t>
  </si>
  <si>
    <t>225,225</t>
  </si>
  <si>
    <t>icon_101474</t>
    <phoneticPr fontId="37" type="noConversion"/>
  </si>
  <si>
    <t>音律(3天)</t>
    <phoneticPr fontId="37" type="noConversion"/>
  </si>
  <si>
    <t>获得后可免费体验&lt;color=#fff442&gt;3&lt;/color&gt;天拖尾效果-&lt;color=#fff442&gt;音律&lt;/color&gt;。</t>
    <phoneticPr fontId="37" type="noConversion"/>
  </si>
  <si>
    <t>icon_940005</t>
    <phoneticPr fontId="37" type="noConversion"/>
  </si>
  <si>
    <t>940005,72</t>
    <phoneticPr fontId="37" type="noConversion"/>
  </si>
  <si>
    <t>音爆(3天)</t>
    <phoneticPr fontId="37" type="noConversion"/>
  </si>
  <si>
    <t>获得后可免费体验&lt;color=#fff442&gt;3&lt;/color&gt;天进洞效果-&lt;color=#fff442&gt;音爆&lt;/color&gt;。</t>
    <phoneticPr fontId="37" type="noConversion"/>
  </si>
  <si>
    <t>icon_950005</t>
    <phoneticPr fontId="37" type="noConversion"/>
  </si>
  <si>
    <t>950005,72</t>
    <phoneticPr fontId="37" type="noConversion"/>
  </si>
  <si>
    <t>龙影剑</t>
  </si>
  <si>
    <t>龙影剑</t>
    <phoneticPr fontId="37" type="noConversion"/>
  </si>
  <si>
    <t>黑龙魔镰</t>
    <phoneticPr fontId="37" type="noConversion"/>
  </si>
  <si>
    <t>像素主题球杆，品质等级SSS</t>
    <phoneticPr fontId="37" type="noConversion"/>
  </si>
  <si>
    <t>黑龙魔镰</t>
    <phoneticPr fontId="38" type="noConversion"/>
  </si>
  <si>
    <t>龙影剑碎片</t>
    <phoneticPr fontId="37" type="noConversion"/>
  </si>
  <si>
    <t>黑龙魔镰碎片</t>
    <phoneticPr fontId="37" type="noConversion"/>
  </si>
  <si>
    <t>龙年春节主题服装</t>
    <phoneticPr fontId="37" type="noConversion"/>
  </si>
  <si>
    <t>黑龙魔镰</t>
    <phoneticPr fontId="38" type="noConversion"/>
  </si>
  <si>
    <t>Z</t>
    <phoneticPr fontId="38" type="noConversion"/>
  </si>
  <si>
    <t>[[200,0]]</t>
    <phoneticPr fontId="38" type="noConversion"/>
  </si>
  <si>
    <t>如意金箍棒</t>
    <phoneticPr fontId="38" type="noConversion"/>
  </si>
  <si>
    <t>[1,0]</t>
    <phoneticPr fontId="38" type="noConversion"/>
  </si>
  <si>
    <t>8球职业厅普通宝箱</t>
  </si>
  <si>
    <t>8球职业厅稀有宝箱</t>
  </si>
  <si>
    <t>8球职业厅史诗宝箱</t>
  </si>
  <si>
    <t>8球职业厅传说宝箱</t>
  </si>
  <si>
    <t>icon_101461</t>
    <phoneticPr fontId="37" type="noConversion"/>
  </si>
  <si>
    <t>使用后可体验&lt;color=#fff442&gt;1天&lt;/color&gt;S级满星球杆-龙影剑。</t>
    <phoneticPr fontId="37" type="noConversion"/>
  </si>
  <si>
    <t>S-龙影剑(1天）</t>
    <phoneticPr fontId="37" type="noConversion"/>
  </si>
  <si>
    <t>121462,24</t>
    <phoneticPr fontId="37" type="noConversion"/>
  </si>
  <si>
    <t>icon_101462</t>
    <phoneticPr fontId="37" type="noConversion"/>
  </si>
  <si>
    <t>0</t>
    <phoneticPr fontId="37" type="noConversion"/>
  </si>
  <si>
    <t>魔镰拖尾</t>
    <phoneticPr fontId="37" type="noConversion"/>
  </si>
  <si>
    <t>魔镰进洞</t>
    <phoneticPr fontId="37" type="noConversion"/>
  </si>
  <si>
    <t>龙腾</t>
    <phoneticPr fontId="37" type="noConversion"/>
  </si>
  <si>
    <t>炽烈金光</t>
    <phoneticPr fontId="37" type="noConversion"/>
  </si>
  <si>
    <t>盘龙</t>
    <phoneticPr fontId="37" type="noConversion"/>
  </si>
  <si>
    <t>发财大吉</t>
    <phoneticPr fontId="37" type="noConversion"/>
  </si>
  <si>
    <t>2024年春节专属头像框</t>
    <phoneticPr fontId="37" type="noConversion"/>
  </si>
  <si>
    <t>龙腾盛世男角色的头像</t>
    <phoneticPr fontId="37" type="noConversion"/>
  </si>
  <si>
    <t>龙腾盛世女角色的头像</t>
    <phoneticPr fontId="37" type="noConversion"/>
  </si>
  <si>
    <t>兑换币</t>
    <phoneticPr fontId="37" type="noConversion"/>
  </si>
  <si>
    <t>限时活跃活动获得，可用于限时活动的兑换商店兑换好礼。</t>
    <phoneticPr fontId="37" type="noConversion"/>
  </si>
  <si>
    <t>限时抽奖活动获取，可用于限时抽奖的兑换商店兑换好礼。</t>
    <phoneticPr fontId="37" type="noConversion"/>
  </si>
  <si>
    <t>龙腾盛世</t>
    <phoneticPr fontId="37" type="noConversion"/>
  </si>
  <si>
    <t>龙腾盛世气泡</t>
    <phoneticPr fontId="37" type="noConversion"/>
  </si>
  <si>
    <t>龙腾盛世限时夺宝专属气泡</t>
    <phoneticPr fontId="37" type="noConversion"/>
  </si>
  <si>
    <t>13,14,15</t>
  </si>
  <si>
    <t>150,320</t>
  </si>
  <si>
    <t>75,320</t>
  </si>
  <si>
    <t>361,404</t>
  </si>
  <si>
    <t>101444_Batting_loop</t>
  </si>
  <si>
    <t>101444_Batting_dao</t>
  </si>
  <si>
    <t>256,256</t>
  </si>
  <si>
    <t>0,0</t>
  </si>
  <si>
    <t>-40,0</t>
  </si>
  <si>
    <t>15</t>
  </si>
  <si>
    <t>101444_Batting_Hit</t>
  </si>
  <si>
    <t>420,510</t>
  </si>
  <si>
    <t>210,255</t>
  </si>
  <si>
    <t>380,320</t>
  </si>
  <si>
    <t>炽烈金光(1天)</t>
    <phoneticPr fontId="37" type="noConversion"/>
  </si>
  <si>
    <t>炽烈金光(3天)</t>
    <phoneticPr fontId="37" type="noConversion"/>
  </si>
  <si>
    <t>炽烈金光(7天)</t>
    <phoneticPr fontId="37" type="noConversion"/>
  </si>
  <si>
    <t>炽烈金光(30天)</t>
    <phoneticPr fontId="37" type="noConversion"/>
  </si>
  <si>
    <t>获得后可免费体验&lt;color=#fff442&gt;1&lt;/color&gt;天进洞效果-&lt;color=#fff442&gt;炽烈金光&lt;/color&gt;。</t>
    <phoneticPr fontId="37" type="noConversion"/>
  </si>
  <si>
    <t>获得后可免费体验&lt;color=#fff442&gt;3&lt;/color&gt;天进洞效果-&lt;color=#fff442&gt;炽烈金光&lt;/color&gt;。</t>
    <phoneticPr fontId="37" type="noConversion"/>
  </si>
  <si>
    <t>获得后可免费体验&lt;color=#fff442&gt;7&lt;/color&gt;天进洞效果-&lt;color=#fff442&gt;炽烈金光&lt;/color&gt;。</t>
    <phoneticPr fontId="37" type="noConversion"/>
  </si>
  <si>
    <t>获得后可免费体验&lt;color=#fff442&gt;30&lt;/color&gt;天进洞效果-&lt;color=#fff442&gt;炽烈金光&lt;/color&gt;。</t>
    <phoneticPr fontId="37" type="noConversion"/>
  </si>
  <si>
    <t>龙腾(1天)</t>
  </si>
  <si>
    <t>获得后可免费体验&lt;color=#fff442&gt;1&lt;/color&gt;天拖尾效果-&lt;color=#fff442&gt;龙腾&lt;/color&gt;。</t>
  </si>
  <si>
    <t>龙腾(3天)</t>
  </si>
  <si>
    <t>获得后可免费体验&lt;color=#fff442&gt;3&lt;/color&gt;天拖尾效果-&lt;color=#fff442&gt;龙腾&lt;/color&gt;。</t>
  </si>
  <si>
    <t>龙腾(7天)</t>
  </si>
  <si>
    <t>获得后可免费体验&lt;color=#fff442&gt;7&lt;/color&gt;天拖尾效果-&lt;color=#fff442&gt;龙腾&lt;/color&gt;。</t>
  </si>
  <si>
    <t>龙腾(30天)</t>
  </si>
  <si>
    <t>获得后可免费体验&lt;color=#fff442&gt;30&lt;/color&gt;天拖尾效果-&lt;color=#fff442&gt;龙腾&lt;/color&gt;。</t>
  </si>
  <si>
    <t>龙年主题球杆，品质等级A</t>
    <phoneticPr fontId="37" type="noConversion"/>
  </si>
  <si>
    <t>龙年主题球杆，品质等级S</t>
    <phoneticPr fontId="37" type="noConversion"/>
  </si>
  <si>
    <t>龙年主题球杆，品质等级SS</t>
    <phoneticPr fontId="37" type="noConversion"/>
  </si>
  <si>
    <t>龙年主题球杆，品质等级SSS</t>
    <phoneticPr fontId="37" type="noConversion"/>
  </si>
  <si>
    <t>龙影剑(体验球杆)</t>
    <phoneticPr fontId="38" type="noConversion"/>
  </si>
  <si>
    <t>盘龙(1天)</t>
  </si>
  <si>
    <t>获得后可免费体验&lt;color=#fff442&gt;1&lt;/color&gt;天母球-&lt;color=#fff442&gt;盘龙&lt;/color&gt;。</t>
  </si>
  <si>
    <t>盘龙(3天)</t>
  </si>
  <si>
    <t>获得后可免费体验&lt;color=#fff442&gt;3&lt;/color&gt;天母球-&lt;color=#fff442&gt;盘龙&lt;/color&gt;。</t>
  </si>
  <si>
    <t>盘龙(7天)</t>
  </si>
  <si>
    <t>获得后可免费体验&lt;color=#fff442&gt;7&lt;/color&gt;天母球-&lt;color=#fff442&gt;盘龙&lt;/color&gt;。</t>
  </si>
  <si>
    <t>盘龙(30天)</t>
  </si>
  <si>
    <t>获得后可免费体验&lt;color=#fff442&gt;30&lt;/color&gt;天母球-&lt;color=#fff442&gt;盘龙&lt;/color&gt;。</t>
  </si>
  <si>
    <t>龙影剑</t>
    <phoneticPr fontId="38" type="noConversion"/>
  </si>
  <si>
    <t>龙腾盛世(1天)</t>
    <phoneticPr fontId="37" type="noConversion"/>
  </si>
  <si>
    <t>获得后可免费体验&lt;color=#fff442&gt;1&lt;/color&gt;天服装-&lt;color=#fff442&gt;龙腾盛世服装&lt;/color&gt;。</t>
    <phoneticPr fontId="37" type="noConversion"/>
  </si>
  <si>
    <t>龙腾盛世</t>
    <phoneticPr fontId="38" type="noConversion"/>
  </si>
  <si>
    <t>950027_goal</t>
    <phoneticPr fontId="37" type="noConversion"/>
  </si>
  <si>
    <t>限时夺宝活动获得</t>
    <phoneticPr fontId="38" type="noConversion"/>
  </si>
  <si>
    <t>限时活动获得</t>
    <phoneticPr fontId="38" type="noConversion"/>
  </si>
  <si>
    <t>段位首次达到&lt;color=#FF767A&gt;大师3&lt;/color&gt;</t>
    <phoneticPr fontId="38" type="noConversion"/>
  </si>
  <si>
    <t>段位首次达到&lt;color=#FF767A&gt;王者&lt;/color&gt;</t>
    <phoneticPr fontId="38" type="noConversion"/>
  </si>
  <si>
    <t>山雨箭来主题球杆，品质等级S</t>
    <phoneticPr fontId="37" type="noConversion"/>
  </si>
  <si>
    <t>像素剑影</t>
    <phoneticPr fontId="37" type="noConversion"/>
  </si>
  <si>
    <t>像素剑影</t>
    <phoneticPr fontId="38" type="noConversion"/>
  </si>
  <si>
    <t>像素光韵</t>
    <phoneticPr fontId="37" type="noConversion"/>
  </si>
  <si>
    <t>icon_940028</t>
    <phoneticPr fontId="37" type="noConversion"/>
  </si>
  <si>
    <t>940028_trail</t>
    <phoneticPr fontId="37" type="noConversion"/>
  </si>
  <si>
    <t>像素星辉</t>
    <phoneticPr fontId="37" type="noConversion"/>
  </si>
  <si>
    <t>可在背包、对局内替换使用【像素星辉】进洞效果</t>
    <phoneticPr fontId="37" type="noConversion"/>
  </si>
  <si>
    <t>950028_goal</t>
    <phoneticPr fontId="37" type="noConversion"/>
  </si>
  <si>
    <t>像素光韵(7天)</t>
    <phoneticPr fontId="37" type="noConversion"/>
  </si>
  <si>
    <t>获得后可免费体验&lt;color=#fff442&gt;7&lt;/color&gt;天拖尾效果-&lt;color=#fff442&gt;像素光韵&lt;/color&gt;。</t>
    <phoneticPr fontId="37" type="noConversion"/>
  </si>
  <si>
    <t>940028,168</t>
    <phoneticPr fontId="37" type="noConversion"/>
  </si>
  <si>
    <t>像素星辉(7天)</t>
    <phoneticPr fontId="37" type="noConversion"/>
  </si>
  <si>
    <t>获得后可免费体验&lt;color=#fff442&gt;7&lt;/color&gt;天进洞效果-&lt;color=#fff442&gt;像素星辉&lt;/color&gt;。</t>
    <phoneticPr fontId="37" type="noConversion"/>
  </si>
  <si>
    <t>950028,168</t>
    <phoneticPr fontId="37" type="noConversion"/>
  </si>
  <si>
    <t>逃跑清除卡</t>
    <phoneticPr fontId="37" type="noConversion"/>
  </si>
  <si>
    <t>可用于清除8球逃跑对局记录</t>
    <phoneticPr fontId="37" type="noConversion"/>
  </si>
  <si>
    <t>icon_700027</t>
    <phoneticPr fontId="37" type="noConversion"/>
  </si>
  <si>
    <t>icon_952028</t>
    <phoneticPr fontId="37" type="noConversion"/>
  </si>
  <si>
    <t>方天画戟(30天)</t>
    <phoneticPr fontId="37" type="noConversion"/>
  </si>
  <si>
    <t>icon_870024</t>
    <phoneticPr fontId="37" type="noConversion"/>
  </si>
  <si>
    <t>翻飞书卷(7天)</t>
    <phoneticPr fontId="37" type="noConversion"/>
  </si>
  <si>
    <t>获得后可免费体验&lt;color=#fff442&gt;7&lt;/color&gt;天聊天气泡-&lt;color=#fff443&gt;翻飞书卷气泡&lt;/color&gt;。</t>
    <phoneticPr fontId="37" type="noConversion"/>
  </si>
  <si>
    <t>870024,168</t>
    <phoneticPr fontId="37" type="noConversion"/>
  </si>
  <si>
    <t>升星木礼包(中)</t>
    <phoneticPr fontId="37" type="noConversion"/>
  </si>
  <si>
    <t>打开后获得50个升星木。</t>
    <phoneticPr fontId="37" type="noConversion"/>
  </si>
  <si>
    <t>打开后获得15个升星木。</t>
    <phoneticPr fontId="37" type="noConversion"/>
  </si>
  <si>
    <t>icon_700028</t>
    <phoneticPr fontId="37" type="noConversion"/>
  </si>
  <si>
    <t>icon_700029</t>
    <phoneticPr fontId="37" type="noConversion"/>
  </si>
  <si>
    <t>504</t>
    <phoneticPr fontId="37" type="noConversion"/>
  </si>
  <si>
    <t>505</t>
    <phoneticPr fontId="37" type="noConversion"/>
  </si>
  <si>
    <t>升星木礼包</t>
    <phoneticPr fontId="37" type="noConversion"/>
  </si>
  <si>
    <t>icon_940029</t>
    <phoneticPr fontId="37" type="noConversion"/>
  </si>
  <si>
    <t>940029_trail</t>
    <phoneticPr fontId="37" type="noConversion"/>
  </si>
  <si>
    <t>icon_950029</t>
    <phoneticPr fontId="37" type="noConversion"/>
  </si>
  <si>
    <t>950029_goal</t>
    <phoneticPr fontId="37" type="noConversion"/>
  </si>
  <si>
    <t>icon_101484</t>
    <phoneticPr fontId="37" type="noConversion"/>
  </si>
  <si>
    <t>icon_200023,icon_210023</t>
    <phoneticPr fontId="37" type="noConversion"/>
  </si>
  <si>
    <t>量子脉冲枪</t>
    <phoneticPr fontId="37" type="noConversion"/>
  </si>
  <si>
    <t>机甲主题球杆，品质等级Z</t>
    <phoneticPr fontId="37" type="noConversion"/>
  </si>
  <si>
    <t>银辉机甲</t>
  </si>
  <si>
    <t>银辉机甲</t>
    <phoneticPr fontId="37" type="noConversion"/>
  </si>
  <si>
    <t>机甲主题服饰</t>
  </si>
  <si>
    <t>机甲主题服饰</t>
    <phoneticPr fontId="37" type="noConversion"/>
  </si>
  <si>
    <t>银辉机甲(1天)</t>
  </si>
  <si>
    <t>银辉机甲(1天)</t>
    <phoneticPr fontId="37" type="noConversion"/>
  </si>
  <si>
    <t>获得后可免费体验&lt;color=#fff442&gt;1&lt;/color&gt;天服装-&lt;color=#fff442&gt;银辉机甲&lt;/color&gt;服装。</t>
  </si>
  <si>
    <t>200023,24</t>
    <phoneticPr fontId="37" type="noConversion"/>
  </si>
  <si>
    <t>获得后可免费体验&lt;color=#fff442&gt;1&lt;/color&gt;天服装-&lt;color=#fff442&gt;银辉机甲&lt;/color&gt;。</t>
    <phoneticPr fontId="37" type="noConversion"/>
  </si>
  <si>
    <t>银辉机甲男角色的头像</t>
    <phoneticPr fontId="37" type="noConversion"/>
  </si>
  <si>
    <t>银辉机甲女角色的头像</t>
    <phoneticPr fontId="37" type="noConversion"/>
  </si>
  <si>
    <t>icon_800034</t>
    <phoneticPr fontId="37" type="noConversion"/>
  </si>
  <si>
    <t>icon_800035</t>
  </si>
  <si>
    <t>量子轨迹</t>
    <phoneticPr fontId="37" type="noConversion"/>
  </si>
  <si>
    <t>量子湮灭</t>
    <phoneticPr fontId="37" type="noConversion"/>
  </si>
  <si>
    <t>可在背包、对局内替换使用【量子湮灭】进洞效果</t>
    <phoneticPr fontId="37" type="noConversion"/>
  </si>
  <si>
    <t>量子脉冲枪</t>
    <phoneticPr fontId="38" type="noConversion"/>
  </si>
  <si>
    <t>icon_60</t>
    <phoneticPr fontId="37" type="noConversion"/>
  </si>
  <si>
    <t>16,17,18,19</t>
  </si>
  <si>
    <t>512,256</t>
  </si>
  <si>
    <t>512,128</t>
  </si>
  <si>
    <t>364,404</t>
  </si>
  <si>
    <t>16</t>
  </si>
  <si>
    <t>101484_Batting_fx</t>
  </si>
  <si>
    <t>17</t>
  </si>
  <si>
    <t>101484_Batting_ball_fx</t>
  </si>
  <si>
    <t>100,100</t>
  </si>
  <si>
    <t>50,50</t>
  </si>
  <si>
    <t>18</t>
  </si>
  <si>
    <t>101484_Batting_fx_ack</t>
  </si>
  <si>
    <t>489,142</t>
  </si>
  <si>
    <t>489,71</t>
  </si>
  <si>
    <t>19</t>
  </si>
  <si>
    <t>101484_Batting_Hit_fx</t>
  </si>
  <si>
    <t>300,300</t>
  </si>
  <si>
    <t>150,150</t>
  </si>
  <si>
    <t>蓝梦月泪(1天)</t>
    <phoneticPr fontId="37" type="noConversion"/>
  </si>
  <si>
    <t>使用后可体验&lt;color=#fff442&gt;1天&lt;/color&gt;S级满星球杆-蓝梦月泪。</t>
    <phoneticPr fontId="37" type="noConversion"/>
  </si>
  <si>
    <t>icon_100962</t>
    <phoneticPr fontId="37" type="noConversion"/>
  </si>
  <si>
    <t>120962,24</t>
    <phoneticPr fontId="37" type="noConversion"/>
  </si>
  <si>
    <t>弧电枪(1天)</t>
    <phoneticPr fontId="37" type="noConversion"/>
  </si>
  <si>
    <t>使用后可体验&lt;color=#fff442&gt;1天&lt;/color&gt;S级满星球杆-弧电枪。</t>
    <phoneticPr fontId="37" type="noConversion"/>
  </si>
  <si>
    <t>icon_100912</t>
    <phoneticPr fontId="37" type="noConversion"/>
  </si>
  <si>
    <t>120912,24</t>
    <phoneticPr fontId="37" type="noConversion"/>
  </si>
  <si>
    <t>愿者上钩(1天)</t>
    <phoneticPr fontId="37" type="noConversion"/>
  </si>
  <si>
    <t>使用后可体验&lt;color=#fff442&gt;1天&lt;/color&gt;S级满星球杆-愿者上钩。</t>
    <phoneticPr fontId="37" type="noConversion"/>
  </si>
  <si>
    <t>icon_100932</t>
    <phoneticPr fontId="37" type="noConversion"/>
  </si>
  <si>
    <t>120932,24</t>
    <phoneticPr fontId="37" type="noConversion"/>
  </si>
  <si>
    <t>澄心定意</t>
    <phoneticPr fontId="37" type="noConversion"/>
  </si>
  <si>
    <t>澄心定意主题球杆，品质等级S</t>
    <phoneticPr fontId="37" type="noConversion"/>
  </si>
  <si>
    <t>icon_101072</t>
    <phoneticPr fontId="37" type="noConversion"/>
  </si>
  <si>
    <t>澄心定意(1天)</t>
    <phoneticPr fontId="37" type="noConversion"/>
  </si>
  <si>
    <t>使用后可体验&lt;color=#fff442&gt;1天&lt;/color&gt;S级满星球杆-澄心定意。</t>
    <phoneticPr fontId="37" type="noConversion"/>
  </si>
  <si>
    <t>121072,24</t>
    <phoneticPr fontId="37" type="noConversion"/>
  </si>
  <si>
    <t>澄心定意(体验球杆)</t>
    <phoneticPr fontId="38" type="noConversion"/>
  </si>
  <si>
    <t>青花瓷(1天)</t>
    <phoneticPr fontId="37" type="noConversion"/>
  </si>
  <si>
    <t>获得后可免费体验&lt;color=#fff442&gt;1天&lt;/color&gt;球桌-&lt;color=#fff442&gt;青花瓷&lt;/color&gt;。</t>
    <phoneticPr fontId="37" type="noConversion"/>
  </si>
  <si>
    <t>icon_300016</t>
    <phoneticPr fontId="37" type="noConversion"/>
  </si>
  <si>
    <t>300016,24</t>
    <phoneticPr fontId="37" type="noConversion"/>
  </si>
  <si>
    <t>icon_100964</t>
    <phoneticPr fontId="37" type="noConversion"/>
  </si>
  <si>
    <t>澄心定意</t>
    <phoneticPr fontId="38" type="noConversion"/>
  </si>
  <si>
    <t>[2,22]</t>
    <phoneticPr fontId="38" type="noConversion"/>
  </si>
  <si>
    <t>专属熟练度材料</t>
    <phoneticPr fontId="38" type="noConversion"/>
  </si>
  <si>
    <t>proficiency</t>
    <phoneticPr fontId="38" type="noConversion"/>
  </si>
  <si>
    <t>fir_material_rising</t>
    <phoneticPr fontId="38" type="noConversion"/>
  </si>
  <si>
    <t>fir_material_advanced</t>
    <phoneticPr fontId="38" type="noConversion"/>
  </si>
  <si>
    <t>sec_material</t>
    <phoneticPr fontId="38" type="noConversion"/>
  </si>
  <si>
    <t>fir_proficiency</t>
    <phoneticPr fontId="38" type="noConversion"/>
  </si>
  <si>
    <t>枫叶主题球杆，品质等级B</t>
    <phoneticPr fontId="37" type="noConversion"/>
  </si>
  <si>
    <t>枫叶强化币</t>
    <phoneticPr fontId="37" type="noConversion"/>
  </si>
  <si>
    <t>枫叶球杆专属的强化币，可以对枫叶球杆进行升星、升阶</t>
    <phoneticPr fontId="37" type="noConversion"/>
  </si>
  <si>
    <t>春意盎然</t>
  </si>
  <si>
    <t>icon_101492</t>
    <phoneticPr fontId="37" type="noConversion"/>
  </si>
  <si>
    <t>icon_101491</t>
    <phoneticPr fontId="37" type="noConversion"/>
  </si>
  <si>
    <t>icon_101494</t>
    <phoneticPr fontId="37" type="noConversion"/>
  </si>
  <si>
    <t>张灯结彩主题球杆，品质等级A</t>
    <phoneticPr fontId="37" type="noConversion"/>
  </si>
  <si>
    <t>春意盎然主题球杆，品质等级A</t>
    <phoneticPr fontId="37" type="noConversion"/>
  </si>
  <si>
    <t>春意盎然主题球杆，品质等级S。</t>
    <phoneticPr fontId="37" type="noConversion"/>
  </si>
  <si>
    <t>春意盎然主题球杆，品质等级SS。</t>
    <phoneticPr fontId="37" type="noConversion"/>
  </si>
  <si>
    <t>春意盎然主题球杆，品质等级SSS。</t>
    <phoneticPr fontId="37" type="noConversion"/>
  </si>
  <si>
    <t>春意盎然碎片</t>
    <phoneticPr fontId="37" type="noConversion"/>
  </si>
  <si>
    <t>[[80,0]]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</si>
</sst>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2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2"/>
      <color theme="4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  <font>
      <b/>
      <sz val="12"/>
      <color theme="5"/>
      <name val="等线"/>
      <family val="3"/>
      <charset val="134"/>
      <scheme val="minor"/>
    </font>
    <font>
      <b/>
      <sz val="12"/>
      <color theme="4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sz val="12"/>
      <name val="等线"/>
      <family val="3"/>
      <charset val="134"/>
    </font>
    <font>
      <sz val="11"/>
      <color theme="8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color indexed="8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9" tint="-0.249977111117893"/>
      <name val="等线"/>
      <family val="3"/>
      <charset val="134"/>
      <scheme val="minor"/>
    </font>
    <font>
      <sz val="12"/>
      <color theme="9" tint="-0.249977111117893"/>
      <name val="等线"/>
      <family val="3"/>
      <charset val="134"/>
      <scheme val="minor"/>
    </font>
    <font>
      <sz val="11"/>
      <color rgb="FFED7D3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11"/>
      <color indexed="8"/>
      <name val="宋体"/>
      <family val="3"/>
      <charset val="134"/>
    </font>
    <font>
      <sz val="11"/>
      <color rgb="FF000000"/>
      <name val="Helvetica"/>
      <family val="2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BDB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6" fillId="0" borderId="0"/>
  </cellStyleXfs>
  <cellXfs count="187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49" fontId="0" fillId="0" borderId="0" xfId="0" applyNumberFormat="1" applyAlignment="1"/>
    <xf numFmtId="49" fontId="0" fillId="4" borderId="0" xfId="0" applyNumberFormat="1" applyFill="1" applyAlignment="1"/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5" applyFont="1" applyAlignment="1">
      <alignment vertical="center"/>
    </xf>
    <xf numFmtId="0" fontId="2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4" fillId="0" borderId="0" xfId="5" applyFont="1" applyAlignment="1">
      <alignment vertical="center"/>
    </xf>
    <xf numFmtId="0" fontId="5" fillId="0" borderId="0" xfId="5" applyFont="1" applyAlignment="1">
      <alignment vertical="center"/>
    </xf>
    <xf numFmtId="0" fontId="6" fillId="0" borderId="0" xfId="5" applyAlignment="1">
      <alignment vertical="center"/>
    </xf>
    <xf numFmtId="0" fontId="6" fillId="2" borderId="0" xfId="5" applyFill="1"/>
    <xf numFmtId="0" fontId="6" fillId="0" borderId="0" xfId="5"/>
    <xf numFmtId="0" fontId="6" fillId="3" borderId="0" xfId="5" applyFill="1"/>
    <xf numFmtId="0" fontId="6" fillId="4" borderId="0" xfId="5" applyFill="1"/>
    <xf numFmtId="0" fontId="0" fillId="0" borderId="0" xfId="5" applyFont="1"/>
    <xf numFmtId="0" fontId="0" fillId="4" borderId="0" xfId="5" applyFont="1" applyFill="1"/>
    <xf numFmtId="49" fontId="6" fillId="0" borderId="0" xfId="5" applyNumberForma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5" applyFont="1"/>
    <xf numFmtId="49" fontId="6" fillId="0" borderId="0" xfId="5" applyNumberFormat="1"/>
    <xf numFmtId="0" fontId="1" fillId="0" borderId="0" xfId="0" applyFont="1" applyAlignment="1"/>
    <xf numFmtId="0" fontId="1" fillId="4" borderId="0" xfId="0" applyFont="1" applyFill="1" applyAlignment="1"/>
    <xf numFmtId="0" fontId="2" fillId="0" borderId="0" xfId="0" applyFont="1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5" applyFont="1"/>
    <xf numFmtId="0" fontId="3" fillId="0" borderId="0" xfId="5" applyFont="1"/>
    <xf numFmtId="0" fontId="7" fillId="0" borderId="0" xfId="0" applyFont="1" applyAlignment="1">
      <alignment horizontal="right" vertical="center"/>
    </xf>
    <xf numFmtId="0" fontId="7" fillId="0" borderId="0" xfId="5" applyFont="1"/>
    <xf numFmtId="0" fontId="4" fillId="0" borderId="0" xfId="5" applyFont="1"/>
    <xf numFmtId="0" fontId="7" fillId="0" borderId="0" xfId="0" applyFont="1" applyAlignment="1">
      <alignment horizontal="left" vertical="center"/>
    </xf>
    <xf numFmtId="3" fontId="4" fillId="0" borderId="0" xfId="5" applyNumberFormat="1" applyFont="1"/>
    <xf numFmtId="0" fontId="1" fillId="0" borderId="0" xfId="5" applyFont="1" applyAlignment="1">
      <alignment vertical="center"/>
    </xf>
    <xf numFmtId="0" fontId="3" fillId="0" borderId="0" xfId="5" applyFont="1" applyAlignment="1">
      <alignment horizontal="right" vertical="center"/>
    </xf>
    <xf numFmtId="0" fontId="7" fillId="0" borderId="0" xfId="5" applyFont="1" applyAlignment="1">
      <alignment vertical="center"/>
    </xf>
    <xf numFmtId="0" fontId="0" fillId="0" borderId="0" xfId="5" applyFont="1" applyAlignment="1">
      <alignment horizontal="right" vertical="center"/>
    </xf>
    <xf numFmtId="0" fontId="5" fillId="0" borderId="0" xfId="5" applyFont="1"/>
    <xf numFmtId="0" fontId="2" fillId="0" borderId="0" xfId="0" applyFont="1">
      <alignment vertical="center"/>
    </xf>
    <xf numFmtId="0" fontId="6" fillId="0" borderId="0" xfId="5" applyAlignment="1">
      <alignment horizontal="right" vertical="center"/>
    </xf>
    <xf numFmtId="0" fontId="7" fillId="0" borderId="0" xfId="0" applyFont="1" applyAlignment="1"/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" fillId="0" borderId="0" xfId="3" applyFont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7" fillId="0" borderId="0" xfId="3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/>
    <xf numFmtId="0" fontId="8" fillId="0" borderId="0" xfId="0" applyFont="1" applyAlignment="1">
      <alignment horizontal="left" vertical="center"/>
    </xf>
    <xf numFmtId="0" fontId="8" fillId="0" borderId="0" xfId="3" applyFont="1" applyAlignment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6" fillId="0" borderId="0" xfId="3" applyAlignment="1">
      <alignment vertical="center"/>
    </xf>
    <xf numFmtId="0" fontId="36" fillId="4" borderId="0" xfId="3" applyFill="1" applyAlignment="1">
      <alignment horizontal="center" vertical="center"/>
    </xf>
    <xf numFmtId="0" fontId="36" fillId="4" borderId="0" xfId="3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7" borderId="0" xfId="0" applyFill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4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/>
    <xf numFmtId="0" fontId="13" fillId="0" borderId="0" xfId="0" applyFont="1" applyAlignme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8" borderId="0" xfId="1" applyNumberForma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9" borderId="0" xfId="2" applyNumberFormat="1" applyBorder="1" applyAlignment="1">
      <alignment horizontal="left" vertical="center"/>
    </xf>
    <xf numFmtId="0" fontId="6" fillId="9" borderId="0" xfId="2" applyNumberFormat="1" applyFont="1" applyBorder="1" applyAlignment="1">
      <alignment horizontal="left" vertical="center"/>
    </xf>
    <xf numFmtId="0" fontId="3" fillId="9" borderId="0" xfId="2" applyNumberFormat="1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/>
    <xf numFmtId="49" fontId="6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/>
    <xf numFmtId="49" fontId="3" fillId="0" borderId="0" xfId="0" applyNumberFormat="1" applyFont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0" fontId="17" fillId="11" borderId="0" xfId="0" applyFont="1" applyFill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5" fillId="0" borderId="0" xfId="0" applyFont="1" applyAlignment="1"/>
    <xf numFmtId="0" fontId="18" fillId="0" borderId="0" xfId="0" applyFont="1" applyAlignment="1"/>
    <xf numFmtId="49" fontId="13" fillId="0" borderId="0" xfId="0" applyNumberFormat="1" applyFont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4" fillId="0" borderId="0" xfId="0" applyFont="1" applyAlignment="1"/>
    <xf numFmtId="49" fontId="4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24" fillId="9" borderId="0" xfId="2" applyAlignment="1">
      <alignment horizontal="left" vertical="center"/>
    </xf>
    <xf numFmtId="0" fontId="6" fillId="9" borderId="0" xfId="2" applyFont="1" applyAlignment="1">
      <alignment horizontal="left" vertical="center"/>
    </xf>
    <xf numFmtId="0" fontId="3" fillId="9" borderId="0" xfId="2" applyFont="1" applyAlignment="1">
      <alignment horizontal="left" vertical="center"/>
    </xf>
    <xf numFmtId="0" fontId="25" fillId="0" borderId="0" xfId="0" applyFont="1">
      <alignment vertical="center"/>
    </xf>
    <xf numFmtId="0" fontId="3" fillId="0" borderId="0" xfId="0" applyFont="1">
      <alignment vertical="center"/>
    </xf>
    <xf numFmtId="49" fontId="17" fillId="0" borderId="0" xfId="0" applyNumberFormat="1" applyFont="1" applyAlignment="1">
      <alignment horizontal="left" vertical="center"/>
    </xf>
    <xf numFmtId="0" fontId="3" fillId="0" borderId="0" xfId="5" applyFont="1" applyAlignment="1">
      <alignment horizontal="left" vertical="center"/>
    </xf>
    <xf numFmtId="0" fontId="6" fillId="0" borderId="0" xfId="5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3" fillId="0" borderId="0" xfId="2" applyFont="1" applyFill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49" fontId="3" fillId="0" borderId="0" xfId="2" applyNumberFormat="1" applyFont="1" applyFill="1" applyAlignment="1">
      <alignment horizontal="left" vertical="center"/>
    </xf>
    <xf numFmtId="0" fontId="27" fillId="0" borderId="0" xfId="0" applyFont="1" applyAlignment="1">
      <alignment horizontal="left"/>
    </xf>
    <xf numFmtId="0" fontId="27" fillId="0" borderId="0" xfId="0" applyFont="1" applyAlignment="1"/>
    <xf numFmtId="49" fontId="25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 vertical="center"/>
    </xf>
    <xf numFmtId="0" fontId="40" fillId="0" borderId="0" xfId="0" applyFont="1" applyAlignment="1"/>
    <xf numFmtId="0" fontId="36" fillId="0" borderId="0" xfId="0" applyFont="1">
      <alignment vertical="center"/>
    </xf>
    <xf numFmtId="0" fontId="5" fillId="0" borderId="0" xfId="1" applyNumberFormat="1" applyFont="1" applyFill="1" applyBorder="1" applyAlignment="1">
      <alignment horizontal="left" vertical="center"/>
    </xf>
    <xf numFmtId="0" fontId="36" fillId="4" borderId="0" xfId="0" applyFont="1" applyFill="1" applyAlignment="1"/>
    <xf numFmtId="0" fontId="6" fillId="2" borderId="0" xfId="0" applyFont="1" applyFill="1" applyAlignment="1">
      <alignment horizontal="left"/>
    </xf>
    <xf numFmtId="0" fontId="6" fillId="7" borderId="0" xfId="0" applyFont="1" applyFill="1" applyAlignment="1">
      <alignment horizontal="left" vertical="center"/>
    </xf>
    <xf numFmtId="0" fontId="1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39" fillId="3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3" fillId="0" borderId="0" xfId="1" applyNumberFormat="1" applyFont="1" applyFill="1" applyBorder="1" applyAlignment="1">
      <alignment horizontal="left" vertical="center"/>
    </xf>
    <xf numFmtId="49" fontId="3" fillId="0" borderId="0" xfId="1" applyNumberFormat="1" applyFont="1" applyFill="1" applyBorder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3" fillId="0" borderId="0" xfId="3" applyFont="1" applyFill="1" applyAlignment="1">
      <alignment horizontal="left" vertical="center"/>
    </xf>
    <xf numFmtId="0" fontId="3" fillId="0" borderId="0" xfId="0" applyFont="1" applyFill="1">
      <alignment vertical="center"/>
    </xf>
    <xf numFmtId="0" fontId="3" fillId="0" borderId="0" xfId="2" applyNumberFormat="1" applyFont="1" applyFill="1" applyBorder="1" applyAlignment="1">
      <alignment horizontal="left" vertical="center"/>
    </xf>
    <xf numFmtId="0" fontId="3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0" fontId="3" fillId="0" borderId="0" xfId="5" applyFont="1" applyFill="1" applyAlignment="1">
      <alignment horizontal="left" vertical="center"/>
    </xf>
  </cellXfs>
  <cellStyles count="6">
    <cellStyle name="常规" xfId="0" builtinId="0"/>
    <cellStyle name="常规 2" xfId="3"/>
    <cellStyle name="常规 2 2 2" xfId="4"/>
    <cellStyle name="常规 3" xfId="5"/>
    <cellStyle name="好" xfId="1" builtinId="26"/>
    <cellStyle name="着色 5" xfId="2" builtinId="45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Y2439"/>
  <sheetViews>
    <sheetView topLeftCell="A10" workbookViewId="0">
      <pane ySplit="6" topLeftCell="A16" activePane="bottomLeft" state="frozen"/>
      <selection pane="bottomLeft" activeCell="E34" sqref="E34"/>
    </sheetView>
  </sheetViews>
  <sheetFormatPr defaultColWidth="11" defaultRowHeight="14.25"/>
  <cols>
    <col min="1" max="1" width="9" style="93" customWidth="1"/>
    <col min="2" max="2" width="9.75" style="93" customWidth="1"/>
    <col min="3" max="3" width="28.125" style="93" customWidth="1"/>
    <col min="4" max="4" width="14.5" style="93" customWidth="1"/>
    <col min="5" max="5" width="51.25" style="93" customWidth="1"/>
    <col min="6" max="7" width="10" style="93" customWidth="1"/>
    <col min="8" max="8" width="17.375" style="93" customWidth="1"/>
    <col min="9" max="10" width="15" style="93" customWidth="1"/>
    <col min="11" max="12" width="10" style="93" customWidth="1"/>
    <col min="13" max="13" width="12.875" style="117" customWidth="1"/>
    <col min="14" max="14" width="14.5" style="93" customWidth="1"/>
    <col min="15" max="16" width="10" style="93" customWidth="1"/>
    <col min="17" max="17" width="12.625" style="93" customWidth="1"/>
    <col min="18" max="18" width="13" style="93" customWidth="1"/>
    <col min="19" max="16384" width="11" style="93"/>
  </cols>
  <sheetData>
    <row r="1" spans="1:21">
      <c r="A1" s="118" t="s">
        <v>0</v>
      </c>
      <c r="B1" s="93" t="s">
        <v>1</v>
      </c>
      <c r="C1" s="93" t="s">
        <v>2</v>
      </c>
      <c r="R1" s="118"/>
    </row>
    <row r="2" spans="1:21">
      <c r="A2" s="118" t="s">
        <v>3</v>
      </c>
      <c r="B2" s="93" t="s">
        <v>4</v>
      </c>
      <c r="C2" s="93" t="s">
        <v>5</v>
      </c>
      <c r="R2" s="118"/>
    </row>
    <row r="3" spans="1:21">
      <c r="A3" s="118" t="s">
        <v>6</v>
      </c>
      <c r="B3" s="98" t="s">
        <v>7</v>
      </c>
      <c r="C3" s="93" t="s">
        <v>8</v>
      </c>
      <c r="R3" s="118"/>
    </row>
    <row r="4" spans="1:21">
      <c r="A4" s="118" t="s">
        <v>9</v>
      </c>
      <c r="B4" s="119" t="s">
        <v>10</v>
      </c>
      <c r="R4" s="118"/>
    </row>
    <row r="5" spans="1:21">
      <c r="A5" s="118" t="s">
        <v>11</v>
      </c>
      <c r="C5" s="93" t="s">
        <v>12</v>
      </c>
      <c r="R5" s="118"/>
    </row>
    <row r="6" spans="1:21">
      <c r="A6" s="118" t="s">
        <v>13</v>
      </c>
      <c r="B6" s="93">
        <v>4</v>
      </c>
      <c r="C6" s="93" t="s">
        <v>14</v>
      </c>
      <c r="R6" s="118"/>
    </row>
    <row r="7" spans="1:21">
      <c r="A7" s="118" t="s">
        <v>15</v>
      </c>
      <c r="R7" s="118"/>
    </row>
    <row r="8" spans="1:21">
      <c r="A8" s="118" t="s">
        <v>16</v>
      </c>
      <c r="R8" s="118"/>
    </row>
    <row r="11" spans="1:21">
      <c r="A11" s="79" t="s">
        <v>17</v>
      </c>
      <c r="B11" s="79" t="s">
        <v>18</v>
      </c>
      <c r="C11" s="79" t="s">
        <v>19</v>
      </c>
      <c r="D11" s="79" t="s">
        <v>20</v>
      </c>
      <c r="E11" s="79" t="s">
        <v>21</v>
      </c>
      <c r="F11" s="79" t="s">
        <v>22</v>
      </c>
      <c r="G11" s="79" t="s">
        <v>23</v>
      </c>
      <c r="H11" s="79" t="s">
        <v>24</v>
      </c>
      <c r="I11" s="79" t="s">
        <v>25</v>
      </c>
      <c r="J11" s="79" t="s">
        <v>26</v>
      </c>
      <c r="K11" s="79" t="s">
        <v>27</v>
      </c>
      <c r="L11" s="79" t="s">
        <v>28</v>
      </c>
      <c r="M11" s="127" t="s">
        <v>29</v>
      </c>
      <c r="N11" s="79" t="s">
        <v>30</v>
      </c>
      <c r="O11" s="79" t="s">
        <v>31</v>
      </c>
      <c r="P11" s="79" t="s">
        <v>32</v>
      </c>
      <c r="Q11" s="93" t="s">
        <v>33</v>
      </c>
      <c r="R11" s="93" t="s">
        <v>34</v>
      </c>
      <c r="S11" s="93" t="s">
        <v>35</v>
      </c>
      <c r="T11" s="93" t="s">
        <v>20</v>
      </c>
      <c r="U11" s="93" t="s">
        <v>36</v>
      </c>
    </row>
    <row r="12" spans="1:21">
      <c r="A12" s="120" t="s">
        <v>37</v>
      </c>
      <c r="B12" s="120" t="s">
        <v>38</v>
      </c>
      <c r="C12" s="107" t="s">
        <v>39</v>
      </c>
      <c r="D12" s="120" t="s">
        <v>40</v>
      </c>
      <c r="E12" s="107" t="s">
        <v>41</v>
      </c>
      <c r="F12" s="120" t="s">
        <v>42</v>
      </c>
      <c r="G12" s="120" t="s">
        <v>43</v>
      </c>
      <c r="H12" s="120" t="s">
        <v>44</v>
      </c>
      <c r="I12" s="120" t="s">
        <v>45</v>
      </c>
      <c r="J12" s="120" t="s">
        <v>46</v>
      </c>
      <c r="K12" s="120" t="s">
        <v>47</v>
      </c>
      <c r="L12" s="120" t="s">
        <v>48</v>
      </c>
      <c r="M12" s="128" t="s">
        <v>49</v>
      </c>
      <c r="N12" s="120" t="s">
        <v>50</v>
      </c>
      <c r="O12" s="120" t="s">
        <v>51</v>
      </c>
      <c r="P12" s="107" t="s">
        <v>52</v>
      </c>
      <c r="Q12" s="120" t="s">
        <v>53</v>
      </c>
      <c r="R12" s="120" t="s">
        <v>54</v>
      </c>
      <c r="S12" s="107" t="s">
        <v>39</v>
      </c>
      <c r="T12" s="120" t="s">
        <v>55</v>
      </c>
      <c r="U12" s="107" t="s">
        <v>39</v>
      </c>
    </row>
    <row r="13" spans="1:21">
      <c r="A13" s="120" t="s">
        <v>56</v>
      </c>
      <c r="B13" s="120" t="s">
        <v>56</v>
      </c>
      <c r="C13" s="107" t="s">
        <v>57</v>
      </c>
      <c r="D13" s="120" t="s">
        <v>56</v>
      </c>
      <c r="E13" s="107" t="s">
        <v>57</v>
      </c>
      <c r="F13" s="120" t="s">
        <v>56</v>
      </c>
      <c r="G13" s="120" t="s">
        <v>57</v>
      </c>
      <c r="H13" s="120" t="s">
        <v>57</v>
      </c>
      <c r="I13" s="120" t="s">
        <v>57</v>
      </c>
      <c r="J13" s="120" t="s">
        <v>56</v>
      </c>
      <c r="K13" s="120" t="s">
        <v>56</v>
      </c>
      <c r="L13" s="120" t="s">
        <v>56</v>
      </c>
      <c r="M13" s="128" t="s">
        <v>57</v>
      </c>
      <c r="N13" s="120" t="s">
        <v>56</v>
      </c>
      <c r="O13" s="120" t="s">
        <v>56</v>
      </c>
      <c r="P13" s="107" t="s">
        <v>57</v>
      </c>
      <c r="Q13" s="120" t="s">
        <v>57</v>
      </c>
      <c r="R13" s="120" t="s">
        <v>56</v>
      </c>
      <c r="S13" s="107" t="s">
        <v>57</v>
      </c>
      <c r="T13" s="120" t="s">
        <v>56</v>
      </c>
      <c r="U13" s="107" t="s">
        <v>57</v>
      </c>
    </row>
    <row r="14" spans="1:21">
      <c r="A14" s="120" t="s">
        <v>58</v>
      </c>
      <c r="B14" s="120" t="s">
        <v>59</v>
      </c>
      <c r="C14" s="107" t="s">
        <v>60</v>
      </c>
      <c r="D14" s="120" t="s">
        <v>59</v>
      </c>
      <c r="E14" s="107" t="s">
        <v>60</v>
      </c>
      <c r="F14" s="120" t="s">
        <v>59</v>
      </c>
      <c r="G14" s="120" t="s">
        <v>59</v>
      </c>
      <c r="H14" s="120" t="s">
        <v>59</v>
      </c>
      <c r="I14" s="120" t="s">
        <v>59</v>
      </c>
      <c r="J14" s="120" t="s">
        <v>59</v>
      </c>
      <c r="K14" s="120" t="s">
        <v>59</v>
      </c>
      <c r="L14" s="120" t="s">
        <v>59</v>
      </c>
      <c r="M14" s="128" t="s">
        <v>59</v>
      </c>
      <c r="N14" s="120" t="s">
        <v>59</v>
      </c>
      <c r="O14" s="120" t="s">
        <v>59</v>
      </c>
      <c r="P14" s="107" t="s">
        <v>59</v>
      </c>
      <c r="Q14" s="120" t="s">
        <v>59</v>
      </c>
      <c r="R14" s="120" t="s">
        <v>59</v>
      </c>
      <c r="S14" s="107" t="s">
        <v>60</v>
      </c>
      <c r="T14" s="120" t="s">
        <v>59</v>
      </c>
      <c r="U14" s="107" t="s">
        <v>60</v>
      </c>
    </row>
    <row r="15" spans="1:21">
      <c r="A15" s="120"/>
      <c r="B15" s="120">
        <v>0</v>
      </c>
      <c r="C15" s="107">
        <v>0</v>
      </c>
      <c r="D15" s="120">
        <v>0</v>
      </c>
      <c r="E15" s="107">
        <v>0</v>
      </c>
      <c r="F15" s="120">
        <v>8</v>
      </c>
      <c r="G15" s="120">
        <v>0</v>
      </c>
      <c r="H15" s="120" t="s">
        <v>61</v>
      </c>
      <c r="I15" s="120">
        <v>0</v>
      </c>
      <c r="J15" s="120">
        <v>1</v>
      </c>
      <c r="K15" s="120">
        <v>0</v>
      </c>
      <c r="L15" s="120">
        <v>0</v>
      </c>
      <c r="M15" s="128">
        <v>0</v>
      </c>
      <c r="N15" s="120">
        <v>0</v>
      </c>
      <c r="O15" s="120">
        <v>0</v>
      </c>
      <c r="P15" s="107">
        <v>0</v>
      </c>
      <c r="Q15" s="120">
        <v>0</v>
      </c>
      <c r="R15" s="120">
        <v>0</v>
      </c>
      <c r="S15" s="107">
        <v>0</v>
      </c>
      <c r="T15" s="120">
        <v>0</v>
      </c>
      <c r="U15" s="107">
        <v>0</v>
      </c>
    </row>
    <row r="16" spans="1:21">
      <c r="A16" s="79">
        <v>1</v>
      </c>
      <c r="B16" s="121">
        <v>1000001</v>
      </c>
      <c r="C16" s="79" t="s">
        <v>62</v>
      </c>
      <c r="D16" s="121">
        <v>1000002</v>
      </c>
      <c r="E16" s="79" t="s">
        <v>63</v>
      </c>
      <c r="F16" s="79">
        <v>0</v>
      </c>
      <c r="G16" s="79">
        <v>0</v>
      </c>
      <c r="H16" s="79" t="str">
        <f t="shared" ref="H16:H30" si="0">"icon_"&amp;A16</f>
        <v>icon_1</v>
      </c>
      <c r="I16" s="79"/>
      <c r="J16" s="79"/>
      <c r="K16" s="79">
        <v>5</v>
      </c>
      <c r="L16" s="79">
        <v>0</v>
      </c>
      <c r="M16" s="127">
        <v>0</v>
      </c>
      <c r="N16" s="79">
        <v>0</v>
      </c>
      <c r="O16" s="79">
        <v>0</v>
      </c>
      <c r="P16" s="107">
        <v>1</v>
      </c>
      <c r="R16" s="79"/>
    </row>
    <row r="17" spans="1:18">
      <c r="A17" s="79">
        <v>2</v>
      </c>
      <c r="B17" s="121">
        <v>1000003</v>
      </c>
      <c r="C17" s="79" t="s">
        <v>64</v>
      </c>
      <c r="D17" s="121">
        <v>1000004</v>
      </c>
      <c r="E17" s="79" t="s">
        <v>65</v>
      </c>
      <c r="F17" s="79">
        <v>0</v>
      </c>
      <c r="G17" s="79">
        <v>0</v>
      </c>
      <c r="H17" s="79" t="str">
        <f t="shared" si="0"/>
        <v>icon_2</v>
      </c>
      <c r="I17" s="79"/>
      <c r="J17" s="79"/>
      <c r="K17" s="79">
        <v>4</v>
      </c>
      <c r="L17" s="79">
        <v>0</v>
      </c>
      <c r="M17" s="127">
        <v>0</v>
      </c>
      <c r="N17" s="79">
        <v>0</v>
      </c>
      <c r="O17" s="79">
        <v>0</v>
      </c>
      <c r="P17" s="107">
        <v>1E-3</v>
      </c>
      <c r="R17" s="79"/>
    </row>
    <row r="18" spans="1:18">
      <c r="A18" s="79">
        <v>3</v>
      </c>
      <c r="B18" s="121">
        <v>1000005</v>
      </c>
      <c r="C18" s="79" t="s">
        <v>66</v>
      </c>
      <c r="D18" s="121">
        <v>1000006</v>
      </c>
      <c r="E18" s="79" t="s">
        <v>67</v>
      </c>
      <c r="F18" s="79">
        <v>0</v>
      </c>
      <c r="G18" s="79">
        <v>0</v>
      </c>
      <c r="H18" s="79" t="str">
        <f t="shared" si="0"/>
        <v>icon_3</v>
      </c>
      <c r="I18" s="79"/>
      <c r="J18" s="79"/>
      <c r="K18" s="79">
        <v>4</v>
      </c>
      <c r="L18" s="79">
        <v>0</v>
      </c>
      <c r="M18" s="127">
        <v>0</v>
      </c>
      <c r="N18" s="79">
        <v>0</v>
      </c>
      <c r="O18" s="79">
        <v>0</v>
      </c>
      <c r="P18" s="107">
        <v>1</v>
      </c>
      <c r="R18" s="79"/>
    </row>
    <row r="19" spans="1:18">
      <c r="A19" s="79">
        <v>4</v>
      </c>
      <c r="B19" s="121">
        <v>1000007</v>
      </c>
      <c r="C19" s="79" t="s">
        <v>68</v>
      </c>
      <c r="D19" s="121">
        <v>1000008</v>
      </c>
      <c r="E19" s="79" t="s">
        <v>69</v>
      </c>
      <c r="F19" s="79">
        <v>0</v>
      </c>
      <c r="G19" s="79">
        <v>0</v>
      </c>
      <c r="H19" s="79" t="str">
        <f t="shared" si="0"/>
        <v>icon_4</v>
      </c>
      <c r="I19" s="79"/>
      <c r="J19" s="79"/>
      <c r="K19" s="79">
        <v>4</v>
      </c>
      <c r="L19" s="79">
        <v>0</v>
      </c>
      <c r="M19" s="127">
        <v>0</v>
      </c>
      <c r="N19" s="79">
        <v>0</v>
      </c>
      <c r="O19" s="79">
        <v>0</v>
      </c>
      <c r="P19" s="107">
        <v>1</v>
      </c>
      <c r="R19" s="79"/>
    </row>
    <row r="20" spans="1:18">
      <c r="A20" s="79">
        <v>5</v>
      </c>
      <c r="B20" s="121">
        <v>1000009</v>
      </c>
      <c r="C20" s="79" t="s">
        <v>70</v>
      </c>
      <c r="D20" s="121">
        <v>1000010</v>
      </c>
      <c r="E20" s="79" t="s">
        <v>71</v>
      </c>
      <c r="F20" s="79">
        <v>0</v>
      </c>
      <c r="G20" s="79">
        <v>0</v>
      </c>
      <c r="H20" s="79" t="str">
        <f t="shared" si="0"/>
        <v>icon_5</v>
      </c>
      <c r="I20" s="79"/>
      <c r="J20" s="79"/>
      <c r="K20" s="79">
        <v>5</v>
      </c>
      <c r="L20" s="79">
        <v>0</v>
      </c>
      <c r="M20" s="127">
        <v>0</v>
      </c>
      <c r="N20" s="79">
        <v>0</v>
      </c>
      <c r="O20" s="79">
        <v>0</v>
      </c>
      <c r="P20" s="107">
        <v>1</v>
      </c>
      <c r="R20" s="79"/>
    </row>
    <row r="21" spans="1:18">
      <c r="A21" s="79">
        <v>6</v>
      </c>
      <c r="B21" s="121">
        <v>1100001</v>
      </c>
      <c r="C21" s="79" t="s">
        <v>72</v>
      </c>
      <c r="D21" s="121">
        <v>1100002</v>
      </c>
      <c r="E21" s="79" t="s">
        <v>73</v>
      </c>
      <c r="F21" s="79">
        <v>0</v>
      </c>
      <c r="G21" s="79">
        <v>0</v>
      </c>
      <c r="H21" s="79" t="str">
        <f t="shared" si="0"/>
        <v>icon_6</v>
      </c>
      <c r="I21" s="79"/>
      <c r="J21" s="79"/>
      <c r="K21" s="79">
        <v>5</v>
      </c>
      <c r="L21" s="79">
        <v>0</v>
      </c>
      <c r="M21" s="127">
        <v>0</v>
      </c>
      <c r="N21" s="79">
        <v>0</v>
      </c>
      <c r="O21" s="79">
        <v>0</v>
      </c>
      <c r="P21" s="107">
        <v>1</v>
      </c>
      <c r="R21" s="79"/>
    </row>
    <row r="22" spans="1:18">
      <c r="A22" s="79">
        <v>7</v>
      </c>
      <c r="B22" s="121">
        <v>1100003</v>
      </c>
      <c r="C22" s="79" t="s">
        <v>74</v>
      </c>
      <c r="D22" s="121">
        <v>1100004</v>
      </c>
      <c r="E22" s="79" t="s">
        <v>75</v>
      </c>
      <c r="F22" s="79">
        <v>0</v>
      </c>
      <c r="G22" s="79">
        <v>0</v>
      </c>
      <c r="H22" s="79" t="str">
        <f t="shared" si="0"/>
        <v>icon_7</v>
      </c>
      <c r="I22" s="79"/>
      <c r="J22" s="79"/>
      <c r="K22" s="79">
        <v>4</v>
      </c>
      <c r="L22" s="79">
        <v>0</v>
      </c>
      <c r="M22" s="127">
        <v>0</v>
      </c>
      <c r="N22" s="79">
        <v>0</v>
      </c>
      <c r="O22" s="79">
        <v>0</v>
      </c>
      <c r="P22" s="107">
        <v>1</v>
      </c>
      <c r="R22" s="79"/>
    </row>
    <row r="23" spans="1:18">
      <c r="A23" s="79">
        <v>8</v>
      </c>
      <c r="B23" s="121">
        <v>1100005</v>
      </c>
      <c r="C23" s="79" t="s">
        <v>76</v>
      </c>
      <c r="D23" s="121">
        <v>1100006</v>
      </c>
      <c r="E23" s="79" t="s">
        <v>77</v>
      </c>
      <c r="F23" s="79">
        <v>0</v>
      </c>
      <c r="G23" s="79">
        <v>0</v>
      </c>
      <c r="H23" s="79" t="str">
        <f t="shared" si="0"/>
        <v>icon_8</v>
      </c>
      <c r="I23" s="79"/>
      <c r="J23" s="79"/>
      <c r="K23" s="79">
        <v>4</v>
      </c>
      <c r="L23" s="79">
        <v>0</v>
      </c>
      <c r="M23" s="127">
        <v>0</v>
      </c>
      <c r="N23" s="79">
        <v>0</v>
      </c>
      <c r="O23" s="79">
        <v>0</v>
      </c>
      <c r="P23" s="107"/>
      <c r="R23" s="79"/>
    </row>
    <row r="24" spans="1:18">
      <c r="A24" s="79">
        <v>9</v>
      </c>
      <c r="B24" s="121">
        <v>1100007</v>
      </c>
      <c r="C24" s="79" t="s">
        <v>78</v>
      </c>
      <c r="D24" s="121">
        <v>1100008</v>
      </c>
      <c r="E24" s="79" t="s">
        <v>79</v>
      </c>
      <c r="F24" s="79">
        <v>0</v>
      </c>
      <c r="G24" s="79">
        <v>0</v>
      </c>
      <c r="H24" s="79" t="str">
        <f t="shared" si="0"/>
        <v>icon_9</v>
      </c>
      <c r="I24" s="79"/>
      <c r="J24" s="79"/>
      <c r="K24" s="79">
        <v>4</v>
      </c>
      <c r="L24" s="79">
        <v>0</v>
      </c>
      <c r="M24" s="127">
        <v>0</v>
      </c>
      <c r="N24" s="79">
        <v>0</v>
      </c>
      <c r="O24" s="79">
        <v>0</v>
      </c>
      <c r="P24" s="107"/>
      <c r="R24" s="79"/>
    </row>
    <row r="25" spans="1:18">
      <c r="A25" s="79">
        <v>10</v>
      </c>
      <c r="B25" s="121">
        <v>1100009</v>
      </c>
      <c r="C25" s="79" t="s">
        <v>80</v>
      </c>
      <c r="D25" s="121">
        <v>1100010</v>
      </c>
      <c r="E25" s="79" t="s">
        <v>81</v>
      </c>
      <c r="F25" s="79">
        <v>0</v>
      </c>
      <c r="G25" s="79">
        <v>0</v>
      </c>
      <c r="H25" s="79" t="str">
        <f t="shared" si="0"/>
        <v>icon_10</v>
      </c>
      <c r="I25" s="79"/>
      <c r="J25" s="79"/>
      <c r="K25" s="79">
        <v>4</v>
      </c>
      <c r="L25" s="79">
        <v>0</v>
      </c>
      <c r="M25" s="127">
        <v>0</v>
      </c>
      <c r="N25" s="79">
        <v>0</v>
      </c>
      <c r="O25" s="79">
        <v>0</v>
      </c>
      <c r="P25" s="107"/>
      <c r="R25" s="79"/>
    </row>
    <row r="26" spans="1:18">
      <c r="A26" s="79">
        <v>11</v>
      </c>
      <c r="B26" s="79">
        <v>1200001</v>
      </c>
      <c r="C26" s="79" t="s">
        <v>82</v>
      </c>
      <c r="D26" s="79">
        <v>1200002</v>
      </c>
      <c r="E26" s="79" t="s">
        <v>83</v>
      </c>
      <c r="F26" s="79">
        <v>0</v>
      </c>
      <c r="G26" s="79">
        <v>0</v>
      </c>
      <c r="H26" s="79" t="str">
        <f t="shared" si="0"/>
        <v>icon_11</v>
      </c>
      <c r="I26" s="79"/>
      <c r="J26" s="79"/>
      <c r="K26" s="79">
        <v>4</v>
      </c>
      <c r="L26" s="79">
        <v>0</v>
      </c>
      <c r="M26" s="127">
        <v>0</v>
      </c>
      <c r="N26" s="79">
        <v>0</v>
      </c>
      <c r="O26" s="79">
        <v>0</v>
      </c>
      <c r="P26" s="107"/>
      <c r="R26" s="79"/>
    </row>
    <row r="27" spans="1:18">
      <c r="A27" s="79">
        <v>12</v>
      </c>
      <c r="B27" s="79">
        <v>1200003</v>
      </c>
      <c r="C27" s="79" t="s">
        <v>84</v>
      </c>
      <c r="D27" s="79">
        <v>1200004</v>
      </c>
      <c r="E27" s="79" t="s">
        <v>85</v>
      </c>
      <c r="F27" s="79">
        <v>0</v>
      </c>
      <c r="G27" s="79">
        <v>0</v>
      </c>
      <c r="H27" s="79" t="str">
        <f t="shared" si="0"/>
        <v>icon_12</v>
      </c>
      <c r="I27" s="79"/>
      <c r="J27" s="79"/>
      <c r="K27" s="79">
        <v>4</v>
      </c>
      <c r="L27" s="79">
        <v>0</v>
      </c>
      <c r="M27" s="127" t="s">
        <v>86</v>
      </c>
      <c r="N27" s="79">
        <v>0</v>
      </c>
      <c r="O27" s="79">
        <v>0</v>
      </c>
      <c r="P27" s="107"/>
      <c r="R27" s="79"/>
    </row>
    <row r="28" spans="1:18">
      <c r="A28" s="79">
        <v>13</v>
      </c>
      <c r="B28" s="79">
        <v>1200005</v>
      </c>
      <c r="C28" s="79" t="s">
        <v>87</v>
      </c>
      <c r="D28" s="79">
        <v>1200006</v>
      </c>
      <c r="E28" s="79" t="s">
        <v>88</v>
      </c>
      <c r="F28" s="79">
        <v>0</v>
      </c>
      <c r="G28" s="79">
        <v>0</v>
      </c>
      <c r="H28" s="79" t="str">
        <f t="shared" si="0"/>
        <v>icon_13</v>
      </c>
      <c r="I28" s="79"/>
      <c r="J28" s="79"/>
      <c r="K28" s="79">
        <v>4</v>
      </c>
      <c r="L28" s="79">
        <v>0</v>
      </c>
      <c r="M28" s="127">
        <v>0</v>
      </c>
      <c r="N28" s="79">
        <v>0</v>
      </c>
      <c r="O28" s="79">
        <v>0</v>
      </c>
      <c r="P28" s="107"/>
      <c r="R28" s="79"/>
    </row>
    <row r="29" spans="1:18">
      <c r="A29" s="79">
        <v>14</v>
      </c>
      <c r="B29" s="79">
        <v>1200007</v>
      </c>
      <c r="C29" s="79" t="s">
        <v>89</v>
      </c>
      <c r="D29" s="79">
        <v>1200008</v>
      </c>
      <c r="E29" s="79" t="s">
        <v>90</v>
      </c>
      <c r="F29" s="79">
        <v>0</v>
      </c>
      <c r="G29" s="79">
        <v>0</v>
      </c>
      <c r="H29" s="79" t="str">
        <f t="shared" si="0"/>
        <v>icon_14</v>
      </c>
      <c r="I29" s="79"/>
      <c r="J29" s="79"/>
      <c r="K29" s="79">
        <v>6</v>
      </c>
      <c r="L29" s="79">
        <v>0</v>
      </c>
      <c r="M29" s="127" t="s">
        <v>86</v>
      </c>
      <c r="N29" s="79">
        <v>0</v>
      </c>
      <c r="O29" s="79">
        <v>0</v>
      </c>
      <c r="P29" s="107"/>
      <c r="R29" s="79"/>
    </row>
    <row r="30" spans="1:18">
      <c r="A30" s="79">
        <v>15</v>
      </c>
      <c r="B30" s="79">
        <v>1200009</v>
      </c>
      <c r="C30" s="79" t="s">
        <v>91</v>
      </c>
      <c r="D30" s="79">
        <v>1200010</v>
      </c>
      <c r="E30" s="79" t="s">
        <v>92</v>
      </c>
      <c r="F30" s="79">
        <v>0</v>
      </c>
      <c r="G30" s="79">
        <v>0</v>
      </c>
      <c r="H30" s="79" t="str">
        <f t="shared" si="0"/>
        <v>icon_15</v>
      </c>
      <c r="I30" s="79"/>
      <c r="J30" s="79"/>
      <c r="K30" s="79">
        <v>5</v>
      </c>
      <c r="L30" s="79">
        <v>0</v>
      </c>
      <c r="M30" s="127" t="s">
        <v>86</v>
      </c>
      <c r="N30" s="79">
        <v>0</v>
      </c>
      <c r="O30" s="79">
        <v>0</v>
      </c>
      <c r="P30" s="107"/>
      <c r="R30" s="79"/>
    </row>
    <row r="31" spans="1:18">
      <c r="A31" s="79">
        <v>16</v>
      </c>
      <c r="B31" s="79">
        <v>1200011</v>
      </c>
      <c r="C31" s="79" t="s">
        <v>93</v>
      </c>
      <c r="D31" s="79">
        <v>1200012</v>
      </c>
      <c r="E31" s="79" t="s">
        <v>94</v>
      </c>
      <c r="F31" s="79">
        <v>0</v>
      </c>
      <c r="G31" s="79">
        <v>0</v>
      </c>
      <c r="H31" s="79" t="str">
        <f>"icon_"&amp;A34</f>
        <v>icon_19</v>
      </c>
      <c r="I31" s="79"/>
      <c r="J31" s="79"/>
      <c r="K31" s="79">
        <v>4</v>
      </c>
      <c r="L31" s="79">
        <v>0</v>
      </c>
      <c r="M31" s="127" t="s">
        <v>86</v>
      </c>
      <c r="N31" s="79">
        <v>0</v>
      </c>
      <c r="O31" s="79">
        <v>0</v>
      </c>
      <c r="P31" s="107"/>
      <c r="R31" s="79"/>
    </row>
    <row r="32" spans="1:18">
      <c r="A32" s="79">
        <v>17</v>
      </c>
      <c r="B32" s="79">
        <v>1200013</v>
      </c>
      <c r="C32" s="79" t="s">
        <v>95</v>
      </c>
      <c r="D32" s="79">
        <v>1200014</v>
      </c>
      <c r="E32" s="79" t="s">
        <v>95</v>
      </c>
      <c r="F32" s="79">
        <v>0</v>
      </c>
      <c r="G32" s="79">
        <v>0</v>
      </c>
      <c r="H32" s="79" t="str">
        <f>"icon_"&amp;A32</f>
        <v>icon_17</v>
      </c>
      <c r="I32" s="79"/>
      <c r="J32" s="79"/>
      <c r="K32" s="79">
        <v>4</v>
      </c>
      <c r="L32" s="79">
        <v>0</v>
      </c>
      <c r="M32" s="127">
        <v>0</v>
      </c>
      <c r="N32" s="79">
        <v>0</v>
      </c>
      <c r="O32" s="79">
        <v>0</v>
      </c>
      <c r="P32" s="107"/>
      <c r="R32" s="79"/>
    </row>
    <row r="33" spans="1:18">
      <c r="A33" s="79">
        <v>18</v>
      </c>
      <c r="B33" s="79">
        <v>1200015</v>
      </c>
      <c r="C33" s="79" t="s">
        <v>96</v>
      </c>
      <c r="D33" s="79">
        <v>1200016</v>
      </c>
      <c r="E33" s="79" t="s">
        <v>96</v>
      </c>
      <c r="F33" s="79">
        <v>0</v>
      </c>
      <c r="G33" s="79">
        <v>0</v>
      </c>
      <c r="H33" s="79" t="str">
        <f>"icon_"&amp;A33</f>
        <v>icon_18</v>
      </c>
      <c r="I33" s="79"/>
      <c r="J33" s="79"/>
      <c r="K33" s="79">
        <v>4</v>
      </c>
      <c r="L33" s="79">
        <v>0</v>
      </c>
      <c r="M33" s="127">
        <v>0</v>
      </c>
      <c r="N33" s="79">
        <v>0</v>
      </c>
      <c r="O33" s="79">
        <v>0</v>
      </c>
      <c r="P33" s="107"/>
      <c r="R33" s="79"/>
    </row>
    <row r="34" spans="1:18">
      <c r="A34" s="79">
        <v>19</v>
      </c>
      <c r="B34" s="79">
        <v>1200017</v>
      </c>
      <c r="C34" s="79" t="s">
        <v>97</v>
      </c>
      <c r="D34" s="79">
        <v>1200018</v>
      </c>
      <c r="E34" s="79" t="s">
        <v>98</v>
      </c>
      <c r="F34" s="79">
        <v>0</v>
      </c>
      <c r="G34" s="79">
        <v>0</v>
      </c>
      <c r="I34" s="79"/>
      <c r="J34" s="79"/>
      <c r="K34" s="79">
        <v>1</v>
      </c>
      <c r="L34" s="79">
        <v>0</v>
      </c>
      <c r="M34" s="127" t="s">
        <v>86</v>
      </c>
      <c r="N34" s="79">
        <v>0</v>
      </c>
      <c r="O34" s="79">
        <v>0</v>
      </c>
      <c r="P34" s="107"/>
      <c r="R34" s="79"/>
    </row>
    <row r="35" spans="1:18">
      <c r="A35" s="79">
        <v>20</v>
      </c>
      <c r="B35" s="79">
        <v>1200019</v>
      </c>
      <c r="C35" s="79" t="s">
        <v>99</v>
      </c>
      <c r="D35" s="79">
        <v>1200020</v>
      </c>
      <c r="E35" s="79" t="s">
        <v>100</v>
      </c>
      <c r="F35" s="79">
        <v>8</v>
      </c>
      <c r="G35" s="79">
        <v>4</v>
      </c>
      <c r="H35" s="93" t="s">
        <v>101</v>
      </c>
      <c r="I35" s="79"/>
      <c r="J35" s="79"/>
      <c r="K35" s="79">
        <v>6</v>
      </c>
      <c r="L35" s="79">
        <v>10</v>
      </c>
      <c r="M35" s="127" t="s">
        <v>86</v>
      </c>
      <c r="N35" s="79">
        <v>0</v>
      </c>
      <c r="O35" s="79">
        <v>0</v>
      </c>
      <c r="P35" s="107"/>
      <c r="R35" s="79"/>
    </row>
    <row r="36" spans="1:18">
      <c r="A36" s="79">
        <v>21</v>
      </c>
      <c r="B36" s="79">
        <v>1200021</v>
      </c>
      <c r="C36" s="79" t="s">
        <v>102</v>
      </c>
      <c r="D36" s="79">
        <v>1200022</v>
      </c>
      <c r="E36" s="79" t="s">
        <v>103</v>
      </c>
      <c r="F36" s="79">
        <v>8</v>
      </c>
      <c r="G36" s="79" t="s">
        <v>104</v>
      </c>
      <c r="H36" s="93" t="s">
        <v>105</v>
      </c>
      <c r="I36" s="79"/>
      <c r="J36" s="79"/>
      <c r="K36" s="79">
        <v>4</v>
      </c>
      <c r="L36" s="79">
        <v>0</v>
      </c>
      <c r="M36" s="127" t="s">
        <v>86</v>
      </c>
      <c r="N36" s="79">
        <v>0</v>
      </c>
      <c r="O36" s="79">
        <v>0</v>
      </c>
      <c r="P36" s="107"/>
      <c r="R36" s="79"/>
    </row>
    <row r="37" spans="1:18">
      <c r="A37" s="79">
        <v>22</v>
      </c>
      <c r="B37" s="79">
        <v>1200023</v>
      </c>
      <c r="C37" s="79" t="s">
        <v>106</v>
      </c>
      <c r="D37" s="79">
        <v>1200024</v>
      </c>
      <c r="E37" s="79" t="s">
        <v>107</v>
      </c>
      <c r="F37" s="79">
        <v>0</v>
      </c>
      <c r="G37" s="79">
        <v>0</v>
      </c>
      <c r="H37" s="93" t="s">
        <v>108</v>
      </c>
      <c r="I37" s="79"/>
      <c r="J37" s="79"/>
      <c r="K37" s="79">
        <v>4</v>
      </c>
      <c r="L37" s="79">
        <v>0</v>
      </c>
      <c r="M37" s="127" t="s">
        <v>86</v>
      </c>
      <c r="N37" s="79">
        <v>0</v>
      </c>
      <c r="O37" s="79">
        <v>0</v>
      </c>
      <c r="P37" s="107"/>
      <c r="R37" s="79"/>
    </row>
    <row r="38" spans="1:18">
      <c r="A38" s="79">
        <v>23</v>
      </c>
      <c r="B38" s="79">
        <v>1200025</v>
      </c>
      <c r="C38" s="79" t="s">
        <v>109</v>
      </c>
      <c r="D38" s="79">
        <v>1200026</v>
      </c>
      <c r="E38" s="79" t="s">
        <v>107</v>
      </c>
      <c r="F38" s="79">
        <v>0</v>
      </c>
      <c r="G38" s="79">
        <v>0</v>
      </c>
      <c r="H38" s="93" t="s">
        <v>110</v>
      </c>
      <c r="I38" s="79"/>
      <c r="J38" s="79"/>
      <c r="K38" s="79">
        <v>4</v>
      </c>
      <c r="L38" s="79">
        <v>0</v>
      </c>
      <c r="M38" s="127" t="s">
        <v>86</v>
      </c>
      <c r="N38" s="79">
        <v>0</v>
      </c>
      <c r="O38" s="79">
        <v>0</v>
      </c>
      <c r="P38" s="107"/>
      <c r="R38" s="79"/>
    </row>
    <row r="39" spans="1:18">
      <c r="A39" s="79">
        <v>24</v>
      </c>
      <c r="B39" s="79">
        <v>1200027</v>
      </c>
      <c r="C39" s="79" t="s">
        <v>80</v>
      </c>
      <c r="D39" s="79">
        <v>1200028</v>
      </c>
      <c r="E39" s="79" t="s">
        <v>111</v>
      </c>
      <c r="F39" s="79">
        <v>0</v>
      </c>
      <c r="G39" s="79">
        <v>0</v>
      </c>
      <c r="H39" s="93" t="s">
        <v>112</v>
      </c>
      <c r="I39" s="79"/>
      <c r="J39" s="79"/>
      <c r="K39" s="79">
        <v>4</v>
      </c>
      <c r="L39" s="79">
        <v>0</v>
      </c>
      <c r="M39" s="127" t="s">
        <v>86</v>
      </c>
      <c r="N39" s="79">
        <v>0</v>
      </c>
      <c r="O39" s="79">
        <v>0</v>
      </c>
      <c r="P39" s="107"/>
      <c r="R39" s="79"/>
    </row>
    <row r="40" spans="1:18">
      <c r="A40" s="79">
        <v>25</v>
      </c>
      <c r="B40" s="79">
        <v>1200029</v>
      </c>
      <c r="C40" s="79" t="s">
        <v>113</v>
      </c>
      <c r="D40" s="79">
        <v>1200030</v>
      </c>
      <c r="E40" s="79" t="s">
        <v>114</v>
      </c>
      <c r="F40" s="79">
        <v>8</v>
      </c>
      <c r="G40" s="79" t="s">
        <v>115</v>
      </c>
      <c r="H40" s="93" t="s">
        <v>116</v>
      </c>
      <c r="I40" s="79"/>
      <c r="J40" s="79"/>
      <c r="K40" s="79">
        <v>3</v>
      </c>
      <c r="L40" s="79">
        <v>0</v>
      </c>
      <c r="M40" s="127" t="s">
        <v>86</v>
      </c>
      <c r="N40" s="79">
        <v>0</v>
      </c>
      <c r="O40" s="79">
        <v>0</v>
      </c>
      <c r="P40" s="107">
        <v>10</v>
      </c>
      <c r="R40" s="79"/>
    </row>
    <row r="41" spans="1:18">
      <c r="A41" s="79">
        <v>26</v>
      </c>
      <c r="B41" s="79">
        <v>1200031</v>
      </c>
      <c r="C41" s="79" t="s">
        <v>117</v>
      </c>
      <c r="D41" s="79">
        <v>1200032</v>
      </c>
      <c r="E41" s="79" t="s">
        <v>118</v>
      </c>
      <c r="F41" s="79">
        <v>8</v>
      </c>
      <c r="G41" s="79" t="s">
        <v>119</v>
      </c>
      <c r="H41" s="93" t="s">
        <v>120</v>
      </c>
      <c r="I41" s="79"/>
      <c r="J41" s="79"/>
      <c r="K41" s="79">
        <v>3</v>
      </c>
      <c r="L41" s="79">
        <v>0</v>
      </c>
      <c r="M41" s="127" t="s">
        <v>86</v>
      </c>
      <c r="N41" s="79">
        <v>0</v>
      </c>
      <c r="O41" s="79">
        <v>0</v>
      </c>
      <c r="P41" s="107">
        <v>10</v>
      </c>
      <c r="R41" s="79"/>
    </row>
    <row r="42" spans="1:18">
      <c r="A42" s="79">
        <v>27</v>
      </c>
      <c r="B42" s="79">
        <v>1200033</v>
      </c>
      <c r="C42" s="79" t="s">
        <v>121</v>
      </c>
      <c r="D42" s="79">
        <v>1200034</v>
      </c>
      <c r="E42" s="79" t="s">
        <v>122</v>
      </c>
      <c r="F42" s="79">
        <v>25</v>
      </c>
      <c r="G42" s="79">
        <v>1</v>
      </c>
      <c r="H42" s="93" t="s">
        <v>123</v>
      </c>
      <c r="I42" s="79"/>
      <c r="J42" s="79"/>
      <c r="K42" s="79">
        <v>4</v>
      </c>
      <c r="L42" s="79">
        <v>12</v>
      </c>
      <c r="M42" s="79">
        <v>1000001</v>
      </c>
      <c r="N42" s="79">
        <v>2</v>
      </c>
      <c r="O42" s="79">
        <v>0</v>
      </c>
      <c r="P42" s="107"/>
      <c r="R42" s="79"/>
    </row>
    <row r="43" spans="1:18">
      <c r="A43" s="79">
        <v>28</v>
      </c>
      <c r="B43" s="79">
        <v>1200035</v>
      </c>
      <c r="C43" s="79" t="s">
        <v>124</v>
      </c>
      <c r="D43" s="79">
        <v>1200036</v>
      </c>
      <c r="E43" s="79" t="s">
        <v>125</v>
      </c>
      <c r="F43" s="79">
        <v>0</v>
      </c>
      <c r="G43" s="79">
        <v>0</v>
      </c>
      <c r="H43" s="93" t="s">
        <v>126</v>
      </c>
      <c r="I43" s="79"/>
      <c r="J43" s="79"/>
      <c r="K43" s="79">
        <v>4</v>
      </c>
      <c r="L43" s="79">
        <v>0</v>
      </c>
      <c r="M43" s="79">
        <v>0</v>
      </c>
      <c r="N43" s="79">
        <v>0</v>
      </c>
      <c r="O43" s="79">
        <v>0</v>
      </c>
      <c r="P43" s="107"/>
      <c r="R43" s="79"/>
    </row>
    <row r="44" spans="1:18">
      <c r="A44" s="79">
        <v>29</v>
      </c>
      <c r="B44" s="79">
        <v>1200037</v>
      </c>
      <c r="C44" s="79" t="s">
        <v>127</v>
      </c>
      <c r="D44" s="79">
        <v>1200038</v>
      </c>
      <c r="E44" s="79" t="s">
        <v>128</v>
      </c>
      <c r="F44" s="79">
        <v>0</v>
      </c>
      <c r="G44" s="79">
        <v>0</v>
      </c>
      <c r="H44" s="93" t="s">
        <v>129</v>
      </c>
      <c r="I44" s="79"/>
      <c r="J44" s="79"/>
      <c r="K44" s="79">
        <v>4</v>
      </c>
      <c r="L44" s="79">
        <v>0</v>
      </c>
      <c r="M44" s="79">
        <v>0</v>
      </c>
      <c r="N44" s="79">
        <v>0</v>
      </c>
      <c r="O44" s="79">
        <v>0</v>
      </c>
      <c r="P44" s="107"/>
      <c r="R44" s="79"/>
    </row>
    <row r="45" spans="1:18">
      <c r="A45" s="79">
        <v>30</v>
      </c>
      <c r="B45" s="79">
        <v>1200039</v>
      </c>
      <c r="C45" s="79" t="s">
        <v>130</v>
      </c>
      <c r="D45" s="79">
        <v>1200040</v>
      </c>
      <c r="E45" s="79" t="s">
        <v>131</v>
      </c>
      <c r="F45" s="79">
        <v>0</v>
      </c>
      <c r="G45" s="79">
        <v>0</v>
      </c>
      <c r="H45" s="93" t="s">
        <v>132</v>
      </c>
      <c r="I45" s="79"/>
      <c r="J45" s="79"/>
      <c r="K45" s="79">
        <v>4</v>
      </c>
      <c r="L45" s="79">
        <v>0</v>
      </c>
      <c r="M45" s="79">
        <v>0</v>
      </c>
      <c r="N45" s="79">
        <v>0</v>
      </c>
      <c r="O45" s="79">
        <v>0</v>
      </c>
      <c r="P45" s="107"/>
      <c r="R45" s="79"/>
    </row>
    <row r="46" spans="1:18">
      <c r="A46" s="79">
        <v>31</v>
      </c>
      <c r="B46" s="79">
        <v>1200041</v>
      </c>
      <c r="C46" s="79" t="s">
        <v>133</v>
      </c>
      <c r="D46" s="79">
        <v>1200042</v>
      </c>
      <c r="E46" s="79" t="s">
        <v>134</v>
      </c>
      <c r="F46" s="79">
        <v>8</v>
      </c>
      <c r="G46" s="79">
        <v>0</v>
      </c>
      <c r="H46" s="93" t="s">
        <v>135</v>
      </c>
      <c r="I46" s="79">
        <v>30</v>
      </c>
      <c r="J46" s="79"/>
      <c r="K46" s="79">
        <v>3</v>
      </c>
      <c r="L46" s="79">
        <v>0</v>
      </c>
      <c r="M46" s="79">
        <v>0</v>
      </c>
      <c r="N46" s="79">
        <v>0</v>
      </c>
      <c r="O46" s="79">
        <v>0</v>
      </c>
      <c r="P46" s="107"/>
      <c r="R46" s="79"/>
    </row>
    <row r="47" spans="1:18">
      <c r="A47" s="79">
        <v>32</v>
      </c>
      <c r="B47" s="79">
        <v>1200043</v>
      </c>
      <c r="C47" s="79" t="s">
        <v>136</v>
      </c>
      <c r="D47" s="79">
        <v>1200044</v>
      </c>
      <c r="E47" s="79" t="s">
        <v>137</v>
      </c>
      <c r="F47" s="79">
        <v>8</v>
      </c>
      <c r="G47" s="79" t="s">
        <v>138</v>
      </c>
      <c r="H47" s="93" t="s">
        <v>139</v>
      </c>
      <c r="I47" s="79"/>
      <c r="J47" s="79"/>
      <c r="K47" s="79">
        <v>4</v>
      </c>
      <c r="L47" s="79">
        <v>0</v>
      </c>
      <c r="M47" s="79">
        <v>0</v>
      </c>
      <c r="N47" s="79">
        <v>0</v>
      </c>
      <c r="O47" s="79">
        <v>0</v>
      </c>
      <c r="P47" s="107"/>
      <c r="R47" s="79"/>
    </row>
    <row r="48" spans="1:18" s="79" customFormat="1">
      <c r="A48" s="79">
        <v>33</v>
      </c>
      <c r="B48" s="79">
        <v>1200045</v>
      </c>
      <c r="C48" s="79" t="s">
        <v>140</v>
      </c>
      <c r="D48" s="79">
        <v>1200046</v>
      </c>
      <c r="E48" s="79" t="s">
        <v>141</v>
      </c>
      <c r="F48" s="79">
        <v>0</v>
      </c>
      <c r="G48" s="79">
        <v>0</v>
      </c>
      <c r="H48" s="93" t="s">
        <v>142</v>
      </c>
      <c r="K48" s="79">
        <v>4</v>
      </c>
      <c r="L48" s="79">
        <v>0</v>
      </c>
      <c r="M48" s="79">
        <v>0</v>
      </c>
      <c r="N48" s="79">
        <v>0</v>
      </c>
      <c r="O48" s="79">
        <v>0</v>
      </c>
      <c r="P48" s="107"/>
      <c r="Q48" s="93"/>
      <c r="R48" s="92"/>
    </row>
    <row r="49" spans="1:18" s="79" customFormat="1">
      <c r="A49" s="79">
        <v>34</v>
      </c>
      <c r="B49" s="79">
        <v>1200047</v>
      </c>
      <c r="C49" s="79" t="s">
        <v>143</v>
      </c>
      <c r="D49" s="79">
        <v>1200048</v>
      </c>
      <c r="E49" s="79" t="s">
        <v>144</v>
      </c>
      <c r="F49" s="79">
        <v>0</v>
      </c>
      <c r="G49" s="79">
        <v>0</v>
      </c>
      <c r="H49" s="93" t="s">
        <v>145</v>
      </c>
      <c r="K49" s="79">
        <v>4</v>
      </c>
      <c r="L49" s="79">
        <v>0</v>
      </c>
      <c r="M49" s="79">
        <v>0</v>
      </c>
      <c r="N49" s="79">
        <v>0</v>
      </c>
      <c r="O49" s="79">
        <v>0</v>
      </c>
      <c r="P49" s="107"/>
      <c r="Q49" s="93"/>
      <c r="R49" s="92"/>
    </row>
    <row r="50" spans="1:18" s="79" customFormat="1">
      <c r="A50" s="79">
        <v>37</v>
      </c>
      <c r="B50" s="79">
        <v>1200053</v>
      </c>
      <c r="C50" s="79" t="s">
        <v>146</v>
      </c>
      <c r="D50" s="79">
        <v>1200054</v>
      </c>
      <c r="E50" s="79" t="s">
        <v>147</v>
      </c>
      <c r="F50" s="79">
        <v>0</v>
      </c>
      <c r="G50" s="79">
        <v>0</v>
      </c>
      <c r="H50" s="93" t="s">
        <v>148</v>
      </c>
      <c r="K50" s="79">
        <v>4</v>
      </c>
      <c r="L50" s="79">
        <v>0</v>
      </c>
      <c r="M50" s="79">
        <v>0</v>
      </c>
      <c r="N50" s="79">
        <v>0</v>
      </c>
      <c r="O50" s="79">
        <v>0</v>
      </c>
      <c r="P50" s="107"/>
      <c r="Q50" s="93"/>
      <c r="R50" s="92"/>
    </row>
    <row r="51" spans="1:18" s="79" customFormat="1">
      <c r="A51" s="79">
        <v>38</v>
      </c>
      <c r="B51" s="79">
        <v>1200055</v>
      </c>
      <c r="C51" s="79" t="s">
        <v>149</v>
      </c>
      <c r="D51" s="79">
        <v>1200056</v>
      </c>
      <c r="E51" s="79" t="s">
        <v>150</v>
      </c>
      <c r="F51" s="79">
        <v>0</v>
      </c>
      <c r="G51" s="79">
        <v>0</v>
      </c>
      <c r="H51" s="93" t="s">
        <v>151</v>
      </c>
      <c r="K51" s="79">
        <v>4</v>
      </c>
      <c r="L51" s="79">
        <v>0</v>
      </c>
      <c r="M51" s="79">
        <v>0</v>
      </c>
      <c r="N51" s="79">
        <v>0</v>
      </c>
      <c r="O51" s="79">
        <v>0</v>
      </c>
      <c r="P51" s="107"/>
      <c r="Q51" s="93"/>
      <c r="R51" s="92"/>
    </row>
    <row r="52" spans="1:18" s="79" customFormat="1">
      <c r="A52" s="79">
        <v>39</v>
      </c>
      <c r="B52" s="79">
        <v>1200057</v>
      </c>
      <c r="C52" s="79" t="s">
        <v>152</v>
      </c>
      <c r="D52" s="79">
        <v>1200058</v>
      </c>
      <c r="E52" s="79" t="s">
        <v>153</v>
      </c>
      <c r="F52" s="79">
        <v>0</v>
      </c>
      <c r="G52" s="79">
        <v>0</v>
      </c>
      <c r="H52" s="93" t="s">
        <v>154</v>
      </c>
      <c r="K52" s="79">
        <v>4</v>
      </c>
      <c r="L52" s="79">
        <v>0</v>
      </c>
      <c r="M52" s="79">
        <v>0</v>
      </c>
      <c r="N52" s="79">
        <v>0</v>
      </c>
      <c r="O52" s="79">
        <v>0</v>
      </c>
      <c r="P52" s="107"/>
      <c r="Q52" s="93"/>
      <c r="R52" s="92"/>
    </row>
    <row r="53" spans="1:18" s="103" customFormat="1" ht="15.75">
      <c r="A53" s="107">
        <v>40</v>
      </c>
      <c r="B53" s="103">
        <v>1200059</v>
      </c>
      <c r="C53" s="122" t="s">
        <v>155</v>
      </c>
      <c r="D53" s="103">
        <v>1200060</v>
      </c>
      <c r="E53" s="103" t="s">
        <v>156</v>
      </c>
      <c r="F53" s="103">
        <v>0</v>
      </c>
      <c r="G53" s="103">
        <v>0</v>
      </c>
      <c r="H53" s="114" t="s">
        <v>157</v>
      </c>
      <c r="K53" s="103">
        <v>4</v>
      </c>
      <c r="L53" s="103">
        <v>0</v>
      </c>
      <c r="M53" s="103">
        <v>0</v>
      </c>
      <c r="N53" s="103">
        <v>0</v>
      </c>
      <c r="O53" s="103">
        <v>0</v>
      </c>
      <c r="P53" s="129"/>
      <c r="Q53" s="114"/>
      <c r="R53" s="133"/>
    </row>
    <row r="54" spans="1:18">
      <c r="A54" s="93">
        <v>41</v>
      </c>
      <c r="B54" s="93">
        <v>1200061</v>
      </c>
      <c r="C54" s="93" t="s">
        <v>158</v>
      </c>
      <c r="D54" s="93">
        <v>1200062</v>
      </c>
      <c r="E54" s="93" t="s">
        <v>159</v>
      </c>
      <c r="F54" s="93">
        <v>0</v>
      </c>
      <c r="G54" s="93">
        <v>0</v>
      </c>
      <c r="H54" s="93" t="s">
        <v>160</v>
      </c>
      <c r="K54" s="93">
        <v>4</v>
      </c>
      <c r="L54" s="93">
        <v>0</v>
      </c>
      <c r="M54" s="93">
        <v>0</v>
      </c>
      <c r="N54" s="93">
        <v>0</v>
      </c>
      <c r="O54" s="93">
        <v>0</v>
      </c>
      <c r="P54" s="98"/>
      <c r="R54" s="92"/>
    </row>
    <row r="55" spans="1:18">
      <c r="A55" s="93">
        <v>42</v>
      </c>
      <c r="B55" s="93">
        <v>1200063</v>
      </c>
      <c r="C55" s="93" t="s">
        <v>161</v>
      </c>
      <c r="D55" s="93">
        <v>1200064</v>
      </c>
      <c r="E55" s="93" t="s">
        <v>162</v>
      </c>
      <c r="F55" s="93">
        <v>0</v>
      </c>
      <c r="G55" s="93">
        <v>0</v>
      </c>
      <c r="H55" s="123" t="s">
        <v>163</v>
      </c>
      <c r="K55" s="93">
        <v>4</v>
      </c>
      <c r="L55" s="93">
        <v>0</v>
      </c>
      <c r="M55" s="93">
        <v>0</v>
      </c>
      <c r="N55" s="93">
        <v>0</v>
      </c>
      <c r="O55" s="93">
        <v>0</v>
      </c>
      <c r="P55" s="98"/>
      <c r="R55" s="92"/>
    </row>
    <row r="56" spans="1:18">
      <c r="A56" s="93">
        <v>43</v>
      </c>
      <c r="B56" s="93">
        <v>1200065</v>
      </c>
      <c r="C56" s="93" t="s">
        <v>164</v>
      </c>
      <c r="D56" s="93">
        <v>1200066</v>
      </c>
      <c r="E56" s="93" t="s">
        <v>165</v>
      </c>
      <c r="F56" s="93">
        <v>0</v>
      </c>
      <c r="G56" s="93">
        <v>0</v>
      </c>
      <c r="H56" s="123" t="s">
        <v>166</v>
      </c>
      <c r="K56" s="93">
        <v>4</v>
      </c>
      <c r="L56" s="93">
        <v>0</v>
      </c>
      <c r="M56" s="93">
        <v>0</v>
      </c>
      <c r="N56" s="93">
        <v>0</v>
      </c>
      <c r="O56" s="93">
        <v>0</v>
      </c>
      <c r="P56" s="98"/>
      <c r="R56" s="92"/>
    </row>
    <row r="57" spans="1:18">
      <c r="A57" s="93">
        <v>44</v>
      </c>
      <c r="B57" s="93">
        <v>1200067</v>
      </c>
      <c r="C57" s="93" t="s">
        <v>167</v>
      </c>
      <c r="D57" s="93">
        <v>1200068</v>
      </c>
      <c r="E57" s="93" t="s">
        <v>168</v>
      </c>
      <c r="F57" s="93">
        <v>0</v>
      </c>
      <c r="G57" s="93">
        <v>0</v>
      </c>
      <c r="H57" s="123" t="s">
        <v>169</v>
      </c>
      <c r="K57" s="93">
        <v>5</v>
      </c>
      <c r="L57" s="93">
        <v>0</v>
      </c>
      <c r="M57" s="93">
        <v>0</v>
      </c>
      <c r="N57" s="93">
        <v>0</v>
      </c>
      <c r="O57" s="93">
        <v>0</v>
      </c>
      <c r="P57" s="98"/>
      <c r="R57" s="92"/>
    </row>
    <row r="58" spans="1:18" s="104" customFormat="1">
      <c r="A58" s="104">
        <v>45</v>
      </c>
      <c r="B58" s="88">
        <v>1200069</v>
      </c>
      <c r="C58" s="104" t="s">
        <v>170</v>
      </c>
      <c r="M58" s="130"/>
    </row>
    <row r="59" spans="1:18" s="104" customFormat="1">
      <c r="A59" s="104">
        <v>46</v>
      </c>
      <c r="B59" s="88">
        <v>1200071</v>
      </c>
      <c r="C59" s="104" t="s">
        <v>171</v>
      </c>
      <c r="M59" s="130"/>
    </row>
    <row r="60" spans="1:18" s="104" customFormat="1">
      <c r="A60" s="104">
        <v>47</v>
      </c>
      <c r="B60" s="88">
        <v>1200073</v>
      </c>
      <c r="C60" s="104" t="s">
        <v>172</v>
      </c>
      <c r="P60" s="131"/>
      <c r="R60" s="134"/>
    </row>
    <row r="61" spans="1:18" s="104" customFormat="1">
      <c r="A61" s="104">
        <v>48</v>
      </c>
      <c r="B61" s="88">
        <v>1200075</v>
      </c>
      <c r="C61" s="104" t="s">
        <v>173</v>
      </c>
      <c r="P61" s="131"/>
      <c r="R61" s="134"/>
    </row>
    <row r="62" spans="1:18">
      <c r="A62" s="93">
        <v>49</v>
      </c>
      <c r="B62" s="93">
        <v>1200077</v>
      </c>
      <c r="C62" s="93" t="s">
        <v>174</v>
      </c>
      <c r="D62" s="93">
        <v>1200078</v>
      </c>
      <c r="E62" s="93" t="s">
        <v>175</v>
      </c>
      <c r="F62" s="93">
        <v>0</v>
      </c>
      <c r="G62" s="93">
        <v>0</v>
      </c>
      <c r="H62" s="93" t="s">
        <v>176</v>
      </c>
      <c r="K62" s="93">
        <v>5</v>
      </c>
      <c r="L62" s="93">
        <v>0</v>
      </c>
      <c r="M62" s="93">
        <v>0</v>
      </c>
      <c r="N62" s="93">
        <v>0</v>
      </c>
      <c r="O62" s="93">
        <v>0</v>
      </c>
      <c r="P62" s="98"/>
      <c r="R62" s="92"/>
    </row>
    <row r="63" spans="1:18" s="104" customFormat="1">
      <c r="A63" s="79">
        <v>50</v>
      </c>
      <c r="B63" s="93">
        <v>1200079</v>
      </c>
      <c r="C63" s="93" t="s">
        <v>177</v>
      </c>
      <c r="D63" s="93">
        <v>1200080</v>
      </c>
      <c r="E63" s="93" t="s">
        <v>178</v>
      </c>
      <c r="F63" s="93">
        <v>0</v>
      </c>
      <c r="G63" s="93">
        <v>0</v>
      </c>
      <c r="H63" s="124" t="s">
        <v>179</v>
      </c>
      <c r="I63" s="132"/>
      <c r="J63" s="132"/>
      <c r="K63" s="93">
        <v>4</v>
      </c>
      <c r="L63" s="93">
        <v>0</v>
      </c>
      <c r="M63" s="93">
        <v>0</v>
      </c>
      <c r="N63" s="93">
        <v>0</v>
      </c>
      <c r="O63" s="93">
        <v>0</v>
      </c>
      <c r="P63" s="93"/>
      <c r="R63" s="134"/>
    </row>
    <row r="64" spans="1:18" s="104" customFormat="1" ht="15.75">
      <c r="A64" s="125">
        <v>51</v>
      </c>
      <c r="B64" s="125">
        <v>1200081</v>
      </c>
      <c r="C64" s="126" t="s">
        <v>180</v>
      </c>
      <c r="D64" s="125">
        <v>1200082</v>
      </c>
      <c r="E64" s="93" t="s">
        <v>181</v>
      </c>
      <c r="F64" s="93">
        <v>0</v>
      </c>
      <c r="G64" s="93">
        <v>0</v>
      </c>
      <c r="H64" s="1" t="s">
        <v>182</v>
      </c>
      <c r="I64" s="132"/>
      <c r="J64" s="132"/>
      <c r="K64" s="93">
        <v>5</v>
      </c>
      <c r="L64" s="93">
        <v>0</v>
      </c>
      <c r="M64" s="93">
        <v>0</v>
      </c>
      <c r="N64" s="93">
        <v>0</v>
      </c>
      <c r="O64" s="93">
        <v>0</v>
      </c>
      <c r="P64" s="93"/>
      <c r="R64" s="134"/>
    </row>
    <row r="65" spans="1:18" s="104" customFormat="1" ht="15.75">
      <c r="A65" s="125">
        <v>52</v>
      </c>
      <c r="B65" s="125">
        <v>1200083</v>
      </c>
      <c r="C65" s="126" t="s">
        <v>183</v>
      </c>
      <c r="D65" s="125">
        <v>1200084</v>
      </c>
      <c r="E65" s="93" t="s">
        <v>184</v>
      </c>
      <c r="F65" s="93">
        <v>0</v>
      </c>
      <c r="G65" s="93">
        <v>0</v>
      </c>
      <c r="H65" s="1" t="s">
        <v>185</v>
      </c>
      <c r="I65" s="132"/>
      <c r="J65" s="132"/>
      <c r="K65" s="93">
        <v>5</v>
      </c>
      <c r="L65" s="93">
        <v>0</v>
      </c>
      <c r="M65" s="93">
        <v>0</v>
      </c>
      <c r="N65" s="93">
        <v>0</v>
      </c>
      <c r="O65" s="93">
        <v>0</v>
      </c>
      <c r="P65" s="93"/>
      <c r="R65" s="134"/>
    </row>
    <row r="66" spans="1:18" s="104" customFormat="1" ht="15.75">
      <c r="A66" s="125">
        <v>53</v>
      </c>
      <c r="B66" s="125">
        <v>1200085</v>
      </c>
      <c r="C66" s="126" t="s">
        <v>186</v>
      </c>
      <c r="D66" s="125">
        <v>1200086</v>
      </c>
      <c r="E66" s="93" t="s">
        <v>187</v>
      </c>
      <c r="F66" s="93">
        <v>0</v>
      </c>
      <c r="G66" s="93">
        <v>0</v>
      </c>
      <c r="H66" s="1" t="s">
        <v>188</v>
      </c>
      <c r="I66" s="132"/>
      <c r="J66" s="132"/>
      <c r="K66" s="93">
        <v>5</v>
      </c>
      <c r="L66" s="93">
        <v>0</v>
      </c>
      <c r="M66" s="93">
        <v>0</v>
      </c>
      <c r="N66" s="93">
        <v>0</v>
      </c>
      <c r="O66" s="93">
        <v>0</v>
      </c>
      <c r="P66" s="93"/>
      <c r="R66" s="134"/>
    </row>
    <row r="67" spans="1:18" s="79" customFormat="1" ht="15.75">
      <c r="A67" s="79">
        <v>54</v>
      </c>
      <c r="B67" s="79">
        <v>1200087</v>
      </c>
      <c r="C67" s="26" t="s">
        <v>189</v>
      </c>
      <c r="D67" s="79">
        <v>1200088</v>
      </c>
      <c r="E67" s="79" t="s">
        <v>190</v>
      </c>
      <c r="F67" s="79">
        <v>0</v>
      </c>
      <c r="G67" s="79">
        <v>0</v>
      </c>
      <c r="H67" s="26" t="s">
        <v>191</v>
      </c>
      <c r="K67" s="79">
        <v>4</v>
      </c>
      <c r="L67" s="79">
        <v>0</v>
      </c>
      <c r="M67" s="79">
        <v>0</v>
      </c>
      <c r="N67" s="79">
        <v>0</v>
      </c>
      <c r="O67" s="79">
        <v>0</v>
      </c>
      <c r="R67" s="101"/>
    </row>
    <row r="68" spans="1:18" s="79" customFormat="1" ht="15.75">
      <c r="A68" s="79">
        <v>55</v>
      </c>
      <c r="B68" s="79">
        <v>1200089</v>
      </c>
      <c r="C68" s="26" t="s">
        <v>192</v>
      </c>
      <c r="D68" s="79">
        <v>1200090</v>
      </c>
      <c r="E68" s="79" t="s">
        <v>193</v>
      </c>
      <c r="F68" s="79">
        <v>0</v>
      </c>
      <c r="G68" s="79">
        <v>0</v>
      </c>
      <c r="H68" s="26" t="s">
        <v>194</v>
      </c>
      <c r="K68" s="79">
        <v>4</v>
      </c>
      <c r="L68" s="79">
        <v>0</v>
      </c>
      <c r="M68" s="79">
        <v>0</v>
      </c>
      <c r="N68" s="79">
        <v>0</v>
      </c>
      <c r="O68" s="79">
        <v>0</v>
      </c>
      <c r="R68" s="101"/>
    </row>
    <row r="69" spans="1:18" s="79" customFormat="1" ht="15.75">
      <c r="A69" s="79">
        <v>56</v>
      </c>
      <c r="B69" s="79">
        <v>1200091</v>
      </c>
      <c r="C69" s="26" t="s">
        <v>195</v>
      </c>
      <c r="D69" s="79">
        <v>1200092</v>
      </c>
      <c r="E69" s="79" t="s">
        <v>196</v>
      </c>
      <c r="F69" s="79">
        <v>0</v>
      </c>
      <c r="G69" s="79">
        <v>0</v>
      </c>
      <c r="H69" s="26" t="s">
        <v>197</v>
      </c>
      <c r="K69" s="79">
        <v>4</v>
      </c>
      <c r="L69" s="79">
        <v>0</v>
      </c>
      <c r="M69" s="79">
        <v>0</v>
      </c>
      <c r="N69" s="79">
        <v>0</v>
      </c>
      <c r="O69" s="79">
        <v>0</v>
      </c>
      <c r="R69" s="101"/>
    </row>
    <row r="70" spans="1:18" s="82" customFormat="1" ht="15.75">
      <c r="A70" s="82">
        <v>57</v>
      </c>
      <c r="B70" s="82">
        <v>1200093</v>
      </c>
      <c r="C70" s="54" t="s">
        <v>198</v>
      </c>
      <c r="D70" s="82">
        <v>1200094</v>
      </c>
      <c r="E70" s="93" t="s">
        <v>199</v>
      </c>
      <c r="F70" s="82">
        <v>0</v>
      </c>
      <c r="G70" s="82">
        <v>0</v>
      </c>
      <c r="H70" s="1" t="s">
        <v>200</v>
      </c>
      <c r="K70" s="82">
        <v>4</v>
      </c>
      <c r="L70" s="82">
        <v>0</v>
      </c>
      <c r="M70" s="82">
        <v>0</v>
      </c>
      <c r="N70" s="82">
        <v>0</v>
      </c>
      <c r="O70" s="82">
        <v>0</v>
      </c>
      <c r="R70" s="102"/>
    </row>
    <row r="71" spans="1:18" s="82" customFormat="1" ht="15.75">
      <c r="A71" s="82">
        <v>58</v>
      </c>
      <c r="B71" s="82">
        <v>1200095</v>
      </c>
      <c r="C71" s="54" t="s">
        <v>5539</v>
      </c>
      <c r="D71" s="82">
        <v>1200096</v>
      </c>
      <c r="E71" s="93" t="s">
        <v>5540</v>
      </c>
      <c r="F71" s="82">
        <v>0</v>
      </c>
      <c r="G71" s="82">
        <v>0</v>
      </c>
      <c r="H71" s="1" t="s">
        <v>201</v>
      </c>
      <c r="K71" s="82">
        <v>4</v>
      </c>
      <c r="L71" s="82">
        <v>0</v>
      </c>
      <c r="M71" s="82">
        <v>0</v>
      </c>
      <c r="N71" s="82">
        <v>0</v>
      </c>
      <c r="O71" s="82">
        <v>0</v>
      </c>
      <c r="R71" s="102"/>
    </row>
    <row r="72" spans="1:18" s="82" customFormat="1" ht="15.75">
      <c r="A72" s="82">
        <v>59</v>
      </c>
      <c r="B72" s="82">
        <v>1200097</v>
      </c>
      <c r="C72" s="54" t="s">
        <v>202</v>
      </c>
      <c r="D72" s="82">
        <v>1200098</v>
      </c>
      <c r="E72" s="93" t="s">
        <v>5541</v>
      </c>
      <c r="F72" s="82">
        <v>0</v>
      </c>
      <c r="G72" s="82">
        <v>0</v>
      </c>
      <c r="H72" s="1" t="s">
        <v>203</v>
      </c>
      <c r="K72" s="82">
        <v>4</v>
      </c>
      <c r="L72" s="82">
        <v>0</v>
      </c>
      <c r="M72" s="82">
        <v>0</v>
      </c>
      <c r="N72" s="82">
        <v>0</v>
      </c>
      <c r="O72" s="82">
        <v>0</v>
      </c>
      <c r="R72" s="102"/>
    </row>
    <row r="73" spans="1:18" s="82" customFormat="1" ht="15.75">
      <c r="A73" s="82">
        <v>60</v>
      </c>
      <c r="B73" s="82">
        <v>1200097</v>
      </c>
      <c r="C73" s="54" t="s">
        <v>202</v>
      </c>
      <c r="D73" s="82">
        <v>1200098</v>
      </c>
      <c r="E73" s="93" t="s">
        <v>5541</v>
      </c>
      <c r="F73" s="82">
        <v>0</v>
      </c>
      <c r="G73" s="82">
        <v>0</v>
      </c>
      <c r="H73" s="1" t="s">
        <v>5654</v>
      </c>
      <c r="K73" s="82">
        <v>4</v>
      </c>
      <c r="L73" s="82">
        <v>0</v>
      </c>
      <c r="M73" s="82">
        <v>0</v>
      </c>
      <c r="N73" s="82">
        <v>0</v>
      </c>
      <c r="O73" s="82">
        <v>0</v>
      </c>
      <c r="R73" s="102"/>
    </row>
    <row r="74" spans="1:18">
      <c r="A74" s="79">
        <v>61</v>
      </c>
      <c r="B74" s="78">
        <v>1300003</v>
      </c>
      <c r="C74" s="79" t="s">
        <v>5706</v>
      </c>
      <c r="D74" s="93">
        <v>1300004</v>
      </c>
      <c r="E74" s="93" t="s">
        <v>5707</v>
      </c>
      <c r="F74" s="79">
        <v>0</v>
      </c>
      <c r="G74" s="79">
        <v>0</v>
      </c>
      <c r="H74" s="79" t="str">
        <f t="shared" ref="H74" si="1">"icon_"&amp;A74</f>
        <v>icon_61</v>
      </c>
      <c r="I74" s="79"/>
      <c r="J74" s="79"/>
      <c r="K74" s="79">
        <v>4</v>
      </c>
      <c r="L74" s="79">
        <v>0</v>
      </c>
      <c r="M74" s="127">
        <v>0</v>
      </c>
      <c r="N74" s="79">
        <v>0</v>
      </c>
      <c r="O74" s="79">
        <v>0</v>
      </c>
      <c r="P74" s="107"/>
      <c r="R74" s="79"/>
    </row>
    <row r="75" spans="1:18" s="79" customFormat="1">
      <c r="A75" s="79">
        <v>100</v>
      </c>
      <c r="B75" s="79">
        <v>1300001</v>
      </c>
      <c r="C75" s="79" t="s">
        <v>204</v>
      </c>
      <c r="D75" s="79">
        <v>1300002</v>
      </c>
      <c r="E75" s="79" t="s">
        <v>205</v>
      </c>
      <c r="F75" s="79">
        <v>0</v>
      </c>
      <c r="G75" s="79">
        <v>0</v>
      </c>
      <c r="H75" s="93" t="s">
        <v>206</v>
      </c>
      <c r="K75" s="79">
        <v>4</v>
      </c>
      <c r="L75" s="79">
        <v>0</v>
      </c>
      <c r="M75" s="79">
        <v>0</v>
      </c>
      <c r="N75" s="79">
        <v>0</v>
      </c>
      <c r="O75" s="79">
        <v>0</v>
      </c>
      <c r="P75" s="107"/>
      <c r="Q75" s="93"/>
      <c r="R75" s="92"/>
    </row>
    <row r="76" spans="1:18" s="79" customFormat="1">
      <c r="A76" s="79">
        <v>10001</v>
      </c>
      <c r="B76" s="79">
        <v>1100011</v>
      </c>
      <c r="C76" s="79" t="s">
        <v>207</v>
      </c>
      <c r="F76" s="79">
        <v>29</v>
      </c>
      <c r="G76" s="79">
        <v>0</v>
      </c>
      <c r="H76" s="93" t="s">
        <v>208</v>
      </c>
      <c r="K76" s="79">
        <v>2</v>
      </c>
      <c r="L76" s="79">
        <v>18</v>
      </c>
      <c r="M76" s="79" t="s">
        <v>209</v>
      </c>
      <c r="P76" s="107"/>
      <c r="Q76" s="93"/>
      <c r="R76" s="92"/>
    </row>
    <row r="77" spans="1:18" s="79" customFormat="1">
      <c r="A77" s="79">
        <v>10002</v>
      </c>
      <c r="B77" s="79">
        <v>1100021</v>
      </c>
      <c r="C77" s="79" t="s">
        <v>210</v>
      </c>
      <c r="F77" s="79">
        <v>29</v>
      </c>
      <c r="G77" s="79">
        <v>0</v>
      </c>
      <c r="H77" s="93" t="s">
        <v>211</v>
      </c>
      <c r="K77" s="79">
        <v>3</v>
      </c>
      <c r="L77" s="79">
        <v>18</v>
      </c>
      <c r="M77" s="79" t="s">
        <v>212</v>
      </c>
      <c r="P77" s="107"/>
      <c r="Q77" s="93"/>
      <c r="R77" s="92"/>
    </row>
    <row r="78" spans="1:18" s="79" customFormat="1">
      <c r="A78" s="79">
        <v>10003</v>
      </c>
      <c r="B78" s="79">
        <v>1100031</v>
      </c>
      <c r="C78" s="79" t="s">
        <v>213</v>
      </c>
      <c r="F78" s="79">
        <v>29</v>
      </c>
      <c r="G78" s="79">
        <v>0</v>
      </c>
      <c r="H78" s="93" t="s">
        <v>214</v>
      </c>
      <c r="K78" s="79">
        <v>4</v>
      </c>
      <c r="L78" s="79">
        <v>18</v>
      </c>
      <c r="M78" s="79" t="s">
        <v>215</v>
      </c>
      <c r="P78" s="107"/>
      <c r="Q78" s="93"/>
      <c r="R78" s="92"/>
    </row>
    <row r="79" spans="1:18" s="79" customFormat="1">
      <c r="A79" s="79">
        <v>10004</v>
      </c>
      <c r="B79" s="79">
        <v>1100041</v>
      </c>
      <c r="C79" s="79" t="s">
        <v>216</v>
      </c>
      <c r="F79" s="79">
        <v>29</v>
      </c>
      <c r="G79" s="79">
        <v>0</v>
      </c>
      <c r="H79" s="93" t="s">
        <v>217</v>
      </c>
      <c r="K79" s="79">
        <v>5</v>
      </c>
      <c r="L79" s="79">
        <v>18</v>
      </c>
      <c r="M79" s="79" t="s">
        <v>218</v>
      </c>
      <c r="P79" s="107"/>
      <c r="Q79" s="93"/>
      <c r="R79" s="92"/>
    </row>
    <row r="80" spans="1:18" s="79" customFormat="1">
      <c r="A80" s="79">
        <v>10005</v>
      </c>
      <c r="B80" s="79">
        <v>1100051</v>
      </c>
      <c r="C80" s="79" t="s">
        <v>219</v>
      </c>
      <c r="F80" s="79">
        <v>29</v>
      </c>
      <c r="G80" s="79">
        <v>0</v>
      </c>
      <c r="H80" s="93" t="s">
        <v>208</v>
      </c>
      <c r="K80" s="79">
        <v>2</v>
      </c>
      <c r="L80" s="79">
        <v>18</v>
      </c>
      <c r="M80" s="79" t="s">
        <v>209</v>
      </c>
      <c r="P80" s="107"/>
      <c r="Q80" s="93"/>
      <c r="R80" s="92"/>
    </row>
    <row r="81" spans="1:18" s="79" customFormat="1">
      <c r="A81" s="79">
        <v>10006</v>
      </c>
      <c r="B81" s="79">
        <v>1100061</v>
      </c>
      <c r="C81" s="79" t="s">
        <v>220</v>
      </c>
      <c r="F81" s="79">
        <v>29</v>
      </c>
      <c r="G81" s="79">
        <v>0</v>
      </c>
      <c r="H81" s="93" t="s">
        <v>211</v>
      </c>
      <c r="K81" s="79">
        <v>3</v>
      </c>
      <c r="L81" s="79">
        <v>18</v>
      </c>
      <c r="M81" s="79" t="s">
        <v>212</v>
      </c>
      <c r="P81" s="107"/>
      <c r="Q81" s="93"/>
      <c r="R81" s="92"/>
    </row>
    <row r="82" spans="1:18" s="79" customFormat="1">
      <c r="A82" s="79">
        <v>10007</v>
      </c>
      <c r="B82" s="79">
        <v>1100071</v>
      </c>
      <c r="C82" s="79" t="s">
        <v>221</v>
      </c>
      <c r="F82" s="79">
        <v>29</v>
      </c>
      <c r="G82" s="79">
        <v>0</v>
      </c>
      <c r="H82" s="93" t="s">
        <v>214</v>
      </c>
      <c r="K82" s="79">
        <v>4</v>
      </c>
      <c r="L82" s="79">
        <v>18</v>
      </c>
      <c r="M82" s="79" t="s">
        <v>215</v>
      </c>
      <c r="P82" s="107"/>
      <c r="Q82" s="93"/>
      <c r="R82" s="92"/>
    </row>
    <row r="83" spans="1:18" s="79" customFormat="1">
      <c r="A83" s="79">
        <v>10008</v>
      </c>
      <c r="B83" s="79">
        <v>1100081</v>
      </c>
      <c r="C83" s="79" t="s">
        <v>222</v>
      </c>
      <c r="F83" s="79">
        <v>29</v>
      </c>
      <c r="G83" s="79">
        <v>0</v>
      </c>
      <c r="H83" s="93" t="s">
        <v>217</v>
      </c>
      <c r="K83" s="79">
        <v>5</v>
      </c>
      <c r="L83" s="79">
        <v>18</v>
      </c>
      <c r="M83" s="79" t="s">
        <v>218</v>
      </c>
      <c r="P83" s="107"/>
      <c r="Q83" s="93"/>
      <c r="R83" s="92"/>
    </row>
    <row r="84" spans="1:18" s="79" customFormat="1">
      <c r="A84" s="79">
        <v>10009</v>
      </c>
      <c r="B84" s="79">
        <v>1100091</v>
      </c>
      <c r="C84" s="79" t="s">
        <v>223</v>
      </c>
      <c r="F84" s="79">
        <v>29</v>
      </c>
      <c r="G84" s="79">
        <v>0</v>
      </c>
      <c r="H84" s="93" t="s">
        <v>208</v>
      </c>
      <c r="K84" s="79">
        <v>2</v>
      </c>
      <c r="L84" s="79">
        <v>18</v>
      </c>
      <c r="M84" s="79" t="s">
        <v>209</v>
      </c>
      <c r="P84" s="107"/>
      <c r="Q84" s="93"/>
      <c r="R84" s="92"/>
    </row>
    <row r="85" spans="1:18" s="79" customFormat="1">
      <c r="A85" s="79">
        <v>10010</v>
      </c>
      <c r="B85" s="79">
        <v>1100101</v>
      </c>
      <c r="C85" s="79" t="s">
        <v>224</v>
      </c>
      <c r="F85" s="79">
        <v>29</v>
      </c>
      <c r="G85" s="79">
        <v>0</v>
      </c>
      <c r="H85" s="93" t="s">
        <v>211</v>
      </c>
      <c r="K85" s="79">
        <v>3</v>
      </c>
      <c r="L85" s="79">
        <v>18</v>
      </c>
      <c r="M85" s="79" t="s">
        <v>212</v>
      </c>
      <c r="P85" s="107"/>
      <c r="Q85" s="93"/>
      <c r="R85" s="92"/>
    </row>
    <row r="86" spans="1:18" s="79" customFormat="1">
      <c r="A86" s="79">
        <v>10011</v>
      </c>
      <c r="B86" s="79">
        <v>1100111</v>
      </c>
      <c r="C86" s="79" t="s">
        <v>225</v>
      </c>
      <c r="F86" s="79">
        <v>29</v>
      </c>
      <c r="G86" s="79">
        <v>0</v>
      </c>
      <c r="H86" s="93" t="s">
        <v>214</v>
      </c>
      <c r="K86" s="79">
        <v>4</v>
      </c>
      <c r="L86" s="79">
        <v>18</v>
      </c>
      <c r="M86" s="79" t="s">
        <v>215</v>
      </c>
      <c r="P86" s="107"/>
      <c r="Q86" s="93"/>
      <c r="R86" s="92"/>
    </row>
    <row r="87" spans="1:18" s="79" customFormat="1">
      <c r="A87" s="79">
        <v>10012</v>
      </c>
      <c r="B87" s="79">
        <v>1100121</v>
      </c>
      <c r="C87" s="79" t="s">
        <v>226</v>
      </c>
      <c r="F87" s="79">
        <v>29</v>
      </c>
      <c r="G87" s="79">
        <v>0</v>
      </c>
      <c r="H87" s="93" t="s">
        <v>217</v>
      </c>
      <c r="K87" s="79">
        <v>5</v>
      </c>
      <c r="L87" s="79">
        <v>18</v>
      </c>
      <c r="M87" s="79" t="s">
        <v>218</v>
      </c>
      <c r="P87" s="107"/>
      <c r="Q87" s="93"/>
      <c r="R87" s="92"/>
    </row>
    <row r="88" spans="1:18" s="79" customFormat="1">
      <c r="A88" s="79">
        <v>10013</v>
      </c>
      <c r="B88" s="79">
        <v>1100131</v>
      </c>
      <c r="C88" s="79" t="s">
        <v>227</v>
      </c>
      <c r="F88" s="79">
        <v>29</v>
      </c>
      <c r="G88" s="79">
        <v>0</v>
      </c>
      <c r="H88" s="93" t="s">
        <v>208</v>
      </c>
      <c r="K88" s="79">
        <v>2</v>
      </c>
      <c r="L88" s="79">
        <v>18</v>
      </c>
      <c r="M88" s="79" t="s">
        <v>209</v>
      </c>
      <c r="P88" s="107"/>
      <c r="Q88" s="93"/>
      <c r="R88" s="92"/>
    </row>
    <row r="89" spans="1:18" s="79" customFormat="1">
      <c r="A89" s="79">
        <v>10014</v>
      </c>
      <c r="B89" s="79">
        <v>1100141</v>
      </c>
      <c r="C89" s="79" t="s">
        <v>228</v>
      </c>
      <c r="F89" s="79">
        <v>29</v>
      </c>
      <c r="G89" s="79">
        <v>0</v>
      </c>
      <c r="H89" s="93" t="s">
        <v>211</v>
      </c>
      <c r="K89" s="79">
        <v>3</v>
      </c>
      <c r="L89" s="79">
        <v>18</v>
      </c>
      <c r="M89" s="79" t="s">
        <v>212</v>
      </c>
      <c r="P89" s="107"/>
      <c r="Q89" s="93"/>
      <c r="R89" s="92"/>
    </row>
    <row r="90" spans="1:18" s="79" customFormat="1">
      <c r="A90" s="79">
        <v>10015</v>
      </c>
      <c r="B90" s="79">
        <v>1100151</v>
      </c>
      <c r="C90" s="79" t="s">
        <v>229</v>
      </c>
      <c r="F90" s="79">
        <v>29</v>
      </c>
      <c r="G90" s="79">
        <v>0</v>
      </c>
      <c r="H90" s="93" t="s">
        <v>214</v>
      </c>
      <c r="K90" s="79">
        <v>4</v>
      </c>
      <c r="L90" s="79">
        <v>18</v>
      </c>
      <c r="M90" s="79" t="s">
        <v>215</v>
      </c>
      <c r="P90" s="107"/>
      <c r="Q90" s="93"/>
      <c r="R90" s="92"/>
    </row>
    <row r="91" spans="1:18" s="79" customFormat="1">
      <c r="A91" s="79">
        <v>10016</v>
      </c>
      <c r="B91" s="79">
        <v>1100161</v>
      </c>
      <c r="C91" s="79" t="s">
        <v>230</v>
      </c>
      <c r="F91" s="79">
        <v>29</v>
      </c>
      <c r="G91" s="79">
        <v>0</v>
      </c>
      <c r="H91" s="93" t="s">
        <v>217</v>
      </c>
      <c r="K91" s="79">
        <v>5</v>
      </c>
      <c r="L91" s="79">
        <v>18</v>
      </c>
      <c r="M91" s="79" t="s">
        <v>218</v>
      </c>
      <c r="P91" s="107"/>
      <c r="Q91" s="93"/>
      <c r="R91" s="92"/>
    </row>
    <row r="92" spans="1:18" s="79" customFormat="1">
      <c r="A92" s="79">
        <v>10017</v>
      </c>
      <c r="B92" s="79">
        <v>1100171</v>
      </c>
      <c r="C92" s="79" t="s">
        <v>231</v>
      </c>
      <c r="F92" s="79">
        <v>29</v>
      </c>
      <c r="G92" s="79">
        <v>0</v>
      </c>
      <c r="H92" s="93" t="s">
        <v>208</v>
      </c>
      <c r="K92" s="79">
        <v>2</v>
      </c>
      <c r="L92" s="79">
        <v>18</v>
      </c>
      <c r="M92" s="79" t="s">
        <v>209</v>
      </c>
      <c r="P92" s="107"/>
      <c r="Q92" s="93"/>
      <c r="R92" s="92"/>
    </row>
    <row r="93" spans="1:18" s="79" customFormat="1">
      <c r="A93" s="79">
        <v>10018</v>
      </c>
      <c r="B93" s="79">
        <v>1100181</v>
      </c>
      <c r="C93" s="79" t="s">
        <v>232</v>
      </c>
      <c r="F93" s="79">
        <v>29</v>
      </c>
      <c r="G93" s="79">
        <v>0</v>
      </c>
      <c r="H93" s="93" t="s">
        <v>211</v>
      </c>
      <c r="K93" s="79">
        <v>3</v>
      </c>
      <c r="L93" s="79">
        <v>18</v>
      </c>
      <c r="M93" s="79" t="s">
        <v>212</v>
      </c>
      <c r="P93" s="107"/>
      <c r="Q93" s="93"/>
      <c r="R93" s="92"/>
    </row>
    <row r="94" spans="1:18" s="79" customFormat="1">
      <c r="A94" s="79">
        <v>10019</v>
      </c>
      <c r="B94" s="79">
        <v>1100191</v>
      </c>
      <c r="C94" s="79" t="s">
        <v>233</v>
      </c>
      <c r="F94" s="79">
        <v>29</v>
      </c>
      <c r="G94" s="79">
        <v>0</v>
      </c>
      <c r="H94" s="93" t="s">
        <v>214</v>
      </c>
      <c r="K94" s="79">
        <v>4</v>
      </c>
      <c r="L94" s="79">
        <v>18</v>
      </c>
      <c r="M94" s="79" t="s">
        <v>215</v>
      </c>
      <c r="P94" s="107"/>
      <c r="Q94" s="93"/>
      <c r="R94" s="92"/>
    </row>
    <row r="95" spans="1:18" s="79" customFormat="1">
      <c r="A95" s="79">
        <v>10020</v>
      </c>
      <c r="B95" s="79">
        <v>1100201</v>
      </c>
      <c r="C95" s="79" t="s">
        <v>234</v>
      </c>
      <c r="F95" s="79">
        <v>29</v>
      </c>
      <c r="G95" s="79">
        <v>0</v>
      </c>
      <c r="H95" s="93" t="s">
        <v>217</v>
      </c>
      <c r="K95" s="79">
        <v>5</v>
      </c>
      <c r="L95" s="79">
        <v>18</v>
      </c>
      <c r="M95" s="79" t="s">
        <v>218</v>
      </c>
      <c r="P95" s="107"/>
      <c r="Q95" s="93"/>
      <c r="R95" s="92"/>
    </row>
    <row r="96" spans="1:18" s="79" customFormat="1">
      <c r="A96" s="79">
        <v>10021</v>
      </c>
      <c r="B96" s="79">
        <v>1100211</v>
      </c>
      <c r="C96" s="79" t="s">
        <v>235</v>
      </c>
      <c r="F96" s="79">
        <v>29</v>
      </c>
      <c r="G96" s="79">
        <v>0</v>
      </c>
      <c r="H96" s="93" t="s">
        <v>208</v>
      </c>
      <c r="K96" s="79">
        <v>2</v>
      </c>
      <c r="L96" s="79">
        <v>18</v>
      </c>
      <c r="M96" s="79" t="s">
        <v>209</v>
      </c>
      <c r="P96" s="107"/>
      <c r="Q96" s="93"/>
      <c r="R96" s="92"/>
    </row>
    <row r="97" spans="1:18" s="79" customFormat="1">
      <c r="A97" s="79">
        <v>10022</v>
      </c>
      <c r="B97" s="79">
        <v>1100221</v>
      </c>
      <c r="C97" s="79" t="s">
        <v>236</v>
      </c>
      <c r="F97" s="79">
        <v>29</v>
      </c>
      <c r="G97" s="79">
        <v>0</v>
      </c>
      <c r="H97" s="93" t="s">
        <v>211</v>
      </c>
      <c r="K97" s="79">
        <v>3</v>
      </c>
      <c r="L97" s="79">
        <v>18</v>
      </c>
      <c r="M97" s="79" t="s">
        <v>212</v>
      </c>
      <c r="P97" s="107"/>
      <c r="Q97" s="93"/>
      <c r="R97" s="92"/>
    </row>
    <row r="98" spans="1:18" s="79" customFormat="1">
      <c r="A98" s="79">
        <v>10023</v>
      </c>
      <c r="B98" s="79">
        <v>1100231</v>
      </c>
      <c r="C98" s="79" t="s">
        <v>237</v>
      </c>
      <c r="F98" s="79">
        <v>29</v>
      </c>
      <c r="G98" s="79">
        <v>0</v>
      </c>
      <c r="H98" s="93" t="s">
        <v>214</v>
      </c>
      <c r="K98" s="79">
        <v>4</v>
      </c>
      <c r="L98" s="79">
        <v>18</v>
      </c>
      <c r="M98" s="79" t="s">
        <v>215</v>
      </c>
      <c r="P98" s="107"/>
      <c r="Q98" s="93"/>
      <c r="R98" s="92"/>
    </row>
    <row r="99" spans="1:18" s="79" customFormat="1">
      <c r="A99" s="79">
        <v>10024</v>
      </c>
      <c r="B99" s="79">
        <v>1100241</v>
      </c>
      <c r="C99" s="79" t="s">
        <v>238</v>
      </c>
      <c r="F99" s="79">
        <v>29</v>
      </c>
      <c r="G99" s="79">
        <v>0</v>
      </c>
      <c r="H99" s="93" t="s">
        <v>217</v>
      </c>
      <c r="K99" s="79">
        <v>5</v>
      </c>
      <c r="L99" s="79">
        <v>18</v>
      </c>
      <c r="M99" s="79" t="s">
        <v>218</v>
      </c>
      <c r="P99" s="107"/>
      <c r="Q99" s="93"/>
      <c r="R99" s="92"/>
    </row>
    <row r="100" spans="1:18" s="79" customFormat="1">
      <c r="A100" s="79">
        <v>10025</v>
      </c>
      <c r="B100" s="79">
        <v>1100251</v>
      </c>
      <c r="C100" s="79" t="s">
        <v>5520</v>
      </c>
      <c r="F100" s="79">
        <v>29</v>
      </c>
      <c r="G100" s="79">
        <v>0</v>
      </c>
      <c r="H100" s="93" t="s">
        <v>208</v>
      </c>
      <c r="K100" s="79">
        <v>2</v>
      </c>
      <c r="L100" s="79">
        <v>18</v>
      </c>
      <c r="M100" s="79" t="s">
        <v>209</v>
      </c>
      <c r="P100" s="107"/>
      <c r="Q100" s="93"/>
      <c r="R100" s="92"/>
    </row>
    <row r="101" spans="1:18" s="79" customFormat="1">
      <c r="A101" s="79">
        <v>10026</v>
      </c>
      <c r="B101" s="79">
        <v>1100261</v>
      </c>
      <c r="C101" s="79" t="s">
        <v>5521</v>
      </c>
      <c r="F101" s="79">
        <v>29</v>
      </c>
      <c r="G101" s="79">
        <v>0</v>
      </c>
      <c r="H101" s="93" t="s">
        <v>211</v>
      </c>
      <c r="K101" s="79">
        <v>3</v>
      </c>
      <c r="L101" s="79">
        <v>18</v>
      </c>
      <c r="M101" s="79" t="s">
        <v>212</v>
      </c>
      <c r="P101" s="107"/>
      <c r="Q101" s="93"/>
      <c r="R101" s="92"/>
    </row>
    <row r="102" spans="1:18" s="79" customFormat="1">
      <c r="A102" s="79">
        <v>10027</v>
      </c>
      <c r="B102" s="79">
        <v>1100271</v>
      </c>
      <c r="C102" s="79" t="s">
        <v>5522</v>
      </c>
      <c r="F102" s="79">
        <v>29</v>
      </c>
      <c r="G102" s="79">
        <v>0</v>
      </c>
      <c r="H102" s="93" t="s">
        <v>214</v>
      </c>
      <c r="K102" s="79">
        <v>4</v>
      </c>
      <c r="L102" s="79">
        <v>18</v>
      </c>
      <c r="M102" s="79" t="s">
        <v>215</v>
      </c>
      <c r="P102" s="107"/>
      <c r="Q102" s="93"/>
      <c r="R102" s="92"/>
    </row>
    <row r="103" spans="1:18" s="79" customFormat="1">
      <c r="A103" s="79">
        <v>10028</v>
      </c>
      <c r="B103" s="79">
        <v>1100281</v>
      </c>
      <c r="C103" s="79" t="s">
        <v>5523</v>
      </c>
      <c r="F103" s="79">
        <v>29</v>
      </c>
      <c r="G103" s="79">
        <v>0</v>
      </c>
      <c r="H103" s="93" t="s">
        <v>217</v>
      </c>
      <c r="K103" s="79">
        <v>5</v>
      </c>
      <c r="L103" s="79">
        <v>18</v>
      </c>
      <c r="M103" s="79" t="s">
        <v>218</v>
      </c>
      <c r="P103" s="107"/>
      <c r="Q103" s="93"/>
      <c r="R103" s="92"/>
    </row>
    <row r="104" spans="1:18" s="79" customFormat="1">
      <c r="A104" s="79">
        <v>11001</v>
      </c>
      <c r="B104" s="79">
        <v>1110011</v>
      </c>
      <c r="C104" s="79" t="s">
        <v>239</v>
      </c>
      <c r="F104" s="79">
        <v>29</v>
      </c>
      <c r="G104" s="79">
        <v>0</v>
      </c>
      <c r="H104" s="93" t="s">
        <v>208</v>
      </c>
      <c r="K104" s="79">
        <v>2</v>
      </c>
      <c r="L104" s="79">
        <v>18</v>
      </c>
      <c r="M104" s="79" t="s">
        <v>209</v>
      </c>
      <c r="P104" s="107"/>
      <c r="Q104" s="93"/>
      <c r="R104" s="92"/>
    </row>
    <row r="105" spans="1:18" s="79" customFormat="1">
      <c r="A105" s="79">
        <v>11002</v>
      </c>
      <c r="B105" s="79">
        <v>1110021</v>
      </c>
      <c r="C105" s="79" t="s">
        <v>240</v>
      </c>
      <c r="F105" s="79">
        <v>29</v>
      </c>
      <c r="G105" s="79">
        <v>0</v>
      </c>
      <c r="H105" s="93" t="s">
        <v>211</v>
      </c>
      <c r="K105" s="79">
        <v>3</v>
      </c>
      <c r="L105" s="79">
        <v>18</v>
      </c>
      <c r="M105" s="79" t="s">
        <v>212</v>
      </c>
      <c r="P105" s="107"/>
      <c r="Q105" s="93"/>
      <c r="R105" s="92"/>
    </row>
    <row r="106" spans="1:18" s="79" customFormat="1">
      <c r="A106" s="79">
        <v>11003</v>
      </c>
      <c r="B106" s="79">
        <v>1110031</v>
      </c>
      <c r="C106" s="79" t="s">
        <v>241</v>
      </c>
      <c r="F106" s="79">
        <v>29</v>
      </c>
      <c r="G106" s="79">
        <v>0</v>
      </c>
      <c r="H106" s="93" t="s">
        <v>214</v>
      </c>
      <c r="K106" s="79">
        <v>4</v>
      </c>
      <c r="L106" s="79">
        <v>18</v>
      </c>
      <c r="M106" s="79" t="s">
        <v>215</v>
      </c>
      <c r="P106" s="107"/>
      <c r="Q106" s="93"/>
      <c r="R106" s="92"/>
    </row>
    <row r="107" spans="1:18" s="79" customFormat="1">
      <c r="A107" s="79">
        <v>11004</v>
      </c>
      <c r="B107" s="79">
        <v>1110041</v>
      </c>
      <c r="C107" s="79" t="s">
        <v>242</v>
      </c>
      <c r="F107" s="79">
        <v>29</v>
      </c>
      <c r="G107" s="79">
        <v>0</v>
      </c>
      <c r="H107" s="93" t="s">
        <v>217</v>
      </c>
      <c r="K107" s="79">
        <v>5</v>
      </c>
      <c r="L107" s="79">
        <v>18</v>
      </c>
      <c r="M107" s="79" t="s">
        <v>218</v>
      </c>
      <c r="P107" s="107"/>
      <c r="Q107" s="93"/>
      <c r="R107" s="92"/>
    </row>
    <row r="108" spans="1:18" s="79" customFormat="1">
      <c r="A108" s="79">
        <v>11005</v>
      </c>
      <c r="B108" s="79">
        <v>1110051</v>
      </c>
      <c r="C108" s="79" t="s">
        <v>243</v>
      </c>
      <c r="F108" s="79">
        <v>29</v>
      </c>
      <c r="G108" s="79">
        <v>0</v>
      </c>
      <c r="H108" s="93" t="s">
        <v>208</v>
      </c>
      <c r="K108" s="79">
        <v>2</v>
      </c>
      <c r="L108" s="79">
        <v>18</v>
      </c>
      <c r="M108" s="79" t="s">
        <v>209</v>
      </c>
      <c r="P108" s="107"/>
      <c r="Q108" s="93"/>
      <c r="R108" s="92"/>
    </row>
    <row r="109" spans="1:18" s="79" customFormat="1">
      <c r="A109" s="79">
        <v>11006</v>
      </c>
      <c r="B109" s="79">
        <v>1110061</v>
      </c>
      <c r="C109" s="79" t="s">
        <v>244</v>
      </c>
      <c r="F109" s="79">
        <v>29</v>
      </c>
      <c r="G109" s="79">
        <v>0</v>
      </c>
      <c r="H109" s="93" t="s">
        <v>211</v>
      </c>
      <c r="K109" s="79">
        <v>3</v>
      </c>
      <c r="L109" s="79">
        <v>18</v>
      </c>
      <c r="M109" s="79" t="s">
        <v>212</v>
      </c>
      <c r="P109" s="107"/>
      <c r="Q109" s="93"/>
      <c r="R109" s="92"/>
    </row>
    <row r="110" spans="1:18" s="79" customFormat="1">
      <c r="A110" s="79">
        <v>11007</v>
      </c>
      <c r="B110" s="79">
        <v>1110071</v>
      </c>
      <c r="C110" s="79" t="s">
        <v>245</v>
      </c>
      <c r="F110" s="79">
        <v>29</v>
      </c>
      <c r="G110" s="79">
        <v>0</v>
      </c>
      <c r="H110" s="93" t="s">
        <v>214</v>
      </c>
      <c r="K110" s="79">
        <v>4</v>
      </c>
      <c r="L110" s="79">
        <v>18</v>
      </c>
      <c r="M110" s="79" t="s">
        <v>215</v>
      </c>
      <c r="P110" s="107"/>
      <c r="Q110" s="93"/>
      <c r="R110" s="92"/>
    </row>
    <row r="111" spans="1:18" s="79" customFormat="1">
      <c r="A111" s="79">
        <v>11008</v>
      </c>
      <c r="B111" s="79">
        <v>1110081</v>
      </c>
      <c r="C111" s="79" t="s">
        <v>246</v>
      </c>
      <c r="F111" s="79">
        <v>29</v>
      </c>
      <c r="G111" s="79">
        <v>0</v>
      </c>
      <c r="H111" s="93" t="s">
        <v>217</v>
      </c>
      <c r="K111" s="79">
        <v>5</v>
      </c>
      <c r="L111" s="79">
        <v>18</v>
      </c>
      <c r="M111" s="79" t="s">
        <v>218</v>
      </c>
      <c r="P111" s="107"/>
      <c r="Q111" s="93"/>
      <c r="R111" s="92"/>
    </row>
    <row r="112" spans="1:18" s="79" customFormat="1">
      <c r="A112" s="79">
        <v>11009</v>
      </c>
      <c r="B112" s="79">
        <v>1110091</v>
      </c>
      <c r="C112" s="79" t="s">
        <v>247</v>
      </c>
      <c r="F112" s="79">
        <v>29</v>
      </c>
      <c r="G112" s="79">
        <v>0</v>
      </c>
      <c r="H112" s="93" t="s">
        <v>208</v>
      </c>
      <c r="K112" s="79">
        <v>2</v>
      </c>
      <c r="L112" s="79">
        <v>18</v>
      </c>
      <c r="M112" s="79" t="s">
        <v>209</v>
      </c>
      <c r="P112" s="107"/>
      <c r="Q112" s="93"/>
      <c r="R112" s="92"/>
    </row>
    <row r="113" spans="1:18" s="79" customFormat="1">
      <c r="A113" s="79">
        <v>11010</v>
      </c>
      <c r="B113" s="79">
        <v>1110101</v>
      </c>
      <c r="C113" s="79" t="s">
        <v>248</v>
      </c>
      <c r="F113" s="79">
        <v>29</v>
      </c>
      <c r="G113" s="79">
        <v>0</v>
      </c>
      <c r="H113" s="93" t="s">
        <v>211</v>
      </c>
      <c r="K113" s="79">
        <v>3</v>
      </c>
      <c r="L113" s="79">
        <v>18</v>
      </c>
      <c r="M113" s="79" t="s">
        <v>212</v>
      </c>
      <c r="P113" s="107"/>
      <c r="Q113" s="93"/>
      <c r="R113" s="92"/>
    </row>
    <row r="114" spans="1:18" s="79" customFormat="1">
      <c r="A114" s="79">
        <v>11011</v>
      </c>
      <c r="B114" s="79">
        <v>1110111</v>
      </c>
      <c r="C114" s="79" t="s">
        <v>249</v>
      </c>
      <c r="F114" s="79">
        <v>29</v>
      </c>
      <c r="G114" s="79">
        <v>0</v>
      </c>
      <c r="H114" s="93" t="s">
        <v>214</v>
      </c>
      <c r="K114" s="79">
        <v>4</v>
      </c>
      <c r="L114" s="79">
        <v>18</v>
      </c>
      <c r="M114" s="79" t="s">
        <v>215</v>
      </c>
      <c r="P114" s="107"/>
      <c r="Q114" s="93"/>
      <c r="R114" s="92"/>
    </row>
    <row r="115" spans="1:18" s="79" customFormat="1">
      <c r="A115" s="79">
        <v>11012</v>
      </c>
      <c r="B115" s="79">
        <v>1110121</v>
      </c>
      <c r="C115" s="79" t="s">
        <v>250</v>
      </c>
      <c r="F115" s="79">
        <v>29</v>
      </c>
      <c r="G115" s="79">
        <v>0</v>
      </c>
      <c r="H115" s="93" t="s">
        <v>217</v>
      </c>
      <c r="K115" s="79">
        <v>5</v>
      </c>
      <c r="L115" s="79">
        <v>18</v>
      </c>
      <c r="M115" s="79" t="s">
        <v>218</v>
      </c>
      <c r="P115" s="107"/>
      <c r="Q115" s="93"/>
      <c r="R115" s="92"/>
    </row>
    <row r="116" spans="1:18" s="79" customFormat="1">
      <c r="A116" s="79">
        <v>11013</v>
      </c>
      <c r="B116" s="79">
        <v>1110131</v>
      </c>
      <c r="C116" s="79" t="s">
        <v>251</v>
      </c>
      <c r="F116" s="79">
        <v>29</v>
      </c>
      <c r="G116" s="79">
        <v>0</v>
      </c>
      <c r="H116" s="93" t="s">
        <v>208</v>
      </c>
      <c r="K116" s="79">
        <v>2</v>
      </c>
      <c r="L116" s="79">
        <v>18</v>
      </c>
      <c r="M116" s="79" t="s">
        <v>209</v>
      </c>
      <c r="P116" s="107"/>
      <c r="Q116" s="93"/>
      <c r="R116" s="92"/>
    </row>
    <row r="117" spans="1:18" s="79" customFormat="1">
      <c r="A117" s="79">
        <v>11014</v>
      </c>
      <c r="B117" s="79">
        <v>1110141</v>
      </c>
      <c r="C117" s="79" t="s">
        <v>252</v>
      </c>
      <c r="F117" s="79">
        <v>29</v>
      </c>
      <c r="G117" s="79">
        <v>0</v>
      </c>
      <c r="H117" s="93" t="s">
        <v>211</v>
      </c>
      <c r="K117" s="79">
        <v>3</v>
      </c>
      <c r="L117" s="79">
        <v>18</v>
      </c>
      <c r="M117" s="79" t="s">
        <v>212</v>
      </c>
      <c r="P117" s="107"/>
      <c r="Q117" s="93"/>
      <c r="R117" s="92"/>
    </row>
    <row r="118" spans="1:18" s="79" customFormat="1">
      <c r="A118" s="79">
        <v>11015</v>
      </c>
      <c r="B118" s="79">
        <v>1110151</v>
      </c>
      <c r="C118" s="79" t="s">
        <v>253</v>
      </c>
      <c r="F118" s="79">
        <v>29</v>
      </c>
      <c r="G118" s="79">
        <v>0</v>
      </c>
      <c r="H118" s="93" t="s">
        <v>214</v>
      </c>
      <c r="K118" s="79">
        <v>4</v>
      </c>
      <c r="L118" s="79">
        <v>18</v>
      </c>
      <c r="M118" s="79" t="s">
        <v>215</v>
      </c>
      <c r="P118" s="107"/>
      <c r="Q118" s="93"/>
      <c r="R118" s="92"/>
    </row>
    <row r="119" spans="1:18" s="79" customFormat="1">
      <c r="A119" s="79">
        <v>11016</v>
      </c>
      <c r="B119" s="79">
        <v>1110161</v>
      </c>
      <c r="C119" s="79" t="s">
        <v>254</v>
      </c>
      <c r="F119" s="79">
        <v>29</v>
      </c>
      <c r="G119" s="79">
        <v>0</v>
      </c>
      <c r="H119" s="93" t="s">
        <v>217</v>
      </c>
      <c r="K119" s="79">
        <v>5</v>
      </c>
      <c r="L119" s="79">
        <v>18</v>
      </c>
      <c r="M119" s="79" t="s">
        <v>218</v>
      </c>
      <c r="P119" s="107"/>
      <c r="Q119" s="93"/>
      <c r="R119" s="92"/>
    </row>
    <row r="120" spans="1:18" s="79" customFormat="1">
      <c r="A120" s="79">
        <v>12001</v>
      </c>
      <c r="B120" s="79">
        <v>1120011</v>
      </c>
      <c r="C120" s="79" t="s">
        <v>255</v>
      </c>
      <c r="F120" s="79">
        <v>29</v>
      </c>
      <c r="G120" s="79">
        <v>0</v>
      </c>
      <c r="H120" s="93" t="s">
        <v>208</v>
      </c>
      <c r="K120" s="79">
        <v>2</v>
      </c>
      <c r="L120" s="79">
        <v>18</v>
      </c>
      <c r="M120" s="79" t="s">
        <v>209</v>
      </c>
      <c r="P120" s="107"/>
      <c r="Q120" s="93"/>
      <c r="R120" s="92"/>
    </row>
    <row r="121" spans="1:18" s="79" customFormat="1">
      <c r="A121" s="79">
        <v>12002</v>
      </c>
      <c r="B121" s="79">
        <v>1120021</v>
      </c>
      <c r="C121" s="79" t="s">
        <v>256</v>
      </c>
      <c r="F121" s="79">
        <v>29</v>
      </c>
      <c r="G121" s="79">
        <v>0</v>
      </c>
      <c r="H121" s="93" t="s">
        <v>211</v>
      </c>
      <c r="K121" s="79">
        <v>3</v>
      </c>
      <c r="L121" s="79">
        <v>18</v>
      </c>
      <c r="M121" s="79" t="s">
        <v>212</v>
      </c>
      <c r="P121" s="107"/>
      <c r="Q121" s="93"/>
      <c r="R121" s="92"/>
    </row>
    <row r="122" spans="1:18" s="79" customFormat="1">
      <c r="A122" s="79">
        <v>12003</v>
      </c>
      <c r="B122" s="79">
        <v>1120031</v>
      </c>
      <c r="C122" s="79" t="s">
        <v>257</v>
      </c>
      <c r="F122" s="79">
        <v>29</v>
      </c>
      <c r="G122" s="79">
        <v>0</v>
      </c>
      <c r="H122" s="93" t="s">
        <v>214</v>
      </c>
      <c r="K122" s="79">
        <v>4</v>
      </c>
      <c r="L122" s="79">
        <v>18</v>
      </c>
      <c r="M122" s="79" t="s">
        <v>215</v>
      </c>
      <c r="P122" s="107"/>
      <c r="Q122" s="93"/>
      <c r="R122" s="92"/>
    </row>
    <row r="123" spans="1:18" s="79" customFormat="1">
      <c r="A123" s="79">
        <v>12004</v>
      </c>
      <c r="B123" s="79">
        <v>1120041</v>
      </c>
      <c r="C123" s="79" t="s">
        <v>258</v>
      </c>
      <c r="F123" s="79">
        <v>29</v>
      </c>
      <c r="G123" s="79">
        <v>0</v>
      </c>
      <c r="H123" s="93" t="s">
        <v>217</v>
      </c>
      <c r="K123" s="79">
        <v>5</v>
      </c>
      <c r="L123" s="79">
        <v>18</v>
      </c>
      <c r="M123" s="79" t="s">
        <v>218</v>
      </c>
      <c r="P123" s="107"/>
      <c r="Q123" s="93"/>
      <c r="R123" s="92"/>
    </row>
    <row r="124" spans="1:18" s="79" customFormat="1">
      <c r="A124" s="79">
        <v>12005</v>
      </c>
      <c r="B124" s="79">
        <v>1120051</v>
      </c>
      <c r="C124" s="79" t="s">
        <v>259</v>
      </c>
      <c r="F124" s="79">
        <v>29</v>
      </c>
      <c r="G124" s="79">
        <v>0</v>
      </c>
      <c r="H124" s="93" t="s">
        <v>208</v>
      </c>
      <c r="K124" s="79">
        <v>2</v>
      </c>
      <c r="L124" s="79">
        <v>18</v>
      </c>
      <c r="M124" s="79" t="s">
        <v>209</v>
      </c>
      <c r="P124" s="107"/>
      <c r="Q124" s="93"/>
      <c r="R124" s="92"/>
    </row>
    <row r="125" spans="1:18" s="79" customFormat="1">
      <c r="A125" s="79">
        <v>12006</v>
      </c>
      <c r="B125" s="79">
        <v>1120061</v>
      </c>
      <c r="C125" s="79" t="s">
        <v>260</v>
      </c>
      <c r="F125" s="79">
        <v>29</v>
      </c>
      <c r="G125" s="79">
        <v>0</v>
      </c>
      <c r="H125" s="93" t="s">
        <v>211</v>
      </c>
      <c r="K125" s="79">
        <v>3</v>
      </c>
      <c r="L125" s="79">
        <v>18</v>
      </c>
      <c r="M125" s="79" t="s">
        <v>212</v>
      </c>
      <c r="P125" s="107"/>
      <c r="Q125" s="93"/>
      <c r="R125" s="92"/>
    </row>
    <row r="126" spans="1:18" s="79" customFormat="1">
      <c r="A126" s="79">
        <v>12007</v>
      </c>
      <c r="B126" s="79">
        <v>1120071</v>
      </c>
      <c r="C126" s="79" t="s">
        <v>261</v>
      </c>
      <c r="F126" s="79">
        <v>29</v>
      </c>
      <c r="G126" s="79">
        <v>0</v>
      </c>
      <c r="H126" s="93" t="s">
        <v>214</v>
      </c>
      <c r="K126" s="79">
        <v>4</v>
      </c>
      <c r="L126" s="79">
        <v>18</v>
      </c>
      <c r="M126" s="79" t="s">
        <v>215</v>
      </c>
      <c r="P126" s="107"/>
      <c r="Q126" s="93"/>
      <c r="R126" s="92"/>
    </row>
    <row r="127" spans="1:18" s="79" customFormat="1">
      <c r="A127" s="79">
        <v>12008</v>
      </c>
      <c r="B127" s="79">
        <v>1120081</v>
      </c>
      <c r="C127" s="79" t="s">
        <v>262</v>
      </c>
      <c r="F127" s="79">
        <v>29</v>
      </c>
      <c r="G127" s="79">
        <v>0</v>
      </c>
      <c r="H127" s="93" t="s">
        <v>217</v>
      </c>
      <c r="K127" s="79">
        <v>5</v>
      </c>
      <c r="L127" s="79">
        <v>18</v>
      </c>
      <c r="M127" s="79" t="s">
        <v>218</v>
      </c>
      <c r="P127" s="107"/>
      <c r="Q127" s="93"/>
      <c r="R127" s="92"/>
    </row>
    <row r="128" spans="1:18" s="79" customFormat="1">
      <c r="A128" s="79">
        <v>12009</v>
      </c>
      <c r="B128" s="79">
        <v>1120091</v>
      </c>
      <c r="C128" s="79" t="s">
        <v>263</v>
      </c>
      <c r="F128" s="79">
        <v>29</v>
      </c>
      <c r="G128" s="79">
        <v>0</v>
      </c>
      <c r="H128" s="93" t="s">
        <v>208</v>
      </c>
      <c r="K128" s="79">
        <v>2</v>
      </c>
      <c r="L128" s="79">
        <v>18</v>
      </c>
      <c r="M128" s="79" t="s">
        <v>209</v>
      </c>
      <c r="P128" s="107"/>
      <c r="Q128" s="93"/>
      <c r="R128" s="92"/>
    </row>
    <row r="129" spans="1:18" s="79" customFormat="1">
      <c r="A129" s="79">
        <v>12010</v>
      </c>
      <c r="B129" s="79">
        <v>1120101</v>
      </c>
      <c r="C129" s="79" t="s">
        <v>264</v>
      </c>
      <c r="F129" s="79">
        <v>29</v>
      </c>
      <c r="G129" s="79">
        <v>0</v>
      </c>
      <c r="H129" s="93" t="s">
        <v>211</v>
      </c>
      <c r="K129" s="79">
        <v>3</v>
      </c>
      <c r="L129" s="79">
        <v>18</v>
      </c>
      <c r="M129" s="79" t="s">
        <v>212</v>
      </c>
      <c r="P129" s="107"/>
      <c r="Q129" s="93"/>
      <c r="R129" s="92"/>
    </row>
    <row r="130" spans="1:18" s="79" customFormat="1">
      <c r="A130" s="79">
        <v>12011</v>
      </c>
      <c r="B130" s="79">
        <v>1120111</v>
      </c>
      <c r="C130" s="79" t="s">
        <v>265</v>
      </c>
      <c r="F130" s="79">
        <v>29</v>
      </c>
      <c r="G130" s="79">
        <v>0</v>
      </c>
      <c r="H130" s="93" t="s">
        <v>214</v>
      </c>
      <c r="K130" s="79">
        <v>4</v>
      </c>
      <c r="L130" s="79">
        <v>18</v>
      </c>
      <c r="M130" s="79" t="s">
        <v>215</v>
      </c>
      <c r="P130" s="107"/>
      <c r="Q130" s="93"/>
      <c r="R130" s="92"/>
    </row>
    <row r="131" spans="1:18" s="79" customFormat="1">
      <c r="A131" s="79">
        <v>12012</v>
      </c>
      <c r="B131" s="79">
        <v>1120121</v>
      </c>
      <c r="C131" s="79" t="s">
        <v>266</v>
      </c>
      <c r="F131" s="79">
        <v>29</v>
      </c>
      <c r="G131" s="79">
        <v>0</v>
      </c>
      <c r="H131" s="93" t="s">
        <v>217</v>
      </c>
      <c r="K131" s="79">
        <v>5</v>
      </c>
      <c r="L131" s="79">
        <v>18</v>
      </c>
      <c r="M131" s="79" t="s">
        <v>218</v>
      </c>
      <c r="P131" s="107"/>
      <c r="Q131" s="93"/>
      <c r="R131" s="92"/>
    </row>
    <row r="132" spans="1:18" s="79" customFormat="1">
      <c r="A132" s="79">
        <v>12013</v>
      </c>
      <c r="B132" s="79">
        <v>1120131</v>
      </c>
      <c r="C132" s="79" t="s">
        <v>267</v>
      </c>
      <c r="F132" s="79">
        <v>29</v>
      </c>
      <c r="G132" s="79">
        <v>0</v>
      </c>
      <c r="H132" s="93" t="s">
        <v>208</v>
      </c>
      <c r="K132" s="79">
        <v>2</v>
      </c>
      <c r="L132" s="79">
        <v>18</v>
      </c>
      <c r="M132" s="79" t="s">
        <v>209</v>
      </c>
      <c r="P132" s="107"/>
      <c r="Q132" s="93"/>
      <c r="R132" s="92"/>
    </row>
    <row r="133" spans="1:18" s="79" customFormat="1">
      <c r="A133" s="79">
        <v>12014</v>
      </c>
      <c r="B133" s="79">
        <v>1120141</v>
      </c>
      <c r="C133" s="79" t="s">
        <v>268</v>
      </c>
      <c r="F133" s="79">
        <v>29</v>
      </c>
      <c r="G133" s="79">
        <v>0</v>
      </c>
      <c r="H133" s="93" t="s">
        <v>211</v>
      </c>
      <c r="K133" s="79">
        <v>3</v>
      </c>
      <c r="L133" s="79">
        <v>18</v>
      </c>
      <c r="M133" s="79" t="s">
        <v>212</v>
      </c>
      <c r="P133" s="107"/>
      <c r="Q133" s="93"/>
      <c r="R133" s="92"/>
    </row>
    <row r="134" spans="1:18" s="79" customFormat="1">
      <c r="A134" s="79">
        <v>12015</v>
      </c>
      <c r="B134" s="79">
        <v>1120151</v>
      </c>
      <c r="C134" s="79" t="s">
        <v>269</v>
      </c>
      <c r="F134" s="79">
        <v>29</v>
      </c>
      <c r="G134" s="79">
        <v>0</v>
      </c>
      <c r="H134" s="93" t="s">
        <v>214</v>
      </c>
      <c r="K134" s="79">
        <v>4</v>
      </c>
      <c r="L134" s="79">
        <v>18</v>
      </c>
      <c r="M134" s="79" t="s">
        <v>215</v>
      </c>
      <c r="P134" s="107"/>
      <c r="Q134" s="93"/>
      <c r="R134" s="92"/>
    </row>
    <row r="135" spans="1:18" s="79" customFormat="1">
      <c r="A135" s="79">
        <v>12016</v>
      </c>
      <c r="B135" s="79">
        <v>1120161</v>
      </c>
      <c r="C135" s="79" t="s">
        <v>270</v>
      </c>
      <c r="F135" s="79">
        <v>29</v>
      </c>
      <c r="G135" s="79">
        <v>0</v>
      </c>
      <c r="H135" s="93" t="s">
        <v>217</v>
      </c>
      <c r="K135" s="79">
        <v>5</v>
      </c>
      <c r="L135" s="79">
        <v>18</v>
      </c>
      <c r="M135" s="79" t="s">
        <v>218</v>
      </c>
      <c r="P135" s="107"/>
      <c r="Q135" s="93"/>
      <c r="R135" s="92"/>
    </row>
    <row r="136" spans="1:18" s="79" customFormat="1" ht="15.75">
      <c r="A136" s="125">
        <v>13003</v>
      </c>
      <c r="B136" s="125">
        <v>1120203</v>
      </c>
      <c r="C136" s="126" t="s">
        <v>271</v>
      </c>
      <c r="D136" s="79">
        <v>1120208</v>
      </c>
      <c r="E136" s="79" t="s">
        <v>272</v>
      </c>
      <c r="F136" s="79">
        <v>11</v>
      </c>
      <c r="G136" s="79">
        <v>1</v>
      </c>
      <c r="H136" s="93" t="s">
        <v>273</v>
      </c>
      <c r="K136" s="79">
        <v>5</v>
      </c>
      <c r="L136" s="79">
        <v>1</v>
      </c>
      <c r="M136" s="125">
        <v>13003</v>
      </c>
      <c r="P136" s="107"/>
      <c r="Q136" s="93"/>
      <c r="R136" s="92"/>
    </row>
    <row r="137" spans="1:18" s="79" customFormat="1" ht="15.75">
      <c r="A137" s="125">
        <v>13004</v>
      </c>
      <c r="B137" s="125">
        <v>1120204</v>
      </c>
      <c r="C137" s="126" t="s">
        <v>274</v>
      </c>
      <c r="D137" s="79">
        <v>1120209</v>
      </c>
      <c r="E137" s="79" t="s">
        <v>275</v>
      </c>
      <c r="F137" s="79">
        <v>11</v>
      </c>
      <c r="G137" s="79">
        <v>1</v>
      </c>
      <c r="H137" s="93" t="s">
        <v>276</v>
      </c>
      <c r="K137" s="79">
        <v>5</v>
      </c>
      <c r="L137" s="79">
        <v>1</v>
      </c>
      <c r="M137" s="125">
        <v>13004</v>
      </c>
      <c r="P137" s="107"/>
      <c r="Q137" s="93"/>
      <c r="R137" s="92"/>
    </row>
    <row r="138" spans="1:18" s="79" customFormat="1" ht="15.75">
      <c r="A138" s="125">
        <v>13005</v>
      </c>
      <c r="B138" s="125">
        <v>1120205</v>
      </c>
      <c r="C138" s="126" t="s">
        <v>277</v>
      </c>
      <c r="D138" s="79">
        <v>1120210</v>
      </c>
      <c r="E138" s="79" t="s">
        <v>278</v>
      </c>
      <c r="F138" s="79">
        <v>11</v>
      </c>
      <c r="G138" s="79">
        <v>1</v>
      </c>
      <c r="H138" s="93" t="s">
        <v>279</v>
      </c>
      <c r="K138" s="79">
        <v>5</v>
      </c>
      <c r="L138" s="79">
        <v>1</v>
      </c>
      <c r="M138" s="125">
        <v>13005</v>
      </c>
      <c r="P138" s="107"/>
      <c r="Q138" s="93"/>
      <c r="R138" s="92"/>
    </row>
    <row r="139" spans="1:18" s="79" customFormat="1">
      <c r="A139" s="79">
        <v>100001</v>
      </c>
      <c r="B139" s="79">
        <f t="shared" ref="B139:B148" si="2">A139*10+1</f>
        <v>1000011</v>
      </c>
      <c r="C139" s="79" t="s">
        <v>280</v>
      </c>
      <c r="D139" s="79">
        <f t="shared" ref="D139:D148" si="3">A139*10+2</f>
        <v>1000012</v>
      </c>
      <c r="E139" s="79" t="s">
        <v>281</v>
      </c>
      <c r="F139" s="79">
        <v>1</v>
      </c>
      <c r="G139" s="79">
        <v>0</v>
      </c>
      <c r="H139" s="79" t="str">
        <f>"icon_"&amp;A139</f>
        <v>icon_100001</v>
      </c>
      <c r="I139" s="79">
        <v>100001</v>
      </c>
      <c r="K139" s="79">
        <v>2</v>
      </c>
      <c r="L139" s="79">
        <v>0</v>
      </c>
      <c r="M139" s="127">
        <v>0</v>
      </c>
      <c r="N139" s="79">
        <v>1</v>
      </c>
      <c r="O139" s="79">
        <v>0</v>
      </c>
      <c r="P139" s="107">
        <v>68</v>
      </c>
      <c r="Q139" s="79">
        <v>100001</v>
      </c>
    </row>
    <row r="140" spans="1:18" s="79" customFormat="1">
      <c r="A140" s="79">
        <v>100002</v>
      </c>
      <c r="B140" s="79">
        <f t="shared" si="2"/>
        <v>1000021</v>
      </c>
      <c r="C140" s="79" t="s">
        <v>280</v>
      </c>
      <c r="D140" s="79">
        <f t="shared" si="3"/>
        <v>1000022</v>
      </c>
      <c r="E140" s="79" t="s">
        <v>282</v>
      </c>
      <c r="F140" s="79">
        <v>1</v>
      </c>
      <c r="G140" s="79">
        <v>0</v>
      </c>
      <c r="H140" s="79" t="str">
        <f>H139</f>
        <v>icon_100001</v>
      </c>
      <c r="I140" s="79">
        <v>100002</v>
      </c>
      <c r="K140" s="79">
        <v>3</v>
      </c>
      <c r="L140" s="79">
        <v>0</v>
      </c>
      <c r="M140" s="127">
        <v>0</v>
      </c>
      <c r="N140" s="79">
        <v>1</v>
      </c>
      <c r="O140" s="79">
        <v>0</v>
      </c>
      <c r="P140" s="107">
        <v>188</v>
      </c>
      <c r="Q140" s="79">
        <v>100002</v>
      </c>
    </row>
    <row r="141" spans="1:18" s="105" customFormat="1">
      <c r="A141" s="79">
        <v>100003</v>
      </c>
      <c r="B141" s="79">
        <f t="shared" si="2"/>
        <v>1000031</v>
      </c>
      <c r="C141" s="79" t="s">
        <v>280</v>
      </c>
      <c r="D141" s="79">
        <f t="shared" si="3"/>
        <v>1000032</v>
      </c>
      <c r="E141" s="79" t="s">
        <v>283</v>
      </c>
      <c r="F141" s="79">
        <v>1</v>
      </c>
      <c r="G141" s="79">
        <v>0</v>
      </c>
      <c r="H141" s="79" t="str">
        <f>H140</f>
        <v>icon_100001</v>
      </c>
      <c r="I141" s="79">
        <v>100003</v>
      </c>
      <c r="J141" s="79"/>
      <c r="K141" s="79">
        <v>4</v>
      </c>
      <c r="L141" s="79">
        <v>0</v>
      </c>
      <c r="M141" s="127">
        <v>0</v>
      </c>
      <c r="N141" s="79">
        <v>1</v>
      </c>
      <c r="O141" s="79">
        <v>0</v>
      </c>
      <c r="P141" s="107">
        <v>588</v>
      </c>
      <c r="Q141" s="79">
        <v>100002</v>
      </c>
      <c r="R141" s="79"/>
    </row>
    <row r="142" spans="1:18" s="79" customFormat="1">
      <c r="A142" s="79">
        <v>100011</v>
      </c>
      <c r="B142" s="79">
        <f t="shared" si="2"/>
        <v>1000111</v>
      </c>
      <c r="C142" s="79" t="s">
        <v>284</v>
      </c>
      <c r="D142" s="79">
        <f t="shared" si="3"/>
        <v>1000112</v>
      </c>
      <c r="E142" s="79" t="s">
        <v>285</v>
      </c>
      <c r="F142" s="79">
        <v>1</v>
      </c>
      <c r="G142" s="79">
        <v>0</v>
      </c>
      <c r="H142" s="79" t="s">
        <v>286</v>
      </c>
      <c r="I142" s="79">
        <v>100011</v>
      </c>
      <c r="K142" s="79">
        <v>4</v>
      </c>
      <c r="L142" s="79">
        <v>0</v>
      </c>
      <c r="M142" s="127">
        <v>0</v>
      </c>
      <c r="N142" s="79">
        <v>1</v>
      </c>
      <c r="O142" s="79">
        <v>0</v>
      </c>
      <c r="P142" s="107"/>
      <c r="Q142" s="79">
        <v>100011</v>
      </c>
    </row>
    <row r="143" spans="1:18" s="175" customFormat="1">
      <c r="A143" s="176">
        <v>100012</v>
      </c>
      <c r="B143" s="176">
        <f t="shared" si="2"/>
        <v>1000121</v>
      </c>
      <c r="C143" s="176" t="s">
        <v>284</v>
      </c>
      <c r="D143" s="176">
        <f t="shared" si="3"/>
        <v>1000122</v>
      </c>
      <c r="E143" s="176" t="s">
        <v>287</v>
      </c>
      <c r="F143" s="176">
        <v>1</v>
      </c>
      <c r="G143" s="176">
        <v>0</v>
      </c>
      <c r="H143" s="176" t="s">
        <v>286</v>
      </c>
      <c r="I143" s="176">
        <v>100012</v>
      </c>
      <c r="J143" s="176"/>
      <c r="K143" s="176">
        <v>5</v>
      </c>
      <c r="L143" s="176">
        <v>0</v>
      </c>
      <c r="M143" s="177">
        <v>0</v>
      </c>
      <c r="N143" s="176">
        <v>1</v>
      </c>
      <c r="O143" s="176">
        <v>0</v>
      </c>
      <c r="P143" s="176"/>
      <c r="Q143" s="176">
        <v>100012</v>
      </c>
      <c r="R143" s="176"/>
    </row>
    <row r="144" spans="1:18" s="79" customFormat="1">
      <c r="A144" s="79">
        <v>100013</v>
      </c>
      <c r="B144" s="79">
        <f t="shared" si="2"/>
        <v>1000131</v>
      </c>
      <c r="C144" s="79" t="s">
        <v>284</v>
      </c>
      <c r="D144" s="79">
        <f t="shared" si="3"/>
        <v>1000132</v>
      </c>
      <c r="E144" s="79" t="s">
        <v>288</v>
      </c>
      <c r="F144" s="79">
        <v>1</v>
      </c>
      <c r="G144" s="79">
        <v>0</v>
      </c>
      <c r="H144" s="79" t="s">
        <v>286</v>
      </c>
      <c r="I144" s="79">
        <v>100012</v>
      </c>
      <c r="K144" s="79">
        <v>6</v>
      </c>
      <c r="L144" s="79">
        <v>0</v>
      </c>
      <c r="M144" s="127">
        <v>0</v>
      </c>
      <c r="N144" s="79">
        <v>1</v>
      </c>
      <c r="O144" s="79">
        <v>0</v>
      </c>
      <c r="P144" s="107"/>
      <c r="Q144" s="79">
        <v>100012</v>
      </c>
    </row>
    <row r="145" spans="1:18" s="105" customFormat="1">
      <c r="A145" s="79">
        <v>100014</v>
      </c>
      <c r="B145" s="79">
        <f t="shared" si="2"/>
        <v>1000141</v>
      </c>
      <c r="C145" s="79" t="s">
        <v>284</v>
      </c>
      <c r="D145" s="79">
        <f t="shared" si="3"/>
        <v>1000142</v>
      </c>
      <c r="E145" s="79" t="s">
        <v>289</v>
      </c>
      <c r="F145" s="79">
        <v>1</v>
      </c>
      <c r="G145" s="79">
        <v>0</v>
      </c>
      <c r="H145" s="79" t="s">
        <v>286</v>
      </c>
      <c r="I145" s="79">
        <v>100014</v>
      </c>
      <c r="J145" s="79"/>
      <c r="K145" s="79">
        <v>7</v>
      </c>
      <c r="L145" s="79">
        <v>0</v>
      </c>
      <c r="M145" s="127">
        <v>0</v>
      </c>
      <c r="N145" s="79">
        <v>1</v>
      </c>
      <c r="O145" s="79">
        <v>0</v>
      </c>
      <c r="P145" s="107"/>
      <c r="Q145" s="79">
        <v>100012</v>
      </c>
      <c r="R145" s="79"/>
    </row>
    <row r="146" spans="1:18" s="175" customFormat="1">
      <c r="A146" s="176">
        <v>100021</v>
      </c>
      <c r="B146" s="176">
        <f t="shared" si="2"/>
        <v>1000211</v>
      </c>
      <c r="C146" s="176" t="s">
        <v>291</v>
      </c>
      <c r="D146" s="176">
        <f t="shared" si="3"/>
        <v>1000212</v>
      </c>
      <c r="E146" s="176" t="s">
        <v>292</v>
      </c>
      <c r="F146" s="176">
        <v>1</v>
      </c>
      <c r="G146" s="176">
        <v>0</v>
      </c>
      <c r="H146" s="176" t="s">
        <v>293</v>
      </c>
      <c r="I146" s="176">
        <v>100021</v>
      </c>
      <c r="J146" s="176"/>
      <c r="K146" s="176">
        <v>5</v>
      </c>
      <c r="L146" s="176">
        <v>0</v>
      </c>
      <c r="M146" s="177">
        <v>0</v>
      </c>
      <c r="N146" s="176">
        <v>1</v>
      </c>
      <c r="O146" s="176">
        <v>0</v>
      </c>
      <c r="P146" s="176"/>
      <c r="Q146" s="176">
        <v>100021</v>
      </c>
      <c r="R146" s="176"/>
    </row>
    <row r="147" spans="1:18" s="79" customFormat="1">
      <c r="A147" s="79">
        <v>100022</v>
      </c>
      <c r="B147" s="79">
        <f t="shared" si="2"/>
        <v>1000221</v>
      </c>
      <c r="C147" s="79" t="s">
        <v>291</v>
      </c>
      <c r="D147" s="79">
        <f t="shared" si="3"/>
        <v>1000222</v>
      </c>
      <c r="E147" s="79" t="s">
        <v>294</v>
      </c>
      <c r="F147" s="79">
        <v>1</v>
      </c>
      <c r="G147" s="79">
        <v>0</v>
      </c>
      <c r="H147" s="79" t="s">
        <v>293</v>
      </c>
      <c r="I147" s="79">
        <v>100022</v>
      </c>
      <c r="K147" s="79">
        <v>6</v>
      </c>
      <c r="L147" s="79">
        <v>0</v>
      </c>
      <c r="M147" s="127">
        <v>0</v>
      </c>
      <c r="N147" s="79">
        <v>1</v>
      </c>
      <c r="O147" s="79">
        <v>0</v>
      </c>
      <c r="P147" s="107"/>
      <c r="Q147" s="79">
        <v>100022</v>
      </c>
    </row>
    <row r="148" spans="1:18" s="79" customFormat="1">
      <c r="A148" s="79">
        <v>100023</v>
      </c>
      <c r="B148" s="79">
        <f t="shared" si="2"/>
        <v>1000231</v>
      </c>
      <c r="C148" s="79" t="s">
        <v>291</v>
      </c>
      <c r="D148" s="79">
        <f t="shared" si="3"/>
        <v>1000232</v>
      </c>
      <c r="E148" s="79" t="s">
        <v>295</v>
      </c>
      <c r="F148" s="79">
        <v>1</v>
      </c>
      <c r="G148" s="79">
        <v>0</v>
      </c>
      <c r="H148" s="79" t="s">
        <v>293</v>
      </c>
      <c r="I148" s="79">
        <v>100023</v>
      </c>
      <c r="K148" s="79">
        <v>7</v>
      </c>
      <c r="L148" s="79">
        <v>0</v>
      </c>
      <c r="M148" s="127">
        <v>0</v>
      </c>
      <c r="N148" s="79">
        <v>1</v>
      </c>
      <c r="O148" s="79">
        <v>0</v>
      </c>
      <c r="P148" s="107"/>
      <c r="Q148" s="79">
        <v>100022</v>
      </c>
    </row>
    <row r="149" spans="1:18" s="79" customFormat="1">
      <c r="A149" s="79">
        <v>100031</v>
      </c>
      <c r="B149" s="79">
        <f t="shared" ref="B149:B186" si="4">A149*10+1</f>
        <v>1000311</v>
      </c>
      <c r="C149" s="79" t="s">
        <v>296</v>
      </c>
      <c r="D149" s="79">
        <f t="shared" ref="D149:D186" si="5">A149*10+2</f>
        <v>1000312</v>
      </c>
      <c r="E149" s="79" t="s">
        <v>297</v>
      </c>
      <c r="F149" s="79">
        <v>1</v>
      </c>
      <c r="G149" s="79">
        <v>0</v>
      </c>
      <c r="H149" s="79" t="s">
        <v>298</v>
      </c>
      <c r="I149" s="79">
        <v>100031</v>
      </c>
      <c r="K149" s="79">
        <v>2</v>
      </c>
      <c r="L149" s="79">
        <v>0</v>
      </c>
      <c r="M149" s="127">
        <v>0</v>
      </c>
      <c r="N149" s="79">
        <v>1</v>
      </c>
      <c r="O149" s="79">
        <v>0</v>
      </c>
      <c r="P149" s="107"/>
      <c r="Q149" s="79">
        <v>100031</v>
      </c>
    </row>
    <row r="150" spans="1:18" s="79" customFormat="1">
      <c r="A150" s="79">
        <v>100032</v>
      </c>
      <c r="B150" s="79">
        <f t="shared" si="4"/>
        <v>1000321</v>
      </c>
      <c r="C150" s="79" t="s">
        <v>296</v>
      </c>
      <c r="D150" s="79">
        <f t="shared" si="5"/>
        <v>1000322</v>
      </c>
      <c r="E150" s="79" t="s">
        <v>299</v>
      </c>
      <c r="F150" s="79">
        <v>1</v>
      </c>
      <c r="G150" s="79">
        <v>0</v>
      </c>
      <c r="H150" s="79" t="s">
        <v>298</v>
      </c>
      <c r="I150" s="79">
        <v>100032</v>
      </c>
      <c r="K150" s="79">
        <v>3</v>
      </c>
      <c r="L150" s="79">
        <v>0</v>
      </c>
      <c r="M150" s="127">
        <v>0</v>
      </c>
      <c r="N150" s="79">
        <v>1</v>
      </c>
      <c r="O150" s="79">
        <v>0</v>
      </c>
      <c r="P150" s="107"/>
      <c r="Q150" s="79">
        <v>100032</v>
      </c>
    </row>
    <row r="151" spans="1:18" s="105" customFormat="1">
      <c r="A151" s="79">
        <v>100033</v>
      </c>
      <c r="B151" s="79">
        <f t="shared" si="4"/>
        <v>1000331</v>
      </c>
      <c r="C151" s="79" t="s">
        <v>296</v>
      </c>
      <c r="D151" s="79">
        <f t="shared" si="5"/>
        <v>1000332</v>
      </c>
      <c r="E151" s="79" t="s">
        <v>300</v>
      </c>
      <c r="F151" s="79">
        <v>1</v>
      </c>
      <c r="G151" s="79">
        <v>0</v>
      </c>
      <c r="H151" s="79" t="s">
        <v>298</v>
      </c>
      <c r="I151" s="79">
        <v>100033</v>
      </c>
      <c r="J151" s="79"/>
      <c r="K151" s="79">
        <v>4</v>
      </c>
      <c r="L151" s="79">
        <v>0</v>
      </c>
      <c r="M151" s="127">
        <v>0</v>
      </c>
      <c r="N151" s="79">
        <v>1</v>
      </c>
      <c r="O151" s="79">
        <v>0</v>
      </c>
      <c r="P151" s="107"/>
      <c r="Q151" s="79">
        <v>100032</v>
      </c>
      <c r="R151" s="79"/>
    </row>
    <row r="152" spans="1:18" s="79" customFormat="1">
      <c r="A152" s="79">
        <v>100041</v>
      </c>
      <c r="B152" s="79">
        <f t="shared" si="4"/>
        <v>1000411</v>
      </c>
      <c r="C152" s="79" t="s">
        <v>301</v>
      </c>
      <c r="D152" s="79">
        <f t="shared" si="5"/>
        <v>1000412</v>
      </c>
      <c r="E152" s="79" t="s">
        <v>302</v>
      </c>
      <c r="F152" s="79">
        <v>1</v>
      </c>
      <c r="G152" s="79">
        <v>0</v>
      </c>
      <c r="H152" s="79" t="s">
        <v>303</v>
      </c>
      <c r="I152" s="79">
        <v>100041</v>
      </c>
      <c r="K152" s="79">
        <v>4</v>
      </c>
      <c r="L152" s="79">
        <v>0</v>
      </c>
      <c r="M152" s="127">
        <v>0</v>
      </c>
      <c r="N152" s="79">
        <v>1</v>
      </c>
      <c r="O152" s="79">
        <v>0</v>
      </c>
      <c r="P152" s="107">
        <v>68</v>
      </c>
      <c r="Q152" s="79">
        <v>100041</v>
      </c>
    </row>
    <row r="153" spans="1:18" s="175" customFormat="1">
      <c r="A153" s="176">
        <v>100042</v>
      </c>
      <c r="B153" s="176">
        <f t="shared" si="4"/>
        <v>1000421</v>
      </c>
      <c r="C153" s="176" t="s">
        <v>301</v>
      </c>
      <c r="D153" s="176">
        <f t="shared" si="5"/>
        <v>1000422</v>
      </c>
      <c r="E153" s="176" t="s">
        <v>304</v>
      </c>
      <c r="F153" s="176">
        <v>1</v>
      </c>
      <c r="G153" s="176">
        <v>0</v>
      </c>
      <c r="H153" s="176" t="s">
        <v>303</v>
      </c>
      <c r="I153" s="176">
        <v>100042</v>
      </c>
      <c r="J153" s="176"/>
      <c r="K153" s="176">
        <v>5</v>
      </c>
      <c r="L153" s="176">
        <v>0</v>
      </c>
      <c r="M153" s="177">
        <v>0</v>
      </c>
      <c r="N153" s="176">
        <v>1</v>
      </c>
      <c r="O153" s="176">
        <v>0</v>
      </c>
      <c r="P153" s="176">
        <v>188</v>
      </c>
      <c r="Q153" s="176">
        <v>100042</v>
      </c>
      <c r="R153" s="176"/>
    </row>
    <row r="154" spans="1:18" s="79" customFormat="1">
      <c r="A154" s="79">
        <v>100043</v>
      </c>
      <c r="B154" s="79">
        <f t="shared" si="4"/>
        <v>1000431</v>
      </c>
      <c r="C154" s="79" t="s">
        <v>301</v>
      </c>
      <c r="D154" s="79">
        <f t="shared" si="5"/>
        <v>1000432</v>
      </c>
      <c r="E154" s="79" t="s">
        <v>305</v>
      </c>
      <c r="F154" s="79">
        <v>1</v>
      </c>
      <c r="G154" s="79">
        <v>0</v>
      </c>
      <c r="H154" s="79" t="s">
        <v>303</v>
      </c>
      <c r="I154" s="79">
        <v>100042</v>
      </c>
      <c r="K154" s="79">
        <v>6</v>
      </c>
      <c r="L154" s="79">
        <v>0</v>
      </c>
      <c r="M154" s="127">
        <v>0</v>
      </c>
      <c r="N154" s="79">
        <v>1</v>
      </c>
      <c r="O154" s="79">
        <v>0</v>
      </c>
      <c r="P154" s="107">
        <v>588</v>
      </c>
      <c r="Q154" s="79">
        <v>100042</v>
      </c>
    </row>
    <row r="155" spans="1:18" s="79" customFormat="1">
      <c r="A155" s="79">
        <v>100044</v>
      </c>
      <c r="B155" s="79">
        <f t="shared" si="4"/>
        <v>1000441</v>
      </c>
      <c r="C155" s="79" t="s">
        <v>301</v>
      </c>
      <c r="D155" s="79">
        <f t="shared" si="5"/>
        <v>1000442</v>
      </c>
      <c r="E155" s="79" t="s">
        <v>306</v>
      </c>
      <c r="F155" s="79">
        <v>1</v>
      </c>
      <c r="G155" s="79">
        <v>0</v>
      </c>
      <c r="H155" s="79" t="s">
        <v>307</v>
      </c>
      <c r="I155" s="79">
        <v>100044</v>
      </c>
      <c r="K155" s="79">
        <v>7</v>
      </c>
      <c r="L155" s="79">
        <v>0</v>
      </c>
      <c r="M155" s="127">
        <v>0</v>
      </c>
      <c r="N155" s="79">
        <v>1</v>
      </c>
      <c r="O155" s="79">
        <v>0</v>
      </c>
      <c r="P155" s="107">
        <v>1888</v>
      </c>
      <c r="Q155" s="79">
        <v>100042</v>
      </c>
    </row>
    <row r="156" spans="1:18" s="175" customFormat="1">
      <c r="A156" s="176">
        <v>100051</v>
      </c>
      <c r="B156" s="176">
        <f t="shared" si="4"/>
        <v>1000511</v>
      </c>
      <c r="C156" s="176" t="s">
        <v>308</v>
      </c>
      <c r="D156" s="176">
        <f t="shared" si="5"/>
        <v>1000512</v>
      </c>
      <c r="E156" s="176" t="s">
        <v>309</v>
      </c>
      <c r="F156" s="176">
        <v>1</v>
      </c>
      <c r="G156" s="176">
        <v>0</v>
      </c>
      <c r="H156" s="176" t="s">
        <v>310</v>
      </c>
      <c r="I156" s="176">
        <v>100051</v>
      </c>
      <c r="J156" s="176"/>
      <c r="K156" s="176">
        <v>5</v>
      </c>
      <c r="L156" s="176">
        <v>0</v>
      </c>
      <c r="M156" s="177">
        <v>0</v>
      </c>
      <c r="N156" s="176">
        <v>1</v>
      </c>
      <c r="O156" s="176">
        <v>0</v>
      </c>
      <c r="P156" s="176"/>
      <c r="Q156" s="176">
        <v>100051</v>
      </c>
    </row>
    <row r="157" spans="1:18" s="79" customFormat="1">
      <c r="A157" s="79">
        <v>100052</v>
      </c>
      <c r="B157" s="79">
        <f t="shared" si="4"/>
        <v>1000521</v>
      </c>
      <c r="C157" s="79" t="s">
        <v>308</v>
      </c>
      <c r="D157" s="79">
        <f t="shared" si="5"/>
        <v>1000522</v>
      </c>
      <c r="E157" s="79" t="s">
        <v>311</v>
      </c>
      <c r="F157" s="79">
        <v>1</v>
      </c>
      <c r="G157" s="79">
        <v>0</v>
      </c>
      <c r="H157" s="79" t="s">
        <v>310</v>
      </c>
      <c r="I157" s="79">
        <v>100052</v>
      </c>
      <c r="K157" s="79">
        <v>6</v>
      </c>
      <c r="L157" s="79">
        <v>0</v>
      </c>
      <c r="M157" s="127">
        <v>0</v>
      </c>
      <c r="N157" s="79">
        <v>1</v>
      </c>
      <c r="O157" s="79">
        <v>0</v>
      </c>
      <c r="P157" s="107"/>
      <c r="Q157" s="79">
        <v>100052</v>
      </c>
    </row>
    <row r="158" spans="1:18" s="79" customFormat="1">
      <c r="A158" s="79">
        <v>100053</v>
      </c>
      <c r="B158" s="79">
        <f t="shared" si="4"/>
        <v>1000531</v>
      </c>
      <c r="C158" s="79" t="s">
        <v>308</v>
      </c>
      <c r="D158" s="79">
        <f t="shared" si="5"/>
        <v>1000532</v>
      </c>
      <c r="E158" s="79" t="s">
        <v>312</v>
      </c>
      <c r="F158" s="79">
        <v>1</v>
      </c>
      <c r="G158" s="79">
        <v>0</v>
      </c>
      <c r="H158" s="79" t="s">
        <v>310</v>
      </c>
      <c r="I158" s="79">
        <v>100053</v>
      </c>
      <c r="K158" s="79">
        <v>7</v>
      </c>
      <c r="L158" s="79">
        <v>0</v>
      </c>
      <c r="M158" s="127">
        <v>0</v>
      </c>
      <c r="N158" s="79">
        <v>1</v>
      </c>
      <c r="O158" s="79">
        <v>0</v>
      </c>
      <c r="P158" s="107"/>
      <c r="Q158" s="79">
        <v>100052</v>
      </c>
    </row>
    <row r="159" spans="1:18" s="175" customFormat="1">
      <c r="A159" s="176">
        <v>100055</v>
      </c>
      <c r="B159" s="176">
        <f t="shared" si="4"/>
        <v>1000551</v>
      </c>
      <c r="C159" s="176" t="s">
        <v>308</v>
      </c>
      <c r="D159" s="176">
        <f t="shared" si="5"/>
        <v>1000552</v>
      </c>
      <c r="E159" s="176" t="s">
        <v>313</v>
      </c>
      <c r="F159" s="176">
        <v>1</v>
      </c>
      <c r="G159" s="176">
        <v>0</v>
      </c>
      <c r="H159" s="176" t="s">
        <v>310</v>
      </c>
      <c r="I159" s="176">
        <v>100051</v>
      </c>
      <c r="J159" s="176"/>
      <c r="K159" s="176">
        <v>4</v>
      </c>
      <c r="L159" s="176">
        <v>0</v>
      </c>
      <c r="M159" s="177">
        <v>0</v>
      </c>
      <c r="N159" s="176">
        <v>1</v>
      </c>
      <c r="O159" s="176">
        <v>0</v>
      </c>
      <c r="Q159" s="175">
        <v>100051</v>
      </c>
    </row>
    <row r="160" spans="1:18" s="105" customFormat="1">
      <c r="A160" s="79">
        <v>100061</v>
      </c>
      <c r="B160" s="79">
        <f t="shared" si="4"/>
        <v>1000611</v>
      </c>
      <c r="C160" s="79" t="s">
        <v>314</v>
      </c>
      <c r="D160" s="79">
        <f t="shared" si="5"/>
        <v>1000612</v>
      </c>
      <c r="E160" s="79" t="s">
        <v>315</v>
      </c>
      <c r="F160" s="79">
        <v>1</v>
      </c>
      <c r="G160" s="79">
        <v>0</v>
      </c>
      <c r="H160" s="79" t="s">
        <v>316</v>
      </c>
      <c r="I160" s="79">
        <v>100061</v>
      </c>
      <c r="J160" s="79"/>
      <c r="K160" s="79">
        <v>4</v>
      </c>
      <c r="L160" s="79">
        <v>0</v>
      </c>
      <c r="M160" s="127">
        <v>0</v>
      </c>
      <c r="N160" s="79">
        <v>1</v>
      </c>
      <c r="O160" s="79">
        <v>0</v>
      </c>
      <c r="P160" s="107"/>
      <c r="Q160" s="79">
        <v>100061</v>
      </c>
      <c r="R160" s="79"/>
    </row>
    <row r="161" spans="1:18" s="175" customFormat="1">
      <c r="A161" s="176">
        <v>100062</v>
      </c>
      <c r="B161" s="176">
        <f t="shared" si="4"/>
        <v>1000621</v>
      </c>
      <c r="C161" s="176" t="s">
        <v>314</v>
      </c>
      <c r="D161" s="176">
        <f t="shared" si="5"/>
        <v>1000622</v>
      </c>
      <c r="E161" s="176" t="s">
        <v>317</v>
      </c>
      <c r="F161" s="176">
        <v>1</v>
      </c>
      <c r="G161" s="176">
        <v>0</v>
      </c>
      <c r="H161" s="176" t="s">
        <v>316</v>
      </c>
      <c r="I161" s="176">
        <v>100062</v>
      </c>
      <c r="J161" s="176"/>
      <c r="K161" s="176">
        <v>5</v>
      </c>
      <c r="L161" s="176">
        <v>0</v>
      </c>
      <c r="M161" s="177">
        <v>0</v>
      </c>
      <c r="N161" s="176">
        <v>1</v>
      </c>
      <c r="O161" s="176">
        <v>0</v>
      </c>
      <c r="P161" s="176"/>
      <c r="Q161" s="176">
        <v>100062</v>
      </c>
    </row>
    <row r="162" spans="1:18" s="79" customFormat="1">
      <c r="A162" s="79">
        <v>100063</v>
      </c>
      <c r="B162" s="79">
        <f t="shared" si="4"/>
        <v>1000631</v>
      </c>
      <c r="C162" s="79" t="s">
        <v>314</v>
      </c>
      <c r="D162" s="79">
        <f t="shared" si="5"/>
        <v>1000632</v>
      </c>
      <c r="E162" s="79" t="s">
        <v>318</v>
      </c>
      <c r="F162" s="79">
        <v>1</v>
      </c>
      <c r="G162" s="79">
        <v>0</v>
      </c>
      <c r="H162" s="79" t="s">
        <v>316</v>
      </c>
      <c r="I162" s="79">
        <v>100063</v>
      </c>
      <c r="K162" s="79">
        <v>6</v>
      </c>
      <c r="L162" s="79">
        <v>0</v>
      </c>
      <c r="M162" s="127">
        <v>0</v>
      </c>
      <c r="N162" s="79">
        <v>1</v>
      </c>
      <c r="O162" s="79">
        <v>0</v>
      </c>
      <c r="P162" s="107"/>
      <c r="Q162" s="79">
        <v>100062</v>
      </c>
      <c r="R162" s="105"/>
    </row>
    <row r="163" spans="1:18" s="176" customFormat="1">
      <c r="A163" s="176">
        <v>100071</v>
      </c>
      <c r="B163" s="176">
        <f t="shared" si="4"/>
        <v>1000711</v>
      </c>
      <c r="C163" s="176" t="s">
        <v>319</v>
      </c>
      <c r="D163" s="176">
        <f t="shared" si="5"/>
        <v>1000712</v>
      </c>
      <c r="E163" s="176" t="s">
        <v>320</v>
      </c>
      <c r="F163" s="176">
        <v>1</v>
      </c>
      <c r="G163" s="176">
        <v>0</v>
      </c>
      <c r="H163" s="176" t="s">
        <v>321</v>
      </c>
      <c r="I163" s="176">
        <v>100071</v>
      </c>
      <c r="K163" s="176">
        <v>5</v>
      </c>
      <c r="L163" s="176">
        <v>0</v>
      </c>
      <c r="M163" s="177">
        <v>0</v>
      </c>
      <c r="N163" s="176">
        <v>1</v>
      </c>
      <c r="O163" s="176">
        <v>0</v>
      </c>
      <c r="Q163" s="176">
        <v>100071</v>
      </c>
      <c r="R163" s="175"/>
    </row>
    <row r="164" spans="1:18" s="79" customFormat="1">
      <c r="A164" s="79">
        <v>100072</v>
      </c>
      <c r="B164" s="79">
        <f t="shared" si="4"/>
        <v>1000721</v>
      </c>
      <c r="C164" s="79" t="s">
        <v>319</v>
      </c>
      <c r="D164" s="79">
        <f t="shared" si="5"/>
        <v>1000722</v>
      </c>
      <c r="E164" s="79" t="s">
        <v>322</v>
      </c>
      <c r="F164" s="79">
        <v>1</v>
      </c>
      <c r="G164" s="79">
        <v>0</v>
      </c>
      <c r="H164" s="79" t="s">
        <v>321</v>
      </c>
      <c r="I164" s="79">
        <v>100072</v>
      </c>
      <c r="K164" s="79">
        <v>6</v>
      </c>
      <c r="L164" s="79">
        <v>0</v>
      </c>
      <c r="M164" s="127">
        <v>0</v>
      </c>
      <c r="N164" s="79">
        <v>1</v>
      </c>
      <c r="O164" s="79">
        <v>0</v>
      </c>
      <c r="P164" s="107"/>
      <c r="Q164" s="79">
        <v>100072</v>
      </c>
    </row>
    <row r="165" spans="1:18" s="79" customFormat="1">
      <c r="A165" s="79">
        <v>100073</v>
      </c>
      <c r="B165" s="79">
        <f t="shared" si="4"/>
        <v>1000731</v>
      </c>
      <c r="C165" s="79" t="s">
        <v>319</v>
      </c>
      <c r="D165" s="79">
        <f t="shared" si="5"/>
        <v>1000732</v>
      </c>
      <c r="E165" s="79" t="s">
        <v>323</v>
      </c>
      <c r="F165" s="79">
        <v>1</v>
      </c>
      <c r="G165" s="79">
        <v>0</v>
      </c>
      <c r="H165" s="79" t="s">
        <v>321</v>
      </c>
      <c r="I165" s="79">
        <v>100073</v>
      </c>
      <c r="K165" s="79">
        <v>7</v>
      </c>
      <c r="L165" s="79">
        <v>0</v>
      </c>
      <c r="M165" s="127">
        <v>0</v>
      </c>
      <c r="N165" s="79">
        <v>1</v>
      </c>
      <c r="O165" s="79">
        <v>0</v>
      </c>
      <c r="P165" s="107"/>
      <c r="Q165" s="79">
        <v>100072</v>
      </c>
      <c r="R165" s="105"/>
    </row>
    <row r="166" spans="1:18" s="175" customFormat="1">
      <c r="A166" s="176">
        <v>100081</v>
      </c>
      <c r="B166" s="176">
        <f t="shared" si="4"/>
        <v>1000811</v>
      </c>
      <c r="C166" s="176" t="s">
        <v>324</v>
      </c>
      <c r="D166" s="176">
        <f t="shared" si="5"/>
        <v>1000812</v>
      </c>
      <c r="E166" s="176" t="s">
        <v>325</v>
      </c>
      <c r="F166" s="176">
        <v>1</v>
      </c>
      <c r="G166" s="176">
        <v>0</v>
      </c>
      <c r="H166" s="176" t="s">
        <v>326</v>
      </c>
      <c r="I166" s="176">
        <v>100081</v>
      </c>
      <c r="J166" s="176"/>
      <c r="K166" s="176">
        <v>5</v>
      </c>
      <c r="L166" s="176">
        <v>0</v>
      </c>
      <c r="M166" s="177">
        <v>0</v>
      </c>
      <c r="N166" s="176">
        <v>1</v>
      </c>
      <c r="O166" s="176">
        <v>0</v>
      </c>
      <c r="P166" s="176"/>
      <c r="Q166" s="176">
        <v>100082</v>
      </c>
    </row>
    <row r="167" spans="1:18" s="79" customFormat="1">
      <c r="A167" s="79">
        <v>100082</v>
      </c>
      <c r="B167" s="79">
        <f t="shared" si="4"/>
        <v>1000821</v>
      </c>
      <c r="C167" s="79" t="s">
        <v>324</v>
      </c>
      <c r="D167" s="79">
        <f t="shared" si="5"/>
        <v>1000822</v>
      </c>
      <c r="E167" s="79" t="s">
        <v>327</v>
      </c>
      <c r="F167" s="79">
        <v>1</v>
      </c>
      <c r="G167" s="79">
        <v>0</v>
      </c>
      <c r="H167" s="79" t="s">
        <v>326</v>
      </c>
      <c r="I167" s="79">
        <v>100082</v>
      </c>
      <c r="K167" s="79">
        <v>6</v>
      </c>
      <c r="L167" s="79">
        <v>0</v>
      </c>
      <c r="M167" s="127">
        <v>0</v>
      </c>
      <c r="N167" s="79">
        <v>1</v>
      </c>
      <c r="O167" s="79">
        <v>0</v>
      </c>
      <c r="P167" s="107"/>
      <c r="Q167" s="79">
        <v>100082</v>
      </c>
      <c r="R167" s="105"/>
    </row>
    <row r="168" spans="1:18" s="79" customFormat="1">
      <c r="A168" s="79">
        <v>100083</v>
      </c>
      <c r="B168" s="79">
        <f t="shared" si="4"/>
        <v>1000831</v>
      </c>
      <c r="C168" s="79" t="s">
        <v>324</v>
      </c>
      <c r="D168" s="79">
        <f t="shared" si="5"/>
        <v>1000832</v>
      </c>
      <c r="E168" s="79" t="s">
        <v>328</v>
      </c>
      <c r="F168" s="79">
        <v>1</v>
      </c>
      <c r="G168" s="79">
        <v>0</v>
      </c>
      <c r="H168" s="79" t="s">
        <v>326</v>
      </c>
      <c r="I168" s="79">
        <v>100083</v>
      </c>
      <c r="K168" s="79">
        <v>7</v>
      </c>
      <c r="L168" s="79">
        <v>0</v>
      </c>
      <c r="M168" s="127">
        <v>0</v>
      </c>
      <c r="N168" s="79">
        <v>1</v>
      </c>
      <c r="O168" s="79">
        <v>0</v>
      </c>
      <c r="P168" s="107"/>
      <c r="Q168" s="79">
        <v>100082</v>
      </c>
    </row>
    <row r="169" spans="1:18" s="175" customFormat="1">
      <c r="A169" s="176">
        <v>100091</v>
      </c>
      <c r="B169" s="176">
        <f t="shared" si="4"/>
        <v>1000911</v>
      </c>
      <c r="C169" s="176" t="s">
        <v>329</v>
      </c>
      <c r="D169" s="176">
        <f t="shared" si="5"/>
        <v>1000912</v>
      </c>
      <c r="E169" s="176" t="s">
        <v>330</v>
      </c>
      <c r="F169" s="176">
        <v>1</v>
      </c>
      <c r="G169" s="176">
        <v>0</v>
      </c>
      <c r="H169" s="176" t="s">
        <v>331</v>
      </c>
      <c r="I169" s="176">
        <v>100091</v>
      </c>
      <c r="J169" s="176"/>
      <c r="K169" s="176">
        <v>5</v>
      </c>
      <c r="L169" s="176">
        <v>0</v>
      </c>
      <c r="M169" s="177">
        <v>0</v>
      </c>
      <c r="N169" s="176">
        <v>1</v>
      </c>
      <c r="O169" s="176">
        <v>0</v>
      </c>
      <c r="P169" s="176"/>
      <c r="Q169" s="176">
        <v>100091</v>
      </c>
    </row>
    <row r="170" spans="1:18" s="79" customFormat="1">
      <c r="A170" s="79">
        <v>100092</v>
      </c>
      <c r="B170" s="79">
        <f t="shared" si="4"/>
        <v>1000921</v>
      </c>
      <c r="C170" s="79" t="s">
        <v>329</v>
      </c>
      <c r="D170" s="79">
        <f t="shared" si="5"/>
        <v>1000922</v>
      </c>
      <c r="E170" s="79" t="s">
        <v>332</v>
      </c>
      <c r="F170" s="79">
        <v>1</v>
      </c>
      <c r="G170" s="79">
        <v>0</v>
      </c>
      <c r="H170" s="79" t="s">
        <v>331</v>
      </c>
      <c r="I170" s="79">
        <v>100092</v>
      </c>
      <c r="K170" s="79">
        <v>6</v>
      </c>
      <c r="L170" s="79">
        <v>0</v>
      </c>
      <c r="M170" s="127">
        <v>0</v>
      </c>
      <c r="N170" s="79">
        <v>1</v>
      </c>
      <c r="O170" s="79">
        <v>0</v>
      </c>
      <c r="P170" s="107"/>
      <c r="Q170" s="79">
        <v>100092</v>
      </c>
    </row>
    <row r="171" spans="1:18" s="79" customFormat="1">
      <c r="A171" s="79">
        <v>100093</v>
      </c>
      <c r="B171" s="79">
        <f t="shared" si="4"/>
        <v>1000931</v>
      </c>
      <c r="C171" s="79" t="s">
        <v>329</v>
      </c>
      <c r="D171" s="79">
        <f t="shared" si="5"/>
        <v>1000932</v>
      </c>
      <c r="E171" s="79" t="s">
        <v>333</v>
      </c>
      <c r="F171" s="79">
        <v>1</v>
      </c>
      <c r="G171" s="79">
        <v>0</v>
      </c>
      <c r="H171" s="79" t="s">
        <v>331</v>
      </c>
      <c r="I171" s="79">
        <v>100093</v>
      </c>
      <c r="K171" s="79">
        <v>7</v>
      </c>
      <c r="L171" s="79">
        <v>0</v>
      </c>
      <c r="M171" s="127">
        <v>0</v>
      </c>
      <c r="N171" s="79">
        <v>1</v>
      </c>
      <c r="O171" s="79">
        <v>0</v>
      </c>
      <c r="P171" s="107"/>
      <c r="Q171" s="79">
        <v>100093</v>
      </c>
    </row>
    <row r="172" spans="1:18" s="176" customFormat="1">
      <c r="A172" s="176">
        <v>100101</v>
      </c>
      <c r="B172" s="176">
        <f t="shared" si="4"/>
        <v>1001011</v>
      </c>
      <c r="C172" s="176" t="s">
        <v>334</v>
      </c>
      <c r="D172" s="176">
        <f t="shared" si="5"/>
        <v>1001012</v>
      </c>
      <c r="E172" s="176" t="s">
        <v>335</v>
      </c>
      <c r="F172" s="176">
        <v>1</v>
      </c>
      <c r="G172" s="176">
        <v>0</v>
      </c>
      <c r="H172" s="176" t="s">
        <v>336</v>
      </c>
      <c r="I172" s="176">
        <v>100101</v>
      </c>
      <c r="K172" s="176">
        <v>5</v>
      </c>
      <c r="L172" s="176">
        <v>0</v>
      </c>
      <c r="M172" s="177">
        <v>0</v>
      </c>
      <c r="N172" s="176">
        <v>1</v>
      </c>
      <c r="O172" s="176">
        <v>0</v>
      </c>
      <c r="Q172" s="176">
        <v>100101</v>
      </c>
      <c r="R172" s="175"/>
    </row>
    <row r="173" spans="1:18" s="79" customFormat="1">
      <c r="A173" s="79">
        <v>100102</v>
      </c>
      <c r="B173" s="79">
        <f t="shared" si="4"/>
        <v>1001021</v>
      </c>
      <c r="C173" s="79" t="s">
        <v>334</v>
      </c>
      <c r="D173" s="79">
        <f t="shared" si="5"/>
        <v>1001022</v>
      </c>
      <c r="E173" s="79" t="s">
        <v>337</v>
      </c>
      <c r="F173" s="79">
        <v>1</v>
      </c>
      <c r="G173" s="79">
        <v>0</v>
      </c>
      <c r="H173" s="79" t="s">
        <v>336</v>
      </c>
      <c r="I173" s="79">
        <v>100102</v>
      </c>
      <c r="K173" s="79">
        <v>6</v>
      </c>
      <c r="L173" s="79">
        <v>0</v>
      </c>
      <c r="M173" s="127">
        <v>0</v>
      </c>
      <c r="N173" s="79">
        <v>1</v>
      </c>
      <c r="O173" s="79">
        <v>0</v>
      </c>
      <c r="P173" s="107"/>
      <c r="Q173" s="79">
        <v>100101</v>
      </c>
    </row>
    <row r="174" spans="1:18" s="79" customFormat="1">
      <c r="A174" s="79">
        <v>100103</v>
      </c>
      <c r="B174" s="79">
        <f t="shared" si="4"/>
        <v>1001031</v>
      </c>
      <c r="C174" s="79" t="s">
        <v>334</v>
      </c>
      <c r="D174" s="79">
        <f t="shared" si="5"/>
        <v>1001032</v>
      </c>
      <c r="E174" s="79" t="s">
        <v>338</v>
      </c>
      <c r="F174" s="79">
        <v>1</v>
      </c>
      <c r="G174" s="79">
        <v>0</v>
      </c>
      <c r="H174" s="79" t="s">
        <v>336</v>
      </c>
      <c r="I174" s="79">
        <v>100103</v>
      </c>
      <c r="K174" s="79">
        <v>7</v>
      </c>
      <c r="L174" s="79">
        <v>0</v>
      </c>
      <c r="M174" s="127">
        <v>0</v>
      </c>
      <c r="N174" s="79">
        <v>1</v>
      </c>
      <c r="O174" s="79">
        <v>0</v>
      </c>
      <c r="P174" s="107"/>
      <c r="Q174" s="79">
        <v>100103</v>
      </c>
      <c r="R174" s="105"/>
    </row>
    <row r="175" spans="1:18" s="79" customFormat="1">
      <c r="A175" s="79">
        <v>100111</v>
      </c>
      <c r="B175" s="79">
        <f t="shared" si="4"/>
        <v>1001111</v>
      </c>
      <c r="C175" s="79" t="s">
        <v>339</v>
      </c>
      <c r="D175" s="79">
        <f t="shared" si="5"/>
        <v>1001112</v>
      </c>
      <c r="E175" s="79" t="s">
        <v>340</v>
      </c>
      <c r="F175" s="79">
        <v>1</v>
      </c>
      <c r="G175" s="79">
        <v>0</v>
      </c>
      <c r="H175" s="79" t="s">
        <v>341</v>
      </c>
      <c r="I175" s="79">
        <v>100111</v>
      </c>
      <c r="K175" s="79">
        <v>6</v>
      </c>
      <c r="L175" s="79">
        <v>0</v>
      </c>
      <c r="M175" s="127">
        <v>0</v>
      </c>
      <c r="N175" s="79">
        <v>1</v>
      </c>
      <c r="O175" s="79">
        <v>0</v>
      </c>
      <c r="P175" s="107"/>
      <c r="Q175" s="79">
        <v>100112</v>
      </c>
      <c r="R175" s="105"/>
    </row>
    <row r="176" spans="1:18" s="106" customFormat="1">
      <c r="A176" s="79">
        <v>100113</v>
      </c>
      <c r="B176" s="79">
        <f t="shared" si="4"/>
        <v>1001131</v>
      </c>
      <c r="C176" s="79" t="s">
        <v>339</v>
      </c>
      <c r="D176" s="79">
        <f t="shared" si="5"/>
        <v>1001132</v>
      </c>
      <c r="E176" s="79" t="s">
        <v>342</v>
      </c>
      <c r="F176" s="79">
        <v>1</v>
      </c>
      <c r="G176" s="79">
        <v>0</v>
      </c>
      <c r="H176" s="79" t="s">
        <v>341</v>
      </c>
      <c r="I176" s="79">
        <v>100111</v>
      </c>
      <c r="J176" s="79"/>
      <c r="K176" s="79">
        <v>7</v>
      </c>
      <c r="L176" s="79">
        <v>0</v>
      </c>
      <c r="M176" s="127">
        <v>0</v>
      </c>
      <c r="N176" s="79">
        <v>1</v>
      </c>
      <c r="O176" s="79">
        <v>0</v>
      </c>
      <c r="P176" s="107"/>
      <c r="Q176" s="79">
        <v>100112</v>
      </c>
      <c r="R176" s="79"/>
    </row>
    <row r="177" spans="1:18" s="106" customFormat="1">
      <c r="A177" s="79">
        <v>100114</v>
      </c>
      <c r="B177" s="79">
        <f t="shared" si="4"/>
        <v>1001141</v>
      </c>
      <c r="C177" s="79" t="s">
        <v>339</v>
      </c>
      <c r="D177" s="79">
        <f t="shared" si="5"/>
        <v>1001142</v>
      </c>
      <c r="E177" s="79" t="s">
        <v>343</v>
      </c>
      <c r="F177" s="79">
        <v>1</v>
      </c>
      <c r="G177" s="79">
        <v>0</v>
      </c>
      <c r="H177" s="79" t="s">
        <v>341</v>
      </c>
      <c r="I177" s="79">
        <v>100111</v>
      </c>
      <c r="J177" s="79"/>
      <c r="K177" s="79">
        <v>5</v>
      </c>
      <c r="L177" s="79">
        <v>0</v>
      </c>
      <c r="M177" s="127">
        <v>0</v>
      </c>
      <c r="N177" s="79">
        <v>1</v>
      </c>
      <c r="O177" s="79">
        <v>0</v>
      </c>
      <c r="P177" s="107"/>
      <c r="Q177" s="79">
        <v>100112</v>
      </c>
      <c r="R177" s="79"/>
    </row>
    <row r="178" spans="1:18" s="105" customFormat="1">
      <c r="A178" s="79">
        <v>100121</v>
      </c>
      <c r="B178" s="79">
        <f t="shared" si="4"/>
        <v>1001211</v>
      </c>
      <c r="C178" s="79" t="s">
        <v>344</v>
      </c>
      <c r="D178" s="79">
        <f t="shared" si="5"/>
        <v>1001212</v>
      </c>
      <c r="E178" s="79" t="s">
        <v>345</v>
      </c>
      <c r="F178" s="79">
        <v>1</v>
      </c>
      <c r="G178" s="79">
        <v>0</v>
      </c>
      <c r="H178" s="79" t="s">
        <v>346</v>
      </c>
      <c r="I178" s="79">
        <v>100121</v>
      </c>
      <c r="J178" s="79"/>
      <c r="K178" s="79">
        <v>5</v>
      </c>
      <c r="L178" s="79">
        <v>0</v>
      </c>
      <c r="M178" s="127">
        <v>0</v>
      </c>
      <c r="N178" s="79">
        <v>1</v>
      </c>
      <c r="O178" s="79">
        <v>0</v>
      </c>
      <c r="P178" s="107" t="s">
        <v>347</v>
      </c>
      <c r="Q178" s="93">
        <v>100121</v>
      </c>
      <c r="R178" s="79"/>
    </row>
    <row r="179" spans="1:18" s="107" customFormat="1">
      <c r="A179" s="79">
        <v>100122</v>
      </c>
      <c r="B179" s="79">
        <f t="shared" si="4"/>
        <v>1001221</v>
      </c>
      <c r="C179" s="79" t="s">
        <v>344</v>
      </c>
      <c r="D179" s="79">
        <f t="shared" si="5"/>
        <v>1001222</v>
      </c>
      <c r="E179" s="79" t="s">
        <v>348</v>
      </c>
      <c r="F179" s="79">
        <v>1</v>
      </c>
      <c r="G179" s="79">
        <v>0</v>
      </c>
      <c r="H179" s="79" t="s">
        <v>346</v>
      </c>
      <c r="I179" s="79">
        <v>100122</v>
      </c>
      <c r="J179" s="79"/>
      <c r="K179" s="79">
        <v>6</v>
      </c>
      <c r="L179" s="79">
        <v>0</v>
      </c>
      <c r="M179" s="127">
        <v>0</v>
      </c>
      <c r="N179" s="79">
        <v>1</v>
      </c>
      <c r="O179" s="79">
        <v>0</v>
      </c>
      <c r="P179" s="107" t="s">
        <v>347</v>
      </c>
      <c r="Q179" s="93">
        <v>100122</v>
      </c>
      <c r="R179" s="79"/>
    </row>
    <row r="180" spans="1:18" s="107" customFormat="1">
      <c r="A180" s="79">
        <v>100123</v>
      </c>
      <c r="B180" s="79">
        <f t="shared" si="4"/>
        <v>1001231</v>
      </c>
      <c r="C180" s="79" t="s">
        <v>344</v>
      </c>
      <c r="D180" s="79">
        <f t="shared" si="5"/>
        <v>1001232</v>
      </c>
      <c r="E180" s="79" t="s">
        <v>349</v>
      </c>
      <c r="F180" s="79">
        <v>1</v>
      </c>
      <c r="G180" s="79">
        <v>0</v>
      </c>
      <c r="H180" s="79" t="s">
        <v>346</v>
      </c>
      <c r="I180" s="79">
        <v>100123</v>
      </c>
      <c r="J180" s="79"/>
      <c r="K180" s="79">
        <v>7</v>
      </c>
      <c r="L180" s="79">
        <v>0</v>
      </c>
      <c r="M180" s="127">
        <v>0</v>
      </c>
      <c r="N180" s="79">
        <v>1</v>
      </c>
      <c r="O180" s="79">
        <v>0</v>
      </c>
      <c r="P180" s="107" t="s">
        <v>347</v>
      </c>
      <c r="Q180" s="93">
        <v>100123</v>
      </c>
      <c r="R180" s="105"/>
    </row>
    <row r="181" spans="1:18" s="178" customFormat="1">
      <c r="A181" s="176">
        <v>100131</v>
      </c>
      <c r="B181" s="176">
        <f t="shared" si="4"/>
        <v>1001311</v>
      </c>
      <c r="C181" s="176" t="s">
        <v>350</v>
      </c>
      <c r="D181" s="176">
        <f t="shared" si="5"/>
        <v>1001312</v>
      </c>
      <c r="E181" s="176" t="s">
        <v>351</v>
      </c>
      <c r="F181" s="176">
        <v>1</v>
      </c>
      <c r="G181" s="176">
        <v>0</v>
      </c>
      <c r="H181" s="176" t="s">
        <v>352</v>
      </c>
      <c r="I181" s="176">
        <v>100131</v>
      </c>
      <c r="J181" s="176"/>
      <c r="K181" s="176">
        <v>5</v>
      </c>
      <c r="L181" s="176">
        <v>0</v>
      </c>
      <c r="M181" s="177">
        <v>0</v>
      </c>
      <c r="N181" s="176">
        <v>1</v>
      </c>
      <c r="O181" s="176">
        <v>0</v>
      </c>
      <c r="P181" s="176"/>
      <c r="Q181" s="176">
        <v>100131</v>
      </c>
      <c r="R181" s="175"/>
    </row>
    <row r="182" spans="1:18" s="106" customFormat="1">
      <c r="A182" s="79">
        <v>100132</v>
      </c>
      <c r="B182" s="79">
        <f t="shared" si="4"/>
        <v>1001321</v>
      </c>
      <c r="C182" s="79" t="s">
        <v>350</v>
      </c>
      <c r="D182" s="79">
        <f t="shared" si="5"/>
        <v>1001322</v>
      </c>
      <c r="E182" s="79" t="s">
        <v>353</v>
      </c>
      <c r="F182" s="79">
        <v>1</v>
      </c>
      <c r="G182" s="79">
        <v>0</v>
      </c>
      <c r="H182" s="79" t="s">
        <v>352</v>
      </c>
      <c r="I182" s="79">
        <v>100132</v>
      </c>
      <c r="J182" s="79"/>
      <c r="K182" s="79">
        <v>6</v>
      </c>
      <c r="L182" s="79">
        <v>0</v>
      </c>
      <c r="M182" s="127">
        <v>0</v>
      </c>
      <c r="N182" s="79">
        <v>1</v>
      </c>
      <c r="O182" s="79">
        <v>0</v>
      </c>
      <c r="P182" s="107"/>
      <c r="Q182" s="79">
        <v>100132</v>
      </c>
      <c r="R182" s="107"/>
    </row>
    <row r="183" spans="1:18" s="106" customFormat="1">
      <c r="A183" s="79">
        <v>100133</v>
      </c>
      <c r="B183" s="79">
        <f t="shared" si="4"/>
        <v>1001331</v>
      </c>
      <c r="C183" s="79" t="s">
        <v>350</v>
      </c>
      <c r="D183" s="79">
        <f t="shared" si="5"/>
        <v>1001332</v>
      </c>
      <c r="E183" s="79" t="s">
        <v>354</v>
      </c>
      <c r="F183" s="79">
        <v>1</v>
      </c>
      <c r="G183" s="79">
        <v>0</v>
      </c>
      <c r="H183" s="79" t="s">
        <v>352</v>
      </c>
      <c r="I183" s="79">
        <v>100133</v>
      </c>
      <c r="J183" s="79"/>
      <c r="K183" s="79">
        <v>7</v>
      </c>
      <c r="L183" s="79">
        <v>0</v>
      </c>
      <c r="M183" s="127">
        <v>0</v>
      </c>
      <c r="N183" s="79">
        <v>1</v>
      </c>
      <c r="O183" s="79">
        <v>0</v>
      </c>
      <c r="P183" s="107"/>
      <c r="Q183" s="79">
        <v>100132</v>
      </c>
      <c r="R183" s="79"/>
    </row>
    <row r="184" spans="1:18" s="178" customFormat="1">
      <c r="A184" s="176">
        <v>100141</v>
      </c>
      <c r="B184" s="176">
        <f t="shared" si="4"/>
        <v>1001411</v>
      </c>
      <c r="C184" s="176" t="s">
        <v>355</v>
      </c>
      <c r="D184" s="176">
        <f t="shared" si="5"/>
        <v>1001412</v>
      </c>
      <c r="E184" s="176" t="s">
        <v>356</v>
      </c>
      <c r="F184" s="176">
        <v>1</v>
      </c>
      <c r="G184" s="176">
        <v>0</v>
      </c>
      <c r="H184" s="176" t="s">
        <v>357</v>
      </c>
      <c r="I184" s="176">
        <v>100141</v>
      </c>
      <c r="J184" s="176"/>
      <c r="K184" s="176">
        <v>5</v>
      </c>
      <c r="L184" s="176">
        <v>0</v>
      </c>
      <c r="M184" s="177">
        <v>0</v>
      </c>
      <c r="N184" s="176">
        <v>1</v>
      </c>
      <c r="O184" s="176">
        <v>0</v>
      </c>
      <c r="P184" s="176"/>
      <c r="Q184" s="176">
        <v>100141</v>
      </c>
      <c r="R184" s="175"/>
    </row>
    <row r="185" spans="1:18" s="178" customFormat="1">
      <c r="A185" s="175">
        <v>100142</v>
      </c>
      <c r="B185" s="175">
        <f t="shared" si="4"/>
        <v>1001421</v>
      </c>
      <c r="C185" s="175" t="s">
        <v>355</v>
      </c>
      <c r="D185" s="175">
        <f t="shared" si="5"/>
        <v>1001422</v>
      </c>
      <c r="E185" s="175" t="s">
        <v>358</v>
      </c>
      <c r="F185" s="175">
        <v>1</v>
      </c>
      <c r="G185" s="175">
        <v>0</v>
      </c>
      <c r="H185" s="175" t="s">
        <v>357</v>
      </c>
      <c r="I185" s="175">
        <v>100142</v>
      </c>
      <c r="J185" s="175"/>
      <c r="K185" s="175">
        <v>6</v>
      </c>
      <c r="L185" s="175">
        <v>0</v>
      </c>
      <c r="M185" s="179">
        <v>0</v>
      </c>
      <c r="N185" s="175">
        <v>1</v>
      </c>
      <c r="O185" s="175">
        <v>0</v>
      </c>
      <c r="P185" s="175"/>
      <c r="Q185" s="175">
        <v>100142</v>
      </c>
      <c r="R185" s="175"/>
    </row>
    <row r="186" spans="1:18" s="176" customFormat="1">
      <c r="A186" s="175">
        <v>100143</v>
      </c>
      <c r="B186" s="175">
        <f t="shared" si="4"/>
        <v>1001431</v>
      </c>
      <c r="C186" s="175" t="s">
        <v>355</v>
      </c>
      <c r="D186" s="175">
        <f t="shared" si="5"/>
        <v>1001432</v>
      </c>
      <c r="E186" s="175" t="s">
        <v>359</v>
      </c>
      <c r="F186" s="175">
        <v>1</v>
      </c>
      <c r="G186" s="175">
        <v>0</v>
      </c>
      <c r="H186" s="175" t="s">
        <v>357</v>
      </c>
      <c r="I186" s="175">
        <v>100143</v>
      </c>
      <c r="J186" s="175"/>
      <c r="K186" s="175">
        <v>7</v>
      </c>
      <c r="L186" s="175">
        <v>0</v>
      </c>
      <c r="M186" s="179">
        <v>0</v>
      </c>
      <c r="N186" s="175">
        <v>1</v>
      </c>
      <c r="O186" s="175">
        <v>0</v>
      </c>
      <c r="P186" s="175"/>
      <c r="Q186" s="175">
        <v>100142</v>
      </c>
      <c r="R186" s="175"/>
    </row>
    <row r="187" spans="1:18" s="106" customFormat="1">
      <c r="A187" s="79">
        <v>100151</v>
      </c>
      <c r="B187" s="79">
        <f t="shared" ref="B187:B231" si="6">A187*10+1</f>
        <v>1001511</v>
      </c>
      <c r="C187" s="79" t="s">
        <v>360</v>
      </c>
      <c r="D187" s="79">
        <f t="shared" ref="D187:D231" si="7">A187*10+2</f>
        <v>1001512</v>
      </c>
      <c r="E187" s="79" t="s">
        <v>361</v>
      </c>
      <c r="F187" s="79">
        <v>1</v>
      </c>
      <c r="G187" s="79">
        <v>0</v>
      </c>
      <c r="H187" s="79" t="s">
        <v>362</v>
      </c>
      <c r="I187" s="79">
        <f>A187</f>
        <v>100151</v>
      </c>
      <c r="J187" s="79"/>
      <c r="K187" s="79">
        <v>2</v>
      </c>
      <c r="L187" s="79">
        <v>0</v>
      </c>
      <c r="M187" s="127">
        <v>0</v>
      </c>
      <c r="N187" s="79">
        <v>1</v>
      </c>
      <c r="O187" s="79">
        <v>0</v>
      </c>
      <c r="P187" s="107"/>
      <c r="Q187" s="79">
        <v>100151</v>
      </c>
      <c r="R187" s="79"/>
    </row>
    <row r="188" spans="1:18" s="106" customFormat="1">
      <c r="A188" s="79">
        <v>100152</v>
      </c>
      <c r="B188" s="79">
        <f t="shared" si="6"/>
        <v>1001521</v>
      </c>
      <c r="C188" s="79" t="s">
        <v>360</v>
      </c>
      <c r="D188" s="79">
        <f t="shared" si="7"/>
        <v>1001522</v>
      </c>
      <c r="E188" s="79" t="s">
        <v>363</v>
      </c>
      <c r="F188" s="79">
        <v>1</v>
      </c>
      <c r="G188" s="79">
        <v>0</v>
      </c>
      <c r="H188" s="79" t="s">
        <v>362</v>
      </c>
      <c r="I188" s="79">
        <f>A188</f>
        <v>100152</v>
      </c>
      <c r="J188" s="79"/>
      <c r="K188" s="79">
        <v>3</v>
      </c>
      <c r="L188" s="79">
        <v>0</v>
      </c>
      <c r="M188" s="127">
        <v>0</v>
      </c>
      <c r="N188" s="79">
        <v>1</v>
      </c>
      <c r="O188" s="79">
        <v>0</v>
      </c>
      <c r="P188" s="107"/>
      <c r="Q188" s="79">
        <v>100151</v>
      </c>
      <c r="R188" s="105"/>
    </row>
    <row r="189" spans="1:18" s="105" customFormat="1">
      <c r="A189" s="79">
        <v>100153</v>
      </c>
      <c r="B189" s="79">
        <f t="shared" si="6"/>
        <v>1001531</v>
      </c>
      <c r="C189" s="79" t="s">
        <v>360</v>
      </c>
      <c r="D189" s="79">
        <f t="shared" si="7"/>
        <v>1001532</v>
      </c>
      <c r="E189" s="79" t="s">
        <v>364</v>
      </c>
      <c r="F189" s="79">
        <v>1</v>
      </c>
      <c r="G189" s="79">
        <v>0</v>
      </c>
      <c r="H189" s="79" t="s">
        <v>362</v>
      </c>
      <c r="I189" s="79">
        <f>A189</f>
        <v>100153</v>
      </c>
      <c r="J189" s="79"/>
      <c r="K189" s="79">
        <v>4</v>
      </c>
      <c r="L189" s="79">
        <v>0</v>
      </c>
      <c r="M189" s="127">
        <v>0</v>
      </c>
      <c r="N189" s="79">
        <v>1</v>
      </c>
      <c r="O189" s="79">
        <v>0</v>
      </c>
      <c r="P189" s="107"/>
      <c r="Q189" s="79">
        <v>100153</v>
      </c>
      <c r="R189" s="79"/>
    </row>
    <row r="190" spans="1:18" s="106" customFormat="1">
      <c r="A190" s="79">
        <v>100161</v>
      </c>
      <c r="B190" s="79">
        <f t="shared" si="6"/>
        <v>1001611</v>
      </c>
      <c r="C190" s="79" t="s">
        <v>365</v>
      </c>
      <c r="D190" s="79">
        <f t="shared" si="7"/>
        <v>1001612</v>
      </c>
      <c r="E190" s="79" t="s">
        <v>366</v>
      </c>
      <c r="F190" s="79">
        <v>1</v>
      </c>
      <c r="G190" s="79">
        <v>0</v>
      </c>
      <c r="H190" s="79" t="s">
        <v>367</v>
      </c>
      <c r="I190" s="79">
        <f>A190</f>
        <v>100161</v>
      </c>
      <c r="J190" s="79"/>
      <c r="K190" s="79">
        <v>4</v>
      </c>
      <c r="L190" s="79">
        <v>0</v>
      </c>
      <c r="M190" s="127">
        <v>0</v>
      </c>
      <c r="N190" s="79">
        <v>1</v>
      </c>
      <c r="O190" s="79">
        <v>0</v>
      </c>
      <c r="P190" s="107"/>
      <c r="Q190" s="79">
        <v>100161</v>
      </c>
      <c r="R190" s="79"/>
    </row>
    <row r="191" spans="1:18" s="178" customFormat="1">
      <c r="A191" s="176">
        <v>100162</v>
      </c>
      <c r="B191" s="176">
        <f t="shared" si="6"/>
        <v>1001621</v>
      </c>
      <c r="C191" s="176" t="s">
        <v>365</v>
      </c>
      <c r="D191" s="176">
        <f t="shared" si="7"/>
        <v>1001622</v>
      </c>
      <c r="E191" s="176" t="s">
        <v>368</v>
      </c>
      <c r="F191" s="176">
        <v>1</v>
      </c>
      <c r="G191" s="176">
        <v>0</v>
      </c>
      <c r="H191" s="176" t="s">
        <v>367</v>
      </c>
      <c r="I191" s="176">
        <f>A191</f>
        <v>100162</v>
      </c>
      <c r="J191" s="176"/>
      <c r="K191" s="176">
        <v>5</v>
      </c>
      <c r="L191" s="176">
        <v>0</v>
      </c>
      <c r="M191" s="177">
        <v>0</v>
      </c>
      <c r="N191" s="176">
        <v>1</v>
      </c>
      <c r="O191" s="176">
        <v>0</v>
      </c>
      <c r="P191" s="176"/>
      <c r="Q191" s="176">
        <v>100162</v>
      </c>
      <c r="R191" s="175"/>
    </row>
    <row r="192" spans="1:18" s="106" customFormat="1">
      <c r="A192" s="79">
        <v>100171</v>
      </c>
      <c r="B192" s="79">
        <f t="shared" si="6"/>
        <v>1001711</v>
      </c>
      <c r="C192" s="79" t="s">
        <v>369</v>
      </c>
      <c r="D192" s="79">
        <f t="shared" si="7"/>
        <v>1001712</v>
      </c>
      <c r="E192" s="79" t="s">
        <v>370</v>
      </c>
      <c r="F192" s="79">
        <v>1</v>
      </c>
      <c r="G192" s="79">
        <v>0</v>
      </c>
      <c r="H192" s="79" t="s">
        <v>371</v>
      </c>
      <c r="I192" s="79">
        <f t="shared" ref="I192:I208" si="8">A192</f>
        <v>100171</v>
      </c>
      <c r="J192" s="79"/>
      <c r="K192" s="79">
        <v>3</v>
      </c>
      <c r="L192" s="79">
        <v>0</v>
      </c>
      <c r="M192" s="127">
        <v>0</v>
      </c>
      <c r="N192" s="79">
        <v>1</v>
      </c>
      <c r="O192" s="79">
        <v>0</v>
      </c>
      <c r="P192" s="107"/>
      <c r="Q192" s="79">
        <v>100171</v>
      </c>
      <c r="R192" s="79"/>
    </row>
    <row r="193" spans="1:18" s="106" customFormat="1">
      <c r="A193" s="79">
        <v>100172</v>
      </c>
      <c r="B193" s="79">
        <f t="shared" si="6"/>
        <v>1001721</v>
      </c>
      <c r="C193" s="79" t="s">
        <v>369</v>
      </c>
      <c r="D193" s="79">
        <f t="shared" si="7"/>
        <v>1001722</v>
      </c>
      <c r="E193" s="79" t="s">
        <v>372</v>
      </c>
      <c r="F193" s="79">
        <v>1</v>
      </c>
      <c r="G193" s="79">
        <v>0</v>
      </c>
      <c r="H193" s="79" t="s">
        <v>371</v>
      </c>
      <c r="I193" s="79">
        <f t="shared" si="8"/>
        <v>100172</v>
      </c>
      <c r="J193" s="79"/>
      <c r="K193" s="79">
        <v>4</v>
      </c>
      <c r="L193" s="79">
        <v>0</v>
      </c>
      <c r="M193" s="127">
        <v>0</v>
      </c>
      <c r="N193" s="79">
        <v>1</v>
      </c>
      <c r="O193" s="79">
        <v>0</v>
      </c>
      <c r="P193" s="107"/>
      <c r="Q193" s="79">
        <v>100171</v>
      </c>
      <c r="R193" s="79"/>
    </row>
    <row r="194" spans="1:18" s="178" customFormat="1">
      <c r="A194" s="176">
        <v>100173</v>
      </c>
      <c r="B194" s="176">
        <f t="shared" si="6"/>
        <v>1001731</v>
      </c>
      <c r="C194" s="176" t="s">
        <v>369</v>
      </c>
      <c r="D194" s="176">
        <f t="shared" si="7"/>
        <v>1001732</v>
      </c>
      <c r="E194" s="176" t="s">
        <v>373</v>
      </c>
      <c r="F194" s="176">
        <v>1</v>
      </c>
      <c r="G194" s="176">
        <v>0</v>
      </c>
      <c r="H194" s="176" t="s">
        <v>371</v>
      </c>
      <c r="I194" s="176">
        <f t="shared" si="8"/>
        <v>100173</v>
      </c>
      <c r="J194" s="176"/>
      <c r="K194" s="176">
        <v>5</v>
      </c>
      <c r="L194" s="176">
        <v>0</v>
      </c>
      <c r="M194" s="177">
        <v>0</v>
      </c>
      <c r="N194" s="176">
        <v>1</v>
      </c>
      <c r="O194" s="176">
        <v>0</v>
      </c>
      <c r="P194" s="176"/>
      <c r="Q194" s="176">
        <v>100173</v>
      </c>
      <c r="R194" s="175"/>
    </row>
    <row r="195" spans="1:18" s="106" customFormat="1">
      <c r="A195" s="79">
        <v>100174</v>
      </c>
      <c r="B195" s="79">
        <f t="shared" si="6"/>
        <v>1001741</v>
      </c>
      <c r="C195" s="79" t="s">
        <v>369</v>
      </c>
      <c r="D195" s="79">
        <f t="shared" si="7"/>
        <v>1001742</v>
      </c>
      <c r="E195" s="79" t="s">
        <v>374</v>
      </c>
      <c r="F195" s="79">
        <v>1</v>
      </c>
      <c r="G195" s="79">
        <v>0</v>
      </c>
      <c r="H195" s="79" t="s">
        <v>371</v>
      </c>
      <c r="I195" s="79">
        <f t="shared" si="8"/>
        <v>100174</v>
      </c>
      <c r="J195" s="79"/>
      <c r="K195" s="79">
        <v>6</v>
      </c>
      <c r="L195" s="79">
        <v>0</v>
      </c>
      <c r="M195" s="127">
        <v>0</v>
      </c>
      <c r="N195" s="79">
        <v>1</v>
      </c>
      <c r="O195" s="79">
        <v>0</v>
      </c>
      <c r="P195" s="107"/>
      <c r="Q195" s="79">
        <v>100173</v>
      </c>
      <c r="R195" s="79"/>
    </row>
    <row r="196" spans="1:18" s="106" customFormat="1">
      <c r="A196" s="79">
        <v>100175</v>
      </c>
      <c r="B196" s="79">
        <f t="shared" si="6"/>
        <v>1001751</v>
      </c>
      <c r="C196" s="79" t="s">
        <v>369</v>
      </c>
      <c r="D196" s="79">
        <f t="shared" si="7"/>
        <v>1001752</v>
      </c>
      <c r="E196" s="79" t="s">
        <v>375</v>
      </c>
      <c r="F196" s="79">
        <v>1</v>
      </c>
      <c r="G196" s="79">
        <v>0</v>
      </c>
      <c r="H196" s="79" t="s">
        <v>371</v>
      </c>
      <c r="I196" s="79">
        <f t="shared" si="8"/>
        <v>100175</v>
      </c>
      <c r="J196" s="79"/>
      <c r="K196" s="79">
        <v>7</v>
      </c>
      <c r="L196" s="79">
        <v>0</v>
      </c>
      <c r="M196" s="127">
        <v>0</v>
      </c>
      <c r="N196" s="79">
        <v>1</v>
      </c>
      <c r="O196" s="79">
        <v>0</v>
      </c>
      <c r="P196" s="107"/>
      <c r="Q196" s="79">
        <v>100173</v>
      </c>
      <c r="R196" s="79"/>
    </row>
    <row r="197" spans="1:18" s="106" customFormat="1">
      <c r="A197" s="79">
        <v>100181</v>
      </c>
      <c r="B197" s="79">
        <f t="shared" si="6"/>
        <v>1001811</v>
      </c>
      <c r="C197" s="79" t="s">
        <v>376</v>
      </c>
      <c r="D197" s="79">
        <f t="shared" si="7"/>
        <v>1001812</v>
      </c>
      <c r="E197" s="79" t="s">
        <v>377</v>
      </c>
      <c r="F197" s="79">
        <v>1</v>
      </c>
      <c r="G197" s="79">
        <v>0</v>
      </c>
      <c r="H197" s="79" t="s">
        <v>378</v>
      </c>
      <c r="I197" s="79">
        <f t="shared" si="8"/>
        <v>100181</v>
      </c>
      <c r="J197" s="79"/>
      <c r="K197" s="79">
        <v>6</v>
      </c>
      <c r="L197" s="79">
        <v>0</v>
      </c>
      <c r="M197" s="127">
        <v>0</v>
      </c>
      <c r="N197" s="79">
        <v>1</v>
      </c>
      <c r="O197" s="79">
        <v>0</v>
      </c>
      <c r="P197" s="107"/>
      <c r="Q197" s="79">
        <v>100181</v>
      </c>
      <c r="R197" s="79"/>
    </row>
    <row r="198" spans="1:18" s="106" customFormat="1">
      <c r="A198" s="79">
        <v>100191</v>
      </c>
      <c r="B198" s="79">
        <f t="shared" si="6"/>
        <v>1001911</v>
      </c>
      <c r="C198" s="79" t="s">
        <v>379</v>
      </c>
      <c r="D198" s="79">
        <f t="shared" si="7"/>
        <v>1001912</v>
      </c>
      <c r="E198" s="79" t="s">
        <v>380</v>
      </c>
      <c r="F198" s="79">
        <v>1</v>
      </c>
      <c r="G198" s="79">
        <v>0</v>
      </c>
      <c r="H198" s="79" t="s">
        <v>381</v>
      </c>
      <c r="I198" s="79">
        <f t="shared" si="8"/>
        <v>100191</v>
      </c>
      <c r="J198" s="79"/>
      <c r="K198" s="79">
        <v>3</v>
      </c>
      <c r="L198" s="79">
        <v>0</v>
      </c>
      <c r="M198" s="127">
        <v>0</v>
      </c>
      <c r="N198" s="79">
        <v>1</v>
      </c>
      <c r="O198" s="79">
        <v>0</v>
      </c>
      <c r="P198" s="107"/>
      <c r="Q198" s="79">
        <v>100191</v>
      </c>
      <c r="R198" s="79"/>
    </row>
    <row r="199" spans="1:18" s="106" customFormat="1">
      <c r="A199" s="79">
        <v>100192</v>
      </c>
      <c r="B199" s="79">
        <f t="shared" si="6"/>
        <v>1001921</v>
      </c>
      <c r="C199" s="79" t="s">
        <v>379</v>
      </c>
      <c r="D199" s="79">
        <f t="shared" si="7"/>
        <v>1001922</v>
      </c>
      <c r="E199" s="79" t="s">
        <v>382</v>
      </c>
      <c r="F199" s="79">
        <v>1</v>
      </c>
      <c r="G199" s="79">
        <v>0</v>
      </c>
      <c r="H199" s="79" t="s">
        <v>381</v>
      </c>
      <c r="I199" s="79">
        <f t="shared" si="8"/>
        <v>100192</v>
      </c>
      <c r="J199" s="79"/>
      <c r="K199" s="79">
        <v>4</v>
      </c>
      <c r="L199" s="79">
        <v>0</v>
      </c>
      <c r="M199" s="127">
        <v>0</v>
      </c>
      <c r="N199" s="79">
        <v>1</v>
      </c>
      <c r="O199" s="79">
        <v>0</v>
      </c>
      <c r="P199" s="105"/>
      <c r="Q199" s="79">
        <v>100191</v>
      </c>
      <c r="R199" s="79"/>
    </row>
    <row r="200" spans="1:18" s="178" customFormat="1">
      <c r="A200" s="176">
        <v>100193</v>
      </c>
      <c r="B200" s="176">
        <f t="shared" si="6"/>
        <v>1001931</v>
      </c>
      <c r="C200" s="176" t="s">
        <v>379</v>
      </c>
      <c r="D200" s="176">
        <f t="shared" si="7"/>
        <v>1001932</v>
      </c>
      <c r="E200" s="176" t="s">
        <v>383</v>
      </c>
      <c r="F200" s="176">
        <v>1</v>
      </c>
      <c r="G200" s="176">
        <v>0</v>
      </c>
      <c r="H200" s="176" t="s">
        <v>381</v>
      </c>
      <c r="I200" s="176">
        <f t="shared" si="8"/>
        <v>100193</v>
      </c>
      <c r="J200" s="176"/>
      <c r="K200" s="176">
        <v>5</v>
      </c>
      <c r="L200" s="176">
        <v>0</v>
      </c>
      <c r="M200" s="177">
        <v>0</v>
      </c>
      <c r="N200" s="176">
        <v>1</v>
      </c>
      <c r="O200" s="176">
        <v>0</v>
      </c>
      <c r="P200" s="175"/>
      <c r="Q200" s="176">
        <v>100193</v>
      </c>
      <c r="R200" s="175"/>
    </row>
    <row r="201" spans="1:18" s="106" customFormat="1">
      <c r="A201" s="79">
        <v>100194</v>
      </c>
      <c r="B201" s="79">
        <f t="shared" si="6"/>
        <v>1001941</v>
      </c>
      <c r="C201" s="79" t="s">
        <v>379</v>
      </c>
      <c r="D201" s="79">
        <f t="shared" si="7"/>
        <v>1001942</v>
      </c>
      <c r="E201" s="79" t="s">
        <v>384</v>
      </c>
      <c r="F201" s="79">
        <v>1</v>
      </c>
      <c r="G201" s="79">
        <v>0</v>
      </c>
      <c r="H201" s="79" t="s">
        <v>381</v>
      </c>
      <c r="I201" s="79">
        <f t="shared" si="8"/>
        <v>100194</v>
      </c>
      <c r="J201" s="79"/>
      <c r="K201" s="79">
        <v>6</v>
      </c>
      <c r="L201" s="79">
        <v>0</v>
      </c>
      <c r="M201" s="127">
        <v>0</v>
      </c>
      <c r="N201" s="79">
        <v>1</v>
      </c>
      <c r="O201" s="79">
        <v>0</v>
      </c>
      <c r="P201" s="107"/>
      <c r="Q201" s="79">
        <v>100193</v>
      </c>
      <c r="R201" s="79"/>
    </row>
    <row r="202" spans="1:18" s="106" customFormat="1">
      <c r="A202" s="79">
        <v>100195</v>
      </c>
      <c r="B202" s="79">
        <f t="shared" si="6"/>
        <v>1001951</v>
      </c>
      <c r="C202" s="79" t="s">
        <v>379</v>
      </c>
      <c r="D202" s="79">
        <f t="shared" si="7"/>
        <v>1001952</v>
      </c>
      <c r="E202" s="79" t="s">
        <v>385</v>
      </c>
      <c r="F202" s="79">
        <v>1</v>
      </c>
      <c r="G202" s="79">
        <v>0</v>
      </c>
      <c r="H202" s="79" t="s">
        <v>381</v>
      </c>
      <c r="I202" s="79">
        <f t="shared" si="8"/>
        <v>100195</v>
      </c>
      <c r="J202" s="79"/>
      <c r="K202" s="79">
        <v>7</v>
      </c>
      <c r="L202" s="79">
        <v>0</v>
      </c>
      <c r="M202" s="127">
        <v>0</v>
      </c>
      <c r="N202" s="79">
        <v>1</v>
      </c>
      <c r="O202" s="79">
        <v>0</v>
      </c>
      <c r="P202" s="107"/>
      <c r="Q202" s="79">
        <v>100193</v>
      </c>
      <c r="R202" s="79"/>
    </row>
    <row r="203" spans="1:18" s="178" customFormat="1">
      <c r="A203" s="176">
        <v>100201</v>
      </c>
      <c r="B203" s="176">
        <f t="shared" si="6"/>
        <v>1002011</v>
      </c>
      <c r="C203" s="176" t="s">
        <v>386</v>
      </c>
      <c r="D203" s="176">
        <f t="shared" si="7"/>
        <v>1002012</v>
      </c>
      <c r="E203" s="176" t="s">
        <v>387</v>
      </c>
      <c r="F203" s="176">
        <v>1</v>
      </c>
      <c r="G203" s="176">
        <v>0</v>
      </c>
      <c r="H203" s="176" t="s">
        <v>388</v>
      </c>
      <c r="I203" s="176">
        <f t="shared" si="8"/>
        <v>100201</v>
      </c>
      <c r="J203" s="176"/>
      <c r="K203" s="176">
        <v>5</v>
      </c>
      <c r="L203" s="176">
        <v>0</v>
      </c>
      <c r="M203" s="177">
        <v>0</v>
      </c>
      <c r="N203" s="176">
        <v>1</v>
      </c>
      <c r="O203" s="176">
        <v>0</v>
      </c>
      <c r="P203" s="175"/>
      <c r="Q203" s="175">
        <v>100201</v>
      </c>
      <c r="R203" s="175"/>
    </row>
    <row r="204" spans="1:18" s="106" customFormat="1">
      <c r="A204" s="79">
        <v>100202</v>
      </c>
      <c r="B204" s="79">
        <f t="shared" si="6"/>
        <v>1002021</v>
      </c>
      <c r="C204" s="79" t="s">
        <v>386</v>
      </c>
      <c r="D204" s="79">
        <f t="shared" si="7"/>
        <v>1002022</v>
      </c>
      <c r="E204" s="79" t="s">
        <v>389</v>
      </c>
      <c r="F204" s="79">
        <v>1</v>
      </c>
      <c r="G204" s="79">
        <v>0</v>
      </c>
      <c r="H204" s="79" t="s">
        <v>388</v>
      </c>
      <c r="I204" s="79">
        <f t="shared" si="8"/>
        <v>100202</v>
      </c>
      <c r="J204" s="79"/>
      <c r="K204" s="79">
        <v>6</v>
      </c>
      <c r="L204" s="79">
        <v>0</v>
      </c>
      <c r="M204" s="127">
        <v>0</v>
      </c>
      <c r="N204" s="79">
        <v>1</v>
      </c>
      <c r="O204" s="79">
        <v>0</v>
      </c>
      <c r="P204" s="107"/>
      <c r="Q204" s="79">
        <v>100201</v>
      </c>
      <c r="R204" s="79"/>
    </row>
    <row r="205" spans="1:18" s="106" customFormat="1">
      <c r="A205" s="79">
        <v>100203</v>
      </c>
      <c r="B205" s="79">
        <f t="shared" si="6"/>
        <v>1002031</v>
      </c>
      <c r="C205" s="79" t="s">
        <v>386</v>
      </c>
      <c r="D205" s="79">
        <f t="shared" si="7"/>
        <v>1002032</v>
      </c>
      <c r="E205" s="79" t="s">
        <v>390</v>
      </c>
      <c r="F205" s="79">
        <v>1</v>
      </c>
      <c r="G205" s="79">
        <v>0</v>
      </c>
      <c r="H205" s="79" t="s">
        <v>388</v>
      </c>
      <c r="I205" s="79">
        <f t="shared" si="8"/>
        <v>100203</v>
      </c>
      <c r="J205" s="79"/>
      <c r="K205" s="79">
        <v>7</v>
      </c>
      <c r="L205" s="79">
        <v>0</v>
      </c>
      <c r="M205" s="127">
        <v>0</v>
      </c>
      <c r="N205" s="79">
        <v>1</v>
      </c>
      <c r="O205" s="79">
        <v>0</v>
      </c>
      <c r="P205" s="107"/>
      <c r="Q205" s="79">
        <v>100201</v>
      </c>
      <c r="R205" s="79"/>
    </row>
    <row r="206" spans="1:18" s="106" customFormat="1">
      <c r="A206" s="79">
        <v>100221</v>
      </c>
      <c r="B206" s="79">
        <f t="shared" si="6"/>
        <v>1002211</v>
      </c>
      <c r="C206" s="79" t="s">
        <v>391</v>
      </c>
      <c r="D206" s="79">
        <f t="shared" si="7"/>
        <v>1002212</v>
      </c>
      <c r="E206" s="79" t="s">
        <v>392</v>
      </c>
      <c r="F206" s="79">
        <v>1</v>
      </c>
      <c r="G206" s="79">
        <v>0</v>
      </c>
      <c r="H206" s="79" t="s">
        <v>393</v>
      </c>
      <c r="I206" s="79">
        <f t="shared" si="8"/>
        <v>100221</v>
      </c>
      <c r="J206" s="79"/>
      <c r="K206" s="79">
        <v>4</v>
      </c>
      <c r="L206" s="79">
        <v>0</v>
      </c>
      <c r="M206" s="127">
        <v>0</v>
      </c>
      <c r="N206" s="79">
        <v>1</v>
      </c>
      <c r="O206" s="79">
        <v>0</v>
      </c>
      <c r="P206" s="107"/>
      <c r="Q206" s="79">
        <v>100221</v>
      </c>
      <c r="R206" s="79"/>
    </row>
    <row r="207" spans="1:18" s="106" customFormat="1">
      <c r="A207" s="79">
        <v>100222</v>
      </c>
      <c r="B207" s="79">
        <f t="shared" si="6"/>
        <v>1002221</v>
      </c>
      <c r="C207" s="79" t="s">
        <v>391</v>
      </c>
      <c r="D207" s="79">
        <f t="shared" si="7"/>
        <v>1002222</v>
      </c>
      <c r="E207" s="79" t="s">
        <v>394</v>
      </c>
      <c r="F207" s="79">
        <v>1</v>
      </c>
      <c r="G207" s="79">
        <v>0</v>
      </c>
      <c r="H207" s="79" t="s">
        <v>393</v>
      </c>
      <c r="I207" s="79">
        <f t="shared" si="8"/>
        <v>100222</v>
      </c>
      <c r="J207" s="79"/>
      <c r="K207" s="79">
        <v>5</v>
      </c>
      <c r="L207" s="79">
        <v>0</v>
      </c>
      <c r="M207" s="127">
        <v>0</v>
      </c>
      <c r="N207" s="79">
        <v>1</v>
      </c>
      <c r="O207" s="79">
        <v>0</v>
      </c>
      <c r="P207" s="107"/>
      <c r="Q207" s="79">
        <v>100222</v>
      </c>
      <c r="R207" s="79"/>
    </row>
    <row r="208" spans="1:18" s="106" customFormat="1">
      <c r="A208" s="79">
        <v>100223</v>
      </c>
      <c r="B208" s="79">
        <f t="shared" si="6"/>
        <v>1002231</v>
      </c>
      <c r="C208" s="79" t="s">
        <v>391</v>
      </c>
      <c r="D208" s="79">
        <f t="shared" si="7"/>
        <v>1002232</v>
      </c>
      <c r="E208" s="79" t="s">
        <v>395</v>
      </c>
      <c r="F208" s="79">
        <v>1</v>
      </c>
      <c r="G208" s="79">
        <v>0</v>
      </c>
      <c r="H208" s="79" t="s">
        <v>393</v>
      </c>
      <c r="I208" s="79">
        <f t="shared" si="8"/>
        <v>100223</v>
      </c>
      <c r="J208" s="79"/>
      <c r="K208" s="79">
        <v>6</v>
      </c>
      <c r="L208" s="79">
        <v>0</v>
      </c>
      <c r="M208" s="127">
        <v>0</v>
      </c>
      <c r="N208" s="79">
        <v>1</v>
      </c>
      <c r="O208" s="79">
        <v>0</v>
      </c>
      <c r="P208" s="107"/>
      <c r="Q208" s="79">
        <v>100222</v>
      </c>
      <c r="R208" s="79"/>
    </row>
    <row r="209" spans="1:18" s="106" customFormat="1">
      <c r="A209" s="79">
        <v>100231</v>
      </c>
      <c r="B209" s="79">
        <f t="shared" si="6"/>
        <v>1002311</v>
      </c>
      <c r="C209" s="79" t="s">
        <v>396</v>
      </c>
      <c r="D209" s="79">
        <f t="shared" si="7"/>
        <v>1002312</v>
      </c>
      <c r="E209" s="79" t="s">
        <v>397</v>
      </c>
      <c r="F209" s="79">
        <v>1</v>
      </c>
      <c r="G209" s="79">
        <v>0</v>
      </c>
      <c r="H209" s="79" t="s">
        <v>398</v>
      </c>
      <c r="I209" s="79">
        <f t="shared" ref="I209:I217" si="9">A209</f>
        <v>100231</v>
      </c>
      <c r="J209" s="79"/>
      <c r="K209" s="79">
        <v>4</v>
      </c>
      <c r="L209" s="79">
        <v>0</v>
      </c>
      <c r="M209" s="127">
        <v>0</v>
      </c>
      <c r="N209" s="79">
        <v>1</v>
      </c>
      <c r="O209" s="79">
        <v>0</v>
      </c>
      <c r="P209" s="107"/>
      <c r="Q209" s="79">
        <v>100231</v>
      </c>
      <c r="R209" s="79"/>
    </row>
    <row r="210" spans="1:18" s="106" customFormat="1">
      <c r="A210" s="79">
        <v>100232</v>
      </c>
      <c r="B210" s="79">
        <f t="shared" si="6"/>
        <v>1002321</v>
      </c>
      <c r="C210" s="79" t="s">
        <v>396</v>
      </c>
      <c r="D210" s="79">
        <f t="shared" si="7"/>
        <v>1002322</v>
      </c>
      <c r="E210" s="79" t="s">
        <v>399</v>
      </c>
      <c r="F210" s="79">
        <v>1</v>
      </c>
      <c r="G210" s="79">
        <v>0</v>
      </c>
      <c r="H210" s="79" t="s">
        <v>398</v>
      </c>
      <c r="I210" s="79">
        <f t="shared" si="9"/>
        <v>100232</v>
      </c>
      <c r="J210" s="79"/>
      <c r="K210" s="79">
        <v>5</v>
      </c>
      <c r="L210" s="79">
        <v>0</v>
      </c>
      <c r="M210" s="127">
        <v>0</v>
      </c>
      <c r="N210" s="79">
        <v>1</v>
      </c>
      <c r="O210" s="79">
        <v>0</v>
      </c>
      <c r="P210" s="107"/>
      <c r="Q210" s="79">
        <v>100232</v>
      </c>
      <c r="R210" s="79"/>
    </row>
    <row r="211" spans="1:18" s="178" customFormat="1">
      <c r="A211" s="175">
        <v>100240</v>
      </c>
      <c r="B211" s="175">
        <f>A211*10+1</f>
        <v>1002401</v>
      </c>
      <c r="C211" s="175" t="s">
        <v>400</v>
      </c>
      <c r="D211" s="175">
        <f t="shared" ref="D211" si="10">A211*10+2</f>
        <v>1002402</v>
      </c>
      <c r="E211" s="175" t="s">
        <v>5705</v>
      </c>
      <c r="F211" s="175">
        <v>1</v>
      </c>
      <c r="G211" s="175">
        <v>0</v>
      </c>
      <c r="H211" s="175" t="s">
        <v>402</v>
      </c>
      <c r="I211" s="175">
        <f t="shared" ref="I211" si="11">A211</f>
        <v>100240</v>
      </c>
      <c r="J211" s="175"/>
      <c r="K211" s="175">
        <v>3</v>
      </c>
      <c r="L211" s="175">
        <v>0</v>
      </c>
      <c r="M211" s="179">
        <v>0</v>
      </c>
      <c r="N211" s="175">
        <v>1</v>
      </c>
      <c r="O211" s="175">
        <v>0</v>
      </c>
      <c r="P211" s="175"/>
      <c r="Q211" s="175">
        <v>100240</v>
      </c>
      <c r="R211" s="175"/>
    </row>
    <row r="212" spans="1:18" s="106" customFormat="1">
      <c r="A212" s="79">
        <v>100241</v>
      </c>
      <c r="B212" s="79">
        <f t="shared" si="6"/>
        <v>1002411</v>
      </c>
      <c r="C212" s="79" t="s">
        <v>400</v>
      </c>
      <c r="D212" s="79">
        <f t="shared" si="7"/>
        <v>1002412</v>
      </c>
      <c r="E212" s="79" t="s">
        <v>401</v>
      </c>
      <c r="F212" s="79">
        <v>1</v>
      </c>
      <c r="G212" s="79">
        <v>0</v>
      </c>
      <c r="H212" s="79" t="s">
        <v>402</v>
      </c>
      <c r="I212" s="79">
        <f t="shared" si="9"/>
        <v>100241</v>
      </c>
      <c r="J212" s="79"/>
      <c r="K212" s="79">
        <v>4</v>
      </c>
      <c r="L212" s="79">
        <v>0</v>
      </c>
      <c r="M212" s="127">
        <v>0</v>
      </c>
      <c r="N212" s="79">
        <v>1</v>
      </c>
      <c r="O212" s="79">
        <v>0</v>
      </c>
      <c r="P212" s="107"/>
      <c r="Q212" s="79">
        <v>100241</v>
      </c>
      <c r="R212" s="79"/>
    </row>
    <row r="213" spans="1:18" s="106" customFormat="1">
      <c r="A213" s="79">
        <v>100242</v>
      </c>
      <c r="B213" s="79">
        <f t="shared" si="6"/>
        <v>1002421</v>
      </c>
      <c r="C213" s="79" t="s">
        <v>400</v>
      </c>
      <c r="D213" s="79">
        <f t="shared" si="7"/>
        <v>1002422</v>
      </c>
      <c r="E213" s="79" t="s">
        <v>403</v>
      </c>
      <c r="F213" s="79">
        <v>1</v>
      </c>
      <c r="G213" s="79">
        <v>0</v>
      </c>
      <c r="H213" s="79" t="s">
        <v>402</v>
      </c>
      <c r="I213" s="79">
        <f t="shared" si="9"/>
        <v>100242</v>
      </c>
      <c r="J213" s="79"/>
      <c r="K213" s="79">
        <v>5</v>
      </c>
      <c r="L213" s="79">
        <v>0</v>
      </c>
      <c r="M213" s="127">
        <v>0</v>
      </c>
      <c r="N213" s="79">
        <v>1</v>
      </c>
      <c r="O213" s="79">
        <v>0</v>
      </c>
      <c r="P213" s="107"/>
      <c r="Q213" s="79">
        <v>100242</v>
      </c>
      <c r="R213" s="79"/>
    </row>
    <row r="214" spans="1:18" s="106" customFormat="1">
      <c r="A214" s="79">
        <v>100251</v>
      </c>
      <c r="B214" s="79">
        <f t="shared" si="6"/>
        <v>1002511</v>
      </c>
      <c r="C214" s="79" t="s">
        <v>404</v>
      </c>
      <c r="D214" s="79">
        <f t="shared" si="7"/>
        <v>1002512</v>
      </c>
      <c r="E214" s="79" t="s">
        <v>405</v>
      </c>
      <c r="F214" s="79">
        <v>1</v>
      </c>
      <c r="G214" s="79">
        <v>0</v>
      </c>
      <c r="H214" s="79" t="s">
        <v>406</v>
      </c>
      <c r="I214" s="79">
        <f t="shared" si="9"/>
        <v>100251</v>
      </c>
      <c r="J214" s="79"/>
      <c r="K214" s="79">
        <v>3</v>
      </c>
      <c r="L214" s="79">
        <v>0</v>
      </c>
      <c r="M214" s="127">
        <v>0</v>
      </c>
      <c r="N214" s="79">
        <v>1</v>
      </c>
      <c r="O214" s="79">
        <v>0</v>
      </c>
      <c r="P214" s="107"/>
      <c r="Q214" s="79">
        <v>100251</v>
      </c>
      <c r="R214" s="79"/>
    </row>
    <row r="215" spans="1:18" s="106" customFormat="1">
      <c r="A215" s="79">
        <v>100252</v>
      </c>
      <c r="B215" s="79">
        <f t="shared" si="6"/>
        <v>1002521</v>
      </c>
      <c r="C215" s="79" t="s">
        <v>404</v>
      </c>
      <c r="D215" s="79">
        <f t="shared" si="7"/>
        <v>1002522</v>
      </c>
      <c r="E215" s="79" t="s">
        <v>407</v>
      </c>
      <c r="F215" s="79">
        <v>1</v>
      </c>
      <c r="G215" s="79">
        <v>0</v>
      </c>
      <c r="H215" s="79" t="s">
        <v>406</v>
      </c>
      <c r="I215" s="79">
        <f t="shared" si="9"/>
        <v>100252</v>
      </c>
      <c r="J215" s="79"/>
      <c r="K215" s="79">
        <v>4</v>
      </c>
      <c r="L215" s="79">
        <v>0</v>
      </c>
      <c r="M215" s="127">
        <v>0</v>
      </c>
      <c r="N215" s="79">
        <v>1</v>
      </c>
      <c r="O215" s="79">
        <v>0</v>
      </c>
      <c r="P215" s="107"/>
      <c r="Q215" s="79">
        <v>100251</v>
      </c>
      <c r="R215" s="79"/>
    </row>
    <row r="216" spans="1:18" s="106" customFormat="1">
      <c r="A216" s="79">
        <v>100253</v>
      </c>
      <c r="B216" s="79">
        <f t="shared" si="6"/>
        <v>1002531</v>
      </c>
      <c r="C216" s="79" t="s">
        <v>404</v>
      </c>
      <c r="D216" s="79">
        <f t="shared" si="7"/>
        <v>1002532</v>
      </c>
      <c r="E216" s="79" t="s">
        <v>408</v>
      </c>
      <c r="F216" s="79">
        <v>1</v>
      </c>
      <c r="G216" s="79">
        <v>0</v>
      </c>
      <c r="H216" s="79" t="s">
        <v>406</v>
      </c>
      <c r="I216" s="79">
        <f t="shared" si="9"/>
        <v>100253</v>
      </c>
      <c r="J216" s="79"/>
      <c r="K216" s="79">
        <v>5</v>
      </c>
      <c r="L216" s="79">
        <v>0</v>
      </c>
      <c r="M216" s="127">
        <v>0</v>
      </c>
      <c r="N216" s="79">
        <v>1</v>
      </c>
      <c r="O216" s="79">
        <v>0</v>
      </c>
      <c r="P216" s="107"/>
      <c r="Q216" s="79">
        <v>100253</v>
      </c>
      <c r="R216" s="79"/>
    </row>
    <row r="217" spans="1:18" s="106" customFormat="1">
      <c r="A217" s="79">
        <v>100254</v>
      </c>
      <c r="B217" s="79">
        <f t="shared" si="6"/>
        <v>1002541</v>
      </c>
      <c r="C217" s="79" t="s">
        <v>404</v>
      </c>
      <c r="D217" s="79">
        <f t="shared" si="7"/>
        <v>1002542</v>
      </c>
      <c r="E217" s="79" t="s">
        <v>409</v>
      </c>
      <c r="F217" s="79">
        <v>1</v>
      </c>
      <c r="G217" s="79">
        <v>0</v>
      </c>
      <c r="H217" s="79" t="s">
        <v>406</v>
      </c>
      <c r="I217" s="79">
        <f t="shared" si="9"/>
        <v>100254</v>
      </c>
      <c r="J217" s="79"/>
      <c r="K217" s="79">
        <v>6</v>
      </c>
      <c r="L217" s="79">
        <v>0</v>
      </c>
      <c r="M217" s="127">
        <v>0</v>
      </c>
      <c r="N217" s="79">
        <v>1</v>
      </c>
      <c r="O217" s="79">
        <v>0</v>
      </c>
      <c r="P217" s="107"/>
      <c r="Q217" s="79">
        <v>100253</v>
      </c>
      <c r="R217" s="79"/>
    </row>
    <row r="218" spans="1:18" s="106" customFormat="1">
      <c r="A218" s="79">
        <v>100256</v>
      </c>
      <c r="B218" s="79">
        <f t="shared" si="6"/>
        <v>1002561</v>
      </c>
      <c r="C218" s="79" t="s">
        <v>404</v>
      </c>
      <c r="D218" s="79">
        <f t="shared" si="7"/>
        <v>1002562</v>
      </c>
      <c r="E218" s="79" t="s">
        <v>410</v>
      </c>
      <c r="F218" s="79">
        <v>1</v>
      </c>
      <c r="G218" s="79">
        <v>0</v>
      </c>
      <c r="H218" s="79" t="s">
        <v>411</v>
      </c>
      <c r="I218" s="79">
        <f t="shared" ref="I218:I236" si="12">A218</f>
        <v>100256</v>
      </c>
      <c r="J218" s="79"/>
      <c r="K218" s="79">
        <v>7</v>
      </c>
      <c r="L218" s="79">
        <v>0</v>
      </c>
      <c r="M218" s="127">
        <v>0</v>
      </c>
      <c r="N218" s="79">
        <v>1</v>
      </c>
      <c r="O218" s="79">
        <v>0</v>
      </c>
      <c r="P218" s="107"/>
      <c r="Q218" s="79">
        <v>100256</v>
      </c>
      <c r="R218" s="79"/>
    </row>
    <row r="219" spans="1:18" s="106" customFormat="1">
      <c r="A219" s="79">
        <v>100261</v>
      </c>
      <c r="B219" s="79">
        <f t="shared" si="6"/>
        <v>1002611</v>
      </c>
      <c r="C219" s="79" t="s">
        <v>412</v>
      </c>
      <c r="D219" s="79">
        <f t="shared" si="7"/>
        <v>1002612</v>
      </c>
      <c r="E219" s="79" t="s">
        <v>413</v>
      </c>
      <c r="F219" s="79">
        <v>1</v>
      </c>
      <c r="G219" s="79">
        <v>0</v>
      </c>
      <c r="H219" s="79" t="s">
        <v>411</v>
      </c>
      <c r="I219" s="79">
        <f t="shared" si="12"/>
        <v>100261</v>
      </c>
      <c r="J219" s="79"/>
      <c r="K219" s="79">
        <v>2</v>
      </c>
      <c r="L219" s="79">
        <v>0</v>
      </c>
      <c r="M219" s="127">
        <v>0</v>
      </c>
      <c r="N219" s="79">
        <v>1</v>
      </c>
      <c r="O219" s="79">
        <v>0</v>
      </c>
      <c r="P219" s="107"/>
      <c r="Q219" s="79">
        <v>100261</v>
      </c>
      <c r="R219" s="79"/>
    </row>
    <row r="220" spans="1:18" s="106" customFormat="1">
      <c r="A220" s="79">
        <v>100262</v>
      </c>
      <c r="B220" s="79">
        <f t="shared" si="6"/>
        <v>1002621</v>
      </c>
      <c r="C220" s="79" t="s">
        <v>412</v>
      </c>
      <c r="D220" s="79">
        <f t="shared" si="7"/>
        <v>1002622</v>
      </c>
      <c r="E220" s="79" t="s">
        <v>414</v>
      </c>
      <c r="F220" s="79">
        <v>1</v>
      </c>
      <c r="G220" s="79">
        <v>0</v>
      </c>
      <c r="H220" s="79" t="s">
        <v>411</v>
      </c>
      <c r="I220" s="79">
        <f t="shared" si="12"/>
        <v>100262</v>
      </c>
      <c r="J220" s="79"/>
      <c r="K220" s="79">
        <v>3</v>
      </c>
      <c r="L220" s="79">
        <v>0</v>
      </c>
      <c r="M220" s="127">
        <v>0</v>
      </c>
      <c r="N220" s="79">
        <v>1</v>
      </c>
      <c r="O220" s="79">
        <v>0</v>
      </c>
      <c r="P220" s="107"/>
      <c r="Q220" s="79">
        <v>100261</v>
      </c>
      <c r="R220" s="79"/>
    </row>
    <row r="221" spans="1:18" s="106" customFormat="1">
      <c r="A221" s="79">
        <v>100263</v>
      </c>
      <c r="B221" s="79">
        <f t="shared" si="6"/>
        <v>1002631</v>
      </c>
      <c r="C221" s="79" t="s">
        <v>412</v>
      </c>
      <c r="D221" s="79">
        <f t="shared" si="7"/>
        <v>1002632</v>
      </c>
      <c r="E221" s="79" t="s">
        <v>415</v>
      </c>
      <c r="F221" s="79">
        <v>1</v>
      </c>
      <c r="G221" s="79">
        <v>0</v>
      </c>
      <c r="H221" s="79" t="s">
        <v>411</v>
      </c>
      <c r="I221" s="79">
        <f t="shared" si="12"/>
        <v>100263</v>
      </c>
      <c r="J221" s="79"/>
      <c r="K221" s="79">
        <v>4</v>
      </c>
      <c r="L221" s="79">
        <v>0</v>
      </c>
      <c r="M221" s="127">
        <v>0</v>
      </c>
      <c r="N221" s="79">
        <v>1</v>
      </c>
      <c r="O221" s="79">
        <v>0</v>
      </c>
      <c r="P221" s="107"/>
      <c r="Q221" s="79">
        <v>100261</v>
      </c>
      <c r="R221" s="79"/>
    </row>
    <row r="222" spans="1:18" s="106" customFormat="1">
      <c r="A222" s="79">
        <v>100271</v>
      </c>
      <c r="B222" s="79">
        <f t="shared" si="6"/>
        <v>1002711</v>
      </c>
      <c r="C222" s="79" t="s">
        <v>416</v>
      </c>
      <c r="D222" s="79">
        <f t="shared" si="7"/>
        <v>1002712</v>
      </c>
      <c r="E222" s="79" t="s">
        <v>417</v>
      </c>
      <c r="F222" s="79">
        <v>1</v>
      </c>
      <c r="G222" s="79">
        <v>0</v>
      </c>
      <c r="H222" s="79" t="s">
        <v>418</v>
      </c>
      <c r="I222" s="79">
        <f t="shared" si="12"/>
        <v>100271</v>
      </c>
      <c r="J222" s="79"/>
      <c r="K222" s="79">
        <v>2</v>
      </c>
      <c r="L222" s="79">
        <v>0</v>
      </c>
      <c r="M222" s="127">
        <v>0</v>
      </c>
      <c r="N222" s="79">
        <v>1</v>
      </c>
      <c r="O222" s="79">
        <v>0</v>
      </c>
      <c r="P222" s="107"/>
      <c r="Q222" s="79">
        <v>100271</v>
      </c>
      <c r="R222" s="79"/>
    </row>
    <row r="223" spans="1:18" s="106" customFormat="1">
      <c r="A223" s="79">
        <v>100272</v>
      </c>
      <c r="B223" s="79">
        <f t="shared" si="6"/>
        <v>1002721</v>
      </c>
      <c r="C223" s="79" t="s">
        <v>416</v>
      </c>
      <c r="D223" s="79">
        <f t="shared" si="7"/>
        <v>1002722</v>
      </c>
      <c r="E223" s="79" t="s">
        <v>419</v>
      </c>
      <c r="F223" s="79">
        <v>1</v>
      </c>
      <c r="G223" s="79">
        <v>0</v>
      </c>
      <c r="H223" s="79" t="s">
        <v>418</v>
      </c>
      <c r="I223" s="79">
        <f t="shared" si="12"/>
        <v>100272</v>
      </c>
      <c r="J223" s="79"/>
      <c r="K223" s="79">
        <v>3</v>
      </c>
      <c r="L223" s="79">
        <v>0</v>
      </c>
      <c r="M223" s="127">
        <v>0</v>
      </c>
      <c r="N223" s="79">
        <v>1</v>
      </c>
      <c r="O223" s="79">
        <v>0</v>
      </c>
      <c r="P223" s="107"/>
      <c r="Q223" s="79">
        <v>100271</v>
      </c>
      <c r="R223" s="79"/>
    </row>
    <row r="224" spans="1:18" s="106" customFormat="1">
      <c r="A224" s="79">
        <v>100273</v>
      </c>
      <c r="B224" s="79">
        <f t="shared" si="6"/>
        <v>1002731</v>
      </c>
      <c r="C224" s="79" t="s">
        <v>416</v>
      </c>
      <c r="D224" s="79">
        <f t="shared" si="7"/>
        <v>1002732</v>
      </c>
      <c r="E224" s="79" t="s">
        <v>420</v>
      </c>
      <c r="F224" s="79">
        <v>1</v>
      </c>
      <c r="G224" s="79">
        <v>0</v>
      </c>
      <c r="H224" s="79" t="s">
        <v>418</v>
      </c>
      <c r="I224" s="79">
        <f t="shared" si="12"/>
        <v>100273</v>
      </c>
      <c r="J224" s="79"/>
      <c r="K224" s="79">
        <v>4</v>
      </c>
      <c r="L224" s="79">
        <v>0</v>
      </c>
      <c r="M224" s="127">
        <v>0</v>
      </c>
      <c r="N224" s="79">
        <v>1</v>
      </c>
      <c r="O224" s="79">
        <v>0</v>
      </c>
      <c r="P224" s="107"/>
      <c r="Q224" s="79">
        <v>100271</v>
      </c>
      <c r="R224" s="79"/>
    </row>
    <row r="225" spans="1:18" s="106" customFormat="1">
      <c r="A225" s="79">
        <v>100281</v>
      </c>
      <c r="B225" s="79">
        <f t="shared" si="6"/>
        <v>1002811</v>
      </c>
      <c r="C225" s="79" t="s">
        <v>421</v>
      </c>
      <c r="D225" s="79">
        <f t="shared" si="7"/>
        <v>1002812</v>
      </c>
      <c r="E225" s="79" t="s">
        <v>422</v>
      </c>
      <c r="F225" s="79">
        <v>1</v>
      </c>
      <c r="G225" s="79">
        <v>0</v>
      </c>
      <c r="H225" s="79" t="s">
        <v>423</v>
      </c>
      <c r="I225" s="79">
        <f t="shared" si="12"/>
        <v>100281</v>
      </c>
      <c r="J225" s="79"/>
      <c r="K225" s="79">
        <v>2</v>
      </c>
      <c r="L225" s="79">
        <v>0</v>
      </c>
      <c r="M225" s="127">
        <v>0</v>
      </c>
      <c r="N225" s="79">
        <v>1</v>
      </c>
      <c r="O225" s="79">
        <v>0</v>
      </c>
      <c r="P225" s="107"/>
      <c r="Q225" s="79">
        <v>100281</v>
      </c>
      <c r="R225" s="79"/>
    </row>
    <row r="226" spans="1:18" s="106" customFormat="1">
      <c r="A226" s="79">
        <v>100282</v>
      </c>
      <c r="B226" s="79">
        <f t="shared" si="6"/>
        <v>1002821</v>
      </c>
      <c r="C226" s="79" t="s">
        <v>421</v>
      </c>
      <c r="D226" s="79">
        <f t="shared" si="7"/>
        <v>1002822</v>
      </c>
      <c r="E226" s="79" t="s">
        <v>424</v>
      </c>
      <c r="F226" s="79">
        <v>1</v>
      </c>
      <c r="G226" s="79">
        <v>0</v>
      </c>
      <c r="H226" s="79" t="s">
        <v>423</v>
      </c>
      <c r="I226" s="79">
        <f t="shared" si="12"/>
        <v>100282</v>
      </c>
      <c r="J226" s="79"/>
      <c r="K226" s="79">
        <v>3</v>
      </c>
      <c r="L226" s="79">
        <v>0</v>
      </c>
      <c r="M226" s="127">
        <v>0</v>
      </c>
      <c r="N226" s="79">
        <v>1</v>
      </c>
      <c r="O226" s="79">
        <v>0</v>
      </c>
      <c r="P226" s="107"/>
      <c r="Q226" s="79">
        <v>100281</v>
      </c>
      <c r="R226" s="79"/>
    </row>
    <row r="227" spans="1:18" s="106" customFormat="1">
      <c r="A227" s="79">
        <v>100283</v>
      </c>
      <c r="B227" s="79">
        <f t="shared" si="6"/>
        <v>1002831</v>
      </c>
      <c r="C227" s="79" t="s">
        <v>421</v>
      </c>
      <c r="D227" s="79">
        <f t="shared" si="7"/>
        <v>1002832</v>
      </c>
      <c r="E227" s="79" t="s">
        <v>425</v>
      </c>
      <c r="F227" s="79">
        <v>1</v>
      </c>
      <c r="G227" s="79">
        <v>0</v>
      </c>
      <c r="H227" s="79" t="s">
        <v>423</v>
      </c>
      <c r="I227" s="79">
        <f t="shared" si="12"/>
        <v>100283</v>
      </c>
      <c r="J227" s="79"/>
      <c r="K227" s="79">
        <v>4</v>
      </c>
      <c r="L227" s="79">
        <v>0</v>
      </c>
      <c r="M227" s="127">
        <v>0</v>
      </c>
      <c r="N227" s="79">
        <v>1</v>
      </c>
      <c r="O227" s="79">
        <v>0</v>
      </c>
      <c r="P227" s="107"/>
      <c r="Q227" s="79">
        <v>100281</v>
      </c>
      <c r="R227" s="79"/>
    </row>
    <row r="228" spans="1:18" s="106" customFormat="1">
      <c r="A228" s="79">
        <v>100291</v>
      </c>
      <c r="B228" s="79">
        <f t="shared" si="6"/>
        <v>1002911</v>
      </c>
      <c r="C228" s="79" t="s">
        <v>426</v>
      </c>
      <c r="D228" s="79">
        <f t="shared" si="7"/>
        <v>1002912</v>
      </c>
      <c r="E228" s="79" t="s">
        <v>427</v>
      </c>
      <c r="F228" s="79">
        <v>1</v>
      </c>
      <c r="G228" s="79">
        <v>0</v>
      </c>
      <c r="H228" s="79" t="s">
        <v>428</v>
      </c>
      <c r="I228" s="79">
        <f t="shared" si="12"/>
        <v>100291</v>
      </c>
      <c r="J228" s="79"/>
      <c r="K228" s="79">
        <v>2</v>
      </c>
      <c r="L228" s="79">
        <v>0</v>
      </c>
      <c r="M228" s="127">
        <v>0</v>
      </c>
      <c r="N228" s="79">
        <v>1</v>
      </c>
      <c r="O228" s="79">
        <v>0</v>
      </c>
      <c r="P228" s="107"/>
      <c r="Q228" s="79">
        <v>100291</v>
      </c>
      <c r="R228" s="79"/>
    </row>
    <row r="229" spans="1:18" s="106" customFormat="1">
      <c r="A229" s="79">
        <v>100292</v>
      </c>
      <c r="B229" s="79">
        <f t="shared" si="6"/>
        <v>1002921</v>
      </c>
      <c r="C229" s="79" t="s">
        <v>426</v>
      </c>
      <c r="D229" s="79">
        <f t="shared" si="7"/>
        <v>1002922</v>
      </c>
      <c r="E229" s="79" t="s">
        <v>429</v>
      </c>
      <c r="F229" s="79">
        <v>1</v>
      </c>
      <c r="G229" s="79">
        <v>0</v>
      </c>
      <c r="H229" s="79" t="s">
        <v>428</v>
      </c>
      <c r="I229" s="79">
        <f t="shared" si="12"/>
        <v>100292</v>
      </c>
      <c r="J229" s="79"/>
      <c r="K229" s="79">
        <v>3</v>
      </c>
      <c r="L229" s="79">
        <v>0</v>
      </c>
      <c r="M229" s="127">
        <v>0</v>
      </c>
      <c r="N229" s="79">
        <v>1</v>
      </c>
      <c r="O229" s="79">
        <v>0</v>
      </c>
      <c r="P229" s="107"/>
      <c r="Q229" s="79">
        <v>100291</v>
      </c>
      <c r="R229" s="79"/>
    </row>
    <row r="230" spans="1:18" s="106" customFormat="1">
      <c r="A230" s="79">
        <v>100293</v>
      </c>
      <c r="B230" s="79">
        <f t="shared" si="6"/>
        <v>1002931</v>
      </c>
      <c r="C230" s="79" t="s">
        <v>426</v>
      </c>
      <c r="D230" s="79">
        <f t="shared" si="7"/>
        <v>1002932</v>
      </c>
      <c r="E230" s="79" t="s">
        <v>430</v>
      </c>
      <c r="F230" s="79">
        <v>1</v>
      </c>
      <c r="G230" s="79">
        <v>0</v>
      </c>
      <c r="H230" s="79" t="s">
        <v>428</v>
      </c>
      <c r="I230" s="79">
        <f t="shared" si="12"/>
        <v>100293</v>
      </c>
      <c r="J230" s="79"/>
      <c r="K230" s="79">
        <v>4</v>
      </c>
      <c r="L230" s="79">
        <v>0</v>
      </c>
      <c r="M230" s="127">
        <v>0</v>
      </c>
      <c r="N230" s="79">
        <v>1</v>
      </c>
      <c r="O230" s="79">
        <v>0</v>
      </c>
      <c r="P230" s="107"/>
      <c r="Q230" s="79">
        <v>100291</v>
      </c>
      <c r="R230" s="79"/>
    </row>
    <row r="231" spans="1:18" s="106" customFormat="1">
      <c r="A231" s="79">
        <v>100321</v>
      </c>
      <c r="B231" s="79">
        <f t="shared" si="6"/>
        <v>1003211</v>
      </c>
      <c r="C231" s="79" t="s">
        <v>431</v>
      </c>
      <c r="D231" s="79">
        <f t="shared" si="7"/>
        <v>1003212</v>
      </c>
      <c r="E231" s="79" t="s">
        <v>432</v>
      </c>
      <c r="F231" s="79">
        <v>1</v>
      </c>
      <c r="G231" s="79">
        <v>0</v>
      </c>
      <c r="H231" s="79" t="s">
        <v>433</v>
      </c>
      <c r="I231" s="79">
        <f t="shared" si="12"/>
        <v>100321</v>
      </c>
      <c r="J231" s="79">
        <v>2</v>
      </c>
      <c r="K231" s="79">
        <v>5</v>
      </c>
      <c r="L231" s="79"/>
      <c r="M231" s="127"/>
      <c r="N231" s="79">
        <v>1</v>
      </c>
      <c r="O231" s="79"/>
      <c r="P231" s="107"/>
      <c r="Q231" s="79">
        <v>100321</v>
      </c>
      <c r="R231" s="79"/>
    </row>
    <row r="232" spans="1:18" s="106" customFormat="1">
      <c r="A232" s="79">
        <v>100322</v>
      </c>
      <c r="B232" s="79">
        <f t="shared" ref="B232:B295" si="13">A232*10+1</f>
        <v>1003221</v>
      </c>
      <c r="C232" s="79" t="s">
        <v>431</v>
      </c>
      <c r="D232" s="79">
        <f t="shared" ref="D232:D295" si="14">A232*10+2</f>
        <v>1003222</v>
      </c>
      <c r="E232" s="79" t="s">
        <v>434</v>
      </c>
      <c r="F232" s="79">
        <v>1</v>
      </c>
      <c r="G232" s="79">
        <v>0</v>
      </c>
      <c r="H232" s="79" t="s">
        <v>433</v>
      </c>
      <c r="I232" s="79">
        <f t="shared" si="12"/>
        <v>100322</v>
      </c>
      <c r="J232" s="79">
        <v>2</v>
      </c>
      <c r="K232" s="79">
        <v>6</v>
      </c>
      <c r="L232" s="79"/>
      <c r="M232" s="127"/>
      <c r="N232" s="79">
        <v>1</v>
      </c>
      <c r="O232" s="79"/>
      <c r="P232" s="107"/>
      <c r="Q232" s="79">
        <v>100322</v>
      </c>
      <c r="R232" s="79"/>
    </row>
    <row r="233" spans="1:18" s="106" customFormat="1">
      <c r="A233" s="79">
        <v>100323</v>
      </c>
      <c r="B233" s="79">
        <f t="shared" si="13"/>
        <v>1003231</v>
      </c>
      <c r="C233" s="79" t="s">
        <v>431</v>
      </c>
      <c r="D233" s="79">
        <f t="shared" si="14"/>
        <v>1003232</v>
      </c>
      <c r="E233" s="79" t="s">
        <v>435</v>
      </c>
      <c r="F233" s="79">
        <v>1</v>
      </c>
      <c r="G233" s="79">
        <v>0</v>
      </c>
      <c r="H233" s="79" t="s">
        <v>433</v>
      </c>
      <c r="I233" s="79">
        <f t="shared" si="12"/>
        <v>100323</v>
      </c>
      <c r="J233" s="79">
        <v>2</v>
      </c>
      <c r="K233" s="79">
        <v>7</v>
      </c>
      <c r="L233" s="79"/>
      <c r="M233" s="127"/>
      <c r="N233" s="79">
        <v>1</v>
      </c>
      <c r="O233" s="79"/>
      <c r="P233" s="107"/>
      <c r="Q233" s="79">
        <v>100323</v>
      </c>
      <c r="R233" s="79"/>
    </row>
    <row r="234" spans="1:18" s="106" customFormat="1">
      <c r="A234" s="79">
        <v>100331</v>
      </c>
      <c r="B234" s="79">
        <f t="shared" si="13"/>
        <v>1003311</v>
      </c>
      <c r="C234" s="79" t="s">
        <v>436</v>
      </c>
      <c r="D234" s="79">
        <f t="shared" si="14"/>
        <v>1003312</v>
      </c>
      <c r="E234" s="79" t="s">
        <v>437</v>
      </c>
      <c r="F234" s="79">
        <v>1</v>
      </c>
      <c r="G234" s="79">
        <v>0</v>
      </c>
      <c r="H234" s="79" t="s">
        <v>438</v>
      </c>
      <c r="I234" s="79">
        <f t="shared" si="12"/>
        <v>100331</v>
      </c>
      <c r="J234" s="79"/>
      <c r="K234" s="79">
        <v>5</v>
      </c>
      <c r="L234" s="79"/>
      <c r="M234" s="127"/>
      <c r="N234" s="79">
        <v>1</v>
      </c>
      <c r="O234" s="79"/>
      <c r="P234" s="107"/>
      <c r="Q234" s="79">
        <v>100331</v>
      </c>
      <c r="R234" s="79"/>
    </row>
    <row r="235" spans="1:18" s="106" customFormat="1">
      <c r="A235" s="79">
        <v>100332</v>
      </c>
      <c r="B235" s="79">
        <f t="shared" si="13"/>
        <v>1003321</v>
      </c>
      <c r="C235" s="79" t="s">
        <v>436</v>
      </c>
      <c r="D235" s="79">
        <f t="shared" si="14"/>
        <v>1003322</v>
      </c>
      <c r="E235" s="79" t="s">
        <v>439</v>
      </c>
      <c r="F235" s="79">
        <v>1</v>
      </c>
      <c r="G235" s="79">
        <v>0</v>
      </c>
      <c r="H235" s="79" t="s">
        <v>438</v>
      </c>
      <c r="I235" s="79">
        <f t="shared" si="12"/>
        <v>100332</v>
      </c>
      <c r="J235" s="79"/>
      <c r="K235" s="79">
        <v>6</v>
      </c>
      <c r="L235" s="79"/>
      <c r="M235" s="127"/>
      <c r="N235" s="79">
        <v>1</v>
      </c>
      <c r="O235" s="79"/>
      <c r="P235" s="107"/>
      <c r="Q235" s="79">
        <v>100332</v>
      </c>
      <c r="R235" s="79"/>
    </row>
    <row r="236" spans="1:18" s="106" customFormat="1">
      <c r="A236" s="79">
        <v>100333</v>
      </c>
      <c r="B236" s="79">
        <f t="shared" si="13"/>
        <v>1003331</v>
      </c>
      <c r="C236" s="79" t="s">
        <v>436</v>
      </c>
      <c r="D236" s="79">
        <f t="shared" si="14"/>
        <v>1003332</v>
      </c>
      <c r="E236" s="79" t="s">
        <v>440</v>
      </c>
      <c r="F236" s="79">
        <v>1</v>
      </c>
      <c r="G236" s="79">
        <v>0</v>
      </c>
      <c r="H236" s="79" t="s">
        <v>438</v>
      </c>
      <c r="I236" s="79">
        <f t="shared" si="12"/>
        <v>100333</v>
      </c>
      <c r="J236" s="79"/>
      <c r="K236" s="79">
        <v>7</v>
      </c>
      <c r="L236" s="79"/>
      <c r="M236" s="127"/>
      <c r="N236" s="79">
        <v>1</v>
      </c>
      <c r="O236" s="79"/>
      <c r="P236" s="107"/>
      <c r="Q236" s="79">
        <v>100333</v>
      </c>
      <c r="R236" s="79"/>
    </row>
    <row r="237" spans="1:18" s="106" customFormat="1">
      <c r="A237" s="79">
        <v>100334</v>
      </c>
      <c r="B237" s="79">
        <f t="shared" si="13"/>
        <v>1003341</v>
      </c>
      <c r="C237" s="79" t="s">
        <v>436</v>
      </c>
      <c r="D237" s="79">
        <f t="shared" si="14"/>
        <v>1003342</v>
      </c>
      <c r="E237" s="79" t="s">
        <v>441</v>
      </c>
      <c r="F237" s="79">
        <v>1</v>
      </c>
      <c r="G237" s="79">
        <v>0</v>
      </c>
      <c r="H237" s="79" t="s">
        <v>438</v>
      </c>
      <c r="I237" s="79">
        <v>100333</v>
      </c>
      <c r="J237" s="79"/>
      <c r="K237" s="79">
        <v>8</v>
      </c>
      <c r="L237" s="79"/>
      <c r="M237" s="127"/>
      <c r="N237" s="79">
        <v>1</v>
      </c>
      <c r="O237" s="79"/>
      <c r="P237" s="107"/>
      <c r="Q237" s="79">
        <v>100333</v>
      </c>
      <c r="R237" s="79"/>
    </row>
    <row r="238" spans="1:18" s="106" customFormat="1">
      <c r="A238" s="79">
        <v>100341</v>
      </c>
      <c r="B238" s="79">
        <f t="shared" si="13"/>
        <v>1003411</v>
      </c>
      <c r="C238" s="79" t="s">
        <v>442</v>
      </c>
      <c r="D238" s="79">
        <f t="shared" si="14"/>
        <v>1003412</v>
      </c>
      <c r="E238" s="79" t="s">
        <v>443</v>
      </c>
      <c r="F238" s="79">
        <v>1</v>
      </c>
      <c r="G238" s="79">
        <v>0</v>
      </c>
      <c r="H238" s="79" t="s">
        <v>444</v>
      </c>
      <c r="I238" s="79">
        <f t="shared" ref="I238:I243" si="15">A238</f>
        <v>100341</v>
      </c>
      <c r="J238" s="79"/>
      <c r="K238" s="79">
        <v>5</v>
      </c>
      <c r="L238" s="79"/>
      <c r="M238" s="127"/>
      <c r="N238" s="79">
        <v>1</v>
      </c>
      <c r="O238" s="79"/>
      <c r="P238" s="107"/>
      <c r="Q238" s="79">
        <v>100341</v>
      </c>
      <c r="R238" s="79"/>
    </row>
    <row r="239" spans="1:18" s="106" customFormat="1">
      <c r="A239" s="79">
        <v>100342</v>
      </c>
      <c r="B239" s="79">
        <f t="shared" si="13"/>
        <v>1003421</v>
      </c>
      <c r="C239" s="79" t="s">
        <v>442</v>
      </c>
      <c r="D239" s="79">
        <f t="shared" si="14"/>
        <v>1003422</v>
      </c>
      <c r="E239" s="79" t="s">
        <v>445</v>
      </c>
      <c r="F239" s="79">
        <v>1</v>
      </c>
      <c r="G239" s="79">
        <v>0</v>
      </c>
      <c r="H239" s="79" t="s">
        <v>444</v>
      </c>
      <c r="I239" s="79">
        <f t="shared" si="15"/>
        <v>100342</v>
      </c>
      <c r="J239" s="79"/>
      <c r="K239" s="79">
        <v>6</v>
      </c>
      <c r="L239" s="79"/>
      <c r="M239" s="127"/>
      <c r="N239" s="79">
        <v>1</v>
      </c>
      <c r="O239" s="79"/>
      <c r="P239" s="107"/>
      <c r="Q239" s="79">
        <v>100342</v>
      </c>
      <c r="R239" s="79"/>
    </row>
    <row r="240" spans="1:18" s="106" customFormat="1">
      <c r="A240" s="79">
        <v>100343</v>
      </c>
      <c r="B240" s="79">
        <f t="shared" si="13"/>
        <v>1003431</v>
      </c>
      <c r="C240" s="79" t="s">
        <v>442</v>
      </c>
      <c r="D240" s="79">
        <f t="shared" si="14"/>
        <v>1003432</v>
      </c>
      <c r="E240" s="79" t="s">
        <v>446</v>
      </c>
      <c r="F240" s="79">
        <v>1</v>
      </c>
      <c r="G240" s="79">
        <v>0</v>
      </c>
      <c r="H240" s="79" t="s">
        <v>444</v>
      </c>
      <c r="I240" s="79">
        <f t="shared" si="15"/>
        <v>100343</v>
      </c>
      <c r="J240" s="79"/>
      <c r="K240" s="79">
        <v>7</v>
      </c>
      <c r="L240" s="79"/>
      <c r="M240" s="127"/>
      <c r="N240" s="79">
        <v>1</v>
      </c>
      <c r="O240" s="79"/>
      <c r="P240" s="107"/>
      <c r="Q240" s="79">
        <v>100343</v>
      </c>
      <c r="R240" s="79"/>
    </row>
    <row r="241" spans="1:18" s="106" customFormat="1">
      <c r="A241" s="79">
        <v>100351</v>
      </c>
      <c r="B241" s="79">
        <f t="shared" si="13"/>
        <v>1003511</v>
      </c>
      <c r="C241" s="79" t="s">
        <v>447</v>
      </c>
      <c r="D241" s="79">
        <f t="shared" si="14"/>
        <v>1003512</v>
      </c>
      <c r="E241" s="79" t="s">
        <v>448</v>
      </c>
      <c r="F241" s="79">
        <v>1</v>
      </c>
      <c r="G241" s="79">
        <v>0</v>
      </c>
      <c r="H241" s="79" t="s">
        <v>449</v>
      </c>
      <c r="I241" s="79">
        <f t="shared" si="15"/>
        <v>100351</v>
      </c>
      <c r="J241" s="79"/>
      <c r="K241" s="79">
        <v>5</v>
      </c>
      <c r="L241" s="79"/>
      <c r="M241" s="127"/>
      <c r="N241" s="79">
        <v>1</v>
      </c>
      <c r="O241" s="79"/>
      <c r="P241" s="107"/>
      <c r="Q241" s="79">
        <v>100351</v>
      </c>
      <c r="R241" s="79"/>
    </row>
    <row r="242" spans="1:18" s="106" customFormat="1">
      <c r="A242" s="79">
        <v>100352</v>
      </c>
      <c r="B242" s="79">
        <f t="shared" si="13"/>
        <v>1003521</v>
      </c>
      <c r="C242" s="79" t="s">
        <v>447</v>
      </c>
      <c r="D242" s="79">
        <f t="shared" si="14"/>
        <v>1003522</v>
      </c>
      <c r="E242" s="79" t="s">
        <v>450</v>
      </c>
      <c r="F242" s="79">
        <v>1</v>
      </c>
      <c r="G242" s="79">
        <v>0</v>
      </c>
      <c r="H242" s="79" t="s">
        <v>449</v>
      </c>
      <c r="I242" s="79">
        <f t="shared" si="15"/>
        <v>100352</v>
      </c>
      <c r="J242" s="79"/>
      <c r="K242" s="79">
        <v>6</v>
      </c>
      <c r="L242" s="79"/>
      <c r="M242" s="127"/>
      <c r="N242" s="79">
        <v>1</v>
      </c>
      <c r="O242" s="79"/>
      <c r="P242" s="107"/>
      <c r="Q242" s="79">
        <v>100352</v>
      </c>
      <c r="R242" s="79"/>
    </row>
    <row r="243" spans="1:18" s="106" customFormat="1">
      <c r="A243" s="79">
        <v>100353</v>
      </c>
      <c r="B243" s="79">
        <f t="shared" si="13"/>
        <v>1003531</v>
      </c>
      <c r="C243" s="79" t="s">
        <v>447</v>
      </c>
      <c r="D243" s="79">
        <f t="shared" si="14"/>
        <v>1003532</v>
      </c>
      <c r="E243" s="79" t="s">
        <v>451</v>
      </c>
      <c r="F243" s="79">
        <v>1</v>
      </c>
      <c r="G243" s="79">
        <v>0</v>
      </c>
      <c r="H243" s="79" t="s">
        <v>449</v>
      </c>
      <c r="I243" s="79">
        <f t="shared" si="15"/>
        <v>100353</v>
      </c>
      <c r="J243" s="79"/>
      <c r="K243" s="79">
        <v>7</v>
      </c>
      <c r="L243" s="79"/>
      <c r="M243" s="127"/>
      <c r="N243" s="79">
        <v>1</v>
      </c>
      <c r="O243" s="79"/>
      <c r="P243" s="107"/>
      <c r="Q243" s="79">
        <v>100353</v>
      </c>
      <c r="R243" s="79"/>
    </row>
    <row r="244" spans="1:18" s="106" customFormat="1">
      <c r="A244" s="79">
        <v>100354</v>
      </c>
      <c r="B244" s="79">
        <f t="shared" si="13"/>
        <v>1003541</v>
      </c>
      <c r="C244" s="79" t="s">
        <v>447</v>
      </c>
      <c r="D244" s="79">
        <f t="shared" si="14"/>
        <v>1003542</v>
      </c>
      <c r="E244" s="79" t="s">
        <v>452</v>
      </c>
      <c r="F244" s="79">
        <v>1</v>
      </c>
      <c r="G244" s="79">
        <v>0</v>
      </c>
      <c r="H244" s="79" t="s">
        <v>453</v>
      </c>
      <c r="I244" s="79">
        <v>100354</v>
      </c>
      <c r="J244" s="79"/>
      <c r="K244" s="79">
        <v>8</v>
      </c>
      <c r="L244" s="79"/>
      <c r="M244" s="127"/>
      <c r="N244" s="79">
        <v>1</v>
      </c>
      <c r="O244" s="79"/>
      <c r="P244" s="107"/>
      <c r="Q244" s="79">
        <v>100354</v>
      </c>
      <c r="R244" s="79"/>
    </row>
    <row r="245" spans="1:18" s="106" customFormat="1">
      <c r="A245" s="79">
        <v>100361</v>
      </c>
      <c r="B245" s="79">
        <f t="shared" si="13"/>
        <v>1003611</v>
      </c>
      <c r="C245" s="79" t="s">
        <v>454</v>
      </c>
      <c r="D245" s="79">
        <f t="shared" si="14"/>
        <v>1003612</v>
      </c>
      <c r="E245" s="79" t="s">
        <v>455</v>
      </c>
      <c r="F245" s="79">
        <v>1</v>
      </c>
      <c r="G245" s="79">
        <v>0</v>
      </c>
      <c r="H245" s="79" t="s">
        <v>456</v>
      </c>
      <c r="I245" s="79">
        <f t="shared" ref="I245:I256" si="16">A245</f>
        <v>100361</v>
      </c>
      <c r="J245" s="79"/>
      <c r="K245" s="79">
        <v>5</v>
      </c>
      <c r="L245" s="79"/>
      <c r="M245" s="127"/>
      <c r="N245" s="79">
        <v>1</v>
      </c>
      <c r="O245" s="79"/>
      <c r="P245" s="107"/>
      <c r="Q245" s="79">
        <v>100361</v>
      </c>
      <c r="R245" s="79"/>
    </row>
    <row r="246" spans="1:18" s="106" customFormat="1">
      <c r="A246" s="79">
        <v>100362</v>
      </c>
      <c r="B246" s="79">
        <f t="shared" si="13"/>
        <v>1003621</v>
      </c>
      <c r="C246" s="79" t="s">
        <v>454</v>
      </c>
      <c r="D246" s="79">
        <f t="shared" si="14"/>
        <v>1003622</v>
      </c>
      <c r="E246" s="79" t="s">
        <v>457</v>
      </c>
      <c r="F246" s="79">
        <v>1</v>
      </c>
      <c r="G246" s="79">
        <v>0</v>
      </c>
      <c r="H246" s="79" t="s">
        <v>456</v>
      </c>
      <c r="I246" s="79">
        <f t="shared" si="16"/>
        <v>100362</v>
      </c>
      <c r="J246" s="79"/>
      <c r="K246" s="79">
        <v>6</v>
      </c>
      <c r="L246" s="79"/>
      <c r="M246" s="127"/>
      <c r="N246" s="79">
        <v>1</v>
      </c>
      <c r="O246" s="79"/>
      <c r="P246" s="107"/>
      <c r="Q246" s="79">
        <v>100362</v>
      </c>
      <c r="R246" s="79"/>
    </row>
    <row r="247" spans="1:18" s="106" customFormat="1">
      <c r="A247" s="79">
        <v>100363</v>
      </c>
      <c r="B247" s="79">
        <f t="shared" si="13"/>
        <v>1003631</v>
      </c>
      <c r="C247" s="79" t="s">
        <v>454</v>
      </c>
      <c r="D247" s="79">
        <f t="shared" si="14"/>
        <v>1003632</v>
      </c>
      <c r="E247" s="79" t="s">
        <v>458</v>
      </c>
      <c r="F247" s="79">
        <v>1</v>
      </c>
      <c r="G247" s="79">
        <v>0</v>
      </c>
      <c r="H247" s="79" t="s">
        <v>456</v>
      </c>
      <c r="I247" s="79">
        <f t="shared" si="16"/>
        <v>100363</v>
      </c>
      <c r="J247" s="79"/>
      <c r="K247" s="79">
        <v>7</v>
      </c>
      <c r="L247" s="79"/>
      <c r="M247" s="127"/>
      <c r="N247" s="79">
        <v>1</v>
      </c>
      <c r="O247" s="79"/>
      <c r="P247" s="107"/>
      <c r="Q247" s="79">
        <v>100363</v>
      </c>
      <c r="R247" s="79"/>
    </row>
    <row r="248" spans="1:18" s="106" customFormat="1">
      <c r="A248" s="79">
        <v>100371</v>
      </c>
      <c r="B248" s="79">
        <f t="shared" si="13"/>
        <v>1003711</v>
      </c>
      <c r="C248" s="79" t="s">
        <v>459</v>
      </c>
      <c r="D248" s="79">
        <f t="shared" si="14"/>
        <v>1003712</v>
      </c>
      <c r="E248" s="79" t="s">
        <v>460</v>
      </c>
      <c r="F248" s="79">
        <v>1</v>
      </c>
      <c r="G248" s="79">
        <v>0</v>
      </c>
      <c r="H248" s="79" t="s">
        <v>461</v>
      </c>
      <c r="I248" s="79">
        <f t="shared" si="16"/>
        <v>100371</v>
      </c>
      <c r="J248" s="79"/>
      <c r="K248" s="79">
        <v>5</v>
      </c>
      <c r="L248" s="79"/>
      <c r="M248" s="127"/>
      <c r="N248" s="79">
        <v>1</v>
      </c>
      <c r="O248" s="79"/>
      <c r="P248" s="107"/>
      <c r="Q248" s="79">
        <v>100371</v>
      </c>
      <c r="R248" s="79"/>
    </row>
    <row r="249" spans="1:18" s="106" customFormat="1">
      <c r="A249" s="79">
        <v>100372</v>
      </c>
      <c r="B249" s="79">
        <f t="shared" si="13"/>
        <v>1003721</v>
      </c>
      <c r="C249" s="79" t="s">
        <v>459</v>
      </c>
      <c r="D249" s="79">
        <f t="shared" si="14"/>
        <v>1003722</v>
      </c>
      <c r="E249" s="79" t="s">
        <v>462</v>
      </c>
      <c r="F249" s="79">
        <v>1</v>
      </c>
      <c r="G249" s="79">
        <v>0</v>
      </c>
      <c r="H249" s="79" t="s">
        <v>461</v>
      </c>
      <c r="I249" s="79">
        <f t="shared" si="16"/>
        <v>100372</v>
      </c>
      <c r="J249" s="79"/>
      <c r="K249" s="79">
        <v>6</v>
      </c>
      <c r="L249" s="79"/>
      <c r="M249" s="127"/>
      <c r="N249" s="79">
        <v>1</v>
      </c>
      <c r="O249" s="79"/>
      <c r="P249" s="107"/>
      <c r="Q249" s="79">
        <v>100372</v>
      </c>
      <c r="R249" s="79"/>
    </row>
    <row r="250" spans="1:18" s="106" customFormat="1">
      <c r="A250" s="79">
        <v>100373</v>
      </c>
      <c r="B250" s="79">
        <f t="shared" si="13"/>
        <v>1003731</v>
      </c>
      <c r="C250" s="79" t="s">
        <v>459</v>
      </c>
      <c r="D250" s="79">
        <f t="shared" si="14"/>
        <v>1003732</v>
      </c>
      <c r="E250" s="79" t="s">
        <v>463</v>
      </c>
      <c r="F250" s="79">
        <v>1</v>
      </c>
      <c r="G250" s="79">
        <v>0</v>
      </c>
      <c r="H250" s="79" t="s">
        <v>461</v>
      </c>
      <c r="I250" s="79">
        <f t="shared" si="16"/>
        <v>100373</v>
      </c>
      <c r="J250" s="79"/>
      <c r="K250" s="79">
        <v>7</v>
      </c>
      <c r="L250" s="79"/>
      <c r="M250" s="127"/>
      <c r="N250" s="79">
        <v>1</v>
      </c>
      <c r="O250" s="79"/>
      <c r="P250" s="107"/>
      <c r="Q250" s="79">
        <v>100373</v>
      </c>
      <c r="R250" s="79"/>
    </row>
    <row r="251" spans="1:18" s="106" customFormat="1">
      <c r="A251" s="79">
        <v>100381</v>
      </c>
      <c r="B251" s="79">
        <f t="shared" si="13"/>
        <v>1003811</v>
      </c>
      <c r="C251" s="79" t="s">
        <v>464</v>
      </c>
      <c r="D251" s="79">
        <f t="shared" si="14"/>
        <v>1003812</v>
      </c>
      <c r="E251" s="79" t="s">
        <v>465</v>
      </c>
      <c r="F251" s="79">
        <v>1</v>
      </c>
      <c r="G251" s="79">
        <v>0</v>
      </c>
      <c r="H251" s="79" t="s">
        <v>466</v>
      </c>
      <c r="I251" s="79">
        <f t="shared" si="16"/>
        <v>100381</v>
      </c>
      <c r="J251" s="79"/>
      <c r="K251" s="79">
        <v>4</v>
      </c>
      <c r="L251" s="79"/>
      <c r="M251" s="127"/>
      <c r="N251" s="79">
        <v>1</v>
      </c>
      <c r="O251" s="79"/>
      <c r="P251" s="107"/>
      <c r="Q251" s="79">
        <v>100381</v>
      </c>
      <c r="R251" s="79"/>
    </row>
    <row r="252" spans="1:18" s="106" customFormat="1">
      <c r="A252" s="79">
        <v>100382</v>
      </c>
      <c r="B252" s="79">
        <f t="shared" si="13"/>
        <v>1003821</v>
      </c>
      <c r="C252" s="79" t="s">
        <v>464</v>
      </c>
      <c r="D252" s="79">
        <f t="shared" si="14"/>
        <v>1003822</v>
      </c>
      <c r="E252" s="79" t="s">
        <v>467</v>
      </c>
      <c r="F252" s="79">
        <v>1</v>
      </c>
      <c r="G252" s="79">
        <v>0</v>
      </c>
      <c r="H252" s="79" t="s">
        <v>466</v>
      </c>
      <c r="I252" s="79">
        <f t="shared" si="16"/>
        <v>100382</v>
      </c>
      <c r="J252" s="79"/>
      <c r="K252" s="79">
        <v>5</v>
      </c>
      <c r="L252" s="79"/>
      <c r="M252" s="127"/>
      <c r="N252" s="79">
        <v>1</v>
      </c>
      <c r="O252" s="79"/>
      <c r="P252" s="107"/>
      <c r="Q252" s="79">
        <v>100382</v>
      </c>
      <c r="R252" s="79"/>
    </row>
    <row r="253" spans="1:18" s="106" customFormat="1">
      <c r="A253" s="79">
        <v>100391</v>
      </c>
      <c r="B253" s="79">
        <f t="shared" si="13"/>
        <v>1003911</v>
      </c>
      <c r="C253" s="79" t="s">
        <v>468</v>
      </c>
      <c r="D253" s="79">
        <f t="shared" si="14"/>
        <v>1003912</v>
      </c>
      <c r="E253" s="79" t="s">
        <v>469</v>
      </c>
      <c r="F253" s="79">
        <v>1</v>
      </c>
      <c r="G253" s="79">
        <v>0</v>
      </c>
      <c r="H253" s="79" t="s">
        <v>470</v>
      </c>
      <c r="I253" s="79">
        <f t="shared" si="16"/>
        <v>100391</v>
      </c>
      <c r="J253" s="79"/>
      <c r="K253" s="79">
        <v>5</v>
      </c>
      <c r="L253" s="79"/>
      <c r="M253" s="127"/>
      <c r="N253" s="79">
        <v>1</v>
      </c>
      <c r="O253" s="79"/>
      <c r="P253" s="107"/>
      <c r="Q253" s="79">
        <v>100391</v>
      </c>
      <c r="R253" s="79"/>
    </row>
    <row r="254" spans="1:18" s="106" customFormat="1">
      <c r="A254" s="79">
        <v>100392</v>
      </c>
      <c r="B254" s="79">
        <f t="shared" si="13"/>
        <v>1003921</v>
      </c>
      <c r="C254" s="79" t="s">
        <v>468</v>
      </c>
      <c r="D254" s="79">
        <f t="shared" si="14"/>
        <v>1003922</v>
      </c>
      <c r="E254" s="79" t="s">
        <v>471</v>
      </c>
      <c r="F254" s="79">
        <v>1</v>
      </c>
      <c r="G254" s="79">
        <v>0</v>
      </c>
      <c r="H254" s="79" t="s">
        <v>470</v>
      </c>
      <c r="I254" s="79">
        <f t="shared" si="16"/>
        <v>100392</v>
      </c>
      <c r="J254" s="79"/>
      <c r="K254" s="79">
        <v>6</v>
      </c>
      <c r="L254" s="79"/>
      <c r="M254" s="127"/>
      <c r="N254" s="79">
        <v>1</v>
      </c>
      <c r="O254" s="79"/>
      <c r="P254" s="107"/>
      <c r="Q254" s="79">
        <v>100392</v>
      </c>
      <c r="R254" s="79"/>
    </row>
    <row r="255" spans="1:18" s="106" customFormat="1">
      <c r="A255" s="79">
        <v>100393</v>
      </c>
      <c r="B255" s="79">
        <f t="shared" si="13"/>
        <v>1003931</v>
      </c>
      <c r="C255" s="79" t="s">
        <v>468</v>
      </c>
      <c r="D255" s="79">
        <f t="shared" si="14"/>
        <v>1003932</v>
      </c>
      <c r="E255" s="79" t="s">
        <v>472</v>
      </c>
      <c r="F255" s="79">
        <v>1</v>
      </c>
      <c r="G255" s="79">
        <v>0</v>
      </c>
      <c r="H255" s="79" t="s">
        <v>470</v>
      </c>
      <c r="I255" s="79">
        <f t="shared" si="16"/>
        <v>100393</v>
      </c>
      <c r="J255" s="79"/>
      <c r="K255" s="79">
        <v>7</v>
      </c>
      <c r="L255" s="79"/>
      <c r="M255" s="127"/>
      <c r="N255" s="79">
        <v>1</v>
      </c>
      <c r="O255" s="79"/>
      <c r="P255" s="107"/>
      <c r="Q255" s="79">
        <v>100393</v>
      </c>
      <c r="R255" s="79"/>
    </row>
    <row r="256" spans="1:18" s="106" customFormat="1">
      <c r="A256" s="79">
        <v>100401</v>
      </c>
      <c r="B256" s="79">
        <f t="shared" si="13"/>
        <v>1004011</v>
      </c>
      <c r="C256" s="79" t="s">
        <v>473</v>
      </c>
      <c r="D256" s="79">
        <f t="shared" si="14"/>
        <v>1004012</v>
      </c>
      <c r="E256" s="79" t="s">
        <v>474</v>
      </c>
      <c r="F256" s="79">
        <v>1</v>
      </c>
      <c r="G256" s="79">
        <v>0</v>
      </c>
      <c r="H256" s="79" t="s">
        <v>475</v>
      </c>
      <c r="I256" s="79">
        <f t="shared" si="16"/>
        <v>100401</v>
      </c>
      <c r="J256" s="79"/>
      <c r="K256" s="79">
        <v>5</v>
      </c>
      <c r="L256" s="79"/>
      <c r="M256" s="127"/>
      <c r="N256" s="79">
        <v>1</v>
      </c>
      <c r="O256" s="79"/>
      <c r="P256" s="107"/>
      <c r="Q256" s="79">
        <v>100401</v>
      </c>
      <c r="R256" s="79"/>
    </row>
    <row r="257" spans="1:18" s="106" customFormat="1">
      <c r="A257" s="79">
        <v>100402</v>
      </c>
      <c r="B257" s="79">
        <f t="shared" si="13"/>
        <v>1004021</v>
      </c>
      <c r="C257" s="79" t="s">
        <v>473</v>
      </c>
      <c r="D257" s="79">
        <f t="shared" si="14"/>
        <v>1004022</v>
      </c>
      <c r="E257" s="79" t="s">
        <v>476</v>
      </c>
      <c r="F257" s="79">
        <v>1</v>
      </c>
      <c r="G257" s="79">
        <v>0</v>
      </c>
      <c r="H257" s="79" t="s">
        <v>475</v>
      </c>
      <c r="I257" s="79">
        <v>100401</v>
      </c>
      <c r="J257" s="79"/>
      <c r="K257" s="79">
        <v>6</v>
      </c>
      <c r="L257" s="79"/>
      <c r="M257" s="127"/>
      <c r="N257" s="79">
        <v>1</v>
      </c>
      <c r="O257" s="79"/>
      <c r="P257" s="107"/>
      <c r="Q257" s="79">
        <v>100401</v>
      </c>
      <c r="R257" s="79"/>
    </row>
    <row r="258" spans="1:18" s="106" customFormat="1">
      <c r="A258" s="79">
        <v>100403</v>
      </c>
      <c r="B258" s="79">
        <f t="shared" si="13"/>
        <v>1004031</v>
      </c>
      <c r="C258" s="79" t="s">
        <v>473</v>
      </c>
      <c r="D258" s="79">
        <f t="shared" si="14"/>
        <v>1004032</v>
      </c>
      <c r="E258" s="79" t="s">
        <v>477</v>
      </c>
      <c r="F258" s="79">
        <v>1</v>
      </c>
      <c r="G258" s="79">
        <v>0</v>
      </c>
      <c r="H258" s="79" t="s">
        <v>475</v>
      </c>
      <c r="I258" s="79">
        <v>100401</v>
      </c>
      <c r="J258" s="79"/>
      <c r="K258" s="79">
        <v>7</v>
      </c>
      <c r="L258" s="79"/>
      <c r="M258" s="127"/>
      <c r="N258" s="79">
        <v>1</v>
      </c>
      <c r="O258" s="79"/>
      <c r="P258" s="107"/>
      <c r="Q258" s="79">
        <v>100401</v>
      </c>
      <c r="R258" s="79"/>
    </row>
    <row r="259" spans="1:18" s="106" customFormat="1">
      <c r="A259" s="79">
        <v>100411</v>
      </c>
      <c r="B259" s="79">
        <f t="shared" si="13"/>
        <v>1004111</v>
      </c>
      <c r="C259" s="79" t="s">
        <v>478</v>
      </c>
      <c r="D259" s="79">
        <f t="shared" si="14"/>
        <v>1004112</v>
      </c>
      <c r="E259" s="79" t="s">
        <v>479</v>
      </c>
      <c r="F259" s="79">
        <v>1</v>
      </c>
      <c r="G259" s="79">
        <v>0</v>
      </c>
      <c r="H259" s="79" t="s">
        <v>480</v>
      </c>
      <c r="I259" s="79">
        <f>A259</f>
        <v>100411</v>
      </c>
      <c r="J259" s="79"/>
      <c r="K259" s="79">
        <v>5</v>
      </c>
      <c r="L259" s="79"/>
      <c r="M259" s="127"/>
      <c r="N259" s="79">
        <v>1</v>
      </c>
      <c r="O259" s="79"/>
      <c r="P259" s="107"/>
      <c r="Q259" s="79">
        <v>100411</v>
      </c>
      <c r="R259" s="79"/>
    </row>
    <row r="260" spans="1:18" s="106" customFormat="1">
      <c r="A260" s="79">
        <v>100412</v>
      </c>
      <c r="B260" s="79">
        <f t="shared" si="13"/>
        <v>1004121</v>
      </c>
      <c r="C260" s="79" t="s">
        <v>478</v>
      </c>
      <c r="D260" s="79">
        <f t="shared" si="14"/>
        <v>1004122</v>
      </c>
      <c r="E260" s="79" t="s">
        <v>481</v>
      </c>
      <c r="F260" s="79">
        <v>1</v>
      </c>
      <c r="G260" s="79">
        <v>0</v>
      </c>
      <c r="H260" s="79" t="s">
        <v>480</v>
      </c>
      <c r="I260" s="79">
        <v>100411</v>
      </c>
      <c r="J260" s="79"/>
      <c r="K260" s="79">
        <v>6</v>
      </c>
      <c r="L260" s="79"/>
      <c r="M260" s="127"/>
      <c r="N260" s="79">
        <v>1</v>
      </c>
      <c r="O260" s="79"/>
      <c r="P260" s="107"/>
      <c r="Q260" s="79">
        <v>100411</v>
      </c>
      <c r="R260" s="79"/>
    </row>
    <row r="261" spans="1:18" s="106" customFormat="1">
      <c r="A261" s="79">
        <v>100413</v>
      </c>
      <c r="B261" s="79">
        <f t="shared" si="13"/>
        <v>1004131</v>
      </c>
      <c r="C261" s="79" t="s">
        <v>478</v>
      </c>
      <c r="D261" s="79">
        <f t="shared" si="14"/>
        <v>1004132</v>
      </c>
      <c r="E261" s="79" t="s">
        <v>482</v>
      </c>
      <c r="F261" s="79">
        <v>1</v>
      </c>
      <c r="G261" s="79">
        <v>0</v>
      </c>
      <c r="H261" s="79" t="s">
        <v>480</v>
      </c>
      <c r="I261" s="79">
        <v>100411</v>
      </c>
      <c r="J261" s="79"/>
      <c r="K261" s="79">
        <v>7</v>
      </c>
      <c r="L261" s="79"/>
      <c r="M261" s="127"/>
      <c r="N261" s="79">
        <v>1</v>
      </c>
      <c r="O261" s="79"/>
      <c r="P261" s="107"/>
      <c r="Q261" s="79">
        <v>100411</v>
      </c>
      <c r="R261" s="79"/>
    </row>
    <row r="262" spans="1:18" s="106" customFormat="1">
      <c r="A262" s="79">
        <v>100414</v>
      </c>
      <c r="B262" s="79">
        <f t="shared" si="13"/>
        <v>1004141</v>
      </c>
      <c r="C262" s="79" t="s">
        <v>478</v>
      </c>
      <c r="D262" s="79">
        <f t="shared" si="14"/>
        <v>1004142</v>
      </c>
      <c r="E262" s="79" t="s">
        <v>483</v>
      </c>
      <c r="F262" s="79">
        <v>1</v>
      </c>
      <c r="G262" s="79">
        <v>0</v>
      </c>
      <c r="H262" s="79" t="s">
        <v>480</v>
      </c>
      <c r="I262" s="79">
        <v>100411</v>
      </c>
      <c r="J262" s="79"/>
      <c r="K262" s="79">
        <v>4</v>
      </c>
      <c r="L262" s="79"/>
      <c r="M262" s="127"/>
      <c r="N262" s="79">
        <v>1</v>
      </c>
      <c r="O262" s="79"/>
      <c r="P262" s="107"/>
      <c r="Q262" s="79">
        <v>100411</v>
      </c>
      <c r="R262" s="79"/>
    </row>
    <row r="263" spans="1:18" s="106" customFormat="1">
      <c r="A263" s="79">
        <v>100421</v>
      </c>
      <c r="B263" s="79">
        <f t="shared" si="13"/>
        <v>1004211</v>
      </c>
      <c r="C263" s="79" t="s">
        <v>484</v>
      </c>
      <c r="D263" s="79">
        <f t="shared" si="14"/>
        <v>1004212</v>
      </c>
      <c r="E263" s="79" t="s">
        <v>485</v>
      </c>
      <c r="F263" s="79">
        <v>1</v>
      </c>
      <c r="G263" s="79">
        <v>0</v>
      </c>
      <c r="H263" s="79" t="s">
        <v>486</v>
      </c>
      <c r="I263" s="79">
        <f>A263</f>
        <v>100421</v>
      </c>
      <c r="J263" s="79"/>
      <c r="K263" s="79">
        <v>5</v>
      </c>
      <c r="L263" s="79"/>
      <c r="M263" s="127"/>
      <c r="N263" s="79">
        <v>1</v>
      </c>
      <c r="O263" s="79"/>
      <c r="P263" s="107"/>
      <c r="Q263" s="79">
        <v>100421</v>
      </c>
      <c r="R263" s="79"/>
    </row>
    <row r="264" spans="1:18" s="106" customFormat="1">
      <c r="A264" s="79">
        <v>100422</v>
      </c>
      <c r="B264" s="79">
        <f t="shared" si="13"/>
        <v>1004221</v>
      </c>
      <c r="C264" s="79" t="s">
        <v>484</v>
      </c>
      <c r="D264" s="79">
        <f t="shared" si="14"/>
        <v>1004222</v>
      </c>
      <c r="E264" s="79" t="s">
        <v>487</v>
      </c>
      <c r="F264" s="79">
        <v>1</v>
      </c>
      <c r="G264" s="79">
        <v>0</v>
      </c>
      <c r="H264" s="79" t="s">
        <v>486</v>
      </c>
      <c r="I264" s="79">
        <v>100421</v>
      </c>
      <c r="J264" s="79"/>
      <c r="K264" s="79">
        <v>6</v>
      </c>
      <c r="L264" s="79"/>
      <c r="M264" s="127"/>
      <c r="N264" s="79">
        <v>1</v>
      </c>
      <c r="O264" s="79"/>
      <c r="P264" s="107"/>
      <c r="Q264" s="79">
        <v>100421</v>
      </c>
      <c r="R264" s="79"/>
    </row>
    <row r="265" spans="1:18" s="106" customFormat="1">
      <c r="A265" s="79">
        <v>100423</v>
      </c>
      <c r="B265" s="79">
        <f t="shared" si="13"/>
        <v>1004231</v>
      </c>
      <c r="C265" s="79" t="s">
        <v>484</v>
      </c>
      <c r="D265" s="79">
        <f t="shared" si="14"/>
        <v>1004232</v>
      </c>
      <c r="E265" s="79" t="s">
        <v>488</v>
      </c>
      <c r="F265" s="79">
        <v>1</v>
      </c>
      <c r="G265" s="79">
        <v>0</v>
      </c>
      <c r="H265" s="79" t="s">
        <v>486</v>
      </c>
      <c r="I265" s="79">
        <v>100421</v>
      </c>
      <c r="J265" s="79"/>
      <c r="K265" s="79">
        <v>7</v>
      </c>
      <c r="L265" s="79"/>
      <c r="M265" s="127"/>
      <c r="N265" s="79">
        <v>1</v>
      </c>
      <c r="O265" s="79"/>
      <c r="P265" s="107"/>
      <c r="Q265" s="79">
        <v>100421</v>
      </c>
      <c r="R265" s="79"/>
    </row>
    <row r="266" spans="1:18" s="106" customFormat="1">
      <c r="A266" s="79">
        <v>100431</v>
      </c>
      <c r="B266" s="79">
        <f t="shared" si="13"/>
        <v>1004311</v>
      </c>
      <c r="C266" s="79" t="s">
        <v>489</v>
      </c>
      <c r="D266" s="79">
        <f t="shared" si="14"/>
        <v>1004312</v>
      </c>
      <c r="E266" s="79" t="s">
        <v>490</v>
      </c>
      <c r="F266" s="79">
        <v>1</v>
      </c>
      <c r="G266" s="79">
        <v>0</v>
      </c>
      <c r="H266" s="79" t="s">
        <v>491</v>
      </c>
      <c r="I266" s="79">
        <f>A266</f>
        <v>100431</v>
      </c>
      <c r="J266" s="79"/>
      <c r="K266" s="79">
        <v>5</v>
      </c>
      <c r="L266" s="79"/>
      <c r="M266" s="127"/>
      <c r="N266" s="79">
        <v>1</v>
      </c>
      <c r="O266" s="79"/>
      <c r="P266" s="107"/>
      <c r="Q266" s="79">
        <v>100431</v>
      </c>
      <c r="R266" s="79"/>
    </row>
    <row r="267" spans="1:18" s="106" customFormat="1">
      <c r="A267" s="79">
        <v>100432</v>
      </c>
      <c r="B267" s="79">
        <f t="shared" si="13"/>
        <v>1004321</v>
      </c>
      <c r="C267" s="79" t="s">
        <v>489</v>
      </c>
      <c r="D267" s="79">
        <f t="shared" si="14"/>
        <v>1004322</v>
      </c>
      <c r="E267" s="79" t="s">
        <v>492</v>
      </c>
      <c r="F267" s="79">
        <v>1</v>
      </c>
      <c r="G267" s="79">
        <v>0</v>
      </c>
      <c r="H267" s="79" t="s">
        <v>491</v>
      </c>
      <c r="I267" s="79">
        <v>100431</v>
      </c>
      <c r="J267" s="79"/>
      <c r="K267" s="79">
        <v>6</v>
      </c>
      <c r="L267" s="79"/>
      <c r="M267" s="127"/>
      <c r="N267" s="79">
        <v>1</v>
      </c>
      <c r="O267" s="79"/>
      <c r="P267" s="107"/>
      <c r="Q267" s="79">
        <v>100431</v>
      </c>
      <c r="R267" s="79"/>
    </row>
    <row r="268" spans="1:18" s="106" customFormat="1">
      <c r="A268" s="79">
        <v>100433</v>
      </c>
      <c r="B268" s="79">
        <f t="shared" si="13"/>
        <v>1004331</v>
      </c>
      <c r="C268" s="79" t="s">
        <v>489</v>
      </c>
      <c r="D268" s="79">
        <f t="shared" si="14"/>
        <v>1004332</v>
      </c>
      <c r="E268" s="79" t="s">
        <v>493</v>
      </c>
      <c r="F268" s="79">
        <v>1</v>
      </c>
      <c r="G268" s="79">
        <v>0</v>
      </c>
      <c r="H268" s="79" t="s">
        <v>491</v>
      </c>
      <c r="I268" s="79">
        <v>100431</v>
      </c>
      <c r="J268" s="79"/>
      <c r="K268" s="79">
        <v>7</v>
      </c>
      <c r="L268" s="79"/>
      <c r="M268" s="127"/>
      <c r="N268" s="79">
        <v>1</v>
      </c>
      <c r="O268" s="79"/>
      <c r="P268" s="107"/>
      <c r="Q268" s="79">
        <v>100431</v>
      </c>
      <c r="R268" s="79"/>
    </row>
    <row r="269" spans="1:18" s="106" customFormat="1">
      <c r="A269" s="79">
        <v>100434</v>
      </c>
      <c r="B269" s="79">
        <f t="shared" si="13"/>
        <v>1004341</v>
      </c>
      <c r="C269" s="79" t="s">
        <v>489</v>
      </c>
      <c r="D269" s="79">
        <f t="shared" si="14"/>
        <v>1004342</v>
      </c>
      <c r="E269" s="79" t="s">
        <v>494</v>
      </c>
      <c r="F269" s="79">
        <v>1</v>
      </c>
      <c r="G269" s="79">
        <v>0</v>
      </c>
      <c r="H269" s="79" t="s">
        <v>491</v>
      </c>
      <c r="I269" s="79">
        <v>100431</v>
      </c>
      <c r="J269" s="79"/>
      <c r="K269" s="79">
        <v>4</v>
      </c>
      <c r="L269" s="79"/>
      <c r="M269" s="127"/>
      <c r="N269" s="79">
        <v>1</v>
      </c>
      <c r="O269" s="79"/>
      <c r="P269" s="107"/>
      <c r="Q269" s="79">
        <v>100431</v>
      </c>
      <c r="R269" s="79"/>
    </row>
    <row r="270" spans="1:18" s="106" customFormat="1">
      <c r="A270" s="79">
        <v>100441</v>
      </c>
      <c r="B270" s="79">
        <f t="shared" si="13"/>
        <v>1004411</v>
      </c>
      <c r="C270" s="79" t="s">
        <v>495</v>
      </c>
      <c r="D270" s="79">
        <f t="shared" si="14"/>
        <v>1004412</v>
      </c>
      <c r="E270" s="79" t="s">
        <v>496</v>
      </c>
      <c r="F270" s="79">
        <v>1</v>
      </c>
      <c r="G270" s="79">
        <v>0</v>
      </c>
      <c r="H270" s="79" t="s">
        <v>497</v>
      </c>
      <c r="I270" s="79">
        <f>A270</f>
        <v>100441</v>
      </c>
      <c r="J270" s="79"/>
      <c r="K270" s="79">
        <v>5</v>
      </c>
      <c r="L270" s="79"/>
      <c r="M270" s="127"/>
      <c r="N270" s="79">
        <v>1</v>
      </c>
      <c r="O270" s="79"/>
      <c r="P270" s="107"/>
      <c r="Q270" s="79">
        <v>100441</v>
      </c>
      <c r="R270" s="79"/>
    </row>
    <row r="271" spans="1:18" s="106" customFormat="1">
      <c r="A271" s="79">
        <v>100442</v>
      </c>
      <c r="B271" s="79">
        <f t="shared" si="13"/>
        <v>1004421</v>
      </c>
      <c r="C271" s="79" t="s">
        <v>495</v>
      </c>
      <c r="D271" s="79">
        <f t="shared" si="14"/>
        <v>1004422</v>
      </c>
      <c r="E271" s="79" t="s">
        <v>498</v>
      </c>
      <c r="F271" s="79">
        <v>1</v>
      </c>
      <c r="G271" s="79">
        <v>0</v>
      </c>
      <c r="H271" s="79" t="s">
        <v>497</v>
      </c>
      <c r="I271" s="79">
        <v>100441</v>
      </c>
      <c r="J271" s="79"/>
      <c r="K271" s="79">
        <v>6</v>
      </c>
      <c r="L271" s="79"/>
      <c r="M271" s="127"/>
      <c r="N271" s="79">
        <v>1</v>
      </c>
      <c r="O271" s="79"/>
      <c r="P271" s="107"/>
      <c r="Q271" s="79">
        <v>100441</v>
      </c>
      <c r="R271" s="79"/>
    </row>
    <row r="272" spans="1:18" s="106" customFormat="1">
      <c r="A272" s="79">
        <v>100443</v>
      </c>
      <c r="B272" s="79">
        <f t="shared" si="13"/>
        <v>1004431</v>
      </c>
      <c r="C272" s="79" t="s">
        <v>495</v>
      </c>
      <c r="D272" s="79">
        <f t="shared" si="14"/>
        <v>1004432</v>
      </c>
      <c r="E272" s="79" t="s">
        <v>499</v>
      </c>
      <c r="F272" s="79">
        <v>1</v>
      </c>
      <c r="G272" s="79">
        <v>0</v>
      </c>
      <c r="H272" s="79" t="s">
        <v>497</v>
      </c>
      <c r="I272" s="79">
        <v>100441</v>
      </c>
      <c r="J272" s="79"/>
      <c r="K272" s="79">
        <v>7</v>
      </c>
      <c r="L272" s="79"/>
      <c r="M272" s="127"/>
      <c r="N272" s="79">
        <v>1</v>
      </c>
      <c r="O272" s="79"/>
      <c r="P272" s="107"/>
      <c r="Q272" s="79">
        <v>100441</v>
      </c>
      <c r="R272" s="79"/>
    </row>
    <row r="273" spans="1:18" s="106" customFormat="1">
      <c r="A273" s="79">
        <v>100444</v>
      </c>
      <c r="B273" s="79">
        <f t="shared" si="13"/>
        <v>1004441</v>
      </c>
      <c r="C273" s="79" t="s">
        <v>495</v>
      </c>
      <c r="D273" s="79">
        <f t="shared" si="14"/>
        <v>1004442</v>
      </c>
      <c r="E273" s="79" t="s">
        <v>500</v>
      </c>
      <c r="F273" s="79">
        <v>1</v>
      </c>
      <c r="G273" s="79">
        <v>0</v>
      </c>
      <c r="H273" s="79" t="s">
        <v>497</v>
      </c>
      <c r="I273" s="79">
        <v>100441</v>
      </c>
      <c r="J273" s="79"/>
      <c r="K273" s="79">
        <v>4</v>
      </c>
      <c r="L273" s="79"/>
      <c r="M273" s="127"/>
      <c r="N273" s="79">
        <v>1</v>
      </c>
      <c r="O273" s="79"/>
      <c r="P273" s="107"/>
      <c r="Q273" s="79">
        <v>100441</v>
      </c>
      <c r="R273" s="79"/>
    </row>
    <row r="274" spans="1:18" s="106" customFormat="1">
      <c r="A274" s="79">
        <v>100451</v>
      </c>
      <c r="B274" s="79">
        <f t="shared" si="13"/>
        <v>1004511</v>
      </c>
      <c r="C274" s="79" t="s">
        <v>501</v>
      </c>
      <c r="D274" s="79">
        <f t="shared" si="14"/>
        <v>1004512</v>
      </c>
      <c r="E274" s="79" t="s">
        <v>502</v>
      </c>
      <c r="F274" s="79">
        <v>1</v>
      </c>
      <c r="G274" s="79">
        <v>0</v>
      </c>
      <c r="H274" s="79" t="s">
        <v>503</v>
      </c>
      <c r="I274" s="79">
        <f>A274</f>
        <v>100451</v>
      </c>
      <c r="J274" s="79"/>
      <c r="K274" s="79">
        <v>5</v>
      </c>
      <c r="L274" s="79"/>
      <c r="M274" s="127"/>
      <c r="N274" s="79">
        <v>1</v>
      </c>
      <c r="O274" s="79"/>
      <c r="P274" s="107"/>
      <c r="Q274" s="79">
        <v>100451</v>
      </c>
      <c r="R274" s="79"/>
    </row>
    <row r="275" spans="1:18" s="106" customFormat="1">
      <c r="A275" s="79">
        <v>100452</v>
      </c>
      <c r="B275" s="79">
        <f t="shared" si="13"/>
        <v>1004521</v>
      </c>
      <c r="C275" s="79" t="s">
        <v>501</v>
      </c>
      <c r="D275" s="79">
        <f t="shared" si="14"/>
        <v>1004522</v>
      </c>
      <c r="E275" s="79" t="s">
        <v>504</v>
      </c>
      <c r="F275" s="79">
        <v>1</v>
      </c>
      <c r="G275" s="79">
        <v>0</v>
      </c>
      <c r="H275" s="79" t="s">
        <v>503</v>
      </c>
      <c r="I275" s="79">
        <v>100451</v>
      </c>
      <c r="J275" s="79"/>
      <c r="K275" s="79">
        <v>6</v>
      </c>
      <c r="L275" s="79"/>
      <c r="M275" s="127"/>
      <c r="N275" s="79">
        <v>1</v>
      </c>
      <c r="O275" s="79"/>
      <c r="P275" s="107"/>
      <c r="Q275" s="79">
        <v>100451</v>
      </c>
      <c r="R275" s="79"/>
    </row>
    <row r="276" spans="1:18" s="106" customFormat="1">
      <c r="A276" s="79">
        <v>100453</v>
      </c>
      <c r="B276" s="79">
        <f t="shared" si="13"/>
        <v>1004531</v>
      </c>
      <c r="C276" s="79" t="s">
        <v>501</v>
      </c>
      <c r="D276" s="79">
        <f t="shared" si="14"/>
        <v>1004532</v>
      </c>
      <c r="E276" s="79" t="s">
        <v>505</v>
      </c>
      <c r="F276" s="79">
        <v>1</v>
      </c>
      <c r="G276" s="79">
        <v>0</v>
      </c>
      <c r="H276" s="79" t="s">
        <v>503</v>
      </c>
      <c r="I276" s="79">
        <v>100451</v>
      </c>
      <c r="J276" s="79"/>
      <c r="K276" s="79">
        <v>7</v>
      </c>
      <c r="L276" s="79"/>
      <c r="M276" s="127"/>
      <c r="N276" s="79">
        <v>1</v>
      </c>
      <c r="O276" s="79"/>
      <c r="P276" s="107"/>
      <c r="Q276" s="79">
        <v>100451</v>
      </c>
      <c r="R276" s="79"/>
    </row>
    <row r="277" spans="1:18" s="106" customFormat="1">
      <c r="A277" s="79">
        <v>100461</v>
      </c>
      <c r="B277" s="79">
        <f t="shared" si="13"/>
        <v>1004611</v>
      </c>
      <c r="C277" s="79" t="s">
        <v>506</v>
      </c>
      <c r="D277" s="79">
        <f t="shared" si="14"/>
        <v>1004612</v>
      </c>
      <c r="E277" s="79" t="s">
        <v>507</v>
      </c>
      <c r="F277" s="79">
        <v>1</v>
      </c>
      <c r="G277" s="79">
        <v>0</v>
      </c>
      <c r="H277" s="79" t="s">
        <v>508</v>
      </c>
      <c r="I277" s="79">
        <f>A277</f>
        <v>100461</v>
      </c>
      <c r="J277" s="79"/>
      <c r="K277" s="79">
        <v>5</v>
      </c>
      <c r="L277" s="79"/>
      <c r="M277" s="127"/>
      <c r="N277" s="79">
        <v>1</v>
      </c>
      <c r="O277" s="79"/>
      <c r="P277" s="107"/>
      <c r="Q277" s="79">
        <v>100461</v>
      </c>
      <c r="R277" s="79"/>
    </row>
    <row r="278" spans="1:18" s="106" customFormat="1">
      <c r="A278" s="79">
        <v>100462</v>
      </c>
      <c r="B278" s="79">
        <f t="shared" si="13"/>
        <v>1004621</v>
      </c>
      <c r="C278" s="79" t="s">
        <v>506</v>
      </c>
      <c r="D278" s="79">
        <f t="shared" si="14"/>
        <v>1004622</v>
      </c>
      <c r="E278" s="79" t="s">
        <v>509</v>
      </c>
      <c r="F278" s="79">
        <v>1</v>
      </c>
      <c r="G278" s="79">
        <v>0</v>
      </c>
      <c r="H278" s="79" t="s">
        <v>508</v>
      </c>
      <c r="I278" s="79">
        <f>A278</f>
        <v>100462</v>
      </c>
      <c r="J278" s="79"/>
      <c r="K278" s="79">
        <v>6</v>
      </c>
      <c r="L278" s="79"/>
      <c r="M278" s="127"/>
      <c r="N278" s="79">
        <v>1</v>
      </c>
      <c r="O278" s="79"/>
      <c r="P278" s="107"/>
      <c r="Q278" s="79">
        <v>100462</v>
      </c>
      <c r="R278" s="79"/>
    </row>
    <row r="279" spans="1:18" s="106" customFormat="1">
      <c r="A279" s="79">
        <v>100463</v>
      </c>
      <c r="B279" s="79">
        <f t="shared" si="13"/>
        <v>1004631</v>
      </c>
      <c r="C279" s="79" t="s">
        <v>506</v>
      </c>
      <c r="D279" s="79">
        <f t="shared" si="14"/>
        <v>1004632</v>
      </c>
      <c r="E279" s="79" t="s">
        <v>510</v>
      </c>
      <c r="F279" s="79">
        <v>1</v>
      </c>
      <c r="G279" s="79">
        <v>0</v>
      </c>
      <c r="H279" s="79" t="s">
        <v>508</v>
      </c>
      <c r="I279" s="79">
        <f>A279</f>
        <v>100463</v>
      </c>
      <c r="J279" s="79"/>
      <c r="K279" s="79">
        <v>7</v>
      </c>
      <c r="L279" s="79"/>
      <c r="M279" s="127"/>
      <c r="N279" s="79">
        <v>1</v>
      </c>
      <c r="O279" s="79"/>
      <c r="P279" s="107"/>
      <c r="Q279" s="79">
        <v>100462</v>
      </c>
      <c r="R279" s="79"/>
    </row>
    <row r="280" spans="1:18" s="106" customFormat="1">
      <c r="A280" s="107">
        <v>100511</v>
      </c>
      <c r="B280" s="79">
        <f t="shared" si="13"/>
        <v>1005111</v>
      </c>
      <c r="C280" s="79" t="s">
        <v>511</v>
      </c>
      <c r="D280" s="79">
        <f t="shared" si="14"/>
        <v>1005112</v>
      </c>
      <c r="E280" s="79" t="s">
        <v>512</v>
      </c>
      <c r="F280" s="79">
        <v>1</v>
      </c>
      <c r="G280" s="79">
        <v>0</v>
      </c>
      <c r="H280" s="79" t="str">
        <f t="shared" ref="H280:H309" si="17">"icon_"&amp;A280</f>
        <v>icon_100511</v>
      </c>
      <c r="I280" s="79">
        <v>100511</v>
      </c>
      <c r="J280" s="79"/>
      <c r="K280" s="79">
        <v>4</v>
      </c>
      <c r="L280" s="79"/>
      <c r="M280" s="127"/>
      <c r="N280" s="79">
        <v>1</v>
      </c>
      <c r="O280" s="79"/>
      <c r="P280" s="107"/>
      <c r="Q280" s="79">
        <v>100511</v>
      </c>
      <c r="R280" s="79"/>
    </row>
    <row r="281" spans="1:18" s="106" customFormat="1">
      <c r="A281" s="107">
        <v>100521</v>
      </c>
      <c r="B281" s="79">
        <f t="shared" si="13"/>
        <v>1005211</v>
      </c>
      <c r="C281" s="79" t="s">
        <v>513</v>
      </c>
      <c r="D281" s="79">
        <f t="shared" si="14"/>
        <v>1005212</v>
      </c>
      <c r="E281" s="79" t="s">
        <v>514</v>
      </c>
      <c r="F281" s="79">
        <v>1</v>
      </c>
      <c r="G281" s="79">
        <v>0</v>
      </c>
      <c r="H281" s="79" t="str">
        <f t="shared" si="17"/>
        <v>icon_100521</v>
      </c>
      <c r="I281" s="79">
        <v>100521</v>
      </c>
      <c r="J281" s="79"/>
      <c r="K281" s="79">
        <v>4</v>
      </c>
      <c r="L281" s="79"/>
      <c r="M281" s="127"/>
      <c r="N281" s="79">
        <v>1</v>
      </c>
      <c r="O281" s="79"/>
      <c r="P281" s="107"/>
      <c r="Q281" s="79">
        <v>100521</v>
      </c>
      <c r="R281" s="79"/>
    </row>
    <row r="282" spans="1:18" s="106" customFormat="1">
      <c r="A282" s="107">
        <v>100531</v>
      </c>
      <c r="B282" s="79">
        <f t="shared" si="13"/>
        <v>1005311</v>
      </c>
      <c r="C282" s="79" t="s">
        <v>515</v>
      </c>
      <c r="D282" s="79">
        <f t="shared" si="14"/>
        <v>1005312</v>
      </c>
      <c r="E282" s="79" t="s">
        <v>516</v>
      </c>
      <c r="F282" s="79">
        <v>1</v>
      </c>
      <c r="G282" s="79">
        <v>0</v>
      </c>
      <c r="H282" s="79" t="str">
        <f t="shared" si="17"/>
        <v>icon_100531</v>
      </c>
      <c r="I282" s="79">
        <v>100531</v>
      </c>
      <c r="J282" s="79"/>
      <c r="K282" s="79">
        <v>4</v>
      </c>
      <c r="L282" s="79"/>
      <c r="M282" s="127"/>
      <c r="N282" s="79">
        <v>1</v>
      </c>
      <c r="O282" s="79"/>
      <c r="P282" s="107"/>
      <c r="Q282" s="79">
        <v>100531</v>
      </c>
      <c r="R282" s="79"/>
    </row>
    <row r="283" spans="1:18" s="106" customFormat="1">
      <c r="A283" s="79">
        <v>100541</v>
      </c>
      <c r="B283" s="79">
        <f t="shared" si="13"/>
        <v>1005411</v>
      </c>
      <c r="C283" s="79" t="s">
        <v>517</v>
      </c>
      <c r="D283" s="79">
        <f t="shared" si="14"/>
        <v>1005412</v>
      </c>
      <c r="E283" s="79" t="s">
        <v>518</v>
      </c>
      <c r="F283" s="79">
        <v>1</v>
      </c>
      <c r="G283" s="79">
        <v>0</v>
      </c>
      <c r="H283" s="79" t="str">
        <f t="shared" si="17"/>
        <v>icon_100541</v>
      </c>
      <c r="I283" s="79">
        <v>100541</v>
      </c>
      <c r="J283" s="79"/>
      <c r="K283" s="79">
        <v>4</v>
      </c>
      <c r="L283" s="79"/>
      <c r="M283" s="127"/>
      <c r="N283" s="79">
        <v>1</v>
      </c>
      <c r="O283" s="79"/>
      <c r="P283" s="107"/>
      <c r="Q283" s="79">
        <v>100541</v>
      </c>
      <c r="R283" s="79"/>
    </row>
    <row r="284" spans="1:18" s="106" customFormat="1">
      <c r="A284" s="79">
        <v>100551</v>
      </c>
      <c r="B284" s="79">
        <f t="shared" si="13"/>
        <v>1005511</v>
      </c>
      <c r="C284" s="79" t="s">
        <v>519</v>
      </c>
      <c r="D284" s="79">
        <f t="shared" si="14"/>
        <v>1005512</v>
      </c>
      <c r="E284" s="79" t="s">
        <v>520</v>
      </c>
      <c r="F284" s="79">
        <v>1</v>
      </c>
      <c r="G284" s="79">
        <v>0</v>
      </c>
      <c r="H284" s="79" t="str">
        <f t="shared" si="17"/>
        <v>icon_100551</v>
      </c>
      <c r="I284" s="79">
        <v>100551</v>
      </c>
      <c r="J284" s="79"/>
      <c r="K284" s="79">
        <v>4</v>
      </c>
      <c r="L284" s="79"/>
      <c r="M284" s="127"/>
      <c r="N284" s="79">
        <v>1</v>
      </c>
      <c r="O284" s="79"/>
      <c r="P284" s="107"/>
      <c r="Q284" s="79">
        <v>100551</v>
      </c>
      <c r="R284" s="79"/>
    </row>
    <row r="285" spans="1:18" s="106" customFormat="1">
      <c r="A285" s="79">
        <v>100561</v>
      </c>
      <c r="B285" s="79">
        <f t="shared" si="13"/>
        <v>1005611</v>
      </c>
      <c r="C285" s="79" t="s">
        <v>521</v>
      </c>
      <c r="D285" s="79">
        <f t="shared" si="14"/>
        <v>1005612</v>
      </c>
      <c r="E285" s="79" t="s">
        <v>522</v>
      </c>
      <c r="F285" s="79">
        <v>1</v>
      </c>
      <c r="G285" s="79">
        <v>0</v>
      </c>
      <c r="H285" s="79" t="str">
        <f t="shared" si="17"/>
        <v>icon_100561</v>
      </c>
      <c r="I285" s="79">
        <v>100561</v>
      </c>
      <c r="J285" s="79"/>
      <c r="K285" s="79">
        <v>4</v>
      </c>
      <c r="L285" s="79"/>
      <c r="M285" s="127"/>
      <c r="N285" s="79">
        <v>1</v>
      </c>
      <c r="O285" s="79"/>
      <c r="P285" s="107"/>
      <c r="Q285" s="79">
        <v>100561</v>
      </c>
      <c r="R285" s="79"/>
    </row>
    <row r="286" spans="1:18" s="106" customFormat="1">
      <c r="A286" s="79">
        <v>100571</v>
      </c>
      <c r="B286" s="79">
        <f t="shared" si="13"/>
        <v>1005711</v>
      </c>
      <c r="C286" s="79" t="s">
        <v>523</v>
      </c>
      <c r="D286" s="79">
        <f t="shared" si="14"/>
        <v>1005712</v>
      </c>
      <c r="E286" s="79" t="s">
        <v>524</v>
      </c>
      <c r="F286" s="79">
        <v>1</v>
      </c>
      <c r="G286" s="79">
        <v>0</v>
      </c>
      <c r="H286" s="79" t="str">
        <f t="shared" si="17"/>
        <v>icon_100571</v>
      </c>
      <c r="I286" s="79">
        <v>100571</v>
      </c>
      <c r="J286" s="79"/>
      <c r="K286" s="79">
        <v>4</v>
      </c>
      <c r="L286" s="79"/>
      <c r="M286" s="127"/>
      <c r="N286" s="79">
        <v>1</v>
      </c>
      <c r="O286" s="79"/>
      <c r="P286" s="107"/>
      <c r="Q286" s="79">
        <v>100571</v>
      </c>
      <c r="R286" s="79"/>
    </row>
    <row r="287" spans="1:18" s="106" customFormat="1">
      <c r="A287" s="79">
        <v>100581</v>
      </c>
      <c r="B287" s="79">
        <f t="shared" si="13"/>
        <v>1005811</v>
      </c>
      <c r="C287" s="79" t="s">
        <v>525</v>
      </c>
      <c r="D287" s="79">
        <f t="shared" si="14"/>
        <v>1005812</v>
      </c>
      <c r="E287" s="79" t="s">
        <v>526</v>
      </c>
      <c r="F287" s="79">
        <v>1</v>
      </c>
      <c r="G287" s="79">
        <v>0</v>
      </c>
      <c r="H287" s="79" t="str">
        <f t="shared" si="17"/>
        <v>icon_100581</v>
      </c>
      <c r="I287" s="79">
        <v>100581</v>
      </c>
      <c r="J287" s="79"/>
      <c r="K287" s="79">
        <v>4</v>
      </c>
      <c r="L287" s="79"/>
      <c r="M287" s="127"/>
      <c r="N287" s="79">
        <v>1</v>
      </c>
      <c r="O287" s="79"/>
      <c r="P287" s="107"/>
      <c r="Q287" s="79">
        <v>100581</v>
      </c>
      <c r="R287" s="79"/>
    </row>
    <row r="288" spans="1:18" s="106" customFormat="1">
      <c r="A288" s="79">
        <v>100591</v>
      </c>
      <c r="B288" s="79">
        <f t="shared" si="13"/>
        <v>1005911</v>
      </c>
      <c r="C288" s="79" t="s">
        <v>527</v>
      </c>
      <c r="D288" s="79">
        <f t="shared" si="14"/>
        <v>1005912</v>
      </c>
      <c r="E288" s="79" t="s">
        <v>528</v>
      </c>
      <c r="F288" s="79">
        <v>1</v>
      </c>
      <c r="G288" s="79">
        <v>0</v>
      </c>
      <c r="H288" s="79" t="str">
        <f t="shared" si="17"/>
        <v>icon_100591</v>
      </c>
      <c r="I288" s="79">
        <v>100591</v>
      </c>
      <c r="J288" s="79"/>
      <c r="K288" s="79">
        <v>4</v>
      </c>
      <c r="L288" s="79"/>
      <c r="M288" s="127"/>
      <c r="N288" s="79">
        <v>1</v>
      </c>
      <c r="O288" s="79"/>
      <c r="P288" s="107"/>
      <c r="Q288" s="79">
        <v>100591</v>
      </c>
      <c r="R288" s="79"/>
    </row>
    <row r="289" spans="1:18" s="106" customFormat="1">
      <c r="A289" s="79">
        <v>100601</v>
      </c>
      <c r="B289" s="79">
        <f t="shared" si="13"/>
        <v>1006011</v>
      </c>
      <c r="C289" s="79" t="s">
        <v>529</v>
      </c>
      <c r="D289" s="79">
        <f t="shared" si="14"/>
        <v>1006012</v>
      </c>
      <c r="E289" s="79" t="s">
        <v>530</v>
      </c>
      <c r="F289" s="79">
        <v>1</v>
      </c>
      <c r="G289" s="79">
        <v>0</v>
      </c>
      <c r="H289" s="79" t="str">
        <f t="shared" si="17"/>
        <v>icon_100601</v>
      </c>
      <c r="I289" s="79">
        <v>100601</v>
      </c>
      <c r="J289" s="79"/>
      <c r="K289" s="79">
        <v>4</v>
      </c>
      <c r="L289" s="79"/>
      <c r="M289" s="127"/>
      <c r="N289" s="79">
        <v>1</v>
      </c>
      <c r="O289" s="79"/>
      <c r="P289" s="107"/>
      <c r="Q289" s="79">
        <v>100601</v>
      </c>
      <c r="R289" s="79"/>
    </row>
    <row r="290" spans="1:18" s="106" customFormat="1">
      <c r="A290" s="79">
        <v>100611</v>
      </c>
      <c r="B290" s="79">
        <f t="shared" si="13"/>
        <v>1006111</v>
      </c>
      <c r="C290" s="79" t="s">
        <v>531</v>
      </c>
      <c r="D290" s="79">
        <f t="shared" si="14"/>
        <v>1006112</v>
      </c>
      <c r="E290" s="79" t="s">
        <v>532</v>
      </c>
      <c r="F290" s="79">
        <v>1</v>
      </c>
      <c r="G290" s="79">
        <v>0</v>
      </c>
      <c r="H290" s="79" t="str">
        <f t="shared" si="17"/>
        <v>icon_100611</v>
      </c>
      <c r="I290" s="79">
        <v>100611</v>
      </c>
      <c r="J290" s="79"/>
      <c r="K290" s="79">
        <v>4</v>
      </c>
      <c r="L290" s="79"/>
      <c r="M290" s="127"/>
      <c r="N290" s="79">
        <v>1</v>
      </c>
      <c r="O290" s="79"/>
      <c r="P290" s="107"/>
      <c r="Q290" s="79">
        <v>100611</v>
      </c>
      <c r="R290" s="79"/>
    </row>
    <row r="291" spans="1:18" s="106" customFormat="1">
      <c r="A291" s="79">
        <v>100621</v>
      </c>
      <c r="B291" s="79">
        <f t="shared" si="13"/>
        <v>1006211</v>
      </c>
      <c r="C291" s="79" t="s">
        <v>533</v>
      </c>
      <c r="D291" s="79">
        <f t="shared" si="14"/>
        <v>1006212</v>
      </c>
      <c r="E291" s="79" t="s">
        <v>534</v>
      </c>
      <c r="F291" s="79">
        <v>1</v>
      </c>
      <c r="G291" s="79">
        <v>0</v>
      </c>
      <c r="H291" s="79" t="str">
        <f t="shared" si="17"/>
        <v>icon_100621</v>
      </c>
      <c r="I291" s="79">
        <v>100621</v>
      </c>
      <c r="J291" s="79"/>
      <c r="K291" s="79">
        <v>4</v>
      </c>
      <c r="L291" s="79"/>
      <c r="M291" s="127"/>
      <c r="N291" s="79">
        <v>1</v>
      </c>
      <c r="O291" s="79"/>
      <c r="P291" s="107"/>
      <c r="Q291" s="79">
        <v>100621</v>
      </c>
      <c r="R291" s="79"/>
    </row>
    <row r="292" spans="1:18" s="106" customFormat="1">
      <c r="A292" s="79">
        <v>100631</v>
      </c>
      <c r="B292" s="79">
        <f t="shared" si="13"/>
        <v>1006311</v>
      </c>
      <c r="C292" s="79" t="s">
        <v>535</v>
      </c>
      <c r="D292" s="79">
        <f t="shared" si="14"/>
        <v>1006312</v>
      </c>
      <c r="E292" s="79" t="s">
        <v>536</v>
      </c>
      <c r="F292" s="79">
        <v>1</v>
      </c>
      <c r="G292" s="79">
        <v>0</v>
      </c>
      <c r="H292" s="79" t="str">
        <f t="shared" si="17"/>
        <v>icon_100631</v>
      </c>
      <c r="I292" s="79">
        <v>100631</v>
      </c>
      <c r="J292" s="79"/>
      <c r="K292" s="79">
        <v>4</v>
      </c>
      <c r="L292" s="79"/>
      <c r="M292" s="127"/>
      <c r="N292" s="79">
        <v>1</v>
      </c>
      <c r="O292" s="79"/>
      <c r="P292" s="107"/>
      <c r="Q292" s="79">
        <v>100631</v>
      </c>
      <c r="R292" s="79"/>
    </row>
    <row r="293" spans="1:18" s="106" customFormat="1">
      <c r="A293" s="79">
        <v>100641</v>
      </c>
      <c r="B293" s="79">
        <f t="shared" si="13"/>
        <v>1006411</v>
      </c>
      <c r="C293" s="79" t="s">
        <v>537</v>
      </c>
      <c r="D293" s="79">
        <f t="shared" si="14"/>
        <v>1006412</v>
      </c>
      <c r="E293" s="79" t="s">
        <v>538</v>
      </c>
      <c r="F293" s="79">
        <v>1</v>
      </c>
      <c r="G293" s="79">
        <v>0</v>
      </c>
      <c r="H293" s="79" t="str">
        <f t="shared" si="17"/>
        <v>icon_100641</v>
      </c>
      <c r="I293" s="79">
        <v>100641</v>
      </c>
      <c r="J293" s="79"/>
      <c r="K293" s="79">
        <v>4</v>
      </c>
      <c r="L293" s="79"/>
      <c r="M293" s="127"/>
      <c r="N293" s="79">
        <v>1</v>
      </c>
      <c r="O293" s="79"/>
      <c r="P293" s="107"/>
      <c r="Q293" s="79">
        <v>100641</v>
      </c>
      <c r="R293" s="79"/>
    </row>
    <row r="294" spans="1:18" s="106" customFormat="1">
      <c r="A294" s="79">
        <v>100651</v>
      </c>
      <c r="B294" s="79">
        <f t="shared" si="13"/>
        <v>1006511</v>
      </c>
      <c r="C294" s="79" t="s">
        <v>539</v>
      </c>
      <c r="D294" s="79">
        <f t="shared" si="14"/>
        <v>1006512</v>
      </c>
      <c r="E294" s="79" t="s">
        <v>540</v>
      </c>
      <c r="F294" s="79">
        <v>1</v>
      </c>
      <c r="G294" s="79">
        <v>0</v>
      </c>
      <c r="H294" s="79" t="str">
        <f t="shared" si="17"/>
        <v>icon_100651</v>
      </c>
      <c r="I294" s="79">
        <v>100651</v>
      </c>
      <c r="J294" s="79"/>
      <c r="K294" s="79">
        <v>4</v>
      </c>
      <c r="L294" s="79"/>
      <c r="M294" s="127"/>
      <c r="N294" s="79">
        <v>1</v>
      </c>
      <c r="O294" s="79"/>
      <c r="P294" s="107"/>
      <c r="Q294" s="79">
        <v>100651</v>
      </c>
      <c r="R294" s="79"/>
    </row>
    <row r="295" spans="1:18" s="106" customFormat="1">
      <c r="A295" s="79">
        <v>100661</v>
      </c>
      <c r="B295" s="79">
        <f t="shared" si="13"/>
        <v>1006611</v>
      </c>
      <c r="C295" s="79" t="s">
        <v>541</v>
      </c>
      <c r="D295" s="79">
        <f t="shared" si="14"/>
        <v>1006612</v>
      </c>
      <c r="E295" s="79" t="s">
        <v>542</v>
      </c>
      <c r="F295" s="79">
        <v>1</v>
      </c>
      <c r="G295" s="79">
        <v>0</v>
      </c>
      <c r="H295" s="79" t="str">
        <f t="shared" si="17"/>
        <v>icon_100661</v>
      </c>
      <c r="I295" s="79">
        <v>100661</v>
      </c>
      <c r="J295" s="79"/>
      <c r="K295" s="79">
        <v>4</v>
      </c>
      <c r="L295" s="79"/>
      <c r="M295" s="127"/>
      <c r="N295" s="79">
        <v>1</v>
      </c>
      <c r="O295" s="79"/>
      <c r="P295" s="107"/>
      <c r="Q295" s="79">
        <v>100661</v>
      </c>
      <c r="R295" s="79"/>
    </row>
    <row r="296" spans="1:18" s="106" customFormat="1">
      <c r="A296" s="79">
        <v>100671</v>
      </c>
      <c r="B296" s="79">
        <f t="shared" ref="B296:B350" si="18">A296*10+1</f>
        <v>1006711</v>
      </c>
      <c r="C296" s="79" t="s">
        <v>543</v>
      </c>
      <c r="D296" s="79">
        <f t="shared" ref="D296:D350" si="19">A296*10+2</f>
        <v>1006712</v>
      </c>
      <c r="E296" s="79" t="s">
        <v>544</v>
      </c>
      <c r="F296" s="79">
        <v>1</v>
      </c>
      <c r="G296" s="79">
        <v>0</v>
      </c>
      <c r="H296" s="79" t="str">
        <f t="shared" si="17"/>
        <v>icon_100671</v>
      </c>
      <c r="I296" s="79">
        <v>100671</v>
      </c>
      <c r="J296" s="79"/>
      <c r="K296" s="79">
        <v>4</v>
      </c>
      <c r="L296" s="79"/>
      <c r="M296" s="127"/>
      <c r="N296" s="79">
        <v>1</v>
      </c>
      <c r="O296" s="79"/>
      <c r="P296" s="107"/>
      <c r="Q296" s="79">
        <v>100671</v>
      </c>
      <c r="R296" s="105"/>
    </row>
    <row r="297" spans="1:18" s="106" customFormat="1">
      <c r="A297" s="79">
        <v>100681</v>
      </c>
      <c r="B297" s="79">
        <f t="shared" si="18"/>
        <v>1006811</v>
      </c>
      <c r="C297" s="79" t="s">
        <v>545</v>
      </c>
      <c r="D297" s="79">
        <f t="shared" si="19"/>
        <v>1006812</v>
      </c>
      <c r="E297" s="79" t="s">
        <v>546</v>
      </c>
      <c r="F297" s="79">
        <v>1</v>
      </c>
      <c r="G297" s="79">
        <v>0</v>
      </c>
      <c r="H297" s="79" t="str">
        <f t="shared" si="17"/>
        <v>icon_100681</v>
      </c>
      <c r="I297" s="79">
        <v>100681</v>
      </c>
      <c r="J297" s="79"/>
      <c r="K297" s="79">
        <v>4</v>
      </c>
      <c r="L297" s="79"/>
      <c r="M297" s="127"/>
      <c r="N297" s="79">
        <v>1</v>
      </c>
      <c r="O297" s="79"/>
      <c r="P297" s="107"/>
      <c r="Q297" s="79">
        <v>100681</v>
      </c>
      <c r="R297" s="79"/>
    </row>
    <row r="298" spans="1:18" s="106" customFormat="1">
      <c r="A298" s="79">
        <v>100691</v>
      </c>
      <c r="B298" s="79">
        <f t="shared" si="18"/>
        <v>1006911</v>
      </c>
      <c r="C298" s="79" t="s">
        <v>547</v>
      </c>
      <c r="D298" s="79">
        <f t="shared" si="19"/>
        <v>1006912</v>
      </c>
      <c r="E298" s="79" t="s">
        <v>548</v>
      </c>
      <c r="F298" s="79">
        <v>1</v>
      </c>
      <c r="G298" s="79">
        <v>0</v>
      </c>
      <c r="H298" s="79" t="str">
        <f t="shared" si="17"/>
        <v>icon_100691</v>
      </c>
      <c r="I298" s="79">
        <v>100691</v>
      </c>
      <c r="J298" s="79"/>
      <c r="K298" s="79">
        <v>4</v>
      </c>
      <c r="L298" s="79"/>
      <c r="M298" s="127"/>
      <c r="N298" s="79">
        <v>1</v>
      </c>
      <c r="O298" s="79"/>
      <c r="P298" s="107"/>
      <c r="Q298" s="79">
        <v>100691</v>
      </c>
      <c r="R298" s="79"/>
    </row>
    <row r="299" spans="1:18" s="106" customFormat="1">
      <c r="A299" s="79">
        <v>100701</v>
      </c>
      <c r="B299" s="79">
        <f t="shared" si="18"/>
        <v>1007011</v>
      </c>
      <c r="C299" s="79" t="s">
        <v>549</v>
      </c>
      <c r="D299" s="79">
        <f t="shared" si="19"/>
        <v>1007012</v>
      </c>
      <c r="E299" s="79" t="s">
        <v>550</v>
      </c>
      <c r="F299" s="79">
        <v>1</v>
      </c>
      <c r="G299" s="79">
        <v>0</v>
      </c>
      <c r="H299" s="79" t="str">
        <f t="shared" si="17"/>
        <v>icon_100701</v>
      </c>
      <c r="I299" s="79">
        <v>100701</v>
      </c>
      <c r="J299" s="79"/>
      <c r="K299" s="79">
        <v>4</v>
      </c>
      <c r="L299" s="79"/>
      <c r="M299" s="127"/>
      <c r="N299" s="79">
        <v>1</v>
      </c>
      <c r="O299" s="79"/>
      <c r="P299" s="107"/>
      <c r="Q299" s="79">
        <v>100701</v>
      </c>
      <c r="R299" s="79"/>
    </row>
    <row r="300" spans="1:18" s="106" customFormat="1">
      <c r="A300" s="79">
        <v>100711</v>
      </c>
      <c r="B300" s="79">
        <f t="shared" si="18"/>
        <v>1007111</v>
      </c>
      <c r="C300" s="79" t="s">
        <v>551</v>
      </c>
      <c r="D300" s="79">
        <f t="shared" si="19"/>
        <v>1007112</v>
      </c>
      <c r="E300" s="79" t="s">
        <v>552</v>
      </c>
      <c r="F300" s="79">
        <v>1</v>
      </c>
      <c r="G300" s="79">
        <v>0</v>
      </c>
      <c r="H300" s="79" t="str">
        <f t="shared" si="17"/>
        <v>icon_100711</v>
      </c>
      <c r="I300" s="79">
        <v>100711</v>
      </c>
      <c r="J300" s="79"/>
      <c r="K300" s="79">
        <v>4</v>
      </c>
      <c r="L300" s="79"/>
      <c r="M300" s="127"/>
      <c r="N300" s="79">
        <v>1</v>
      </c>
      <c r="O300" s="79"/>
      <c r="P300" s="107"/>
      <c r="Q300" s="79">
        <v>100711</v>
      </c>
      <c r="R300" s="79"/>
    </row>
    <row r="301" spans="1:18" s="106" customFormat="1">
      <c r="A301" s="79">
        <v>100721</v>
      </c>
      <c r="B301" s="79">
        <f t="shared" si="18"/>
        <v>1007211</v>
      </c>
      <c r="C301" s="79" t="s">
        <v>553</v>
      </c>
      <c r="D301" s="79">
        <f t="shared" si="19"/>
        <v>1007212</v>
      </c>
      <c r="E301" s="79" t="s">
        <v>554</v>
      </c>
      <c r="F301" s="79">
        <v>1</v>
      </c>
      <c r="G301" s="79">
        <v>0</v>
      </c>
      <c r="H301" s="79" t="str">
        <f t="shared" si="17"/>
        <v>icon_100721</v>
      </c>
      <c r="I301" s="79">
        <v>100721</v>
      </c>
      <c r="J301" s="79"/>
      <c r="K301" s="79">
        <v>4</v>
      </c>
      <c r="L301" s="79"/>
      <c r="M301" s="127"/>
      <c r="N301" s="79">
        <v>1</v>
      </c>
      <c r="O301" s="79"/>
      <c r="P301" s="107"/>
      <c r="Q301" s="79">
        <v>100721</v>
      </c>
      <c r="R301" s="79"/>
    </row>
    <row r="302" spans="1:18" s="106" customFormat="1">
      <c r="A302" s="79">
        <v>100731</v>
      </c>
      <c r="B302" s="79">
        <f t="shared" si="18"/>
        <v>1007311</v>
      </c>
      <c r="C302" s="79" t="s">
        <v>555</v>
      </c>
      <c r="D302" s="79">
        <f t="shared" si="19"/>
        <v>1007312</v>
      </c>
      <c r="E302" s="79" t="s">
        <v>556</v>
      </c>
      <c r="F302" s="79">
        <v>1</v>
      </c>
      <c r="G302" s="79">
        <v>0</v>
      </c>
      <c r="H302" s="79" t="str">
        <f t="shared" si="17"/>
        <v>icon_100731</v>
      </c>
      <c r="I302" s="79">
        <v>100731</v>
      </c>
      <c r="J302" s="79"/>
      <c r="K302" s="79">
        <v>4</v>
      </c>
      <c r="L302" s="79"/>
      <c r="M302" s="127"/>
      <c r="N302" s="79">
        <v>1</v>
      </c>
      <c r="O302" s="79"/>
      <c r="P302" s="107"/>
      <c r="Q302" s="79">
        <v>100731</v>
      </c>
      <c r="R302" s="79"/>
    </row>
    <row r="303" spans="1:18" s="106" customFormat="1">
      <c r="A303" s="79">
        <v>100741</v>
      </c>
      <c r="B303" s="79">
        <f t="shared" si="18"/>
        <v>1007411</v>
      </c>
      <c r="C303" s="79" t="s">
        <v>557</v>
      </c>
      <c r="D303" s="79">
        <f t="shared" si="19"/>
        <v>1007412</v>
      </c>
      <c r="E303" s="79" t="s">
        <v>558</v>
      </c>
      <c r="F303" s="79">
        <v>1</v>
      </c>
      <c r="G303" s="79">
        <v>0</v>
      </c>
      <c r="H303" s="79" t="str">
        <f t="shared" si="17"/>
        <v>icon_100741</v>
      </c>
      <c r="I303" s="79">
        <v>100741</v>
      </c>
      <c r="J303" s="79"/>
      <c r="K303" s="79">
        <v>4</v>
      </c>
      <c r="L303" s="79"/>
      <c r="M303" s="127"/>
      <c r="N303" s="79">
        <v>1</v>
      </c>
      <c r="O303" s="79"/>
      <c r="P303" s="107"/>
      <c r="Q303" s="79">
        <v>100741</v>
      </c>
      <c r="R303" s="79"/>
    </row>
    <row r="304" spans="1:18" s="106" customFormat="1">
      <c r="A304" s="79">
        <v>100751</v>
      </c>
      <c r="B304" s="79">
        <f t="shared" si="18"/>
        <v>1007511</v>
      </c>
      <c r="C304" s="79" t="s">
        <v>559</v>
      </c>
      <c r="D304" s="79">
        <f t="shared" si="19"/>
        <v>1007512</v>
      </c>
      <c r="E304" s="79" t="s">
        <v>560</v>
      </c>
      <c r="F304" s="79">
        <v>1</v>
      </c>
      <c r="G304" s="79">
        <v>0</v>
      </c>
      <c r="H304" s="79" t="str">
        <f t="shared" si="17"/>
        <v>icon_100751</v>
      </c>
      <c r="I304" s="79">
        <v>100751</v>
      </c>
      <c r="J304" s="79"/>
      <c r="K304" s="79">
        <v>4</v>
      </c>
      <c r="L304" s="79"/>
      <c r="M304" s="127"/>
      <c r="N304" s="79">
        <v>1</v>
      </c>
      <c r="O304" s="79"/>
      <c r="P304" s="107"/>
      <c r="Q304" s="79">
        <v>100751</v>
      </c>
      <c r="R304" s="79"/>
    </row>
    <row r="305" spans="1:22" s="106" customFormat="1">
      <c r="A305" s="79">
        <v>100761</v>
      </c>
      <c r="B305" s="79">
        <f t="shared" si="18"/>
        <v>1007611</v>
      </c>
      <c r="C305" s="79" t="s">
        <v>561</v>
      </c>
      <c r="D305" s="79">
        <f t="shared" si="19"/>
        <v>1007612</v>
      </c>
      <c r="E305" s="79" t="s">
        <v>562</v>
      </c>
      <c r="F305" s="79">
        <v>1</v>
      </c>
      <c r="G305" s="79">
        <v>0</v>
      </c>
      <c r="H305" s="79" t="str">
        <f t="shared" si="17"/>
        <v>icon_100761</v>
      </c>
      <c r="I305" s="79">
        <v>100761</v>
      </c>
      <c r="J305" s="79"/>
      <c r="K305" s="79">
        <v>4</v>
      </c>
      <c r="L305" s="79"/>
      <c r="M305" s="127"/>
      <c r="N305" s="79">
        <v>1</v>
      </c>
      <c r="O305" s="79"/>
      <c r="P305" s="107"/>
      <c r="Q305" s="79">
        <v>100761</v>
      </c>
      <c r="R305" s="79"/>
    </row>
    <row r="306" spans="1:22" s="106" customFormat="1">
      <c r="A306" s="79">
        <v>100771</v>
      </c>
      <c r="B306" s="79">
        <f t="shared" si="18"/>
        <v>1007711</v>
      </c>
      <c r="C306" s="79" t="s">
        <v>563</v>
      </c>
      <c r="D306" s="79">
        <f t="shared" si="19"/>
        <v>1007712</v>
      </c>
      <c r="E306" s="79" t="s">
        <v>564</v>
      </c>
      <c r="F306" s="79">
        <v>1</v>
      </c>
      <c r="G306" s="79">
        <v>0</v>
      </c>
      <c r="H306" s="79" t="str">
        <f t="shared" si="17"/>
        <v>icon_100771</v>
      </c>
      <c r="I306" s="79">
        <v>100771</v>
      </c>
      <c r="J306" s="79"/>
      <c r="K306" s="79">
        <v>4</v>
      </c>
      <c r="L306" s="79"/>
      <c r="M306" s="127"/>
      <c r="N306" s="79">
        <v>1</v>
      </c>
      <c r="O306" s="79"/>
      <c r="P306" s="107"/>
      <c r="Q306" s="79">
        <v>100771</v>
      </c>
      <c r="R306" s="79"/>
    </row>
    <row r="307" spans="1:22" s="106" customFormat="1">
      <c r="A307" s="79">
        <v>100781</v>
      </c>
      <c r="B307" s="79">
        <f t="shared" si="18"/>
        <v>1007811</v>
      </c>
      <c r="C307" s="79" t="s">
        <v>565</v>
      </c>
      <c r="D307" s="79">
        <f t="shared" si="19"/>
        <v>1007812</v>
      </c>
      <c r="E307" s="79" t="s">
        <v>566</v>
      </c>
      <c r="F307" s="79">
        <v>1</v>
      </c>
      <c r="G307" s="79">
        <v>0</v>
      </c>
      <c r="H307" s="79" t="str">
        <f t="shared" si="17"/>
        <v>icon_100781</v>
      </c>
      <c r="I307" s="79">
        <v>100781</v>
      </c>
      <c r="J307" s="79"/>
      <c r="K307" s="79">
        <v>4</v>
      </c>
      <c r="L307" s="79"/>
      <c r="M307" s="127"/>
      <c r="N307" s="79">
        <v>1</v>
      </c>
      <c r="O307" s="79"/>
      <c r="P307" s="107"/>
      <c r="Q307" s="79">
        <v>100781</v>
      </c>
      <c r="R307" s="79"/>
    </row>
    <row r="308" spans="1:22" s="106" customFormat="1">
      <c r="A308" s="79">
        <v>100791</v>
      </c>
      <c r="B308" s="79">
        <f t="shared" si="18"/>
        <v>1007911</v>
      </c>
      <c r="C308" s="79" t="s">
        <v>567</v>
      </c>
      <c r="D308" s="79">
        <f t="shared" si="19"/>
        <v>1007912</v>
      </c>
      <c r="E308" s="79" t="s">
        <v>568</v>
      </c>
      <c r="F308" s="79">
        <v>1</v>
      </c>
      <c r="G308" s="79">
        <v>0</v>
      </c>
      <c r="H308" s="79" t="str">
        <f t="shared" si="17"/>
        <v>icon_100791</v>
      </c>
      <c r="I308" s="79">
        <v>100791</v>
      </c>
      <c r="J308" s="79"/>
      <c r="K308" s="79">
        <v>4</v>
      </c>
      <c r="L308" s="79"/>
      <c r="M308" s="127"/>
      <c r="N308" s="79">
        <v>1</v>
      </c>
      <c r="O308" s="79"/>
      <c r="P308" s="107"/>
      <c r="Q308" s="79">
        <v>100791</v>
      </c>
      <c r="R308" s="79"/>
    </row>
    <row r="309" spans="1:22" s="106" customFormat="1">
      <c r="A309" s="79">
        <v>100801</v>
      </c>
      <c r="B309" s="79">
        <f t="shared" si="18"/>
        <v>1008011</v>
      </c>
      <c r="C309" s="79" t="s">
        <v>569</v>
      </c>
      <c r="D309" s="79">
        <f t="shared" si="19"/>
        <v>1008012</v>
      </c>
      <c r="E309" s="79" t="s">
        <v>570</v>
      </c>
      <c r="F309" s="79">
        <v>1</v>
      </c>
      <c r="G309" s="79">
        <v>0</v>
      </c>
      <c r="H309" s="79" t="str">
        <f t="shared" si="17"/>
        <v>icon_100801</v>
      </c>
      <c r="I309" s="79">
        <v>100801</v>
      </c>
      <c r="J309" s="79"/>
      <c r="K309" s="79">
        <v>4</v>
      </c>
      <c r="L309" s="79"/>
      <c r="M309" s="127"/>
      <c r="N309" s="79">
        <v>1</v>
      </c>
      <c r="O309" s="79"/>
      <c r="P309" s="107"/>
      <c r="Q309" s="79">
        <v>100801</v>
      </c>
      <c r="R309" s="79"/>
    </row>
    <row r="310" spans="1:22" s="106" customFormat="1">
      <c r="A310" s="78">
        <v>100811</v>
      </c>
      <c r="B310" s="79">
        <f t="shared" si="18"/>
        <v>1008111</v>
      </c>
      <c r="C310" s="92" t="s">
        <v>571</v>
      </c>
      <c r="D310" s="79">
        <f t="shared" si="19"/>
        <v>1008112</v>
      </c>
      <c r="E310" s="92" t="s">
        <v>572</v>
      </c>
      <c r="F310" s="79">
        <v>1</v>
      </c>
      <c r="G310" s="79">
        <v>0</v>
      </c>
      <c r="H310" s="92" t="s">
        <v>573</v>
      </c>
      <c r="I310" s="78">
        <v>100812</v>
      </c>
      <c r="J310" s="92"/>
      <c r="K310" s="79">
        <v>5</v>
      </c>
      <c r="L310" s="79"/>
      <c r="M310" s="127"/>
      <c r="N310" s="79">
        <v>1</v>
      </c>
      <c r="O310" s="79"/>
      <c r="P310" s="107"/>
      <c r="Q310" s="78">
        <v>100812</v>
      </c>
      <c r="R310" s="92"/>
    </row>
    <row r="311" spans="1:22" s="106" customFormat="1">
      <c r="A311" s="78">
        <v>100812</v>
      </c>
      <c r="B311" s="79">
        <f t="shared" si="18"/>
        <v>1008121</v>
      </c>
      <c r="C311" s="92" t="s">
        <v>571</v>
      </c>
      <c r="D311" s="79">
        <f t="shared" si="19"/>
        <v>1008122</v>
      </c>
      <c r="E311" s="92" t="s">
        <v>574</v>
      </c>
      <c r="F311" s="79">
        <v>1</v>
      </c>
      <c r="G311" s="79">
        <v>0</v>
      </c>
      <c r="H311" s="92" t="s">
        <v>573</v>
      </c>
      <c r="I311" s="78">
        <v>100812</v>
      </c>
      <c r="J311" s="92"/>
      <c r="K311" s="79">
        <v>6</v>
      </c>
      <c r="L311" s="79"/>
      <c r="M311" s="127"/>
      <c r="N311" s="79">
        <v>1</v>
      </c>
      <c r="O311" s="79"/>
      <c r="P311" s="107"/>
      <c r="Q311" s="78">
        <v>100812</v>
      </c>
      <c r="R311" s="92"/>
      <c r="S311" s="92"/>
      <c r="T311" s="92"/>
      <c r="U311" s="92"/>
      <c r="V311" s="92"/>
    </row>
    <row r="312" spans="1:22" s="106" customFormat="1">
      <c r="A312" s="78">
        <v>100813</v>
      </c>
      <c r="B312" s="79">
        <f t="shared" si="18"/>
        <v>1008131</v>
      </c>
      <c r="C312" s="92" t="s">
        <v>571</v>
      </c>
      <c r="D312" s="79">
        <f t="shared" si="19"/>
        <v>1008132</v>
      </c>
      <c r="E312" s="92" t="s">
        <v>575</v>
      </c>
      <c r="F312" s="79">
        <v>1</v>
      </c>
      <c r="G312" s="79">
        <v>0</v>
      </c>
      <c r="H312" s="92" t="s">
        <v>576</v>
      </c>
      <c r="I312" s="78">
        <v>100813</v>
      </c>
      <c r="J312" s="92"/>
      <c r="K312" s="79">
        <v>7</v>
      </c>
      <c r="L312" s="79"/>
      <c r="M312" s="127"/>
      <c r="N312" s="79">
        <v>1</v>
      </c>
      <c r="O312" s="79"/>
      <c r="P312" s="107"/>
      <c r="Q312" s="78">
        <v>100813</v>
      </c>
      <c r="R312" s="92"/>
      <c r="S312" s="92"/>
      <c r="T312" s="92"/>
      <c r="U312" s="92"/>
      <c r="V312" s="92"/>
    </row>
    <row r="313" spans="1:22" s="106" customFormat="1">
      <c r="A313" s="78">
        <v>100814</v>
      </c>
      <c r="B313" s="79">
        <f t="shared" si="18"/>
        <v>1008141</v>
      </c>
      <c r="C313" s="92" t="s">
        <v>571</v>
      </c>
      <c r="D313" s="79">
        <f t="shared" si="19"/>
        <v>1008142</v>
      </c>
      <c r="E313" s="92" t="s">
        <v>577</v>
      </c>
      <c r="F313" s="78">
        <v>1</v>
      </c>
      <c r="G313" s="78">
        <v>0</v>
      </c>
      <c r="H313" s="92" t="s">
        <v>578</v>
      </c>
      <c r="I313" s="78">
        <v>100811</v>
      </c>
      <c r="J313" s="92"/>
      <c r="K313" s="79">
        <v>4</v>
      </c>
      <c r="L313" s="92"/>
      <c r="M313" s="92"/>
      <c r="N313" s="79">
        <v>1</v>
      </c>
      <c r="O313" s="92"/>
      <c r="P313" s="92"/>
      <c r="Q313" s="78">
        <v>100811</v>
      </c>
      <c r="R313" s="92"/>
      <c r="S313" s="92"/>
      <c r="T313" s="92"/>
      <c r="U313" s="92"/>
      <c r="V313" s="92"/>
    </row>
    <row r="314" spans="1:22" s="106" customFormat="1">
      <c r="A314" s="78">
        <v>100824</v>
      </c>
      <c r="B314" s="79">
        <f t="shared" si="18"/>
        <v>1008241</v>
      </c>
      <c r="C314" s="92" t="s">
        <v>579</v>
      </c>
      <c r="D314" s="79">
        <f t="shared" si="19"/>
        <v>1008242</v>
      </c>
      <c r="E314" s="92" t="s">
        <v>580</v>
      </c>
      <c r="F314" s="79">
        <v>1</v>
      </c>
      <c r="G314" s="79">
        <v>0</v>
      </c>
      <c r="H314" s="92" t="s">
        <v>581</v>
      </c>
      <c r="I314" s="78">
        <v>100824</v>
      </c>
      <c r="J314" s="92"/>
      <c r="K314" s="79">
        <v>7</v>
      </c>
      <c r="L314" s="79"/>
      <c r="M314" s="127"/>
      <c r="N314" s="79">
        <v>1</v>
      </c>
      <c r="O314" s="79"/>
      <c r="P314" s="107"/>
      <c r="Q314" s="78">
        <v>100824</v>
      </c>
      <c r="R314" s="92"/>
    </row>
    <row r="315" spans="1:22" s="106" customFormat="1">
      <c r="A315" s="78">
        <v>100831</v>
      </c>
      <c r="B315" s="79">
        <f t="shared" si="18"/>
        <v>1008311</v>
      </c>
      <c r="C315" s="92" t="s">
        <v>582</v>
      </c>
      <c r="D315" s="79">
        <f t="shared" si="19"/>
        <v>1008312</v>
      </c>
      <c r="E315" s="92" t="s">
        <v>583</v>
      </c>
      <c r="F315" s="78">
        <v>1</v>
      </c>
      <c r="G315" s="78">
        <v>0</v>
      </c>
      <c r="H315" s="92" t="s">
        <v>584</v>
      </c>
      <c r="I315" s="78">
        <v>100831</v>
      </c>
      <c r="J315" s="92"/>
      <c r="K315" s="79">
        <v>4</v>
      </c>
      <c r="L315" s="92"/>
      <c r="M315" s="92"/>
      <c r="N315" s="79">
        <v>1</v>
      </c>
      <c r="O315" s="92"/>
      <c r="P315" s="92"/>
      <c r="Q315" s="78">
        <v>100831</v>
      </c>
      <c r="R315" s="92"/>
    </row>
    <row r="316" spans="1:22" s="106" customFormat="1">
      <c r="A316" s="78">
        <v>100832</v>
      </c>
      <c r="B316" s="79">
        <f t="shared" si="18"/>
        <v>1008321</v>
      </c>
      <c r="C316" s="92" t="s">
        <v>582</v>
      </c>
      <c r="D316" s="79">
        <f t="shared" si="19"/>
        <v>1008322</v>
      </c>
      <c r="E316" s="92" t="s">
        <v>585</v>
      </c>
      <c r="F316" s="79">
        <v>1</v>
      </c>
      <c r="G316" s="79">
        <v>0</v>
      </c>
      <c r="H316" s="92" t="s">
        <v>584</v>
      </c>
      <c r="I316" s="78">
        <v>100832</v>
      </c>
      <c r="J316" s="92"/>
      <c r="K316" s="79">
        <v>5</v>
      </c>
      <c r="L316" s="79"/>
      <c r="M316" s="127"/>
      <c r="N316" s="79">
        <v>1</v>
      </c>
      <c r="O316" s="79"/>
      <c r="P316" s="107"/>
      <c r="Q316" s="78">
        <v>100832</v>
      </c>
      <c r="R316" s="79"/>
    </row>
    <row r="317" spans="1:22" s="106" customFormat="1">
      <c r="A317" s="78">
        <v>100833</v>
      </c>
      <c r="B317" s="79">
        <f t="shared" si="18"/>
        <v>1008331</v>
      </c>
      <c r="C317" s="92" t="s">
        <v>582</v>
      </c>
      <c r="D317" s="79">
        <f t="shared" si="19"/>
        <v>1008332</v>
      </c>
      <c r="E317" s="92" t="s">
        <v>586</v>
      </c>
      <c r="F317" s="79">
        <v>1</v>
      </c>
      <c r="G317" s="79">
        <v>0</v>
      </c>
      <c r="H317" s="92" t="s">
        <v>584</v>
      </c>
      <c r="I317" s="78">
        <v>100833</v>
      </c>
      <c r="J317" s="92"/>
      <c r="K317" s="79">
        <v>6</v>
      </c>
      <c r="L317" s="79"/>
      <c r="M317" s="127"/>
      <c r="N317" s="79">
        <v>1</v>
      </c>
      <c r="O317" s="79"/>
      <c r="P317" s="107"/>
      <c r="Q317" s="78">
        <v>100833</v>
      </c>
      <c r="R317" s="79"/>
    </row>
    <row r="318" spans="1:22" s="106" customFormat="1">
      <c r="A318" s="78">
        <v>100834</v>
      </c>
      <c r="B318" s="79">
        <f t="shared" si="18"/>
        <v>1008341</v>
      </c>
      <c r="C318" s="92" t="s">
        <v>582</v>
      </c>
      <c r="D318" s="79">
        <f t="shared" si="19"/>
        <v>1008342</v>
      </c>
      <c r="E318" s="92" t="s">
        <v>580</v>
      </c>
      <c r="F318" s="79">
        <v>1</v>
      </c>
      <c r="G318" s="79">
        <v>0</v>
      </c>
      <c r="H318" s="92" t="s">
        <v>584</v>
      </c>
      <c r="I318" s="78">
        <v>100834</v>
      </c>
      <c r="J318" s="92"/>
      <c r="K318" s="79">
        <v>7</v>
      </c>
      <c r="L318" s="79"/>
      <c r="M318" s="127"/>
      <c r="N318" s="79">
        <v>1</v>
      </c>
      <c r="O318" s="79"/>
      <c r="P318" s="107"/>
      <c r="Q318" s="78">
        <v>100834</v>
      </c>
      <c r="R318" s="79"/>
    </row>
    <row r="319" spans="1:22" s="106" customFormat="1">
      <c r="A319" s="78">
        <v>100841</v>
      </c>
      <c r="B319" s="79">
        <f t="shared" si="18"/>
        <v>1008411</v>
      </c>
      <c r="C319" s="92" t="s">
        <v>587</v>
      </c>
      <c r="D319" s="79">
        <f t="shared" si="19"/>
        <v>1008412</v>
      </c>
      <c r="E319" s="92" t="s">
        <v>583</v>
      </c>
      <c r="F319" s="78">
        <v>1</v>
      </c>
      <c r="G319" s="78">
        <v>0</v>
      </c>
      <c r="H319" s="92" t="s">
        <v>588</v>
      </c>
      <c r="I319" s="78">
        <v>100841</v>
      </c>
      <c r="J319" s="92"/>
      <c r="K319" s="79">
        <v>4</v>
      </c>
      <c r="L319" s="92"/>
      <c r="M319" s="92"/>
      <c r="N319" s="79">
        <v>1</v>
      </c>
      <c r="O319" s="92"/>
      <c r="P319" s="92"/>
      <c r="Q319" s="78">
        <v>100841</v>
      </c>
      <c r="R319" s="79"/>
    </row>
    <row r="320" spans="1:22">
      <c r="A320" s="78">
        <v>100842</v>
      </c>
      <c r="B320" s="79">
        <f t="shared" si="18"/>
        <v>1008421</v>
      </c>
      <c r="C320" s="92" t="s">
        <v>587</v>
      </c>
      <c r="D320" s="79">
        <f t="shared" si="19"/>
        <v>1008422</v>
      </c>
      <c r="E320" s="92" t="s">
        <v>585</v>
      </c>
      <c r="F320" s="79">
        <v>1</v>
      </c>
      <c r="G320" s="79">
        <v>0</v>
      </c>
      <c r="H320" s="92" t="s">
        <v>589</v>
      </c>
      <c r="I320" s="78">
        <v>100842</v>
      </c>
      <c r="J320" s="92"/>
      <c r="K320" s="79">
        <v>5</v>
      </c>
      <c r="L320" s="79"/>
      <c r="M320" s="127"/>
      <c r="N320" s="79">
        <v>1</v>
      </c>
      <c r="O320" s="79"/>
      <c r="P320" s="107"/>
      <c r="Q320" s="78">
        <v>100842</v>
      </c>
      <c r="R320" s="79"/>
    </row>
    <row r="321" spans="1:18">
      <c r="A321" s="78">
        <v>100843</v>
      </c>
      <c r="B321" s="79">
        <f t="shared" si="18"/>
        <v>1008431</v>
      </c>
      <c r="C321" s="92" t="s">
        <v>587</v>
      </c>
      <c r="D321" s="79">
        <f t="shared" si="19"/>
        <v>1008432</v>
      </c>
      <c r="E321" s="92" t="s">
        <v>586</v>
      </c>
      <c r="F321" s="79">
        <v>1</v>
      </c>
      <c r="G321" s="79">
        <v>0</v>
      </c>
      <c r="H321" s="92" t="s">
        <v>590</v>
      </c>
      <c r="I321" s="78">
        <v>100843</v>
      </c>
      <c r="J321" s="92"/>
      <c r="K321" s="79">
        <v>6</v>
      </c>
      <c r="L321" s="79"/>
      <c r="M321" s="127"/>
      <c r="N321" s="79">
        <v>1</v>
      </c>
      <c r="O321" s="79"/>
      <c r="P321" s="107"/>
      <c r="Q321" s="78">
        <v>100843</v>
      </c>
      <c r="R321" s="79"/>
    </row>
    <row r="322" spans="1:18">
      <c r="A322" s="78">
        <v>100844</v>
      </c>
      <c r="B322" s="79">
        <f t="shared" si="18"/>
        <v>1008441</v>
      </c>
      <c r="C322" s="92" t="s">
        <v>587</v>
      </c>
      <c r="D322" s="79">
        <f t="shared" si="19"/>
        <v>1008442</v>
      </c>
      <c r="E322" s="92" t="s">
        <v>580</v>
      </c>
      <c r="F322" s="79">
        <v>1</v>
      </c>
      <c r="G322" s="79">
        <v>0</v>
      </c>
      <c r="H322" s="92" t="s">
        <v>591</v>
      </c>
      <c r="I322" s="78">
        <v>100844</v>
      </c>
      <c r="J322" s="92"/>
      <c r="K322" s="79">
        <v>7</v>
      </c>
      <c r="L322" s="79"/>
      <c r="M322" s="127"/>
      <c r="N322" s="79">
        <v>1</v>
      </c>
      <c r="O322" s="79"/>
      <c r="P322" s="107"/>
      <c r="Q322" s="78">
        <v>100844</v>
      </c>
      <c r="R322" s="79"/>
    </row>
    <row r="323" spans="1:18" s="94" customFormat="1">
      <c r="A323" s="78">
        <v>100853</v>
      </c>
      <c r="B323" s="93">
        <f t="shared" si="18"/>
        <v>1008531</v>
      </c>
      <c r="C323" s="92" t="s">
        <v>592</v>
      </c>
      <c r="D323" s="93">
        <f t="shared" si="19"/>
        <v>1008532</v>
      </c>
      <c r="E323" s="92" t="s">
        <v>593</v>
      </c>
      <c r="F323" s="93">
        <v>1</v>
      </c>
      <c r="G323" s="93">
        <v>0</v>
      </c>
      <c r="H323" s="92" t="s">
        <v>594</v>
      </c>
      <c r="I323" s="78">
        <v>100853</v>
      </c>
      <c r="J323" s="92"/>
      <c r="K323" s="93">
        <v>6</v>
      </c>
      <c r="L323" s="93"/>
      <c r="M323" s="117"/>
      <c r="N323" s="93">
        <v>1</v>
      </c>
      <c r="O323" s="93"/>
      <c r="P323" s="98"/>
      <c r="Q323" s="78">
        <v>100853</v>
      </c>
      <c r="R323" s="93"/>
    </row>
    <row r="324" spans="1:18" s="94" customFormat="1">
      <c r="A324" s="78">
        <v>100854</v>
      </c>
      <c r="B324" s="93">
        <f t="shared" si="18"/>
        <v>1008541</v>
      </c>
      <c r="C324" s="92" t="s">
        <v>592</v>
      </c>
      <c r="D324" s="93">
        <f t="shared" si="19"/>
        <v>1008542</v>
      </c>
      <c r="E324" s="92" t="s">
        <v>595</v>
      </c>
      <c r="F324" s="93">
        <v>1</v>
      </c>
      <c r="G324" s="93">
        <v>0</v>
      </c>
      <c r="H324" s="92" t="s">
        <v>596</v>
      </c>
      <c r="I324" s="78">
        <v>100854</v>
      </c>
      <c r="J324" s="92"/>
      <c r="K324" s="93">
        <v>7</v>
      </c>
      <c r="L324" s="93"/>
      <c r="M324" s="117"/>
      <c r="N324" s="93">
        <v>1</v>
      </c>
      <c r="O324" s="93"/>
      <c r="P324" s="98"/>
      <c r="Q324" s="78">
        <v>100854</v>
      </c>
      <c r="R324" s="93"/>
    </row>
    <row r="325" spans="1:18" s="106" customFormat="1">
      <c r="A325" s="78">
        <v>100861</v>
      </c>
      <c r="B325" s="79">
        <f t="shared" si="18"/>
        <v>1008611</v>
      </c>
      <c r="C325" s="92" t="s">
        <v>597</v>
      </c>
      <c r="D325" s="79">
        <f t="shared" si="19"/>
        <v>1008612</v>
      </c>
      <c r="E325" s="92" t="s">
        <v>598</v>
      </c>
      <c r="F325" s="79">
        <v>1</v>
      </c>
      <c r="G325" s="79">
        <v>0</v>
      </c>
      <c r="H325" s="92" t="s">
        <v>599</v>
      </c>
      <c r="I325" s="78">
        <v>100861</v>
      </c>
      <c r="J325" s="92"/>
      <c r="K325" s="79">
        <v>3</v>
      </c>
      <c r="L325" s="79"/>
      <c r="M325" s="127"/>
      <c r="N325" s="79">
        <v>1</v>
      </c>
      <c r="O325" s="79"/>
      <c r="P325" s="107"/>
      <c r="Q325" s="78">
        <v>100861</v>
      </c>
      <c r="R325" s="79"/>
    </row>
    <row r="326" spans="1:18" s="106" customFormat="1">
      <c r="A326" s="78">
        <v>100862</v>
      </c>
      <c r="B326" s="79">
        <f t="shared" si="18"/>
        <v>1008621</v>
      </c>
      <c r="C326" s="92" t="s">
        <v>597</v>
      </c>
      <c r="D326" s="79">
        <f t="shared" si="19"/>
        <v>1008622</v>
      </c>
      <c r="E326" s="92" t="s">
        <v>600</v>
      </c>
      <c r="F326" s="79">
        <v>1</v>
      </c>
      <c r="G326" s="79">
        <v>0</v>
      </c>
      <c r="H326" s="92" t="s">
        <v>599</v>
      </c>
      <c r="I326" s="78">
        <v>100862</v>
      </c>
      <c r="J326" s="92"/>
      <c r="K326" s="79">
        <v>4</v>
      </c>
      <c r="L326" s="79"/>
      <c r="M326" s="127"/>
      <c r="N326" s="79">
        <v>1</v>
      </c>
      <c r="O326" s="79"/>
      <c r="P326" s="107"/>
      <c r="Q326" s="78">
        <v>100862</v>
      </c>
      <c r="R326" s="79"/>
    </row>
    <row r="327" spans="1:18" s="106" customFormat="1">
      <c r="A327" s="78">
        <v>100863</v>
      </c>
      <c r="B327" s="79">
        <f t="shared" si="18"/>
        <v>1008631</v>
      </c>
      <c r="C327" s="92" t="s">
        <v>597</v>
      </c>
      <c r="D327" s="79">
        <f t="shared" si="19"/>
        <v>1008632</v>
      </c>
      <c r="E327" s="92" t="s">
        <v>601</v>
      </c>
      <c r="F327" s="79">
        <v>1</v>
      </c>
      <c r="G327" s="79">
        <v>0</v>
      </c>
      <c r="H327" s="92" t="s">
        <v>599</v>
      </c>
      <c r="I327" s="78">
        <v>100863</v>
      </c>
      <c r="J327" s="92"/>
      <c r="K327" s="79">
        <v>5</v>
      </c>
      <c r="L327" s="79"/>
      <c r="M327" s="127"/>
      <c r="N327" s="79">
        <v>1</v>
      </c>
      <c r="O327" s="79"/>
      <c r="P327" s="107"/>
      <c r="Q327" s="78">
        <v>100863</v>
      </c>
      <c r="R327" s="79"/>
    </row>
    <row r="328" spans="1:18" s="106" customFormat="1">
      <c r="A328" s="78">
        <v>100872</v>
      </c>
      <c r="B328" s="79">
        <f t="shared" si="18"/>
        <v>1008721</v>
      </c>
      <c r="C328" s="92" t="s">
        <v>602</v>
      </c>
      <c r="D328" s="79">
        <f t="shared" si="19"/>
        <v>1008722</v>
      </c>
      <c r="E328" s="92" t="s">
        <v>603</v>
      </c>
      <c r="F328" s="79">
        <v>1</v>
      </c>
      <c r="G328" s="79">
        <v>0</v>
      </c>
      <c r="H328" s="92" t="s">
        <v>604</v>
      </c>
      <c r="I328" s="78">
        <v>100872</v>
      </c>
      <c r="J328" s="92"/>
      <c r="K328" s="79">
        <v>5</v>
      </c>
      <c r="L328" s="79"/>
      <c r="M328" s="127"/>
      <c r="N328" s="79">
        <v>1</v>
      </c>
      <c r="O328" s="79"/>
      <c r="P328" s="107"/>
      <c r="Q328" s="78">
        <v>100872</v>
      </c>
      <c r="R328" s="79"/>
    </row>
    <row r="329" spans="1:18" s="106" customFormat="1">
      <c r="A329" s="78">
        <v>100873</v>
      </c>
      <c r="B329" s="79">
        <f t="shared" si="18"/>
        <v>1008731</v>
      </c>
      <c r="C329" s="92" t="s">
        <v>602</v>
      </c>
      <c r="D329" s="79">
        <f t="shared" si="19"/>
        <v>1008732</v>
      </c>
      <c r="E329" s="92" t="s">
        <v>605</v>
      </c>
      <c r="F329" s="79">
        <v>1</v>
      </c>
      <c r="G329" s="79">
        <v>0</v>
      </c>
      <c r="H329" s="92" t="s">
        <v>604</v>
      </c>
      <c r="I329" s="78">
        <v>100873</v>
      </c>
      <c r="J329" s="92"/>
      <c r="K329" s="79">
        <v>6</v>
      </c>
      <c r="L329" s="79"/>
      <c r="M329" s="127"/>
      <c r="N329" s="79">
        <v>1</v>
      </c>
      <c r="O329" s="79"/>
      <c r="P329" s="107"/>
      <c r="Q329" s="78">
        <v>100873</v>
      </c>
      <c r="R329" s="79"/>
    </row>
    <row r="330" spans="1:18" s="106" customFormat="1">
      <c r="A330" s="78">
        <v>100874</v>
      </c>
      <c r="B330" s="79">
        <f t="shared" si="18"/>
        <v>1008741</v>
      </c>
      <c r="C330" s="92" t="s">
        <v>602</v>
      </c>
      <c r="D330" s="79">
        <f t="shared" si="19"/>
        <v>1008742</v>
      </c>
      <c r="E330" s="92" t="s">
        <v>606</v>
      </c>
      <c r="F330" s="79">
        <v>1</v>
      </c>
      <c r="G330" s="79">
        <v>0</v>
      </c>
      <c r="H330" s="92" t="s">
        <v>604</v>
      </c>
      <c r="I330" s="78">
        <v>100874</v>
      </c>
      <c r="J330" s="92"/>
      <c r="K330" s="79">
        <v>7</v>
      </c>
      <c r="L330" s="79"/>
      <c r="M330" s="127"/>
      <c r="N330" s="79">
        <v>1</v>
      </c>
      <c r="O330" s="79"/>
      <c r="P330" s="107"/>
      <c r="Q330" s="78">
        <v>100874</v>
      </c>
      <c r="R330" s="79"/>
    </row>
    <row r="331" spans="1:18" s="106" customFormat="1">
      <c r="A331" s="78">
        <v>100881</v>
      </c>
      <c r="B331" s="79">
        <f t="shared" si="18"/>
        <v>1008811</v>
      </c>
      <c r="C331" s="92" t="s">
        <v>607</v>
      </c>
      <c r="D331" s="79">
        <f t="shared" si="19"/>
        <v>1008812</v>
      </c>
      <c r="E331" s="92" t="s">
        <v>608</v>
      </c>
      <c r="F331" s="79">
        <v>1</v>
      </c>
      <c r="G331" s="79">
        <v>0</v>
      </c>
      <c r="H331" s="92" t="s">
        <v>609</v>
      </c>
      <c r="I331" s="78">
        <v>100882</v>
      </c>
      <c r="J331" s="92"/>
      <c r="K331" s="79">
        <v>4</v>
      </c>
      <c r="L331" s="79"/>
      <c r="M331" s="127"/>
      <c r="N331" s="79">
        <v>1</v>
      </c>
      <c r="O331" s="79"/>
      <c r="P331" s="107"/>
      <c r="Q331" s="78">
        <v>100881</v>
      </c>
      <c r="R331" s="79"/>
    </row>
    <row r="332" spans="1:18" s="106" customFormat="1">
      <c r="A332" s="78">
        <v>100882</v>
      </c>
      <c r="B332" s="79">
        <f t="shared" si="18"/>
        <v>1008821</v>
      </c>
      <c r="C332" s="92" t="s">
        <v>607</v>
      </c>
      <c r="D332" s="79">
        <f t="shared" si="19"/>
        <v>1008822</v>
      </c>
      <c r="E332" s="92" t="s">
        <v>610</v>
      </c>
      <c r="F332" s="79">
        <v>1</v>
      </c>
      <c r="G332" s="79">
        <v>0</v>
      </c>
      <c r="H332" s="92" t="s">
        <v>609</v>
      </c>
      <c r="I332" s="78">
        <v>100882</v>
      </c>
      <c r="J332" s="92"/>
      <c r="K332" s="79">
        <v>5</v>
      </c>
      <c r="L332" s="79"/>
      <c r="M332" s="127"/>
      <c r="N332" s="79">
        <v>1</v>
      </c>
      <c r="O332" s="79"/>
      <c r="P332" s="107"/>
      <c r="Q332" s="78">
        <v>100882</v>
      </c>
      <c r="R332" s="79"/>
    </row>
    <row r="333" spans="1:18" s="106" customFormat="1">
      <c r="A333" s="78">
        <v>100883</v>
      </c>
      <c r="B333" s="79">
        <f t="shared" si="18"/>
        <v>1008831</v>
      </c>
      <c r="C333" s="92" t="s">
        <v>607</v>
      </c>
      <c r="D333" s="79">
        <f t="shared" si="19"/>
        <v>1008832</v>
      </c>
      <c r="E333" s="92" t="s">
        <v>611</v>
      </c>
      <c r="F333" s="79">
        <v>1</v>
      </c>
      <c r="G333" s="79">
        <v>0</v>
      </c>
      <c r="H333" s="92" t="s">
        <v>609</v>
      </c>
      <c r="I333" s="78">
        <v>100883</v>
      </c>
      <c r="J333" s="92"/>
      <c r="K333" s="79">
        <v>6</v>
      </c>
      <c r="L333" s="79"/>
      <c r="M333" s="127"/>
      <c r="N333" s="79">
        <v>1</v>
      </c>
      <c r="O333" s="79"/>
      <c r="P333" s="107"/>
      <c r="Q333" s="78">
        <v>100883</v>
      </c>
      <c r="R333" s="79"/>
    </row>
    <row r="334" spans="1:18" s="106" customFormat="1">
      <c r="A334" s="78">
        <v>100884</v>
      </c>
      <c r="B334" s="79">
        <f t="shared" si="18"/>
        <v>1008841</v>
      </c>
      <c r="C334" s="92" t="s">
        <v>607</v>
      </c>
      <c r="D334" s="79">
        <f t="shared" si="19"/>
        <v>1008842</v>
      </c>
      <c r="E334" s="92" t="s">
        <v>612</v>
      </c>
      <c r="F334" s="79">
        <v>1</v>
      </c>
      <c r="G334" s="79">
        <v>0</v>
      </c>
      <c r="H334" s="92" t="s">
        <v>609</v>
      </c>
      <c r="I334" s="78">
        <v>100884</v>
      </c>
      <c r="J334" s="92"/>
      <c r="K334" s="79">
        <v>7</v>
      </c>
      <c r="L334" s="79"/>
      <c r="M334" s="127"/>
      <c r="N334" s="79">
        <v>1</v>
      </c>
      <c r="O334" s="79"/>
      <c r="P334" s="107"/>
      <c r="Q334" s="78">
        <v>100884</v>
      </c>
      <c r="R334" s="79"/>
    </row>
    <row r="335" spans="1:18" s="106" customFormat="1">
      <c r="A335" s="78">
        <v>100894</v>
      </c>
      <c r="B335" s="79">
        <f t="shared" si="18"/>
        <v>1008941</v>
      </c>
      <c r="C335" s="92" t="s">
        <v>613</v>
      </c>
      <c r="D335" s="79">
        <f t="shared" si="19"/>
        <v>1008942</v>
      </c>
      <c r="E335" s="92" t="s">
        <v>614</v>
      </c>
      <c r="F335" s="79">
        <v>1</v>
      </c>
      <c r="G335" s="79">
        <v>0</v>
      </c>
      <c r="H335" s="92" t="s">
        <v>615</v>
      </c>
      <c r="I335" s="78">
        <v>100894</v>
      </c>
      <c r="J335" s="92"/>
      <c r="K335" s="79">
        <v>7</v>
      </c>
      <c r="L335" s="79"/>
      <c r="M335" s="127"/>
      <c r="N335" s="79">
        <v>1</v>
      </c>
      <c r="O335" s="79"/>
      <c r="P335" s="107"/>
      <c r="Q335" s="78">
        <v>100894</v>
      </c>
      <c r="R335" s="79"/>
    </row>
    <row r="336" spans="1:18" s="106" customFormat="1">
      <c r="A336" s="78">
        <v>100912</v>
      </c>
      <c r="B336" s="79">
        <f t="shared" si="18"/>
        <v>1009121</v>
      </c>
      <c r="C336" s="92" t="s">
        <v>616</v>
      </c>
      <c r="D336" s="79">
        <f t="shared" si="19"/>
        <v>1009122</v>
      </c>
      <c r="E336" s="92" t="s">
        <v>617</v>
      </c>
      <c r="F336" s="79">
        <v>1</v>
      </c>
      <c r="G336" s="79">
        <v>0</v>
      </c>
      <c r="H336" s="92" t="s">
        <v>618</v>
      </c>
      <c r="I336" s="78">
        <v>100912</v>
      </c>
      <c r="J336" s="92"/>
      <c r="K336" s="79">
        <v>5</v>
      </c>
      <c r="L336" s="79"/>
      <c r="M336" s="127"/>
      <c r="N336" s="79">
        <v>1</v>
      </c>
      <c r="O336" s="79"/>
      <c r="P336" s="107"/>
      <c r="Q336" s="78">
        <v>100912</v>
      </c>
      <c r="R336" s="79"/>
    </row>
    <row r="337" spans="1:18" s="106" customFormat="1">
      <c r="A337" s="78">
        <v>100913</v>
      </c>
      <c r="B337" s="79">
        <f t="shared" si="18"/>
        <v>1009131</v>
      </c>
      <c r="C337" s="92" t="s">
        <v>616</v>
      </c>
      <c r="D337" s="79">
        <f t="shared" si="19"/>
        <v>1009132</v>
      </c>
      <c r="E337" s="92" t="s">
        <v>619</v>
      </c>
      <c r="F337" s="79">
        <v>1</v>
      </c>
      <c r="G337" s="79">
        <v>0</v>
      </c>
      <c r="H337" s="92" t="s">
        <v>618</v>
      </c>
      <c r="I337" s="78">
        <v>100913</v>
      </c>
      <c r="J337" s="92"/>
      <c r="K337" s="79">
        <v>6</v>
      </c>
      <c r="L337" s="79"/>
      <c r="M337" s="127"/>
      <c r="N337" s="79">
        <v>1</v>
      </c>
      <c r="O337" s="79"/>
      <c r="P337" s="107"/>
      <c r="Q337" s="78">
        <v>100913</v>
      </c>
      <c r="R337" s="79"/>
    </row>
    <row r="338" spans="1:18" s="106" customFormat="1">
      <c r="A338" s="78">
        <v>100914</v>
      </c>
      <c r="B338" s="79">
        <f t="shared" si="18"/>
        <v>1009141</v>
      </c>
      <c r="C338" s="92" t="s">
        <v>616</v>
      </c>
      <c r="D338" s="79">
        <f t="shared" si="19"/>
        <v>1009142</v>
      </c>
      <c r="E338" s="92" t="s">
        <v>620</v>
      </c>
      <c r="F338" s="79">
        <v>1</v>
      </c>
      <c r="G338" s="79">
        <v>0</v>
      </c>
      <c r="H338" s="92" t="s">
        <v>618</v>
      </c>
      <c r="I338" s="78">
        <v>100914</v>
      </c>
      <c r="J338" s="92"/>
      <c r="K338" s="79">
        <v>7</v>
      </c>
      <c r="L338" s="79"/>
      <c r="M338" s="127"/>
      <c r="N338" s="79">
        <v>1</v>
      </c>
      <c r="O338" s="79"/>
      <c r="P338" s="107"/>
      <c r="Q338" s="78">
        <v>100914</v>
      </c>
      <c r="R338" s="79"/>
    </row>
    <row r="339" spans="1:18" s="106" customFormat="1">
      <c r="A339" s="78">
        <v>100922</v>
      </c>
      <c r="B339" s="79">
        <f t="shared" si="18"/>
        <v>1009221</v>
      </c>
      <c r="C339" s="92" t="s">
        <v>621</v>
      </c>
      <c r="D339" s="79">
        <f t="shared" si="19"/>
        <v>1009222</v>
      </c>
      <c r="E339" s="92" t="s">
        <v>622</v>
      </c>
      <c r="F339" s="79">
        <v>1</v>
      </c>
      <c r="G339" s="79">
        <v>0</v>
      </c>
      <c r="H339" s="92" t="s">
        <v>623</v>
      </c>
      <c r="I339" s="78">
        <v>100922</v>
      </c>
      <c r="J339" s="92"/>
      <c r="K339" s="79">
        <v>5</v>
      </c>
      <c r="L339" s="79"/>
      <c r="M339" s="127"/>
      <c r="N339" s="79">
        <v>1</v>
      </c>
      <c r="O339" s="79"/>
      <c r="P339" s="107"/>
      <c r="Q339" s="78">
        <v>100922</v>
      </c>
      <c r="R339" s="79"/>
    </row>
    <row r="340" spans="1:18" s="106" customFormat="1">
      <c r="A340" s="78">
        <v>100923</v>
      </c>
      <c r="B340" s="79">
        <f t="shared" si="18"/>
        <v>1009231</v>
      </c>
      <c r="C340" s="92" t="s">
        <v>621</v>
      </c>
      <c r="D340" s="79">
        <f t="shared" si="19"/>
        <v>1009232</v>
      </c>
      <c r="E340" s="92" t="s">
        <v>624</v>
      </c>
      <c r="F340" s="79">
        <v>1</v>
      </c>
      <c r="G340" s="79">
        <v>0</v>
      </c>
      <c r="H340" s="92" t="s">
        <v>623</v>
      </c>
      <c r="I340" s="78">
        <v>100923</v>
      </c>
      <c r="J340" s="92"/>
      <c r="K340" s="79">
        <v>6</v>
      </c>
      <c r="L340" s="79"/>
      <c r="M340" s="127"/>
      <c r="N340" s="79">
        <v>1</v>
      </c>
      <c r="O340" s="79"/>
      <c r="P340" s="107"/>
      <c r="Q340" s="78">
        <v>100923</v>
      </c>
      <c r="R340" s="79"/>
    </row>
    <row r="341" spans="1:18" s="106" customFormat="1">
      <c r="A341" s="78">
        <v>100924</v>
      </c>
      <c r="B341" s="79">
        <f t="shared" si="18"/>
        <v>1009241</v>
      </c>
      <c r="C341" s="92" t="s">
        <v>621</v>
      </c>
      <c r="D341" s="79">
        <f t="shared" si="19"/>
        <v>1009242</v>
      </c>
      <c r="E341" s="92" t="s">
        <v>625</v>
      </c>
      <c r="F341" s="79">
        <v>1</v>
      </c>
      <c r="G341" s="79">
        <v>0</v>
      </c>
      <c r="H341" s="92" t="s">
        <v>623</v>
      </c>
      <c r="I341" s="78">
        <v>100924</v>
      </c>
      <c r="J341" s="92"/>
      <c r="K341" s="79">
        <v>7</v>
      </c>
      <c r="L341" s="79"/>
      <c r="M341" s="127"/>
      <c r="N341" s="79">
        <v>1</v>
      </c>
      <c r="O341" s="79"/>
      <c r="P341" s="107"/>
      <c r="Q341" s="78">
        <v>100924</v>
      </c>
      <c r="R341" s="79"/>
    </row>
    <row r="342" spans="1:18" s="106" customFormat="1">
      <c r="A342" s="78">
        <v>100932</v>
      </c>
      <c r="B342" s="79">
        <f t="shared" si="18"/>
        <v>1009321</v>
      </c>
      <c r="C342" s="92" t="s">
        <v>626</v>
      </c>
      <c r="D342" s="79">
        <f t="shared" si="19"/>
        <v>1009322</v>
      </c>
      <c r="E342" s="92" t="s">
        <v>627</v>
      </c>
      <c r="F342" s="79">
        <v>1</v>
      </c>
      <c r="G342" s="79">
        <v>0</v>
      </c>
      <c r="H342" s="92" t="s">
        <v>628</v>
      </c>
      <c r="I342" s="78">
        <v>100932</v>
      </c>
      <c r="J342" s="92"/>
      <c r="K342" s="79">
        <v>5</v>
      </c>
      <c r="L342" s="79"/>
      <c r="M342" s="127"/>
      <c r="N342" s="79">
        <v>1</v>
      </c>
      <c r="O342" s="79"/>
      <c r="P342" s="107"/>
      <c r="Q342" s="78">
        <v>100932</v>
      </c>
      <c r="R342" s="79"/>
    </row>
    <row r="343" spans="1:18" s="106" customFormat="1">
      <c r="A343" s="78">
        <v>100933</v>
      </c>
      <c r="B343" s="79">
        <f t="shared" si="18"/>
        <v>1009331</v>
      </c>
      <c r="C343" s="92" t="s">
        <v>626</v>
      </c>
      <c r="D343" s="79">
        <f t="shared" si="19"/>
        <v>1009332</v>
      </c>
      <c r="E343" s="92" t="s">
        <v>629</v>
      </c>
      <c r="F343" s="79">
        <v>1</v>
      </c>
      <c r="G343" s="79">
        <v>0</v>
      </c>
      <c r="H343" s="92" t="s">
        <v>628</v>
      </c>
      <c r="I343" s="78">
        <v>100933</v>
      </c>
      <c r="J343" s="92"/>
      <c r="K343" s="79">
        <v>6</v>
      </c>
      <c r="L343" s="79"/>
      <c r="M343" s="127"/>
      <c r="N343" s="79">
        <v>1</v>
      </c>
      <c r="O343" s="79"/>
      <c r="P343" s="107"/>
      <c r="Q343" s="78">
        <v>100933</v>
      </c>
      <c r="R343" s="79"/>
    </row>
    <row r="344" spans="1:18" s="106" customFormat="1">
      <c r="A344" s="78">
        <v>100934</v>
      </c>
      <c r="B344" s="79">
        <f t="shared" si="18"/>
        <v>1009341</v>
      </c>
      <c r="C344" s="92" t="s">
        <v>626</v>
      </c>
      <c r="D344" s="79">
        <f t="shared" si="19"/>
        <v>1009342</v>
      </c>
      <c r="E344" s="92" t="s">
        <v>630</v>
      </c>
      <c r="F344" s="79">
        <v>1</v>
      </c>
      <c r="G344" s="79">
        <v>0</v>
      </c>
      <c r="H344" s="92" t="s">
        <v>628</v>
      </c>
      <c r="I344" s="78">
        <v>100934</v>
      </c>
      <c r="J344" s="92"/>
      <c r="K344" s="79">
        <v>7</v>
      </c>
      <c r="L344" s="79"/>
      <c r="M344" s="127"/>
      <c r="N344" s="79">
        <v>1</v>
      </c>
      <c r="O344" s="79"/>
      <c r="P344" s="107"/>
      <c r="Q344" s="78">
        <v>100934</v>
      </c>
      <c r="R344" s="79"/>
    </row>
    <row r="345" spans="1:18" s="106" customFormat="1">
      <c r="A345" s="78">
        <v>100942</v>
      </c>
      <c r="B345" s="79">
        <f t="shared" si="18"/>
        <v>1009421</v>
      </c>
      <c r="C345" s="92" t="s">
        <v>631</v>
      </c>
      <c r="D345" s="79">
        <f t="shared" si="19"/>
        <v>1009422</v>
      </c>
      <c r="E345" s="92" t="s">
        <v>632</v>
      </c>
      <c r="F345" s="79">
        <v>1</v>
      </c>
      <c r="G345" s="79">
        <v>0</v>
      </c>
      <c r="H345" s="92" t="s">
        <v>633</v>
      </c>
      <c r="I345" s="78">
        <v>100942</v>
      </c>
      <c r="J345" s="92"/>
      <c r="K345" s="79">
        <v>5</v>
      </c>
      <c r="L345" s="79"/>
      <c r="M345" s="127"/>
      <c r="N345" s="79">
        <v>1</v>
      </c>
      <c r="O345" s="79"/>
      <c r="P345" s="107"/>
      <c r="Q345" s="78">
        <v>100942</v>
      </c>
      <c r="R345" s="79"/>
    </row>
    <row r="346" spans="1:18" s="106" customFormat="1">
      <c r="A346" s="78">
        <v>100943</v>
      </c>
      <c r="B346" s="79">
        <f t="shared" si="18"/>
        <v>1009431</v>
      </c>
      <c r="C346" s="92" t="s">
        <v>631</v>
      </c>
      <c r="D346" s="79">
        <f t="shared" si="19"/>
        <v>1009432</v>
      </c>
      <c r="E346" s="92" t="s">
        <v>634</v>
      </c>
      <c r="F346" s="79">
        <v>1</v>
      </c>
      <c r="G346" s="79">
        <v>0</v>
      </c>
      <c r="H346" s="92" t="s">
        <v>633</v>
      </c>
      <c r="I346" s="78">
        <v>100943</v>
      </c>
      <c r="J346" s="92"/>
      <c r="K346" s="79">
        <v>6</v>
      </c>
      <c r="L346" s="79"/>
      <c r="M346" s="127"/>
      <c r="N346" s="79">
        <v>1</v>
      </c>
      <c r="O346" s="79"/>
      <c r="P346" s="107"/>
      <c r="Q346" s="78">
        <v>100943</v>
      </c>
      <c r="R346" s="79"/>
    </row>
    <row r="347" spans="1:18" s="106" customFormat="1">
      <c r="A347" s="78">
        <v>100944</v>
      </c>
      <c r="B347" s="79">
        <f t="shared" si="18"/>
        <v>1009441</v>
      </c>
      <c r="C347" s="92" t="s">
        <v>631</v>
      </c>
      <c r="D347" s="79">
        <f t="shared" si="19"/>
        <v>1009442</v>
      </c>
      <c r="E347" s="92" t="s">
        <v>635</v>
      </c>
      <c r="F347" s="79">
        <v>1</v>
      </c>
      <c r="G347" s="79">
        <v>0</v>
      </c>
      <c r="H347" s="92" t="s">
        <v>633</v>
      </c>
      <c r="I347" s="78">
        <v>100944</v>
      </c>
      <c r="J347" s="92"/>
      <c r="K347" s="79">
        <v>7</v>
      </c>
      <c r="L347" s="79"/>
      <c r="M347" s="127"/>
      <c r="N347" s="79">
        <v>1</v>
      </c>
      <c r="O347" s="79"/>
      <c r="P347" s="107"/>
      <c r="Q347" s="78">
        <v>100944</v>
      </c>
      <c r="R347" s="79"/>
    </row>
    <row r="348" spans="1:18" s="106" customFormat="1">
      <c r="A348" s="78">
        <v>100952</v>
      </c>
      <c r="B348" s="79">
        <f t="shared" si="18"/>
        <v>1009521</v>
      </c>
      <c r="C348" s="92" t="s">
        <v>636</v>
      </c>
      <c r="D348" s="79">
        <f t="shared" si="19"/>
        <v>1009522</v>
      </c>
      <c r="E348" s="92" t="s">
        <v>637</v>
      </c>
      <c r="F348" s="79">
        <v>1</v>
      </c>
      <c r="G348" s="79">
        <v>0</v>
      </c>
      <c r="H348" s="92" t="s">
        <v>638</v>
      </c>
      <c r="I348" s="78">
        <v>100952</v>
      </c>
      <c r="J348" s="92"/>
      <c r="K348" s="79">
        <v>5</v>
      </c>
      <c r="L348" s="79"/>
      <c r="M348" s="127"/>
      <c r="N348" s="79">
        <v>1</v>
      </c>
      <c r="O348" s="79"/>
      <c r="P348" s="107"/>
      <c r="Q348" s="78">
        <v>100952</v>
      </c>
      <c r="R348" s="79"/>
    </row>
    <row r="349" spans="1:18" s="106" customFormat="1">
      <c r="A349" s="78">
        <v>100953</v>
      </c>
      <c r="B349" s="79">
        <f t="shared" si="18"/>
        <v>1009531</v>
      </c>
      <c r="C349" s="92" t="s">
        <v>636</v>
      </c>
      <c r="D349" s="79">
        <f t="shared" si="19"/>
        <v>1009532</v>
      </c>
      <c r="E349" s="92" t="s">
        <v>639</v>
      </c>
      <c r="F349" s="79">
        <v>1</v>
      </c>
      <c r="G349" s="79">
        <v>0</v>
      </c>
      <c r="H349" s="92" t="s">
        <v>640</v>
      </c>
      <c r="I349" s="78">
        <v>100953</v>
      </c>
      <c r="J349" s="92"/>
      <c r="K349" s="79">
        <v>6</v>
      </c>
      <c r="L349" s="79"/>
      <c r="M349" s="127"/>
      <c r="N349" s="79">
        <v>1</v>
      </c>
      <c r="O349" s="79"/>
      <c r="P349" s="107"/>
      <c r="Q349" s="78">
        <v>100953</v>
      </c>
      <c r="R349" s="79"/>
    </row>
    <row r="350" spans="1:18" s="106" customFormat="1">
      <c r="A350" s="78">
        <v>100954</v>
      </c>
      <c r="B350" s="79">
        <f t="shared" si="18"/>
        <v>1009541</v>
      </c>
      <c r="C350" s="92" t="s">
        <v>636</v>
      </c>
      <c r="D350" s="79">
        <f t="shared" si="19"/>
        <v>1009542</v>
      </c>
      <c r="E350" s="92" t="s">
        <v>641</v>
      </c>
      <c r="F350" s="79">
        <v>1</v>
      </c>
      <c r="G350" s="79">
        <v>0</v>
      </c>
      <c r="H350" s="92" t="s">
        <v>642</v>
      </c>
      <c r="I350" s="78">
        <v>100954</v>
      </c>
      <c r="J350" s="92"/>
      <c r="K350" s="79">
        <v>7</v>
      </c>
      <c r="L350" s="79"/>
      <c r="M350" s="127"/>
      <c r="N350" s="79">
        <v>1</v>
      </c>
      <c r="O350" s="79"/>
      <c r="P350" s="107"/>
      <c r="Q350" s="78">
        <v>100954</v>
      </c>
      <c r="R350" s="79"/>
    </row>
    <row r="351" spans="1:18" s="94" customFormat="1">
      <c r="A351" s="78">
        <v>100962</v>
      </c>
      <c r="B351" s="93">
        <v>1009621</v>
      </c>
      <c r="C351" s="92" t="s">
        <v>643</v>
      </c>
      <c r="D351" s="93">
        <v>1009622</v>
      </c>
      <c r="E351" s="92" t="s">
        <v>644</v>
      </c>
      <c r="F351" s="93">
        <v>1</v>
      </c>
      <c r="G351" s="93">
        <v>0</v>
      </c>
      <c r="H351" s="92" t="s">
        <v>645</v>
      </c>
      <c r="I351" s="78">
        <v>100962</v>
      </c>
      <c r="J351" s="92"/>
      <c r="K351" s="93">
        <v>5</v>
      </c>
      <c r="L351" s="93"/>
      <c r="M351" s="117"/>
      <c r="N351" s="93">
        <v>1</v>
      </c>
      <c r="O351" s="93">
        <v>0</v>
      </c>
      <c r="P351" s="98"/>
      <c r="Q351" s="78">
        <v>100962</v>
      </c>
      <c r="R351" s="93"/>
    </row>
    <row r="352" spans="1:18" s="94" customFormat="1">
      <c r="A352" s="78">
        <v>100963</v>
      </c>
      <c r="B352" s="93">
        <v>1009631</v>
      </c>
      <c r="C352" s="92" t="s">
        <v>643</v>
      </c>
      <c r="D352" s="93">
        <v>1009632</v>
      </c>
      <c r="E352" s="92" t="s">
        <v>646</v>
      </c>
      <c r="F352" s="93">
        <v>1</v>
      </c>
      <c r="G352" s="93">
        <v>0</v>
      </c>
      <c r="H352" s="92" t="s">
        <v>647</v>
      </c>
      <c r="I352" s="78">
        <v>100963</v>
      </c>
      <c r="J352" s="92"/>
      <c r="K352" s="93">
        <v>6</v>
      </c>
      <c r="L352" s="93"/>
      <c r="M352" s="117"/>
      <c r="N352" s="93">
        <v>1</v>
      </c>
      <c r="O352" s="93">
        <v>0</v>
      </c>
      <c r="P352" s="98"/>
      <c r="Q352" s="78">
        <v>100963</v>
      </c>
      <c r="R352" s="93"/>
    </row>
    <row r="353" spans="1:18" s="94" customFormat="1">
      <c r="A353" s="78">
        <v>100964</v>
      </c>
      <c r="B353" s="93">
        <v>1009641</v>
      </c>
      <c r="C353" s="92" t="s">
        <v>643</v>
      </c>
      <c r="D353" s="93">
        <v>1009642</v>
      </c>
      <c r="E353" s="92" t="s">
        <v>648</v>
      </c>
      <c r="F353" s="93">
        <v>1</v>
      </c>
      <c r="G353" s="93">
        <v>0</v>
      </c>
      <c r="H353" s="92" t="s">
        <v>649</v>
      </c>
      <c r="I353" s="78">
        <v>100964</v>
      </c>
      <c r="J353" s="92"/>
      <c r="K353" s="93">
        <v>7</v>
      </c>
      <c r="L353" s="93"/>
      <c r="M353" s="117"/>
      <c r="N353" s="93">
        <v>1</v>
      </c>
      <c r="O353" s="93">
        <v>0</v>
      </c>
      <c r="P353" s="98"/>
      <c r="Q353" s="78">
        <v>100964</v>
      </c>
      <c r="R353" s="93"/>
    </row>
    <row r="354" spans="1:18" s="94" customFormat="1">
      <c r="A354" s="78">
        <v>100972</v>
      </c>
      <c r="B354" s="93">
        <v>1009721</v>
      </c>
      <c r="C354" s="95" t="s">
        <v>650</v>
      </c>
      <c r="D354" s="93">
        <v>1009722</v>
      </c>
      <c r="E354" s="92" t="s">
        <v>651</v>
      </c>
      <c r="F354" s="93">
        <v>1</v>
      </c>
      <c r="G354" s="93">
        <v>0</v>
      </c>
      <c r="H354" s="92" t="s">
        <v>652</v>
      </c>
      <c r="I354" s="78">
        <v>100972</v>
      </c>
      <c r="J354" s="92"/>
      <c r="K354" s="93">
        <v>5</v>
      </c>
      <c r="L354" s="93"/>
      <c r="M354" s="117"/>
      <c r="N354" s="93">
        <v>1</v>
      </c>
      <c r="O354" s="93">
        <v>0</v>
      </c>
      <c r="P354" s="98"/>
      <c r="Q354" s="78">
        <v>100972</v>
      </c>
      <c r="R354" s="93"/>
    </row>
    <row r="355" spans="1:18" s="94" customFormat="1">
      <c r="A355" s="78">
        <v>100973</v>
      </c>
      <c r="B355" s="93">
        <v>1009731</v>
      </c>
      <c r="C355" s="95" t="s">
        <v>650</v>
      </c>
      <c r="D355" s="93">
        <v>1009732</v>
      </c>
      <c r="E355" s="92" t="s">
        <v>653</v>
      </c>
      <c r="F355" s="93">
        <v>1</v>
      </c>
      <c r="G355" s="93">
        <v>0</v>
      </c>
      <c r="H355" s="92" t="s">
        <v>654</v>
      </c>
      <c r="I355" s="78">
        <v>100973</v>
      </c>
      <c r="J355" s="92"/>
      <c r="K355" s="93">
        <v>6</v>
      </c>
      <c r="L355" s="93"/>
      <c r="M355" s="117"/>
      <c r="N355" s="93">
        <v>1</v>
      </c>
      <c r="O355" s="93">
        <v>0</v>
      </c>
      <c r="P355" s="98"/>
      <c r="Q355" s="78">
        <v>100973</v>
      </c>
      <c r="R355" s="93"/>
    </row>
    <row r="356" spans="1:18" s="94" customFormat="1">
      <c r="A356" s="78">
        <v>100974</v>
      </c>
      <c r="B356" s="93">
        <v>1009741</v>
      </c>
      <c r="C356" s="95" t="s">
        <v>650</v>
      </c>
      <c r="D356" s="93">
        <v>1009742</v>
      </c>
      <c r="E356" s="92" t="s">
        <v>655</v>
      </c>
      <c r="F356" s="93">
        <v>1</v>
      </c>
      <c r="G356" s="93">
        <v>0</v>
      </c>
      <c r="H356" s="92" t="s">
        <v>656</v>
      </c>
      <c r="I356" s="78">
        <v>100974</v>
      </c>
      <c r="J356" s="92"/>
      <c r="K356" s="93">
        <v>7</v>
      </c>
      <c r="L356" s="93"/>
      <c r="M356" s="117"/>
      <c r="N356" s="93">
        <v>1</v>
      </c>
      <c r="O356" s="93">
        <v>0</v>
      </c>
      <c r="P356" s="98"/>
      <c r="Q356" s="78">
        <v>100974</v>
      </c>
      <c r="R356" s="93"/>
    </row>
    <row r="357" spans="1:18" s="94" customFormat="1">
      <c r="A357" s="78">
        <v>100982</v>
      </c>
      <c r="B357" s="93">
        <v>1009821</v>
      </c>
      <c r="C357" s="95" t="s">
        <v>657</v>
      </c>
      <c r="D357" s="93">
        <v>1009822</v>
      </c>
      <c r="E357" s="92" t="s">
        <v>658</v>
      </c>
      <c r="F357" s="93">
        <v>1</v>
      </c>
      <c r="G357" s="93">
        <v>0</v>
      </c>
      <c r="H357" s="92" t="s">
        <v>659</v>
      </c>
      <c r="I357" s="78">
        <v>100982</v>
      </c>
      <c r="J357" s="92"/>
      <c r="K357" s="93">
        <v>5</v>
      </c>
      <c r="L357" s="93"/>
      <c r="M357" s="117"/>
      <c r="N357" s="93">
        <v>1</v>
      </c>
      <c r="O357" s="93">
        <v>0</v>
      </c>
      <c r="P357" s="98"/>
      <c r="Q357" s="78">
        <v>100982</v>
      </c>
      <c r="R357" s="93"/>
    </row>
    <row r="358" spans="1:18" s="94" customFormat="1">
      <c r="A358" s="78">
        <v>100983</v>
      </c>
      <c r="B358" s="93">
        <v>1009831</v>
      </c>
      <c r="C358" s="95" t="s">
        <v>657</v>
      </c>
      <c r="D358" s="93">
        <v>1009832</v>
      </c>
      <c r="E358" s="92" t="s">
        <v>660</v>
      </c>
      <c r="F358" s="93">
        <v>1</v>
      </c>
      <c r="G358" s="93">
        <v>0</v>
      </c>
      <c r="H358" s="92" t="s">
        <v>661</v>
      </c>
      <c r="I358" s="78">
        <v>100983</v>
      </c>
      <c r="J358" s="92"/>
      <c r="K358" s="93">
        <v>6</v>
      </c>
      <c r="L358" s="93"/>
      <c r="M358" s="117"/>
      <c r="N358" s="93">
        <v>1</v>
      </c>
      <c r="O358" s="93">
        <v>0</v>
      </c>
      <c r="P358" s="98"/>
      <c r="Q358" s="78">
        <v>100983</v>
      </c>
      <c r="R358" s="93"/>
    </row>
    <row r="359" spans="1:18" s="94" customFormat="1">
      <c r="A359" s="78">
        <v>100984</v>
      </c>
      <c r="B359" s="93">
        <v>1009841</v>
      </c>
      <c r="C359" s="95" t="s">
        <v>657</v>
      </c>
      <c r="D359" s="93">
        <v>1009842</v>
      </c>
      <c r="E359" s="92" t="s">
        <v>662</v>
      </c>
      <c r="F359" s="93">
        <v>1</v>
      </c>
      <c r="G359" s="93">
        <v>0</v>
      </c>
      <c r="H359" s="92" t="s">
        <v>663</v>
      </c>
      <c r="I359" s="78">
        <v>100984</v>
      </c>
      <c r="J359" s="92"/>
      <c r="K359" s="93">
        <v>7</v>
      </c>
      <c r="L359" s="93"/>
      <c r="M359" s="117"/>
      <c r="N359" s="93">
        <v>1</v>
      </c>
      <c r="O359" s="93">
        <v>0</v>
      </c>
      <c r="P359" s="98"/>
      <c r="Q359" s="78">
        <v>100984</v>
      </c>
      <c r="R359" s="93"/>
    </row>
    <row r="360" spans="1:18" s="94" customFormat="1">
      <c r="A360" s="78">
        <v>100992</v>
      </c>
      <c r="B360" s="93">
        <v>1009921</v>
      </c>
      <c r="C360" s="95" t="s">
        <v>664</v>
      </c>
      <c r="D360" s="93">
        <v>1009922</v>
      </c>
      <c r="E360" s="92" t="s">
        <v>665</v>
      </c>
      <c r="F360" s="93">
        <v>1</v>
      </c>
      <c r="G360" s="93">
        <v>0</v>
      </c>
      <c r="H360" s="92" t="s">
        <v>666</v>
      </c>
      <c r="I360" s="78">
        <v>100992</v>
      </c>
      <c r="J360" s="92"/>
      <c r="K360" s="93">
        <v>5</v>
      </c>
      <c r="L360" s="93"/>
      <c r="M360" s="117"/>
      <c r="N360" s="93">
        <v>1</v>
      </c>
      <c r="O360" s="93">
        <v>0</v>
      </c>
      <c r="P360" s="98"/>
      <c r="Q360" s="78">
        <v>100992</v>
      </c>
      <c r="R360" s="93"/>
    </row>
    <row r="361" spans="1:18" s="94" customFormat="1">
      <c r="A361" s="78">
        <v>100993</v>
      </c>
      <c r="B361" s="93">
        <v>1009931</v>
      </c>
      <c r="C361" s="95" t="s">
        <v>664</v>
      </c>
      <c r="D361" s="93">
        <v>1009932</v>
      </c>
      <c r="E361" s="92" t="s">
        <v>667</v>
      </c>
      <c r="F361" s="93">
        <v>1</v>
      </c>
      <c r="G361" s="93">
        <v>0</v>
      </c>
      <c r="H361" s="92" t="s">
        <v>668</v>
      </c>
      <c r="I361" s="78">
        <v>100993</v>
      </c>
      <c r="J361" s="92"/>
      <c r="K361" s="93">
        <v>6</v>
      </c>
      <c r="L361" s="93"/>
      <c r="M361" s="117"/>
      <c r="N361" s="93">
        <v>1</v>
      </c>
      <c r="O361" s="93">
        <v>0</v>
      </c>
      <c r="P361" s="98"/>
      <c r="Q361" s="78">
        <v>100993</v>
      </c>
      <c r="R361" s="93"/>
    </row>
    <row r="362" spans="1:18" s="94" customFormat="1">
      <c r="A362" s="78">
        <v>100994</v>
      </c>
      <c r="B362" s="93">
        <v>1009941</v>
      </c>
      <c r="C362" s="95" t="s">
        <v>664</v>
      </c>
      <c r="D362" s="93">
        <v>1009942</v>
      </c>
      <c r="E362" s="92" t="s">
        <v>669</v>
      </c>
      <c r="F362" s="93">
        <v>1</v>
      </c>
      <c r="G362" s="93">
        <v>0</v>
      </c>
      <c r="H362" s="92" t="s">
        <v>670</v>
      </c>
      <c r="I362" s="78">
        <v>100994</v>
      </c>
      <c r="J362" s="92"/>
      <c r="K362" s="93">
        <v>7</v>
      </c>
      <c r="L362" s="93"/>
      <c r="M362" s="117"/>
      <c r="N362" s="93">
        <v>1</v>
      </c>
      <c r="O362" s="93">
        <v>0</v>
      </c>
      <c r="P362" s="98"/>
      <c r="Q362" s="78">
        <v>100994</v>
      </c>
      <c r="R362" s="93"/>
    </row>
    <row r="363" spans="1:18" s="94" customFormat="1">
      <c r="A363" s="78">
        <v>101002</v>
      </c>
      <c r="B363" s="93">
        <v>1010021</v>
      </c>
      <c r="C363" s="95" t="s">
        <v>671</v>
      </c>
      <c r="D363" s="93">
        <v>1010022</v>
      </c>
      <c r="E363" s="92" t="s">
        <v>672</v>
      </c>
      <c r="F363" s="93">
        <v>1</v>
      </c>
      <c r="G363" s="93">
        <v>0</v>
      </c>
      <c r="H363" s="92" t="s">
        <v>673</v>
      </c>
      <c r="I363" s="78">
        <v>101002</v>
      </c>
      <c r="J363" s="92"/>
      <c r="K363" s="93">
        <v>5</v>
      </c>
      <c r="L363" s="93"/>
      <c r="M363" s="117"/>
      <c r="N363" s="93">
        <v>1</v>
      </c>
      <c r="O363" s="93">
        <v>0</v>
      </c>
      <c r="P363" s="98"/>
      <c r="Q363" s="78">
        <v>101002</v>
      </c>
      <c r="R363" s="93"/>
    </row>
    <row r="364" spans="1:18" s="94" customFormat="1">
      <c r="A364" s="78">
        <v>101003</v>
      </c>
      <c r="B364" s="93">
        <v>1010031</v>
      </c>
      <c r="C364" s="95" t="s">
        <v>671</v>
      </c>
      <c r="D364" s="93">
        <v>1010032</v>
      </c>
      <c r="E364" s="92" t="s">
        <v>674</v>
      </c>
      <c r="F364" s="93">
        <v>1</v>
      </c>
      <c r="G364" s="93">
        <v>0</v>
      </c>
      <c r="H364" s="92" t="s">
        <v>675</v>
      </c>
      <c r="I364" s="78">
        <v>101003</v>
      </c>
      <c r="J364" s="92"/>
      <c r="K364" s="93">
        <v>6</v>
      </c>
      <c r="L364" s="93"/>
      <c r="M364" s="117"/>
      <c r="N364" s="93">
        <v>1</v>
      </c>
      <c r="O364" s="93">
        <v>0</v>
      </c>
      <c r="P364" s="98"/>
      <c r="Q364" s="78">
        <v>101003</v>
      </c>
      <c r="R364" s="93"/>
    </row>
    <row r="365" spans="1:18" s="94" customFormat="1">
      <c r="A365" s="78">
        <v>101004</v>
      </c>
      <c r="B365" s="93">
        <v>1010041</v>
      </c>
      <c r="C365" s="95" t="s">
        <v>671</v>
      </c>
      <c r="D365" s="93">
        <v>1010042</v>
      </c>
      <c r="E365" s="92" t="s">
        <v>676</v>
      </c>
      <c r="F365" s="93">
        <v>1</v>
      </c>
      <c r="G365" s="93">
        <v>0</v>
      </c>
      <c r="H365" s="92" t="s">
        <v>677</v>
      </c>
      <c r="I365" s="78">
        <v>101004</v>
      </c>
      <c r="J365" s="92"/>
      <c r="K365" s="93">
        <v>7</v>
      </c>
      <c r="L365" s="93"/>
      <c r="M365" s="117"/>
      <c r="N365" s="93">
        <v>1</v>
      </c>
      <c r="O365" s="93">
        <v>0</v>
      </c>
      <c r="P365" s="98"/>
      <c r="Q365" s="78">
        <v>101004</v>
      </c>
      <c r="R365" s="93"/>
    </row>
    <row r="366" spans="1:18" s="108" customFormat="1">
      <c r="A366" s="80">
        <v>101012</v>
      </c>
      <c r="B366" s="79">
        <v>1010121</v>
      </c>
      <c r="C366" s="146" t="s">
        <v>678</v>
      </c>
      <c r="D366" s="79">
        <v>1010122</v>
      </c>
      <c r="E366" s="101" t="s">
        <v>679</v>
      </c>
      <c r="F366" s="79">
        <v>1</v>
      </c>
      <c r="G366" s="79">
        <v>0</v>
      </c>
      <c r="H366" s="101" t="s">
        <v>680</v>
      </c>
      <c r="I366" s="80">
        <v>101012</v>
      </c>
      <c r="J366" s="101"/>
      <c r="K366" s="79">
        <v>5</v>
      </c>
      <c r="L366" s="79"/>
      <c r="M366" s="127"/>
      <c r="N366" s="79">
        <v>1</v>
      </c>
      <c r="O366" s="79">
        <v>0</v>
      </c>
      <c r="P366" s="107"/>
      <c r="Q366" s="80">
        <v>101012</v>
      </c>
      <c r="R366" s="79"/>
    </row>
    <row r="367" spans="1:18" s="108" customFormat="1">
      <c r="A367" s="80">
        <v>101013</v>
      </c>
      <c r="B367" s="79">
        <v>1010131</v>
      </c>
      <c r="C367" s="146" t="s">
        <v>678</v>
      </c>
      <c r="D367" s="79">
        <v>1010132</v>
      </c>
      <c r="E367" s="101" t="s">
        <v>681</v>
      </c>
      <c r="F367" s="79">
        <v>1</v>
      </c>
      <c r="G367" s="79">
        <v>0</v>
      </c>
      <c r="H367" s="101" t="s">
        <v>682</v>
      </c>
      <c r="I367" s="80">
        <v>101013</v>
      </c>
      <c r="J367" s="101"/>
      <c r="K367" s="79">
        <v>6</v>
      </c>
      <c r="L367" s="79"/>
      <c r="M367" s="127"/>
      <c r="N367" s="79">
        <v>1</v>
      </c>
      <c r="O367" s="79">
        <v>0</v>
      </c>
      <c r="P367" s="107"/>
      <c r="Q367" s="80">
        <v>101013</v>
      </c>
      <c r="R367" s="79"/>
    </row>
    <row r="368" spans="1:18" s="108" customFormat="1">
      <c r="A368" s="80">
        <v>101014</v>
      </c>
      <c r="B368" s="79">
        <v>1010141</v>
      </c>
      <c r="C368" s="146" t="s">
        <v>678</v>
      </c>
      <c r="D368" s="79">
        <v>1010142</v>
      </c>
      <c r="E368" s="101" t="s">
        <v>683</v>
      </c>
      <c r="F368" s="79">
        <v>1</v>
      </c>
      <c r="G368" s="79">
        <v>0</v>
      </c>
      <c r="H368" s="101" t="s">
        <v>684</v>
      </c>
      <c r="I368" s="80">
        <v>101014</v>
      </c>
      <c r="J368" s="101"/>
      <c r="K368" s="79">
        <v>7</v>
      </c>
      <c r="L368" s="79"/>
      <c r="M368" s="127"/>
      <c r="N368" s="79">
        <v>1</v>
      </c>
      <c r="O368" s="79">
        <v>0</v>
      </c>
      <c r="P368" s="107"/>
      <c r="Q368" s="80">
        <v>101014</v>
      </c>
      <c r="R368" s="79"/>
    </row>
    <row r="369" spans="1:18" s="94" customFormat="1">
      <c r="A369" s="78">
        <v>101022</v>
      </c>
      <c r="B369" s="93">
        <v>1010221</v>
      </c>
      <c r="C369" s="95" t="s">
        <v>685</v>
      </c>
      <c r="D369" s="93">
        <v>1010222</v>
      </c>
      <c r="E369" s="92" t="s">
        <v>686</v>
      </c>
      <c r="F369" s="93">
        <v>1</v>
      </c>
      <c r="G369" s="93">
        <v>0</v>
      </c>
      <c r="H369" s="92" t="s">
        <v>687</v>
      </c>
      <c r="I369" s="78">
        <v>101022</v>
      </c>
      <c r="J369" s="92"/>
      <c r="K369" s="93">
        <v>5</v>
      </c>
      <c r="L369" s="93"/>
      <c r="M369" s="117"/>
      <c r="N369" s="93">
        <v>1</v>
      </c>
      <c r="O369" s="93">
        <v>0</v>
      </c>
      <c r="P369" s="98"/>
      <c r="Q369" s="78">
        <v>101022</v>
      </c>
      <c r="R369" s="93"/>
    </row>
    <row r="370" spans="1:18" s="94" customFormat="1">
      <c r="A370" s="78">
        <v>101023</v>
      </c>
      <c r="B370" s="93">
        <v>1010231</v>
      </c>
      <c r="C370" s="95" t="s">
        <v>685</v>
      </c>
      <c r="D370" s="93">
        <v>1010232</v>
      </c>
      <c r="E370" s="92" t="s">
        <v>688</v>
      </c>
      <c r="F370" s="93">
        <v>1</v>
      </c>
      <c r="G370" s="93">
        <v>0</v>
      </c>
      <c r="H370" s="92" t="s">
        <v>689</v>
      </c>
      <c r="I370" s="78">
        <v>101023</v>
      </c>
      <c r="J370" s="92"/>
      <c r="K370" s="93">
        <v>6</v>
      </c>
      <c r="L370" s="93"/>
      <c r="M370" s="117"/>
      <c r="N370" s="93">
        <v>1</v>
      </c>
      <c r="O370" s="93">
        <v>0</v>
      </c>
      <c r="P370" s="98"/>
      <c r="Q370" s="78">
        <v>101023</v>
      </c>
      <c r="R370" s="93"/>
    </row>
    <row r="371" spans="1:18" s="94" customFormat="1">
      <c r="A371" s="78">
        <v>101024</v>
      </c>
      <c r="B371" s="93">
        <v>1010241</v>
      </c>
      <c r="C371" s="95" t="s">
        <v>685</v>
      </c>
      <c r="D371" s="93">
        <v>1010242</v>
      </c>
      <c r="E371" s="92" t="s">
        <v>690</v>
      </c>
      <c r="F371" s="93">
        <v>1</v>
      </c>
      <c r="G371" s="93">
        <v>0</v>
      </c>
      <c r="H371" s="92" t="s">
        <v>691</v>
      </c>
      <c r="I371" s="78">
        <v>101024</v>
      </c>
      <c r="J371" s="92"/>
      <c r="K371" s="93">
        <v>7</v>
      </c>
      <c r="L371" s="93"/>
      <c r="M371" s="117"/>
      <c r="N371" s="93">
        <v>1</v>
      </c>
      <c r="O371" s="93">
        <v>0</v>
      </c>
      <c r="P371" s="98"/>
      <c r="Q371" s="78">
        <v>101024</v>
      </c>
      <c r="R371" s="93"/>
    </row>
    <row r="372" spans="1:18" s="108" customFormat="1">
      <c r="A372" s="80">
        <v>101032</v>
      </c>
      <c r="B372" s="79">
        <v>1010321</v>
      </c>
      <c r="C372" s="146" t="s">
        <v>692</v>
      </c>
      <c r="D372" s="79">
        <v>1010322</v>
      </c>
      <c r="E372" s="101" t="s">
        <v>693</v>
      </c>
      <c r="F372" s="79">
        <v>1</v>
      </c>
      <c r="G372" s="79">
        <v>0</v>
      </c>
      <c r="H372" s="101" t="s">
        <v>694</v>
      </c>
      <c r="I372" s="80">
        <v>101032</v>
      </c>
      <c r="J372" s="101"/>
      <c r="K372" s="79">
        <v>5</v>
      </c>
      <c r="L372" s="79"/>
      <c r="M372" s="127"/>
      <c r="N372" s="79">
        <v>1</v>
      </c>
      <c r="O372" s="79">
        <v>0</v>
      </c>
      <c r="P372" s="107"/>
      <c r="Q372" s="80">
        <v>101032</v>
      </c>
      <c r="R372" s="79"/>
    </row>
    <row r="373" spans="1:18" s="108" customFormat="1">
      <c r="A373" s="80">
        <v>101033</v>
      </c>
      <c r="B373" s="79">
        <v>1010331</v>
      </c>
      <c r="C373" s="146" t="s">
        <v>692</v>
      </c>
      <c r="D373" s="79">
        <v>1010332</v>
      </c>
      <c r="E373" s="101" t="s">
        <v>695</v>
      </c>
      <c r="F373" s="79">
        <v>1</v>
      </c>
      <c r="G373" s="79">
        <v>0</v>
      </c>
      <c r="H373" s="101" t="s">
        <v>696</v>
      </c>
      <c r="I373" s="80">
        <v>101033</v>
      </c>
      <c r="J373" s="101"/>
      <c r="K373" s="79">
        <v>6</v>
      </c>
      <c r="L373" s="79"/>
      <c r="M373" s="127"/>
      <c r="N373" s="79">
        <v>1</v>
      </c>
      <c r="O373" s="79">
        <v>0</v>
      </c>
      <c r="P373" s="107"/>
      <c r="Q373" s="80">
        <v>101033</v>
      </c>
      <c r="R373" s="79"/>
    </row>
    <row r="374" spans="1:18" s="108" customFormat="1">
      <c r="A374" s="80">
        <v>101034</v>
      </c>
      <c r="B374" s="79">
        <v>1010341</v>
      </c>
      <c r="C374" s="146" t="s">
        <v>692</v>
      </c>
      <c r="D374" s="79">
        <v>1010342</v>
      </c>
      <c r="E374" s="101" t="s">
        <v>697</v>
      </c>
      <c r="F374" s="79">
        <v>1</v>
      </c>
      <c r="G374" s="79">
        <v>0</v>
      </c>
      <c r="H374" s="101" t="s">
        <v>698</v>
      </c>
      <c r="I374" s="80">
        <v>101034</v>
      </c>
      <c r="J374" s="101"/>
      <c r="K374" s="79">
        <v>7</v>
      </c>
      <c r="L374" s="79"/>
      <c r="M374" s="127"/>
      <c r="N374" s="79">
        <v>1</v>
      </c>
      <c r="O374" s="79">
        <v>0</v>
      </c>
      <c r="P374" s="107"/>
      <c r="Q374" s="80">
        <v>101034</v>
      </c>
      <c r="R374" s="79"/>
    </row>
    <row r="375" spans="1:18" s="94" customFormat="1">
      <c r="A375" s="78">
        <v>101042</v>
      </c>
      <c r="B375" s="93">
        <v>1010421</v>
      </c>
      <c r="C375" s="93" t="s">
        <v>699</v>
      </c>
      <c r="D375" s="93">
        <v>1010422</v>
      </c>
      <c r="E375" s="92" t="s">
        <v>700</v>
      </c>
      <c r="F375" s="93">
        <v>1</v>
      </c>
      <c r="G375" s="93">
        <v>0</v>
      </c>
      <c r="H375" s="78" t="s">
        <v>701</v>
      </c>
      <c r="I375" s="78">
        <v>101042</v>
      </c>
      <c r="J375" s="92"/>
      <c r="K375" s="93">
        <v>5</v>
      </c>
      <c r="L375" s="93"/>
      <c r="M375" s="117"/>
      <c r="N375" s="93">
        <v>1</v>
      </c>
      <c r="O375" s="93">
        <v>0</v>
      </c>
      <c r="P375" s="98"/>
      <c r="Q375" s="78">
        <v>101042</v>
      </c>
      <c r="R375" s="93"/>
    </row>
    <row r="376" spans="1:18" s="94" customFormat="1">
      <c r="A376" s="78">
        <v>101043</v>
      </c>
      <c r="B376" s="93">
        <v>1010431</v>
      </c>
      <c r="C376" s="93" t="s">
        <v>699</v>
      </c>
      <c r="D376" s="93">
        <v>1010432</v>
      </c>
      <c r="E376" s="92" t="s">
        <v>702</v>
      </c>
      <c r="F376" s="93">
        <v>1</v>
      </c>
      <c r="G376" s="93">
        <v>0</v>
      </c>
      <c r="H376" s="78" t="s">
        <v>703</v>
      </c>
      <c r="I376" s="78">
        <v>101043</v>
      </c>
      <c r="J376" s="92"/>
      <c r="K376" s="93">
        <v>6</v>
      </c>
      <c r="L376" s="93"/>
      <c r="M376" s="117"/>
      <c r="N376" s="93">
        <v>1</v>
      </c>
      <c r="O376" s="93">
        <v>0</v>
      </c>
      <c r="P376" s="98"/>
      <c r="Q376" s="78">
        <v>101043</v>
      </c>
      <c r="R376" s="93"/>
    </row>
    <row r="377" spans="1:18" s="94" customFormat="1">
      <c r="A377" s="78">
        <v>101044</v>
      </c>
      <c r="B377" s="93">
        <v>1010441</v>
      </c>
      <c r="C377" s="93" t="s">
        <v>699</v>
      </c>
      <c r="D377" s="93">
        <v>1010442</v>
      </c>
      <c r="E377" s="92" t="s">
        <v>704</v>
      </c>
      <c r="F377" s="93">
        <v>1</v>
      </c>
      <c r="G377" s="93">
        <v>0</v>
      </c>
      <c r="H377" s="78" t="s">
        <v>705</v>
      </c>
      <c r="I377" s="78">
        <v>101044</v>
      </c>
      <c r="J377" s="92"/>
      <c r="K377" s="93">
        <v>7</v>
      </c>
      <c r="L377" s="93"/>
      <c r="M377" s="117"/>
      <c r="N377" s="93">
        <v>1</v>
      </c>
      <c r="O377" s="93">
        <v>0</v>
      </c>
      <c r="P377" s="98"/>
      <c r="Q377" s="78">
        <v>101044</v>
      </c>
      <c r="R377" s="93"/>
    </row>
    <row r="378" spans="1:18" s="94" customFormat="1">
      <c r="A378" s="78">
        <v>101052</v>
      </c>
      <c r="B378" s="93">
        <v>1010521</v>
      </c>
      <c r="C378" s="93" t="s">
        <v>706</v>
      </c>
      <c r="D378" s="93">
        <v>1010522</v>
      </c>
      <c r="E378" s="92" t="s">
        <v>707</v>
      </c>
      <c r="F378" s="93">
        <v>1</v>
      </c>
      <c r="G378" s="93">
        <v>0</v>
      </c>
      <c r="H378" s="78" t="s">
        <v>708</v>
      </c>
      <c r="I378" s="78">
        <v>101052</v>
      </c>
      <c r="J378" s="92"/>
      <c r="K378" s="93">
        <v>5</v>
      </c>
      <c r="L378" s="93"/>
      <c r="M378" s="117"/>
      <c r="N378" s="93">
        <v>1</v>
      </c>
      <c r="O378" s="93">
        <v>0</v>
      </c>
      <c r="P378" s="98"/>
      <c r="Q378" s="78">
        <v>101052</v>
      </c>
      <c r="R378" s="93"/>
    </row>
    <row r="379" spans="1:18" s="94" customFormat="1">
      <c r="A379" s="78">
        <v>101053</v>
      </c>
      <c r="B379" s="93">
        <v>1010531</v>
      </c>
      <c r="C379" s="93" t="s">
        <v>706</v>
      </c>
      <c r="D379" s="93">
        <v>1010532</v>
      </c>
      <c r="E379" s="92" t="s">
        <v>709</v>
      </c>
      <c r="F379" s="93">
        <v>1</v>
      </c>
      <c r="G379" s="93">
        <v>0</v>
      </c>
      <c r="H379" s="78" t="s">
        <v>710</v>
      </c>
      <c r="I379" s="78">
        <v>101053</v>
      </c>
      <c r="J379" s="92"/>
      <c r="K379" s="93">
        <v>6</v>
      </c>
      <c r="L379" s="93"/>
      <c r="M379" s="117"/>
      <c r="N379" s="93">
        <v>1</v>
      </c>
      <c r="O379" s="93">
        <v>0</v>
      </c>
      <c r="P379" s="98"/>
      <c r="Q379" s="78">
        <v>101053</v>
      </c>
      <c r="R379" s="93"/>
    </row>
    <row r="380" spans="1:18" s="94" customFormat="1">
      <c r="A380" s="78">
        <v>101054</v>
      </c>
      <c r="B380" s="93">
        <v>1010541</v>
      </c>
      <c r="C380" s="93" t="s">
        <v>706</v>
      </c>
      <c r="D380" s="93">
        <v>1010542</v>
      </c>
      <c r="E380" s="92" t="s">
        <v>711</v>
      </c>
      <c r="F380" s="93">
        <v>1</v>
      </c>
      <c r="G380" s="93">
        <v>0</v>
      </c>
      <c r="H380" s="78" t="s">
        <v>712</v>
      </c>
      <c r="I380" s="78">
        <v>101054</v>
      </c>
      <c r="J380" s="92"/>
      <c r="K380" s="93">
        <v>7</v>
      </c>
      <c r="L380" s="93"/>
      <c r="M380" s="117"/>
      <c r="N380" s="93">
        <v>1</v>
      </c>
      <c r="O380" s="93">
        <v>0</v>
      </c>
      <c r="P380" s="98"/>
      <c r="Q380" s="78">
        <v>101054</v>
      </c>
      <c r="R380" s="93"/>
    </row>
    <row r="381" spans="1:18" s="94" customFormat="1">
      <c r="A381" s="78">
        <v>101062</v>
      </c>
      <c r="B381" s="93">
        <v>1010621</v>
      </c>
      <c r="C381" s="93" t="s">
        <v>713</v>
      </c>
      <c r="D381" s="93">
        <v>1010622</v>
      </c>
      <c r="E381" s="92" t="s">
        <v>714</v>
      </c>
      <c r="F381" s="93">
        <v>1</v>
      </c>
      <c r="G381" s="93">
        <v>0</v>
      </c>
      <c r="H381" s="78" t="s">
        <v>715</v>
      </c>
      <c r="I381" s="78">
        <v>101062</v>
      </c>
      <c r="J381" s="92"/>
      <c r="K381" s="93">
        <v>5</v>
      </c>
      <c r="L381" s="93"/>
      <c r="M381" s="117"/>
      <c r="N381" s="93">
        <v>1</v>
      </c>
      <c r="O381" s="93">
        <v>0</v>
      </c>
      <c r="P381" s="98"/>
      <c r="Q381" s="78">
        <v>101062</v>
      </c>
      <c r="R381" s="93"/>
    </row>
    <row r="382" spans="1:18" s="94" customFormat="1">
      <c r="A382" s="78">
        <v>101063</v>
      </c>
      <c r="B382" s="93">
        <v>1010631</v>
      </c>
      <c r="C382" s="93" t="s">
        <v>713</v>
      </c>
      <c r="D382" s="93">
        <v>1010632</v>
      </c>
      <c r="E382" s="92" t="s">
        <v>716</v>
      </c>
      <c r="F382" s="93">
        <v>1</v>
      </c>
      <c r="G382" s="93">
        <v>0</v>
      </c>
      <c r="H382" s="78" t="s">
        <v>717</v>
      </c>
      <c r="I382" s="78">
        <v>101063</v>
      </c>
      <c r="J382" s="92"/>
      <c r="K382" s="93">
        <v>6</v>
      </c>
      <c r="L382" s="93"/>
      <c r="M382" s="117"/>
      <c r="N382" s="93">
        <v>1</v>
      </c>
      <c r="O382" s="93">
        <v>0</v>
      </c>
      <c r="P382" s="98"/>
      <c r="Q382" s="78">
        <v>101063</v>
      </c>
      <c r="R382" s="93"/>
    </row>
    <row r="383" spans="1:18" s="94" customFormat="1">
      <c r="A383" s="78">
        <v>101064</v>
      </c>
      <c r="B383" s="93">
        <v>1010641</v>
      </c>
      <c r="C383" s="93" t="s">
        <v>713</v>
      </c>
      <c r="D383" s="93">
        <v>1010642</v>
      </c>
      <c r="E383" s="92" t="s">
        <v>718</v>
      </c>
      <c r="F383" s="93">
        <v>1</v>
      </c>
      <c r="G383" s="93">
        <v>0</v>
      </c>
      <c r="H383" s="78" t="s">
        <v>719</v>
      </c>
      <c r="I383" s="78">
        <v>101064</v>
      </c>
      <c r="J383" s="92"/>
      <c r="K383" s="93">
        <v>7</v>
      </c>
      <c r="L383" s="93"/>
      <c r="M383" s="117"/>
      <c r="N383" s="93">
        <v>1</v>
      </c>
      <c r="O383" s="93">
        <v>0</v>
      </c>
      <c r="P383" s="98"/>
      <c r="Q383" s="78">
        <v>101064</v>
      </c>
      <c r="R383" s="93"/>
    </row>
    <row r="384" spans="1:18" s="94" customFormat="1">
      <c r="A384" s="78">
        <v>101072</v>
      </c>
      <c r="B384" s="93">
        <v>1010721</v>
      </c>
      <c r="C384" s="93" t="s">
        <v>720</v>
      </c>
      <c r="D384" s="93">
        <v>1010722</v>
      </c>
      <c r="E384" s="92" t="s">
        <v>721</v>
      </c>
      <c r="F384" s="93">
        <v>1</v>
      </c>
      <c r="G384" s="93">
        <v>0</v>
      </c>
      <c r="H384" s="78" t="s">
        <v>722</v>
      </c>
      <c r="I384" s="78">
        <v>101072</v>
      </c>
      <c r="J384" s="92"/>
      <c r="K384" s="93">
        <v>5</v>
      </c>
      <c r="L384" s="93"/>
      <c r="M384" s="117"/>
      <c r="N384" s="93">
        <v>1</v>
      </c>
      <c r="O384" s="93">
        <v>0</v>
      </c>
      <c r="P384" s="98"/>
      <c r="Q384" s="78">
        <v>101072</v>
      </c>
      <c r="R384" s="93"/>
    </row>
    <row r="385" spans="1:18" s="94" customFormat="1">
      <c r="A385" s="78">
        <v>101073</v>
      </c>
      <c r="B385" s="93">
        <v>1010731</v>
      </c>
      <c r="C385" s="93" t="s">
        <v>720</v>
      </c>
      <c r="D385" s="93">
        <v>1010732</v>
      </c>
      <c r="E385" s="92" t="s">
        <v>723</v>
      </c>
      <c r="F385" s="93">
        <v>1</v>
      </c>
      <c r="G385" s="93">
        <v>0</v>
      </c>
      <c r="H385" s="78" t="s">
        <v>724</v>
      </c>
      <c r="I385" s="78">
        <v>101073</v>
      </c>
      <c r="J385" s="92"/>
      <c r="K385" s="93">
        <v>6</v>
      </c>
      <c r="L385" s="93"/>
      <c r="M385" s="117"/>
      <c r="N385" s="93">
        <v>1</v>
      </c>
      <c r="O385" s="93">
        <v>0</v>
      </c>
      <c r="P385" s="98"/>
      <c r="Q385" s="78">
        <v>101073</v>
      </c>
      <c r="R385" s="93"/>
    </row>
    <row r="386" spans="1:18" s="94" customFormat="1">
      <c r="A386" s="78">
        <v>101074</v>
      </c>
      <c r="B386" s="93">
        <v>1010741</v>
      </c>
      <c r="C386" s="93" t="s">
        <v>720</v>
      </c>
      <c r="D386" s="93">
        <v>1010742</v>
      </c>
      <c r="E386" s="92" t="s">
        <v>725</v>
      </c>
      <c r="F386" s="93">
        <v>1</v>
      </c>
      <c r="G386" s="93">
        <v>0</v>
      </c>
      <c r="H386" s="78" t="s">
        <v>726</v>
      </c>
      <c r="I386" s="78">
        <v>101074</v>
      </c>
      <c r="J386" s="92"/>
      <c r="K386" s="93">
        <v>7</v>
      </c>
      <c r="L386" s="93"/>
      <c r="M386" s="117"/>
      <c r="N386" s="93">
        <v>1</v>
      </c>
      <c r="O386" s="93">
        <v>0</v>
      </c>
      <c r="P386" s="98"/>
      <c r="Q386" s="78">
        <v>101074</v>
      </c>
      <c r="R386" s="93"/>
    </row>
    <row r="387" spans="1:18" s="94" customFormat="1">
      <c r="A387" s="78">
        <v>101082</v>
      </c>
      <c r="B387" s="93">
        <v>1010821</v>
      </c>
      <c r="C387" s="93" t="s">
        <v>727</v>
      </c>
      <c r="D387" s="93">
        <v>1010822</v>
      </c>
      <c r="E387" s="92" t="s">
        <v>728</v>
      </c>
      <c r="F387" s="93">
        <v>1</v>
      </c>
      <c r="G387" s="93">
        <v>0</v>
      </c>
      <c r="H387" s="78" t="s">
        <v>729</v>
      </c>
      <c r="I387" s="78">
        <v>101082</v>
      </c>
      <c r="J387" s="92"/>
      <c r="K387" s="93">
        <v>5</v>
      </c>
      <c r="L387" s="93"/>
      <c r="M387" s="117"/>
      <c r="N387" s="93">
        <v>1</v>
      </c>
      <c r="O387" s="93">
        <v>0</v>
      </c>
      <c r="P387" s="98"/>
      <c r="Q387" s="78">
        <v>101082</v>
      </c>
      <c r="R387" s="93"/>
    </row>
    <row r="388" spans="1:18" s="94" customFormat="1">
      <c r="A388" s="78">
        <v>101083</v>
      </c>
      <c r="B388" s="93">
        <v>1010831</v>
      </c>
      <c r="C388" s="93" t="s">
        <v>727</v>
      </c>
      <c r="D388" s="93">
        <v>1010832</v>
      </c>
      <c r="E388" s="92" t="s">
        <v>730</v>
      </c>
      <c r="F388" s="93">
        <v>1</v>
      </c>
      <c r="G388" s="93">
        <v>0</v>
      </c>
      <c r="H388" s="78" t="s">
        <v>731</v>
      </c>
      <c r="I388" s="78">
        <v>101083</v>
      </c>
      <c r="J388" s="92"/>
      <c r="K388" s="93">
        <v>6</v>
      </c>
      <c r="L388" s="93"/>
      <c r="M388" s="117"/>
      <c r="N388" s="93">
        <v>1</v>
      </c>
      <c r="O388" s="93">
        <v>0</v>
      </c>
      <c r="P388" s="98"/>
      <c r="Q388" s="78">
        <v>101083</v>
      </c>
      <c r="R388" s="93"/>
    </row>
    <row r="389" spans="1:18" s="94" customFormat="1">
      <c r="A389" s="78">
        <v>101084</v>
      </c>
      <c r="B389" s="93">
        <v>1010841</v>
      </c>
      <c r="C389" s="93" t="s">
        <v>727</v>
      </c>
      <c r="D389" s="93">
        <v>1010842</v>
      </c>
      <c r="E389" s="92" t="s">
        <v>732</v>
      </c>
      <c r="F389" s="93">
        <v>1</v>
      </c>
      <c r="G389" s="93">
        <v>0</v>
      </c>
      <c r="H389" s="78" t="s">
        <v>733</v>
      </c>
      <c r="I389" s="78">
        <v>101084</v>
      </c>
      <c r="J389" s="92"/>
      <c r="K389" s="93">
        <v>7</v>
      </c>
      <c r="L389" s="93"/>
      <c r="M389" s="117"/>
      <c r="N389" s="93">
        <v>1</v>
      </c>
      <c r="O389" s="93">
        <v>0</v>
      </c>
      <c r="P389" s="98"/>
      <c r="Q389" s="78">
        <v>101084</v>
      </c>
      <c r="R389" s="93"/>
    </row>
    <row r="390" spans="1:18" s="94" customFormat="1">
      <c r="A390" s="78">
        <v>101092</v>
      </c>
      <c r="B390" s="93">
        <v>1010921</v>
      </c>
      <c r="C390" s="93" t="s">
        <v>734</v>
      </c>
      <c r="D390" s="93">
        <v>1010922</v>
      </c>
      <c r="E390" s="92" t="s">
        <v>735</v>
      </c>
      <c r="F390" s="93">
        <v>1</v>
      </c>
      <c r="G390" s="93">
        <v>0</v>
      </c>
      <c r="H390" s="78" t="s">
        <v>736</v>
      </c>
      <c r="I390" s="78">
        <v>101092</v>
      </c>
      <c r="J390" s="92"/>
      <c r="K390" s="93">
        <v>5</v>
      </c>
      <c r="L390" s="93"/>
      <c r="M390" s="117"/>
      <c r="N390" s="93">
        <v>1</v>
      </c>
      <c r="O390" s="93">
        <v>0</v>
      </c>
      <c r="P390" s="98"/>
      <c r="Q390" s="78">
        <v>101092</v>
      </c>
      <c r="R390" s="93"/>
    </row>
    <row r="391" spans="1:18" s="94" customFormat="1">
      <c r="A391" s="78">
        <v>101093</v>
      </c>
      <c r="B391" s="93">
        <v>1010931</v>
      </c>
      <c r="C391" s="93" t="s">
        <v>734</v>
      </c>
      <c r="D391" s="93">
        <v>1010932</v>
      </c>
      <c r="E391" s="92" t="s">
        <v>737</v>
      </c>
      <c r="F391" s="93">
        <v>1</v>
      </c>
      <c r="G391" s="93">
        <v>0</v>
      </c>
      <c r="H391" s="78" t="s">
        <v>738</v>
      </c>
      <c r="I391" s="78">
        <v>101093</v>
      </c>
      <c r="J391" s="92"/>
      <c r="K391" s="93">
        <v>6</v>
      </c>
      <c r="L391" s="93"/>
      <c r="M391" s="117"/>
      <c r="N391" s="93">
        <v>1</v>
      </c>
      <c r="O391" s="93">
        <v>0</v>
      </c>
      <c r="P391" s="98"/>
      <c r="Q391" s="78">
        <v>101093</v>
      </c>
      <c r="R391" s="93"/>
    </row>
    <row r="392" spans="1:18" s="94" customFormat="1">
      <c r="A392" s="78">
        <v>101094</v>
      </c>
      <c r="B392" s="93">
        <v>1010941</v>
      </c>
      <c r="C392" s="93" t="s">
        <v>734</v>
      </c>
      <c r="D392" s="93">
        <v>1010942</v>
      </c>
      <c r="E392" s="92" t="s">
        <v>739</v>
      </c>
      <c r="F392" s="93">
        <v>1</v>
      </c>
      <c r="G392" s="93">
        <v>0</v>
      </c>
      <c r="H392" s="78" t="s">
        <v>740</v>
      </c>
      <c r="I392" s="78">
        <v>101094</v>
      </c>
      <c r="J392" s="92"/>
      <c r="K392" s="93">
        <v>7</v>
      </c>
      <c r="L392" s="93"/>
      <c r="M392" s="117"/>
      <c r="N392" s="93">
        <v>1</v>
      </c>
      <c r="O392" s="93">
        <v>0</v>
      </c>
      <c r="P392" s="98"/>
      <c r="Q392" s="78">
        <v>101094</v>
      </c>
      <c r="R392" s="93"/>
    </row>
    <row r="393" spans="1:18" s="94" customFormat="1">
      <c r="A393" s="78">
        <v>101102</v>
      </c>
      <c r="B393" s="93">
        <v>1011021</v>
      </c>
      <c r="C393" s="93" t="s">
        <v>741</v>
      </c>
      <c r="D393" s="93">
        <v>1011022</v>
      </c>
      <c r="E393" s="92" t="s">
        <v>742</v>
      </c>
      <c r="F393" s="93">
        <v>1</v>
      </c>
      <c r="G393" s="93">
        <v>0</v>
      </c>
      <c r="H393" s="78" t="s">
        <v>743</v>
      </c>
      <c r="I393" s="78">
        <v>101102</v>
      </c>
      <c r="J393" s="92"/>
      <c r="K393" s="93">
        <v>5</v>
      </c>
      <c r="L393" s="93"/>
      <c r="M393" s="117"/>
      <c r="N393" s="93">
        <v>1</v>
      </c>
      <c r="O393" s="93">
        <v>0</v>
      </c>
      <c r="P393" s="98"/>
      <c r="Q393" s="78">
        <v>101102</v>
      </c>
      <c r="R393" s="93"/>
    </row>
    <row r="394" spans="1:18" s="94" customFormat="1">
      <c r="A394" s="78">
        <v>101103</v>
      </c>
      <c r="B394" s="93">
        <v>1011031</v>
      </c>
      <c r="C394" s="93" t="s">
        <v>741</v>
      </c>
      <c r="D394" s="93">
        <v>1011032</v>
      </c>
      <c r="E394" s="92" t="s">
        <v>744</v>
      </c>
      <c r="F394" s="93">
        <v>1</v>
      </c>
      <c r="G394" s="93">
        <v>0</v>
      </c>
      <c r="H394" s="78" t="s">
        <v>745</v>
      </c>
      <c r="I394" s="78">
        <v>101103</v>
      </c>
      <c r="J394" s="92"/>
      <c r="K394" s="93">
        <v>6</v>
      </c>
      <c r="L394" s="93"/>
      <c r="M394" s="117"/>
      <c r="N394" s="93">
        <v>1</v>
      </c>
      <c r="O394" s="93">
        <v>0</v>
      </c>
      <c r="P394" s="98"/>
      <c r="Q394" s="78">
        <v>101103</v>
      </c>
      <c r="R394" s="93"/>
    </row>
    <row r="395" spans="1:18" s="94" customFormat="1">
      <c r="A395" s="78">
        <v>101104</v>
      </c>
      <c r="B395" s="93">
        <v>1011041</v>
      </c>
      <c r="C395" s="93" t="s">
        <v>741</v>
      </c>
      <c r="D395" s="93">
        <v>1011042</v>
      </c>
      <c r="E395" s="92" t="s">
        <v>746</v>
      </c>
      <c r="F395" s="93">
        <v>1</v>
      </c>
      <c r="G395" s="93">
        <v>0</v>
      </c>
      <c r="H395" s="78" t="s">
        <v>747</v>
      </c>
      <c r="I395" s="78">
        <v>101104</v>
      </c>
      <c r="J395" s="92"/>
      <c r="K395" s="93">
        <v>7</v>
      </c>
      <c r="L395" s="93"/>
      <c r="M395" s="117"/>
      <c r="N395" s="93">
        <v>1</v>
      </c>
      <c r="O395" s="93">
        <v>0</v>
      </c>
      <c r="P395" s="98"/>
      <c r="Q395" s="78">
        <v>101104</v>
      </c>
      <c r="R395" s="93"/>
    </row>
    <row r="396" spans="1:18" s="94" customFormat="1">
      <c r="A396" s="78">
        <v>101112</v>
      </c>
      <c r="B396" s="93">
        <v>1011121</v>
      </c>
      <c r="C396" s="93" t="s">
        <v>748</v>
      </c>
      <c r="D396" s="93">
        <v>1011122</v>
      </c>
      <c r="E396" s="92" t="s">
        <v>749</v>
      </c>
      <c r="F396" s="93">
        <v>1</v>
      </c>
      <c r="G396" s="93">
        <v>0</v>
      </c>
      <c r="H396" s="78" t="s">
        <v>750</v>
      </c>
      <c r="I396" s="78">
        <v>101112</v>
      </c>
      <c r="J396" s="92"/>
      <c r="K396" s="93">
        <v>5</v>
      </c>
      <c r="L396" s="93"/>
      <c r="M396" s="117"/>
      <c r="N396" s="93">
        <v>1</v>
      </c>
      <c r="O396" s="93">
        <v>0</v>
      </c>
      <c r="P396" s="98"/>
      <c r="Q396" s="78">
        <v>101112</v>
      </c>
      <c r="R396" s="93"/>
    </row>
    <row r="397" spans="1:18" s="94" customFormat="1">
      <c r="A397" s="78">
        <v>101113</v>
      </c>
      <c r="B397" s="93">
        <v>1011131</v>
      </c>
      <c r="C397" s="93" t="s">
        <v>748</v>
      </c>
      <c r="D397" s="93">
        <v>1011132</v>
      </c>
      <c r="E397" s="92" t="s">
        <v>751</v>
      </c>
      <c r="F397" s="93">
        <v>1</v>
      </c>
      <c r="G397" s="93">
        <v>0</v>
      </c>
      <c r="H397" s="78" t="s">
        <v>752</v>
      </c>
      <c r="I397" s="78">
        <v>101113</v>
      </c>
      <c r="J397" s="92"/>
      <c r="K397" s="93">
        <v>6</v>
      </c>
      <c r="L397" s="93"/>
      <c r="M397" s="117"/>
      <c r="N397" s="93">
        <v>1</v>
      </c>
      <c r="O397" s="93">
        <v>0</v>
      </c>
      <c r="P397" s="98"/>
      <c r="Q397" s="78">
        <v>101113</v>
      </c>
      <c r="R397" s="93"/>
    </row>
    <row r="398" spans="1:18" s="94" customFormat="1">
      <c r="A398" s="78">
        <v>101114</v>
      </c>
      <c r="B398" s="93">
        <v>1011141</v>
      </c>
      <c r="C398" s="93" t="s">
        <v>748</v>
      </c>
      <c r="D398" s="93">
        <v>1011142</v>
      </c>
      <c r="E398" s="92" t="s">
        <v>753</v>
      </c>
      <c r="F398" s="93">
        <v>1</v>
      </c>
      <c r="G398" s="93">
        <v>0</v>
      </c>
      <c r="H398" s="78" t="s">
        <v>754</v>
      </c>
      <c r="I398" s="78">
        <v>101114</v>
      </c>
      <c r="J398" s="92"/>
      <c r="K398" s="93">
        <v>7</v>
      </c>
      <c r="L398" s="93"/>
      <c r="M398" s="117"/>
      <c r="N398" s="93">
        <v>1</v>
      </c>
      <c r="O398" s="93">
        <v>0</v>
      </c>
      <c r="P398" s="98"/>
      <c r="Q398" s="78">
        <v>101114</v>
      </c>
      <c r="R398" s="93"/>
    </row>
    <row r="399" spans="1:18" s="94" customFormat="1">
      <c r="A399" s="78">
        <v>101122</v>
      </c>
      <c r="B399" s="93">
        <v>1011221</v>
      </c>
      <c r="C399" s="93" t="s">
        <v>755</v>
      </c>
      <c r="D399" s="93">
        <v>1011222</v>
      </c>
      <c r="E399" s="92" t="s">
        <v>756</v>
      </c>
      <c r="F399" s="93">
        <v>1</v>
      </c>
      <c r="G399" s="93">
        <v>0</v>
      </c>
      <c r="H399" s="78" t="s">
        <v>757</v>
      </c>
      <c r="I399" s="78">
        <v>101122</v>
      </c>
      <c r="J399" s="92"/>
      <c r="K399" s="93">
        <v>5</v>
      </c>
      <c r="L399" s="93"/>
      <c r="M399" s="117"/>
      <c r="N399" s="93">
        <v>1</v>
      </c>
      <c r="O399" s="93">
        <v>0</v>
      </c>
      <c r="P399" s="98"/>
      <c r="Q399" s="78">
        <v>101122</v>
      </c>
      <c r="R399" s="93"/>
    </row>
    <row r="400" spans="1:18" s="94" customFormat="1">
      <c r="A400" s="78">
        <v>101123</v>
      </c>
      <c r="B400" s="93">
        <v>1011231</v>
      </c>
      <c r="C400" s="93" t="s">
        <v>755</v>
      </c>
      <c r="D400" s="93">
        <v>1011232</v>
      </c>
      <c r="E400" s="92" t="s">
        <v>758</v>
      </c>
      <c r="F400" s="93">
        <v>1</v>
      </c>
      <c r="G400" s="93">
        <v>0</v>
      </c>
      <c r="H400" s="78" t="s">
        <v>759</v>
      </c>
      <c r="I400" s="78">
        <v>101123</v>
      </c>
      <c r="J400" s="92"/>
      <c r="K400" s="93">
        <v>6</v>
      </c>
      <c r="L400" s="93"/>
      <c r="M400" s="117"/>
      <c r="N400" s="93">
        <v>1</v>
      </c>
      <c r="O400" s="93">
        <v>0</v>
      </c>
      <c r="P400" s="98"/>
      <c r="Q400" s="78">
        <v>101123</v>
      </c>
      <c r="R400" s="93"/>
    </row>
    <row r="401" spans="1:18" s="94" customFormat="1">
      <c r="A401" s="78">
        <v>101124</v>
      </c>
      <c r="B401" s="93">
        <v>1011241</v>
      </c>
      <c r="C401" s="93" t="s">
        <v>755</v>
      </c>
      <c r="D401" s="93">
        <v>1011242</v>
      </c>
      <c r="E401" s="92" t="s">
        <v>760</v>
      </c>
      <c r="F401" s="93">
        <v>1</v>
      </c>
      <c r="G401" s="93">
        <v>0</v>
      </c>
      <c r="H401" s="78" t="s">
        <v>761</v>
      </c>
      <c r="I401" s="78">
        <v>101124</v>
      </c>
      <c r="J401" s="92"/>
      <c r="K401" s="93">
        <v>7</v>
      </c>
      <c r="L401" s="93"/>
      <c r="M401" s="117"/>
      <c r="N401" s="93">
        <v>1</v>
      </c>
      <c r="O401" s="93">
        <v>0</v>
      </c>
      <c r="P401" s="98"/>
      <c r="Q401" s="78">
        <v>101124</v>
      </c>
      <c r="R401" s="93"/>
    </row>
    <row r="402" spans="1:18" s="94" customFormat="1">
      <c r="A402" s="78">
        <v>101132</v>
      </c>
      <c r="B402" s="93">
        <v>1011321</v>
      </c>
      <c r="C402" s="93" t="s">
        <v>762</v>
      </c>
      <c r="D402" s="93">
        <v>1011322</v>
      </c>
      <c r="E402" s="93" t="s">
        <v>763</v>
      </c>
      <c r="F402" s="93">
        <v>1</v>
      </c>
      <c r="G402" s="93">
        <v>0</v>
      </c>
      <c r="H402" s="78" t="s">
        <v>764</v>
      </c>
      <c r="I402" s="78">
        <v>101132</v>
      </c>
      <c r="J402" s="92"/>
      <c r="K402" s="93">
        <v>5</v>
      </c>
      <c r="L402" s="93"/>
      <c r="M402" s="117"/>
      <c r="N402" s="93">
        <v>1</v>
      </c>
      <c r="O402" s="93">
        <v>0</v>
      </c>
      <c r="P402" s="98"/>
      <c r="Q402" s="78">
        <v>101132</v>
      </c>
      <c r="R402" s="93"/>
    </row>
    <row r="403" spans="1:18" s="94" customFormat="1">
      <c r="A403" s="78">
        <v>101133</v>
      </c>
      <c r="B403" s="93">
        <v>1011331</v>
      </c>
      <c r="C403" s="93" t="s">
        <v>762</v>
      </c>
      <c r="D403" s="93">
        <v>1011332</v>
      </c>
      <c r="E403" s="93" t="s">
        <v>765</v>
      </c>
      <c r="F403" s="93">
        <v>1</v>
      </c>
      <c r="G403" s="93">
        <v>0</v>
      </c>
      <c r="H403" s="78" t="s">
        <v>766</v>
      </c>
      <c r="I403" s="78">
        <v>101133</v>
      </c>
      <c r="J403" s="92"/>
      <c r="K403" s="93">
        <v>6</v>
      </c>
      <c r="L403" s="93"/>
      <c r="M403" s="117"/>
      <c r="N403" s="93">
        <v>1</v>
      </c>
      <c r="O403" s="93">
        <v>0</v>
      </c>
      <c r="P403" s="98"/>
      <c r="Q403" s="78">
        <v>101133</v>
      </c>
      <c r="R403" s="93"/>
    </row>
    <row r="404" spans="1:18" s="94" customFormat="1">
      <c r="A404" s="78">
        <v>101134</v>
      </c>
      <c r="B404" s="93">
        <v>1011341</v>
      </c>
      <c r="C404" s="93" t="s">
        <v>762</v>
      </c>
      <c r="D404" s="93">
        <v>1011342</v>
      </c>
      <c r="E404" s="93" t="s">
        <v>767</v>
      </c>
      <c r="F404" s="93">
        <v>1</v>
      </c>
      <c r="G404" s="93">
        <v>0</v>
      </c>
      <c r="H404" s="78" t="s">
        <v>768</v>
      </c>
      <c r="I404" s="78">
        <v>101134</v>
      </c>
      <c r="J404" s="92"/>
      <c r="K404" s="93">
        <v>7</v>
      </c>
      <c r="L404" s="93"/>
      <c r="M404" s="117"/>
      <c r="N404" s="93">
        <v>1</v>
      </c>
      <c r="O404" s="93">
        <v>0</v>
      </c>
      <c r="P404" s="98"/>
      <c r="Q404" s="78">
        <v>101134</v>
      </c>
      <c r="R404" s="93"/>
    </row>
    <row r="405" spans="1:18" s="94" customFormat="1">
      <c r="A405" s="78">
        <v>101141</v>
      </c>
      <c r="B405" s="93">
        <v>1011411</v>
      </c>
      <c r="C405" s="93" t="s">
        <v>769</v>
      </c>
      <c r="D405" s="93">
        <v>1011412</v>
      </c>
      <c r="E405" s="93" t="s">
        <v>770</v>
      </c>
      <c r="F405" s="93">
        <v>1</v>
      </c>
      <c r="G405" s="93">
        <v>0</v>
      </c>
      <c r="H405" s="78" t="s">
        <v>771</v>
      </c>
      <c r="I405" s="78">
        <v>101142</v>
      </c>
      <c r="J405" s="92"/>
      <c r="K405" s="93">
        <v>4</v>
      </c>
      <c r="L405" s="93"/>
      <c r="M405" s="117"/>
      <c r="N405" s="93">
        <v>1</v>
      </c>
      <c r="O405" s="93">
        <v>0</v>
      </c>
      <c r="P405" s="98"/>
      <c r="Q405" s="78">
        <v>101142</v>
      </c>
      <c r="R405" s="93"/>
    </row>
    <row r="406" spans="1:18" s="94" customFormat="1">
      <c r="A406" s="78">
        <v>101142</v>
      </c>
      <c r="B406" s="93">
        <v>1011421</v>
      </c>
      <c r="C406" s="93" t="s">
        <v>769</v>
      </c>
      <c r="D406" s="93">
        <v>1011422</v>
      </c>
      <c r="E406" s="93" t="s">
        <v>772</v>
      </c>
      <c r="F406" s="93">
        <v>1</v>
      </c>
      <c r="G406" s="93">
        <v>0</v>
      </c>
      <c r="H406" s="78" t="s">
        <v>771</v>
      </c>
      <c r="I406" s="78">
        <v>101142</v>
      </c>
      <c r="J406" s="92"/>
      <c r="K406" s="93">
        <v>5</v>
      </c>
      <c r="L406" s="93"/>
      <c r="M406" s="117"/>
      <c r="N406" s="93">
        <v>1</v>
      </c>
      <c r="O406" s="93">
        <v>0</v>
      </c>
      <c r="P406" s="98"/>
      <c r="Q406" s="78">
        <v>101142</v>
      </c>
      <c r="R406" s="93"/>
    </row>
    <row r="407" spans="1:18" s="94" customFormat="1">
      <c r="A407" s="78">
        <v>101143</v>
      </c>
      <c r="B407" s="93">
        <v>1011431</v>
      </c>
      <c r="C407" s="93" t="s">
        <v>769</v>
      </c>
      <c r="D407" s="93">
        <v>1011432</v>
      </c>
      <c r="E407" s="93" t="s">
        <v>773</v>
      </c>
      <c r="F407" s="93">
        <v>1</v>
      </c>
      <c r="G407" s="93">
        <v>0</v>
      </c>
      <c r="H407" s="78" t="s">
        <v>774</v>
      </c>
      <c r="I407" s="78">
        <v>101143</v>
      </c>
      <c r="J407" s="92"/>
      <c r="K407" s="93">
        <v>6</v>
      </c>
      <c r="L407" s="93"/>
      <c r="M407" s="117"/>
      <c r="N407" s="93">
        <v>1</v>
      </c>
      <c r="O407" s="93">
        <v>0</v>
      </c>
      <c r="P407" s="98"/>
      <c r="Q407" s="78">
        <v>101143</v>
      </c>
      <c r="R407" s="93"/>
    </row>
    <row r="408" spans="1:18" s="94" customFormat="1">
      <c r="A408" s="78">
        <v>101144</v>
      </c>
      <c r="B408" s="93">
        <v>1011441</v>
      </c>
      <c r="C408" s="93" t="s">
        <v>769</v>
      </c>
      <c r="D408" s="93">
        <v>1011442</v>
      </c>
      <c r="E408" s="93" t="s">
        <v>775</v>
      </c>
      <c r="F408" s="93">
        <v>1</v>
      </c>
      <c r="G408" s="93">
        <v>0</v>
      </c>
      <c r="H408" s="78" t="s">
        <v>776</v>
      </c>
      <c r="I408" s="78">
        <v>101144</v>
      </c>
      <c r="J408" s="92"/>
      <c r="K408" s="93">
        <v>7</v>
      </c>
      <c r="L408" s="93"/>
      <c r="M408" s="117"/>
      <c r="N408" s="93">
        <v>1</v>
      </c>
      <c r="O408" s="93">
        <v>0</v>
      </c>
      <c r="P408" s="98"/>
      <c r="Q408" s="78">
        <v>101144</v>
      </c>
      <c r="R408" s="93"/>
    </row>
    <row r="409" spans="1:18" s="108" customFormat="1">
      <c r="A409" s="80">
        <v>101152</v>
      </c>
      <c r="B409" s="79">
        <f>A409*10+1</f>
        <v>1011521</v>
      </c>
      <c r="C409" s="79" t="s">
        <v>777</v>
      </c>
      <c r="D409" s="79">
        <f>A409*10+2</f>
        <v>1011522</v>
      </c>
      <c r="E409" s="79" t="s">
        <v>778</v>
      </c>
      <c r="F409" s="79">
        <v>1</v>
      </c>
      <c r="G409" s="79">
        <v>0</v>
      </c>
      <c r="H409" s="80" t="s">
        <v>779</v>
      </c>
      <c r="I409" s="80">
        <v>101152</v>
      </c>
      <c r="J409" s="101"/>
      <c r="K409" s="79">
        <v>5</v>
      </c>
      <c r="L409" s="79"/>
      <c r="M409" s="127"/>
      <c r="N409" s="79">
        <v>1</v>
      </c>
      <c r="O409" s="79">
        <v>0</v>
      </c>
      <c r="P409" s="107"/>
      <c r="Q409" s="80">
        <v>101152</v>
      </c>
      <c r="R409" s="79"/>
    </row>
    <row r="410" spans="1:18" s="108" customFormat="1">
      <c r="A410" s="80">
        <v>101153</v>
      </c>
      <c r="B410" s="79">
        <f t="shared" ref="B410:B439" si="20">A410*10+1</f>
        <v>1011531</v>
      </c>
      <c r="C410" s="79" t="s">
        <v>777</v>
      </c>
      <c r="D410" s="79">
        <f t="shared" ref="D410:D420" si="21">A410*10+2</f>
        <v>1011532</v>
      </c>
      <c r="E410" s="79" t="s">
        <v>780</v>
      </c>
      <c r="F410" s="79">
        <v>1</v>
      </c>
      <c r="G410" s="79">
        <v>0</v>
      </c>
      <c r="H410" s="80" t="s">
        <v>781</v>
      </c>
      <c r="I410" s="80">
        <v>101153</v>
      </c>
      <c r="J410" s="101"/>
      <c r="K410" s="79">
        <v>6</v>
      </c>
      <c r="L410" s="79"/>
      <c r="M410" s="127"/>
      <c r="N410" s="79">
        <v>1</v>
      </c>
      <c r="O410" s="79">
        <v>0</v>
      </c>
      <c r="P410" s="107"/>
      <c r="Q410" s="80">
        <v>101153</v>
      </c>
      <c r="R410" s="79"/>
    </row>
    <row r="411" spans="1:18" s="108" customFormat="1">
      <c r="A411" s="80">
        <v>101154</v>
      </c>
      <c r="B411" s="79">
        <f t="shared" si="20"/>
        <v>1011541</v>
      </c>
      <c r="C411" s="79" t="s">
        <v>777</v>
      </c>
      <c r="D411" s="79">
        <f t="shared" si="21"/>
        <v>1011542</v>
      </c>
      <c r="E411" s="79" t="s">
        <v>782</v>
      </c>
      <c r="F411" s="79">
        <v>1</v>
      </c>
      <c r="G411" s="79">
        <v>0</v>
      </c>
      <c r="H411" s="80" t="s">
        <v>783</v>
      </c>
      <c r="I411" s="80">
        <v>101154</v>
      </c>
      <c r="J411" s="101"/>
      <c r="K411" s="79">
        <v>7</v>
      </c>
      <c r="L411" s="79"/>
      <c r="M411" s="127"/>
      <c r="N411" s="79">
        <v>1</v>
      </c>
      <c r="O411" s="79">
        <v>0</v>
      </c>
      <c r="P411" s="107"/>
      <c r="Q411" s="80">
        <v>101154</v>
      </c>
      <c r="R411" s="79"/>
    </row>
    <row r="412" spans="1:18" s="108" customFormat="1">
      <c r="A412" s="80">
        <v>101162</v>
      </c>
      <c r="B412" s="79">
        <f t="shared" si="20"/>
        <v>1011621</v>
      </c>
      <c r="C412" s="79" t="s">
        <v>784</v>
      </c>
      <c r="D412" s="79">
        <f t="shared" si="21"/>
        <v>1011622</v>
      </c>
      <c r="E412" s="79"/>
      <c r="F412" s="79">
        <v>1</v>
      </c>
      <c r="G412" s="79">
        <v>1</v>
      </c>
      <c r="H412" s="80" t="s">
        <v>785</v>
      </c>
      <c r="I412" s="80">
        <v>101162</v>
      </c>
      <c r="J412" s="101"/>
      <c r="K412" s="79">
        <v>5</v>
      </c>
      <c r="L412" s="79"/>
      <c r="M412" s="127"/>
      <c r="N412" s="79">
        <v>1</v>
      </c>
      <c r="O412" s="79">
        <v>0</v>
      </c>
      <c r="P412" s="107"/>
      <c r="Q412" s="80">
        <v>101162</v>
      </c>
      <c r="R412" s="79"/>
    </row>
    <row r="413" spans="1:18" s="108" customFormat="1">
      <c r="A413" s="80">
        <v>101163</v>
      </c>
      <c r="B413" s="79">
        <f t="shared" si="20"/>
        <v>1011631</v>
      </c>
      <c r="C413" s="79" t="s">
        <v>786</v>
      </c>
      <c r="D413" s="79">
        <f t="shared" si="21"/>
        <v>1011632</v>
      </c>
      <c r="E413" s="79"/>
      <c r="F413" s="79">
        <v>1</v>
      </c>
      <c r="G413" s="79">
        <v>1</v>
      </c>
      <c r="H413" s="80" t="s">
        <v>787</v>
      </c>
      <c r="I413" s="80">
        <v>101163</v>
      </c>
      <c r="J413" s="101"/>
      <c r="K413" s="79">
        <v>6</v>
      </c>
      <c r="L413" s="79"/>
      <c r="M413" s="127"/>
      <c r="N413" s="79">
        <v>1</v>
      </c>
      <c r="O413" s="79">
        <v>0</v>
      </c>
      <c r="P413" s="107"/>
      <c r="Q413" s="80">
        <v>101163</v>
      </c>
      <c r="R413" s="79"/>
    </row>
    <row r="414" spans="1:18" s="108" customFormat="1">
      <c r="A414" s="80">
        <v>101164</v>
      </c>
      <c r="B414" s="79">
        <f t="shared" si="20"/>
        <v>1011641</v>
      </c>
      <c r="C414" s="79" t="s">
        <v>788</v>
      </c>
      <c r="D414" s="79">
        <f t="shared" si="21"/>
        <v>1011642</v>
      </c>
      <c r="E414" s="79"/>
      <c r="F414" s="79">
        <v>1</v>
      </c>
      <c r="G414" s="79">
        <v>1</v>
      </c>
      <c r="H414" s="80" t="s">
        <v>789</v>
      </c>
      <c r="I414" s="80">
        <v>101164</v>
      </c>
      <c r="J414" s="101"/>
      <c r="K414" s="79">
        <v>7</v>
      </c>
      <c r="L414" s="79"/>
      <c r="M414" s="127"/>
      <c r="N414" s="79">
        <v>1</v>
      </c>
      <c r="O414" s="79">
        <v>0</v>
      </c>
      <c r="P414" s="107"/>
      <c r="Q414" s="80">
        <v>101164</v>
      </c>
      <c r="R414" s="79"/>
    </row>
    <row r="415" spans="1:18" s="108" customFormat="1">
      <c r="A415" s="80">
        <v>101174</v>
      </c>
      <c r="B415" s="79">
        <f t="shared" si="20"/>
        <v>1011741</v>
      </c>
      <c r="C415" s="79" t="s">
        <v>790</v>
      </c>
      <c r="D415" s="79">
        <f t="shared" si="21"/>
        <v>1011742</v>
      </c>
      <c r="E415" s="79" t="s">
        <v>791</v>
      </c>
      <c r="F415" s="79">
        <v>1</v>
      </c>
      <c r="G415" s="79">
        <v>0</v>
      </c>
      <c r="H415" s="80" t="str">
        <f>"icon_"&amp;I415</f>
        <v>icon_101174</v>
      </c>
      <c r="I415" s="80">
        <v>101174</v>
      </c>
      <c r="J415" s="101"/>
      <c r="K415" s="79">
        <v>8</v>
      </c>
      <c r="L415" s="79"/>
      <c r="M415" s="127"/>
      <c r="N415" s="79">
        <v>1</v>
      </c>
      <c r="O415" s="79">
        <v>0</v>
      </c>
      <c r="P415" s="107"/>
      <c r="Q415" s="80">
        <v>101174</v>
      </c>
      <c r="R415" s="79"/>
    </row>
    <row r="416" spans="1:18" s="108" customFormat="1">
      <c r="A416" s="80">
        <v>101183</v>
      </c>
      <c r="B416" s="79">
        <f t="shared" si="20"/>
        <v>1011831</v>
      </c>
      <c r="C416" s="79" t="s">
        <v>792</v>
      </c>
      <c r="D416" s="79">
        <f t="shared" si="21"/>
        <v>1011832</v>
      </c>
      <c r="E416" s="79" t="s">
        <v>793</v>
      </c>
      <c r="F416" s="79">
        <v>1</v>
      </c>
      <c r="G416" s="79">
        <v>0</v>
      </c>
      <c r="H416" s="80" t="str">
        <f t="shared" ref="H416:H428" si="22">"icon_"&amp;I416</f>
        <v>icon_101183</v>
      </c>
      <c r="I416" s="80">
        <v>101183</v>
      </c>
      <c r="J416" s="101"/>
      <c r="K416" s="79">
        <v>7</v>
      </c>
      <c r="L416" s="79"/>
      <c r="M416" s="127"/>
      <c r="N416" s="79">
        <v>1</v>
      </c>
      <c r="O416" s="79">
        <v>0</v>
      </c>
      <c r="P416" s="107"/>
      <c r="Q416" s="80">
        <v>101183</v>
      </c>
      <c r="R416" s="79"/>
    </row>
    <row r="417" spans="1:18" s="108" customFormat="1">
      <c r="A417" s="80">
        <v>101194</v>
      </c>
      <c r="B417" s="79">
        <f t="shared" si="20"/>
        <v>1011941</v>
      </c>
      <c r="C417" s="79" t="s">
        <v>794</v>
      </c>
      <c r="D417" s="79">
        <f t="shared" si="21"/>
        <v>1011942</v>
      </c>
      <c r="E417" s="79" t="str">
        <f>C417&amp;"主题球杆，品质等级Z"</f>
        <v>白羊座主题球杆，品质等级Z</v>
      </c>
      <c r="F417" s="79">
        <v>1</v>
      </c>
      <c r="G417" s="79">
        <v>0</v>
      </c>
      <c r="H417" s="80" t="str">
        <f t="shared" si="22"/>
        <v>icon_101194</v>
      </c>
      <c r="I417" s="80">
        <v>101194</v>
      </c>
      <c r="J417" s="101"/>
      <c r="K417" s="79">
        <v>8</v>
      </c>
      <c r="L417" s="79"/>
      <c r="M417" s="127"/>
      <c r="N417" s="79">
        <v>1</v>
      </c>
      <c r="O417" s="79">
        <v>0</v>
      </c>
      <c r="P417" s="107"/>
      <c r="Q417" s="80">
        <v>101194</v>
      </c>
      <c r="R417" s="79"/>
    </row>
    <row r="418" spans="1:18" s="108" customFormat="1">
      <c r="A418" s="80">
        <v>101204</v>
      </c>
      <c r="B418" s="79">
        <f t="shared" si="20"/>
        <v>1012041</v>
      </c>
      <c r="C418" s="79" t="s">
        <v>795</v>
      </c>
      <c r="D418" s="79">
        <f t="shared" si="21"/>
        <v>1012042</v>
      </c>
      <c r="E418" s="79" t="str">
        <f t="shared" ref="E418:E429" si="23">C418&amp;"主题球杆，品质等级Z"</f>
        <v>金牛座主题球杆，品质等级Z</v>
      </c>
      <c r="F418" s="79">
        <v>1</v>
      </c>
      <c r="G418" s="79">
        <v>0</v>
      </c>
      <c r="H418" s="80" t="str">
        <f t="shared" si="22"/>
        <v>icon_101204</v>
      </c>
      <c r="I418" s="80">
        <v>101204</v>
      </c>
      <c r="J418" s="101"/>
      <c r="K418" s="79">
        <v>8</v>
      </c>
      <c r="L418" s="79"/>
      <c r="M418" s="127"/>
      <c r="N418" s="79">
        <v>1</v>
      </c>
      <c r="O418" s="79">
        <v>0</v>
      </c>
      <c r="P418" s="107"/>
      <c r="Q418" s="80">
        <v>101204</v>
      </c>
      <c r="R418" s="79"/>
    </row>
    <row r="419" spans="1:18" s="108" customFormat="1">
      <c r="A419" s="80">
        <v>101214</v>
      </c>
      <c r="B419" s="79">
        <f t="shared" si="20"/>
        <v>1012141</v>
      </c>
      <c r="C419" s="79" t="s">
        <v>796</v>
      </c>
      <c r="D419" s="79">
        <f t="shared" si="21"/>
        <v>1012142</v>
      </c>
      <c r="E419" s="79" t="str">
        <f t="shared" si="23"/>
        <v>双子座主题球杆，品质等级Z</v>
      </c>
      <c r="F419" s="79">
        <v>1</v>
      </c>
      <c r="G419" s="79">
        <v>0</v>
      </c>
      <c r="H419" s="80" t="str">
        <f t="shared" si="22"/>
        <v>icon_101214</v>
      </c>
      <c r="I419" s="80">
        <v>101214</v>
      </c>
      <c r="J419" s="101"/>
      <c r="K419" s="79">
        <v>8</v>
      </c>
      <c r="L419" s="79"/>
      <c r="M419" s="127"/>
      <c r="N419" s="79">
        <v>1</v>
      </c>
      <c r="O419" s="79">
        <v>0</v>
      </c>
      <c r="P419" s="107"/>
      <c r="Q419" s="80">
        <v>101214</v>
      </c>
      <c r="R419" s="79"/>
    </row>
    <row r="420" spans="1:18" s="108" customFormat="1">
      <c r="A420" s="80">
        <v>101224</v>
      </c>
      <c r="B420" s="79">
        <f t="shared" si="20"/>
        <v>1012241</v>
      </c>
      <c r="C420" s="79" t="s">
        <v>797</v>
      </c>
      <c r="D420" s="79">
        <f t="shared" si="21"/>
        <v>1012242</v>
      </c>
      <c r="E420" s="79" t="str">
        <f t="shared" si="23"/>
        <v>巨蟹座主题球杆，品质等级Z</v>
      </c>
      <c r="F420" s="79">
        <v>1</v>
      </c>
      <c r="G420" s="79">
        <v>0</v>
      </c>
      <c r="H420" s="80" t="str">
        <f t="shared" si="22"/>
        <v>icon_101224</v>
      </c>
      <c r="I420" s="80">
        <v>101224</v>
      </c>
      <c r="J420" s="101"/>
      <c r="K420" s="79">
        <v>8</v>
      </c>
      <c r="L420" s="79"/>
      <c r="M420" s="127"/>
      <c r="N420" s="79">
        <v>1</v>
      </c>
      <c r="O420" s="79">
        <v>0</v>
      </c>
      <c r="P420" s="107"/>
      <c r="Q420" s="80">
        <v>101224</v>
      </c>
      <c r="R420" s="79"/>
    </row>
    <row r="421" spans="1:18" s="108" customFormat="1">
      <c r="A421" s="80">
        <v>101234</v>
      </c>
      <c r="B421" s="79">
        <f t="shared" si="20"/>
        <v>1012341</v>
      </c>
      <c r="C421" s="79" t="s">
        <v>798</v>
      </c>
      <c r="D421" s="79">
        <f t="shared" ref="D421:D439" si="24">A421*10+2</f>
        <v>1012342</v>
      </c>
      <c r="E421" s="79" t="str">
        <f t="shared" si="23"/>
        <v>狮子座主题球杆，品质等级Z</v>
      </c>
      <c r="F421" s="79">
        <v>1</v>
      </c>
      <c r="G421" s="79">
        <v>0</v>
      </c>
      <c r="H421" s="80" t="str">
        <f t="shared" si="22"/>
        <v>icon_101234</v>
      </c>
      <c r="I421" s="80">
        <v>101234</v>
      </c>
      <c r="J421" s="101"/>
      <c r="K421" s="79">
        <v>8</v>
      </c>
      <c r="L421" s="79"/>
      <c r="M421" s="127"/>
      <c r="N421" s="79">
        <v>1</v>
      </c>
      <c r="O421" s="79">
        <v>0</v>
      </c>
      <c r="P421" s="107"/>
      <c r="Q421" s="80">
        <v>101234</v>
      </c>
      <c r="R421" s="79"/>
    </row>
    <row r="422" spans="1:18" s="108" customFormat="1">
      <c r="A422" s="80">
        <v>101244</v>
      </c>
      <c r="B422" s="79">
        <f t="shared" si="20"/>
        <v>1012441</v>
      </c>
      <c r="C422" s="79" t="s">
        <v>799</v>
      </c>
      <c r="D422" s="79">
        <f t="shared" si="24"/>
        <v>1012442</v>
      </c>
      <c r="E422" s="79" t="str">
        <f t="shared" si="23"/>
        <v>处女座主题球杆，品质等级Z</v>
      </c>
      <c r="F422" s="79">
        <v>1</v>
      </c>
      <c r="G422" s="79">
        <v>0</v>
      </c>
      <c r="H422" s="80" t="str">
        <f t="shared" si="22"/>
        <v>icon_101244</v>
      </c>
      <c r="I422" s="80">
        <v>101244</v>
      </c>
      <c r="J422" s="101"/>
      <c r="K422" s="79">
        <v>8</v>
      </c>
      <c r="L422" s="79"/>
      <c r="M422" s="127"/>
      <c r="N422" s="79">
        <v>1</v>
      </c>
      <c r="O422" s="79">
        <v>0</v>
      </c>
      <c r="P422" s="107"/>
      <c r="Q422" s="80">
        <v>101244</v>
      </c>
      <c r="R422" s="79"/>
    </row>
    <row r="423" spans="1:18" s="108" customFormat="1">
      <c r="A423" s="80">
        <v>101254</v>
      </c>
      <c r="B423" s="79">
        <f t="shared" si="20"/>
        <v>1012541</v>
      </c>
      <c r="C423" s="79" t="s">
        <v>800</v>
      </c>
      <c r="D423" s="79">
        <f t="shared" si="24"/>
        <v>1012542</v>
      </c>
      <c r="E423" s="79" t="str">
        <f t="shared" si="23"/>
        <v>天秤座主题球杆，品质等级Z</v>
      </c>
      <c r="F423" s="79">
        <v>1</v>
      </c>
      <c r="G423" s="79">
        <v>0</v>
      </c>
      <c r="H423" s="80" t="str">
        <f t="shared" si="22"/>
        <v>icon_101254</v>
      </c>
      <c r="I423" s="80">
        <v>101254</v>
      </c>
      <c r="J423" s="101"/>
      <c r="K423" s="79">
        <v>8</v>
      </c>
      <c r="L423" s="79"/>
      <c r="M423" s="127"/>
      <c r="N423" s="79">
        <v>1</v>
      </c>
      <c r="O423" s="79">
        <v>0</v>
      </c>
      <c r="P423" s="107"/>
      <c r="Q423" s="80">
        <v>101254</v>
      </c>
      <c r="R423" s="79"/>
    </row>
    <row r="424" spans="1:18" s="108" customFormat="1">
      <c r="A424" s="80">
        <v>101264</v>
      </c>
      <c r="B424" s="79">
        <f t="shared" si="20"/>
        <v>1012641</v>
      </c>
      <c r="C424" s="79" t="s">
        <v>801</v>
      </c>
      <c r="D424" s="79">
        <f t="shared" si="24"/>
        <v>1012642</v>
      </c>
      <c r="E424" s="79" t="str">
        <f t="shared" si="23"/>
        <v>天蝎座主题球杆，品质等级Z</v>
      </c>
      <c r="F424" s="79">
        <v>1</v>
      </c>
      <c r="G424" s="79">
        <v>0</v>
      </c>
      <c r="H424" s="80" t="str">
        <f t="shared" si="22"/>
        <v>icon_101264</v>
      </c>
      <c r="I424" s="80">
        <v>101264</v>
      </c>
      <c r="J424" s="101"/>
      <c r="K424" s="79">
        <v>8</v>
      </c>
      <c r="L424" s="79"/>
      <c r="M424" s="127"/>
      <c r="N424" s="79">
        <v>1</v>
      </c>
      <c r="O424" s="79">
        <v>0</v>
      </c>
      <c r="P424" s="107"/>
      <c r="Q424" s="80">
        <v>101264</v>
      </c>
      <c r="R424" s="79"/>
    </row>
    <row r="425" spans="1:18" s="108" customFormat="1">
      <c r="A425" s="80">
        <v>101274</v>
      </c>
      <c r="B425" s="79">
        <f t="shared" si="20"/>
        <v>1012741</v>
      </c>
      <c r="C425" s="79" t="s">
        <v>802</v>
      </c>
      <c r="D425" s="79">
        <f t="shared" si="24"/>
        <v>1012742</v>
      </c>
      <c r="E425" s="79" t="str">
        <f t="shared" si="23"/>
        <v>射手座主题球杆，品质等级Z</v>
      </c>
      <c r="F425" s="79">
        <v>1</v>
      </c>
      <c r="G425" s="79">
        <v>0</v>
      </c>
      <c r="H425" s="80" t="str">
        <f t="shared" si="22"/>
        <v>icon_101274</v>
      </c>
      <c r="I425" s="80">
        <v>101274</v>
      </c>
      <c r="J425" s="101"/>
      <c r="K425" s="79">
        <v>8</v>
      </c>
      <c r="L425" s="79"/>
      <c r="M425" s="127"/>
      <c r="N425" s="79">
        <v>1</v>
      </c>
      <c r="O425" s="79">
        <v>0</v>
      </c>
      <c r="P425" s="107"/>
      <c r="Q425" s="80">
        <v>101274</v>
      </c>
      <c r="R425" s="79"/>
    </row>
    <row r="426" spans="1:18" s="108" customFormat="1">
      <c r="A426" s="80">
        <v>101284</v>
      </c>
      <c r="B426" s="79">
        <f t="shared" si="20"/>
        <v>1012841</v>
      </c>
      <c r="C426" s="79" t="s">
        <v>803</v>
      </c>
      <c r="D426" s="79">
        <f t="shared" si="24"/>
        <v>1012842</v>
      </c>
      <c r="E426" s="79" t="str">
        <f t="shared" si="23"/>
        <v>魔羯座主题球杆，品质等级Z</v>
      </c>
      <c r="F426" s="79">
        <v>1</v>
      </c>
      <c r="G426" s="79">
        <v>0</v>
      </c>
      <c r="H426" s="80" t="str">
        <f t="shared" si="22"/>
        <v>icon_101284</v>
      </c>
      <c r="I426" s="80">
        <v>101284</v>
      </c>
      <c r="J426" s="101"/>
      <c r="K426" s="79">
        <v>8</v>
      </c>
      <c r="L426" s="79"/>
      <c r="M426" s="127"/>
      <c r="N426" s="79">
        <v>1</v>
      </c>
      <c r="O426" s="79">
        <v>0</v>
      </c>
      <c r="P426" s="107"/>
      <c r="Q426" s="80">
        <v>101284</v>
      </c>
      <c r="R426" s="79"/>
    </row>
    <row r="427" spans="1:18" s="108" customFormat="1">
      <c r="A427" s="80">
        <v>101294</v>
      </c>
      <c r="B427" s="79">
        <f t="shared" si="20"/>
        <v>1012941</v>
      </c>
      <c r="C427" s="79" t="s">
        <v>804</v>
      </c>
      <c r="D427" s="79">
        <f t="shared" si="24"/>
        <v>1012942</v>
      </c>
      <c r="E427" s="79" t="str">
        <f t="shared" si="23"/>
        <v>水瓶座主题球杆，品质等级Z</v>
      </c>
      <c r="F427" s="79">
        <v>1</v>
      </c>
      <c r="G427" s="79">
        <v>0</v>
      </c>
      <c r="H427" s="80" t="str">
        <f t="shared" si="22"/>
        <v>icon_101294</v>
      </c>
      <c r="I427" s="80">
        <v>101294</v>
      </c>
      <c r="J427" s="101"/>
      <c r="K427" s="79">
        <v>8</v>
      </c>
      <c r="L427" s="79"/>
      <c r="M427" s="127"/>
      <c r="N427" s="79">
        <v>1</v>
      </c>
      <c r="O427" s="79">
        <v>0</v>
      </c>
      <c r="P427" s="107"/>
      <c r="Q427" s="80">
        <v>101294</v>
      </c>
      <c r="R427" s="79"/>
    </row>
    <row r="428" spans="1:18" s="108" customFormat="1">
      <c r="A428" s="80">
        <v>101304</v>
      </c>
      <c r="B428" s="79">
        <f t="shared" si="20"/>
        <v>1013041</v>
      </c>
      <c r="C428" s="79" t="s">
        <v>805</v>
      </c>
      <c r="D428" s="79">
        <f t="shared" si="24"/>
        <v>1013042</v>
      </c>
      <c r="E428" s="79" t="str">
        <f t="shared" si="23"/>
        <v>双鱼座主题球杆，品质等级Z</v>
      </c>
      <c r="F428" s="79">
        <v>1</v>
      </c>
      <c r="G428" s="79">
        <v>0</v>
      </c>
      <c r="H428" s="80" t="str">
        <f t="shared" si="22"/>
        <v>icon_101304</v>
      </c>
      <c r="I428" s="80">
        <v>101304</v>
      </c>
      <c r="J428" s="101"/>
      <c r="K428" s="79">
        <v>8</v>
      </c>
      <c r="L428" s="79"/>
      <c r="M428" s="127"/>
      <c r="N428" s="79">
        <v>1</v>
      </c>
      <c r="O428" s="79">
        <v>0</v>
      </c>
      <c r="P428" s="107"/>
      <c r="Q428" s="80">
        <v>101304</v>
      </c>
      <c r="R428" s="79"/>
    </row>
    <row r="429" spans="1:18" s="108" customFormat="1">
      <c r="A429" s="80">
        <v>101314</v>
      </c>
      <c r="B429" s="79">
        <f t="shared" si="20"/>
        <v>1013141</v>
      </c>
      <c r="C429" s="79" t="s">
        <v>806</v>
      </c>
      <c r="D429" s="79">
        <f t="shared" si="24"/>
        <v>1013142</v>
      </c>
      <c r="E429" s="79" t="str">
        <f t="shared" si="23"/>
        <v>如意金箍棒主题球杆，品质等级Z</v>
      </c>
      <c r="F429" s="79">
        <v>1</v>
      </c>
      <c r="G429" s="79">
        <v>0</v>
      </c>
      <c r="H429" s="80" t="s">
        <v>807</v>
      </c>
      <c r="I429" s="80">
        <v>101314</v>
      </c>
      <c r="J429" s="101"/>
      <c r="K429" s="79">
        <v>8</v>
      </c>
      <c r="L429" s="79"/>
      <c r="M429" s="127"/>
      <c r="N429" s="79">
        <v>1</v>
      </c>
      <c r="O429" s="79">
        <v>0</v>
      </c>
      <c r="P429" s="107"/>
      <c r="Q429" s="80">
        <v>101314</v>
      </c>
      <c r="R429" s="79"/>
    </row>
    <row r="430" spans="1:18" s="108" customFormat="1">
      <c r="A430" s="80">
        <v>101322</v>
      </c>
      <c r="B430" s="79">
        <f t="shared" si="20"/>
        <v>1013221</v>
      </c>
      <c r="C430" s="79" t="s">
        <v>808</v>
      </c>
      <c r="D430" s="79">
        <f t="shared" si="24"/>
        <v>1013222</v>
      </c>
      <c r="E430" s="79" t="s">
        <v>809</v>
      </c>
      <c r="F430" s="79">
        <v>1</v>
      </c>
      <c r="G430" s="79">
        <v>0</v>
      </c>
      <c r="H430" s="80" t="s">
        <v>810</v>
      </c>
      <c r="I430" s="80">
        <v>101322</v>
      </c>
      <c r="J430" s="101"/>
      <c r="K430" s="79">
        <v>5</v>
      </c>
      <c r="L430" s="79"/>
      <c r="M430" s="127"/>
      <c r="N430" s="79">
        <v>1</v>
      </c>
      <c r="O430" s="79">
        <v>0</v>
      </c>
      <c r="P430" s="107"/>
      <c r="Q430" s="80">
        <v>101322</v>
      </c>
      <c r="R430" s="79"/>
    </row>
    <row r="431" spans="1:18" s="108" customFormat="1">
      <c r="A431" s="80">
        <v>101323</v>
      </c>
      <c r="B431" s="79">
        <f t="shared" si="20"/>
        <v>1013231</v>
      </c>
      <c r="C431" s="79" t="s">
        <v>808</v>
      </c>
      <c r="D431" s="79">
        <f t="shared" si="24"/>
        <v>1013232</v>
      </c>
      <c r="E431" s="79" t="s">
        <v>811</v>
      </c>
      <c r="F431" s="79">
        <v>1</v>
      </c>
      <c r="G431" s="79">
        <v>0</v>
      </c>
      <c r="H431" s="80" t="s">
        <v>812</v>
      </c>
      <c r="I431" s="80">
        <v>101323</v>
      </c>
      <c r="J431" s="101"/>
      <c r="K431" s="79">
        <v>6</v>
      </c>
      <c r="L431" s="79"/>
      <c r="M431" s="127"/>
      <c r="N431" s="79">
        <v>1</v>
      </c>
      <c r="O431" s="79">
        <v>0</v>
      </c>
      <c r="P431" s="107"/>
      <c r="Q431" s="80">
        <v>101323</v>
      </c>
      <c r="R431" s="79"/>
    </row>
    <row r="432" spans="1:18" s="108" customFormat="1">
      <c r="A432" s="80">
        <v>101324</v>
      </c>
      <c r="B432" s="79">
        <f t="shared" si="20"/>
        <v>1013241</v>
      </c>
      <c r="C432" s="79" t="s">
        <v>808</v>
      </c>
      <c r="D432" s="79">
        <f t="shared" si="24"/>
        <v>1013242</v>
      </c>
      <c r="E432" s="79" t="s">
        <v>813</v>
      </c>
      <c r="F432" s="79">
        <v>1</v>
      </c>
      <c r="G432" s="79">
        <v>0</v>
      </c>
      <c r="H432" s="80" t="s">
        <v>814</v>
      </c>
      <c r="I432" s="80">
        <v>101324</v>
      </c>
      <c r="J432" s="101"/>
      <c r="K432" s="79">
        <v>7</v>
      </c>
      <c r="L432" s="79"/>
      <c r="M432" s="127"/>
      <c r="N432" s="79">
        <v>1</v>
      </c>
      <c r="O432" s="79">
        <v>0</v>
      </c>
      <c r="P432" s="107"/>
      <c r="Q432" s="80">
        <v>101324</v>
      </c>
      <c r="R432" s="79"/>
    </row>
    <row r="433" spans="1:18" s="108" customFormat="1">
      <c r="A433" s="80">
        <v>101332</v>
      </c>
      <c r="B433" s="79">
        <f t="shared" si="20"/>
        <v>1013321</v>
      </c>
      <c r="C433" s="79" t="s">
        <v>815</v>
      </c>
      <c r="D433" s="79">
        <f t="shared" si="24"/>
        <v>1013322</v>
      </c>
      <c r="E433" s="79" t="s">
        <v>816</v>
      </c>
      <c r="F433" s="79">
        <v>1</v>
      </c>
      <c r="G433" s="79">
        <v>0</v>
      </c>
      <c r="H433" s="80" t="s">
        <v>817</v>
      </c>
      <c r="I433" s="80">
        <v>101332</v>
      </c>
      <c r="J433" s="101"/>
      <c r="K433" s="79">
        <v>5</v>
      </c>
      <c r="L433" s="79"/>
      <c r="M433" s="127"/>
      <c r="N433" s="79">
        <v>1</v>
      </c>
      <c r="O433" s="79">
        <v>0</v>
      </c>
      <c r="P433" s="107"/>
      <c r="Q433" s="80">
        <v>101332</v>
      </c>
      <c r="R433" s="79"/>
    </row>
    <row r="434" spans="1:18" s="108" customFormat="1">
      <c r="A434" s="80">
        <v>101333</v>
      </c>
      <c r="B434" s="79">
        <f t="shared" si="20"/>
        <v>1013331</v>
      </c>
      <c r="C434" s="79" t="s">
        <v>815</v>
      </c>
      <c r="D434" s="79">
        <f t="shared" si="24"/>
        <v>1013332</v>
      </c>
      <c r="E434" s="79" t="s">
        <v>818</v>
      </c>
      <c r="F434" s="79">
        <v>1</v>
      </c>
      <c r="G434" s="79">
        <v>0</v>
      </c>
      <c r="H434" s="80" t="s">
        <v>819</v>
      </c>
      <c r="I434" s="80">
        <v>101333</v>
      </c>
      <c r="J434" s="101"/>
      <c r="K434" s="79">
        <v>6</v>
      </c>
      <c r="L434" s="79"/>
      <c r="M434" s="127"/>
      <c r="N434" s="79">
        <v>1</v>
      </c>
      <c r="O434" s="79">
        <v>0</v>
      </c>
      <c r="P434" s="107"/>
      <c r="Q434" s="80">
        <v>101333</v>
      </c>
      <c r="R434" s="79"/>
    </row>
    <row r="435" spans="1:18" s="108" customFormat="1">
      <c r="A435" s="80">
        <v>101334</v>
      </c>
      <c r="B435" s="79">
        <f t="shared" si="20"/>
        <v>1013341</v>
      </c>
      <c r="C435" s="79" t="s">
        <v>815</v>
      </c>
      <c r="D435" s="79">
        <f t="shared" si="24"/>
        <v>1013342</v>
      </c>
      <c r="E435" s="79" t="s">
        <v>820</v>
      </c>
      <c r="F435" s="79">
        <v>1</v>
      </c>
      <c r="G435" s="79">
        <v>0</v>
      </c>
      <c r="H435" s="80" t="s">
        <v>821</v>
      </c>
      <c r="I435" s="80">
        <v>101334</v>
      </c>
      <c r="J435" s="101"/>
      <c r="K435" s="79">
        <v>7</v>
      </c>
      <c r="L435" s="79"/>
      <c r="M435" s="127"/>
      <c r="N435" s="79">
        <v>1</v>
      </c>
      <c r="O435" s="79">
        <v>0</v>
      </c>
      <c r="P435" s="107"/>
      <c r="Q435" s="80">
        <v>101334</v>
      </c>
      <c r="R435" s="79"/>
    </row>
    <row r="436" spans="1:18" s="108" customFormat="1">
      <c r="A436" s="80">
        <v>101341</v>
      </c>
      <c r="B436" s="79">
        <f t="shared" si="20"/>
        <v>1013411</v>
      </c>
      <c r="C436" s="79" t="s">
        <v>822</v>
      </c>
      <c r="D436" s="79">
        <f t="shared" si="24"/>
        <v>1013412</v>
      </c>
      <c r="E436" s="79" t="s">
        <v>823</v>
      </c>
      <c r="F436" s="79">
        <v>1</v>
      </c>
      <c r="G436" s="79">
        <v>0</v>
      </c>
      <c r="H436" s="80" t="s">
        <v>824</v>
      </c>
      <c r="I436" s="80">
        <v>101342</v>
      </c>
      <c r="J436" s="101"/>
      <c r="K436" s="79">
        <v>4</v>
      </c>
      <c r="L436" s="79"/>
      <c r="M436" s="127"/>
      <c r="N436" s="79">
        <v>1</v>
      </c>
      <c r="O436" s="79">
        <v>0</v>
      </c>
      <c r="P436" s="107"/>
      <c r="Q436" s="80">
        <v>101342</v>
      </c>
      <c r="R436" s="79"/>
    </row>
    <row r="437" spans="1:18" s="108" customFormat="1">
      <c r="A437" s="80">
        <v>101342</v>
      </c>
      <c r="B437" s="79">
        <f t="shared" si="20"/>
        <v>1013421</v>
      </c>
      <c r="C437" s="79" t="s">
        <v>822</v>
      </c>
      <c r="D437" s="79">
        <f t="shared" si="24"/>
        <v>1013422</v>
      </c>
      <c r="E437" s="79" t="s">
        <v>825</v>
      </c>
      <c r="F437" s="79">
        <v>1</v>
      </c>
      <c r="G437" s="79">
        <v>0</v>
      </c>
      <c r="H437" s="80" t="s">
        <v>824</v>
      </c>
      <c r="I437" s="80">
        <v>101342</v>
      </c>
      <c r="J437" s="101"/>
      <c r="K437" s="79">
        <v>5</v>
      </c>
      <c r="L437" s="79"/>
      <c r="M437" s="127"/>
      <c r="N437" s="79">
        <v>1</v>
      </c>
      <c r="O437" s="79">
        <v>0</v>
      </c>
      <c r="P437" s="107"/>
      <c r="Q437" s="80">
        <v>101342</v>
      </c>
      <c r="R437" s="79"/>
    </row>
    <row r="438" spans="1:18" s="108" customFormat="1">
      <c r="A438" s="80">
        <v>101343</v>
      </c>
      <c r="B438" s="79">
        <f t="shared" si="20"/>
        <v>1013431</v>
      </c>
      <c r="C438" s="79" t="s">
        <v>822</v>
      </c>
      <c r="D438" s="79">
        <f t="shared" si="24"/>
        <v>1013432</v>
      </c>
      <c r="E438" s="79" t="s">
        <v>826</v>
      </c>
      <c r="F438" s="79">
        <v>1</v>
      </c>
      <c r="G438" s="79">
        <v>0</v>
      </c>
      <c r="H438" s="80" t="s">
        <v>827</v>
      </c>
      <c r="I438" s="80">
        <v>101343</v>
      </c>
      <c r="J438" s="101"/>
      <c r="K438" s="79">
        <v>6</v>
      </c>
      <c r="L438" s="79"/>
      <c r="M438" s="127"/>
      <c r="N438" s="79">
        <v>1</v>
      </c>
      <c r="O438" s="79">
        <v>0</v>
      </c>
      <c r="P438" s="107"/>
      <c r="Q438" s="80">
        <v>101343</v>
      </c>
      <c r="R438" s="79"/>
    </row>
    <row r="439" spans="1:18" s="108" customFormat="1">
      <c r="A439" s="80">
        <v>101344</v>
      </c>
      <c r="B439" s="79">
        <f t="shared" si="20"/>
        <v>1013441</v>
      </c>
      <c r="C439" s="79" t="s">
        <v>822</v>
      </c>
      <c r="D439" s="79">
        <f t="shared" si="24"/>
        <v>1013442</v>
      </c>
      <c r="E439" s="79" t="s">
        <v>828</v>
      </c>
      <c r="F439" s="79">
        <v>1</v>
      </c>
      <c r="G439" s="79">
        <v>0</v>
      </c>
      <c r="H439" s="80" t="s">
        <v>829</v>
      </c>
      <c r="I439" s="80">
        <v>101344</v>
      </c>
      <c r="J439" s="101"/>
      <c r="K439" s="79">
        <v>7</v>
      </c>
      <c r="L439" s="79"/>
      <c r="M439" s="127"/>
      <c r="N439" s="79">
        <v>1</v>
      </c>
      <c r="O439" s="79">
        <v>0</v>
      </c>
      <c r="P439" s="107"/>
      <c r="Q439" s="80">
        <v>101344</v>
      </c>
      <c r="R439" s="79"/>
    </row>
    <row r="440" spans="1:18" s="108" customFormat="1">
      <c r="A440" s="80">
        <v>101352</v>
      </c>
      <c r="B440" s="79">
        <f t="shared" ref="B440:B459" si="25">A440*10+1</f>
        <v>1013521</v>
      </c>
      <c r="C440" s="79" t="s">
        <v>830</v>
      </c>
      <c r="D440" s="79">
        <f t="shared" ref="D440:D459" si="26">A440*10+2</f>
        <v>1013522</v>
      </c>
      <c r="E440" s="79" t="s">
        <v>831</v>
      </c>
      <c r="F440" s="79">
        <v>1</v>
      </c>
      <c r="G440" s="79">
        <v>0</v>
      </c>
      <c r="H440" s="80" t="s">
        <v>832</v>
      </c>
      <c r="I440" s="80">
        <v>101352</v>
      </c>
      <c r="J440" s="101"/>
      <c r="K440" s="79">
        <v>5</v>
      </c>
      <c r="L440" s="79"/>
      <c r="M440" s="127"/>
      <c r="N440" s="79">
        <v>1</v>
      </c>
      <c r="O440" s="79">
        <v>0</v>
      </c>
      <c r="P440" s="107"/>
      <c r="Q440" s="80">
        <v>101352</v>
      </c>
      <c r="R440" s="79"/>
    </row>
    <row r="441" spans="1:18" s="108" customFormat="1">
      <c r="A441" s="80">
        <v>101353</v>
      </c>
      <c r="B441" s="79">
        <f t="shared" si="25"/>
        <v>1013531</v>
      </c>
      <c r="C441" s="79" t="s">
        <v>830</v>
      </c>
      <c r="D441" s="79">
        <f t="shared" si="26"/>
        <v>1013532</v>
      </c>
      <c r="E441" s="79" t="s">
        <v>833</v>
      </c>
      <c r="F441" s="79">
        <v>1</v>
      </c>
      <c r="G441" s="79">
        <v>0</v>
      </c>
      <c r="H441" s="80" t="s">
        <v>834</v>
      </c>
      <c r="I441" s="80">
        <v>101353</v>
      </c>
      <c r="J441" s="101"/>
      <c r="K441" s="79">
        <v>6</v>
      </c>
      <c r="L441" s="79"/>
      <c r="M441" s="127"/>
      <c r="N441" s="79">
        <v>1</v>
      </c>
      <c r="O441" s="79">
        <v>0</v>
      </c>
      <c r="P441" s="107"/>
      <c r="Q441" s="80">
        <v>101353</v>
      </c>
      <c r="R441" s="79"/>
    </row>
    <row r="442" spans="1:18" s="108" customFormat="1">
      <c r="A442" s="80">
        <v>101354</v>
      </c>
      <c r="B442" s="79">
        <f t="shared" si="25"/>
        <v>1013541</v>
      </c>
      <c r="C442" s="79" t="s">
        <v>830</v>
      </c>
      <c r="D442" s="79">
        <f t="shared" si="26"/>
        <v>1013542</v>
      </c>
      <c r="E442" s="79" t="s">
        <v>835</v>
      </c>
      <c r="F442" s="79">
        <v>1</v>
      </c>
      <c r="G442" s="79">
        <v>0</v>
      </c>
      <c r="H442" s="80" t="s">
        <v>836</v>
      </c>
      <c r="I442" s="80">
        <v>101354</v>
      </c>
      <c r="J442" s="101"/>
      <c r="K442" s="79">
        <v>7</v>
      </c>
      <c r="L442" s="79"/>
      <c r="M442" s="127"/>
      <c r="N442" s="79">
        <v>1</v>
      </c>
      <c r="O442" s="79">
        <v>0</v>
      </c>
      <c r="P442" s="107"/>
      <c r="Q442" s="80">
        <v>101354</v>
      </c>
      <c r="R442" s="79"/>
    </row>
    <row r="443" spans="1:18" s="108" customFormat="1">
      <c r="A443" s="80">
        <v>101362</v>
      </c>
      <c r="B443" s="79">
        <f t="shared" si="25"/>
        <v>1013621</v>
      </c>
      <c r="C443" s="79" t="s">
        <v>837</v>
      </c>
      <c r="D443" s="79">
        <f t="shared" si="26"/>
        <v>1013622</v>
      </c>
      <c r="E443" s="79" t="s">
        <v>838</v>
      </c>
      <c r="F443" s="79">
        <v>1</v>
      </c>
      <c r="G443" s="79">
        <v>0</v>
      </c>
      <c r="H443" s="80" t="s">
        <v>839</v>
      </c>
      <c r="I443" s="80">
        <v>101362</v>
      </c>
      <c r="J443" s="101"/>
      <c r="K443" s="79">
        <v>5</v>
      </c>
      <c r="L443" s="79"/>
      <c r="M443" s="127"/>
      <c r="N443" s="79">
        <v>1</v>
      </c>
      <c r="O443" s="79">
        <v>0</v>
      </c>
      <c r="P443" s="107"/>
      <c r="Q443" s="80">
        <v>101362</v>
      </c>
      <c r="R443" s="79"/>
    </row>
    <row r="444" spans="1:18" s="108" customFormat="1">
      <c r="A444" s="80">
        <v>101363</v>
      </c>
      <c r="B444" s="79">
        <f t="shared" si="25"/>
        <v>1013631</v>
      </c>
      <c r="C444" s="79" t="s">
        <v>837</v>
      </c>
      <c r="D444" s="79">
        <f t="shared" si="26"/>
        <v>1013632</v>
      </c>
      <c r="E444" s="79" t="s">
        <v>840</v>
      </c>
      <c r="F444" s="79">
        <v>1</v>
      </c>
      <c r="G444" s="79">
        <v>0</v>
      </c>
      <c r="H444" s="80" t="s">
        <v>841</v>
      </c>
      <c r="I444" s="80">
        <v>101363</v>
      </c>
      <c r="J444" s="101"/>
      <c r="K444" s="79">
        <v>6</v>
      </c>
      <c r="L444" s="79"/>
      <c r="M444" s="127"/>
      <c r="N444" s="79">
        <v>1</v>
      </c>
      <c r="O444" s="79">
        <v>0</v>
      </c>
      <c r="P444" s="107"/>
      <c r="Q444" s="80">
        <v>101363</v>
      </c>
      <c r="R444" s="79"/>
    </row>
    <row r="445" spans="1:18" s="108" customFormat="1">
      <c r="A445" s="80">
        <v>101364</v>
      </c>
      <c r="B445" s="79">
        <f t="shared" si="25"/>
        <v>1013641</v>
      </c>
      <c r="C445" s="79" t="s">
        <v>837</v>
      </c>
      <c r="D445" s="79">
        <f t="shared" si="26"/>
        <v>1013642</v>
      </c>
      <c r="E445" s="79" t="s">
        <v>842</v>
      </c>
      <c r="F445" s="79">
        <v>1</v>
      </c>
      <c r="G445" s="79">
        <v>0</v>
      </c>
      <c r="H445" s="80" t="s">
        <v>843</v>
      </c>
      <c r="I445" s="80">
        <v>101364</v>
      </c>
      <c r="J445" s="101"/>
      <c r="K445" s="79">
        <v>7</v>
      </c>
      <c r="L445" s="79"/>
      <c r="M445" s="127"/>
      <c r="N445" s="79">
        <v>1</v>
      </c>
      <c r="O445" s="79">
        <v>0</v>
      </c>
      <c r="P445" s="107"/>
      <c r="Q445" s="80">
        <v>101364</v>
      </c>
      <c r="R445" s="79"/>
    </row>
    <row r="446" spans="1:18" s="108" customFormat="1">
      <c r="A446" s="80">
        <v>101372</v>
      </c>
      <c r="B446" s="79">
        <f t="shared" si="25"/>
        <v>1013721</v>
      </c>
      <c r="C446" s="79" t="s">
        <v>844</v>
      </c>
      <c r="D446" s="79">
        <f t="shared" si="26"/>
        <v>1013722</v>
      </c>
      <c r="E446" s="79" t="s">
        <v>845</v>
      </c>
      <c r="F446" s="79">
        <v>1</v>
      </c>
      <c r="G446" s="79">
        <v>0</v>
      </c>
      <c r="H446" s="80" t="s">
        <v>846</v>
      </c>
      <c r="I446" s="80">
        <v>101372</v>
      </c>
      <c r="J446" s="101"/>
      <c r="K446" s="79">
        <v>5</v>
      </c>
      <c r="L446" s="79"/>
      <c r="M446" s="127"/>
      <c r="N446" s="79">
        <v>1</v>
      </c>
      <c r="O446" s="79">
        <v>0</v>
      </c>
      <c r="P446" s="107"/>
      <c r="Q446" s="80">
        <v>101372</v>
      </c>
      <c r="R446" s="79"/>
    </row>
    <row r="447" spans="1:18" s="108" customFormat="1">
      <c r="A447" s="80">
        <v>101373</v>
      </c>
      <c r="B447" s="79">
        <f t="shared" si="25"/>
        <v>1013731</v>
      </c>
      <c r="C447" s="79" t="s">
        <v>844</v>
      </c>
      <c r="D447" s="79">
        <f t="shared" si="26"/>
        <v>1013732</v>
      </c>
      <c r="E447" s="79" t="s">
        <v>847</v>
      </c>
      <c r="F447" s="79">
        <v>1</v>
      </c>
      <c r="G447" s="79">
        <v>0</v>
      </c>
      <c r="H447" s="80" t="s">
        <v>848</v>
      </c>
      <c r="I447" s="80">
        <v>101373</v>
      </c>
      <c r="J447" s="101"/>
      <c r="K447" s="79">
        <v>6</v>
      </c>
      <c r="L447" s="79"/>
      <c r="M447" s="127"/>
      <c r="N447" s="79">
        <v>1</v>
      </c>
      <c r="O447" s="79">
        <v>0</v>
      </c>
      <c r="P447" s="107"/>
      <c r="Q447" s="80">
        <v>101373</v>
      </c>
      <c r="R447" s="79"/>
    </row>
    <row r="448" spans="1:18" s="108" customFormat="1">
      <c r="A448" s="80">
        <v>101374</v>
      </c>
      <c r="B448" s="79">
        <f t="shared" si="25"/>
        <v>1013741</v>
      </c>
      <c r="C448" s="79" t="s">
        <v>844</v>
      </c>
      <c r="D448" s="79">
        <f t="shared" si="26"/>
        <v>1013742</v>
      </c>
      <c r="E448" s="79" t="s">
        <v>849</v>
      </c>
      <c r="F448" s="79">
        <v>1</v>
      </c>
      <c r="G448" s="79">
        <v>0</v>
      </c>
      <c r="H448" s="80" t="s">
        <v>850</v>
      </c>
      <c r="I448" s="80">
        <v>101374</v>
      </c>
      <c r="J448" s="101"/>
      <c r="K448" s="79">
        <v>7</v>
      </c>
      <c r="L448" s="79"/>
      <c r="M448" s="127"/>
      <c r="N448" s="79">
        <v>1</v>
      </c>
      <c r="O448" s="79">
        <v>0</v>
      </c>
      <c r="P448" s="107"/>
      <c r="Q448" s="80">
        <v>101374</v>
      </c>
      <c r="R448" s="79"/>
    </row>
    <row r="449" spans="1:18" s="108" customFormat="1">
      <c r="A449" s="80">
        <v>101382</v>
      </c>
      <c r="B449" s="79">
        <f t="shared" si="25"/>
        <v>1013821</v>
      </c>
      <c r="C449" s="79" t="s">
        <v>851</v>
      </c>
      <c r="D449" s="79">
        <f t="shared" si="26"/>
        <v>1013822</v>
      </c>
      <c r="E449" s="79" t="s">
        <v>852</v>
      </c>
      <c r="F449" s="79">
        <v>1</v>
      </c>
      <c r="G449" s="79">
        <v>0</v>
      </c>
      <c r="H449" s="80" t="s">
        <v>853</v>
      </c>
      <c r="I449" s="80">
        <v>101382</v>
      </c>
      <c r="J449" s="101"/>
      <c r="K449" s="79">
        <v>5</v>
      </c>
      <c r="L449" s="79"/>
      <c r="M449" s="127"/>
      <c r="N449" s="79">
        <v>1</v>
      </c>
      <c r="O449" s="79">
        <v>0</v>
      </c>
      <c r="P449" s="107"/>
      <c r="Q449" s="80">
        <v>101382</v>
      </c>
      <c r="R449" s="79"/>
    </row>
    <row r="450" spans="1:18" s="108" customFormat="1">
      <c r="A450" s="80">
        <v>101383</v>
      </c>
      <c r="B450" s="79">
        <f t="shared" si="25"/>
        <v>1013831</v>
      </c>
      <c r="C450" s="79" t="s">
        <v>851</v>
      </c>
      <c r="D450" s="79">
        <f t="shared" si="26"/>
        <v>1013832</v>
      </c>
      <c r="E450" s="79" t="s">
        <v>854</v>
      </c>
      <c r="F450" s="79">
        <v>1</v>
      </c>
      <c r="G450" s="79">
        <v>0</v>
      </c>
      <c r="H450" s="80" t="s">
        <v>855</v>
      </c>
      <c r="I450" s="80">
        <v>101383</v>
      </c>
      <c r="J450" s="101"/>
      <c r="K450" s="79">
        <v>6</v>
      </c>
      <c r="L450" s="79"/>
      <c r="M450" s="127"/>
      <c r="N450" s="79">
        <v>1</v>
      </c>
      <c r="O450" s="79">
        <v>0</v>
      </c>
      <c r="P450" s="107"/>
      <c r="Q450" s="80">
        <v>101383</v>
      </c>
      <c r="R450" s="79"/>
    </row>
    <row r="451" spans="1:18" s="108" customFormat="1">
      <c r="A451" s="80">
        <v>101384</v>
      </c>
      <c r="B451" s="79">
        <f t="shared" si="25"/>
        <v>1013841</v>
      </c>
      <c r="C451" s="79" t="s">
        <v>851</v>
      </c>
      <c r="D451" s="79">
        <f t="shared" si="26"/>
        <v>1013842</v>
      </c>
      <c r="E451" s="79" t="s">
        <v>856</v>
      </c>
      <c r="F451" s="79">
        <v>1</v>
      </c>
      <c r="G451" s="79">
        <v>0</v>
      </c>
      <c r="H451" s="80" t="s">
        <v>857</v>
      </c>
      <c r="I451" s="80">
        <v>101384</v>
      </c>
      <c r="J451" s="101"/>
      <c r="K451" s="79">
        <v>7</v>
      </c>
      <c r="L451" s="79"/>
      <c r="M451" s="127"/>
      <c r="N451" s="79">
        <v>1</v>
      </c>
      <c r="O451" s="79">
        <v>0</v>
      </c>
      <c r="P451" s="107"/>
      <c r="Q451" s="80">
        <v>101384</v>
      </c>
      <c r="R451" s="79"/>
    </row>
    <row r="452" spans="1:18" s="108" customFormat="1">
      <c r="A452" s="80">
        <v>101392</v>
      </c>
      <c r="B452" s="79">
        <f t="shared" si="25"/>
        <v>1013921</v>
      </c>
      <c r="C452" s="79" t="s">
        <v>858</v>
      </c>
      <c r="D452" s="79">
        <f t="shared" si="26"/>
        <v>1013922</v>
      </c>
      <c r="E452" s="79" t="s">
        <v>859</v>
      </c>
      <c r="F452" s="79">
        <v>1</v>
      </c>
      <c r="G452" s="79">
        <v>0</v>
      </c>
      <c r="H452" s="80" t="s">
        <v>860</v>
      </c>
      <c r="I452" s="80">
        <v>101392</v>
      </c>
      <c r="J452" s="101"/>
      <c r="K452" s="79">
        <v>5</v>
      </c>
      <c r="L452" s="79"/>
      <c r="M452" s="127"/>
      <c r="N452" s="79">
        <v>1</v>
      </c>
      <c r="O452" s="79">
        <v>0</v>
      </c>
      <c r="P452" s="107"/>
      <c r="Q452" s="80">
        <v>101392</v>
      </c>
      <c r="R452" s="79"/>
    </row>
    <row r="453" spans="1:18" s="108" customFormat="1">
      <c r="A453" s="80">
        <v>101393</v>
      </c>
      <c r="B453" s="79">
        <f t="shared" si="25"/>
        <v>1013931</v>
      </c>
      <c r="C453" s="79" t="s">
        <v>858</v>
      </c>
      <c r="D453" s="79">
        <f t="shared" si="26"/>
        <v>1013932</v>
      </c>
      <c r="E453" s="79" t="s">
        <v>861</v>
      </c>
      <c r="F453" s="79">
        <v>1</v>
      </c>
      <c r="G453" s="79">
        <v>0</v>
      </c>
      <c r="H453" s="80" t="s">
        <v>862</v>
      </c>
      <c r="I453" s="80">
        <v>101393</v>
      </c>
      <c r="J453" s="101"/>
      <c r="K453" s="79">
        <v>6</v>
      </c>
      <c r="L453" s="79"/>
      <c r="M453" s="127"/>
      <c r="N453" s="79">
        <v>1</v>
      </c>
      <c r="O453" s="79">
        <v>0</v>
      </c>
      <c r="P453" s="107"/>
      <c r="Q453" s="80">
        <v>101393</v>
      </c>
      <c r="R453" s="79"/>
    </row>
    <row r="454" spans="1:18" s="108" customFormat="1">
      <c r="A454" s="80">
        <v>101394</v>
      </c>
      <c r="B454" s="79">
        <f t="shared" si="25"/>
        <v>1013941</v>
      </c>
      <c r="C454" s="79" t="s">
        <v>858</v>
      </c>
      <c r="D454" s="79">
        <f t="shared" si="26"/>
        <v>1013942</v>
      </c>
      <c r="E454" s="79" t="s">
        <v>863</v>
      </c>
      <c r="F454" s="79">
        <v>1</v>
      </c>
      <c r="G454" s="79">
        <v>0</v>
      </c>
      <c r="H454" s="80" t="s">
        <v>864</v>
      </c>
      <c r="I454" s="80">
        <v>101394</v>
      </c>
      <c r="J454" s="101"/>
      <c r="K454" s="79">
        <v>7</v>
      </c>
      <c r="L454" s="79"/>
      <c r="M454" s="127"/>
      <c r="N454" s="79">
        <v>1</v>
      </c>
      <c r="O454" s="79">
        <v>0</v>
      </c>
      <c r="P454" s="107"/>
      <c r="Q454" s="80">
        <v>101394</v>
      </c>
      <c r="R454" s="79"/>
    </row>
    <row r="455" spans="1:18" s="108" customFormat="1">
      <c r="A455" s="80">
        <v>101402</v>
      </c>
      <c r="B455" s="79">
        <f t="shared" si="25"/>
        <v>1014021</v>
      </c>
      <c r="C455" s="79" t="s">
        <v>865</v>
      </c>
      <c r="D455" s="79">
        <f t="shared" si="26"/>
        <v>1014022</v>
      </c>
      <c r="E455" s="79" t="s">
        <v>5597</v>
      </c>
      <c r="F455" s="79">
        <v>1</v>
      </c>
      <c r="G455" s="79">
        <v>0</v>
      </c>
      <c r="H455" s="80" t="s">
        <v>867</v>
      </c>
      <c r="I455" s="80">
        <v>101402</v>
      </c>
      <c r="J455" s="101"/>
      <c r="K455" s="79">
        <v>5</v>
      </c>
      <c r="L455" s="79"/>
      <c r="M455" s="127"/>
      <c r="N455" s="79">
        <v>1</v>
      </c>
      <c r="O455" s="79">
        <v>0</v>
      </c>
      <c r="P455" s="107"/>
      <c r="Q455" s="80">
        <v>101402</v>
      </c>
      <c r="R455" s="79"/>
    </row>
    <row r="456" spans="1:18" s="108" customFormat="1">
      <c r="A456" s="80">
        <v>101403</v>
      </c>
      <c r="B456" s="79">
        <f t="shared" si="25"/>
        <v>1014031</v>
      </c>
      <c r="C456" s="79" t="s">
        <v>865</v>
      </c>
      <c r="D456" s="79">
        <f t="shared" si="26"/>
        <v>1014032</v>
      </c>
      <c r="E456" s="79" t="s">
        <v>868</v>
      </c>
      <c r="F456" s="79">
        <v>1</v>
      </c>
      <c r="G456" s="79">
        <v>0</v>
      </c>
      <c r="H456" s="80" t="s">
        <v>869</v>
      </c>
      <c r="I456" s="80">
        <v>101403</v>
      </c>
      <c r="J456" s="101"/>
      <c r="K456" s="79">
        <v>6</v>
      </c>
      <c r="L456" s="79"/>
      <c r="M456" s="127"/>
      <c r="N456" s="79">
        <v>1</v>
      </c>
      <c r="O456" s="79">
        <v>0</v>
      </c>
      <c r="P456" s="107"/>
      <c r="Q456" s="80">
        <v>101403</v>
      </c>
      <c r="R456" s="79"/>
    </row>
    <row r="457" spans="1:18" s="108" customFormat="1">
      <c r="A457" s="80">
        <v>101404</v>
      </c>
      <c r="B457" s="79">
        <f t="shared" ref="B457:B462" si="27">A457*10+1</f>
        <v>1014041</v>
      </c>
      <c r="C457" s="79" t="s">
        <v>865</v>
      </c>
      <c r="D457" s="79">
        <f t="shared" ref="D457:D462" si="28">A457*10+2</f>
        <v>1014042</v>
      </c>
      <c r="E457" s="79" t="s">
        <v>870</v>
      </c>
      <c r="F457" s="79">
        <v>1</v>
      </c>
      <c r="G457" s="79">
        <v>0</v>
      </c>
      <c r="H457" s="80" t="s">
        <v>871</v>
      </c>
      <c r="I457" s="80">
        <v>101404</v>
      </c>
      <c r="J457" s="101"/>
      <c r="K457" s="79">
        <v>7</v>
      </c>
      <c r="L457" s="79"/>
      <c r="M457" s="127"/>
      <c r="N457" s="79">
        <v>1</v>
      </c>
      <c r="O457" s="79">
        <v>0</v>
      </c>
      <c r="P457" s="107"/>
      <c r="Q457" s="80">
        <v>101404</v>
      </c>
      <c r="R457" s="79"/>
    </row>
    <row r="458" spans="1:18" s="108" customFormat="1">
      <c r="A458" s="80">
        <v>101412</v>
      </c>
      <c r="B458" s="79">
        <f t="shared" si="25"/>
        <v>1014121</v>
      </c>
      <c r="C458" s="79" t="s">
        <v>872</v>
      </c>
      <c r="D458" s="79">
        <f t="shared" si="26"/>
        <v>1014122</v>
      </c>
      <c r="E458" s="79" t="s">
        <v>873</v>
      </c>
      <c r="F458" s="79">
        <v>1</v>
      </c>
      <c r="G458" s="79">
        <v>0</v>
      </c>
      <c r="H458" s="80" t="s">
        <v>874</v>
      </c>
      <c r="I458" s="80">
        <v>101412</v>
      </c>
      <c r="J458" s="101"/>
      <c r="K458" s="79">
        <v>5</v>
      </c>
      <c r="L458" s="79"/>
      <c r="M458" s="127"/>
      <c r="N458" s="79">
        <v>1</v>
      </c>
      <c r="O458" s="79">
        <v>0</v>
      </c>
      <c r="P458" s="107"/>
      <c r="Q458" s="80">
        <v>101412</v>
      </c>
      <c r="R458" s="79"/>
    </row>
    <row r="459" spans="1:18" s="108" customFormat="1">
      <c r="A459" s="80">
        <v>101413</v>
      </c>
      <c r="B459" s="79">
        <f t="shared" si="25"/>
        <v>1014131</v>
      </c>
      <c r="C459" s="79" t="s">
        <v>872</v>
      </c>
      <c r="D459" s="79">
        <f t="shared" si="26"/>
        <v>1014132</v>
      </c>
      <c r="E459" s="79" t="s">
        <v>875</v>
      </c>
      <c r="F459" s="79">
        <v>1</v>
      </c>
      <c r="G459" s="79">
        <v>0</v>
      </c>
      <c r="H459" s="80" t="s">
        <v>876</v>
      </c>
      <c r="I459" s="80">
        <v>101413</v>
      </c>
      <c r="J459" s="101"/>
      <c r="K459" s="79">
        <v>6</v>
      </c>
      <c r="L459" s="79"/>
      <c r="M459" s="127"/>
      <c r="N459" s="79">
        <v>1</v>
      </c>
      <c r="O459" s="79">
        <v>0</v>
      </c>
      <c r="P459" s="107"/>
      <c r="Q459" s="80">
        <v>101413</v>
      </c>
      <c r="R459" s="79"/>
    </row>
    <row r="460" spans="1:18" s="108" customFormat="1">
      <c r="A460" s="80">
        <v>101414</v>
      </c>
      <c r="B460" s="79">
        <f t="shared" si="27"/>
        <v>1014141</v>
      </c>
      <c r="C460" s="79" t="s">
        <v>872</v>
      </c>
      <c r="D460" s="79">
        <f t="shared" si="28"/>
        <v>1014142</v>
      </c>
      <c r="E460" s="79" t="s">
        <v>877</v>
      </c>
      <c r="F460" s="79">
        <v>1</v>
      </c>
      <c r="G460" s="79">
        <v>0</v>
      </c>
      <c r="H460" s="80" t="s">
        <v>878</v>
      </c>
      <c r="I460" s="80">
        <v>101414</v>
      </c>
      <c r="J460" s="101"/>
      <c r="K460" s="79">
        <v>7</v>
      </c>
      <c r="L460" s="79"/>
      <c r="M460" s="127"/>
      <c r="N460" s="79">
        <v>1</v>
      </c>
      <c r="O460" s="79">
        <v>0</v>
      </c>
      <c r="P460" s="107"/>
      <c r="Q460" s="80">
        <v>101414</v>
      </c>
      <c r="R460" s="79"/>
    </row>
    <row r="461" spans="1:18" s="108" customFormat="1">
      <c r="A461" s="80">
        <v>101422</v>
      </c>
      <c r="B461" s="79">
        <f t="shared" si="27"/>
        <v>1014221</v>
      </c>
      <c r="C461" s="79" t="s">
        <v>879</v>
      </c>
      <c r="D461" s="79">
        <f t="shared" si="28"/>
        <v>1014222</v>
      </c>
      <c r="E461" s="79" t="s">
        <v>880</v>
      </c>
      <c r="F461" s="79">
        <v>1</v>
      </c>
      <c r="G461" s="79">
        <v>0</v>
      </c>
      <c r="H461" s="80" t="s">
        <v>881</v>
      </c>
      <c r="I461" s="80">
        <v>101422</v>
      </c>
      <c r="J461" s="101"/>
      <c r="K461" s="79">
        <v>5</v>
      </c>
      <c r="L461" s="79"/>
      <c r="M461" s="127"/>
      <c r="N461" s="79">
        <v>1</v>
      </c>
      <c r="O461" s="79">
        <v>0</v>
      </c>
      <c r="P461" s="107"/>
      <c r="Q461" s="80">
        <v>101422</v>
      </c>
      <c r="R461" s="79"/>
    </row>
    <row r="462" spans="1:18" s="108" customFormat="1">
      <c r="A462" s="80">
        <v>101423</v>
      </c>
      <c r="B462" s="79">
        <f t="shared" si="27"/>
        <v>1014231</v>
      </c>
      <c r="C462" s="79" t="s">
        <v>879</v>
      </c>
      <c r="D462" s="79">
        <f t="shared" si="28"/>
        <v>1014232</v>
      </c>
      <c r="E462" s="79" t="s">
        <v>882</v>
      </c>
      <c r="F462" s="79">
        <v>1</v>
      </c>
      <c r="G462" s="79">
        <v>0</v>
      </c>
      <c r="H462" s="80" t="s">
        <v>883</v>
      </c>
      <c r="I462" s="80">
        <v>101423</v>
      </c>
      <c r="J462" s="101"/>
      <c r="K462" s="79">
        <v>6</v>
      </c>
      <c r="L462" s="79"/>
      <c r="M462" s="127"/>
      <c r="N462" s="79">
        <v>1</v>
      </c>
      <c r="O462" s="79">
        <v>0</v>
      </c>
      <c r="P462" s="107"/>
      <c r="Q462" s="80">
        <v>101423</v>
      </c>
      <c r="R462" s="79"/>
    </row>
    <row r="463" spans="1:18" s="108" customFormat="1">
      <c r="A463" s="80">
        <v>101424</v>
      </c>
      <c r="B463" s="79">
        <f t="shared" ref="B463:B464" si="29">A463*10+1</f>
        <v>1014241</v>
      </c>
      <c r="C463" s="79" t="s">
        <v>879</v>
      </c>
      <c r="D463" s="79">
        <f t="shared" ref="D463:D464" si="30">A463*10+2</f>
        <v>1014242</v>
      </c>
      <c r="E463" s="79" t="s">
        <v>884</v>
      </c>
      <c r="F463" s="79">
        <v>1</v>
      </c>
      <c r="G463" s="79">
        <v>0</v>
      </c>
      <c r="H463" s="80" t="s">
        <v>885</v>
      </c>
      <c r="I463" s="80">
        <v>101424</v>
      </c>
      <c r="J463" s="101"/>
      <c r="K463" s="79">
        <v>7</v>
      </c>
      <c r="L463" s="79"/>
      <c r="M463" s="127"/>
      <c r="N463" s="79">
        <v>1</v>
      </c>
      <c r="O463" s="79">
        <v>0</v>
      </c>
      <c r="P463" s="107"/>
      <c r="Q463" s="80">
        <v>101424</v>
      </c>
      <c r="R463" s="79"/>
    </row>
    <row r="464" spans="1:18" s="108" customFormat="1">
      <c r="A464" s="80">
        <v>101434</v>
      </c>
      <c r="B464" s="79">
        <f t="shared" si="29"/>
        <v>1014341</v>
      </c>
      <c r="C464" s="79" t="s">
        <v>886</v>
      </c>
      <c r="D464" s="79">
        <f t="shared" si="30"/>
        <v>1014342</v>
      </c>
      <c r="E464" s="79" t="str">
        <f t="shared" ref="E464" si="31">C464&amp;"主题球杆，品质等级Z"</f>
        <v>紫青宝剑主题球杆，品质等级Z</v>
      </c>
      <c r="F464" s="79">
        <v>1</v>
      </c>
      <c r="G464" s="79">
        <v>0</v>
      </c>
      <c r="H464" s="80" t="s">
        <v>887</v>
      </c>
      <c r="I464" s="80">
        <v>101434</v>
      </c>
      <c r="J464" s="101"/>
      <c r="K464" s="79">
        <v>8</v>
      </c>
      <c r="L464" s="79"/>
      <c r="M464" s="127"/>
      <c r="N464" s="79">
        <v>1</v>
      </c>
      <c r="O464" s="79">
        <v>0</v>
      </c>
      <c r="P464" s="107"/>
      <c r="Q464" s="80">
        <v>101434</v>
      </c>
      <c r="R464" s="79"/>
    </row>
    <row r="465" spans="1:18" s="108" customFormat="1">
      <c r="A465" s="80">
        <v>101444</v>
      </c>
      <c r="B465" s="79">
        <f t="shared" ref="B465:B469" si="32">A465*10+1</f>
        <v>1014441</v>
      </c>
      <c r="C465" s="79" t="s">
        <v>5509</v>
      </c>
      <c r="D465" s="79">
        <f t="shared" ref="D465:D469" si="33">A465*10+2</f>
        <v>1014442</v>
      </c>
      <c r="E465" s="79" t="str">
        <f t="shared" ref="E465" si="34">C465&amp;"主题球杆，品质等级Z"</f>
        <v>黑龙魔镰主题球杆，品质等级Z</v>
      </c>
      <c r="F465" s="79">
        <v>1</v>
      </c>
      <c r="G465" s="79">
        <v>0</v>
      </c>
      <c r="H465" s="80" t="s">
        <v>888</v>
      </c>
      <c r="I465" s="80">
        <v>101444</v>
      </c>
      <c r="J465" s="101"/>
      <c r="K465" s="79">
        <v>8</v>
      </c>
      <c r="L465" s="79"/>
      <c r="M465" s="127"/>
      <c r="N465" s="79">
        <v>1</v>
      </c>
      <c r="O465" s="79">
        <v>0</v>
      </c>
      <c r="P465" s="107"/>
      <c r="Q465" s="80">
        <v>101444</v>
      </c>
      <c r="R465" s="79"/>
    </row>
    <row r="466" spans="1:18" s="108" customFormat="1">
      <c r="A466" s="80">
        <v>101451</v>
      </c>
      <c r="B466" s="79">
        <f t="shared" si="32"/>
        <v>1014511</v>
      </c>
      <c r="C466" s="79" t="s">
        <v>889</v>
      </c>
      <c r="D466" s="79">
        <f t="shared" si="33"/>
        <v>1014512</v>
      </c>
      <c r="E466" s="79" t="s">
        <v>5712</v>
      </c>
      <c r="F466" s="79">
        <v>1</v>
      </c>
      <c r="G466" s="79">
        <v>0</v>
      </c>
      <c r="H466" s="80" t="s">
        <v>891</v>
      </c>
      <c r="I466" s="80">
        <v>101452</v>
      </c>
      <c r="J466" s="101"/>
      <c r="K466" s="79">
        <v>4</v>
      </c>
      <c r="L466" s="79"/>
      <c r="M466" s="127"/>
      <c r="N466" s="79">
        <v>1</v>
      </c>
      <c r="O466" s="79">
        <v>0</v>
      </c>
      <c r="P466" s="107"/>
      <c r="Q466" s="80">
        <v>101452</v>
      </c>
      <c r="R466" s="79"/>
    </row>
    <row r="467" spans="1:18" s="108" customFormat="1">
      <c r="A467" s="80">
        <v>101452</v>
      </c>
      <c r="B467" s="79">
        <f t="shared" si="32"/>
        <v>1014521</v>
      </c>
      <c r="C467" s="79" t="s">
        <v>889</v>
      </c>
      <c r="D467" s="79">
        <f t="shared" si="33"/>
        <v>1014522</v>
      </c>
      <c r="E467" s="79" t="s">
        <v>892</v>
      </c>
      <c r="F467" s="79">
        <v>1</v>
      </c>
      <c r="G467" s="79">
        <v>0</v>
      </c>
      <c r="H467" s="80" t="s">
        <v>891</v>
      </c>
      <c r="I467" s="80">
        <v>101452</v>
      </c>
      <c r="J467" s="101"/>
      <c r="K467" s="79">
        <v>5</v>
      </c>
      <c r="L467" s="79"/>
      <c r="M467" s="127"/>
      <c r="N467" s="79">
        <v>1</v>
      </c>
      <c r="O467" s="79">
        <v>0</v>
      </c>
      <c r="P467" s="107"/>
      <c r="Q467" s="80">
        <v>101452</v>
      </c>
      <c r="R467" s="79"/>
    </row>
    <row r="468" spans="1:18" s="108" customFormat="1">
      <c r="A468" s="80">
        <v>101453</v>
      </c>
      <c r="B468" s="79">
        <f t="shared" si="32"/>
        <v>1014531</v>
      </c>
      <c r="C468" s="79" t="s">
        <v>889</v>
      </c>
      <c r="D468" s="79">
        <f t="shared" si="33"/>
        <v>1014532</v>
      </c>
      <c r="E468" s="79" t="s">
        <v>893</v>
      </c>
      <c r="F468" s="79">
        <v>1</v>
      </c>
      <c r="G468" s="79">
        <v>0</v>
      </c>
      <c r="H468" s="80" t="s">
        <v>894</v>
      </c>
      <c r="I468" s="80">
        <v>101453</v>
      </c>
      <c r="J468" s="101"/>
      <c r="K468" s="79">
        <v>6</v>
      </c>
      <c r="L468" s="79"/>
      <c r="M468" s="127"/>
      <c r="N468" s="79">
        <v>1</v>
      </c>
      <c r="O468" s="79">
        <v>0</v>
      </c>
      <c r="P468" s="107"/>
      <c r="Q468" s="80">
        <v>101453</v>
      </c>
      <c r="R468" s="79"/>
    </row>
    <row r="469" spans="1:18" s="108" customFormat="1">
      <c r="A469" s="80">
        <v>101454</v>
      </c>
      <c r="B469" s="79">
        <f t="shared" si="32"/>
        <v>1014541</v>
      </c>
      <c r="C469" s="79" t="s">
        <v>889</v>
      </c>
      <c r="D469" s="79">
        <f t="shared" si="33"/>
        <v>1014542</v>
      </c>
      <c r="E469" s="79" t="s">
        <v>895</v>
      </c>
      <c r="F469" s="79">
        <v>1</v>
      </c>
      <c r="G469" s="79">
        <v>0</v>
      </c>
      <c r="H469" s="80" t="s">
        <v>896</v>
      </c>
      <c r="I469" s="80">
        <v>101454</v>
      </c>
      <c r="J469" s="101"/>
      <c r="K469" s="79">
        <v>7</v>
      </c>
      <c r="L469" s="79"/>
      <c r="M469" s="127"/>
      <c r="N469" s="79">
        <v>1</v>
      </c>
      <c r="O469" s="79">
        <v>0</v>
      </c>
      <c r="P469" s="107"/>
      <c r="Q469" s="80">
        <v>101454</v>
      </c>
      <c r="R469" s="79"/>
    </row>
    <row r="470" spans="1:18" s="108" customFormat="1">
      <c r="A470" s="80">
        <v>101461</v>
      </c>
      <c r="B470" s="79">
        <f t="shared" ref="B470:B479" si="35">A470*10+1</f>
        <v>1014611</v>
      </c>
      <c r="C470" s="79" t="s">
        <v>5508</v>
      </c>
      <c r="D470" s="79">
        <f t="shared" ref="D470:D479" si="36">A470*10+2</f>
        <v>1014612</v>
      </c>
      <c r="E470" s="79" t="s">
        <v>5575</v>
      </c>
      <c r="F470" s="79">
        <v>1</v>
      </c>
      <c r="G470" s="79">
        <v>0</v>
      </c>
      <c r="H470" s="80" t="s">
        <v>897</v>
      </c>
      <c r="I470" s="80">
        <v>101462</v>
      </c>
      <c r="J470" s="101"/>
      <c r="K470" s="79">
        <v>4</v>
      </c>
      <c r="L470" s="79"/>
      <c r="M470" s="127"/>
      <c r="N470" s="79">
        <v>1</v>
      </c>
      <c r="O470" s="79">
        <v>0</v>
      </c>
      <c r="P470" s="107"/>
      <c r="Q470" s="80">
        <v>101462</v>
      </c>
      <c r="R470" s="79"/>
    </row>
    <row r="471" spans="1:18" s="108" customFormat="1">
      <c r="A471" s="80">
        <v>101462</v>
      </c>
      <c r="B471" s="79">
        <f t="shared" si="35"/>
        <v>1014621</v>
      </c>
      <c r="C471" s="79" t="s">
        <v>5508</v>
      </c>
      <c r="D471" s="79">
        <f t="shared" si="36"/>
        <v>1014622</v>
      </c>
      <c r="E471" s="79" t="s">
        <v>5576</v>
      </c>
      <c r="F471" s="79">
        <v>1</v>
      </c>
      <c r="G471" s="79">
        <v>0</v>
      </c>
      <c r="H471" s="80" t="s">
        <v>897</v>
      </c>
      <c r="I471" s="80">
        <v>101462</v>
      </c>
      <c r="J471" s="101"/>
      <c r="K471" s="79">
        <v>5</v>
      </c>
      <c r="L471" s="79"/>
      <c r="M471" s="127"/>
      <c r="N471" s="79">
        <v>1</v>
      </c>
      <c r="O471" s="79">
        <v>0</v>
      </c>
      <c r="P471" s="107"/>
      <c r="Q471" s="80">
        <v>101462</v>
      </c>
      <c r="R471" s="79"/>
    </row>
    <row r="472" spans="1:18" s="108" customFormat="1">
      <c r="A472" s="80">
        <v>101463</v>
      </c>
      <c r="B472" s="79">
        <f t="shared" si="35"/>
        <v>1014631</v>
      </c>
      <c r="C472" s="79" t="s">
        <v>5508</v>
      </c>
      <c r="D472" s="79">
        <f t="shared" si="36"/>
        <v>1014632</v>
      </c>
      <c r="E472" s="79" t="s">
        <v>5577</v>
      </c>
      <c r="F472" s="79">
        <v>1</v>
      </c>
      <c r="G472" s="79">
        <v>0</v>
      </c>
      <c r="H472" s="80" t="s">
        <v>898</v>
      </c>
      <c r="I472" s="80">
        <v>101463</v>
      </c>
      <c r="J472" s="101"/>
      <c r="K472" s="79">
        <v>6</v>
      </c>
      <c r="L472" s="79"/>
      <c r="M472" s="127"/>
      <c r="N472" s="79">
        <v>1</v>
      </c>
      <c r="O472" s="79">
        <v>0</v>
      </c>
      <c r="P472" s="107"/>
      <c r="Q472" s="80">
        <v>101463</v>
      </c>
      <c r="R472" s="79"/>
    </row>
    <row r="473" spans="1:18" s="108" customFormat="1">
      <c r="A473" s="80">
        <v>101464</v>
      </c>
      <c r="B473" s="79">
        <f t="shared" si="35"/>
        <v>1014641</v>
      </c>
      <c r="C473" s="79" t="s">
        <v>5508</v>
      </c>
      <c r="D473" s="79">
        <f t="shared" si="36"/>
        <v>1014642</v>
      </c>
      <c r="E473" s="79" t="s">
        <v>5578</v>
      </c>
      <c r="F473" s="79">
        <v>1</v>
      </c>
      <c r="G473" s="79">
        <v>0</v>
      </c>
      <c r="H473" s="80" t="s">
        <v>899</v>
      </c>
      <c r="I473" s="80">
        <v>101464</v>
      </c>
      <c r="J473" s="101"/>
      <c r="K473" s="79">
        <v>7</v>
      </c>
      <c r="L473" s="79"/>
      <c r="M473" s="127"/>
      <c r="N473" s="79">
        <v>1</v>
      </c>
      <c r="O473" s="79">
        <v>0</v>
      </c>
      <c r="P473" s="107"/>
      <c r="Q473" s="80">
        <v>101464</v>
      </c>
      <c r="R473" s="79"/>
    </row>
    <row r="474" spans="1:18" s="108" customFormat="1">
      <c r="A474" s="80">
        <v>101474</v>
      </c>
      <c r="B474" s="79">
        <f t="shared" si="35"/>
        <v>1014741</v>
      </c>
      <c r="C474" s="79" t="s">
        <v>5598</v>
      </c>
      <c r="D474" s="79">
        <f t="shared" si="36"/>
        <v>1014742</v>
      </c>
      <c r="E474" s="79" t="s">
        <v>5510</v>
      </c>
      <c r="F474" s="79">
        <v>1</v>
      </c>
      <c r="G474" s="79">
        <v>0</v>
      </c>
      <c r="H474" s="80" t="s">
        <v>5498</v>
      </c>
      <c r="I474" s="80">
        <v>101474</v>
      </c>
      <c r="J474" s="101"/>
      <c r="K474" s="79">
        <v>7</v>
      </c>
      <c r="L474" s="79"/>
      <c r="M474" s="127"/>
      <c r="N474" s="79">
        <v>1</v>
      </c>
      <c r="O474" s="79">
        <v>0</v>
      </c>
      <c r="P474" s="107"/>
      <c r="Q474" s="80">
        <v>101474</v>
      </c>
      <c r="R474" s="79"/>
    </row>
    <row r="475" spans="1:18" s="108" customFormat="1">
      <c r="A475" s="80">
        <v>101484</v>
      </c>
      <c r="B475" s="79">
        <f t="shared" si="35"/>
        <v>1014841</v>
      </c>
      <c r="C475" s="79" t="s">
        <v>5635</v>
      </c>
      <c r="D475" s="79">
        <f t="shared" si="36"/>
        <v>1014842</v>
      </c>
      <c r="E475" s="79" t="s">
        <v>5636</v>
      </c>
      <c r="F475" s="79">
        <v>1</v>
      </c>
      <c r="G475" s="79">
        <v>0</v>
      </c>
      <c r="H475" s="80" t="s">
        <v>5633</v>
      </c>
      <c r="I475" s="80">
        <v>101484</v>
      </c>
      <c r="J475" s="101"/>
      <c r="K475" s="79">
        <v>8</v>
      </c>
      <c r="L475" s="79"/>
      <c r="M475" s="127"/>
      <c r="N475" s="79">
        <v>1</v>
      </c>
      <c r="O475" s="79">
        <v>0</v>
      </c>
      <c r="P475" s="107"/>
      <c r="Q475" s="80">
        <v>101484</v>
      </c>
      <c r="R475" s="79"/>
    </row>
    <row r="476" spans="1:18" s="79" customFormat="1">
      <c r="A476" s="176">
        <v>101491</v>
      </c>
      <c r="B476" s="176">
        <f t="shared" ref="B476" si="37">A476*10+1</f>
        <v>1014911</v>
      </c>
      <c r="C476" s="176" t="s">
        <v>5708</v>
      </c>
      <c r="D476" s="176">
        <f t="shared" ref="D476" si="38">A476*10+2</f>
        <v>1014912</v>
      </c>
      <c r="E476" s="176" t="s">
        <v>5713</v>
      </c>
      <c r="F476" s="176">
        <v>1</v>
      </c>
      <c r="G476" s="176">
        <v>0</v>
      </c>
      <c r="H476" s="176" t="s">
        <v>5710</v>
      </c>
      <c r="I476" s="176">
        <v>101491</v>
      </c>
      <c r="J476" s="176"/>
      <c r="K476" s="176">
        <v>4</v>
      </c>
      <c r="L476" s="176">
        <v>0</v>
      </c>
      <c r="M476" s="177" t="s">
        <v>5529</v>
      </c>
      <c r="N476" s="176">
        <v>1</v>
      </c>
      <c r="O476" s="176">
        <v>0</v>
      </c>
      <c r="P476" s="176"/>
      <c r="Q476" s="176">
        <v>100021</v>
      </c>
      <c r="R476" s="176"/>
    </row>
    <row r="477" spans="1:18" s="79" customFormat="1">
      <c r="A477" s="176">
        <v>101492</v>
      </c>
      <c r="B477" s="176">
        <f t="shared" si="35"/>
        <v>1014921</v>
      </c>
      <c r="C477" s="176" t="s">
        <v>5708</v>
      </c>
      <c r="D477" s="176">
        <f t="shared" si="36"/>
        <v>1014922</v>
      </c>
      <c r="E477" s="176" t="s">
        <v>5714</v>
      </c>
      <c r="F477" s="176">
        <v>1</v>
      </c>
      <c r="G477" s="176">
        <v>0</v>
      </c>
      <c r="H477" s="176" t="s">
        <v>5709</v>
      </c>
      <c r="I477" s="176">
        <v>101492</v>
      </c>
      <c r="J477" s="176"/>
      <c r="K477" s="176">
        <v>5</v>
      </c>
      <c r="L477" s="176">
        <v>0</v>
      </c>
      <c r="M477" s="177">
        <v>0</v>
      </c>
      <c r="N477" s="176">
        <v>1</v>
      </c>
      <c r="O477" s="176">
        <v>0</v>
      </c>
      <c r="P477" s="176"/>
      <c r="Q477" s="176">
        <v>100021</v>
      </c>
      <c r="R477" s="176"/>
    </row>
    <row r="478" spans="1:18" s="79" customFormat="1">
      <c r="A478" s="176">
        <v>101493</v>
      </c>
      <c r="B478" s="79">
        <f t="shared" si="35"/>
        <v>1014931</v>
      </c>
      <c r="C478" s="176" t="s">
        <v>5708</v>
      </c>
      <c r="D478" s="79">
        <f t="shared" si="36"/>
        <v>1014932</v>
      </c>
      <c r="E478" s="79" t="s">
        <v>5715</v>
      </c>
      <c r="F478" s="79">
        <v>1</v>
      </c>
      <c r="G478" s="79">
        <v>0</v>
      </c>
      <c r="H478" s="176" t="s">
        <v>5709</v>
      </c>
      <c r="I478" s="176">
        <v>101493</v>
      </c>
      <c r="K478" s="79">
        <v>6</v>
      </c>
      <c r="L478" s="79">
        <v>0</v>
      </c>
      <c r="M478" s="127">
        <v>0</v>
      </c>
      <c r="N478" s="79">
        <v>1</v>
      </c>
      <c r="O478" s="79">
        <v>0</v>
      </c>
      <c r="P478" s="107"/>
      <c r="Q478" s="79">
        <v>100022</v>
      </c>
    </row>
    <row r="479" spans="1:18" s="79" customFormat="1">
      <c r="A479" s="176">
        <v>101494</v>
      </c>
      <c r="B479" s="79">
        <f t="shared" si="35"/>
        <v>1014941</v>
      </c>
      <c r="C479" s="176" t="s">
        <v>5708</v>
      </c>
      <c r="D479" s="79">
        <f t="shared" si="36"/>
        <v>1014942</v>
      </c>
      <c r="E479" s="79" t="s">
        <v>5716</v>
      </c>
      <c r="F479" s="79">
        <v>1</v>
      </c>
      <c r="G479" s="79">
        <v>0</v>
      </c>
      <c r="H479" s="176" t="s">
        <v>5711</v>
      </c>
      <c r="I479" s="176">
        <v>101494</v>
      </c>
      <c r="K479" s="79">
        <v>7</v>
      </c>
      <c r="L479" s="79">
        <v>0</v>
      </c>
      <c r="M479" s="127">
        <v>0</v>
      </c>
      <c r="N479" s="79">
        <v>1</v>
      </c>
      <c r="O479" s="79">
        <v>0</v>
      </c>
      <c r="P479" s="107"/>
      <c r="Q479" s="79">
        <v>100022</v>
      </c>
    </row>
    <row r="480" spans="1:18" s="106" customFormat="1">
      <c r="A480" s="79">
        <v>120010</v>
      </c>
      <c r="B480" s="79">
        <f t="shared" ref="B480:B495" si="39">A480*10+1</f>
        <v>1200101</v>
      </c>
      <c r="C480" s="79" t="s">
        <v>284</v>
      </c>
      <c r="D480" s="79">
        <f t="shared" ref="D480:D495" si="40">A480*10+2</f>
        <v>1200102</v>
      </c>
      <c r="E480" s="79" t="s">
        <v>900</v>
      </c>
      <c r="F480" s="79">
        <v>12</v>
      </c>
      <c r="G480" s="79">
        <v>0</v>
      </c>
      <c r="H480" s="79" t="s">
        <v>286</v>
      </c>
      <c r="I480" s="79">
        <v>100011</v>
      </c>
      <c r="J480" s="79"/>
      <c r="K480" s="79">
        <v>4</v>
      </c>
      <c r="L480" s="79">
        <v>0</v>
      </c>
      <c r="M480" s="127">
        <v>0</v>
      </c>
      <c r="N480" s="79">
        <v>1</v>
      </c>
      <c r="O480" s="79">
        <v>0</v>
      </c>
      <c r="P480" s="107"/>
      <c r="Q480" s="79">
        <v>100011</v>
      </c>
      <c r="R480" s="79"/>
    </row>
    <row r="481" spans="1:18" s="106" customFormat="1">
      <c r="A481" s="79">
        <v>120011</v>
      </c>
      <c r="B481" s="79">
        <f t="shared" si="39"/>
        <v>1200111</v>
      </c>
      <c r="C481" s="79" t="s">
        <v>284</v>
      </c>
      <c r="D481" s="79">
        <f t="shared" si="40"/>
        <v>1200112</v>
      </c>
      <c r="E481" s="79" t="s">
        <v>901</v>
      </c>
      <c r="F481" s="79">
        <v>12</v>
      </c>
      <c r="G481" s="79">
        <v>0</v>
      </c>
      <c r="H481" s="79" t="s">
        <v>286</v>
      </c>
      <c r="I481" s="79">
        <v>100012</v>
      </c>
      <c r="J481" s="79"/>
      <c r="K481" s="79">
        <v>5</v>
      </c>
      <c r="L481" s="79">
        <v>0</v>
      </c>
      <c r="M481" s="127">
        <v>0</v>
      </c>
      <c r="N481" s="79">
        <v>1</v>
      </c>
      <c r="O481" s="79">
        <v>0</v>
      </c>
      <c r="P481" s="107"/>
      <c r="Q481" s="79">
        <v>100012</v>
      </c>
      <c r="R481" s="79"/>
    </row>
    <row r="482" spans="1:18" s="106" customFormat="1">
      <c r="A482" s="79">
        <v>120012</v>
      </c>
      <c r="B482" s="79">
        <f t="shared" si="39"/>
        <v>1200121</v>
      </c>
      <c r="C482" s="79" t="s">
        <v>284</v>
      </c>
      <c r="D482" s="79">
        <f t="shared" si="40"/>
        <v>1200122</v>
      </c>
      <c r="E482" s="79" t="s">
        <v>902</v>
      </c>
      <c r="F482" s="79">
        <v>12</v>
      </c>
      <c r="G482" s="79">
        <v>0</v>
      </c>
      <c r="H482" s="79" t="s">
        <v>286</v>
      </c>
      <c r="I482" s="79">
        <v>100012</v>
      </c>
      <c r="J482" s="79"/>
      <c r="K482" s="79">
        <v>6</v>
      </c>
      <c r="L482" s="79">
        <v>0</v>
      </c>
      <c r="M482" s="127">
        <v>0</v>
      </c>
      <c r="N482" s="79">
        <v>1</v>
      </c>
      <c r="O482" s="79">
        <v>0</v>
      </c>
      <c r="P482" s="107"/>
      <c r="Q482" s="79">
        <v>100012</v>
      </c>
      <c r="R482" s="79"/>
    </row>
    <row r="483" spans="1:18" s="106" customFormat="1">
      <c r="A483" s="79">
        <v>120013</v>
      </c>
      <c r="B483" s="79">
        <f t="shared" si="39"/>
        <v>1200131</v>
      </c>
      <c r="C483" s="79" t="s">
        <v>284</v>
      </c>
      <c r="D483" s="79">
        <f t="shared" si="40"/>
        <v>1200132</v>
      </c>
      <c r="E483" s="79" t="s">
        <v>903</v>
      </c>
      <c r="F483" s="79">
        <v>12</v>
      </c>
      <c r="G483" s="79">
        <v>0</v>
      </c>
      <c r="H483" s="79" t="s">
        <v>286</v>
      </c>
      <c r="I483" s="79">
        <v>100014</v>
      </c>
      <c r="J483" s="79"/>
      <c r="K483" s="79">
        <v>7</v>
      </c>
      <c r="L483" s="79">
        <v>0</v>
      </c>
      <c r="M483" s="127">
        <v>0</v>
      </c>
      <c r="N483" s="79">
        <v>1</v>
      </c>
      <c r="O483" s="79">
        <v>0</v>
      </c>
      <c r="P483" s="107"/>
      <c r="Q483" s="79">
        <v>100012</v>
      </c>
      <c r="R483" s="79"/>
    </row>
    <row r="484" spans="1:18" s="106" customFormat="1">
      <c r="A484" s="79">
        <v>120021</v>
      </c>
      <c r="B484" s="79">
        <f t="shared" si="39"/>
        <v>1200211</v>
      </c>
      <c r="C484" s="79" t="s">
        <v>291</v>
      </c>
      <c r="D484" s="79">
        <f t="shared" si="40"/>
        <v>1200212</v>
      </c>
      <c r="E484" s="79" t="s">
        <v>904</v>
      </c>
      <c r="F484" s="79">
        <v>12</v>
      </c>
      <c r="G484" s="79">
        <v>0</v>
      </c>
      <c r="H484" s="79" t="s">
        <v>293</v>
      </c>
      <c r="I484" s="79">
        <v>100021</v>
      </c>
      <c r="J484" s="79"/>
      <c r="K484" s="79">
        <v>5</v>
      </c>
      <c r="L484" s="79">
        <v>0</v>
      </c>
      <c r="M484" s="127">
        <v>0</v>
      </c>
      <c r="N484" s="79">
        <v>1</v>
      </c>
      <c r="O484" s="79">
        <v>0</v>
      </c>
      <c r="P484" s="107"/>
      <c r="Q484" s="79">
        <v>100021</v>
      </c>
      <c r="R484" s="79"/>
    </row>
    <row r="485" spans="1:18" s="106" customFormat="1">
      <c r="A485" s="79">
        <v>120022</v>
      </c>
      <c r="B485" s="79">
        <f t="shared" si="39"/>
        <v>1200221</v>
      </c>
      <c r="C485" s="79" t="s">
        <v>291</v>
      </c>
      <c r="D485" s="79">
        <f t="shared" si="40"/>
        <v>1200222</v>
      </c>
      <c r="E485" s="79" t="s">
        <v>905</v>
      </c>
      <c r="F485" s="79">
        <v>12</v>
      </c>
      <c r="G485" s="79">
        <v>0</v>
      </c>
      <c r="H485" s="79" t="s">
        <v>293</v>
      </c>
      <c r="I485" s="79">
        <v>100022</v>
      </c>
      <c r="J485" s="79"/>
      <c r="K485" s="79">
        <v>6</v>
      </c>
      <c r="L485" s="79">
        <v>0</v>
      </c>
      <c r="M485" s="127">
        <v>0</v>
      </c>
      <c r="N485" s="79">
        <v>1</v>
      </c>
      <c r="O485" s="79">
        <v>0</v>
      </c>
      <c r="P485" s="107"/>
      <c r="Q485" s="79">
        <v>100022</v>
      </c>
      <c r="R485" s="79"/>
    </row>
    <row r="486" spans="1:18" s="107" customFormat="1">
      <c r="A486" s="79">
        <v>120023</v>
      </c>
      <c r="B486" s="79">
        <f t="shared" si="39"/>
        <v>1200231</v>
      </c>
      <c r="C486" s="79" t="s">
        <v>291</v>
      </c>
      <c r="D486" s="79">
        <f t="shared" si="40"/>
        <v>1200232</v>
      </c>
      <c r="E486" s="79" t="s">
        <v>906</v>
      </c>
      <c r="F486" s="79">
        <v>12</v>
      </c>
      <c r="G486" s="79">
        <v>0</v>
      </c>
      <c r="H486" s="79" t="s">
        <v>293</v>
      </c>
      <c r="I486" s="79">
        <v>100023</v>
      </c>
      <c r="J486" s="79"/>
      <c r="K486" s="79">
        <v>7</v>
      </c>
      <c r="L486" s="79">
        <v>0</v>
      </c>
      <c r="M486" s="127">
        <v>0</v>
      </c>
      <c r="N486" s="79">
        <v>1</v>
      </c>
      <c r="O486" s="79">
        <v>0</v>
      </c>
      <c r="Q486" s="79">
        <v>100022</v>
      </c>
      <c r="R486" s="79"/>
    </row>
    <row r="487" spans="1:18" s="107" customFormat="1">
      <c r="A487" s="79">
        <v>120031</v>
      </c>
      <c r="B487" s="79">
        <f t="shared" si="39"/>
        <v>1200311</v>
      </c>
      <c r="C487" s="79" t="s">
        <v>296</v>
      </c>
      <c r="D487" s="79">
        <f t="shared" si="40"/>
        <v>1200312</v>
      </c>
      <c r="E487" s="79" t="s">
        <v>907</v>
      </c>
      <c r="F487" s="79">
        <v>12</v>
      </c>
      <c r="G487" s="79">
        <v>0</v>
      </c>
      <c r="H487" s="79" t="s">
        <v>298</v>
      </c>
      <c r="I487" s="79">
        <v>100033</v>
      </c>
      <c r="J487" s="79"/>
      <c r="K487" s="79">
        <v>4</v>
      </c>
      <c r="L487" s="79">
        <v>0</v>
      </c>
      <c r="M487" s="127">
        <v>0</v>
      </c>
      <c r="N487" s="79">
        <v>1</v>
      </c>
      <c r="O487" s="79">
        <v>0</v>
      </c>
      <c r="Q487" s="79">
        <v>100032</v>
      </c>
      <c r="R487" s="79"/>
    </row>
    <row r="488" spans="1:18" s="106" customFormat="1">
      <c r="A488" s="79">
        <v>120041</v>
      </c>
      <c r="B488" s="79">
        <f t="shared" si="39"/>
        <v>1200411</v>
      </c>
      <c r="C488" s="79" t="s">
        <v>301</v>
      </c>
      <c r="D488" s="79">
        <f t="shared" si="40"/>
        <v>1200412</v>
      </c>
      <c r="E488" s="79" t="s">
        <v>908</v>
      </c>
      <c r="F488" s="79">
        <v>12</v>
      </c>
      <c r="G488" s="79">
        <v>0</v>
      </c>
      <c r="H488" s="79" t="s">
        <v>303</v>
      </c>
      <c r="I488" s="79">
        <v>100042</v>
      </c>
      <c r="J488" s="79"/>
      <c r="K488" s="79">
        <v>5</v>
      </c>
      <c r="L488" s="79">
        <v>0</v>
      </c>
      <c r="M488" s="127">
        <v>0</v>
      </c>
      <c r="N488" s="79">
        <v>1</v>
      </c>
      <c r="O488" s="79">
        <v>0</v>
      </c>
      <c r="P488" s="107"/>
      <c r="Q488" s="79">
        <v>100042</v>
      </c>
      <c r="R488" s="79"/>
    </row>
    <row r="489" spans="1:18" s="106" customFormat="1">
      <c r="A489" s="79">
        <v>120042</v>
      </c>
      <c r="B489" s="79">
        <f t="shared" si="39"/>
        <v>1200421</v>
      </c>
      <c r="C489" s="79" t="s">
        <v>301</v>
      </c>
      <c r="D489" s="79">
        <f t="shared" si="40"/>
        <v>1200422</v>
      </c>
      <c r="E489" s="79" t="s">
        <v>909</v>
      </c>
      <c r="F489" s="79">
        <v>12</v>
      </c>
      <c r="G489" s="79">
        <v>0</v>
      </c>
      <c r="H489" s="79" t="s">
        <v>303</v>
      </c>
      <c r="I489" s="79">
        <v>100042</v>
      </c>
      <c r="J489" s="79"/>
      <c r="K489" s="79">
        <v>6</v>
      </c>
      <c r="L489" s="79">
        <v>0</v>
      </c>
      <c r="M489" s="127">
        <v>0</v>
      </c>
      <c r="N489" s="79">
        <v>1</v>
      </c>
      <c r="O489" s="79">
        <v>0</v>
      </c>
      <c r="P489" s="107"/>
      <c r="Q489" s="79">
        <v>100042</v>
      </c>
      <c r="R489" s="79"/>
    </row>
    <row r="490" spans="1:18" s="106" customFormat="1">
      <c r="A490" s="79">
        <v>120043</v>
      </c>
      <c r="B490" s="79">
        <f t="shared" si="39"/>
        <v>1200431</v>
      </c>
      <c r="C490" s="79" t="s">
        <v>301</v>
      </c>
      <c r="D490" s="79">
        <f t="shared" si="40"/>
        <v>1200432</v>
      </c>
      <c r="E490" s="79" t="s">
        <v>910</v>
      </c>
      <c r="F490" s="79">
        <v>12</v>
      </c>
      <c r="G490" s="79">
        <v>0</v>
      </c>
      <c r="H490" s="79" t="s">
        <v>303</v>
      </c>
      <c r="I490" s="79">
        <v>100044</v>
      </c>
      <c r="J490" s="79"/>
      <c r="K490" s="79">
        <v>7</v>
      </c>
      <c r="L490" s="79">
        <v>0</v>
      </c>
      <c r="M490" s="127">
        <v>0</v>
      </c>
      <c r="N490" s="79">
        <v>1</v>
      </c>
      <c r="O490" s="79">
        <v>0</v>
      </c>
      <c r="P490" s="107"/>
      <c r="Q490" s="79">
        <v>100042</v>
      </c>
      <c r="R490" s="107"/>
    </row>
    <row r="491" spans="1:18" s="106" customFormat="1">
      <c r="A491" s="79">
        <v>120044</v>
      </c>
      <c r="B491" s="79">
        <f t="shared" si="39"/>
        <v>1200441</v>
      </c>
      <c r="C491" s="79" t="s">
        <v>301</v>
      </c>
      <c r="D491" s="79">
        <f t="shared" si="40"/>
        <v>1200442</v>
      </c>
      <c r="E491" s="79" t="s">
        <v>911</v>
      </c>
      <c r="F491" s="79">
        <v>12</v>
      </c>
      <c r="G491" s="79">
        <v>0</v>
      </c>
      <c r="H491" s="79" t="s">
        <v>303</v>
      </c>
      <c r="I491" s="79">
        <v>100041</v>
      </c>
      <c r="J491" s="79"/>
      <c r="K491" s="79">
        <v>4</v>
      </c>
      <c r="L491" s="79">
        <v>0</v>
      </c>
      <c r="M491" s="127">
        <v>0</v>
      </c>
      <c r="N491" s="79">
        <v>1</v>
      </c>
      <c r="O491" s="79">
        <v>0</v>
      </c>
      <c r="P491" s="107"/>
      <c r="Q491" s="79">
        <v>100041</v>
      </c>
      <c r="R491" s="107"/>
    </row>
    <row r="492" spans="1:18" s="106" customFormat="1">
      <c r="A492" s="79">
        <v>120050</v>
      </c>
      <c r="B492" s="79">
        <f t="shared" si="39"/>
        <v>1200501</v>
      </c>
      <c r="C492" s="79" t="s">
        <v>308</v>
      </c>
      <c r="D492" s="79">
        <f t="shared" si="40"/>
        <v>1200502</v>
      </c>
      <c r="E492" s="79" t="s">
        <v>912</v>
      </c>
      <c r="F492" s="79">
        <v>12</v>
      </c>
      <c r="G492" s="79">
        <v>0</v>
      </c>
      <c r="H492" s="79" t="s">
        <v>310</v>
      </c>
      <c r="I492" s="79">
        <v>100051</v>
      </c>
      <c r="J492" s="79"/>
      <c r="K492" s="79">
        <v>4</v>
      </c>
      <c r="L492" s="79">
        <v>0</v>
      </c>
      <c r="M492" s="127">
        <v>0</v>
      </c>
      <c r="N492" s="79">
        <v>1</v>
      </c>
      <c r="O492" s="79">
        <v>0</v>
      </c>
      <c r="P492" s="107"/>
      <c r="Q492" s="79">
        <v>100051</v>
      </c>
      <c r="R492" s="79"/>
    </row>
    <row r="493" spans="1:18" s="106" customFormat="1">
      <c r="A493" s="79">
        <v>120051</v>
      </c>
      <c r="B493" s="79">
        <f t="shared" si="39"/>
        <v>1200511</v>
      </c>
      <c r="C493" s="79" t="s">
        <v>308</v>
      </c>
      <c r="D493" s="79">
        <f t="shared" si="40"/>
        <v>1200512</v>
      </c>
      <c r="E493" s="79" t="s">
        <v>913</v>
      </c>
      <c r="F493" s="79">
        <v>12</v>
      </c>
      <c r="G493" s="79">
        <v>0</v>
      </c>
      <c r="H493" s="79" t="s">
        <v>310</v>
      </c>
      <c r="I493" s="79">
        <v>100051</v>
      </c>
      <c r="J493" s="79"/>
      <c r="K493" s="79">
        <v>5</v>
      </c>
      <c r="L493" s="79">
        <v>0</v>
      </c>
      <c r="M493" s="127">
        <v>0</v>
      </c>
      <c r="N493" s="79">
        <v>1</v>
      </c>
      <c r="O493" s="79">
        <v>0</v>
      </c>
      <c r="P493" s="107"/>
      <c r="Q493" s="79">
        <v>100051</v>
      </c>
      <c r="R493" s="79"/>
    </row>
    <row r="494" spans="1:18" s="106" customFormat="1">
      <c r="A494" s="79">
        <v>120052</v>
      </c>
      <c r="B494" s="79">
        <f t="shared" si="39"/>
        <v>1200521</v>
      </c>
      <c r="C494" s="79" t="s">
        <v>308</v>
      </c>
      <c r="D494" s="79">
        <f t="shared" si="40"/>
        <v>1200522</v>
      </c>
      <c r="E494" s="79" t="s">
        <v>914</v>
      </c>
      <c r="F494" s="79">
        <v>12</v>
      </c>
      <c r="G494" s="79">
        <v>0</v>
      </c>
      <c r="H494" s="79" t="s">
        <v>310</v>
      </c>
      <c r="I494" s="79">
        <v>100052</v>
      </c>
      <c r="J494" s="79"/>
      <c r="K494" s="79">
        <v>6</v>
      </c>
      <c r="L494" s="79">
        <v>0</v>
      </c>
      <c r="M494" s="127">
        <v>0</v>
      </c>
      <c r="N494" s="79">
        <v>1</v>
      </c>
      <c r="O494" s="79">
        <v>0</v>
      </c>
      <c r="P494" s="107"/>
      <c r="Q494" s="79">
        <v>100052</v>
      </c>
      <c r="R494" s="79"/>
    </row>
    <row r="495" spans="1:18" s="106" customFormat="1">
      <c r="A495" s="79">
        <v>120053</v>
      </c>
      <c r="B495" s="79">
        <f t="shared" si="39"/>
        <v>1200531</v>
      </c>
      <c r="C495" s="79" t="s">
        <v>308</v>
      </c>
      <c r="D495" s="79">
        <f t="shared" si="40"/>
        <v>1200532</v>
      </c>
      <c r="E495" s="79" t="s">
        <v>915</v>
      </c>
      <c r="F495" s="79">
        <v>12</v>
      </c>
      <c r="G495" s="79">
        <v>0</v>
      </c>
      <c r="H495" s="79" t="s">
        <v>310</v>
      </c>
      <c r="I495" s="79">
        <v>100053</v>
      </c>
      <c r="J495" s="79"/>
      <c r="K495" s="79">
        <v>7</v>
      </c>
      <c r="L495" s="79">
        <v>0</v>
      </c>
      <c r="M495" s="127">
        <v>0</v>
      </c>
      <c r="N495" s="79">
        <v>1</v>
      </c>
      <c r="O495" s="79">
        <v>0</v>
      </c>
      <c r="P495" s="107"/>
      <c r="Q495" s="79">
        <v>100052</v>
      </c>
      <c r="R495" s="79"/>
    </row>
    <row r="496" spans="1:18" s="106" customFormat="1">
      <c r="A496" s="79">
        <v>120060</v>
      </c>
      <c r="B496" s="79">
        <f t="shared" ref="B496:B559" si="41">A496*10+1</f>
        <v>1200601</v>
      </c>
      <c r="C496" s="79" t="s">
        <v>314</v>
      </c>
      <c r="D496" s="79">
        <f t="shared" ref="D496:D559" si="42">A496*10+2</f>
        <v>1200602</v>
      </c>
      <c r="E496" s="79" t="s">
        <v>916</v>
      </c>
      <c r="F496" s="79">
        <v>12</v>
      </c>
      <c r="G496" s="79">
        <v>0</v>
      </c>
      <c r="H496" s="79" t="s">
        <v>316</v>
      </c>
      <c r="I496" s="79">
        <v>100061</v>
      </c>
      <c r="J496" s="79"/>
      <c r="K496" s="79">
        <v>4</v>
      </c>
      <c r="L496" s="79">
        <v>0</v>
      </c>
      <c r="M496" s="127">
        <v>0</v>
      </c>
      <c r="N496" s="79">
        <v>1</v>
      </c>
      <c r="O496" s="79">
        <v>0</v>
      </c>
      <c r="P496" s="107"/>
      <c r="Q496" s="79">
        <v>100061</v>
      </c>
      <c r="R496" s="79"/>
    </row>
    <row r="497" spans="1:18" s="106" customFormat="1">
      <c r="A497" s="79">
        <v>120061</v>
      </c>
      <c r="B497" s="79">
        <f t="shared" si="41"/>
        <v>1200611</v>
      </c>
      <c r="C497" s="79" t="s">
        <v>314</v>
      </c>
      <c r="D497" s="79">
        <f t="shared" si="42"/>
        <v>1200612</v>
      </c>
      <c r="E497" s="79" t="s">
        <v>917</v>
      </c>
      <c r="F497" s="79">
        <v>12</v>
      </c>
      <c r="G497" s="79">
        <v>0</v>
      </c>
      <c r="H497" s="79" t="s">
        <v>316</v>
      </c>
      <c r="I497" s="79">
        <v>100062</v>
      </c>
      <c r="J497" s="79"/>
      <c r="K497" s="79">
        <v>5</v>
      </c>
      <c r="L497" s="79">
        <v>0</v>
      </c>
      <c r="M497" s="127">
        <v>0</v>
      </c>
      <c r="N497" s="79">
        <v>1</v>
      </c>
      <c r="O497" s="79">
        <v>0</v>
      </c>
      <c r="P497" s="107"/>
      <c r="Q497" s="79">
        <v>100062</v>
      </c>
      <c r="R497" s="79"/>
    </row>
    <row r="498" spans="1:18" s="106" customFormat="1">
      <c r="A498" s="79">
        <v>120062</v>
      </c>
      <c r="B498" s="79">
        <f t="shared" si="41"/>
        <v>1200621</v>
      </c>
      <c r="C498" s="79" t="s">
        <v>314</v>
      </c>
      <c r="D498" s="79">
        <f t="shared" si="42"/>
        <v>1200622</v>
      </c>
      <c r="E498" s="79" t="s">
        <v>918</v>
      </c>
      <c r="F498" s="79">
        <v>12</v>
      </c>
      <c r="G498" s="79">
        <v>0</v>
      </c>
      <c r="H498" s="79" t="s">
        <v>316</v>
      </c>
      <c r="I498" s="79">
        <v>100063</v>
      </c>
      <c r="J498" s="79"/>
      <c r="K498" s="79">
        <v>6</v>
      </c>
      <c r="L498" s="79">
        <v>0</v>
      </c>
      <c r="M498" s="127">
        <v>0</v>
      </c>
      <c r="N498" s="79">
        <v>1</v>
      </c>
      <c r="O498" s="79">
        <v>0</v>
      </c>
      <c r="P498" s="107"/>
      <c r="Q498" s="79">
        <v>100062</v>
      </c>
      <c r="R498" s="79"/>
    </row>
    <row r="499" spans="1:18" s="106" customFormat="1">
      <c r="A499" s="79">
        <v>120071</v>
      </c>
      <c r="B499" s="79">
        <f t="shared" si="41"/>
        <v>1200711</v>
      </c>
      <c r="C499" s="79" t="s">
        <v>319</v>
      </c>
      <c r="D499" s="79">
        <f t="shared" si="42"/>
        <v>1200712</v>
      </c>
      <c r="E499" s="79" t="s">
        <v>919</v>
      </c>
      <c r="F499" s="79">
        <v>12</v>
      </c>
      <c r="G499" s="79">
        <v>0</v>
      </c>
      <c r="H499" s="79" t="s">
        <v>321</v>
      </c>
      <c r="I499" s="79">
        <v>100071</v>
      </c>
      <c r="J499" s="79"/>
      <c r="K499" s="79">
        <v>5</v>
      </c>
      <c r="L499" s="79">
        <v>0</v>
      </c>
      <c r="M499" s="127">
        <v>0</v>
      </c>
      <c r="N499" s="79">
        <v>1</v>
      </c>
      <c r="O499" s="79">
        <v>0</v>
      </c>
      <c r="P499" s="107"/>
      <c r="Q499" s="79">
        <v>100071</v>
      </c>
      <c r="R499" s="79"/>
    </row>
    <row r="500" spans="1:18" s="106" customFormat="1">
      <c r="A500" s="79">
        <v>120072</v>
      </c>
      <c r="B500" s="79">
        <f t="shared" si="41"/>
        <v>1200721</v>
      </c>
      <c r="C500" s="79" t="s">
        <v>319</v>
      </c>
      <c r="D500" s="79">
        <f t="shared" si="42"/>
        <v>1200722</v>
      </c>
      <c r="E500" s="79" t="s">
        <v>920</v>
      </c>
      <c r="F500" s="79">
        <v>12</v>
      </c>
      <c r="G500" s="79">
        <v>0</v>
      </c>
      <c r="H500" s="79" t="s">
        <v>321</v>
      </c>
      <c r="I500" s="79">
        <v>100072</v>
      </c>
      <c r="J500" s="79"/>
      <c r="K500" s="79">
        <v>6</v>
      </c>
      <c r="L500" s="79">
        <v>0</v>
      </c>
      <c r="M500" s="127">
        <v>0</v>
      </c>
      <c r="N500" s="79">
        <v>1</v>
      </c>
      <c r="O500" s="79">
        <v>0</v>
      </c>
      <c r="P500" s="107"/>
      <c r="Q500" s="79">
        <v>100072</v>
      </c>
      <c r="R500" s="79"/>
    </row>
    <row r="501" spans="1:18" s="106" customFormat="1">
      <c r="A501" s="79">
        <v>120073</v>
      </c>
      <c r="B501" s="79">
        <f t="shared" si="41"/>
        <v>1200731</v>
      </c>
      <c r="C501" s="79" t="s">
        <v>319</v>
      </c>
      <c r="D501" s="79">
        <f t="shared" si="42"/>
        <v>1200732</v>
      </c>
      <c r="E501" s="79" t="s">
        <v>921</v>
      </c>
      <c r="F501" s="79">
        <v>12</v>
      </c>
      <c r="G501" s="79">
        <v>0</v>
      </c>
      <c r="H501" s="79" t="s">
        <v>321</v>
      </c>
      <c r="I501" s="79">
        <v>100073</v>
      </c>
      <c r="J501" s="79"/>
      <c r="K501" s="79">
        <v>7</v>
      </c>
      <c r="L501" s="79">
        <v>0</v>
      </c>
      <c r="M501" s="127">
        <v>0</v>
      </c>
      <c r="N501" s="79">
        <v>1</v>
      </c>
      <c r="O501" s="79">
        <v>0</v>
      </c>
      <c r="P501" s="107"/>
      <c r="Q501" s="79">
        <v>100072</v>
      </c>
      <c r="R501" s="79"/>
    </row>
    <row r="502" spans="1:18" s="106" customFormat="1">
      <c r="A502" s="79">
        <v>120081</v>
      </c>
      <c r="B502" s="79">
        <f t="shared" si="41"/>
        <v>1200811</v>
      </c>
      <c r="C502" s="79" t="s">
        <v>324</v>
      </c>
      <c r="D502" s="79">
        <f t="shared" si="42"/>
        <v>1200812</v>
      </c>
      <c r="E502" s="79" t="s">
        <v>922</v>
      </c>
      <c r="F502" s="79">
        <v>12</v>
      </c>
      <c r="G502" s="79">
        <v>0</v>
      </c>
      <c r="H502" s="79" t="s">
        <v>326</v>
      </c>
      <c r="I502" s="79">
        <v>100081</v>
      </c>
      <c r="J502" s="79"/>
      <c r="K502" s="79">
        <v>5</v>
      </c>
      <c r="L502" s="79">
        <v>0</v>
      </c>
      <c r="M502" s="127">
        <v>0</v>
      </c>
      <c r="N502" s="79">
        <v>1</v>
      </c>
      <c r="O502" s="79">
        <v>0</v>
      </c>
      <c r="P502" s="107"/>
      <c r="Q502" s="79">
        <v>100082</v>
      </c>
      <c r="R502" s="79"/>
    </row>
    <row r="503" spans="1:18" s="106" customFormat="1">
      <c r="A503" s="79">
        <v>120082</v>
      </c>
      <c r="B503" s="79">
        <f t="shared" si="41"/>
        <v>1200821</v>
      </c>
      <c r="C503" s="79" t="s">
        <v>324</v>
      </c>
      <c r="D503" s="79">
        <f t="shared" si="42"/>
        <v>1200822</v>
      </c>
      <c r="E503" s="79" t="s">
        <v>923</v>
      </c>
      <c r="F503" s="79">
        <v>12</v>
      </c>
      <c r="G503" s="79">
        <v>0</v>
      </c>
      <c r="H503" s="79" t="s">
        <v>326</v>
      </c>
      <c r="I503" s="79">
        <v>100082</v>
      </c>
      <c r="J503" s="79"/>
      <c r="K503" s="79">
        <v>6</v>
      </c>
      <c r="L503" s="79">
        <v>0</v>
      </c>
      <c r="M503" s="127">
        <v>0</v>
      </c>
      <c r="N503" s="79">
        <v>1</v>
      </c>
      <c r="O503" s="79">
        <v>0</v>
      </c>
      <c r="P503" s="107"/>
      <c r="Q503" s="79">
        <v>100082</v>
      </c>
      <c r="R503" s="79"/>
    </row>
    <row r="504" spans="1:18" s="106" customFormat="1">
      <c r="A504" s="79">
        <v>120083</v>
      </c>
      <c r="B504" s="79">
        <f t="shared" si="41"/>
        <v>1200831</v>
      </c>
      <c r="C504" s="79" t="s">
        <v>324</v>
      </c>
      <c r="D504" s="79">
        <f t="shared" si="42"/>
        <v>1200832</v>
      </c>
      <c r="E504" s="79" t="s">
        <v>924</v>
      </c>
      <c r="F504" s="79">
        <v>12</v>
      </c>
      <c r="G504" s="79">
        <v>0</v>
      </c>
      <c r="H504" s="79" t="s">
        <v>326</v>
      </c>
      <c r="I504" s="79">
        <v>100083</v>
      </c>
      <c r="J504" s="79"/>
      <c r="K504" s="79">
        <v>7</v>
      </c>
      <c r="L504" s="79">
        <v>0</v>
      </c>
      <c r="M504" s="127">
        <v>0</v>
      </c>
      <c r="N504" s="79">
        <v>1</v>
      </c>
      <c r="O504" s="79">
        <v>0</v>
      </c>
      <c r="P504" s="107"/>
      <c r="Q504" s="79">
        <v>100082</v>
      </c>
      <c r="R504" s="79"/>
    </row>
    <row r="505" spans="1:18" s="106" customFormat="1">
      <c r="A505" s="79">
        <v>120091</v>
      </c>
      <c r="B505" s="79">
        <f t="shared" si="41"/>
        <v>1200911</v>
      </c>
      <c r="C505" s="79" t="s">
        <v>329</v>
      </c>
      <c r="D505" s="79">
        <f t="shared" si="42"/>
        <v>1200912</v>
      </c>
      <c r="E505" s="79" t="s">
        <v>925</v>
      </c>
      <c r="F505" s="79">
        <v>12</v>
      </c>
      <c r="G505" s="79">
        <v>0</v>
      </c>
      <c r="H505" s="79" t="s">
        <v>331</v>
      </c>
      <c r="I505" s="79">
        <v>100091</v>
      </c>
      <c r="J505" s="79"/>
      <c r="K505" s="79">
        <v>5</v>
      </c>
      <c r="L505" s="79">
        <v>0</v>
      </c>
      <c r="M505" s="127">
        <v>0</v>
      </c>
      <c r="N505" s="79">
        <v>1</v>
      </c>
      <c r="O505" s="79">
        <v>0</v>
      </c>
      <c r="P505" s="107"/>
      <c r="Q505" s="79">
        <v>100091</v>
      </c>
      <c r="R505" s="79"/>
    </row>
    <row r="506" spans="1:18" s="106" customFormat="1">
      <c r="A506" s="79">
        <v>120092</v>
      </c>
      <c r="B506" s="79">
        <f t="shared" si="41"/>
        <v>1200921</v>
      </c>
      <c r="C506" s="79" t="s">
        <v>329</v>
      </c>
      <c r="D506" s="79">
        <f t="shared" si="42"/>
        <v>1200922</v>
      </c>
      <c r="E506" s="79" t="s">
        <v>926</v>
      </c>
      <c r="F506" s="79">
        <v>12</v>
      </c>
      <c r="G506" s="79">
        <v>0</v>
      </c>
      <c r="H506" s="79" t="s">
        <v>331</v>
      </c>
      <c r="I506" s="79">
        <v>100092</v>
      </c>
      <c r="J506" s="79"/>
      <c r="K506" s="79">
        <v>6</v>
      </c>
      <c r="L506" s="79">
        <v>0</v>
      </c>
      <c r="M506" s="127">
        <v>0</v>
      </c>
      <c r="N506" s="79">
        <v>1</v>
      </c>
      <c r="O506" s="79">
        <v>0</v>
      </c>
      <c r="P506" s="107"/>
      <c r="Q506" s="79">
        <v>100092</v>
      </c>
      <c r="R506" s="79"/>
    </row>
    <row r="507" spans="1:18" s="106" customFormat="1">
      <c r="A507" s="79">
        <v>120093</v>
      </c>
      <c r="B507" s="79">
        <f t="shared" si="41"/>
        <v>1200931</v>
      </c>
      <c r="C507" s="79" t="s">
        <v>329</v>
      </c>
      <c r="D507" s="79">
        <f t="shared" si="42"/>
        <v>1200932</v>
      </c>
      <c r="E507" s="79" t="s">
        <v>927</v>
      </c>
      <c r="F507" s="79">
        <v>12</v>
      </c>
      <c r="G507" s="79">
        <v>0</v>
      </c>
      <c r="H507" s="79" t="s">
        <v>331</v>
      </c>
      <c r="I507" s="79">
        <v>100093</v>
      </c>
      <c r="J507" s="79"/>
      <c r="K507" s="79">
        <v>7</v>
      </c>
      <c r="L507" s="79">
        <v>0</v>
      </c>
      <c r="M507" s="127">
        <v>0</v>
      </c>
      <c r="N507" s="79">
        <v>1</v>
      </c>
      <c r="O507" s="79">
        <v>0</v>
      </c>
      <c r="P507" s="107"/>
      <c r="Q507" s="79">
        <v>100093</v>
      </c>
      <c r="R507" s="79"/>
    </row>
    <row r="508" spans="1:18" s="98" customFormat="1">
      <c r="A508" s="79">
        <v>120101</v>
      </c>
      <c r="B508" s="79">
        <f t="shared" si="41"/>
        <v>1201011</v>
      </c>
      <c r="C508" s="79" t="s">
        <v>334</v>
      </c>
      <c r="D508" s="79">
        <f t="shared" si="42"/>
        <v>1201012</v>
      </c>
      <c r="E508" s="79" t="s">
        <v>928</v>
      </c>
      <c r="F508" s="79">
        <v>12</v>
      </c>
      <c r="G508" s="79">
        <v>0</v>
      </c>
      <c r="H508" s="79" t="s">
        <v>336</v>
      </c>
      <c r="I508" s="79">
        <v>100101</v>
      </c>
      <c r="J508" s="79"/>
      <c r="K508" s="79">
        <v>5</v>
      </c>
      <c r="L508" s="79">
        <v>0</v>
      </c>
      <c r="M508" s="127">
        <v>0</v>
      </c>
      <c r="N508" s="79">
        <v>1</v>
      </c>
      <c r="O508" s="79">
        <v>0</v>
      </c>
      <c r="P508" s="107"/>
      <c r="Q508" s="79">
        <v>100101</v>
      </c>
      <c r="R508" s="79"/>
    </row>
    <row r="509" spans="1:18" s="98" customFormat="1">
      <c r="A509" s="79">
        <v>120102</v>
      </c>
      <c r="B509" s="79">
        <f t="shared" si="41"/>
        <v>1201021</v>
      </c>
      <c r="C509" s="79" t="s">
        <v>334</v>
      </c>
      <c r="D509" s="79">
        <f t="shared" si="42"/>
        <v>1201022</v>
      </c>
      <c r="E509" s="79" t="s">
        <v>929</v>
      </c>
      <c r="F509" s="79">
        <v>12</v>
      </c>
      <c r="G509" s="79">
        <v>0</v>
      </c>
      <c r="H509" s="79" t="s">
        <v>336</v>
      </c>
      <c r="I509" s="79">
        <v>100102</v>
      </c>
      <c r="J509" s="79"/>
      <c r="K509" s="79">
        <v>6</v>
      </c>
      <c r="L509" s="79">
        <v>0</v>
      </c>
      <c r="M509" s="127">
        <v>0</v>
      </c>
      <c r="N509" s="79">
        <v>1</v>
      </c>
      <c r="O509" s="79">
        <v>0</v>
      </c>
      <c r="P509" s="107"/>
      <c r="Q509" s="79">
        <v>100101</v>
      </c>
      <c r="R509" s="79"/>
    </row>
    <row r="510" spans="1:18" s="98" customFormat="1">
      <c r="A510" s="79">
        <v>120103</v>
      </c>
      <c r="B510" s="79">
        <f t="shared" si="41"/>
        <v>1201031</v>
      </c>
      <c r="C510" s="79" t="s">
        <v>334</v>
      </c>
      <c r="D510" s="79">
        <f t="shared" si="42"/>
        <v>1201032</v>
      </c>
      <c r="E510" s="79" t="s">
        <v>930</v>
      </c>
      <c r="F510" s="79">
        <v>12</v>
      </c>
      <c r="G510" s="79">
        <v>0</v>
      </c>
      <c r="H510" s="79" t="s">
        <v>336</v>
      </c>
      <c r="I510" s="79">
        <v>100103</v>
      </c>
      <c r="J510" s="79"/>
      <c r="K510" s="79">
        <v>7</v>
      </c>
      <c r="L510" s="79">
        <v>0</v>
      </c>
      <c r="M510" s="127">
        <v>0</v>
      </c>
      <c r="N510" s="79">
        <v>1</v>
      </c>
      <c r="O510" s="79">
        <v>0</v>
      </c>
      <c r="P510" s="107"/>
      <c r="Q510" s="79">
        <v>100103</v>
      </c>
      <c r="R510" s="79"/>
    </row>
    <row r="511" spans="1:18" s="98" customFormat="1">
      <c r="A511" s="79">
        <v>120111</v>
      </c>
      <c r="B511" s="79">
        <f t="shared" si="41"/>
        <v>1201111</v>
      </c>
      <c r="C511" s="79" t="s">
        <v>339</v>
      </c>
      <c r="D511" s="79">
        <f t="shared" si="42"/>
        <v>1201112</v>
      </c>
      <c r="E511" s="79" t="s">
        <v>931</v>
      </c>
      <c r="F511" s="79">
        <v>12</v>
      </c>
      <c r="G511" s="79">
        <v>0</v>
      </c>
      <c r="H511" s="79" t="s">
        <v>341</v>
      </c>
      <c r="I511" s="79">
        <v>100111</v>
      </c>
      <c r="J511" s="79"/>
      <c r="K511" s="79">
        <v>6</v>
      </c>
      <c r="L511" s="79">
        <v>0</v>
      </c>
      <c r="M511" s="127">
        <v>0</v>
      </c>
      <c r="N511" s="79">
        <v>1</v>
      </c>
      <c r="O511" s="79">
        <v>0</v>
      </c>
      <c r="P511" s="79"/>
      <c r="Q511" s="79">
        <v>100112</v>
      </c>
      <c r="R511" s="79"/>
    </row>
    <row r="512" spans="1:18" s="98" customFormat="1">
      <c r="A512" s="79">
        <v>120113</v>
      </c>
      <c r="B512" s="79">
        <f t="shared" si="41"/>
        <v>1201131</v>
      </c>
      <c r="C512" s="79" t="s">
        <v>339</v>
      </c>
      <c r="D512" s="79">
        <f t="shared" si="42"/>
        <v>1201132</v>
      </c>
      <c r="E512" s="79" t="s">
        <v>932</v>
      </c>
      <c r="F512" s="79">
        <v>12</v>
      </c>
      <c r="G512" s="79">
        <v>0</v>
      </c>
      <c r="H512" s="79" t="s">
        <v>341</v>
      </c>
      <c r="I512" s="79">
        <v>100111</v>
      </c>
      <c r="J512" s="79"/>
      <c r="K512" s="79">
        <v>7</v>
      </c>
      <c r="L512" s="79">
        <v>0</v>
      </c>
      <c r="M512" s="127">
        <v>0</v>
      </c>
      <c r="N512" s="79">
        <v>1</v>
      </c>
      <c r="O512" s="79">
        <v>0</v>
      </c>
      <c r="P512" s="79"/>
      <c r="Q512" s="79">
        <v>100112</v>
      </c>
      <c r="R512" s="79"/>
    </row>
    <row r="513" spans="1:18" s="98" customFormat="1">
      <c r="A513" s="79">
        <v>120114</v>
      </c>
      <c r="B513" s="79">
        <f t="shared" si="41"/>
        <v>1201141</v>
      </c>
      <c r="C513" s="79" t="s">
        <v>339</v>
      </c>
      <c r="D513" s="79">
        <f t="shared" si="42"/>
        <v>1201142</v>
      </c>
      <c r="E513" s="79" t="s">
        <v>933</v>
      </c>
      <c r="F513" s="79">
        <v>12</v>
      </c>
      <c r="G513" s="79">
        <v>0</v>
      </c>
      <c r="H513" s="79" t="s">
        <v>341</v>
      </c>
      <c r="I513" s="79">
        <v>100111</v>
      </c>
      <c r="J513" s="79"/>
      <c r="K513" s="79">
        <v>5</v>
      </c>
      <c r="L513" s="79">
        <v>0</v>
      </c>
      <c r="M513" s="127">
        <v>0</v>
      </c>
      <c r="N513" s="79">
        <v>1</v>
      </c>
      <c r="O513" s="79">
        <v>0</v>
      </c>
      <c r="P513" s="79"/>
      <c r="Q513" s="79">
        <v>100112</v>
      </c>
      <c r="R513" s="79"/>
    </row>
    <row r="514" spans="1:18" s="98" customFormat="1">
      <c r="A514" s="79">
        <v>120121</v>
      </c>
      <c r="B514" s="79">
        <f t="shared" si="41"/>
        <v>1201211</v>
      </c>
      <c r="C514" s="79" t="s">
        <v>344</v>
      </c>
      <c r="D514" s="79">
        <f t="shared" si="42"/>
        <v>1201212</v>
      </c>
      <c r="E514" s="79" t="s">
        <v>934</v>
      </c>
      <c r="F514" s="79">
        <v>12</v>
      </c>
      <c r="G514" s="79">
        <v>0</v>
      </c>
      <c r="H514" s="79" t="s">
        <v>346</v>
      </c>
      <c r="I514" s="79">
        <v>100121</v>
      </c>
      <c r="J514" s="79"/>
      <c r="K514" s="79">
        <v>5</v>
      </c>
      <c r="L514" s="79">
        <v>0</v>
      </c>
      <c r="M514" s="127">
        <v>0</v>
      </c>
      <c r="N514" s="79">
        <v>1</v>
      </c>
      <c r="O514" s="79">
        <v>0</v>
      </c>
      <c r="P514" s="79"/>
      <c r="Q514" s="93">
        <v>100121</v>
      </c>
      <c r="R514" s="79"/>
    </row>
    <row r="515" spans="1:18" s="98" customFormat="1">
      <c r="A515" s="79">
        <v>120122</v>
      </c>
      <c r="B515" s="79">
        <f t="shared" si="41"/>
        <v>1201221</v>
      </c>
      <c r="C515" s="79" t="s">
        <v>344</v>
      </c>
      <c r="D515" s="79">
        <f t="shared" si="42"/>
        <v>1201222</v>
      </c>
      <c r="E515" s="79" t="s">
        <v>935</v>
      </c>
      <c r="F515" s="79">
        <v>12</v>
      </c>
      <c r="G515" s="79">
        <v>0</v>
      </c>
      <c r="H515" s="79" t="s">
        <v>346</v>
      </c>
      <c r="I515" s="79">
        <v>100122</v>
      </c>
      <c r="J515" s="79"/>
      <c r="K515" s="79">
        <v>6</v>
      </c>
      <c r="L515" s="79">
        <v>0</v>
      </c>
      <c r="M515" s="127">
        <v>0</v>
      </c>
      <c r="N515" s="79">
        <v>1</v>
      </c>
      <c r="O515" s="79">
        <v>0</v>
      </c>
      <c r="P515" s="79"/>
      <c r="Q515" s="93">
        <v>100122</v>
      </c>
      <c r="R515" s="79"/>
    </row>
    <row r="516" spans="1:18" s="98" customFormat="1">
      <c r="A516" s="79">
        <v>120123</v>
      </c>
      <c r="B516" s="79">
        <f t="shared" si="41"/>
        <v>1201231</v>
      </c>
      <c r="C516" s="79" t="s">
        <v>344</v>
      </c>
      <c r="D516" s="79">
        <f t="shared" si="42"/>
        <v>1201232</v>
      </c>
      <c r="E516" s="79" t="s">
        <v>936</v>
      </c>
      <c r="F516" s="79">
        <v>12</v>
      </c>
      <c r="G516" s="79">
        <v>0</v>
      </c>
      <c r="H516" s="79" t="s">
        <v>346</v>
      </c>
      <c r="I516" s="79">
        <v>100123</v>
      </c>
      <c r="J516" s="79"/>
      <c r="K516" s="79">
        <v>7</v>
      </c>
      <c r="L516" s="79">
        <v>0</v>
      </c>
      <c r="M516" s="127">
        <v>0</v>
      </c>
      <c r="N516" s="79">
        <v>1</v>
      </c>
      <c r="O516" s="79">
        <v>0</v>
      </c>
      <c r="P516" s="107"/>
      <c r="Q516" s="93">
        <v>100123</v>
      </c>
      <c r="R516" s="79"/>
    </row>
    <row r="517" spans="1:18" s="98" customFormat="1">
      <c r="A517" s="79">
        <v>120131</v>
      </c>
      <c r="B517" s="79">
        <f t="shared" si="41"/>
        <v>1201311</v>
      </c>
      <c r="C517" s="79" t="s">
        <v>350</v>
      </c>
      <c r="D517" s="79">
        <f t="shared" si="42"/>
        <v>1201312</v>
      </c>
      <c r="E517" s="79" t="s">
        <v>937</v>
      </c>
      <c r="F517" s="79">
        <v>12</v>
      </c>
      <c r="G517" s="79">
        <v>0</v>
      </c>
      <c r="H517" s="79" t="s">
        <v>352</v>
      </c>
      <c r="I517" s="79">
        <v>100131</v>
      </c>
      <c r="J517" s="79"/>
      <c r="K517" s="79">
        <v>5</v>
      </c>
      <c r="L517" s="79">
        <v>0</v>
      </c>
      <c r="M517" s="127">
        <v>0</v>
      </c>
      <c r="N517" s="79">
        <v>1</v>
      </c>
      <c r="O517" s="79">
        <v>0</v>
      </c>
      <c r="P517" s="107"/>
      <c r="Q517" s="79">
        <v>100131</v>
      </c>
      <c r="R517" s="79"/>
    </row>
    <row r="518" spans="1:18" s="98" customFormat="1">
      <c r="A518" s="79">
        <v>120132</v>
      </c>
      <c r="B518" s="79">
        <f t="shared" si="41"/>
        <v>1201321</v>
      </c>
      <c r="C518" s="79" t="s">
        <v>350</v>
      </c>
      <c r="D518" s="79">
        <f t="shared" si="42"/>
        <v>1201322</v>
      </c>
      <c r="E518" s="79" t="s">
        <v>938</v>
      </c>
      <c r="F518" s="79">
        <v>12</v>
      </c>
      <c r="G518" s="79">
        <v>0</v>
      </c>
      <c r="H518" s="79" t="s">
        <v>352</v>
      </c>
      <c r="I518" s="79">
        <v>100132</v>
      </c>
      <c r="J518" s="79"/>
      <c r="K518" s="79">
        <v>6</v>
      </c>
      <c r="L518" s="79">
        <v>0</v>
      </c>
      <c r="M518" s="127">
        <v>0</v>
      </c>
      <c r="N518" s="79">
        <v>1</v>
      </c>
      <c r="O518" s="79">
        <v>0</v>
      </c>
      <c r="P518" s="107"/>
      <c r="Q518" s="79">
        <v>100132</v>
      </c>
      <c r="R518" s="79"/>
    </row>
    <row r="519" spans="1:18" s="98" customFormat="1">
      <c r="A519" s="79">
        <v>120133</v>
      </c>
      <c r="B519" s="79">
        <f t="shared" si="41"/>
        <v>1201331</v>
      </c>
      <c r="C519" s="79" t="s">
        <v>350</v>
      </c>
      <c r="D519" s="79">
        <f t="shared" si="42"/>
        <v>1201332</v>
      </c>
      <c r="E519" s="79" t="s">
        <v>939</v>
      </c>
      <c r="F519" s="79">
        <v>12</v>
      </c>
      <c r="G519" s="79">
        <v>0</v>
      </c>
      <c r="H519" s="79" t="s">
        <v>352</v>
      </c>
      <c r="I519" s="79">
        <v>100133</v>
      </c>
      <c r="J519" s="79"/>
      <c r="K519" s="79">
        <v>7</v>
      </c>
      <c r="L519" s="79">
        <v>0</v>
      </c>
      <c r="M519" s="127">
        <v>0</v>
      </c>
      <c r="N519" s="79">
        <v>1</v>
      </c>
      <c r="O519" s="79">
        <v>0</v>
      </c>
      <c r="P519" s="107"/>
      <c r="Q519" s="79">
        <v>100132</v>
      </c>
      <c r="R519" s="79"/>
    </row>
    <row r="520" spans="1:18" s="98" customFormat="1">
      <c r="A520" s="79">
        <v>120141</v>
      </c>
      <c r="B520" s="79">
        <f t="shared" si="41"/>
        <v>1201411</v>
      </c>
      <c r="C520" s="79" t="s">
        <v>355</v>
      </c>
      <c r="D520" s="79">
        <f t="shared" si="42"/>
        <v>1201412</v>
      </c>
      <c r="E520" s="79" t="s">
        <v>940</v>
      </c>
      <c r="F520" s="79">
        <v>12</v>
      </c>
      <c r="G520" s="79">
        <v>0</v>
      </c>
      <c r="H520" s="79" t="s">
        <v>357</v>
      </c>
      <c r="I520" s="79">
        <v>100141</v>
      </c>
      <c r="J520" s="79"/>
      <c r="K520" s="79">
        <v>5</v>
      </c>
      <c r="L520" s="79">
        <v>0</v>
      </c>
      <c r="M520" s="127">
        <v>0</v>
      </c>
      <c r="N520" s="79">
        <v>1</v>
      </c>
      <c r="O520" s="79">
        <v>0</v>
      </c>
      <c r="P520" s="107"/>
      <c r="Q520" s="79">
        <v>100141</v>
      </c>
      <c r="R520" s="79"/>
    </row>
    <row r="521" spans="1:18" s="98" customFormat="1">
      <c r="A521" s="79">
        <v>120142</v>
      </c>
      <c r="B521" s="79">
        <f t="shared" si="41"/>
        <v>1201421</v>
      </c>
      <c r="C521" s="79" t="s">
        <v>355</v>
      </c>
      <c r="D521" s="79">
        <f t="shared" si="42"/>
        <v>1201422</v>
      </c>
      <c r="E521" s="79" t="s">
        <v>941</v>
      </c>
      <c r="F521" s="79">
        <v>12</v>
      </c>
      <c r="G521" s="79">
        <v>0</v>
      </c>
      <c r="H521" s="79" t="s">
        <v>357</v>
      </c>
      <c r="I521" s="79">
        <v>100142</v>
      </c>
      <c r="J521" s="79"/>
      <c r="K521" s="79">
        <v>6</v>
      </c>
      <c r="L521" s="79">
        <v>0</v>
      </c>
      <c r="M521" s="127">
        <v>0</v>
      </c>
      <c r="N521" s="79">
        <v>1</v>
      </c>
      <c r="O521" s="79">
        <v>0</v>
      </c>
      <c r="P521" s="107"/>
      <c r="Q521" s="79">
        <v>100142</v>
      </c>
      <c r="R521" s="79"/>
    </row>
    <row r="522" spans="1:18" s="98" customFormat="1">
      <c r="A522" s="79">
        <v>120143</v>
      </c>
      <c r="B522" s="79">
        <f t="shared" si="41"/>
        <v>1201431</v>
      </c>
      <c r="C522" s="79" t="s">
        <v>355</v>
      </c>
      <c r="D522" s="79">
        <f t="shared" si="42"/>
        <v>1201432</v>
      </c>
      <c r="E522" s="79" t="s">
        <v>942</v>
      </c>
      <c r="F522" s="79">
        <v>12</v>
      </c>
      <c r="G522" s="79">
        <v>0</v>
      </c>
      <c r="H522" s="79" t="s">
        <v>357</v>
      </c>
      <c r="I522" s="79">
        <v>100143</v>
      </c>
      <c r="J522" s="79"/>
      <c r="K522" s="79">
        <v>7</v>
      </c>
      <c r="L522" s="79">
        <v>0</v>
      </c>
      <c r="M522" s="127">
        <v>0</v>
      </c>
      <c r="N522" s="79">
        <v>1</v>
      </c>
      <c r="O522" s="79">
        <v>0</v>
      </c>
      <c r="P522" s="107"/>
      <c r="Q522" s="79">
        <v>100142</v>
      </c>
      <c r="R522" s="79"/>
    </row>
    <row r="523" spans="1:18" s="98" customFormat="1">
      <c r="A523" s="79">
        <v>120147</v>
      </c>
      <c r="B523" s="79">
        <f t="shared" si="41"/>
        <v>1201471</v>
      </c>
      <c r="C523" s="79" t="s">
        <v>355</v>
      </c>
      <c r="D523" s="79">
        <f t="shared" si="42"/>
        <v>1201472</v>
      </c>
      <c r="E523" s="79" t="s">
        <v>943</v>
      </c>
      <c r="F523" s="79">
        <v>12</v>
      </c>
      <c r="G523" s="79">
        <v>0</v>
      </c>
      <c r="H523" s="79" t="s">
        <v>357</v>
      </c>
      <c r="I523" s="79">
        <v>100147</v>
      </c>
      <c r="J523" s="79"/>
      <c r="K523" s="79">
        <v>4</v>
      </c>
      <c r="L523" s="79">
        <v>0</v>
      </c>
      <c r="M523" s="127">
        <v>0</v>
      </c>
      <c r="N523" s="79">
        <v>1</v>
      </c>
      <c r="O523" s="79">
        <v>0</v>
      </c>
      <c r="P523" s="107"/>
      <c r="Q523" s="79">
        <v>100141</v>
      </c>
      <c r="R523" s="79"/>
    </row>
    <row r="524" spans="1:18" s="98" customFormat="1">
      <c r="A524" s="79">
        <v>120151</v>
      </c>
      <c r="B524" s="79">
        <f t="shared" si="41"/>
        <v>1201511</v>
      </c>
      <c r="C524" s="79" t="s">
        <v>360</v>
      </c>
      <c r="D524" s="79">
        <f t="shared" si="42"/>
        <v>1201512</v>
      </c>
      <c r="E524" s="79" t="s">
        <v>944</v>
      </c>
      <c r="F524" s="79">
        <v>12</v>
      </c>
      <c r="G524" s="79">
        <v>0</v>
      </c>
      <c r="H524" s="79" t="s">
        <v>362</v>
      </c>
      <c r="I524" s="79">
        <v>100153</v>
      </c>
      <c r="J524" s="79"/>
      <c r="K524" s="79">
        <v>4</v>
      </c>
      <c r="L524" s="79">
        <v>0</v>
      </c>
      <c r="M524" s="127">
        <v>0</v>
      </c>
      <c r="N524" s="79">
        <v>1</v>
      </c>
      <c r="O524" s="79">
        <v>0</v>
      </c>
      <c r="P524" s="107"/>
      <c r="Q524" s="79">
        <v>100153</v>
      </c>
      <c r="R524" s="79"/>
    </row>
    <row r="525" spans="1:18" s="98" customFormat="1">
      <c r="A525" s="79">
        <v>120161</v>
      </c>
      <c r="B525" s="79">
        <f t="shared" si="41"/>
        <v>1201611</v>
      </c>
      <c r="C525" s="79" t="s">
        <v>365</v>
      </c>
      <c r="D525" s="79">
        <f t="shared" si="42"/>
        <v>1201612</v>
      </c>
      <c r="E525" s="79" t="s">
        <v>945</v>
      </c>
      <c r="F525" s="79">
        <v>12</v>
      </c>
      <c r="G525" s="79">
        <v>0</v>
      </c>
      <c r="H525" s="79" t="s">
        <v>367</v>
      </c>
      <c r="I525" s="79">
        <v>100162</v>
      </c>
      <c r="J525" s="79"/>
      <c r="K525" s="79">
        <v>5</v>
      </c>
      <c r="L525" s="79">
        <v>0</v>
      </c>
      <c r="M525" s="127">
        <v>0</v>
      </c>
      <c r="N525" s="79">
        <v>1</v>
      </c>
      <c r="O525" s="79">
        <v>0</v>
      </c>
      <c r="P525" s="107"/>
      <c r="Q525" s="79">
        <v>100162</v>
      </c>
      <c r="R525" s="79"/>
    </row>
    <row r="526" spans="1:18" s="98" customFormat="1">
      <c r="A526" s="107">
        <v>120162</v>
      </c>
      <c r="B526" s="107">
        <f t="shared" si="41"/>
        <v>1201621</v>
      </c>
      <c r="C526" s="107" t="s">
        <v>365</v>
      </c>
      <c r="D526" s="107">
        <f t="shared" si="42"/>
        <v>1201622</v>
      </c>
      <c r="E526" s="107" t="s">
        <v>946</v>
      </c>
      <c r="F526" s="107">
        <v>12</v>
      </c>
      <c r="G526" s="107">
        <v>0</v>
      </c>
      <c r="H526" s="107" t="s">
        <v>367</v>
      </c>
      <c r="I526" s="107">
        <v>100163</v>
      </c>
      <c r="J526" s="107"/>
      <c r="K526" s="107">
        <v>6</v>
      </c>
      <c r="L526" s="107">
        <v>0</v>
      </c>
      <c r="M526" s="107">
        <v>0</v>
      </c>
      <c r="N526" s="107">
        <v>1</v>
      </c>
      <c r="O526" s="107">
        <v>0</v>
      </c>
      <c r="P526" s="107"/>
      <c r="Q526" s="79">
        <v>100162</v>
      </c>
      <c r="R526" s="79"/>
    </row>
    <row r="527" spans="1:18" s="98" customFormat="1">
      <c r="A527" s="107">
        <v>120163</v>
      </c>
      <c r="B527" s="107">
        <f t="shared" si="41"/>
        <v>1201631</v>
      </c>
      <c r="C527" s="107" t="s">
        <v>365</v>
      </c>
      <c r="D527" s="107">
        <f t="shared" si="42"/>
        <v>1201632</v>
      </c>
      <c r="E527" s="107" t="s">
        <v>947</v>
      </c>
      <c r="F527" s="107">
        <v>12</v>
      </c>
      <c r="G527" s="107">
        <v>0</v>
      </c>
      <c r="H527" s="107" t="s">
        <v>367</v>
      </c>
      <c r="I527" s="107">
        <v>100164</v>
      </c>
      <c r="J527" s="107"/>
      <c r="K527" s="107">
        <v>7</v>
      </c>
      <c r="L527" s="107">
        <v>0</v>
      </c>
      <c r="M527" s="107">
        <v>0</v>
      </c>
      <c r="N527" s="107">
        <v>1</v>
      </c>
      <c r="O527" s="107">
        <v>0</v>
      </c>
      <c r="P527" s="107"/>
      <c r="Q527" s="79">
        <v>100162</v>
      </c>
      <c r="R527" s="79"/>
    </row>
    <row r="528" spans="1:18" s="98" customFormat="1">
      <c r="A528" s="79">
        <v>120170</v>
      </c>
      <c r="B528" s="79">
        <f t="shared" si="41"/>
        <v>1201701</v>
      </c>
      <c r="C528" s="79" t="s">
        <v>369</v>
      </c>
      <c r="D528" s="79">
        <f t="shared" si="42"/>
        <v>1201702</v>
      </c>
      <c r="E528" s="79" t="s">
        <v>948</v>
      </c>
      <c r="F528" s="79">
        <v>12</v>
      </c>
      <c r="G528" s="79">
        <v>0</v>
      </c>
      <c r="H528" s="79" t="s">
        <v>371</v>
      </c>
      <c r="I528" s="79">
        <v>100173</v>
      </c>
      <c r="J528" s="79"/>
      <c r="K528" s="79">
        <v>5</v>
      </c>
      <c r="L528" s="79">
        <v>0</v>
      </c>
      <c r="M528" s="127">
        <v>0</v>
      </c>
      <c r="N528" s="79">
        <v>1</v>
      </c>
      <c r="O528" s="79">
        <v>0</v>
      </c>
      <c r="P528" s="107"/>
      <c r="Q528" s="79">
        <v>100173</v>
      </c>
      <c r="R528" s="79"/>
    </row>
    <row r="529" spans="1:18" s="98" customFormat="1">
      <c r="A529" s="79">
        <v>120171</v>
      </c>
      <c r="B529" s="79">
        <f t="shared" si="41"/>
        <v>1201711</v>
      </c>
      <c r="C529" s="79" t="s">
        <v>369</v>
      </c>
      <c r="D529" s="79">
        <f t="shared" si="42"/>
        <v>1201712</v>
      </c>
      <c r="E529" s="79" t="s">
        <v>949</v>
      </c>
      <c r="F529" s="79">
        <v>12</v>
      </c>
      <c r="G529" s="79">
        <v>0</v>
      </c>
      <c r="H529" s="79" t="s">
        <v>371</v>
      </c>
      <c r="I529" s="79">
        <v>100173</v>
      </c>
      <c r="J529" s="79"/>
      <c r="K529" s="79">
        <v>5</v>
      </c>
      <c r="L529" s="79">
        <v>0</v>
      </c>
      <c r="M529" s="127">
        <v>0</v>
      </c>
      <c r="N529" s="79">
        <v>1</v>
      </c>
      <c r="O529" s="79">
        <v>0</v>
      </c>
      <c r="P529" s="107"/>
      <c r="Q529" s="79">
        <v>100173</v>
      </c>
      <c r="R529" s="79"/>
    </row>
    <row r="530" spans="1:18" s="98" customFormat="1">
      <c r="A530" s="79">
        <v>120172</v>
      </c>
      <c r="B530" s="79">
        <f t="shared" si="41"/>
        <v>1201721</v>
      </c>
      <c r="C530" s="79" t="s">
        <v>369</v>
      </c>
      <c r="D530" s="79">
        <f t="shared" si="42"/>
        <v>1201722</v>
      </c>
      <c r="E530" s="79" t="s">
        <v>950</v>
      </c>
      <c r="F530" s="79">
        <v>12</v>
      </c>
      <c r="G530" s="79">
        <v>0</v>
      </c>
      <c r="H530" s="79" t="s">
        <v>371</v>
      </c>
      <c r="I530" s="79">
        <v>100174</v>
      </c>
      <c r="J530" s="79"/>
      <c r="K530" s="79">
        <v>6</v>
      </c>
      <c r="L530" s="79">
        <v>0</v>
      </c>
      <c r="M530" s="127">
        <v>0</v>
      </c>
      <c r="N530" s="79">
        <v>1</v>
      </c>
      <c r="O530" s="79">
        <v>0</v>
      </c>
      <c r="P530" s="107"/>
      <c r="Q530" s="79">
        <v>100173</v>
      </c>
      <c r="R530" s="79"/>
    </row>
    <row r="531" spans="1:18" s="98" customFormat="1">
      <c r="A531" s="79">
        <v>120173</v>
      </c>
      <c r="B531" s="79">
        <f t="shared" si="41"/>
        <v>1201731</v>
      </c>
      <c r="C531" s="79" t="s">
        <v>369</v>
      </c>
      <c r="D531" s="79">
        <f t="shared" si="42"/>
        <v>1201732</v>
      </c>
      <c r="E531" s="79" t="s">
        <v>951</v>
      </c>
      <c r="F531" s="79">
        <v>12</v>
      </c>
      <c r="G531" s="79">
        <v>0</v>
      </c>
      <c r="H531" s="79" t="s">
        <v>371</v>
      </c>
      <c r="I531" s="79">
        <v>100175</v>
      </c>
      <c r="J531" s="79"/>
      <c r="K531" s="79">
        <v>7</v>
      </c>
      <c r="L531" s="79">
        <v>0</v>
      </c>
      <c r="M531" s="127">
        <v>0</v>
      </c>
      <c r="N531" s="79">
        <v>1</v>
      </c>
      <c r="O531" s="79">
        <v>0</v>
      </c>
      <c r="P531" s="107"/>
      <c r="Q531" s="79">
        <v>100173</v>
      </c>
      <c r="R531" s="79"/>
    </row>
    <row r="532" spans="1:18" s="98" customFormat="1">
      <c r="A532" s="79">
        <v>120174</v>
      </c>
      <c r="B532" s="79">
        <f t="shared" si="41"/>
        <v>1201741</v>
      </c>
      <c r="C532" s="79" t="s">
        <v>369</v>
      </c>
      <c r="D532" s="79">
        <f t="shared" si="42"/>
        <v>1201742</v>
      </c>
      <c r="E532" s="79" t="s">
        <v>952</v>
      </c>
      <c r="F532" s="79">
        <v>12</v>
      </c>
      <c r="G532" s="79">
        <v>0</v>
      </c>
      <c r="H532" s="79" t="s">
        <v>371</v>
      </c>
      <c r="I532" s="79">
        <v>100172</v>
      </c>
      <c r="J532" s="79"/>
      <c r="K532" s="79">
        <v>4</v>
      </c>
      <c r="L532" s="79">
        <v>0</v>
      </c>
      <c r="M532" s="127">
        <v>0</v>
      </c>
      <c r="N532" s="79">
        <v>1</v>
      </c>
      <c r="O532" s="79">
        <v>0</v>
      </c>
      <c r="P532" s="107"/>
      <c r="Q532" s="79">
        <v>100171</v>
      </c>
      <c r="R532" s="79"/>
    </row>
    <row r="533" spans="1:18" s="98" customFormat="1">
      <c r="A533" s="79">
        <v>120181</v>
      </c>
      <c r="B533" s="79">
        <f t="shared" si="41"/>
        <v>1201811</v>
      </c>
      <c r="C533" s="79" t="s">
        <v>376</v>
      </c>
      <c r="D533" s="79">
        <f t="shared" si="42"/>
        <v>1201812</v>
      </c>
      <c r="E533" s="79" t="s">
        <v>953</v>
      </c>
      <c r="F533" s="79">
        <v>12</v>
      </c>
      <c r="G533" s="79">
        <v>0</v>
      </c>
      <c r="H533" s="79" t="s">
        <v>378</v>
      </c>
      <c r="I533" s="79">
        <v>100181</v>
      </c>
      <c r="J533" s="79"/>
      <c r="K533" s="79">
        <v>6</v>
      </c>
      <c r="L533" s="79">
        <v>0</v>
      </c>
      <c r="M533" s="127">
        <v>0</v>
      </c>
      <c r="N533" s="79">
        <v>1</v>
      </c>
      <c r="O533" s="79">
        <v>0</v>
      </c>
      <c r="P533" s="107"/>
      <c r="Q533" s="79">
        <v>100181</v>
      </c>
      <c r="R533" s="79"/>
    </row>
    <row r="534" spans="1:18" s="98" customFormat="1">
      <c r="A534" s="79">
        <v>120190</v>
      </c>
      <c r="B534" s="79">
        <f t="shared" si="41"/>
        <v>1201901</v>
      </c>
      <c r="C534" s="79" t="s">
        <v>379</v>
      </c>
      <c r="D534" s="79">
        <f t="shared" si="42"/>
        <v>1201902</v>
      </c>
      <c r="E534" s="79" t="s">
        <v>954</v>
      </c>
      <c r="F534" s="79">
        <v>12</v>
      </c>
      <c r="G534" s="79">
        <v>0</v>
      </c>
      <c r="H534" s="79" t="s">
        <v>381</v>
      </c>
      <c r="I534" s="79">
        <v>100192</v>
      </c>
      <c r="J534" s="79"/>
      <c r="K534" s="79">
        <v>4</v>
      </c>
      <c r="L534" s="79">
        <v>0</v>
      </c>
      <c r="M534" s="127">
        <v>0</v>
      </c>
      <c r="N534" s="79">
        <v>1</v>
      </c>
      <c r="O534" s="79">
        <v>0</v>
      </c>
      <c r="P534" s="107"/>
      <c r="Q534" s="79">
        <v>100191</v>
      </c>
      <c r="R534" s="79"/>
    </row>
    <row r="535" spans="1:18" s="98" customFormat="1">
      <c r="A535" s="79">
        <v>120191</v>
      </c>
      <c r="B535" s="79">
        <f t="shared" si="41"/>
        <v>1201911</v>
      </c>
      <c r="C535" s="79" t="s">
        <v>379</v>
      </c>
      <c r="D535" s="79">
        <f t="shared" si="42"/>
        <v>1201912</v>
      </c>
      <c r="E535" s="79" t="s">
        <v>955</v>
      </c>
      <c r="F535" s="79">
        <v>12</v>
      </c>
      <c r="G535" s="79">
        <v>0</v>
      </c>
      <c r="H535" s="79" t="s">
        <v>381</v>
      </c>
      <c r="I535" s="79">
        <v>100193</v>
      </c>
      <c r="J535" s="79"/>
      <c r="K535" s="79">
        <v>5</v>
      </c>
      <c r="L535" s="79">
        <v>0</v>
      </c>
      <c r="M535" s="127">
        <v>0</v>
      </c>
      <c r="N535" s="79">
        <v>1</v>
      </c>
      <c r="O535" s="79">
        <v>0</v>
      </c>
      <c r="P535" s="107"/>
      <c r="Q535" s="79">
        <v>100193</v>
      </c>
      <c r="R535" s="79"/>
    </row>
    <row r="536" spans="1:18" s="98" customFormat="1">
      <c r="A536" s="79">
        <v>120192</v>
      </c>
      <c r="B536" s="79">
        <f t="shared" si="41"/>
        <v>1201921</v>
      </c>
      <c r="C536" s="79" t="s">
        <v>379</v>
      </c>
      <c r="D536" s="79">
        <f t="shared" si="42"/>
        <v>1201922</v>
      </c>
      <c r="E536" s="79" t="s">
        <v>956</v>
      </c>
      <c r="F536" s="79">
        <v>12</v>
      </c>
      <c r="G536" s="79">
        <v>0</v>
      </c>
      <c r="H536" s="79" t="s">
        <v>381</v>
      </c>
      <c r="I536" s="79">
        <v>100194</v>
      </c>
      <c r="J536" s="79"/>
      <c r="K536" s="79">
        <v>6</v>
      </c>
      <c r="L536" s="79">
        <v>0</v>
      </c>
      <c r="M536" s="127">
        <v>0</v>
      </c>
      <c r="N536" s="79">
        <v>1</v>
      </c>
      <c r="O536" s="79">
        <v>0</v>
      </c>
      <c r="P536" s="107"/>
      <c r="Q536" s="79">
        <v>100193</v>
      </c>
      <c r="R536" s="79"/>
    </row>
    <row r="537" spans="1:18" s="98" customFormat="1">
      <c r="A537" s="79">
        <v>120193</v>
      </c>
      <c r="B537" s="79">
        <f t="shared" si="41"/>
        <v>1201931</v>
      </c>
      <c r="C537" s="79" t="s">
        <v>379</v>
      </c>
      <c r="D537" s="79">
        <f t="shared" si="42"/>
        <v>1201932</v>
      </c>
      <c r="E537" s="79" t="s">
        <v>957</v>
      </c>
      <c r="F537" s="79">
        <v>12</v>
      </c>
      <c r="G537" s="79">
        <v>0</v>
      </c>
      <c r="H537" s="79" t="s">
        <v>381</v>
      </c>
      <c r="I537" s="79">
        <v>100195</v>
      </c>
      <c r="J537" s="79"/>
      <c r="K537" s="79">
        <v>7</v>
      </c>
      <c r="L537" s="79">
        <v>0</v>
      </c>
      <c r="M537" s="127">
        <v>0</v>
      </c>
      <c r="N537" s="79">
        <v>1</v>
      </c>
      <c r="O537" s="79">
        <v>0</v>
      </c>
      <c r="P537" s="107"/>
      <c r="Q537" s="79">
        <v>100193</v>
      </c>
      <c r="R537" s="79"/>
    </row>
    <row r="538" spans="1:18" s="98" customFormat="1">
      <c r="A538" s="79">
        <v>120201</v>
      </c>
      <c r="B538" s="79">
        <f t="shared" si="41"/>
        <v>1202011</v>
      </c>
      <c r="C538" s="79" t="s">
        <v>386</v>
      </c>
      <c r="D538" s="79">
        <f t="shared" si="42"/>
        <v>1202012</v>
      </c>
      <c r="E538" s="79" t="s">
        <v>958</v>
      </c>
      <c r="F538" s="79">
        <v>12</v>
      </c>
      <c r="G538" s="79">
        <v>0</v>
      </c>
      <c r="H538" s="79" t="s">
        <v>388</v>
      </c>
      <c r="I538" s="79">
        <v>100201</v>
      </c>
      <c r="J538" s="79"/>
      <c r="K538" s="79">
        <v>5</v>
      </c>
      <c r="L538" s="79">
        <v>0</v>
      </c>
      <c r="M538" s="127">
        <v>0</v>
      </c>
      <c r="N538" s="79">
        <v>1</v>
      </c>
      <c r="O538" s="79">
        <v>0</v>
      </c>
      <c r="P538" s="107"/>
      <c r="Q538" s="79">
        <v>100201</v>
      </c>
      <c r="R538" s="79"/>
    </row>
    <row r="539" spans="1:18" s="98" customFormat="1">
      <c r="A539" s="79">
        <v>120202</v>
      </c>
      <c r="B539" s="79">
        <f t="shared" si="41"/>
        <v>1202021</v>
      </c>
      <c r="C539" s="79" t="s">
        <v>386</v>
      </c>
      <c r="D539" s="79">
        <f t="shared" si="42"/>
        <v>1202022</v>
      </c>
      <c r="E539" s="79" t="s">
        <v>959</v>
      </c>
      <c r="F539" s="79">
        <v>12</v>
      </c>
      <c r="G539" s="79">
        <v>0</v>
      </c>
      <c r="H539" s="79" t="s">
        <v>388</v>
      </c>
      <c r="I539" s="79">
        <v>100202</v>
      </c>
      <c r="J539" s="79"/>
      <c r="K539" s="79">
        <v>6</v>
      </c>
      <c r="L539" s="79">
        <v>0</v>
      </c>
      <c r="M539" s="127">
        <v>0</v>
      </c>
      <c r="N539" s="79">
        <v>1</v>
      </c>
      <c r="O539" s="79">
        <v>0</v>
      </c>
      <c r="P539" s="107"/>
      <c r="Q539" s="79">
        <v>100201</v>
      </c>
      <c r="R539" s="79"/>
    </row>
    <row r="540" spans="1:18" s="98" customFormat="1">
      <c r="A540" s="79">
        <v>120203</v>
      </c>
      <c r="B540" s="79">
        <f t="shared" si="41"/>
        <v>1202031</v>
      </c>
      <c r="C540" s="79" t="s">
        <v>386</v>
      </c>
      <c r="D540" s="79">
        <f t="shared" si="42"/>
        <v>1202032</v>
      </c>
      <c r="E540" s="79" t="s">
        <v>960</v>
      </c>
      <c r="F540" s="79">
        <v>12</v>
      </c>
      <c r="G540" s="79">
        <v>0</v>
      </c>
      <c r="H540" s="79" t="s">
        <v>388</v>
      </c>
      <c r="I540" s="79">
        <v>100203</v>
      </c>
      <c r="J540" s="79"/>
      <c r="K540" s="79">
        <v>7</v>
      </c>
      <c r="L540" s="79">
        <v>0</v>
      </c>
      <c r="M540" s="127">
        <v>0</v>
      </c>
      <c r="N540" s="79">
        <v>1</v>
      </c>
      <c r="O540" s="79">
        <v>0</v>
      </c>
      <c r="P540" s="107"/>
      <c r="Q540" s="79">
        <v>100201</v>
      </c>
      <c r="R540" s="79"/>
    </row>
    <row r="541" spans="1:18" s="98" customFormat="1">
      <c r="A541" s="79">
        <v>120221</v>
      </c>
      <c r="B541" s="79">
        <f t="shared" si="41"/>
        <v>1202211</v>
      </c>
      <c r="C541" s="79" t="s">
        <v>391</v>
      </c>
      <c r="D541" s="79">
        <f t="shared" si="42"/>
        <v>1202212</v>
      </c>
      <c r="E541" s="79" t="s">
        <v>961</v>
      </c>
      <c r="F541" s="79">
        <v>12</v>
      </c>
      <c r="G541" s="79">
        <v>0</v>
      </c>
      <c r="H541" s="79" t="s">
        <v>393</v>
      </c>
      <c r="I541" s="79">
        <v>100221</v>
      </c>
      <c r="J541" s="79"/>
      <c r="K541" s="79">
        <v>4</v>
      </c>
      <c r="L541" s="79">
        <v>0</v>
      </c>
      <c r="M541" s="127">
        <v>0</v>
      </c>
      <c r="N541" s="79">
        <v>1</v>
      </c>
      <c r="O541" s="79">
        <v>0</v>
      </c>
      <c r="P541" s="107"/>
      <c r="Q541" s="79">
        <v>100221</v>
      </c>
      <c r="R541" s="79"/>
    </row>
    <row r="542" spans="1:18" s="98" customFormat="1">
      <c r="A542" s="79">
        <v>120222</v>
      </c>
      <c r="B542" s="79">
        <f t="shared" si="41"/>
        <v>1202221</v>
      </c>
      <c r="C542" s="79" t="s">
        <v>391</v>
      </c>
      <c r="D542" s="79">
        <f t="shared" si="42"/>
        <v>1202222</v>
      </c>
      <c r="E542" s="79" t="s">
        <v>962</v>
      </c>
      <c r="F542" s="79">
        <v>12</v>
      </c>
      <c r="G542" s="79">
        <v>0</v>
      </c>
      <c r="H542" s="79" t="s">
        <v>393</v>
      </c>
      <c r="I542" s="79">
        <v>100222</v>
      </c>
      <c r="J542" s="79"/>
      <c r="K542" s="79">
        <v>5</v>
      </c>
      <c r="L542" s="79">
        <v>0</v>
      </c>
      <c r="M542" s="127">
        <v>0</v>
      </c>
      <c r="N542" s="79">
        <v>1</v>
      </c>
      <c r="O542" s="79">
        <v>0</v>
      </c>
      <c r="P542" s="107"/>
      <c r="Q542" s="79">
        <v>100222</v>
      </c>
      <c r="R542" s="79"/>
    </row>
    <row r="543" spans="1:18" s="98" customFormat="1">
      <c r="A543" s="79">
        <v>120223</v>
      </c>
      <c r="B543" s="79">
        <f t="shared" si="41"/>
        <v>1202231</v>
      </c>
      <c r="C543" s="79" t="s">
        <v>391</v>
      </c>
      <c r="D543" s="79">
        <f t="shared" si="42"/>
        <v>1202232</v>
      </c>
      <c r="E543" s="79" t="s">
        <v>963</v>
      </c>
      <c r="F543" s="79">
        <v>12</v>
      </c>
      <c r="G543" s="79">
        <v>0</v>
      </c>
      <c r="H543" s="79" t="s">
        <v>393</v>
      </c>
      <c r="I543" s="79">
        <v>100223</v>
      </c>
      <c r="J543" s="79"/>
      <c r="K543" s="79">
        <v>6</v>
      </c>
      <c r="L543" s="79">
        <v>0</v>
      </c>
      <c r="M543" s="127">
        <v>0</v>
      </c>
      <c r="N543" s="79">
        <v>1</v>
      </c>
      <c r="O543" s="79">
        <v>0</v>
      </c>
      <c r="P543" s="107"/>
      <c r="Q543" s="79">
        <v>100222</v>
      </c>
      <c r="R543" s="79"/>
    </row>
    <row r="544" spans="1:18" s="98" customFormat="1">
      <c r="A544" s="79">
        <v>120231</v>
      </c>
      <c r="B544" s="79">
        <f t="shared" si="41"/>
        <v>1202311</v>
      </c>
      <c r="C544" s="79" t="s">
        <v>396</v>
      </c>
      <c r="D544" s="79">
        <f t="shared" si="42"/>
        <v>1202312</v>
      </c>
      <c r="E544" s="79" t="s">
        <v>964</v>
      </c>
      <c r="F544" s="79">
        <v>12</v>
      </c>
      <c r="G544" s="79">
        <v>0</v>
      </c>
      <c r="H544" s="79" t="s">
        <v>398</v>
      </c>
      <c r="I544" s="79">
        <v>100231</v>
      </c>
      <c r="J544" s="79"/>
      <c r="K544" s="79">
        <v>4</v>
      </c>
      <c r="L544" s="79">
        <v>0</v>
      </c>
      <c r="M544" s="127">
        <v>0</v>
      </c>
      <c r="N544" s="79">
        <v>1</v>
      </c>
      <c r="O544" s="79">
        <v>0</v>
      </c>
      <c r="P544" s="107"/>
      <c r="Q544" s="79">
        <v>100231</v>
      </c>
      <c r="R544" s="79"/>
    </row>
    <row r="545" spans="1:18" s="98" customFormat="1">
      <c r="A545" s="79">
        <v>120241</v>
      </c>
      <c r="B545" s="79">
        <f t="shared" si="41"/>
        <v>1202411</v>
      </c>
      <c r="C545" s="79" t="s">
        <v>400</v>
      </c>
      <c r="D545" s="79">
        <f t="shared" si="42"/>
        <v>1202412</v>
      </c>
      <c r="E545" s="79" t="s">
        <v>965</v>
      </c>
      <c r="F545" s="79">
        <v>12</v>
      </c>
      <c r="G545" s="79">
        <v>0</v>
      </c>
      <c r="H545" s="79" t="s">
        <v>402</v>
      </c>
      <c r="I545" s="79">
        <v>100241</v>
      </c>
      <c r="J545" s="79"/>
      <c r="K545" s="79">
        <v>4</v>
      </c>
      <c r="L545" s="79">
        <v>0</v>
      </c>
      <c r="M545" s="127">
        <v>0</v>
      </c>
      <c r="N545" s="79">
        <v>1</v>
      </c>
      <c r="O545" s="79">
        <v>0</v>
      </c>
      <c r="P545" s="107"/>
      <c r="Q545" s="79">
        <v>100241</v>
      </c>
      <c r="R545" s="79"/>
    </row>
    <row r="546" spans="1:18" s="98" customFormat="1">
      <c r="A546" s="79">
        <v>120253</v>
      </c>
      <c r="B546" s="79">
        <f t="shared" si="41"/>
        <v>1202531</v>
      </c>
      <c r="C546" s="79" t="s">
        <v>404</v>
      </c>
      <c r="D546" s="79">
        <f t="shared" si="42"/>
        <v>1202532</v>
      </c>
      <c r="E546" s="79" t="s">
        <v>966</v>
      </c>
      <c r="F546" s="79">
        <v>12</v>
      </c>
      <c r="G546" s="79">
        <v>0</v>
      </c>
      <c r="H546" s="79" t="s">
        <v>406</v>
      </c>
      <c r="I546" s="79">
        <v>100253</v>
      </c>
      <c r="J546" s="79"/>
      <c r="K546" s="79">
        <v>5</v>
      </c>
      <c r="L546" s="79">
        <v>0</v>
      </c>
      <c r="M546" s="127">
        <v>0</v>
      </c>
      <c r="N546" s="79">
        <v>1</v>
      </c>
      <c r="O546" s="79">
        <v>0</v>
      </c>
      <c r="P546" s="107"/>
      <c r="Q546" s="79">
        <v>100253</v>
      </c>
      <c r="R546" s="79"/>
    </row>
    <row r="547" spans="1:18" s="98" customFormat="1">
      <c r="A547" s="79">
        <v>120261</v>
      </c>
      <c r="B547" s="79">
        <f t="shared" si="41"/>
        <v>1202611</v>
      </c>
      <c r="C547" s="79" t="s">
        <v>412</v>
      </c>
      <c r="D547" s="79">
        <f t="shared" si="42"/>
        <v>1202612</v>
      </c>
      <c r="E547" s="79" t="s">
        <v>967</v>
      </c>
      <c r="F547" s="79">
        <v>12</v>
      </c>
      <c r="G547" s="79">
        <v>0</v>
      </c>
      <c r="H547" s="79" t="s">
        <v>411</v>
      </c>
      <c r="I547" s="79">
        <v>100263</v>
      </c>
      <c r="J547" s="79"/>
      <c r="K547" s="79">
        <v>4</v>
      </c>
      <c r="L547" s="79">
        <v>0</v>
      </c>
      <c r="M547" s="127">
        <v>0</v>
      </c>
      <c r="N547" s="79">
        <v>1</v>
      </c>
      <c r="O547" s="79">
        <v>0</v>
      </c>
      <c r="P547" s="107"/>
      <c r="Q547" s="79">
        <v>100261</v>
      </c>
      <c r="R547" s="79"/>
    </row>
    <row r="548" spans="1:18" s="98" customFormat="1">
      <c r="A548" s="79">
        <v>120271</v>
      </c>
      <c r="B548" s="79">
        <f t="shared" si="41"/>
        <v>1202711</v>
      </c>
      <c r="C548" s="79" t="s">
        <v>416</v>
      </c>
      <c r="D548" s="79">
        <f t="shared" si="42"/>
        <v>1202712</v>
      </c>
      <c r="E548" s="79" t="s">
        <v>968</v>
      </c>
      <c r="F548" s="79">
        <v>12</v>
      </c>
      <c r="G548" s="79">
        <v>0</v>
      </c>
      <c r="H548" s="79" t="s">
        <v>418</v>
      </c>
      <c r="I548" s="79">
        <v>100273</v>
      </c>
      <c r="J548" s="79"/>
      <c r="K548" s="79">
        <v>4</v>
      </c>
      <c r="L548" s="79">
        <v>0</v>
      </c>
      <c r="M548" s="127">
        <v>0</v>
      </c>
      <c r="N548" s="79">
        <v>1</v>
      </c>
      <c r="O548" s="79">
        <v>0</v>
      </c>
      <c r="P548" s="107"/>
      <c r="Q548" s="79">
        <v>100271</v>
      </c>
      <c r="R548" s="79"/>
    </row>
    <row r="549" spans="1:18" s="98" customFormat="1">
      <c r="A549" s="79">
        <v>120281</v>
      </c>
      <c r="B549" s="79">
        <f t="shared" si="41"/>
        <v>1202811</v>
      </c>
      <c r="C549" s="79" t="s">
        <v>421</v>
      </c>
      <c r="D549" s="79">
        <f t="shared" si="42"/>
        <v>1202812</v>
      </c>
      <c r="E549" s="79" t="s">
        <v>969</v>
      </c>
      <c r="F549" s="79">
        <v>12</v>
      </c>
      <c r="G549" s="79">
        <v>0</v>
      </c>
      <c r="H549" s="79" t="s">
        <v>423</v>
      </c>
      <c r="I549" s="79">
        <v>100283</v>
      </c>
      <c r="J549" s="79"/>
      <c r="K549" s="79">
        <v>4</v>
      </c>
      <c r="L549" s="79">
        <v>0</v>
      </c>
      <c r="M549" s="127">
        <v>0</v>
      </c>
      <c r="N549" s="79">
        <v>1</v>
      </c>
      <c r="O549" s="79">
        <v>0</v>
      </c>
      <c r="P549" s="107"/>
      <c r="Q549" s="79">
        <v>100281</v>
      </c>
      <c r="R549" s="79"/>
    </row>
    <row r="550" spans="1:18" s="98" customFormat="1">
      <c r="A550" s="79">
        <v>120291</v>
      </c>
      <c r="B550" s="79">
        <f t="shared" si="41"/>
        <v>1202911</v>
      </c>
      <c r="C550" s="79" t="s">
        <v>426</v>
      </c>
      <c r="D550" s="79">
        <f t="shared" si="42"/>
        <v>1202912</v>
      </c>
      <c r="E550" s="79" t="s">
        <v>970</v>
      </c>
      <c r="F550" s="79">
        <v>12</v>
      </c>
      <c r="G550" s="79">
        <v>0</v>
      </c>
      <c r="H550" s="79" t="s">
        <v>428</v>
      </c>
      <c r="I550" s="79">
        <v>100293</v>
      </c>
      <c r="J550" s="79"/>
      <c r="K550" s="79">
        <v>4</v>
      </c>
      <c r="L550" s="79">
        <v>0</v>
      </c>
      <c r="M550" s="127">
        <v>0</v>
      </c>
      <c r="N550" s="79">
        <v>1</v>
      </c>
      <c r="O550" s="79">
        <v>0</v>
      </c>
      <c r="P550" s="107"/>
      <c r="Q550" s="79">
        <v>100291</v>
      </c>
      <c r="R550" s="79"/>
    </row>
    <row r="551" spans="1:18" s="98" customFormat="1">
      <c r="A551" s="79">
        <v>120321</v>
      </c>
      <c r="B551" s="79">
        <f t="shared" si="41"/>
        <v>1203211</v>
      </c>
      <c r="C551" s="79" t="s">
        <v>431</v>
      </c>
      <c r="D551" s="79">
        <f t="shared" si="42"/>
        <v>1203212</v>
      </c>
      <c r="E551" s="79" t="s">
        <v>971</v>
      </c>
      <c r="F551" s="79">
        <v>12</v>
      </c>
      <c r="G551" s="79">
        <v>0</v>
      </c>
      <c r="H551" s="79" t="s">
        <v>433</v>
      </c>
      <c r="I551" s="79">
        <v>100321</v>
      </c>
      <c r="J551" s="79"/>
      <c r="K551" s="79">
        <v>5</v>
      </c>
      <c r="L551" s="79">
        <v>0</v>
      </c>
      <c r="M551" s="127">
        <v>0</v>
      </c>
      <c r="N551" s="79">
        <v>1</v>
      </c>
      <c r="O551" s="79">
        <v>0</v>
      </c>
      <c r="P551" s="107"/>
      <c r="Q551" s="79">
        <v>100321</v>
      </c>
      <c r="R551" s="79"/>
    </row>
    <row r="552" spans="1:18" s="98" customFormat="1">
      <c r="A552" s="79">
        <v>120322</v>
      </c>
      <c r="B552" s="79">
        <f t="shared" si="41"/>
        <v>1203221</v>
      </c>
      <c r="C552" s="79" t="s">
        <v>431</v>
      </c>
      <c r="D552" s="79">
        <f t="shared" si="42"/>
        <v>1203222</v>
      </c>
      <c r="E552" s="79" t="s">
        <v>972</v>
      </c>
      <c r="F552" s="79">
        <v>12</v>
      </c>
      <c r="G552" s="79">
        <v>0</v>
      </c>
      <c r="H552" s="79" t="s">
        <v>433</v>
      </c>
      <c r="I552" s="79">
        <v>100322</v>
      </c>
      <c r="J552" s="79"/>
      <c r="K552" s="79">
        <v>6</v>
      </c>
      <c r="L552" s="79">
        <v>0</v>
      </c>
      <c r="M552" s="127">
        <v>0</v>
      </c>
      <c r="N552" s="79">
        <v>1</v>
      </c>
      <c r="O552" s="79">
        <v>0</v>
      </c>
      <c r="P552" s="107"/>
      <c r="Q552" s="79">
        <v>100322</v>
      </c>
      <c r="R552" s="79"/>
    </row>
    <row r="553" spans="1:18" s="98" customFormat="1">
      <c r="A553" s="79">
        <v>120323</v>
      </c>
      <c r="B553" s="79">
        <f t="shared" si="41"/>
        <v>1203231</v>
      </c>
      <c r="C553" s="79" t="s">
        <v>431</v>
      </c>
      <c r="D553" s="79">
        <f t="shared" si="42"/>
        <v>1203232</v>
      </c>
      <c r="E553" s="79" t="s">
        <v>973</v>
      </c>
      <c r="F553" s="79">
        <v>12</v>
      </c>
      <c r="G553" s="79">
        <v>0</v>
      </c>
      <c r="H553" s="79" t="s">
        <v>433</v>
      </c>
      <c r="I553" s="79">
        <v>100323</v>
      </c>
      <c r="J553" s="79"/>
      <c r="K553" s="79">
        <v>7</v>
      </c>
      <c r="L553" s="79">
        <v>0</v>
      </c>
      <c r="M553" s="127">
        <v>0</v>
      </c>
      <c r="N553" s="79">
        <v>1</v>
      </c>
      <c r="O553" s="79">
        <v>0</v>
      </c>
      <c r="P553" s="107"/>
      <c r="Q553" s="79">
        <v>100323</v>
      </c>
      <c r="R553" s="79"/>
    </row>
    <row r="554" spans="1:18" s="98" customFormat="1">
      <c r="A554" s="79">
        <v>120331</v>
      </c>
      <c r="B554" s="79">
        <f t="shared" si="41"/>
        <v>1203311</v>
      </c>
      <c r="C554" s="79" t="s">
        <v>436</v>
      </c>
      <c r="D554" s="79">
        <f t="shared" si="42"/>
        <v>1203312</v>
      </c>
      <c r="E554" s="79" t="s">
        <v>974</v>
      </c>
      <c r="F554" s="79">
        <v>12</v>
      </c>
      <c r="G554" s="79">
        <v>0</v>
      </c>
      <c r="H554" s="79" t="s">
        <v>438</v>
      </c>
      <c r="I554" s="79">
        <v>100331</v>
      </c>
      <c r="J554" s="79"/>
      <c r="K554" s="79">
        <v>5</v>
      </c>
      <c r="L554" s="79">
        <v>0</v>
      </c>
      <c r="M554" s="127">
        <v>0</v>
      </c>
      <c r="N554" s="79">
        <v>1</v>
      </c>
      <c r="O554" s="79">
        <v>0</v>
      </c>
      <c r="P554" s="107"/>
      <c r="Q554" s="79">
        <v>100331</v>
      </c>
      <c r="R554" s="79"/>
    </row>
    <row r="555" spans="1:18" s="98" customFormat="1">
      <c r="A555" s="79">
        <v>120332</v>
      </c>
      <c r="B555" s="79">
        <f t="shared" si="41"/>
        <v>1203321</v>
      </c>
      <c r="C555" s="79" t="s">
        <v>436</v>
      </c>
      <c r="D555" s="79">
        <f t="shared" si="42"/>
        <v>1203322</v>
      </c>
      <c r="E555" s="79" t="s">
        <v>975</v>
      </c>
      <c r="F555" s="79">
        <v>12</v>
      </c>
      <c r="G555" s="79">
        <v>0</v>
      </c>
      <c r="H555" s="79" t="s">
        <v>438</v>
      </c>
      <c r="I555" s="79">
        <v>100332</v>
      </c>
      <c r="J555" s="79"/>
      <c r="K555" s="79">
        <v>6</v>
      </c>
      <c r="L555" s="79">
        <v>0</v>
      </c>
      <c r="M555" s="127">
        <v>0</v>
      </c>
      <c r="N555" s="79">
        <v>1</v>
      </c>
      <c r="O555" s="79">
        <v>0</v>
      </c>
      <c r="P555" s="107"/>
      <c r="Q555" s="79">
        <v>100332</v>
      </c>
      <c r="R555" s="79"/>
    </row>
    <row r="556" spans="1:18" s="106" customFormat="1">
      <c r="A556" s="79">
        <v>120333</v>
      </c>
      <c r="B556" s="79">
        <f t="shared" si="41"/>
        <v>1203331</v>
      </c>
      <c r="C556" s="79" t="s">
        <v>436</v>
      </c>
      <c r="D556" s="79">
        <f t="shared" si="42"/>
        <v>1203332</v>
      </c>
      <c r="E556" s="79" t="s">
        <v>976</v>
      </c>
      <c r="F556" s="79">
        <v>12</v>
      </c>
      <c r="G556" s="79">
        <v>0</v>
      </c>
      <c r="H556" s="79" t="s">
        <v>438</v>
      </c>
      <c r="I556" s="79">
        <v>100333</v>
      </c>
      <c r="J556" s="79"/>
      <c r="K556" s="79">
        <v>7</v>
      </c>
      <c r="L556" s="79">
        <v>0</v>
      </c>
      <c r="M556" s="127">
        <v>0</v>
      </c>
      <c r="N556" s="79">
        <v>1</v>
      </c>
      <c r="O556" s="79">
        <v>0</v>
      </c>
      <c r="P556" s="107"/>
      <c r="Q556" s="79">
        <v>100333</v>
      </c>
      <c r="R556" s="79"/>
    </row>
    <row r="557" spans="1:18" s="79" customFormat="1">
      <c r="A557" s="79">
        <v>120334</v>
      </c>
      <c r="B557" s="79">
        <f t="shared" si="41"/>
        <v>1203341</v>
      </c>
      <c r="C557" s="79" t="s">
        <v>436</v>
      </c>
      <c r="D557" s="79">
        <f t="shared" si="42"/>
        <v>1203342</v>
      </c>
      <c r="E557" s="79" t="s">
        <v>977</v>
      </c>
      <c r="F557" s="79">
        <v>12</v>
      </c>
      <c r="G557" s="79">
        <v>0</v>
      </c>
      <c r="H557" s="79" t="s">
        <v>438</v>
      </c>
      <c r="I557" s="79">
        <v>100333</v>
      </c>
      <c r="K557" s="79">
        <v>8</v>
      </c>
      <c r="L557" s="79">
        <v>0</v>
      </c>
      <c r="M557" s="127">
        <v>0</v>
      </c>
      <c r="N557" s="79">
        <v>1</v>
      </c>
      <c r="O557" s="79">
        <v>0</v>
      </c>
      <c r="P557" s="107"/>
      <c r="Q557" s="79">
        <v>100333</v>
      </c>
    </row>
    <row r="558" spans="1:18" s="79" customFormat="1">
      <c r="A558" s="79">
        <v>120341</v>
      </c>
      <c r="B558" s="79">
        <f t="shared" si="41"/>
        <v>1203411</v>
      </c>
      <c r="C558" s="79" t="s">
        <v>442</v>
      </c>
      <c r="D558" s="79">
        <f t="shared" si="42"/>
        <v>1203412</v>
      </c>
      <c r="E558" s="79" t="s">
        <v>978</v>
      </c>
      <c r="F558" s="79">
        <v>12</v>
      </c>
      <c r="G558" s="79">
        <v>0</v>
      </c>
      <c r="H558" s="79" t="s">
        <v>444</v>
      </c>
      <c r="I558" s="79">
        <v>100341</v>
      </c>
      <c r="K558" s="79">
        <v>5</v>
      </c>
      <c r="M558" s="127"/>
      <c r="N558" s="79">
        <v>1</v>
      </c>
      <c r="P558" s="107"/>
      <c r="Q558" s="79">
        <v>100341</v>
      </c>
    </row>
    <row r="559" spans="1:18" s="79" customFormat="1">
      <c r="A559" s="79">
        <v>120342</v>
      </c>
      <c r="B559" s="79">
        <f t="shared" si="41"/>
        <v>1203421</v>
      </c>
      <c r="C559" s="79" t="s">
        <v>442</v>
      </c>
      <c r="D559" s="79">
        <f t="shared" si="42"/>
        <v>1203422</v>
      </c>
      <c r="E559" s="79" t="s">
        <v>979</v>
      </c>
      <c r="F559" s="79">
        <v>12</v>
      </c>
      <c r="G559" s="79">
        <v>0</v>
      </c>
      <c r="H559" s="79" t="s">
        <v>444</v>
      </c>
      <c r="I559" s="79">
        <v>100342</v>
      </c>
      <c r="K559" s="79">
        <v>6</v>
      </c>
      <c r="M559" s="127"/>
      <c r="N559" s="79">
        <v>1</v>
      </c>
      <c r="P559" s="107"/>
      <c r="Q559" s="79">
        <v>100342</v>
      </c>
    </row>
    <row r="560" spans="1:18" s="79" customFormat="1">
      <c r="A560" s="79">
        <v>120343</v>
      </c>
      <c r="B560" s="79">
        <f t="shared" ref="B560:B623" si="43">A560*10+1</f>
        <v>1203431</v>
      </c>
      <c r="C560" s="79" t="s">
        <v>442</v>
      </c>
      <c r="D560" s="79">
        <f t="shared" ref="D560:D623" si="44">A560*10+2</f>
        <v>1203432</v>
      </c>
      <c r="E560" s="79" t="s">
        <v>980</v>
      </c>
      <c r="F560" s="79">
        <v>12</v>
      </c>
      <c r="G560" s="79">
        <v>0</v>
      </c>
      <c r="H560" s="79" t="s">
        <v>444</v>
      </c>
      <c r="I560" s="79">
        <v>100343</v>
      </c>
      <c r="K560" s="79">
        <v>7</v>
      </c>
      <c r="M560" s="127"/>
      <c r="N560" s="79">
        <v>1</v>
      </c>
      <c r="P560" s="107"/>
      <c r="Q560" s="79">
        <v>100343</v>
      </c>
      <c r="R560" s="107"/>
    </row>
    <row r="561" spans="1:17" s="79" customFormat="1">
      <c r="A561" s="79">
        <v>120351</v>
      </c>
      <c r="B561" s="79">
        <f t="shared" si="43"/>
        <v>1203511</v>
      </c>
      <c r="C561" s="79" t="s">
        <v>447</v>
      </c>
      <c r="D561" s="79">
        <f t="shared" si="44"/>
        <v>1203512</v>
      </c>
      <c r="E561" s="79" t="s">
        <v>981</v>
      </c>
      <c r="F561" s="79">
        <v>12</v>
      </c>
      <c r="G561" s="79">
        <v>0</v>
      </c>
      <c r="H561" s="79" t="s">
        <v>449</v>
      </c>
      <c r="I561" s="79">
        <v>100351</v>
      </c>
      <c r="K561" s="79">
        <v>5</v>
      </c>
      <c r="L561" s="79">
        <v>0</v>
      </c>
      <c r="M561" s="127">
        <v>0</v>
      </c>
      <c r="N561" s="79">
        <v>1</v>
      </c>
      <c r="O561" s="79">
        <v>0</v>
      </c>
      <c r="P561" s="107"/>
      <c r="Q561" s="79">
        <v>100351</v>
      </c>
    </row>
    <row r="562" spans="1:17" s="79" customFormat="1">
      <c r="A562" s="79">
        <v>120352</v>
      </c>
      <c r="B562" s="79">
        <f t="shared" si="43"/>
        <v>1203521</v>
      </c>
      <c r="C562" s="79" t="s">
        <v>447</v>
      </c>
      <c r="D562" s="79">
        <f t="shared" si="44"/>
        <v>1203522</v>
      </c>
      <c r="E562" s="79" t="s">
        <v>982</v>
      </c>
      <c r="F562" s="79">
        <v>12</v>
      </c>
      <c r="G562" s="79">
        <v>0</v>
      </c>
      <c r="H562" s="79" t="s">
        <v>449</v>
      </c>
      <c r="I562" s="79">
        <v>100352</v>
      </c>
      <c r="K562" s="79">
        <v>6</v>
      </c>
      <c r="L562" s="79">
        <v>0</v>
      </c>
      <c r="M562" s="127">
        <v>0</v>
      </c>
      <c r="N562" s="79">
        <v>1</v>
      </c>
      <c r="O562" s="79">
        <v>0</v>
      </c>
      <c r="P562" s="107"/>
      <c r="Q562" s="79">
        <v>100352</v>
      </c>
    </row>
    <row r="563" spans="1:17" s="79" customFormat="1">
      <c r="A563" s="79">
        <v>120353</v>
      </c>
      <c r="B563" s="79">
        <f t="shared" si="43"/>
        <v>1203531</v>
      </c>
      <c r="C563" s="79" t="s">
        <v>447</v>
      </c>
      <c r="D563" s="79">
        <f t="shared" si="44"/>
        <v>1203532</v>
      </c>
      <c r="E563" s="79" t="s">
        <v>983</v>
      </c>
      <c r="F563" s="79">
        <v>12</v>
      </c>
      <c r="G563" s="79">
        <v>0</v>
      </c>
      <c r="H563" s="79" t="s">
        <v>449</v>
      </c>
      <c r="I563" s="79">
        <v>100353</v>
      </c>
      <c r="K563" s="79">
        <v>7</v>
      </c>
      <c r="L563" s="79">
        <v>0</v>
      </c>
      <c r="M563" s="127">
        <v>0</v>
      </c>
      <c r="N563" s="79">
        <v>1</v>
      </c>
      <c r="O563" s="79">
        <v>0</v>
      </c>
      <c r="P563" s="107"/>
      <c r="Q563" s="79">
        <v>100353</v>
      </c>
    </row>
    <row r="564" spans="1:17" s="79" customFormat="1">
      <c r="A564" s="79">
        <v>120361</v>
      </c>
      <c r="B564" s="79">
        <f t="shared" si="43"/>
        <v>1203611</v>
      </c>
      <c r="C564" s="79" t="s">
        <v>454</v>
      </c>
      <c r="D564" s="79">
        <f t="shared" si="44"/>
        <v>1203612</v>
      </c>
      <c r="E564" s="79" t="s">
        <v>984</v>
      </c>
      <c r="F564" s="79">
        <v>12</v>
      </c>
      <c r="G564" s="79">
        <v>0</v>
      </c>
      <c r="H564" s="79" t="s">
        <v>456</v>
      </c>
      <c r="I564" s="79">
        <v>100361</v>
      </c>
      <c r="K564" s="79">
        <v>5</v>
      </c>
      <c r="L564" s="79">
        <v>0</v>
      </c>
      <c r="M564" s="127">
        <v>0</v>
      </c>
      <c r="N564" s="79">
        <v>1</v>
      </c>
      <c r="O564" s="79">
        <v>0</v>
      </c>
      <c r="P564" s="107"/>
      <c r="Q564" s="79">
        <v>100361</v>
      </c>
    </row>
    <row r="565" spans="1:17" s="79" customFormat="1">
      <c r="A565" s="79">
        <v>120362</v>
      </c>
      <c r="B565" s="79">
        <f t="shared" si="43"/>
        <v>1203621</v>
      </c>
      <c r="C565" s="79" t="s">
        <v>454</v>
      </c>
      <c r="D565" s="79">
        <f t="shared" si="44"/>
        <v>1203622</v>
      </c>
      <c r="E565" s="79" t="s">
        <v>985</v>
      </c>
      <c r="F565" s="79">
        <v>12</v>
      </c>
      <c r="G565" s="79">
        <v>0</v>
      </c>
      <c r="H565" s="79" t="s">
        <v>456</v>
      </c>
      <c r="I565" s="79">
        <v>100362</v>
      </c>
      <c r="K565" s="79">
        <v>6</v>
      </c>
      <c r="L565" s="79">
        <v>0</v>
      </c>
      <c r="M565" s="127">
        <v>0</v>
      </c>
      <c r="N565" s="79">
        <v>1</v>
      </c>
      <c r="O565" s="79">
        <v>0</v>
      </c>
      <c r="P565" s="107"/>
      <c r="Q565" s="79">
        <v>100362</v>
      </c>
    </row>
    <row r="566" spans="1:17" s="79" customFormat="1">
      <c r="A566" s="79">
        <v>120363</v>
      </c>
      <c r="B566" s="79">
        <f t="shared" si="43"/>
        <v>1203631</v>
      </c>
      <c r="C566" s="79" t="s">
        <v>454</v>
      </c>
      <c r="D566" s="79">
        <f t="shared" si="44"/>
        <v>1203632</v>
      </c>
      <c r="E566" s="79" t="s">
        <v>986</v>
      </c>
      <c r="F566" s="79">
        <v>12</v>
      </c>
      <c r="G566" s="79">
        <v>0</v>
      </c>
      <c r="H566" s="79" t="s">
        <v>456</v>
      </c>
      <c r="I566" s="79">
        <v>100363</v>
      </c>
      <c r="K566" s="79">
        <v>7</v>
      </c>
      <c r="L566" s="79">
        <v>0</v>
      </c>
      <c r="M566" s="127">
        <v>0</v>
      </c>
      <c r="N566" s="79">
        <v>1</v>
      </c>
      <c r="O566" s="79">
        <v>0</v>
      </c>
      <c r="P566" s="107"/>
      <c r="Q566" s="79">
        <v>100363</v>
      </c>
    </row>
    <row r="567" spans="1:17" s="79" customFormat="1">
      <c r="A567" s="79">
        <v>120371</v>
      </c>
      <c r="B567" s="79">
        <f t="shared" si="43"/>
        <v>1203711</v>
      </c>
      <c r="C567" s="79" t="s">
        <v>459</v>
      </c>
      <c r="D567" s="79">
        <f t="shared" si="44"/>
        <v>1203712</v>
      </c>
      <c r="E567" s="79" t="s">
        <v>987</v>
      </c>
      <c r="F567" s="79">
        <v>12</v>
      </c>
      <c r="G567" s="79">
        <v>0</v>
      </c>
      <c r="H567" s="79" t="s">
        <v>461</v>
      </c>
      <c r="I567" s="79">
        <v>100371</v>
      </c>
      <c r="K567" s="79">
        <v>5</v>
      </c>
      <c r="L567" s="79">
        <v>0</v>
      </c>
      <c r="M567" s="127">
        <v>0</v>
      </c>
      <c r="N567" s="79">
        <v>1</v>
      </c>
      <c r="O567" s="79">
        <v>0</v>
      </c>
      <c r="P567" s="107"/>
      <c r="Q567" s="79">
        <v>100371</v>
      </c>
    </row>
    <row r="568" spans="1:17" s="79" customFormat="1">
      <c r="A568" s="79">
        <v>120372</v>
      </c>
      <c r="B568" s="79">
        <f t="shared" si="43"/>
        <v>1203721</v>
      </c>
      <c r="C568" s="79" t="s">
        <v>459</v>
      </c>
      <c r="D568" s="79">
        <f t="shared" si="44"/>
        <v>1203722</v>
      </c>
      <c r="E568" s="79" t="s">
        <v>988</v>
      </c>
      <c r="F568" s="79">
        <v>12</v>
      </c>
      <c r="G568" s="79">
        <v>0</v>
      </c>
      <c r="H568" s="79" t="s">
        <v>461</v>
      </c>
      <c r="I568" s="79">
        <v>100372</v>
      </c>
      <c r="K568" s="79">
        <v>6</v>
      </c>
      <c r="L568" s="79">
        <v>0</v>
      </c>
      <c r="M568" s="127">
        <v>0</v>
      </c>
      <c r="N568" s="79">
        <v>1</v>
      </c>
      <c r="O568" s="79">
        <v>0</v>
      </c>
      <c r="P568" s="107"/>
      <c r="Q568" s="79">
        <v>100372</v>
      </c>
    </row>
    <row r="569" spans="1:17" s="79" customFormat="1">
      <c r="A569" s="79">
        <v>120373</v>
      </c>
      <c r="B569" s="79">
        <f t="shared" si="43"/>
        <v>1203731</v>
      </c>
      <c r="C569" s="79" t="s">
        <v>459</v>
      </c>
      <c r="D569" s="79">
        <f t="shared" si="44"/>
        <v>1203732</v>
      </c>
      <c r="E569" s="79" t="s">
        <v>989</v>
      </c>
      <c r="F569" s="79">
        <v>12</v>
      </c>
      <c r="G569" s="79">
        <v>0</v>
      </c>
      <c r="H569" s="79" t="s">
        <v>461</v>
      </c>
      <c r="I569" s="79">
        <v>100373</v>
      </c>
      <c r="K569" s="79">
        <v>7</v>
      </c>
      <c r="L569" s="79">
        <v>0</v>
      </c>
      <c r="M569" s="127">
        <v>0</v>
      </c>
      <c r="N569" s="79">
        <v>1</v>
      </c>
      <c r="O569" s="79">
        <v>0</v>
      </c>
      <c r="P569" s="107"/>
      <c r="Q569" s="79">
        <v>100373</v>
      </c>
    </row>
    <row r="570" spans="1:17" s="79" customFormat="1">
      <c r="A570" s="79">
        <v>120381</v>
      </c>
      <c r="B570" s="79">
        <f t="shared" si="43"/>
        <v>1203811</v>
      </c>
      <c r="C570" s="79" t="s">
        <v>464</v>
      </c>
      <c r="D570" s="79">
        <f t="shared" si="44"/>
        <v>1203812</v>
      </c>
      <c r="E570" s="79" t="s">
        <v>990</v>
      </c>
      <c r="F570" s="79">
        <v>12</v>
      </c>
      <c r="G570" s="79">
        <v>0</v>
      </c>
      <c r="H570" s="79" t="s">
        <v>466</v>
      </c>
      <c r="I570" s="79">
        <v>100381</v>
      </c>
      <c r="K570" s="79">
        <v>4</v>
      </c>
      <c r="L570" s="79">
        <v>0</v>
      </c>
      <c r="M570" s="127">
        <v>0</v>
      </c>
      <c r="N570" s="79">
        <v>1</v>
      </c>
      <c r="O570" s="79">
        <v>0</v>
      </c>
      <c r="P570" s="107"/>
      <c r="Q570" s="79">
        <v>100381</v>
      </c>
    </row>
    <row r="571" spans="1:17" s="79" customFormat="1">
      <c r="A571" s="79">
        <v>120382</v>
      </c>
      <c r="B571" s="79">
        <f t="shared" si="43"/>
        <v>1203821</v>
      </c>
      <c r="C571" s="79" t="s">
        <v>464</v>
      </c>
      <c r="D571" s="79">
        <f t="shared" si="44"/>
        <v>1203822</v>
      </c>
      <c r="E571" s="79" t="s">
        <v>991</v>
      </c>
      <c r="F571" s="79">
        <v>12</v>
      </c>
      <c r="G571" s="79">
        <v>0</v>
      </c>
      <c r="H571" s="79" t="s">
        <v>466</v>
      </c>
      <c r="I571" s="79">
        <v>100382</v>
      </c>
      <c r="K571" s="79">
        <v>5</v>
      </c>
      <c r="L571" s="79">
        <v>0</v>
      </c>
      <c r="M571" s="127">
        <v>0</v>
      </c>
      <c r="N571" s="79">
        <v>1</v>
      </c>
      <c r="O571" s="79">
        <v>0</v>
      </c>
      <c r="P571" s="107"/>
      <c r="Q571" s="79">
        <v>100382</v>
      </c>
    </row>
    <row r="572" spans="1:17" s="79" customFormat="1">
      <c r="A572" s="79">
        <v>120391</v>
      </c>
      <c r="B572" s="79">
        <f t="shared" si="43"/>
        <v>1203911</v>
      </c>
      <c r="C572" s="79" t="s">
        <v>468</v>
      </c>
      <c r="D572" s="79">
        <f t="shared" si="44"/>
        <v>1203912</v>
      </c>
      <c r="E572" s="79" t="s">
        <v>992</v>
      </c>
      <c r="F572" s="79">
        <v>12</v>
      </c>
      <c r="G572" s="79">
        <v>0</v>
      </c>
      <c r="H572" s="79" t="s">
        <v>470</v>
      </c>
      <c r="I572" s="79">
        <v>100391</v>
      </c>
      <c r="K572" s="79">
        <v>5</v>
      </c>
      <c r="L572" s="79">
        <v>0</v>
      </c>
      <c r="M572" s="127">
        <v>0</v>
      </c>
      <c r="N572" s="79">
        <v>1</v>
      </c>
      <c r="O572" s="79">
        <v>0</v>
      </c>
      <c r="P572" s="107"/>
      <c r="Q572" s="79">
        <v>100391</v>
      </c>
    </row>
    <row r="573" spans="1:17" s="79" customFormat="1">
      <c r="A573" s="79">
        <v>120392</v>
      </c>
      <c r="B573" s="79">
        <f t="shared" si="43"/>
        <v>1203921</v>
      </c>
      <c r="C573" s="79" t="s">
        <v>468</v>
      </c>
      <c r="D573" s="79">
        <f t="shared" si="44"/>
        <v>1203922</v>
      </c>
      <c r="E573" s="79" t="s">
        <v>993</v>
      </c>
      <c r="F573" s="79">
        <v>12</v>
      </c>
      <c r="G573" s="79">
        <v>0</v>
      </c>
      <c r="H573" s="79" t="s">
        <v>470</v>
      </c>
      <c r="I573" s="79">
        <v>100392</v>
      </c>
      <c r="K573" s="79">
        <v>6</v>
      </c>
      <c r="L573" s="79">
        <v>0</v>
      </c>
      <c r="M573" s="127">
        <v>0</v>
      </c>
      <c r="N573" s="79">
        <v>1</v>
      </c>
      <c r="O573" s="79">
        <v>0</v>
      </c>
      <c r="P573" s="107"/>
      <c r="Q573" s="79">
        <v>100392</v>
      </c>
    </row>
    <row r="574" spans="1:17" s="79" customFormat="1">
      <c r="A574" s="79">
        <v>120393</v>
      </c>
      <c r="B574" s="79">
        <f t="shared" si="43"/>
        <v>1203931</v>
      </c>
      <c r="C574" s="79" t="s">
        <v>468</v>
      </c>
      <c r="D574" s="79">
        <f t="shared" si="44"/>
        <v>1203932</v>
      </c>
      <c r="E574" s="79" t="s">
        <v>994</v>
      </c>
      <c r="F574" s="79">
        <v>12</v>
      </c>
      <c r="G574" s="79">
        <v>0</v>
      </c>
      <c r="H574" s="79" t="s">
        <v>470</v>
      </c>
      <c r="I574" s="79">
        <v>100393</v>
      </c>
      <c r="K574" s="79">
        <v>7</v>
      </c>
      <c r="L574" s="79">
        <v>0</v>
      </c>
      <c r="M574" s="127">
        <v>0</v>
      </c>
      <c r="N574" s="79">
        <v>1</v>
      </c>
      <c r="O574" s="79">
        <v>0</v>
      </c>
      <c r="P574" s="107"/>
      <c r="Q574" s="79">
        <v>100393</v>
      </c>
    </row>
    <row r="575" spans="1:17" s="79" customFormat="1">
      <c r="A575" s="79">
        <v>120401</v>
      </c>
      <c r="B575" s="79">
        <f t="shared" si="43"/>
        <v>1204011</v>
      </c>
      <c r="C575" s="79" t="s">
        <v>473</v>
      </c>
      <c r="D575" s="79">
        <f t="shared" si="44"/>
        <v>1204012</v>
      </c>
      <c r="E575" s="79" t="s">
        <v>995</v>
      </c>
      <c r="F575" s="79">
        <v>12</v>
      </c>
      <c r="G575" s="79">
        <v>0</v>
      </c>
      <c r="H575" s="79" t="s">
        <v>475</v>
      </c>
      <c r="I575" s="79">
        <v>100401</v>
      </c>
      <c r="K575" s="79">
        <v>5</v>
      </c>
      <c r="L575" s="79">
        <v>0</v>
      </c>
      <c r="M575" s="127" t="s">
        <v>86</v>
      </c>
      <c r="N575" s="79">
        <v>1</v>
      </c>
      <c r="O575" s="79">
        <v>0</v>
      </c>
      <c r="P575" s="107"/>
      <c r="Q575" s="79">
        <v>100401</v>
      </c>
    </row>
    <row r="576" spans="1:17" s="79" customFormat="1">
      <c r="A576" s="79">
        <v>120402</v>
      </c>
      <c r="B576" s="79">
        <f t="shared" si="43"/>
        <v>1204021</v>
      </c>
      <c r="C576" s="79" t="s">
        <v>473</v>
      </c>
      <c r="D576" s="79">
        <f t="shared" si="44"/>
        <v>1204022</v>
      </c>
      <c r="E576" s="79" t="s">
        <v>996</v>
      </c>
      <c r="F576" s="79">
        <v>12</v>
      </c>
      <c r="G576" s="79">
        <v>0</v>
      </c>
      <c r="H576" s="79" t="s">
        <v>475</v>
      </c>
      <c r="I576" s="79">
        <v>100401</v>
      </c>
      <c r="K576" s="79">
        <v>6</v>
      </c>
      <c r="L576" s="79">
        <v>0</v>
      </c>
      <c r="M576" s="127" t="s">
        <v>86</v>
      </c>
      <c r="N576" s="79">
        <v>1</v>
      </c>
      <c r="O576" s="79">
        <v>0</v>
      </c>
      <c r="P576" s="107"/>
      <c r="Q576" s="79">
        <v>100401</v>
      </c>
    </row>
    <row r="577" spans="1:25" s="79" customFormat="1">
      <c r="A577" s="79">
        <v>120403</v>
      </c>
      <c r="B577" s="79">
        <f t="shared" si="43"/>
        <v>1204031</v>
      </c>
      <c r="C577" s="79" t="s">
        <v>473</v>
      </c>
      <c r="D577" s="79">
        <f t="shared" si="44"/>
        <v>1204032</v>
      </c>
      <c r="E577" s="79" t="s">
        <v>997</v>
      </c>
      <c r="F577" s="79">
        <v>12</v>
      </c>
      <c r="G577" s="79">
        <v>0</v>
      </c>
      <c r="H577" s="79" t="s">
        <v>475</v>
      </c>
      <c r="I577" s="79">
        <v>100401</v>
      </c>
      <c r="K577" s="79">
        <v>7</v>
      </c>
      <c r="L577" s="79">
        <v>0</v>
      </c>
      <c r="M577" s="127" t="s">
        <v>86</v>
      </c>
      <c r="N577" s="79">
        <v>1</v>
      </c>
      <c r="O577" s="79">
        <v>0</v>
      </c>
      <c r="P577" s="107"/>
      <c r="Q577" s="79">
        <v>100401</v>
      </c>
    </row>
    <row r="578" spans="1:25" s="79" customFormat="1">
      <c r="A578" s="79">
        <v>120411</v>
      </c>
      <c r="B578" s="79">
        <f t="shared" si="43"/>
        <v>1204111</v>
      </c>
      <c r="C578" s="79" t="s">
        <v>478</v>
      </c>
      <c r="D578" s="79">
        <f t="shared" si="44"/>
        <v>1204112</v>
      </c>
      <c r="E578" s="79" t="s">
        <v>998</v>
      </c>
      <c r="F578" s="79">
        <v>12</v>
      </c>
      <c r="G578" s="79">
        <v>0</v>
      </c>
      <c r="H578" s="79" t="s">
        <v>480</v>
      </c>
      <c r="I578" s="79">
        <v>100411</v>
      </c>
      <c r="K578" s="79">
        <v>5</v>
      </c>
      <c r="L578" s="79">
        <v>0</v>
      </c>
      <c r="M578" s="127" t="s">
        <v>86</v>
      </c>
      <c r="N578" s="79">
        <v>1</v>
      </c>
      <c r="O578" s="79">
        <v>0</v>
      </c>
      <c r="P578" s="107"/>
      <c r="Q578" s="79">
        <v>100411</v>
      </c>
    </row>
    <row r="579" spans="1:25" s="79" customFormat="1">
      <c r="A579" s="79">
        <v>120412</v>
      </c>
      <c r="B579" s="79">
        <f t="shared" si="43"/>
        <v>1204121</v>
      </c>
      <c r="C579" s="79" t="s">
        <v>478</v>
      </c>
      <c r="D579" s="79">
        <f t="shared" si="44"/>
        <v>1204122</v>
      </c>
      <c r="E579" s="79" t="s">
        <v>999</v>
      </c>
      <c r="F579" s="79">
        <v>12</v>
      </c>
      <c r="G579" s="79">
        <v>0</v>
      </c>
      <c r="H579" s="79" t="s">
        <v>480</v>
      </c>
      <c r="I579" s="79">
        <v>100411</v>
      </c>
      <c r="K579" s="79">
        <v>6</v>
      </c>
      <c r="L579" s="79">
        <v>0</v>
      </c>
      <c r="M579" s="127" t="s">
        <v>86</v>
      </c>
      <c r="N579" s="79">
        <v>1</v>
      </c>
      <c r="O579" s="79">
        <v>0</v>
      </c>
      <c r="P579" s="107"/>
      <c r="Q579" s="79">
        <v>100411</v>
      </c>
    </row>
    <row r="580" spans="1:25" s="79" customFormat="1">
      <c r="A580" s="79">
        <v>120413</v>
      </c>
      <c r="B580" s="79">
        <f t="shared" si="43"/>
        <v>1204131</v>
      </c>
      <c r="C580" s="79" t="s">
        <v>478</v>
      </c>
      <c r="D580" s="79">
        <f t="shared" si="44"/>
        <v>1204132</v>
      </c>
      <c r="E580" s="79" t="s">
        <v>1000</v>
      </c>
      <c r="F580" s="79">
        <v>12</v>
      </c>
      <c r="G580" s="79">
        <v>0</v>
      </c>
      <c r="H580" s="79" t="s">
        <v>480</v>
      </c>
      <c r="I580" s="79">
        <v>100411</v>
      </c>
      <c r="K580" s="79">
        <v>7</v>
      </c>
      <c r="L580" s="79">
        <v>0</v>
      </c>
      <c r="M580" s="127" t="s">
        <v>86</v>
      </c>
      <c r="N580" s="79">
        <v>1</v>
      </c>
      <c r="O580" s="79">
        <v>0</v>
      </c>
      <c r="P580" s="107"/>
      <c r="Q580" s="79">
        <v>100411</v>
      </c>
    </row>
    <row r="581" spans="1:25" s="79" customFormat="1">
      <c r="A581" s="79">
        <v>120421</v>
      </c>
      <c r="B581" s="79">
        <f t="shared" si="43"/>
        <v>1204211</v>
      </c>
      <c r="C581" s="79" t="s">
        <v>484</v>
      </c>
      <c r="D581" s="79">
        <f t="shared" si="44"/>
        <v>1204212</v>
      </c>
      <c r="E581" s="79" t="s">
        <v>1001</v>
      </c>
      <c r="F581" s="79">
        <v>12</v>
      </c>
      <c r="G581" s="79">
        <v>0</v>
      </c>
      <c r="H581" s="79" t="s">
        <v>486</v>
      </c>
      <c r="I581" s="79">
        <v>100421</v>
      </c>
      <c r="K581" s="79">
        <v>5</v>
      </c>
      <c r="L581" s="79">
        <v>0</v>
      </c>
      <c r="M581" s="127" t="s">
        <v>86</v>
      </c>
      <c r="N581" s="79">
        <v>1</v>
      </c>
      <c r="O581" s="79">
        <v>0</v>
      </c>
      <c r="P581" s="107"/>
      <c r="Q581" s="79">
        <v>100421</v>
      </c>
    </row>
    <row r="582" spans="1:25" s="79" customFormat="1">
      <c r="A582" s="79">
        <v>120422</v>
      </c>
      <c r="B582" s="79">
        <f t="shared" si="43"/>
        <v>1204221</v>
      </c>
      <c r="C582" s="79" t="s">
        <v>484</v>
      </c>
      <c r="D582" s="79">
        <f t="shared" si="44"/>
        <v>1204222</v>
      </c>
      <c r="E582" s="79" t="s">
        <v>1002</v>
      </c>
      <c r="F582" s="79">
        <v>12</v>
      </c>
      <c r="G582" s="79">
        <v>0</v>
      </c>
      <c r="H582" s="79" t="s">
        <v>486</v>
      </c>
      <c r="I582" s="79">
        <v>100421</v>
      </c>
      <c r="K582" s="79">
        <v>6</v>
      </c>
      <c r="L582" s="79">
        <v>0</v>
      </c>
      <c r="M582" s="127" t="s">
        <v>86</v>
      </c>
      <c r="N582" s="79">
        <v>1</v>
      </c>
      <c r="O582" s="79">
        <v>0</v>
      </c>
      <c r="P582" s="107"/>
      <c r="Q582" s="79">
        <v>100421</v>
      </c>
    </row>
    <row r="583" spans="1:25" s="79" customFormat="1">
      <c r="A583" s="79">
        <v>120423</v>
      </c>
      <c r="B583" s="79">
        <f t="shared" si="43"/>
        <v>1204231</v>
      </c>
      <c r="C583" s="79" t="s">
        <v>484</v>
      </c>
      <c r="D583" s="79">
        <f t="shared" si="44"/>
        <v>1204232</v>
      </c>
      <c r="E583" s="79" t="s">
        <v>1003</v>
      </c>
      <c r="F583" s="79">
        <v>12</v>
      </c>
      <c r="G583" s="79">
        <v>0</v>
      </c>
      <c r="H583" s="79" t="s">
        <v>486</v>
      </c>
      <c r="I583" s="79">
        <v>100421</v>
      </c>
      <c r="K583" s="79">
        <v>7</v>
      </c>
      <c r="L583" s="79">
        <v>0</v>
      </c>
      <c r="M583" s="127" t="s">
        <v>86</v>
      </c>
      <c r="N583" s="79">
        <v>1</v>
      </c>
      <c r="O583" s="79">
        <v>0</v>
      </c>
      <c r="P583" s="107"/>
      <c r="Q583" s="79">
        <v>100421</v>
      </c>
    </row>
    <row r="584" spans="1:25" s="79" customFormat="1">
      <c r="A584" s="79">
        <v>120431</v>
      </c>
      <c r="B584" s="79">
        <f t="shared" si="43"/>
        <v>1204311</v>
      </c>
      <c r="C584" s="79" t="s">
        <v>489</v>
      </c>
      <c r="D584" s="79">
        <f t="shared" si="44"/>
        <v>1204312</v>
      </c>
      <c r="E584" s="79" t="s">
        <v>1004</v>
      </c>
      <c r="F584" s="79">
        <v>12</v>
      </c>
      <c r="G584" s="79">
        <v>0</v>
      </c>
      <c r="H584" s="79" t="s">
        <v>491</v>
      </c>
      <c r="I584" s="79">
        <v>100431</v>
      </c>
      <c r="K584" s="79">
        <v>5</v>
      </c>
      <c r="L584" s="79">
        <v>0</v>
      </c>
      <c r="M584" s="127" t="s">
        <v>86</v>
      </c>
      <c r="N584" s="79">
        <v>1</v>
      </c>
      <c r="O584" s="79">
        <v>0</v>
      </c>
      <c r="P584" s="107"/>
      <c r="Q584" s="79">
        <v>100431</v>
      </c>
    </row>
    <row r="585" spans="1:25" s="79" customFormat="1">
      <c r="A585" s="79">
        <v>120432</v>
      </c>
      <c r="B585" s="79">
        <f t="shared" si="43"/>
        <v>1204321</v>
      </c>
      <c r="C585" s="79" t="s">
        <v>489</v>
      </c>
      <c r="D585" s="79">
        <f t="shared" si="44"/>
        <v>1204322</v>
      </c>
      <c r="E585" s="79" t="s">
        <v>1005</v>
      </c>
      <c r="F585" s="79">
        <v>12</v>
      </c>
      <c r="G585" s="79">
        <v>0</v>
      </c>
      <c r="H585" s="79" t="s">
        <v>491</v>
      </c>
      <c r="I585" s="79">
        <v>100431</v>
      </c>
      <c r="K585" s="79">
        <v>6</v>
      </c>
      <c r="L585" s="79">
        <v>0</v>
      </c>
      <c r="M585" s="127" t="s">
        <v>86</v>
      </c>
      <c r="N585" s="79">
        <v>1</v>
      </c>
      <c r="O585" s="79">
        <v>0</v>
      </c>
      <c r="P585" s="107"/>
      <c r="Q585" s="79">
        <v>100431</v>
      </c>
    </row>
    <row r="586" spans="1:25" s="79" customFormat="1">
      <c r="A586" s="79">
        <v>120433</v>
      </c>
      <c r="B586" s="79">
        <f t="shared" si="43"/>
        <v>1204331</v>
      </c>
      <c r="C586" s="79" t="s">
        <v>489</v>
      </c>
      <c r="D586" s="79">
        <f t="shared" si="44"/>
        <v>1204332</v>
      </c>
      <c r="E586" s="79" t="s">
        <v>1006</v>
      </c>
      <c r="F586" s="79">
        <v>12</v>
      </c>
      <c r="G586" s="79">
        <v>0</v>
      </c>
      <c r="H586" s="79" t="s">
        <v>491</v>
      </c>
      <c r="I586" s="79">
        <v>100431</v>
      </c>
      <c r="K586" s="79">
        <v>7</v>
      </c>
      <c r="L586" s="79">
        <v>0</v>
      </c>
      <c r="M586" s="127" t="s">
        <v>86</v>
      </c>
      <c r="N586" s="79">
        <v>1</v>
      </c>
      <c r="O586" s="79">
        <v>0</v>
      </c>
      <c r="P586" s="107"/>
      <c r="Q586" s="79">
        <v>100431</v>
      </c>
    </row>
    <row r="587" spans="1:25">
      <c r="A587" s="79">
        <v>120441</v>
      </c>
      <c r="B587" s="79">
        <f t="shared" si="43"/>
        <v>1204411</v>
      </c>
      <c r="C587" s="79" t="s">
        <v>495</v>
      </c>
      <c r="D587" s="79">
        <f t="shared" si="44"/>
        <v>1204412</v>
      </c>
      <c r="E587" s="79" t="s">
        <v>1007</v>
      </c>
      <c r="F587" s="79">
        <v>12</v>
      </c>
      <c r="G587" s="79">
        <v>0</v>
      </c>
      <c r="H587" s="79" t="s">
        <v>497</v>
      </c>
      <c r="I587" s="79">
        <v>100441</v>
      </c>
      <c r="J587" s="79"/>
      <c r="K587" s="79">
        <v>5</v>
      </c>
      <c r="L587" s="79">
        <v>0</v>
      </c>
      <c r="M587" s="127" t="s">
        <v>86</v>
      </c>
      <c r="N587" s="79">
        <v>1</v>
      </c>
      <c r="O587" s="79">
        <v>0</v>
      </c>
      <c r="P587" s="107"/>
      <c r="Q587" s="79">
        <v>100441</v>
      </c>
      <c r="R587" s="79"/>
    </row>
    <row r="588" spans="1:25">
      <c r="A588" s="79">
        <v>120442</v>
      </c>
      <c r="B588" s="79">
        <f t="shared" si="43"/>
        <v>1204421</v>
      </c>
      <c r="C588" s="79" t="s">
        <v>495</v>
      </c>
      <c r="D588" s="79">
        <f t="shared" si="44"/>
        <v>1204422</v>
      </c>
      <c r="E588" s="79" t="s">
        <v>1008</v>
      </c>
      <c r="F588" s="79">
        <v>12</v>
      </c>
      <c r="G588" s="79">
        <v>0</v>
      </c>
      <c r="H588" s="79" t="s">
        <v>497</v>
      </c>
      <c r="I588" s="79">
        <v>100441</v>
      </c>
      <c r="J588" s="79"/>
      <c r="K588" s="79">
        <v>6</v>
      </c>
      <c r="L588" s="79">
        <v>0</v>
      </c>
      <c r="M588" s="127" t="s">
        <v>86</v>
      </c>
      <c r="N588" s="79">
        <v>1</v>
      </c>
      <c r="O588" s="79">
        <v>0</v>
      </c>
      <c r="P588" s="107"/>
      <c r="Q588" s="79">
        <v>100441</v>
      </c>
      <c r="R588" s="79"/>
      <c r="S588" s="92"/>
      <c r="T588" s="92"/>
      <c r="U588" s="92"/>
      <c r="V588" s="92"/>
      <c r="W588" s="92"/>
      <c r="X588" s="92"/>
      <c r="Y588" s="92"/>
    </row>
    <row r="589" spans="1:25">
      <c r="A589" s="79">
        <v>120443</v>
      </c>
      <c r="B589" s="79">
        <f t="shared" si="43"/>
        <v>1204431</v>
      </c>
      <c r="C589" s="79" t="s">
        <v>495</v>
      </c>
      <c r="D589" s="79">
        <f t="shared" si="44"/>
        <v>1204432</v>
      </c>
      <c r="E589" s="79" t="s">
        <v>1009</v>
      </c>
      <c r="F589" s="79">
        <v>12</v>
      </c>
      <c r="G589" s="79">
        <v>0</v>
      </c>
      <c r="H589" s="79" t="s">
        <v>497</v>
      </c>
      <c r="I589" s="79">
        <v>100441</v>
      </c>
      <c r="J589" s="79"/>
      <c r="K589" s="79">
        <v>7</v>
      </c>
      <c r="L589" s="79">
        <v>0</v>
      </c>
      <c r="M589" s="127" t="s">
        <v>86</v>
      </c>
      <c r="N589" s="79">
        <v>1</v>
      </c>
      <c r="O589" s="79">
        <v>0</v>
      </c>
      <c r="P589" s="107"/>
      <c r="Q589" s="79">
        <v>100441</v>
      </c>
      <c r="R589" s="79"/>
      <c r="S589" s="92"/>
      <c r="T589" s="92"/>
      <c r="U589" s="92"/>
      <c r="V589" s="92"/>
      <c r="W589" s="92"/>
      <c r="X589" s="92"/>
      <c r="Y589" s="92"/>
    </row>
    <row r="590" spans="1:25">
      <c r="A590" s="79">
        <v>120451</v>
      </c>
      <c r="B590" s="79">
        <f t="shared" si="43"/>
        <v>1204511</v>
      </c>
      <c r="C590" s="79" t="s">
        <v>501</v>
      </c>
      <c r="D590" s="79">
        <f t="shared" si="44"/>
        <v>1204512</v>
      </c>
      <c r="E590" s="79" t="s">
        <v>1010</v>
      </c>
      <c r="F590" s="79">
        <v>12</v>
      </c>
      <c r="G590" s="79">
        <v>0</v>
      </c>
      <c r="H590" s="79" t="s">
        <v>503</v>
      </c>
      <c r="I590" s="79">
        <v>100451</v>
      </c>
      <c r="J590" s="79"/>
      <c r="K590" s="79">
        <v>5</v>
      </c>
      <c r="L590" s="79">
        <v>0</v>
      </c>
      <c r="M590" s="127" t="s">
        <v>86</v>
      </c>
      <c r="N590" s="79">
        <v>1</v>
      </c>
      <c r="O590" s="79">
        <v>0</v>
      </c>
      <c r="P590" s="107"/>
      <c r="Q590" s="79">
        <v>100451</v>
      </c>
      <c r="R590" s="92"/>
      <c r="S590" s="92"/>
      <c r="T590" s="92"/>
      <c r="U590" s="92"/>
      <c r="V590" s="92"/>
      <c r="W590" s="92"/>
      <c r="X590" s="92"/>
      <c r="Y590" s="92"/>
    </row>
    <row r="591" spans="1:25">
      <c r="A591" s="79">
        <v>120452</v>
      </c>
      <c r="B591" s="79">
        <f t="shared" si="43"/>
        <v>1204521</v>
      </c>
      <c r="C591" s="79" t="s">
        <v>501</v>
      </c>
      <c r="D591" s="79">
        <f t="shared" si="44"/>
        <v>1204522</v>
      </c>
      <c r="E591" s="79" t="s">
        <v>1011</v>
      </c>
      <c r="F591" s="79">
        <v>12</v>
      </c>
      <c r="G591" s="79">
        <v>0</v>
      </c>
      <c r="H591" s="79" t="s">
        <v>503</v>
      </c>
      <c r="I591" s="79">
        <v>100451</v>
      </c>
      <c r="J591" s="79"/>
      <c r="K591" s="79">
        <v>6</v>
      </c>
      <c r="L591" s="79">
        <v>0</v>
      </c>
      <c r="M591" s="127" t="s">
        <v>86</v>
      </c>
      <c r="N591" s="79">
        <v>1</v>
      </c>
      <c r="O591" s="79">
        <v>0</v>
      </c>
      <c r="P591" s="107"/>
      <c r="Q591" s="79">
        <v>100451</v>
      </c>
      <c r="R591" s="92"/>
    </row>
    <row r="592" spans="1:25">
      <c r="A592" s="79">
        <v>120453</v>
      </c>
      <c r="B592" s="79">
        <f t="shared" si="43"/>
        <v>1204531</v>
      </c>
      <c r="C592" s="79" t="s">
        <v>501</v>
      </c>
      <c r="D592" s="79">
        <f t="shared" si="44"/>
        <v>1204532</v>
      </c>
      <c r="E592" s="79" t="s">
        <v>1012</v>
      </c>
      <c r="F592" s="79">
        <v>12</v>
      </c>
      <c r="G592" s="79">
        <v>0</v>
      </c>
      <c r="H592" s="79" t="s">
        <v>503</v>
      </c>
      <c r="I592" s="79">
        <v>100451</v>
      </c>
      <c r="J592" s="79"/>
      <c r="K592" s="79">
        <v>7</v>
      </c>
      <c r="L592" s="79">
        <v>0</v>
      </c>
      <c r="M592" s="127" t="s">
        <v>86</v>
      </c>
      <c r="N592" s="79">
        <v>1</v>
      </c>
      <c r="O592" s="79">
        <v>0</v>
      </c>
      <c r="P592" s="107"/>
      <c r="Q592" s="79">
        <v>100451</v>
      </c>
      <c r="R592" s="92"/>
    </row>
    <row r="593" spans="1:18">
      <c r="A593" s="79">
        <v>120461</v>
      </c>
      <c r="B593" s="79">
        <f t="shared" si="43"/>
        <v>1204611</v>
      </c>
      <c r="C593" s="79" t="s">
        <v>506</v>
      </c>
      <c r="D593" s="79">
        <f t="shared" si="44"/>
        <v>1204612</v>
      </c>
      <c r="E593" s="79" t="s">
        <v>1013</v>
      </c>
      <c r="F593" s="79">
        <v>12</v>
      </c>
      <c r="G593" s="79">
        <v>0</v>
      </c>
      <c r="H593" s="79" t="s">
        <v>508</v>
      </c>
      <c r="I593" s="79">
        <v>100461</v>
      </c>
      <c r="J593" s="79"/>
      <c r="K593" s="79">
        <v>5</v>
      </c>
      <c r="L593" s="79">
        <v>0</v>
      </c>
      <c r="M593" s="127" t="s">
        <v>86</v>
      </c>
      <c r="N593" s="79">
        <v>1</v>
      </c>
      <c r="O593" s="79">
        <v>0</v>
      </c>
      <c r="P593" s="107"/>
      <c r="Q593" s="79">
        <v>100461</v>
      </c>
      <c r="R593" s="79"/>
    </row>
    <row r="594" spans="1:18">
      <c r="A594" s="79">
        <v>120462</v>
      </c>
      <c r="B594" s="79">
        <f t="shared" si="43"/>
        <v>1204621</v>
      </c>
      <c r="C594" s="79" t="s">
        <v>506</v>
      </c>
      <c r="D594" s="79">
        <f t="shared" si="44"/>
        <v>1204622</v>
      </c>
      <c r="E594" s="79" t="s">
        <v>1014</v>
      </c>
      <c r="F594" s="79">
        <v>12</v>
      </c>
      <c r="G594" s="79">
        <v>0</v>
      </c>
      <c r="H594" s="79" t="s">
        <v>508</v>
      </c>
      <c r="I594" s="79">
        <v>100462</v>
      </c>
      <c r="J594" s="79"/>
      <c r="K594" s="79">
        <v>6</v>
      </c>
      <c r="L594" s="79">
        <v>0</v>
      </c>
      <c r="M594" s="127" t="s">
        <v>86</v>
      </c>
      <c r="N594" s="79">
        <v>1</v>
      </c>
      <c r="O594" s="79">
        <v>0</v>
      </c>
      <c r="P594" s="107"/>
      <c r="Q594" s="79">
        <v>100462</v>
      </c>
      <c r="R594" s="79"/>
    </row>
    <row r="595" spans="1:18">
      <c r="A595" s="79">
        <v>120463</v>
      </c>
      <c r="B595" s="79">
        <f t="shared" si="43"/>
        <v>1204631</v>
      </c>
      <c r="C595" s="79" t="s">
        <v>506</v>
      </c>
      <c r="D595" s="79">
        <f t="shared" si="44"/>
        <v>1204632</v>
      </c>
      <c r="E595" s="79" t="s">
        <v>1015</v>
      </c>
      <c r="F595" s="79">
        <v>12</v>
      </c>
      <c r="G595" s="79">
        <v>0</v>
      </c>
      <c r="H595" s="79" t="s">
        <v>508</v>
      </c>
      <c r="I595" s="79">
        <v>100463</v>
      </c>
      <c r="J595" s="79"/>
      <c r="K595" s="79">
        <v>7</v>
      </c>
      <c r="L595" s="79">
        <v>0</v>
      </c>
      <c r="M595" s="127" t="s">
        <v>86</v>
      </c>
      <c r="N595" s="79">
        <v>1</v>
      </c>
      <c r="O595" s="79">
        <v>0</v>
      </c>
      <c r="P595" s="107"/>
      <c r="Q595" s="79">
        <v>100462</v>
      </c>
      <c r="R595" s="79"/>
    </row>
    <row r="596" spans="1:18">
      <c r="A596" s="79">
        <v>120811</v>
      </c>
      <c r="B596" s="79">
        <f t="shared" si="43"/>
        <v>1208111</v>
      </c>
      <c r="C596" s="92" t="s">
        <v>571</v>
      </c>
      <c r="D596" s="79">
        <f t="shared" si="44"/>
        <v>1208112</v>
      </c>
      <c r="E596" s="92" t="s">
        <v>1016</v>
      </c>
      <c r="F596" s="79">
        <v>12</v>
      </c>
      <c r="G596" s="79">
        <v>0</v>
      </c>
      <c r="H596" s="79" t="s">
        <v>573</v>
      </c>
      <c r="I596" s="78">
        <v>100812</v>
      </c>
      <c r="J596" s="79"/>
      <c r="K596" s="79">
        <v>5</v>
      </c>
      <c r="L596" s="79">
        <v>0</v>
      </c>
      <c r="M596" s="127">
        <v>0</v>
      </c>
      <c r="N596" s="79">
        <v>1</v>
      </c>
      <c r="O596" s="79">
        <v>0</v>
      </c>
      <c r="P596" s="107"/>
      <c r="Q596" s="78">
        <v>100812</v>
      </c>
      <c r="R596" s="79"/>
    </row>
    <row r="597" spans="1:18">
      <c r="A597" s="79">
        <v>120812</v>
      </c>
      <c r="B597" s="79">
        <f t="shared" si="43"/>
        <v>1208121</v>
      </c>
      <c r="C597" s="92" t="s">
        <v>571</v>
      </c>
      <c r="D597" s="79">
        <f t="shared" si="44"/>
        <v>1208122</v>
      </c>
      <c r="E597" s="92" t="s">
        <v>1017</v>
      </c>
      <c r="F597" s="79">
        <v>12</v>
      </c>
      <c r="G597" s="79">
        <v>0</v>
      </c>
      <c r="H597" s="79" t="s">
        <v>573</v>
      </c>
      <c r="I597" s="78">
        <v>100812</v>
      </c>
      <c r="J597" s="79"/>
      <c r="K597" s="79">
        <v>6</v>
      </c>
      <c r="L597" s="79">
        <v>0</v>
      </c>
      <c r="M597" s="127">
        <v>0</v>
      </c>
      <c r="N597" s="79">
        <v>1</v>
      </c>
      <c r="O597" s="79">
        <v>0</v>
      </c>
      <c r="P597" s="107"/>
      <c r="Q597" s="78">
        <v>100812</v>
      </c>
      <c r="R597" s="79"/>
    </row>
    <row r="598" spans="1:18">
      <c r="A598" s="79">
        <v>120813</v>
      </c>
      <c r="B598" s="79">
        <f t="shared" si="43"/>
        <v>1208131</v>
      </c>
      <c r="C598" s="92" t="s">
        <v>571</v>
      </c>
      <c r="D598" s="79">
        <f t="shared" si="44"/>
        <v>1208132</v>
      </c>
      <c r="E598" s="92" t="s">
        <v>1018</v>
      </c>
      <c r="F598" s="79">
        <v>12</v>
      </c>
      <c r="G598" s="79">
        <v>0</v>
      </c>
      <c r="H598" s="79" t="s">
        <v>576</v>
      </c>
      <c r="I598" s="78">
        <v>100813</v>
      </c>
      <c r="J598" s="79"/>
      <c r="K598" s="79">
        <v>7</v>
      </c>
      <c r="L598" s="79">
        <v>0</v>
      </c>
      <c r="M598" s="127">
        <v>0</v>
      </c>
      <c r="N598" s="79">
        <v>1</v>
      </c>
      <c r="O598" s="79">
        <v>0</v>
      </c>
      <c r="P598" s="107"/>
      <c r="Q598" s="78">
        <v>100813</v>
      </c>
      <c r="R598" s="79"/>
    </row>
    <row r="599" spans="1:18">
      <c r="A599" s="79">
        <v>120814</v>
      </c>
      <c r="B599" s="79">
        <f t="shared" si="43"/>
        <v>1208141</v>
      </c>
      <c r="C599" s="92" t="s">
        <v>571</v>
      </c>
      <c r="D599" s="79">
        <f t="shared" si="44"/>
        <v>1208142</v>
      </c>
      <c r="E599" s="92" t="s">
        <v>1019</v>
      </c>
      <c r="F599" s="79">
        <v>12</v>
      </c>
      <c r="G599" s="79">
        <v>0</v>
      </c>
      <c r="H599" s="79" t="s">
        <v>578</v>
      </c>
      <c r="I599" s="78">
        <v>100811</v>
      </c>
      <c r="J599" s="92"/>
      <c r="K599" s="79">
        <v>4</v>
      </c>
      <c r="L599" s="79">
        <v>0</v>
      </c>
      <c r="M599" s="127">
        <v>0</v>
      </c>
      <c r="N599" s="79">
        <v>1</v>
      </c>
      <c r="O599" s="79">
        <v>0</v>
      </c>
      <c r="P599" s="107"/>
      <c r="Q599" s="78">
        <v>100811</v>
      </c>
      <c r="R599" s="79"/>
    </row>
    <row r="600" spans="1:18">
      <c r="A600" s="79">
        <v>120824</v>
      </c>
      <c r="B600" s="79">
        <f t="shared" si="43"/>
        <v>1208241</v>
      </c>
      <c r="C600" s="92" t="s">
        <v>579</v>
      </c>
      <c r="D600" s="79">
        <f t="shared" si="44"/>
        <v>1208242</v>
      </c>
      <c r="E600" s="92" t="s">
        <v>1020</v>
      </c>
      <c r="F600" s="79">
        <v>12</v>
      </c>
      <c r="G600" s="79">
        <v>0</v>
      </c>
      <c r="H600" s="79" t="str">
        <f>"icon_"&amp;I600</f>
        <v>icon_100824</v>
      </c>
      <c r="I600" s="78">
        <v>100824</v>
      </c>
      <c r="J600" s="92"/>
      <c r="K600" s="79">
        <v>7</v>
      </c>
      <c r="L600" s="79">
        <v>0</v>
      </c>
      <c r="M600" s="127">
        <v>0</v>
      </c>
      <c r="N600" s="79">
        <v>1</v>
      </c>
      <c r="O600" s="79">
        <v>0</v>
      </c>
      <c r="P600" s="107"/>
      <c r="Q600" s="78">
        <v>100824</v>
      </c>
      <c r="R600" s="79"/>
    </row>
    <row r="601" spans="1:18">
      <c r="A601" s="79">
        <v>120831</v>
      </c>
      <c r="B601" s="79">
        <f t="shared" si="43"/>
        <v>1208311</v>
      </c>
      <c r="C601" s="92" t="s">
        <v>582</v>
      </c>
      <c r="D601" s="79">
        <f t="shared" si="44"/>
        <v>1208312</v>
      </c>
      <c r="E601" s="92" t="s">
        <v>1021</v>
      </c>
      <c r="F601" s="79">
        <v>12</v>
      </c>
      <c r="G601" s="79">
        <v>0</v>
      </c>
      <c r="H601" s="79" t="s">
        <v>584</v>
      </c>
      <c r="I601" s="78">
        <v>100831</v>
      </c>
      <c r="J601" s="79"/>
      <c r="K601" s="79">
        <v>4</v>
      </c>
      <c r="L601" s="79">
        <v>0</v>
      </c>
      <c r="M601" s="127">
        <v>0</v>
      </c>
      <c r="N601" s="79">
        <v>1</v>
      </c>
      <c r="O601" s="79">
        <v>0</v>
      </c>
      <c r="P601" s="107"/>
      <c r="Q601" s="78">
        <v>100831</v>
      </c>
      <c r="R601" s="79"/>
    </row>
    <row r="602" spans="1:18">
      <c r="A602" s="79">
        <v>120832</v>
      </c>
      <c r="B602" s="79">
        <f t="shared" si="43"/>
        <v>1208321</v>
      </c>
      <c r="C602" s="92" t="s">
        <v>582</v>
      </c>
      <c r="D602" s="79">
        <f t="shared" si="44"/>
        <v>1208322</v>
      </c>
      <c r="E602" s="92" t="s">
        <v>1022</v>
      </c>
      <c r="F602" s="79">
        <v>12</v>
      </c>
      <c r="G602" s="79">
        <v>0</v>
      </c>
      <c r="H602" s="79" t="s">
        <v>584</v>
      </c>
      <c r="I602" s="78">
        <v>100832</v>
      </c>
      <c r="J602" s="79"/>
      <c r="K602" s="79">
        <v>5</v>
      </c>
      <c r="L602" s="79">
        <v>0</v>
      </c>
      <c r="M602" s="127">
        <v>0</v>
      </c>
      <c r="N602" s="79">
        <v>1</v>
      </c>
      <c r="O602" s="79">
        <v>0</v>
      </c>
      <c r="P602" s="107"/>
      <c r="Q602" s="78">
        <v>100832</v>
      </c>
      <c r="R602" s="79"/>
    </row>
    <row r="603" spans="1:18">
      <c r="A603" s="79">
        <v>120833</v>
      </c>
      <c r="B603" s="79">
        <f t="shared" si="43"/>
        <v>1208331</v>
      </c>
      <c r="C603" s="92" t="s">
        <v>582</v>
      </c>
      <c r="D603" s="79">
        <f t="shared" si="44"/>
        <v>1208332</v>
      </c>
      <c r="E603" s="92" t="s">
        <v>1023</v>
      </c>
      <c r="F603" s="79">
        <v>12</v>
      </c>
      <c r="G603" s="79">
        <v>0</v>
      </c>
      <c r="H603" s="79" t="s">
        <v>584</v>
      </c>
      <c r="I603" s="78">
        <v>100833</v>
      </c>
      <c r="J603" s="79"/>
      <c r="K603" s="79">
        <v>6</v>
      </c>
      <c r="L603" s="79">
        <v>0</v>
      </c>
      <c r="M603" s="127">
        <v>0</v>
      </c>
      <c r="N603" s="79">
        <v>1</v>
      </c>
      <c r="O603" s="79">
        <v>0</v>
      </c>
      <c r="P603" s="107"/>
      <c r="Q603" s="78">
        <v>100833</v>
      </c>
      <c r="R603" s="79"/>
    </row>
    <row r="604" spans="1:18">
      <c r="A604" s="79">
        <v>120834</v>
      </c>
      <c r="B604" s="79">
        <f t="shared" si="43"/>
        <v>1208341</v>
      </c>
      <c r="C604" s="92" t="s">
        <v>582</v>
      </c>
      <c r="D604" s="79">
        <f t="shared" si="44"/>
        <v>1208342</v>
      </c>
      <c r="E604" s="92" t="s">
        <v>1024</v>
      </c>
      <c r="F604" s="79">
        <v>12</v>
      </c>
      <c r="G604" s="79">
        <v>0</v>
      </c>
      <c r="H604" s="79" t="str">
        <f t="shared" ref="H604:H608" si="45">"icon_"&amp;I604</f>
        <v>icon_100834</v>
      </c>
      <c r="I604" s="78">
        <v>100834</v>
      </c>
      <c r="J604" s="92"/>
      <c r="K604" s="79">
        <v>7</v>
      </c>
      <c r="L604" s="79">
        <v>0</v>
      </c>
      <c r="M604" s="127">
        <v>0</v>
      </c>
      <c r="N604" s="79">
        <v>1</v>
      </c>
      <c r="O604" s="79">
        <v>0</v>
      </c>
      <c r="P604" s="107"/>
      <c r="Q604" s="78">
        <v>100834</v>
      </c>
      <c r="R604" s="79"/>
    </row>
    <row r="605" spans="1:18">
      <c r="A605" s="79">
        <v>120841</v>
      </c>
      <c r="B605" s="79">
        <f t="shared" si="43"/>
        <v>1208411</v>
      </c>
      <c r="C605" s="92" t="s">
        <v>587</v>
      </c>
      <c r="D605" s="79">
        <f t="shared" si="44"/>
        <v>1208412</v>
      </c>
      <c r="E605" s="92" t="s">
        <v>1025</v>
      </c>
      <c r="F605" s="79">
        <v>12</v>
      </c>
      <c r="G605" s="79">
        <v>0</v>
      </c>
      <c r="H605" s="79" t="str">
        <f t="shared" si="45"/>
        <v>icon_100841</v>
      </c>
      <c r="I605" s="78">
        <v>100841</v>
      </c>
      <c r="J605" s="79"/>
      <c r="K605" s="79">
        <v>4</v>
      </c>
      <c r="L605" s="79">
        <v>0</v>
      </c>
      <c r="M605" s="127">
        <v>0</v>
      </c>
      <c r="N605" s="79">
        <v>1</v>
      </c>
      <c r="O605" s="79">
        <v>0</v>
      </c>
      <c r="P605" s="107"/>
      <c r="Q605" s="78">
        <v>100841</v>
      </c>
      <c r="R605" s="79"/>
    </row>
    <row r="606" spans="1:18" s="106" customFormat="1">
      <c r="A606" s="79">
        <v>120842</v>
      </c>
      <c r="B606" s="79">
        <f t="shared" si="43"/>
        <v>1208421</v>
      </c>
      <c r="C606" s="92" t="s">
        <v>587</v>
      </c>
      <c r="D606" s="79">
        <f t="shared" si="44"/>
        <v>1208422</v>
      </c>
      <c r="E606" s="92" t="s">
        <v>1026</v>
      </c>
      <c r="F606" s="79">
        <v>12</v>
      </c>
      <c r="G606" s="79">
        <v>0</v>
      </c>
      <c r="H606" s="79" t="str">
        <f t="shared" si="45"/>
        <v>icon_100842</v>
      </c>
      <c r="I606" s="78">
        <v>100842</v>
      </c>
      <c r="J606" s="79"/>
      <c r="K606" s="79">
        <v>5</v>
      </c>
      <c r="L606" s="79">
        <v>0</v>
      </c>
      <c r="M606" s="127">
        <v>0</v>
      </c>
      <c r="N606" s="79">
        <v>1</v>
      </c>
      <c r="O606" s="79">
        <v>0</v>
      </c>
      <c r="P606" s="107"/>
      <c r="Q606" s="78">
        <v>100842</v>
      </c>
      <c r="R606" s="79"/>
    </row>
    <row r="607" spans="1:18" s="106" customFormat="1">
      <c r="A607" s="79">
        <v>120843</v>
      </c>
      <c r="B607" s="79">
        <f t="shared" si="43"/>
        <v>1208431</v>
      </c>
      <c r="C607" s="92" t="s">
        <v>587</v>
      </c>
      <c r="D607" s="79">
        <f t="shared" si="44"/>
        <v>1208432</v>
      </c>
      <c r="E607" s="92" t="s">
        <v>1027</v>
      </c>
      <c r="F607" s="79">
        <v>12</v>
      </c>
      <c r="G607" s="79">
        <v>0</v>
      </c>
      <c r="H607" s="79" t="str">
        <f t="shared" si="45"/>
        <v>icon_100843</v>
      </c>
      <c r="I607" s="78">
        <v>100843</v>
      </c>
      <c r="J607" s="79"/>
      <c r="K607" s="79">
        <v>6</v>
      </c>
      <c r="L607" s="79">
        <v>0</v>
      </c>
      <c r="M607" s="127">
        <v>0</v>
      </c>
      <c r="N607" s="79">
        <v>1</v>
      </c>
      <c r="O607" s="79">
        <v>0</v>
      </c>
      <c r="P607" s="107"/>
      <c r="Q607" s="78">
        <v>100843</v>
      </c>
      <c r="R607" s="79"/>
    </row>
    <row r="608" spans="1:18" s="106" customFormat="1">
      <c r="A608" s="79">
        <v>120844</v>
      </c>
      <c r="B608" s="79">
        <f t="shared" si="43"/>
        <v>1208441</v>
      </c>
      <c r="C608" s="92" t="s">
        <v>587</v>
      </c>
      <c r="D608" s="79">
        <f t="shared" si="44"/>
        <v>1208442</v>
      </c>
      <c r="E608" s="92" t="s">
        <v>1028</v>
      </c>
      <c r="F608" s="79">
        <v>12</v>
      </c>
      <c r="G608" s="79">
        <v>0</v>
      </c>
      <c r="H608" s="79" t="str">
        <f t="shared" si="45"/>
        <v>icon_100844</v>
      </c>
      <c r="I608" s="78">
        <v>100844</v>
      </c>
      <c r="J608" s="92"/>
      <c r="K608" s="79">
        <v>7</v>
      </c>
      <c r="L608" s="79">
        <v>0</v>
      </c>
      <c r="M608" s="127">
        <v>0</v>
      </c>
      <c r="N608" s="79">
        <v>1</v>
      </c>
      <c r="O608" s="79">
        <v>0</v>
      </c>
      <c r="P608" s="107"/>
      <c r="Q608" s="78">
        <v>100844</v>
      </c>
      <c r="R608" s="79"/>
    </row>
    <row r="609" spans="1:18" s="106" customFormat="1">
      <c r="A609" s="79">
        <v>120853</v>
      </c>
      <c r="B609" s="79">
        <f t="shared" si="43"/>
        <v>1208531</v>
      </c>
      <c r="C609" s="92" t="s">
        <v>592</v>
      </c>
      <c r="D609" s="79">
        <f t="shared" si="44"/>
        <v>1208532</v>
      </c>
      <c r="E609" s="92" t="s">
        <v>1029</v>
      </c>
      <c r="F609" s="79">
        <v>12</v>
      </c>
      <c r="G609" s="79">
        <v>0</v>
      </c>
      <c r="H609" s="79" t="str">
        <f t="shared" ref="H609:H610" si="46">"icon_"&amp;I609</f>
        <v>icon_100853</v>
      </c>
      <c r="I609" s="78">
        <v>100853</v>
      </c>
      <c r="J609" s="79"/>
      <c r="K609" s="79">
        <v>6</v>
      </c>
      <c r="L609" s="79">
        <v>0</v>
      </c>
      <c r="M609" s="127">
        <v>0</v>
      </c>
      <c r="N609" s="79">
        <v>1</v>
      </c>
      <c r="O609" s="79">
        <v>0</v>
      </c>
      <c r="P609" s="107"/>
      <c r="Q609" s="78">
        <v>100853</v>
      </c>
      <c r="R609" s="79"/>
    </row>
    <row r="610" spans="1:18" s="106" customFormat="1">
      <c r="A610" s="79">
        <v>120854</v>
      </c>
      <c r="B610" s="79">
        <f t="shared" si="43"/>
        <v>1208541</v>
      </c>
      <c r="C610" s="92" t="s">
        <v>592</v>
      </c>
      <c r="D610" s="79">
        <f t="shared" si="44"/>
        <v>1208542</v>
      </c>
      <c r="E610" s="92" t="s">
        <v>1030</v>
      </c>
      <c r="F610" s="79">
        <v>12</v>
      </c>
      <c r="G610" s="79">
        <v>0</v>
      </c>
      <c r="H610" s="79" t="str">
        <f t="shared" si="46"/>
        <v>icon_100854</v>
      </c>
      <c r="I610" s="78">
        <v>100854</v>
      </c>
      <c r="J610" s="92"/>
      <c r="K610" s="79">
        <v>7</v>
      </c>
      <c r="L610" s="79">
        <v>0</v>
      </c>
      <c r="M610" s="127">
        <v>0</v>
      </c>
      <c r="N610" s="79">
        <v>1</v>
      </c>
      <c r="O610" s="79">
        <v>0</v>
      </c>
      <c r="P610" s="107"/>
      <c r="Q610" s="78">
        <v>100854</v>
      </c>
      <c r="R610" s="79"/>
    </row>
    <row r="611" spans="1:18" s="106" customFormat="1">
      <c r="A611" s="79">
        <v>120861</v>
      </c>
      <c r="B611" s="79">
        <f t="shared" si="43"/>
        <v>1208611</v>
      </c>
      <c r="C611" s="92" t="s">
        <v>597</v>
      </c>
      <c r="D611" s="79">
        <f t="shared" si="44"/>
        <v>1208612</v>
      </c>
      <c r="E611" s="92" t="s">
        <v>1031</v>
      </c>
      <c r="F611" s="79">
        <v>12</v>
      </c>
      <c r="G611" s="79">
        <v>0</v>
      </c>
      <c r="H611" s="92" t="s">
        <v>599</v>
      </c>
      <c r="I611" s="78">
        <v>100861</v>
      </c>
      <c r="J611" s="92"/>
      <c r="K611" s="79">
        <v>3</v>
      </c>
      <c r="L611" s="79"/>
      <c r="M611" s="127"/>
      <c r="N611" s="79">
        <v>1</v>
      </c>
      <c r="O611" s="79">
        <v>0</v>
      </c>
      <c r="P611" s="107"/>
      <c r="Q611" s="78">
        <v>100861</v>
      </c>
      <c r="R611" s="79"/>
    </row>
    <row r="612" spans="1:18" s="106" customFormat="1">
      <c r="A612" s="79">
        <v>120862</v>
      </c>
      <c r="B612" s="79">
        <f t="shared" si="43"/>
        <v>1208621</v>
      </c>
      <c r="C612" s="92" t="s">
        <v>597</v>
      </c>
      <c r="D612" s="79">
        <f t="shared" si="44"/>
        <v>1208622</v>
      </c>
      <c r="E612" s="92" t="s">
        <v>1032</v>
      </c>
      <c r="F612" s="79">
        <v>12</v>
      </c>
      <c r="G612" s="79">
        <v>0</v>
      </c>
      <c r="H612" s="92" t="s">
        <v>599</v>
      </c>
      <c r="I612" s="78">
        <v>100862</v>
      </c>
      <c r="J612" s="92"/>
      <c r="K612" s="79">
        <v>4</v>
      </c>
      <c r="L612" s="79"/>
      <c r="M612" s="127"/>
      <c r="N612" s="79">
        <v>1</v>
      </c>
      <c r="O612" s="79">
        <v>0</v>
      </c>
      <c r="P612" s="107"/>
      <c r="Q612" s="78">
        <v>100862</v>
      </c>
      <c r="R612" s="79"/>
    </row>
    <row r="613" spans="1:18" s="106" customFormat="1">
      <c r="A613" s="79">
        <v>120863</v>
      </c>
      <c r="B613" s="79">
        <f t="shared" si="43"/>
        <v>1208631</v>
      </c>
      <c r="C613" s="92" t="s">
        <v>597</v>
      </c>
      <c r="D613" s="79">
        <f t="shared" si="44"/>
        <v>1208632</v>
      </c>
      <c r="E613" s="92" t="s">
        <v>1033</v>
      </c>
      <c r="F613" s="79">
        <v>12</v>
      </c>
      <c r="G613" s="79">
        <v>0</v>
      </c>
      <c r="H613" s="92" t="s">
        <v>599</v>
      </c>
      <c r="I613" s="78">
        <v>100863</v>
      </c>
      <c r="J613" s="92"/>
      <c r="K613" s="79">
        <v>5</v>
      </c>
      <c r="L613" s="79"/>
      <c r="M613" s="127"/>
      <c r="N613" s="79">
        <v>1</v>
      </c>
      <c r="O613" s="79">
        <v>0</v>
      </c>
      <c r="P613" s="107"/>
      <c r="Q613" s="78">
        <v>100863</v>
      </c>
      <c r="R613" s="79"/>
    </row>
    <row r="614" spans="1:18" s="106" customFormat="1">
      <c r="A614" s="79">
        <v>120872</v>
      </c>
      <c r="B614" s="79">
        <f t="shared" si="43"/>
        <v>1208721</v>
      </c>
      <c r="C614" s="92" t="s">
        <v>602</v>
      </c>
      <c r="D614" s="79">
        <f t="shared" si="44"/>
        <v>1208722</v>
      </c>
      <c r="E614" s="92" t="s">
        <v>1034</v>
      </c>
      <c r="F614" s="79">
        <v>12</v>
      </c>
      <c r="G614" s="79">
        <v>0</v>
      </c>
      <c r="H614" s="92" t="s">
        <v>604</v>
      </c>
      <c r="I614" s="78">
        <v>100872</v>
      </c>
      <c r="J614" s="79"/>
      <c r="K614" s="79">
        <v>5</v>
      </c>
      <c r="L614" s="79">
        <v>0</v>
      </c>
      <c r="M614" s="127">
        <v>0</v>
      </c>
      <c r="N614" s="79">
        <v>1</v>
      </c>
      <c r="O614" s="79">
        <v>0</v>
      </c>
      <c r="P614" s="107"/>
      <c r="Q614" s="78">
        <v>100842</v>
      </c>
      <c r="R614" s="79"/>
    </row>
    <row r="615" spans="1:18" s="106" customFormat="1">
      <c r="A615" s="79">
        <v>120873</v>
      </c>
      <c r="B615" s="79">
        <f t="shared" si="43"/>
        <v>1208731</v>
      </c>
      <c r="C615" s="92" t="s">
        <v>602</v>
      </c>
      <c r="D615" s="79">
        <f t="shared" si="44"/>
        <v>1208732</v>
      </c>
      <c r="E615" s="92" t="s">
        <v>1035</v>
      </c>
      <c r="F615" s="79">
        <v>12</v>
      </c>
      <c r="G615" s="79">
        <v>0</v>
      </c>
      <c r="H615" s="92" t="s">
        <v>604</v>
      </c>
      <c r="I615" s="78">
        <v>100873</v>
      </c>
      <c r="J615" s="79"/>
      <c r="K615" s="79">
        <v>6</v>
      </c>
      <c r="L615" s="79">
        <v>0</v>
      </c>
      <c r="M615" s="127">
        <v>0</v>
      </c>
      <c r="N615" s="79">
        <v>1</v>
      </c>
      <c r="O615" s="79">
        <v>0</v>
      </c>
      <c r="P615" s="107"/>
      <c r="Q615" s="78">
        <v>100843</v>
      </c>
      <c r="R615" s="79"/>
    </row>
    <row r="616" spans="1:18" s="106" customFormat="1">
      <c r="A616" s="79">
        <v>120874</v>
      </c>
      <c r="B616" s="79">
        <f t="shared" si="43"/>
        <v>1208741</v>
      </c>
      <c r="C616" s="92" t="s">
        <v>602</v>
      </c>
      <c r="D616" s="79">
        <f t="shared" si="44"/>
        <v>1208742</v>
      </c>
      <c r="E616" s="92" t="s">
        <v>1036</v>
      </c>
      <c r="F616" s="79">
        <v>12</v>
      </c>
      <c r="G616" s="79">
        <v>0</v>
      </c>
      <c r="H616" s="92" t="s">
        <v>604</v>
      </c>
      <c r="I616" s="78">
        <v>100874</v>
      </c>
      <c r="J616" s="92"/>
      <c r="K616" s="79">
        <v>7</v>
      </c>
      <c r="L616" s="79">
        <v>0</v>
      </c>
      <c r="M616" s="127">
        <v>0</v>
      </c>
      <c r="N616" s="79">
        <v>1</v>
      </c>
      <c r="O616" s="79">
        <v>0</v>
      </c>
      <c r="P616" s="107"/>
      <c r="Q616" s="78">
        <v>100844</v>
      </c>
      <c r="R616" s="79"/>
    </row>
    <row r="617" spans="1:18" s="106" customFormat="1">
      <c r="A617" s="79">
        <v>120881</v>
      </c>
      <c r="B617" s="79">
        <f t="shared" si="43"/>
        <v>1208811</v>
      </c>
      <c r="C617" s="92" t="s">
        <v>607</v>
      </c>
      <c r="D617" s="79">
        <f t="shared" si="44"/>
        <v>1208812</v>
      </c>
      <c r="E617" s="92" t="s">
        <v>1037</v>
      </c>
      <c r="F617" s="79">
        <v>12</v>
      </c>
      <c r="G617" s="79">
        <v>0</v>
      </c>
      <c r="H617" s="92" t="s">
        <v>609</v>
      </c>
      <c r="I617" s="78">
        <v>100881</v>
      </c>
      <c r="J617" s="92"/>
      <c r="K617" s="79">
        <v>4</v>
      </c>
      <c r="L617" s="79">
        <v>0</v>
      </c>
      <c r="M617" s="127">
        <v>0</v>
      </c>
      <c r="N617" s="79">
        <v>1</v>
      </c>
      <c r="O617" s="79">
        <v>0</v>
      </c>
      <c r="P617" s="107"/>
      <c r="Q617" s="78">
        <v>100881</v>
      </c>
      <c r="R617" s="79"/>
    </row>
    <row r="618" spans="1:18" s="106" customFormat="1">
      <c r="A618" s="79">
        <v>120882</v>
      </c>
      <c r="B618" s="79">
        <f t="shared" si="43"/>
        <v>1208821</v>
      </c>
      <c r="C618" s="92" t="s">
        <v>607</v>
      </c>
      <c r="D618" s="79">
        <f t="shared" si="44"/>
        <v>1208822</v>
      </c>
      <c r="E618" s="92" t="s">
        <v>1038</v>
      </c>
      <c r="F618" s="79">
        <v>12</v>
      </c>
      <c r="G618" s="79">
        <v>0</v>
      </c>
      <c r="H618" s="92" t="s">
        <v>609</v>
      </c>
      <c r="I618" s="78">
        <v>100882</v>
      </c>
      <c r="J618" s="92"/>
      <c r="K618" s="79">
        <v>5</v>
      </c>
      <c r="L618" s="79">
        <v>0</v>
      </c>
      <c r="M618" s="127">
        <v>0</v>
      </c>
      <c r="N618" s="79">
        <v>1</v>
      </c>
      <c r="O618" s="79">
        <v>0</v>
      </c>
      <c r="P618" s="107"/>
      <c r="Q618" s="78">
        <v>100882</v>
      </c>
      <c r="R618" s="79"/>
    </row>
    <row r="619" spans="1:18" s="106" customFormat="1">
      <c r="A619" s="79">
        <v>120883</v>
      </c>
      <c r="B619" s="79">
        <f t="shared" si="43"/>
        <v>1208831</v>
      </c>
      <c r="C619" s="92" t="s">
        <v>607</v>
      </c>
      <c r="D619" s="79">
        <f t="shared" si="44"/>
        <v>1208832</v>
      </c>
      <c r="E619" s="92" t="s">
        <v>1039</v>
      </c>
      <c r="F619" s="79">
        <v>12</v>
      </c>
      <c r="G619" s="79">
        <v>0</v>
      </c>
      <c r="H619" s="92" t="s">
        <v>609</v>
      </c>
      <c r="I619" s="78">
        <v>100883</v>
      </c>
      <c r="J619" s="92"/>
      <c r="K619" s="79">
        <v>6</v>
      </c>
      <c r="L619" s="79">
        <v>0</v>
      </c>
      <c r="M619" s="127">
        <v>0</v>
      </c>
      <c r="N619" s="79">
        <v>1</v>
      </c>
      <c r="O619" s="79">
        <v>0</v>
      </c>
      <c r="P619" s="107"/>
      <c r="Q619" s="78">
        <v>100883</v>
      </c>
      <c r="R619" s="79"/>
    </row>
    <row r="620" spans="1:18" s="106" customFormat="1">
      <c r="A620" s="79">
        <v>120884</v>
      </c>
      <c r="B620" s="79">
        <f t="shared" si="43"/>
        <v>1208841</v>
      </c>
      <c r="C620" s="92" t="s">
        <v>607</v>
      </c>
      <c r="D620" s="79">
        <f t="shared" si="44"/>
        <v>1208842</v>
      </c>
      <c r="E620" s="92" t="s">
        <v>1040</v>
      </c>
      <c r="F620" s="79">
        <v>12</v>
      </c>
      <c r="G620" s="79">
        <v>0</v>
      </c>
      <c r="H620" s="92" t="s">
        <v>609</v>
      </c>
      <c r="I620" s="78">
        <v>100884</v>
      </c>
      <c r="J620" s="92"/>
      <c r="K620" s="79">
        <v>7</v>
      </c>
      <c r="L620" s="79">
        <v>0</v>
      </c>
      <c r="M620" s="127">
        <v>0</v>
      </c>
      <c r="N620" s="79">
        <v>1</v>
      </c>
      <c r="O620" s="79">
        <v>0</v>
      </c>
      <c r="P620" s="107"/>
      <c r="Q620" s="78">
        <v>100884</v>
      </c>
      <c r="R620" s="79"/>
    </row>
    <row r="621" spans="1:18" s="106" customFormat="1">
      <c r="A621" s="79">
        <v>120894</v>
      </c>
      <c r="B621" s="79">
        <f t="shared" si="43"/>
        <v>1208941</v>
      </c>
      <c r="C621" s="92" t="s">
        <v>613</v>
      </c>
      <c r="D621" s="79">
        <f t="shared" si="44"/>
        <v>1208942</v>
      </c>
      <c r="E621" s="92" t="s">
        <v>1041</v>
      </c>
      <c r="F621" s="79">
        <v>12</v>
      </c>
      <c r="G621" s="79">
        <v>0</v>
      </c>
      <c r="H621" s="92" t="s">
        <v>615</v>
      </c>
      <c r="I621" s="78">
        <v>100894</v>
      </c>
      <c r="J621" s="92"/>
      <c r="K621" s="79">
        <v>7</v>
      </c>
      <c r="L621" s="79">
        <v>0</v>
      </c>
      <c r="M621" s="127">
        <v>0</v>
      </c>
      <c r="N621" s="79">
        <v>1</v>
      </c>
      <c r="O621" s="79">
        <v>0</v>
      </c>
      <c r="P621" s="107"/>
      <c r="Q621" s="78">
        <v>100894</v>
      </c>
      <c r="R621" s="79"/>
    </row>
    <row r="622" spans="1:18" s="106" customFormat="1">
      <c r="A622" s="79">
        <v>120912</v>
      </c>
      <c r="B622" s="79">
        <f t="shared" si="43"/>
        <v>1209121</v>
      </c>
      <c r="C622" s="92" t="s">
        <v>616</v>
      </c>
      <c r="D622" s="79">
        <f t="shared" si="44"/>
        <v>1209122</v>
      </c>
      <c r="E622" s="92" t="s">
        <v>1042</v>
      </c>
      <c r="F622" s="79">
        <v>12</v>
      </c>
      <c r="G622" s="79">
        <v>0</v>
      </c>
      <c r="H622" s="92" t="s">
        <v>618</v>
      </c>
      <c r="I622" s="78">
        <v>100912</v>
      </c>
      <c r="J622" s="92"/>
      <c r="K622" s="79">
        <v>5</v>
      </c>
      <c r="L622" s="79">
        <v>0</v>
      </c>
      <c r="M622" s="127">
        <v>0</v>
      </c>
      <c r="N622" s="79">
        <v>1</v>
      </c>
      <c r="O622" s="79">
        <v>0</v>
      </c>
      <c r="P622" s="107"/>
      <c r="Q622" s="78">
        <v>100912</v>
      </c>
      <c r="R622" s="79"/>
    </row>
    <row r="623" spans="1:18" s="106" customFormat="1">
      <c r="A623" s="79">
        <v>120913</v>
      </c>
      <c r="B623" s="79">
        <f t="shared" si="43"/>
        <v>1209131</v>
      </c>
      <c r="C623" s="92" t="s">
        <v>616</v>
      </c>
      <c r="D623" s="79">
        <f t="shared" si="44"/>
        <v>1209132</v>
      </c>
      <c r="E623" s="92" t="s">
        <v>1043</v>
      </c>
      <c r="F623" s="79">
        <v>12</v>
      </c>
      <c r="G623" s="79">
        <v>0</v>
      </c>
      <c r="H623" s="92" t="s">
        <v>618</v>
      </c>
      <c r="I623" s="78">
        <v>100913</v>
      </c>
      <c r="J623" s="92"/>
      <c r="K623" s="79">
        <v>6</v>
      </c>
      <c r="L623" s="79">
        <v>0</v>
      </c>
      <c r="M623" s="127">
        <v>0</v>
      </c>
      <c r="N623" s="79">
        <v>1</v>
      </c>
      <c r="O623" s="79">
        <v>0</v>
      </c>
      <c r="P623" s="107"/>
      <c r="Q623" s="78">
        <v>100913</v>
      </c>
      <c r="R623" s="79"/>
    </row>
    <row r="624" spans="1:18" s="106" customFormat="1">
      <c r="A624" s="79">
        <v>120914</v>
      </c>
      <c r="B624" s="79">
        <f t="shared" ref="B624:B933" si="47">A624*10+1</f>
        <v>1209141</v>
      </c>
      <c r="C624" s="92" t="s">
        <v>616</v>
      </c>
      <c r="D624" s="79">
        <f t="shared" ref="D624:D933" si="48">A624*10+2</f>
        <v>1209142</v>
      </c>
      <c r="E624" s="92" t="s">
        <v>1044</v>
      </c>
      <c r="F624" s="79">
        <v>12</v>
      </c>
      <c r="G624" s="79">
        <v>0</v>
      </c>
      <c r="H624" s="92" t="s">
        <v>618</v>
      </c>
      <c r="I624" s="78">
        <v>100914</v>
      </c>
      <c r="J624" s="92"/>
      <c r="K624" s="79">
        <v>7</v>
      </c>
      <c r="L624" s="79">
        <v>0</v>
      </c>
      <c r="M624" s="127">
        <v>0</v>
      </c>
      <c r="N624" s="79">
        <v>1</v>
      </c>
      <c r="O624" s="79">
        <v>0</v>
      </c>
      <c r="P624" s="107"/>
      <c r="Q624" s="78">
        <v>100914</v>
      </c>
      <c r="R624" s="79"/>
    </row>
    <row r="625" spans="1:18" s="106" customFormat="1">
      <c r="A625" s="79">
        <v>120922</v>
      </c>
      <c r="B625" s="79">
        <f t="shared" si="47"/>
        <v>1209221</v>
      </c>
      <c r="C625" s="92" t="s">
        <v>621</v>
      </c>
      <c r="D625" s="79">
        <f t="shared" si="48"/>
        <v>1209222</v>
      </c>
      <c r="E625" s="92" t="s">
        <v>1045</v>
      </c>
      <c r="F625" s="79">
        <v>12</v>
      </c>
      <c r="G625" s="79">
        <v>0</v>
      </c>
      <c r="H625" s="92" t="s">
        <v>623</v>
      </c>
      <c r="I625" s="78">
        <v>100922</v>
      </c>
      <c r="J625" s="92"/>
      <c r="K625" s="79">
        <v>5</v>
      </c>
      <c r="L625" s="79">
        <v>0</v>
      </c>
      <c r="M625" s="127">
        <v>0</v>
      </c>
      <c r="N625" s="79">
        <v>1</v>
      </c>
      <c r="O625" s="79">
        <v>0</v>
      </c>
      <c r="P625" s="107"/>
      <c r="Q625" s="78">
        <v>100922</v>
      </c>
      <c r="R625" s="79"/>
    </row>
    <row r="626" spans="1:18" s="106" customFormat="1">
      <c r="A626" s="79">
        <v>120923</v>
      </c>
      <c r="B626" s="79">
        <f t="shared" si="47"/>
        <v>1209231</v>
      </c>
      <c r="C626" s="92" t="s">
        <v>621</v>
      </c>
      <c r="D626" s="79">
        <f t="shared" si="48"/>
        <v>1209232</v>
      </c>
      <c r="E626" s="92" t="s">
        <v>1046</v>
      </c>
      <c r="F626" s="79">
        <v>12</v>
      </c>
      <c r="G626" s="79">
        <v>0</v>
      </c>
      <c r="H626" s="92" t="s">
        <v>623</v>
      </c>
      <c r="I626" s="78">
        <v>100923</v>
      </c>
      <c r="J626" s="92"/>
      <c r="K626" s="79">
        <v>6</v>
      </c>
      <c r="L626" s="79">
        <v>0</v>
      </c>
      <c r="M626" s="127">
        <v>0</v>
      </c>
      <c r="N626" s="79">
        <v>1</v>
      </c>
      <c r="O626" s="79">
        <v>0</v>
      </c>
      <c r="P626" s="107"/>
      <c r="Q626" s="78">
        <v>100923</v>
      </c>
      <c r="R626" s="79"/>
    </row>
    <row r="627" spans="1:18" s="106" customFormat="1">
      <c r="A627" s="79">
        <v>120924</v>
      </c>
      <c r="B627" s="79">
        <f t="shared" si="47"/>
        <v>1209241</v>
      </c>
      <c r="C627" s="92" t="s">
        <v>621</v>
      </c>
      <c r="D627" s="79">
        <f t="shared" si="48"/>
        <v>1209242</v>
      </c>
      <c r="E627" s="92" t="s">
        <v>1047</v>
      </c>
      <c r="F627" s="79">
        <v>12</v>
      </c>
      <c r="G627" s="79">
        <v>0</v>
      </c>
      <c r="H627" s="92" t="s">
        <v>623</v>
      </c>
      <c r="I627" s="78">
        <v>100924</v>
      </c>
      <c r="J627" s="92"/>
      <c r="K627" s="79">
        <v>7</v>
      </c>
      <c r="L627" s="79">
        <v>0</v>
      </c>
      <c r="M627" s="127">
        <v>0</v>
      </c>
      <c r="N627" s="79">
        <v>1</v>
      </c>
      <c r="O627" s="79">
        <v>0</v>
      </c>
      <c r="P627" s="107"/>
      <c r="Q627" s="78">
        <v>100924</v>
      </c>
      <c r="R627" s="79"/>
    </row>
    <row r="628" spans="1:18" s="106" customFormat="1">
      <c r="A628" s="79">
        <v>120932</v>
      </c>
      <c r="B628" s="79">
        <f t="shared" si="47"/>
        <v>1209321</v>
      </c>
      <c r="C628" s="92" t="s">
        <v>626</v>
      </c>
      <c r="D628" s="79">
        <f t="shared" si="48"/>
        <v>1209322</v>
      </c>
      <c r="E628" s="92" t="s">
        <v>1048</v>
      </c>
      <c r="F628" s="79">
        <v>12</v>
      </c>
      <c r="G628" s="79">
        <v>0</v>
      </c>
      <c r="H628" s="92" t="s">
        <v>628</v>
      </c>
      <c r="I628" s="78">
        <v>100932</v>
      </c>
      <c r="J628" s="92"/>
      <c r="K628" s="79">
        <v>5</v>
      </c>
      <c r="L628" s="79">
        <v>0</v>
      </c>
      <c r="M628" s="127">
        <v>0</v>
      </c>
      <c r="N628" s="79">
        <v>1</v>
      </c>
      <c r="O628" s="79">
        <v>0</v>
      </c>
      <c r="P628" s="107"/>
      <c r="Q628" s="78">
        <v>100932</v>
      </c>
      <c r="R628" s="79"/>
    </row>
    <row r="629" spans="1:18" s="106" customFormat="1">
      <c r="A629" s="79">
        <v>120933</v>
      </c>
      <c r="B629" s="79">
        <f t="shared" si="47"/>
        <v>1209331</v>
      </c>
      <c r="C629" s="92" t="s">
        <v>626</v>
      </c>
      <c r="D629" s="79">
        <f t="shared" si="48"/>
        <v>1209332</v>
      </c>
      <c r="E629" s="92" t="s">
        <v>1049</v>
      </c>
      <c r="F629" s="79">
        <v>12</v>
      </c>
      <c r="G629" s="79">
        <v>0</v>
      </c>
      <c r="H629" s="92" t="s">
        <v>628</v>
      </c>
      <c r="I629" s="78">
        <v>100933</v>
      </c>
      <c r="J629" s="92"/>
      <c r="K629" s="79">
        <v>6</v>
      </c>
      <c r="L629" s="79">
        <v>0</v>
      </c>
      <c r="M629" s="127">
        <v>0</v>
      </c>
      <c r="N629" s="79">
        <v>1</v>
      </c>
      <c r="O629" s="79">
        <v>0</v>
      </c>
      <c r="P629" s="107"/>
      <c r="Q629" s="78">
        <v>100933</v>
      </c>
      <c r="R629" s="79"/>
    </row>
    <row r="630" spans="1:18" s="106" customFormat="1">
      <c r="A630" s="79">
        <v>120934</v>
      </c>
      <c r="B630" s="79">
        <f t="shared" si="47"/>
        <v>1209341</v>
      </c>
      <c r="C630" s="92" t="s">
        <v>626</v>
      </c>
      <c r="D630" s="79">
        <f t="shared" si="48"/>
        <v>1209342</v>
      </c>
      <c r="E630" s="92" t="s">
        <v>1050</v>
      </c>
      <c r="F630" s="79">
        <v>12</v>
      </c>
      <c r="G630" s="79">
        <v>0</v>
      </c>
      <c r="H630" s="92" t="s">
        <v>628</v>
      </c>
      <c r="I630" s="78">
        <v>100934</v>
      </c>
      <c r="J630" s="92"/>
      <c r="K630" s="79">
        <v>7</v>
      </c>
      <c r="L630" s="79">
        <v>0</v>
      </c>
      <c r="M630" s="127">
        <v>0</v>
      </c>
      <c r="N630" s="79">
        <v>1</v>
      </c>
      <c r="O630" s="79">
        <v>0</v>
      </c>
      <c r="P630" s="107"/>
      <c r="Q630" s="78">
        <v>100934</v>
      </c>
      <c r="R630" s="79"/>
    </row>
    <row r="631" spans="1:18" s="106" customFormat="1">
      <c r="A631" s="79">
        <v>120942</v>
      </c>
      <c r="B631" s="79">
        <f t="shared" si="47"/>
        <v>1209421</v>
      </c>
      <c r="C631" s="92" t="s">
        <v>631</v>
      </c>
      <c r="D631" s="79">
        <f t="shared" si="48"/>
        <v>1209422</v>
      </c>
      <c r="E631" s="92" t="s">
        <v>1051</v>
      </c>
      <c r="F631" s="79">
        <v>12</v>
      </c>
      <c r="G631" s="79">
        <v>0</v>
      </c>
      <c r="H631" s="92" t="s">
        <v>618</v>
      </c>
      <c r="I631" s="78">
        <v>100942</v>
      </c>
      <c r="J631" s="92"/>
      <c r="K631" s="79">
        <v>5</v>
      </c>
      <c r="L631" s="79">
        <v>0</v>
      </c>
      <c r="M631" s="127">
        <v>0</v>
      </c>
      <c r="N631" s="79">
        <v>1</v>
      </c>
      <c r="O631" s="79">
        <v>0</v>
      </c>
      <c r="P631" s="107"/>
      <c r="Q631" s="78">
        <v>100942</v>
      </c>
      <c r="R631" s="79"/>
    </row>
    <row r="632" spans="1:18" s="106" customFormat="1">
      <c r="A632" s="79">
        <v>120943</v>
      </c>
      <c r="B632" s="79">
        <f t="shared" si="47"/>
        <v>1209431</v>
      </c>
      <c r="C632" s="92" t="s">
        <v>631</v>
      </c>
      <c r="D632" s="79">
        <f t="shared" si="48"/>
        <v>1209432</v>
      </c>
      <c r="E632" s="92" t="s">
        <v>1052</v>
      </c>
      <c r="F632" s="79">
        <v>12</v>
      </c>
      <c r="G632" s="79">
        <v>0</v>
      </c>
      <c r="H632" s="92" t="s">
        <v>618</v>
      </c>
      <c r="I632" s="78">
        <v>100943</v>
      </c>
      <c r="J632" s="92"/>
      <c r="K632" s="79">
        <v>6</v>
      </c>
      <c r="L632" s="79">
        <v>0</v>
      </c>
      <c r="M632" s="127">
        <v>0</v>
      </c>
      <c r="N632" s="79">
        <v>1</v>
      </c>
      <c r="O632" s="79">
        <v>0</v>
      </c>
      <c r="P632" s="107"/>
      <c r="Q632" s="78">
        <v>100943</v>
      </c>
      <c r="R632" s="79"/>
    </row>
    <row r="633" spans="1:18" s="106" customFormat="1">
      <c r="A633" s="79">
        <v>120944</v>
      </c>
      <c r="B633" s="79">
        <f t="shared" si="47"/>
        <v>1209441</v>
      </c>
      <c r="C633" s="92" t="s">
        <v>631</v>
      </c>
      <c r="D633" s="79">
        <f t="shared" si="48"/>
        <v>1209442</v>
      </c>
      <c r="E633" s="92" t="s">
        <v>1053</v>
      </c>
      <c r="F633" s="79">
        <v>12</v>
      </c>
      <c r="G633" s="79">
        <v>0</v>
      </c>
      <c r="H633" s="92" t="s">
        <v>618</v>
      </c>
      <c r="I633" s="78">
        <v>100944</v>
      </c>
      <c r="J633" s="92"/>
      <c r="K633" s="79">
        <v>7</v>
      </c>
      <c r="L633" s="79">
        <v>0</v>
      </c>
      <c r="M633" s="127">
        <v>0</v>
      </c>
      <c r="N633" s="79">
        <v>1</v>
      </c>
      <c r="O633" s="79">
        <v>0</v>
      </c>
      <c r="P633" s="107"/>
      <c r="Q633" s="78">
        <v>100944</v>
      </c>
      <c r="R633" s="79"/>
    </row>
    <row r="634" spans="1:18" s="106" customFormat="1">
      <c r="A634" s="79">
        <v>120952</v>
      </c>
      <c r="B634" s="79">
        <f t="shared" si="47"/>
        <v>1209521</v>
      </c>
      <c r="C634" s="92" t="s">
        <v>636</v>
      </c>
      <c r="D634" s="79">
        <f t="shared" si="48"/>
        <v>1209522</v>
      </c>
      <c r="E634" s="92" t="s">
        <v>1054</v>
      </c>
      <c r="F634" s="79">
        <v>12</v>
      </c>
      <c r="G634" s="79">
        <v>0</v>
      </c>
      <c r="H634" s="92" t="s">
        <v>623</v>
      </c>
      <c r="I634" s="78">
        <v>100952</v>
      </c>
      <c r="J634" s="92"/>
      <c r="K634" s="79">
        <v>5</v>
      </c>
      <c r="L634" s="79">
        <v>0</v>
      </c>
      <c r="M634" s="127">
        <v>0</v>
      </c>
      <c r="N634" s="79">
        <v>1</v>
      </c>
      <c r="O634" s="79">
        <v>0</v>
      </c>
      <c r="P634" s="107"/>
      <c r="Q634" s="78">
        <v>100952</v>
      </c>
      <c r="R634" s="79"/>
    </row>
    <row r="635" spans="1:18" s="106" customFormat="1">
      <c r="A635" s="79">
        <v>120953</v>
      </c>
      <c r="B635" s="79">
        <f t="shared" si="47"/>
        <v>1209531</v>
      </c>
      <c r="C635" s="92" t="s">
        <v>636</v>
      </c>
      <c r="D635" s="79">
        <f t="shared" si="48"/>
        <v>1209532</v>
      </c>
      <c r="E635" s="92" t="s">
        <v>1055</v>
      </c>
      <c r="F635" s="79">
        <v>12</v>
      </c>
      <c r="G635" s="79">
        <v>0</v>
      </c>
      <c r="H635" s="92" t="s">
        <v>623</v>
      </c>
      <c r="I635" s="78">
        <v>100953</v>
      </c>
      <c r="J635" s="92"/>
      <c r="K635" s="79">
        <v>6</v>
      </c>
      <c r="L635" s="79">
        <v>0</v>
      </c>
      <c r="M635" s="127">
        <v>0</v>
      </c>
      <c r="N635" s="79">
        <v>1</v>
      </c>
      <c r="O635" s="79">
        <v>0</v>
      </c>
      <c r="P635" s="107"/>
      <c r="Q635" s="78">
        <v>100953</v>
      </c>
      <c r="R635" s="79"/>
    </row>
    <row r="636" spans="1:18" s="106" customFormat="1">
      <c r="A636" s="79">
        <v>120954</v>
      </c>
      <c r="B636" s="79">
        <f t="shared" si="47"/>
        <v>1209541</v>
      </c>
      <c r="C636" s="92" t="s">
        <v>636</v>
      </c>
      <c r="D636" s="79">
        <f t="shared" si="48"/>
        <v>1209542</v>
      </c>
      <c r="E636" s="92" t="s">
        <v>1056</v>
      </c>
      <c r="F636" s="79">
        <v>12</v>
      </c>
      <c r="G636" s="79">
        <v>0</v>
      </c>
      <c r="H636" s="92" t="s">
        <v>623</v>
      </c>
      <c r="I636" s="78">
        <v>100954</v>
      </c>
      <c r="J636" s="92"/>
      <c r="K636" s="79">
        <v>7</v>
      </c>
      <c r="L636" s="79">
        <v>0</v>
      </c>
      <c r="M636" s="127">
        <v>0</v>
      </c>
      <c r="N636" s="79">
        <v>1</v>
      </c>
      <c r="O636" s="79">
        <v>0</v>
      </c>
      <c r="P636" s="107"/>
      <c r="Q636" s="78">
        <v>100954</v>
      </c>
      <c r="R636" s="79"/>
    </row>
    <row r="637" spans="1:18" s="106" customFormat="1">
      <c r="A637" s="79">
        <v>120962</v>
      </c>
      <c r="B637" s="79">
        <f t="shared" si="47"/>
        <v>1209621</v>
      </c>
      <c r="C637" s="92" t="s">
        <v>643</v>
      </c>
      <c r="D637" s="79">
        <f t="shared" si="48"/>
        <v>1209622</v>
      </c>
      <c r="E637" s="92" t="s">
        <v>1057</v>
      </c>
      <c r="F637" s="79">
        <v>12</v>
      </c>
      <c r="G637" s="79">
        <v>0</v>
      </c>
      <c r="H637" s="92" t="s">
        <v>5696</v>
      </c>
      <c r="I637" s="78">
        <v>100962</v>
      </c>
      <c r="J637" s="92"/>
      <c r="K637" s="79">
        <v>5</v>
      </c>
      <c r="L637" s="79">
        <v>0</v>
      </c>
      <c r="M637" s="127">
        <v>0</v>
      </c>
      <c r="N637" s="79">
        <v>1</v>
      </c>
      <c r="O637" s="79">
        <v>0</v>
      </c>
      <c r="P637" s="107"/>
      <c r="Q637" s="78">
        <v>100962</v>
      </c>
      <c r="R637" s="79"/>
    </row>
    <row r="638" spans="1:18" s="106" customFormat="1">
      <c r="A638" s="79">
        <v>120963</v>
      </c>
      <c r="B638" s="79">
        <f t="shared" si="47"/>
        <v>1209631</v>
      </c>
      <c r="C638" s="92" t="s">
        <v>643</v>
      </c>
      <c r="D638" s="79">
        <f t="shared" si="48"/>
        <v>1209632</v>
      </c>
      <c r="E638" s="92" t="s">
        <v>1058</v>
      </c>
      <c r="F638" s="79">
        <v>12</v>
      </c>
      <c r="G638" s="79">
        <v>0</v>
      </c>
      <c r="H638" s="92" t="s">
        <v>5696</v>
      </c>
      <c r="I638" s="78">
        <v>100963</v>
      </c>
      <c r="J638" s="92"/>
      <c r="K638" s="79">
        <v>6</v>
      </c>
      <c r="L638" s="79">
        <v>0</v>
      </c>
      <c r="M638" s="127">
        <v>0</v>
      </c>
      <c r="N638" s="79">
        <v>1</v>
      </c>
      <c r="O638" s="79">
        <v>0</v>
      </c>
      <c r="P638" s="107"/>
      <c r="Q638" s="78">
        <v>100963</v>
      </c>
      <c r="R638" s="79"/>
    </row>
    <row r="639" spans="1:18" s="106" customFormat="1">
      <c r="A639" s="79">
        <v>120964</v>
      </c>
      <c r="B639" s="79">
        <f t="shared" si="47"/>
        <v>1209641</v>
      </c>
      <c r="C639" s="92" t="s">
        <v>643</v>
      </c>
      <c r="D639" s="79">
        <f t="shared" si="48"/>
        <v>1209642</v>
      </c>
      <c r="E639" s="92" t="s">
        <v>1059</v>
      </c>
      <c r="F639" s="79">
        <v>12</v>
      </c>
      <c r="G639" s="79">
        <v>0</v>
      </c>
      <c r="H639" s="92" t="s">
        <v>5696</v>
      </c>
      <c r="I639" s="78">
        <v>100964</v>
      </c>
      <c r="J639" s="92"/>
      <c r="K639" s="79">
        <v>7</v>
      </c>
      <c r="L639" s="79">
        <v>0</v>
      </c>
      <c r="M639" s="127">
        <v>0</v>
      </c>
      <c r="N639" s="79">
        <v>1</v>
      </c>
      <c r="O639" s="79">
        <v>0</v>
      </c>
      <c r="P639" s="107"/>
      <c r="Q639" s="78">
        <v>100964</v>
      </c>
      <c r="R639" s="79"/>
    </row>
    <row r="640" spans="1:18" s="94" customFormat="1">
      <c r="A640" s="93">
        <v>120972</v>
      </c>
      <c r="B640" s="93">
        <v>1209721</v>
      </c>
      <c r="C640" s="93" t="s">
        <v>762</v>
      </c>
      <c r="D640" s="93">
        <v>1209722</v>
      </c>
      <c r="E640" s="93" t="s">
        <v>763</v>
      </c>
      <c r="F640" s="93">
        <v>12</v>
      </c>
      <c r="G640" s="93">
        <v>0</v>
      </c>
      <c r="H640" s="78" t="s">
        <v>764</v>
      </c>
      <c r="I640" s="78">
        <v>101132</v>
      </c>
      <c r="J640" s="92"/>
      <c r="K640" s="93">
        <v>5</v>
      </c>
      <c r="L640" s="93">
        <v>0</v>
      </c>
      <c r="M640" s="117">
        <v>0</v>
      </c>
      <c r="N640" s="93">
        <v>1</v>
      </c>
      <c r="O640" s="93">
        <v>0</v>
      </c>
      <c r="P640" s="98"/>
      <c r="Q640" s="78">
        <v>101132</v>
      </c>
      <c r="R640" s="93"/>
    </row>
    <row r="641" spans="1:18" s="94" customFormat="1">
      <c r="A641" s="93">
        <v>120973</v>
      </c>
      <c r="B641" s="93">
        <v>1209731</v>
      </c>
      <c r="C641" s="93" t="s">
        <v>762</v>
      </c>
      <c r="D641" s="93">
        <v>1209732</v>
      </c>
      <c r="E641" s="93" t="s">
        <v>765</v>
      </c>
      <c r="F641" s="93">
        <v>12</v>
      </c>
      <c r="G641" s="93">
        <v>0</v>
      </c>
      <c r="H641" s="78" t="s">
        <v>766</v>
      </c>
      <c r="I641" s="78">
        <v>101133</v>
      </c>
      <c r="J641" s="92"/>
      <c r="K641" s="93">
        <v>6</v>
      </c>
      <c r="L641" s="93">
        <v>0</v>
      </c>
      <c r="M641" s="117">
        <v>0</v>
      </c>
      <c r="N641" s="93">
        <v>1</v>
      </c>
      <c r="O641" s="93">
        <v>0</v>
      </c>
      <c r="P641" s="98"/>
      <c r="Q641" s="78">
        <v>101133</v>
      </c>
      <c r="R641" s="93"/>
    </row>
    <row r="642" spans="1:18" s="94" customFormat="1">
      <c r="A642" s="93">
        <v>120974</v>
      </c>
      <c r="B642" s="93">
        <v>1209741</v>
      </c>
      <c r="C642" s="93" t="s">
        <v>762</v>
      </c>
      <c r="D642" s="93">
        <v>1209742</v>
      </c>
      <c r="E642" s="93" t="s">
        <v>767</v>
      </c>
      <c r="F642" s="93">
        <v>12</v>
      </c>
      <c r="G642" s="93">
        <v>0</v>
      </c>
      <c r="H642" s="78" t="s">
        <v>768</v>
      </c>
      <c r="I642" s="78">
        <v>101134</v>
      </c>
      <c r="J642" s="92"/>
      <c r="K642" s="93">
        <v>7</v>
      </c>
      <c r="L642" s="93">
        <v>0</v>
      </c>
      <c r="M642" s="117">
        <v>0</v>
      </c>
      <c r="N642" s="93">
        <v>1</v>
      </c>
      <c r="O642" s="93">
        <v>0</v>
      </c>
      <c r="P642" s="98"/>
      <c r="Q642" s="78">
        <v>101134</v>
      </c>
      <c r="R642" s="93"/>
    </row>
    <row r="643" spans="1:18" s="108" customFormat="1">
      <c r="A643" s="79">
        <v>120981</v>
      </c>
      <c r="B643" s="79">
        <f t="shared" ref="B643" si="49">A643*10+1</f>
        <v>1209811</v>
      </c>
      <c r="C643" s="79" t="s">
        <v>769</v>
      </c>
      <c r="D643" s="79">
        <f t="shared" ref="D643" si="50">A643*10+2</f>
        <v>1209812</v>
      </c>
      <c r="E643" s="101" t="s">
        <v>770</v>
      </c>
      <c r="F643" s="79">
        <v>12</v>
      </c>
      <c r="G643" s="79">
        <v>0</v>
      </c>
      <c r="H643" s="80" t="s">
        <v>771</v>
      </c>
      <c r="I643" s="80">
        <v>101142</v>
      </c>
      <c r="J643" s="101"/>
      <c r="K643" s="79">
        <v>4</v>
      </c>
      <c r="L643" s="79"/>
      <c r="M643" s="127"/>
      <c r="N643" s="79">
        <v>1</v>
      </c>
      <c r="O643" s="79">
        <v>0</v>
      </c>
      <c r="P643" s="107"/>
      <c r="Q643" s="80">
        <v>101142</v>
      </c>
      <c r="R643" s="79"/>
    </row>
    <row r="644" spans="1:18" s="108" customFormat="1">
      <c r="A644" s="79">
        <v>120982</v>
      </c>
      <c r="B644" s="79">
        <v>1209821</v>
      </c>
      <c r="C644" s="79" t="s">
        <v>769</v>
      </c>
      <c r="D644" s="79">
        <v>1209822</v>
      </c>
      <c r="E644" s="79" t="s">
        <v>772</v>
      </c>
      <c r="F644" s="79">
        <v>12</v>
      </c>
      <c r="G644" s="79">
        <v>0</v>
      </c>
      <c r="H644" s="80" t="s">
        <v>771</v>
      </c>
      <c r="I644" s="80">
        <v>101142</v>
      </c>
      <c r="J644" s="101"/>
      <c r="K644" s="79">
        <v>5</v>
      </c>
      <c r="L644" s="79">
        <v>0</v>
      </c>
      <c r="M644" s="127">
        <v>0</v>
      </c>
      <c r="N644" s="79">
        <v>1</v>
      </c>
      <c r="O644" s="79">
        <v>0</v>
      </c>
      <c r="P644" s="107"/>
      <c r="Q644" s="80">
        <v>101142</v>
      </c>
      <c r="R644" s="79"/>
    </row>
    <row r="645" spans="1:18" s="108" customFormat="1">
      <c r="A645" s="79">
        <v>120983</v>
      </c>
      <c r="B645" s="79">
        <v>1209831</v>
      </c>
      <c r="C645" s="79" t="s">
        <v>769</v>
      </c>
      <c r="D645" s="79">
        <v>1209832</v>
      </c>
      <c r="E645" s="79" t="s">
        <v>773</v>
      </c>
      <c r="F645" s="79">
        <v>12</v>
      </c>
      <c r="G645" s="79">
        <v>0</v>
      </c>
      <c r="H645" s="80" t="s">
        <v>774</v>
      </c>
      <c r="I645" s="80">
        <v>101143</v>
      </c>
      <c r="J645" s="101"/>
      <c r="K645" s="79">
        <v>6</v>
      </c>
      <c r="L645" s="79">
        <v>0</v>
      </c>
      <c r="M645" s="127">
        <v>0</v>
      </c>
      <c r="N645" s="79">
        <v>1</v>
      </c>
      <c r="O645" s="79">
        <v>0</v>
      </c>
      <c r="P645" s="107"/>
      <c r="Q645" s="80">
        <v>101143</v>
      </c>
      <c r="R645" s="79"/>
    </row>
    <row r="646" spans="1:18" s="108" customFormat="1">
      <c r="A646" s="79">
        <v>120984</v>
      </c>
      <c r="B646" s="79">
        <v>1209841</v>
      </c>
      <c r="C646" s="79" t="s">
        <v>769</v>
      </c>
      <c r="D646" s="79">
        <v>1209842</v>
      </c>
      <c r="E646" s="79" t="s">
        <v>775</v>
      </c>
      <c r="F646" s="79">
        <v>12</v>
      </c>
      <c r="G646" s="79">
        <v>0</v>
      </c>
      <c r="H646" s="80" t="s">
        <v>776</v>
      </c>
      <c r="I646" s="80">
        <v>101144</v>
      </c>
      <c r="J646" s="101"/>
      <c r="K646" s="79">
        <v>7</v>
      </c>
      <c r="L646" s="79">
        <v>0</v>
      </c>
      <c r="M646" s="127">
        <v>0</v>
      </c>
      <c r="N646" s="79">
        <v>1</v>
      </c>
      <c r="O646" s="79">
        <v>0</v>
      </c>
      <c r="P646" s="107"/>
      <c r="Q646" s="80">
        <v>101144</v>
      </c>
      <c r="R646" s="79"/>
    </row>
    <row r="647" spans="1:18" s="108" customFormat="1">
      <c r="A647" s="79">
        <v>121072</v>
      </c>
      <c r="B647" s="79">
        <v>1210721</v>
      </c>
      <c r="C647" s="79" t="s">
        <v>5685</v>
      </c>
      <c r="D647" s="79">
        <v>1210722</v>
      </c>
      <c r="E647" s="79" t="s">
        <v>5686</v>
      </c>
      <c r="F647" s="79">
        <v>12</v>
      </c>
      <c r="G647" s="79">
        <v>0</v>
      </c>
      <c r="H647" s="80" t="s">
        <v>5687</v>
      </c>
      <c r="I647" s="80">
        <v>101072</v>
      </c>
      <c r="J647" s="101"/>
      <c r="K647" s="79">
        <v>5</v>
      </c>
      <c r="L647" s="79">
        <v>0</v>
      </c>
      <c r="M647" s="127" t="s">
        <v>5529</v>
      </c>
      <c r="N647" s="79">
        <v>1</v>
      </c>
      <c r="O647" s="79">
        <v>0</v>
      </c>
      <c r="P647" s="107"/>
      <c r="Q647" s="80">
        <v>101072</v>
      </c>
      <c r="R647" s="79"/>
    </row>
    <row r="648" spans="1:18" s="108" customFormat="1">
      <c r="A648" s="79">
        <v>121341</v>
      </c>
      <c r="B648" s="79">
        <f t="shared" ref="B648" si="51">A648*10+1</f>
        <v>1213411</v>
      </c>
      <c r="C648" s="79" t="s">
        <v>822</v>
      </c>
      <c r="D648" s="79">
        <f t="shared" ref="D648" si="52">A648*10+2</f>
        <v>1213412</v>
      </c>
      <c r="E648" s="101" t="s">
        <v>823</v>
      </c>
      <c r="F648" s="79">
        <v>12</v>
      </c>
      <c r="G648" s="79">
        <v>0</v>
      </c>
      <c r="H648" s="80" t="s">
        <v>824</v>
      </c>
      <c r="I648" s="80">
        <v>101342</v>
      </c>
      <c r="J648" s="101"/>
      <c r="K648" s="79">
        <v>4</v>
      </c>
      <c r="L648" s="79"/>
      <c r="M648" s="127"/>
      <c r="N648" s="79">
        <v>1</v>
      </c>
      <c r="O648" s="79">
        <v>0</v>
      </c>
      <c r="P648" s="107"/>
      <c r="Q648" s="80">
        <v>101342</v>
      </c>
      <c r="R648" s="79"/>
    </row>
    <row r="649" spans="1:18" s="108" customFormat="1">
      <c r="A649" s="79">
        <v>121342</v>
      </c>
      <c r="B649" s="79">
        <v>1213421</v>
      </c>
      <c r="C649" s="79" t="s">
        <v>822</v>
      </c>
      <c r="D649" s="79">
        <v>1213422</v>
      </c>
      <c r="E649" s="79" t="s">
        <v>825</v>
      </c>
      <c r="F649" s="79">
        <v>12</v>
      </c>
      <c r="G649" s="79">
        <v>0</v>
      </c>
      <c r="H649" s="80" t="s">
        <v>824</v>
      </c>
      <c r="I649" s="80">
        <v>101342</v>
      </c>
      <c r="J649" s="101"/>
      <c r="K649" s="79">
        <v>5</v>
      </c>
      <c r="L649" s="79">
        <v>0</v>
      </c>
      <c r="M649" s="127">
        <v>0</v>
      </c>
      <c r="N649" s="79">
        <v>1</v>
      </c>
      <c r="O649" s="79">
        <v>0</v>
      </c>
      <c r="P649" s="107"/>
      <c r="Q649" s="80">
        <v>101342</v>
      </c>
      <c r="R649" s="79"/>
    </row>
    <row r="650" spans="1:18" s="108" customFormat="1">
      <c r="A650" s="79">
        <v>121343</v>
      </c>
      <c r="B650" s="79">
        <v>1213431</v>
      </c>
      <c r="C650" s="79" t="s">
        <v>822</v>
      </c>
      <c r="D650" s="79">
        <v>1213432</v>
      </c>
      <c r="E650" s="79" t="s">
        <v>826</v>
      </c>
      <c r="F650" s="79">
        <v>12</v>
      </c>
      <c r="G650" s="79">
        <v>0</v>
      </c>
      <c r="H650" s="80" t="s">
        <v>827</v>
      </c>
      <c r="I650" s="80">
        <v>101343</v>
      </c>
      <c r="J650" s="101"/>
      <c r="K650" s="79">
        <v>6</v>
      </c>
      <c r="L650" s="79">
        <v>0</v>
      </c>
      <c r="M650" s="127">
        <v>0</v>
      </c>
      <c r="N650" s="79">
        <v>1</v>
      </c>
      <c r="O650" s="79">
        <v>0</v>
      </c>
      <c r="P650" s="107"/>
      <c r="Q650" s="80">
        <v>101343</v>
      </c>
      <c r="R650" s="79"/>
    </row>
    <row r="651" spans="1:18" s="108" customFormat="1">
      <c r="A651" s="79">
        <v>121344</v>
      </c>
      <c r="B651" s="79">
        <v>1213441</v>
      </c>
      <c r="C651" s="79" t="s">
        <v>822</v>
      </c>
      <c r="D651" s="79">
        <v>1213442</v>
      </c>
      <c r="E651" s="79" t="s">
        <v>828</v>
      </c>
      <c r="F651" s="79">
        <v>12</v>
      </c>
      <c r="G651" s="79">
        <v>0</v>
      </c>
      <c r="H651" s="80" t="s">
        <v>829</v>
      </c>
      <c r="I651" s="80">
        <v>101344</v>
      </c>
      <c r="J651" s="101"/>
      <c r="K651" s="79">
        <v>7</v>
      </c>
      <c r="L651" s="79">
        <v>0</v>
      </c>
      <c r="M651" s="127">
        <v>0</v>
      </c>
      <c r="N651" s="79">
        <v>1</v>
      </c>
      <c r="O651" s="79">
        <v>0</v>
      </c>
      <c r="P651" s="107"/>
      <c r="Q651" s="80">
        <v>101344</v>
      </c>
      <c r="R651" s="79"/>
    </row>
    <row r="652" spans="1:18" s="109" customFormat="1">
      <c r="A652" s="82">
        <v>121451</v>
      </c>
      <c r="B652" s="82">
        <f t="shared" ref="B652" si="53">A652*10+1</f>
        <v>1214511</v>
      </c>
      <c r="C652" s="82" t="s">
        <v>889</v>
      </c>
      <c r="D652" s="82">
        <f t="shared" ref="D652" si="54">A652*10+2</f>
        <v>1214512</v>
      </c>
      <c r="E652" s="102" t="s">
        <v>890</v>
      </c>
      <c r="F652" s="82">
        <v>12</v>
      </c>
      <c r="G652" s="82">
        <v>0</v>
      </c>
      <c r="H652" s="83" t="s">
        <v>891</v>
      </c>
      <c r="I652" s="83">
        <v>101452</v>
      </c>
      <c r="J652" s="102"/>
      <c r="K652" s="82">
        <v>4</v>
      </c>
      <c r="L652" s="82"/>
      <c r="M652" s="135"/>
      <c r="N652" s="82">
        <v>1</v>
      </c>
      <c r="O652" s="82">
        <v>0</v>
      </c>
      <c r="P652" s="136"/>
      <c r="Q652" s="83">
        <v>101452</v>
      </c>
      <c r="R652" s="82"/>
    </row>
    <row r="653" spans="1:18" s="110" customFormat="1">
      <c r="A653" s="88">
        <v>121452</v>
      </c>
      <c r="B653" s="88">
        <v>1214521</v>
      </c>
      <c r="C653" s="88" t="s">
        <v>889</v>
      </c>
      <c r="D653" s="88">
        <v>1214522</v>
      </c>
      <c r="E653" s="88" t="s">
        <v>892</v>
      </c>
      <c r="F653" s="88">
        <v>12</v>
      </c>
      <c r="G653" s="88">
        <v>0</v>
      </c>
      <c r="H653" s="89" t="s">
        <v>891</v>
      </c>
      <c r="I653" s="89">
        <v>101452</v>
      </c>
      <c r="J653" s="137"/>
      <c r="K653" s="88">
        <v>5</v>
      </c>
      <c r="L653" s="88">
        <v>0</v>
      </c>
      <c r="M653" s="138">
        <v>0</v>
      </c>
      <c r="N653" s="88">
        <v>1</v>
      </c>
      <c r="O653" s="88">
        <v>0</v>
      </c>
      <c r="P653" s="139"/>
      <c r="Q653" s="89">
        <v>101452</v>
      </c>
      <c r="R653" s="88"/>
    </row>
    <row r="654" spans="1:18" s="110" customFormat="1">
      <c r="A654" s="88">
        <v>121453</v>
      </c>
      <c r="B654" s="88">
        <v>1214531</v>
      </c>
      <c r="C654" s="88" t="s">
        <v>889</v>
      </c>
      <c r="D654" s="88">
        <v>1214532</v>
      </c>
      <c r="E654" s="88" t="s">
        <v>893</v>
      </c>
      <c r="F654" s="88">
        <v>12</v>
      </c>
      <c r="G654" s="88">
        <v>0</v>
      </c>
      <c r="H654" s="89" t="s">
        <v>894</v>
      </c>
      <c r="I654" s="89">
        <v>101453</v>
      </c>
      <c r="J654" s="137"/>
      <c r="K654" s="88">
        <v>6</v>
      </c>
      <c r="L654" s="88">
        <v>0</v>
      </c>
      <c r="M654" s="138">
        <v>0</v>
      </c>
      <c r="N654" s="88">
        <v>1</v>
      </c>
      <c r="O654" s="88">
        <v>0</v>
      </c>
      <c r="P654" s="139"/>
      <c r="Q654" s="89">
        <v>101453</v>
      </c>
      <c r="R654" s="88"/>
    </row>
    <row r="655" spans="1:18" s="110" customFormat="1">
      <c r="A655" s="88">
        <v>121454</v>
      </c>
      <c r="B655" s="88">
        <v>1214541</v>
      </c>
      <c r="C655" s="88" t="s">
        <v>889</v>
      </c>
      <c r="D655" s="88">
        <v>1214542</v>
      </c>
      <c r="E655" s="88" t="s">
        <v>895</v>
      </c>
      <c r="F655" s="88">
        <v>12</v>
      </c>
      <c r="G655" s="88">
        <v>0</v>
      </c>
      <c r="H655" s="89" t="s">
        <v>896</v>
      </c>
      <c r="I655" s="89">
        <v>101454</v>
      </c>
      <c r="J655" s="137"/>
      <c r="K655" s="88">
        <v>7</v>
      </c>
      <c r="L655" s="88">
        <v>0</v>
      </c>
      <c r="M655" s="138">
        <v>0</v>
      </c>
      <c r="N655" s="88">
        <v>1</v>
      </c>
      <c r="O655" s="88">
        <v>0</v>
      </c>
      <c r="P655" s="139"/>
      <c r="Q655" s="89">
        <v>101454</v>
      </c>
      <c r="R655" s="88"/>
    </row>
    <row r="656" spans="1:18" s="110" customFormat="1">
      <c r="A656" s="88">
        <v>121462</v>
      </c>
      <c r="B656" s="88">
        <v>1014621</v>
      </c>
      <c r="C656" s="88" t="s">
        <v>5508</v>
      </c>
      <c r="D656" s="88">
        <v>1014622</v>
      </c>
      <c r="E656" s="88" t="s">
        <v>5576</v>
      </c>
      <c r="F656" s="88">
        <v>12</v>
      </c>
      <c r="G656" s="88">
        <v>0</v>
      </c>
      <c r="H656" s="89" t="s">
        <v>5528</v>
      </c>
      <c r="I656" s="89">
        <v>101462</v>
      </c>
      <c r="J656" s="137"/>
      <c r="K656" s="88">
        <v>5</v>
      </c>
      <c r="L656" s="88">
        <v>0</v>
      </c>
      <c r="M656" s="138" t="s">
        <v>5529</v>
      </c>
      <c r="N656" s="88">
        <v>1</v>
      </c>
      <c r="O656" s="88">
        <v>0</v>
      </c>
      <c r="P656" s="139"/>
      <c r="Q656" s="89">
        <v>101462</v>
      </c>
      <c r="R656" s="88"/>
    </row>
    <row r="657" spans="1:18" s="106" customFormat="1">
      <c r="A657" s="79">
        <v>140012</v>
      </c>
      <c r="B657" s="79">
        <v>1000121</v>
      </c>
      <c r="C657" s="79" t="s">
        <v>284</v>
      </c>
      <c r="D657" s="79"/>
      <c r="E657" s="79" t="s">
        <v>1060</v>
      </c>
      <c r="F657" s="79">
        <v>19</v>
      </c>
      <c r="G657" s="79">
        <v>0</v>
      </c>
      <c r="H657" s="79" t="s">
        <v>286</v>
      </c>
      <c r="I657" s="79">
        <v>100012</v>
      </c>
      <c r="J657" s="79"/>
      <c r="K657" s="79">
        <v>5</v>
      </c>
      <c r="L657" s="79"/>
      <c r="M657" s="127"/>
      <c r="N657" s="79"/>
      <c r="O657" s="79"/>
      <c r="P657" s="107"/>
      <c r="Q657" s="79">
        <v>100012</v>
      </c>
      <c r="R657" s="79"/>
    </row>
    <row r="658" spans="1:18" s="106" customFormat="1">
      <c r="A658" s="79">
        <v>140013</v>
      </c>
      <c r="B658" s="79">
        <v>1000131</v>
      </c>
      <c r="C658" s="79" t="s">
        <v>284</v>
      </c>
      <c r="D658" s="79"/>
      <c r="E658" s="79" t="s">
        <v>1061</v>
      </c>
      <c r="F658" s="79">
        <v>19</v>
      </c>
      <c r="G658" s="79">
        <v>0</v>
      </c>
      <c r="H658" s="79" t="s">
        <v>286</v>
      </c>
      <c r="I658" s="79">
        <v>100012</v>
      </c>
      <c r="J658" s="79"/>
      <c r="K658" s="79">
        <v>6</v>
      </c>
      <c r="L658" s="79"/>
      <c r="M658" s="127"/>
      <c r="N658" s="79"/>
      <c r="O658" s="79"/>
      <c r="P658" s="107"/>
      <c r="Q658" s="79">
        <v>100012</v>
      </c>
      <c r="R658" s="79"/>
    </row>
    <row r="659" spans="1:18" s="106" customFormat="1">
      <c r="A659" s="79">
        <v>140014</v>
      </c>
      <c r="B659" s="79">
        <v>1000141</v>
      </c>
      <c r="C659" s="79" t="s">
        <v>284</v>
      </c>
      <c r="D659" s="79"/>
      <c r="E659" s="79" t="s">
        <v>1062</v>
      </c>
      <c r="F659" s="79">
        <v>19</v>
      </c>
      <c r="G659" s="79">
        <v>0</v>
      </c>
      <c r="H659" s="79" t="s">
        <v>286</v>
      </c>
      <c r="I659" s="79">
        <v>100014</v>
      </c>
      <c r="J659" s="79"/>
      <c r="K659" s="79">
        <v>7</v>
      </c>
      <c r="L659" s="79"/>
      <c r="M659" s="127"/>
      <c r="N659" s="79"/>
      <c r="O659" s="79"/>
      <c r="P659" s="107"/>
      <c r="Q659" s="79">
        <v>100012</v>
      </c>
      <c r="R659" s="79"/>
    </row>
    <row r="660" spans="1:18" s="106" customFormat="1">
      <c r="A660" s="79">
        <v>140022</v>
      </c>
      <c r="B660" s="79">
        <v>1000221</v>
      </c>
      <c r="C660" s="79" t="s">
        <v>291</v>
      </c>
      <c r="D660" s="79"/>
      <c r="E660" s="79" t="s">
        <v>1063</v>
      </c>
      <c r="F660" s="79">
        <v>19</v>
      </c>
      <c r="G660" s="79">
        <v>0</v>
      </c>
      <c r="H660" s="79" t="s">
        <v>293</v>
      </c>
      <c r="I660" s="79">
        <v>100022</v>
      </c>
      <c r="J660" s="79"/>
      <c r="K660" s="79">
        <v>6</v>
      </c>
      <c r="L660" s="79"/>
      <c r="M660" s="127"/>
      <c r="N660" s="79"/>
      <c r="O660" s="79"/>
      <c r="P660" s="107"/>
      <c r="Q660" s="79">
        <v>100022</v>
      </c>
      <c r="R660" s="79"/>
    </row>
    <row r="661" spans="1:18" s="106" customFormat="1">
      <c r="A661" s="79">
        <v>140023</v>
      </c>
      <c r="B661" s="79">
        <v>1000231</v>
      </c>
      <c r="C661" s="79" t="s">
        <v>291</v>
      </c>
      <c r="D661" s="79"/>
      <c r="E661" s="79" t="s">
        <v>1064</v>
      </c>
      <c r="F661" s="79">
        <v>19</v>
      </c>
      <c r="G661" s="79">
        <v>0</v>
      </c>
      <c r="H661" s="79" t="s">
        <v>293</v>
      </c>
      <c r="I661" s="79">
        <v>100023</v>
      </c>
      <c r="J661" s="79"/>
      <c r="K661" s="79">
        <v>7</v>
      </c>
      <c r="L661" s="79"/>
      <c r="M661" s="127"/>
      <c r="N661" s="79"/>
      <c r="O661" s="79"/>
      <c r="P661" s="107"/>
      <c r="Q661" s="79">
        <v>100022</v>
      </c>
      <c r="R661" s="79"/>
    </row>
    <row r="662" spans="1:18" s="106" customFormat="1">
      <c r="A662" s="79">
        <v>140042</v>
      </c>
      <c r="B662" s="79">
        <v>1000421</v>
      </c>
      <c r="C662" s="79" t="s">
        <v>301</v>
      </c>
      <c r="D662" s="79"/>
      <c r="E662" s="79" t="s">
        <v>1065</v>
      </c>
      <c r="F662" s="79">
        <v>19</v>
      </c>
      <c r="G662" s="79">
        <v>0</v>
      </c>
      <c r="H662" s="79" t="s">
        <v>303</v>
      </c>
      <c r="I662" s="79">
        <v>100042</v>
      </c>
      <c r="J662" s="79"/>
      <c r="K662" s="79">
        <v>5</v>
      </c>
      <c r="L662" s="79"/>
      <c r="M662" s="127"/>
      <c r="N662" s="79"/>
      <c r="O662" s="79"/>
      <c r="P662" s="107"/>
      <c r="Q662" s="79">
        <v>100042</v>
      </c>
      <c r="R662" s="79"/>
    </row>
    <row r="663" spans="1:18" s="106" customFormat="1">
      <c r="A663" s="79">
        <v>140043</v>
      </c>
      <c r="B663" s="79">
        <v>1000431</v>
      </c>
      <c r="C663" s="79" t="s">
        <v>301</v>
      </c>
      <c r="D663" s="79"/>
      <c r="E663" s="79" t="s">
        <v>1066</v>
      </c>
      <c r="F663" s="79">
        <v>19</v>
      </c>
      <c r="G663" s="79">
        <v>0</v>
      </c>
      <c r="H663" s="79" t="s">
        <v>303</v>
      </c>
      <c r="I663" s="79">
        <v>100042</v>
      </c>
      <c r="J663" s="79"/>
      <c r="K663" s="79">
        <v>6</v>
      </c>
      <c r="L663" s="79"/>
      <c r="M663" s="127"/>
      <c r="N663" s="79"/>
      <c r="O663" s="79"/>
      <c r="P663" s="107"/>
      <c r="Q663" s="79">
        <v>100042</v>
      </c>
      <c r="R663" s="79"/>
    </row>
    <row r="664" spans="1:18" s="106" customFormat="1">
      <c r="A664" s="79">
        <v>140044</v>
      </c>
      <c r="B664" s="79">
        <v>1000441</v>
      </c>
      <c r="C664" s="79" t="s">
        <v>301</v>
      </c>
      <c r="D664" s="79"/>
      <c r="E664" s="79" t="s">
        <v>1067</v>
      </c>
      <c r="F664" s="79">
        <v>19</v>
      </c>
      <c r="G664" s="79">
        <v>0</v>
      </c>
      <c r="H664" s="79" t="s">
        <v>307</v>
      </c>
      <c r="I664" s="79">
        <v>100044</v>
      </c>
      <c r="J664" s="79"/>
      <c r="K664" s="79">
        <v>7</v>
      </c>
      <c r="L664" s="79"/>
      <c r="M664" s="127"/>
      <c r="N664" s="79"/>
      <c r="O664" s="79"/>
      <c r="P664" s="107"/>
      <c r="Q664" s="79">
        <v>100042</v>
      </c>
      <c r="R664" s="79"/>
    </row>
    <row r="665" spans="1:18" s="106" customFormat="1">
      <c r="A665" s="79">
        <v>140052</v>
      </c>
      <c r="B665" s="79">
        <v>1000521</v>
      </c>
      <c r="C665" s="79" t="s">
        <v>308</v>
      </c>
      <c r="D665" s="79"/>
      <c r="E665" s="79" t="s">
        <v>1068</v>
      </c>
      <c r="F665" s="79">
        <v>19</v>
      </c>
      <c r="G665" s="79">
        <v>0</v>
      </c>
      <c r="H665" s="79" t="s">
        <v>310</v>
      </c>
      <c r="I665" s="79">
        <v>100051</v>
      </c>
      <c r="J665" s="79"/>
      <c r="K665" s="79">
        <v>6</v>
      </c>
      <c r="L665" s="79"/>
      <c r="M665" s="127"/>
      <c r="N665" s="79"/>
      <c r="O665" s="79"/>
      <c r="P665" s="107"/>
      <c r="Q665" s="79">
        <v>100052</v>
      </c>
      <c r="R665" s="79"/>
    </row>
    <row r="666" spans="1:18" s="106" customFormat="1">
      <c r="A666" s="79">
        <v>140053</v>
      </c>
      <c r="B666" s="79">
        <v>1000531</v>
      </c>
      <c r="C666" s="79" t="s">
        <v>308</v>
      </c>
      <c r="D666" s="79"/>
      <c r="E666" s="79" t="s">
        <v>1069</v>
      </c>
      <c r="F666" s="79">
        <v>19</v>
      </c>
      <c r="G666" s="79">
        <v>0</v>
      </c>
      <c r="H666" s="79" t="s">
        <v>310</v>
      </c>
      <c r="I666" s="79">
        <v>100052</v>
      </c>
      <c r="J666" s="79"/>
      <c r="K666" s="79">
        <v>7</v>
      </c>
      <c r="L666" s="79"/>
      <c r="M666" s="127"/>
      <c r="N666" s="79"/>
      <c r="O666" s="79"/>
      <c r="P666" s="107"/>
      <c r="Q666" s="79">
        <v>100052</v>
      </c>
      <c r="R666" s="79"/>
    </row>
    <row r="667" spans="1:18" s="106" customFormat="1">
      <c r="A667" s="79">
        <v>140062</v>
      </c>
      <c r="B667" s="79">
        <v>1000621</v>
      </c>
      <c r="C667" s="79" t="s">
        <v>314</v>
      </c>
      <c r="D667" s="79"/>
      <c r="E667" s="79" t="s">
        <v>1070</v>
      </c>
      <c r="F667" s="79">
        <v>19</v>
      </c>
      <c r="G667" s="79">
        <v>0</v>
      </c>
      <c r="H667" s="79" t="s">
        <v>316</v>
      </c>
      <c r="I667" s="79">
        <v>100062</v>
      </c>
      <c r="J667" s="79"/>
      <c r="K667" s="79">
        <v>5</v>
      </c>
      <c r="L667" s="79"/>
      <c r="M667" s="127"/>
      <c r="N667" s="79"/>
      <c r="O667" s="79"/>
      <c r="P667" s="107"/>
      <c r="Q667" s="79">
        <v>100062</v>
      </c>
      <c r="R667" s="79"/>
    </row>
    <row r="668" spans="1:18" s="106" customFormat="1">
      <c r="A668" s="79">
        <v>140063</v>
      </c>
      <c r="B668" s="79">
        <v>1000631</v>
      </c>
      <c r="C668" s="79" t="s">
        <v>314</v>
      </c>
      <c r="D668" s="79"/>
      <c r="E668" s="79" t="s">
        <v>1071</v>
      </c>
      <c r="F668" s="79">
        <v>19</v>
      </c>
      <c r="G668" s="79">
        <v>0</v>
      </c>
      <c r="H668" s="79" t="s">
        <v>316</v>
      </c>
      <c r="I668" s="79">
        <v>100063</v>
      </c>
      <c r="J668" s="79"/>
      <c r="K668" s="79">
        <v>6</v>
      </c>
      <c r="L668" s="79"/>
      <c r="M668" s="127"/>
      <c r="N668" s="79"/>
      <c r="O668" s="79"/>
      <c r="P668" s="107"/>
      <c r="Q668" s="79">
        <v>100062</v>
      </c>
      <c r="R668" s="79"/>
    </row>
    <row r="669" spans="1:18" s="106" customFormat="1">
      <c r="A669" s="79">
        <v>140071</v>
      </c>
      <c r="B669" s="79">
        <v>1000711</v>
      </c>
      <c r="C669" s="79" t="s">
        <v>319</v>
      </c>
      <c r="D669" s="79"/>
      <c r="E669" s="79" t="s">
        <v>1072</v>
      </c>
      <c r="F669" s="79">
        <v>19</v>
      </c>
      <c r="G669" s="79">
        <v>0</v>
      </c>
      <c r="H669" s="79" t="s">
        <v>321</v>
      </c>
      <c r="I669" s="79">
        <v>100071</v>
      </c>
      <c r="J669" s="79"/>
      <c r="K669" s="79">
        <v>5</v>
      </c>
      <c r="L669" s="79"/>
      <c r="M669" s="127"/>
      <c r="N669" s="79"/>
      <c r="O669" s="79"/>
      <c r="P669" s="107"/>
      <c r="Q669" s="79">
        <v>100071</v>
      </c>
      <c r="R669" s="79"/>
    </row>
    <row r="670" spans="1:18" s="106" customFormat="1">
      <c r="A670" s="79">
        <v>140072</v>
      </c>
      <c r="B670" s="79">
        <v>1000721</v>
      </c>
      <c r="C670" s="79" t="s">
        <v>319</v>
      </c>
      <c r="D670" s="79"/>
      <c r="E670" s="79" t="s">
        <v>1073</v>
      </c>
      <c r="F670" s="79">
        <v>19</v>
      </c>
      <c r="G670" s="79">
        <v>0</v>
      </c>
      <c r="H670" s="79" t="s">
        <v>321</v>
      </c>
      <c r="I670" s="79">
        <v>100072</v>
      </c>
      <c r="J670" s="79"/>
      <c r="K670" s="79">
        <v>6</v>
      </c>
      <c r="L670" s="79"/>
      <c r="M670" s="127"/>
      <c r="N670" s="79"/>
      <c r="O670" s="79"/>
      <c r="P670" s="107"/>
      <c r="Q670" s="79">
        <v>100072</v>
      </c>
      <c r="R670" s="79"/>
    </row>
    <row r="671" spans="1:18" s="106" customFormat="1">
      <c r="A671" s="79">
        <v>140073</v>
      </c>
      <c r="B671" s="79">
        <v>1000731</v>
      </c>
      <c r="C671" s="79" t="s">
        <v>319</v>
      </c>
      <c r="D671" s="79"/>
      <c r="E671" s="79" t="s">
        <v>1074</v>
      </c>
      <c r="F671" s="79">
        <v>19</v>
      </c>
      <c r="G671" s="79">
        <v>0</v>
      </c>
      <c r="H671" s="79" t="s">
        <v>321</v>
      </c>
      <c r="I671" s="79">
        <v>100073</v>
      </c>
      <c r="J671" s="79"/>
      <c r="K671" s="79">
        <v>7</v>
      </c>
      <c r="L671" s="79"/>
      <c r="M671" s="127"/>
      <c r="N671" s="79"/>
      <c r="O671" s="79"/>
      <c r="P671" s="107"/>
      <c r="Q671" s="79">
        <v>100072</v>
      </c>
      <c r="R671" s="79"/>
    </row>
    <row r="672" spans="1:18" s="106" customFormat="1">
      <c r="A672" s="79">
        <v>140081</v>
      </c>
      <c r="B672" s="79">
        <v>1000811</v>
      </c>
      <c r="C672" s="79" t="s">
        <v>324</v>
      </c>
      <c r="D672" s="79"/>
      <c r="E672" s="79" t="s">
        <v>1075</v>
      </c>
      <c r="F672" s="79">
        <v>19</v>
      </c>
      <c r="G672" s="79">
        <v>0</v>
      </c>
      <c r="H672" s="79" t="s">
        <v>326</v>
      </c>
      <c r="I672" s="79">
        <v>100081</v>
      </c>
      <c r="J672" s="79"/>
      <c r="K672" s="79">
        <v>5</v>
      </c>
      <c r="L672" s="79"/>
      <c r="M672" s="127"/>
      <c r="N672" s="79"/>
      <c r="O672" s="79"/>
      <c r="P672" s="107"/>
      <c r="Q672" s="79">
        <v>100081</v>
      </c>
      <c r="R672" s="79"/>
    </row>
    <row r="673" spans="1:18" s="106" customFormat="1">
      <c r="A673" s="79">
        <v>140082</v>
      </c>
      <c r="B673" s="79">
        <v>1000821</v>
      </c>
      <c r="C673" s="79" t="s">
        <v>324</v>
      </c>
      <c r="D673" s="79"/>
      <c r="E673" s="79" t="s">
        <v>1076</v>
      </c>
      <c r="F673" s="79">
        <v>19</v>
      </c>
      <c r="G673" s="79">
        <v>0</v>
      </c>
      <c r="H673" s="79" t="s">
        <v>326</v>
      </c>
      <c r="I673" s="79">
        <v>100082</v>
      </c>
      <c r="J673" s="79"/>
      <c r="K673" s="79">
        <v>6</v>
      </c>
      <c r="L673" s="79"/>
      <c r="M673" s="127"/>
      <c r="N673" s="79"/>
      <c r="O673" s="79"/>
      <c r="P673" s="107"/>
      <c r="Q673" s="79">
        <v>100082</v>
      </c>
      <c r="R673" s="79"/>
    </row>
    <row r="674" spans="1:18" s="106" customFormat="1">
      <c r="A674" s="79">
        <v>140083</v>
      </c>
      <c r="B674" s="79">
        <v>1000831</v>
      </c>
      <c r="C674" s="79" t="s">
        <v>324</v>
      </c>
      <c r="D674" s="79"/>
      <c r="E674" s="79" t="s">
        <v>1077</v>
      </c>
      <c r="F674" s="79">
        <v>19</v>
      </c>
      <c r="G674" s="79">
        <v>0</v>
      </c>
      <c r="H674" s="79" t="s">
        <v>326</v>
      </c>
      <c r="I674" s="79">
        <v>100083</v>
      </c>
      <c r="J674" s="79"/>
      <c r="K674" s="79">
        <v>7</v>
      </c>
      <c r="L674" s="79"/>
      <c r="M674" s="127"/>
      <c r="N674" s="79"/>
      <c r="O674" s="79"/>
      <c r="P674" s="107"/>
      <c r="Q674" s="79">
        <v>100082</v>
      </c>
      <c r="R674" s="79"/>
    </row>
    <row r="675" spans="1:18" s="106" customFormat="1">
      <c r="A675" s="79">
        <v>140091</v>
      </c>
      <c r="B675" s="79">
        <v>1000911</v>
      </c>
      <c r="C675" s="79" t="s">
        <v>329</v>
      </c>
      <c r="D675" s="79"/>
      <c r="E675" s="79" t="s">
        <v>1078</v>
      </c>
      <c r="F675" s="79">
        <v>19</v>
      </c>
      <c r="G675" s="79">
        <v>0</v>
      </c>
      <c r="H675" s="79" t="s">
        <v>331</v>
      </c>
      <c r="I675" s="79">
        <v>100091</v>
      </c>
      <c r="J675" s="79"/>
      <c r="K675" s="79">
        <v>5</v>
      </c>
      <c r="L675" s="79"/>
      <c r="M675" s="127"/>
      <c r="N675" s="79"/>
      <c r="O675" s="79"/>
      <c r="P675" s="107"/>
      <c r="Q675" s="79">
        <v>100091</v>
      </c>
      <c r="R675" s="79"/>
    </row>
    <row r="676" spans="1:18" s="106" customFormat="1">
      <c r="A676" s="79">
        <v>140092</v>
      </c>
      <c r="B676" s="79">
        <v>1000921</v>
      </c>
      <c r="C676" s="79" t="s">
        <v>329</v>
      </c>
      <c r="D676" s="79"/>
      <c r="E676" s="79" t="s">
        <v>1079</v>
      </c>
      <c r="F676" s="79">
        <v>19</v>
      </c>
      <c r="G676" s="79">
        <v>0</v>
      </c>
      <c r="H676" s="79" t="s">
        <v>331</v>
      </c>
      <c r="I676" s="79">
        <v>100092</v>
      </c>
      <c r="J676" s="79"/>
      <c r="K676" s="79">
        <v>6</v>
      </c>
      <c r="L676" s="79"/>
      <c r="M676" s="127"/>
      <c r="N676" s="79"/>
      <c r="O676" s="79"/>
      <c r="P676" s="107"/>
      <c r="Q676" s="79">
        <v>100092</v>
      </c>
      <c r="R676" s="79"/>
    </row>
    <row r="677" spans="1:18" s="106" customFormat="1">
      <c r="A677" s="79">
        <v>140093</v>
      </c>
      <c r="B677" s="79">
        <v>1000931</v>
      </c>
      <c r="C677" s="79" t="s">
        <v>329</v>
      </c>
      <c r="D677" s="79"/>
      <c r="E677" s="79" t="s">
        <v>1080</v>
      </c>
      <c r="F677" s="79">
        <v>19</v>
      </c>
      <c r="G677" s="79">
        <v>0</v>
      </c>
      <c r="H677" s="79" t="s">
        <v>331</v>
      </c>
      <c r="I677" s="79">
        <v>100093</v>
      </c>
      <c r="J677" s="79"/>
      <c r="K677" s="79">
        <v>7</v>
      </c>
      <c r="L677" s="79"/>
      <c r="M677" s="127"/>
      <c r="N677" s="79"/>
      <c r="O677" s="79"/>
      <c r="P677" s="107"/>
      <c r="Q677" s="79">
        <v>100092</v>
      </c>
      <c r="R677" s="79"/>
    </row>
    <row r="678" spans="1:18" s="106" customFormat="1">
      <c r="A678" s="79">
        <v>140101</v>
      </c>
      <c r="B678" s="79">
        <v>1001011</v>
      </c>
      <c r="C678" s="79" t="s">
        <v>334</v>
      </c>
      <c r="D678" s="79"/>
      <c r="E678" s="79" t="s">
        <v>1081</v>
      </c>
      <c r="F678" s="79">
        <v>19</v>
      </c>
      <c r="G678" s="79">
        <v>0</v>
      </c>
      <c r="H678" s="79" t="s">
        <v>336</v>
      </c>
      <c r="I678" s="79">
        <v>100101</v>
      </c>
      <c r="J678" s="79"/>
      <c r="K678" s="79">
        <v>5</v>
      </c>
      <c r="L678" s="79"/>
      <c r="M678" s="127"/>
      <c r="N678" s="79"/>
      <c r="O678" s="79"/>
      <c r="P678" s="107"/>
      <c r="Q678" s="79">
        <v>100101</v>
      </c>
      <c r="R678" s="79"/>
    </row>
    <row r="679" spans="1:18" s="106" customFormat="1">
      <c r="A679" s="79">
        <v>140102</v>
      </c>
      <c r="B679" s="79">
        <v>1001021</v>
      </c>
      <c r="C679" s="79" t="s">
        <v>334</v>
      </c>
      <c r="D679" s="79"/>
      <c r="E679" s="79" t="s">
        <v>1082</v>
      </c>
      <c r="F679" s="79">
        <v>19</v>
      </c>
      <c r="G679" s="79">
        <v>0</v>
      </c>
      <c r="H679" s="79" t="s">
        <v>336</v>
      </c>
      <c r="I679" s="79">
        <v>100102</v>
      </c>
      <c r="J679" s="79"/>
      <c r="K679" s="79">
        <v>6</v>
      </c>
      <c r="L679" s="79"/>
      <c r="M679" s="127"/>
      <c r="N679" s="79"/>
      <c r="O679" s="79"/>
      <c r="P679" s="107"/>
      <c r="Q679" s="79">
        <v>100102</v>
      </c>
      <c r="R679" s="79"/>
    </row>
    <row r="680" spans="1:18" s="106" customFormat="1">
      <c r="A680" s="79">
        <v>140103</v>
      </c>
      <c r="B680" s="79">
        <v>1001031</v>
      </c>
      <c r="C680" s="79" t="s">
        <v>334</v>
      </c>
      <c r="D680" s="79"/>
      <c r="E680" s="79" t="s">
        <v>1083</v>
      </c>
      <c r="F680" s="79">
        <v>19</v>
      </c>
      <c r="G680" s="79">
        <v>0</v>
      </c>
      <c r="H680" s="79" t="s">
        <v>336</v>
      </c>
      <c r="I680" s="79">
        <v>100103</v>
      </c>
      <c r="J680" s="79"/>
      <c r="K680" s="79">
        <v>7</v>
      </c>
      <c r="L680" s="79"/>
      <c r="M680" s="127"/>
      <c r="N680" s="79"/>
      <c r="O680" s="79"/>
      <c r="P680" s="107"/>
      <c r="Q680" s="79">
        <v>100102</v>
      </c>
      <c r="R680" s="79"/>
    </row>
    <row r="681" spans="1:18" s="106" customFormat="1">
      <c r="A681" s="79">
        <v>140111</v>
      </c>
      <c r="B681" s="79">
        <v>1001111</v>
      </c>
      <c r="C681" s="79" t="s">
        <v>339</v>
      </c>
      <c r="D681" s="79"/>
      <c r="E681" s="79" t="s">
        <v>1084</v>
      </c>
      <c r="F681" s="79">
        <v>19</v>
      </c>
      <c r="G681" s="79">
        <v>0</v>
      </c>
      <c r="H681" s="79" t="s">
        <v>341</v>
      </c>
      <c r="I681" s="79">
        <v>100111</v>
      </c>
      <c r="J681" s="79"/>
      <c r="K681" s="79">
        <v>6</v>
      </c>
      <c r="L681" s="79"/>
      <c r="M681" s="127"/>
      <c r="N681" s="79"/>
      <c r="O681" s="79"/>
      <c r="P681" s="107"/>
      <c r="Q681" s="79">
        <v>100111</v>
      </c>
      <c r="R681" s="79"/>
    </row>
    <row r="682" spans="1:18" s="106" customFormat="1">
      <c r="A682" s="79">
        <v>140113</v>
      </c>
      <c r="B682" s="79">
        <v>1001131</v>
      </c>
      <c r="C682" s="79" t="s">
        <v>339</v>
      </c>
      <c r="D682" s="79"/>
      <c r="E682" s="79" t="s">
        <v>1085</v>
      </c>
      <c r="F682" s="79">
        <v>19</v>
      </c>
      <c r="G682" s="79">
        <v>0</v>
      </c>
      <c r="H682" s="79" t="s">
        <v>341</v>
      </c>
      <c r="I682" s="79">
        <v>100111</v>
      </c>
      <c r="J682" s="79"/>
      <c r="K682" s="79">
        <v>7</v>
      </c>
      <c r="L682" s="79"/>
      <c r="M682" s="127"/>
      <c r="N682" s="79"/>
      <c r="O682" s="79"/>
      <c r="P682" s="107"/>
      <c r="Q682" s="79">
        <v>100112</v>
      </c>
      <c r="R682" s="79"/>
    </row>
    <row r="683" spans="1:18" s="106" customFormat="1">
      <c r="A683" s="79">
        <v>140114</v>
      </c>
      <c r="B683" s="79">
        <v>1001141</v>
      </c>
      <c r="C683" s="79" t="s">
        <v>339</v>
      </c>
      <c r="D683" s="79"/>
      <c r="E683" s="79" t="s">
        <v>1086</v>
      </c>
      <c r="F683" s="79">
        <v>19</v>
      </c>
      <c r="G683" s="79">
        <v>0</v>
      </c>
      <c r="H683" s="79" t="s">
        <v>341</v>
      </c>
      <c r="I683" s="79">
        <v>100111</v>
      </c>
      <c r="J683" s="79"/>
      <c r="K683" s="79">
        <v>5</v>
      </c>
      <c r="L683" s="79"/>
      <c r="M683" s="127"/>
      <c r="N683" s="79"/>
      <c r="O683" s="79"/>
      <c r="P683" s="107"/>
      <c r="Q683" s="79">
        <v>100112</v>
      </c>
      <c r="R683" s="79"/>
    </row>
    <row r="684" spans="1:18" s="106" customFormat="1">
      <c r="A684" s="79">
        <v>140121</v>
      </c>
      <c r="B684" s="79">
        <v>1001211</v>
      </c>
      <c r="C684" s="79" t="s">
        <v>344</v>
      </c>
      <c r="D684" s="79"/>
      <c r="E684" s="79" t="s">
        <v>1087</v>
      </c>
      <c r="F684" s="79">
        <v>19</v>
      </c>
      <c r="G684" s="79">
        <v>0</v>
      </c>
      <c r="H684" s="79" t="s">
        <v>346</v>
      </c>
      <c r="I684" s="79">
        <v>100121</v>
      </c>
      <c r="J684" s="79"/>
      <c r="K684" s="79">
        <v>5</v>
      </c>
      <c r="L684" s="79"/>
      <c r="M684" s="127"/>
      <c r="N684" s="79"/>
      <c r="O684" s="79"/>
      <c r="P684" s="107"/>
      <c r="Q684" s="79">
        <v>100121</v>
      </c>
      <c r="R684" s="79"/>
    </row>
    <row r="685" spans="1:18" s="106" customFormat="1">
      <c r="A685" s="79">
        <v>140122</v>
      </c>
      <c r="B685" s="79">
        <v>1001221</v>
      </c>
      <c r="C685" s="79" t="s">
        <v>344</v>
      </c>
      <c r="D685" s="79"/>
      <c r="E685" s="79" t="s">
        <v>1088</v>
      </c>
      <c r="F685" s="79">
        <v>19</v>
      </c>
      <c r="G685" s="79">
        <v>0</v>
      </c>
      <c r="H685" s="79" t="s">
        <v>346</v>
      </c>
      <c r="I685" s="79">
        <v>100122</v>
      </c>
      <c r="J685" s="79"/>
      <c r="K685" s="79">
        <v>6</v>
      </c>
      <c r="L685" s="79"/>
      <c r="M685" s="127"/>
      <c r="N685" s="79"/>
      <c r="O685" s="79"/>
      <c r="P685" s="107"/>
      <c r="Q685" s="79">
        <v>100122</v>
      </c>
      <c r="R685" s="79"/>
    </row>
    <row r="686" spans="1:18" s="106" customFormat="1">
      <c r="A686" s="79">
        <v>140123</v>
      </c>
      <c r="B686" s="79">
        <v>1001231</v>
      </c>
      <c r="C686" s="79" t="s">
        <v>344</v>
      </c>
      <c r="D686" s="79"/>
      <c r="E686" s="79" t="s">
        <v>1089</v>
      </c>
      <c r="F686" s="79">
        <v>19</v>
      </c>
      <c r="G686" s="79">
        <v>0</v>
      </c>
      <c r="H686" s="79" t="s">
        <v>346</v>
      </c>
      <c r="I686" s="79">
        <v>100123</v>
      </c>
      <c r="J686" s="79"/>
      <c r="K686" s="79">
        <v>7</v>
      </c>
      <c r="L686" s="79"/>
      <c r="M686" s="127"/>
      <c r="N686" s="79"/>
      <c r="O686" s="79"/>
      <c r="P686" s="107"/>
      <c r="Q686" s="79">
        <v>100122</v>
      </c>
      <c r="R686" s="79"/>
    </row>
    <row r="687" spans="1:18" s="106" customFormat="1">
      <c r="A687" s="79">
        <v>140131</v>
      </c>
      <c r="B687" s="79">
        <v>1001311</v>
      </c>
      <c r="C687" s="79" t="s">
        <v>350</v>
      </c>
      <c r="D687" s="79"/>
      <c r="E687" s="79" t="s">
        <v>1090</v>
      </c>
      <c r="F687" s="79">
        <v>19</v>
      </c>
      <c r="G687" s="79">
        <v>0</v>
      </c>
      <c r="H687" s="79" t="s">
        <v>352</v>
      </c>
      <c r="I687" s="79">
        <v>100131</v>
      </c>
      <c r="J687" s="79"/>
      <c r="K687" s="79">
        <v>5</v>
      </c>
      <c r="L687" s="79"/>
      <c r="M687" s="127"/>
      <c r="N687" s="79"/>
      <c r="O687" s="79"/>
      <c r="P687" s="107"/>
      <c r="Q687" s="79">
        <v>100131</v>
      </c>
      <c r="R687" s="79"/>
    </row>
    <row r="688" spans="1:18" s="106" customFormat="1">
      <c r="A688" s="79">
        <v>140132</v>
      </c>
      <c r="B688" s="79">
        <v>1001321</v>
      </c>
      <c r="C688" s="79" t="s">
        <v>350</v>
      </c>
      <c r="D688" s="79"/>
      <c r="E688" s="79" t="s">
        <v>1091</v>
      </c>
      <c r="F688" s="79">
        <v>19</v>
      </c>
      <c r="G688" s="79">
        <v>0</v>
      </c>
      <c r="H688" s="79" t="s">
        <v>352</v>
      </c>
      <c r="I688" s="79">
        <v>100132</v>
      </c>
      <c r="J688" s="79"/>
      <c r="K688" s="79">
        <v>6</v>
      </c>
      <c r="L688" s="79"/>
      <c r="M688" s="127"/>
      <c r="N688" s="79"/>
      <c r="O688" s="79"/>
      <c r="P688" s="107"/>
      <c r="Q688" s="79">
        <v>100132</v>
      </c>
      <c r="R688" s="79"/>
    </row>
    <row r="689" spans="1:18" s="106" customFormat="1">
      <c r="A689" s="79">
        <v>140133</v>
      </c>
      <c r="B689" s="79">
        <v>1001331</v>
      </c>
      <c r="C689" s="79" t="s">
        <v>350</v>
      </c>
      <c r="D689" s="79"/>
      <c r="E689" s="79" t="s">
        <v>1092</v>
      </c>
      <c r="F689" s="79">
        <v>19</v>
      </c>
      <c r="G689" s="79">
        <v>0</v>
      </c>
      <c r="H689" s="79" t="s">
        <v>352</v>
      </c>
      <c r="I689" s="79">
        <v>100133</v>
      </c>
      <c r="J689" s="79"/>
      <c r="K689" s="79">
        <v>7</v>
      </c>
      <c r="L689" s="79"/>
      <c r="M689" s="127"/>
      <c r="N689" s="79"/>
      <c r="O689" s="79"/>
      <c r="P689" s="107"/>
      <c r="Q689" s="79">
        <v>100132</v>
      </c>
      <c r="R689" s="79"/>
    </row>
    <row r="690" spans="1:18" s="106" customFormat="1">
      <c r="A690" s="79">
        <v>140141</v>
      </c>
      <c r="B690" s="79">
        <v>1001411</v>
      </c>
      <c r="C690" s="79" t="s">
        <v>355</v>
      </c>
      <c r="D690" s="79"/>
      <c r="E690" s="79" t="s">
        <v>1093</v>
      </c>
      <c r="F690" s="79">
        <v>19</v>
      </c>
      <c r="G690" s="79">
        <v>0</v>
      </c>
      <c r="H690" s="79" t="s">
        <v>357</v>
      </c>
      <c r="I690" s="79">
        <v>100141</v>
      </c>
      <c r="J690" s="79"/>
      <c r="K690" s="79">
        <v>5</v>
      </c>
      <c r="L690" s="79"/>
      <c r="M690" s="127"/>
      <c r="N690" s="79"/>
      <c r="O690" s="79"/>
      <c r="P690" s="107"/>
      <c r="Q690" s="79">
        <v>100141</v>
      </c>
      <c r="R690" s="79"/>
    </row>
    <row r="691" spans="1:18" s="106" customFormat="1">
      <c r="A691" s="79">
        <v>140142</v>
      </c>
      <c r="B691" s="79">
        <v>1001421</v>
      </c>
      <c r="C691" s="79" t="s">
        <v>355</v>
      </c>
      <c r="D691" s="79"/>
      <c r="E691" s="79" t="s">
        <v>1094</v>
      </c>
      <c r="F691" s="79">
        <v>19</v>
      </c>
      <c r="G691" s="79">
        <v>0</v>
      </c>
      <c r="H691" s="79" t="s">
        <v>357</v>
      </c>
      <c r="I691" s="79">
        <v>100142</v>
      </c>
      <c r="J691" s="79"/>
      <c r="K691" s="79">
        <v>6</v>
      </c>
      <c r="L691" s="79"/>
      <c r="M691" s="127"/>
      <c r="N691" s="79"/>
      <c r="O691" s="79"/>
      <c r="P691" s="107"/>
      <c r="Q691" s="79">
        <v>100142</v>
      </c>
      <c r="R691" s="79"/>
    </row>
    <row r="692" spans="1:18" s="106" customFormat="1">
      <c r="A692" s="79">
        <v>140143</v>
      </c>
      <c r="B692" s="79">
        <v>1001431</v>
      </c>
      <c r="C692" s="79" t="s">
        <v>355</v>
      </c>
      <c r="D692" s="79"/>
      <c r="E692" s="79" t="s">
        <v>1095</v>
      </c>
      <c r="F692" s="79">
        <v>19</v>
      </c>
      <c r="G692" s="79">
        <v>0</v>
      </c>
      <c r="H692" s="79" t="s">
        <v>357</v>
      </c>
      <c r="I692" s="79">
        <v>100143</v>
      </c>
      <c r="J692" s="79"/>
      <c r="K692" s="79">
        <v>7</v>
      </c>
      <c r="L692" s="79"/>
      <c r="M692" s="127"/>
      <c r="N692" s="79"/>
      <c r="O692" s="79"/>
      <c r="P692" s="107"/>
      <c r="Q692" s="79">
        <v>100142</v>
      </c>
      <c r="R692" s="79"/>
    </row>
    <row r="693" spans="1:18" s="106" customFormat="1">
      <c r="A693" s="79">
        <v>140162</v>
      </c>
      <c r="B693" s="79">
        <v>1001621</v>
      </c>
      <c r="C693" s="79" t="s">
        <v>365</v>
      </c>
      <c r="D693" s="79"/>
      <c r="E693" s="79" t="s">
        <v>1096</v>
      </c>
      <c r="F693" s="79">
        <v>19</v>
      </c>
      <c r="G693" s="79">
        <v>0</v>
      </c>
      <c r="H693" s="79" t="s">
        <v>367</v>
      </c>
      <c r="I693" s="79">
        <v>100162</v>
      </c>
      <c r="J693" s="79"/>
      <c r="K693" s="79">
        <v>5</v>
      </c>
      <c r="L693" s="79"/>
      <c r="M693" s="127"/>
      <c r="N693" s="79"/>
      <c r="O693" s="79"/>
      <c r="P693" s="107"/>
      <c r="Q693" s="79">
        <v>100162</v>
      </c>
      <c r="R693" s="79"/>
    </row>
    <row r="694" spans="1:18" s="106" customFormat="1">
      <c r="A694" s="79">
        <v>140173</v>
      </c>
      <c r="B694" s="79">
        <v>1001731</v>
      </c>
      <c r="C694" s="79" t="s">
        <v>369</v>
      </c>
      <c r="D694" s="79"/>
      <c r="E694" s="79" t="s">
        <v>1097</v>
      </c>
      <c r="F694" s="79">
        <v>19</v>
      </c>
      <c r="G694" s="79">
        <v>0</v>
      </c>
      <c r="H694" s="79" t="s">
        <v>371</v>
      </c>
      <c r="I694" s="79">
        <v>100173</v>
      </c>
      <c r="J694" s="79"/>
      <c r="K694" s="79">
        <v>5</v>
      </c>
      <c r="L694" s="79"/>
      <c r="M694" s="127"/>
      <c r="N694" s="79"/>
      <c r="O694" s="79"/>
      <c r="P694" s="107"/>
      <c r="Q694" s="79">
        <v>100173</v>
      </c>
      <c r="R694" s="79"/>
    </row>
    <row r="695" spans="1:18" s="106" customFormat="1">
      <c r="A695" s="79">
        <v>140174</v>
      </c>
      <c r="B695" s="79">
        <v>1001741</v>
      </c>
      <c r="C695" s="79" t="s">
        <v>369</v>
      </c>
      <c r="D695" s="79"/>
      <c r="E695" s="79" t="s">
        <v>1098</v>
      </c>
      <c r="F695" s="79">
        <v>19</v>
      </c>
      <c r="G695" s="79">
        <v>0</v>
      </c>
      <c r="H695" s="79" t="s">
        <v>371</v>
      </c>
      <c r="I695" s="79">
        <v>100174</v>
      </c>
      <c r="J695" s="79"/>
      <c r="K695" s="79">
        <v>6</v>
      </c>
      <c r="L695" s="79"/>
      <c r="M695" s="127"/>
      <c r="N695" s="79"/>
      <c r="O695" s="79"/>
      <c r="P695" s="107"/>
      <c r="Q695" s="79">
        <v>100173</v>
      </c>
      <c r="R695" s="79"/>
    </row>
    <row r="696" spans="1:18" s="106" customFormat="1">
      <c r="A696" s="79">
        <v>140175</v>
      </c>
      <c r="B696" s="79">
        <v>1001751</v>
      </c>
      <c r="C696" s="79" t="s">
        <v>369</v>
      </c>
      <c r="D696" s="79"/>
      <c r="E696" s="79" t="s">
        <v>1099</v>
      </c>
      <c r="F696" s="79">
        <v>19</v>
      </c>
      <c r="G696" s="79">
        <v>0</v>
      </c>
      <c r="H696" s="79" t="s">
        <v>371</v>
      </c>
      <c r="I696" s="79">
        <v>100175</v>
      </c>
      <c r="J696" s="79"/>
      <c r="K696" s="79">
        <v>7</v>
      </c>
      <c r="L696" s="79"/>
      <c r="M696" s="127"/>
      <c r="N696" s="79"/>
      <c r="O696" s="79"/>
      <c r="P696" s="107"/>
      <c r="Q696" s="79">
        <v>100173</v>
      </c>
      <c r="R696" s="79"/>
    </row>
    <row r="697" spans="1:18" s="106" customFormat="1">
      <c r="A697" s="79">
        <v>140181</v>
      </c>
      <c r="B697" s="79">
        <v>1001811</v>
      </c>
      <c r="C697" s="79" t="s">
        <v>376</v>
      </c>
      <c r="D697" s="79"/>
      <c r="E697" s="79" t="s">
        <v>1100</v>
      </c>
      <c r="F697" s="79">
        <v>19</v>
      </c>
      <c r="G697" s="79">
        <v>0</v>
      </c>
      <c r="H697" s="79" t="s">
        <v>378</v>
      </c>
      <c r="I697" s="79">
        <v>100181</v>
      </c>
      <c r="J697" s="79"/>
      <c r="K697" s="79">
        <v>6</v>
      </c>
      <c r="L697" s="79"/>
      <c r="M697" s="127"/>
      <c r="N697" s="79"/>
      <c r="O697" s="79"/>
      <c r="P697" s="107"/>
      <c r="Q697" s="79">
        <v>100181</v>
      </c>
      <c r="R697" s="79"/>
    </row>
    <row r="698" spans="1:18" s="106" customFormat="1">
      <c r="A698" s="79">
        <v>140193</v>
      </c>
      <c r="B698" s="79">
        <v>1001931</v>
      </c>
      <c r="C698" s="79" t="s">
        <v>379</v>
      </c>
      <c r="D698" s="79"/>
      <c r="E698" s="79" t="s">
        <v>1101</v>
      </c>
      <c r="F698" s="79">
        <v>19</v>
      </c>
      <c r="G698" s="79">
        <v>0</v>
      </c>
      <c r="H698" s="79" t="s">
        <v>381</v>
      </c>
      <c r="I698" s="79">
        <v>100193</v>
      </c>
      <c r="J698" s="79"/>
      <c r="K698" s="79">
        <v>5</v>
      </c>
      <c r="L698" s="79"/>
      <c r="M698" s="127"/>
      <c r="N698" s="79"/>
      <c r="O698" s="79"/>
      <c r="P698" s="107"/>
      <c r="Q698" s="79">
        <v>100193</v>
      </c>
      <c r="R698" s="79"/>
    </row>
    <row r="699" spans="1:18" s="106" customFormat="1">
      <c r="A699" s="79">
        <v>140194</v>
      </c>
      <c r="B699" s="79">
        <v>1001941</v>
      </c>
      <c r="C699" s="79" t="s">
        <v>379</v>
      </c>
      <c r="D699" s="79"/>
      <c r="E699" s="79" t="s">
        <v>1102</v>
      </c>
      <c r="F699" s="79">
        <v>19</v>
      </c>
      <c r="G699" s="79">
        <v>0</v>
      </c>
      <c r="H699" s="79" t="s">
        <v>381</v>
      </c>
      <c r="I699" s="79">
        <v>100194</v>
      </c>
      <c r="J699" s="79"/>
      <c r="K699" s="79">
        <v>6</v>
      </c>
      <c r="L699" s="79"/>
      <c r="M699" s="127"/>
      <c r="N699" s="79"/>
      <c r="O699" s="79"/>
      <c r="P699" s="107"/>
      <c r="Q699" s="79">
        <v>100193</v>
      </c>
      <c r="R699" s="79"/>
    </row>
    <row r="700" spans="1:18" s="106" customFormat="1">
      <c r="A700" s="79">
        <v>140195</v>
      </c>
      <c r="B700" s="79">
        <v>1001951</v>
      </c>
      <c r="C700" s="79" t="s">
        <v>379</v>
      </c>
      <c r="D700" s="79"/>
      <c r="E700" s="79" t="s">
        <v>1103</v>
      </c>
      <c r="F700" s="79">
        <v>19</v>
      </c>
      <c r="G700" s="79">
        <v>0</v>
      </c>
      <c r="H700" s="79" t="s">
        <v>381</v>
      </c>
      <c r="I700" s="79">
        <v>100195</v>
      </c>
      <c r="J700" s="79"/>
      <c r="K700" s="79">
        <v>7</v>
      </c>
      <c r="L700" s="79"/>
      <c r="M700" s="127"/>
      <c r="N700" s="79"/>
      <c r="O700" s="79"/>
      <c r="P700" s="107"/>
      <c r="Q700" s="79">
        <v>100193</v>
      </c>
      <c r="R700" s="79"/>
    </row>
    <row r="701" spans="1:18" s="106" customFormat="1">
      <c r="A701" s="79">
        <v>140201</v>
      </c>
      <c r="B701" s="79">
        <v>1002011</v>
      </c>
      <c r="C701" s="79" t="s">
        <v>386</v>
      </c>
      <c r="D701" s="79"/>
      <c r="E701" s="79" t="s">
        <v>1104</v>
      </c>
      <c r="F701" s="79">
        <v>19</v>
      </c>
      <c r="G701" s="79">
        <v>0</v>
      </c>
      <c r="H701" s="79" t="s">
        <v>388</v>
      </c>
      <c r="I701" s="79">
        <v>100201</v>
      </c>
      <c r="J701" s="79"/>
      <c r="K701" s="79">
        <v>5</v>
      </c>
      <c r="L701" s="79"/>
      <c r="M701" s="127"/>
      <c r="N701" s="79"/>
      <c r="O701" s="79"/>
      <c r="P701" s="107"/>
      <c r="Q701" s="79">
        <v>100201</v>
      </c>
      <c r="R701" s="79"/>
    </row>
    <row r="702" spans="1:18" s="106" customFormat="1">
      <c r="A702" s="79">
        <v>140202</v>
      </c>
      <c r="B702" s="79">
        <v>1002021</v>
      </c>
      <c r="C702" s="79" t="s">
        <v>386</v>
      </c>
      <c r="D702" s="79"/>
      <c r="E702" s="79" t="s">
        <v>1105</v>
      </c>
      <c r="F702" s="79">
        <v>19</v>
      </c>
      <c r="G702" s="79">
        <v>0</v>
      </c>
      <c r="H702" s="79" t="s">
        <v>388</v>
      </c>
      <c r="I702" s="79">
        <v>100202</v>
      </c>
      <c r="J702" s="79"/>
      <c r="K702" s="79">
        <v>6</v>
      </c>
      <c r="L702" s="79"/>
      <c r="M702" s="127"/>
      <c r="N702" s="79"/>
      <c r="O702" s="79"/>
      <c r="P702" s="107"/>
      <c r="Q702" s="79">
        <v>100201</v>
      </c>
      <c r="R702" s="79"/>
    </row>
    <row r="703" spans="1:18" s="106" customFormat="1">
      <c r="A703" s="79">
        <v>140203</v>
      </c>
      <c r="B703" s="79">
        <v>1002031</v>
      </c>
      <c r="C703" s="79" t="s">
        <v>386</v>
      </c>
      <c r="D703" s="79"/>
      <c r="E703" s="79" t="s">
        <v>1106</v>
      </c>
      <c r="F703" s="79">
        <v>19</v>
      </c>
      <c r="G703" s="79">
        <v>0</v>
      </c>
      <c r="H703" s="79" t="s">
        <v>388</v>
      </c>
      <c r="I703" s="79">
        <v>100203</v>
      </c>
      <c r="J703" s="79"/>
      <c r="K703" s="79">
        <v>7</v>
      </c>
      <c r="L703" s="79"/>
      <c r="M703" s="127"/>
      <c r="N703" s="79"/>
      <c r="O703" s="79"/>
      <c r="P703" s="107"/>
      <c r="Q703" s="79">
        <v>100201</v>
      </c>
      <c r="R703" s="79"/>
    </row>
    <row r="704" spans="1:18" s="106" customFormat="1">
      <c r="A704" s="79">
        <v>140222</v>
      </c>
      <c r="B704" s="79">
        <v>1002221</v>
      </c>
      <c r="C704" s="79" t="s">
        <v>391</v>
      </c>
      <c r="D704" s="79"/>
      <c r="E704" s="79" t="s">
        <v>1107</v>
      </c>
      <c r="F704" s="79">
        <v>19</v>
      </c>
      <c r="G704" s="79">
        <v>0</v>
      </c>
      <c r="H704" s="79" t="s">
        <v>393</v>
      </c>
      <c r="I704" s="79">
        <v>100222</v>
      </c>
      <c r="J704" s="79"/>
      <c r="K704" s="79">
        <v>5</v>
      </c>
      <c r="L704" s="79"/>
      <c r="M704" s="127"/>
      <c r="N704" s="79"/>
      <c r="O704" s="79"/>
      <c r="P704" s="107"/>
      <c r="Q704" s="79">
        <v>100222</v>
      </c>
      <c r="R704" s="79"/>
    </row>
    <row r="705" spans="1:18" s="106" customFormat="1">
      <c r="A705" s="79">
        <v>140223</v>
      </c>
      <c r="B705" s="79">
        <v>1002231</v>
      </c>
      <c r="C705" s="79" t="s">
        <v>391</v>
      </c>
      <c r="D705" s="79"/>
      <c r="E705" s="79" t="s">
        <v>1108</v>
      </c>
      <c r="F705" s="79">
        <v>19</v>
      </c>
      <c r="G705" s="79">
        <v>0</v>
      </c>
      <c r="H705" s="79" t="s">
        <v>393</v>
      </c>
      <c r="I705" s="79">
        <v>100223</v>
      </c>
      <c r="J705" s="79"/>
      <c r="K705" s="79">
        <v>6</v>
      </c>
      <c r="L705" s="79"/>
      <c r="M705" s="127"/>
      <c r="N705" s="79"/>
      <c r="O705" s="79"/>
      <c r="P705" s="107"/>
      <c r="Q705" s="79">
        <v>100222</v>
      </c>
      <c r="R705" s="79"/>
    </row>
    <row r="706" spans="1:18" s="106" customFormat="1">
      <c r="A706" s="79">
        <v>140232</v>
      </c>
      <c r="B706" s="79">
        <v>1002321</v>
      </c>
      <c r="C706" s="79" t="s">
        <v>396</v>
      </c>
      <c r="D706" s="79"/>
      <c r="E706" s="79" t="s">
        <v>1109</v>
      </c>
      <c r="F706" s="79">
        <v>19</v>
      </c>
      <c r="G706" s="79">
        <v>0</v>
      </c>
      <c r="H706" s="79" t="s">
        <v>398</v>
      </c>
      <c r="I706" s="79">
        <v>100232</v>
      </c>
      <c r="J706" s="79"/>
      <c r="K706" s="79">
        <v>5</v>
      </c>
      <c r="L706" s="79"/>
      <c r="M706" s="127"/>
      <c r="N706" s="79"/>
      <c r="O706" s="79"/>
      <c r="P706" s="107"/>
      <c r="Q706" s="79">
        <v>100232</v>
      </c>
      <c r="R706" s="79"/>
    </row>
    <row r="707" spans="1:18" s="106" customFormat="1">
      <c r="A707" s="79">
        <v>140242</v>
      </c>
      <c r="B707" s="79">
        <v>1002421</v>
      </c>
      <c r="C707" s="79" t="s">
        <v>400</v>
      </c>
      <c r="D707" s="79"/>
      <c r="E707" s="79" t="s">
        <v>1110</v>
      </c>
      <c r="F707" s="79">
        <v>19</v>
      </c>
      <c r="G707" s="79">
        <v>0</v>
      </c>
      <c r="H707" s="79" t="s">
        <v>402</v>
      </c>
      <c r="I707" s="79">
        <v>100242</v>
      </c>
      <c r="J707" s="79"/>
      <c r="K707" s="79">
        <v>5</v>
      </c>
      <c r="L707" s="79"/>
      <c r="M707" s="127"/>
      <c r="N707" s="79"/>
      <c r="O707" s="79"/>
      <c r="P707" s="107"/>
      <c r="Q707" s="79">
        <v>100242</v>
      </c>
      <c r="R707" s="79"/>
    </row>
    <row r="708" spans="1:18" s="106" customFormat="1">
      <c r="A708" s="79">
        <v>140253</v>
      </c>
      <c r="B708" s="79">
        <v>1002531</v>
      </c>
      <c r="C708" s="79" t="s">
        <v>404</v>
      </c>
      <c r="D708" s="79"/>
      <c r="E708" s="79" t="s">
        <v>1111</v>
      </c>
      <c r="F708" s="79">
        <v>19</v>
      </c>
      <c r="G708" s="79">
        <v>0</v>
      </c>
      <c r="H708" s="79" t="s">
        <v>406</v>
      </c>
      <c r="I708" s="79">
        <v>100253</v>
      </c>
      <c r="J708" s="79"/>
      <c r="K708" s="79">
        <v>5</v>
      </c>
      <c r="L708" s="79"/>
      <c r="M708" s="127"/>
      <c r="N708" s="79"/>
      <c r="O708" s="79"/>
      <c r="P708" s="107"/>
      <c r="Q708" s="79">
        <v>100253</v>
      </c>
      <c r="R708" s="79"/>
    </row>
    <row r="709" spans="1:18" s="106" customFormat="1">
      <c r="A709" s="79">
        <v>140254</v>
      </c>
      <c r="B709" s="79">
        <v>1002541</v>
      </c>
      <c r="C709" s="79" t="s">
        <v>404</v>
      </c>
      <c r="D709" s="79"/>
      <c r="E709" s="79" t="s">
        <v>1112</v>
      </c>
      <c r="F709" s="79">
        <v>19</v>
      </c>
      <c r="G709" s="79">
        <v>0</v>
      </c>
      <c r="H709" s="79" t="s">
        <v>406</v>
      </c>
      <c r="I709" s="79">
        <v>100254</v>
      </c>
      <c r="J709" s="79"/>
      <c r="K709" s="79">
        <v>6</v>
      </c>
      <c r="L709" s="79"/>
      <c r="M709" s="127"/>
      <c r="N709" s="79"/>
      <c r="O709" s="79"/>
      <c r="P709" s="107"/>
      <c r="Q709" s="79">
        <v>100253</v>
      </c>
      <c r="R709" s="79"/>
    </row>
    <row r="710" spans="1:18" s="106" customFormat="1">
      <c r="A710" s="79">
        <v>140256</v>
      </c>
      <c r="B710" s="79">
        <v>1002561</v>
      </c>
      <c r="C710" s="79" t="s">
        <v>404</v>
      </c>
      <c r="D710" s="79"/>
      <c r="E710" s="79" t="s">
        <v>1113</v>
      </c>
      <c r="F710" s="79">
        <v>19</v>
      </c>
      <c r="G710" s="79">
        <v>0</v>
      </c>
      <c r="H710" s="79" t="s">
        <v>411</v>
      </c>
      <c r="I710" s="79">
        <v>100256</v>
      </c>
      <c r="J710" s="79"/>
      <c r="K710" s="79">
        <v>7</v>
      </c>
      <c r="L710" s="79"/>
      <c r="M710" s="127"/>
      <c r="N710" s="79"/>
      <c r="O710" s="79"/>
      <c r="P710" s="107"/>
      <c r="Q710" s="79">
        <v>100253</v>
      </c>
      <c r="R710" s="79"/>
    </row>
    <row r="711" spans="1:18" s="106" customFormat="1">
      <c r="A711" s="79">
        <v>140321</v>
      </c>
      <c r="B711" s="79">
        <v>1003211</v>
      </c>
      <c r="C711" s="79" t="s">
        <v>431</v>
      </c>
      <c r="D711" s="79"/>
      <c r="E711" s="79" t="s">
        <v>1114</v>
      </c>
      <c r="F711" s="79">
        <v>19</v>
      </c>
      <c r="G711" s="79">
        <v>0</v>
      </c>
      <c r="H711" s="79" t="s">
        <v>433</v>
      </c>
      <c r="I711" s="79">
        <v>100321</v>
      </c>
      <c r="J711" s="79"/>
      <c r="K711" s="79">
        <v>5</v>
      </c>
      <c r="L711" s="79"/>
      <c r="M711" s="127"/>
      <c r="N711" s="79"/>
      <c r="O711" s="79"/>
      <c r="P711" s="107"/>
      <c r="Q711" s="79">
        <v>100321</v>
      </c>
      <c r="R711" s="79"/>
    </row>
    <row r="712" spans="1:18" s="106" customFormat="1">
      <c r="A712" s="79">
        <v>140322</v>
      </c>
      <c r="B712" s="79">
        <v>1003221</v>
      </c>
      <c r="C712" s="79" t="s">
        <v>431</v>
      </c>
      <c r="D712" s="79"/>
      <c r="E712" s="79" t="s">
        <v>1115</v>
      </c>
      <c r="F712" s="79">
        <v>19</v>
      </c>
      <c r="G712" s="79">
        <v>0</v>
      </c>
      <c r="H712" s="79" t="s">
        <v>433</v>
      </c>
      <c r="I712" s="79">
        <v>100322</v>
      </c>
      <c r="J712" s="79"/>
      <c r="K712" s="79">
        <v>6</v>
      </c>
      <c r="L712" s="79"/>
      <c r="M712" s="127"/>
      <c r="N712" s="79"/>
      <c r="O712" s="79"/>
      <c r="P712" s="107"/>
      <c r="Q712" s="79">
        <v>100322</v>
      </c>
      <c r="R712" s="79"/>
    </row>
    <row r="713" spans="1:18" s="106" customFormat="1">
      <c r="A713" s="79">
        <v>140323</v>
      </c>
      <c r="B713" s="79">
        <v>1003231</v>
      </c>
      <c r="C713" s="79" t="s">
        <v>431</v>
      </c>
      <c r="D713" s="79"/>
      <c r="E713" s="79" t="s">
        <v>1116</v>
      </c>
      <c r="F713" s="79">
        <v>19</v>
      </c>
      <c r="G713" s="79">
        <v>0</v>
      </c>
      <c r="H713" s="79" t="s">
        <v>433</v>
      </c>
      <c r="I713" s="79">
        <v>100323</v>
      </c>
      <c r="J713" s="79"/>
      <c r="K713" s="79">
        <v>7</v>
      </c>
      <c r="L713" s="79"/>
      <c r="M713" s="127"/>
      <c r="N713" s="79"/>
      <c r="O713" s="79"/>
      <c r="P713" s="107"/>
      <c r="Q713" s="79">
        <v>100322</v>
      </c>
      <c r="R713" s="79"/>
    </row>
    <row r="714" spans="1:18" s="106" customFormat="1">
      <c r="A714" s="79">
        <v>140331</v>
      </c>
      <c r="B714" s="79">
        <v>1003311</v>
      </c>
      <c r="C714" s="79" t="s">
        <v>436</v>
      </c>
      <c r="D714" s="79"/>
      <c r="E714" s="79" t="s">
        <v>1117</v>
      </c>
      <c r="F714" s="79">
        <v>19</v>
      </c>
      <c r="G714" s="79">
        <v>0</v>
      </c>
      <c r="H714" s="79" t="s">
        <v>438</v>
      </c>
      <c r="I714" s="79">
        <v>100331</v>
      </c>
      <c r="J714" s="79"/>
      <c r="K714" s="79">
        <v>5</v>
      </c>
      <c r="L714" s="79"/>
      <c r="M714" s="127"/>
      <c r="N714" s="79"/>
      <c r="O714" s="79"/>
      <c r="P714" s="107"/>
      <c r="Q714" s="79">
        <v>100331</v>
      </c>
      <c r="R714" s="79"/>
    </row>
    <row r="715" spans="1:18" s="106" customFormat="1">
      <c r="A715" s="79">
        <v>140332</v>
      </c>
      <c r="B715" s="79">
        <v>1003321</v>
      </c>
      <c r="C715" s="79" t="s">
        <v>436</v>
      </c>
      <c r="D715" s="79"/>
      <c r="E715" s="79" t="s">
        <v>1118</v>
      </c>
      <c r="F715" s="79">
        <v>19</v>
      </c>
      <c r="G715" s="79">
        <v>0</v>
      </c>
      <c r="H715" s="79" t="s">
        <v>438</v>
      </c>
      <c r="I715" s="79">
        <v>100332</v>
      </c>
      <c r="J715" s="79"/>
      <c r="K715" s="79">
        <v>6</v>
      </c>
      <c r="L715" s="79"/>
      <c r="M715" s="127"/>
      <c r="N715" s="79"/>
      <c r="O715" s="79"/>
      <c r="P715" s="107"/>
      <c r="Q715" s="79">
        <v>100332</v>
      </c>
      <c r="R715" s="79"/>
    </row>
    <row r="716" spans="1:18" s="106" customFormat="1">
      <c r="A716" s="79">
        <v>140333</v>
      </c>
      <c r="B716" s="79">
        <v>1003331</v>
      </c>
      <c r="C716" s="79" t="s">
        <v>436</v>
      </c>
      <c r="D716" s="79"/>
      <c r="E716" s="79" t="s">
        <v>1119</v>
      </c>
      <c r="F716" s="79">
        <v>19</v>
      </c>
      <c r="G716" s="79">
        <v>0</v>
      </c>
      <c r="H716" s="79" t="s">
        <v>438</v>
      </c>
      <c r="I716" s="79">
        <v>100333</v>
      </c>
      <c r="J716" s="79"/>
      <c r="K716" s="79">
        <v>7</v>
      </c>
      <c r="L716" s="79"/>
      <c r="M716" s="127"/>
      <c r="N716" s="79"/>
      <c r="O716" s="79"/>
      <c r="P716" s="107"/>
      <c r="Q716" s="79">
        <v>100332</v>
      </c>
      <c r="R716" s="79"/>
    </row>
    <row r="717" spans="1:18" s="106" customFormat="1">
      <c r="A717" s="79">
        <v>140334</v>
      </c>
      <c r="B717" s="79">
        <v>1003341</v>
      </c>
      <c r="C717" s="79" t="s">
        <v>436</v>
      </c>
      <c r="D717" s="79"/>
      <c r="E717" s="79" t="s">
        <v>1120</v>
      </c>
      <c r="F717" s="79">
        <v>19</v>
      </c>
      <c r="G717" s="79">
        <v>0</v>
      </c>
      <c r="H717" s="79" t="s">
        <v>438</v>
      </c>
      <c r="I717" s="79">
        <v>100333</v>
      </c>
      <c r="J717" s="79"/>
      <c r="K717" s="79">
        <v>8</v>
      </c>
      <c r="L717" s="79"/>
      <c r="M717" s="127"/>
      <c r="N717" s="79"/>
      <c r="O717" s="79"/>
      <c r="P717" s="107"/>
      <c r="Q717" s="79">
        <v>100332</v>
      </c>
      <c r="R717" s="79"/>
    </row>
    <row r="718" spans="1:18" s="106" customFormat="1">
      <c r="A718" s="79">
        <v>140341</v>
      </c>
      <c r="B718" s="79">
        <v>1003411</v>
      </c>
      <c r="C718" s="79" t="s">
        <v>442</v>
      </c>
      <c r="D718" s="79"/>
      <c r="E718" s="79" t="s">
        <v>1121</v>
      </c>
      <c r="F718" s="79">
        <v>19</v>
      </c>
      <c r="G718" s="79">
        <v>0</v>
      </c>
      <c r="H718" s="79" t="s">
        <v>444</v>
      </c>
      <c r="I718" s="79">
        <v>100341</v>
      </c>
      <c r="J718" s="79"/>
      <c r="K718" s="79">
        <v>5</v>
      </c>
      <c r="L718" s="79"/>
      <c r="M718" s="127"/>
      <c r="N718" s="79"/>
      <c r="O718" s="79"/>
      <c r="P718" s="107"/>
      <c r="Q718" s="79">
        <v>100341</v>
      </c>
      <c r="R718" s="79"/>
    </row>
    <row r="719" spans="1:18" s="106" customFormat="1">
      <c r="A719" s="79">
        <v>140342</v>
      </c>
      <c r="B719" s="79">
        <v>1003421</v>
      </c>
      <c r="C719" s="79" t="s">
        <v>442</v>
      </c>
      <c r="D719" s="79"/>
      <c r="E719" s="79" t="s">
        <v>1122</v>
      </c>
      <c r="F719" s="79">
        <v>19</v>
      </c>
      <c r="G719" s="79">
        <v>0</v>
      </c>
      <c r="H719" s="79" t="s">
        <v>444</v>
      </c>
      <c r="I719" s="79">
        <v>100342</v>
      </c>
      <c r="J719" s="79"/>
      <c r="K719" s="79">
        <v>6</v>
      </c>
      <c r="L719" s="79"/>
      <c r="M719" s="127"/>
      <c r="N719" s="79"/>
      <c r="O719" s="79"/>
      <c r="P719" s="107"/>
      <c r="Q719" s="79">
        <v>100342</v>
      </c>
      <c r="R719" s="79"/>
    </row>
    <row r="720" spans="1:18" s="106" customFormat="1">
      <c r="A720" s="79">
        <v>140343</v>
      </c>
      <c r="B720" s="79">
        <v>1003431</v>
      </c>
      <c r="C720" s="79" t="s">
        <v>442</v>
      </c>
      <c r="D720" s="79"/>
      <c r="E720" s="79" t="s">
        <v>1123</v>
      </c>
      <c r="F720" s="79">
        <v>19</v>
      </c>
      <c r="G720" s="79">
        <v>0</v>
      </c>
      <c r="H720" s="79" t="s">
        <v>444</v>
      </c>
      <c r="I720" s="79">
        <v>100343</v>
      </c>
      <c r="J720" s="79"/>
      <c r="K720" s="79">
        <v>7</v>
      </c>
      <c r="L720" s="79"/>
      <c r="M720" s="127"/>
      <c r="N720" s="79"/>
      <c r="O720" s="79"/>
      <c r="P720" s="107"/>
      <c r="Q720" s="79">
        <v>100342</v>
      </c>
      <c r="R720" s="79"/>
    </row>
    <row r="721" spans="1:18" s="106" customFormat="1">
      <c r="A721" s="79">
        <v>140351</v>
      </c>
      <c r="B721" s="79">
        <v>1003511</v>
      </c>
      <c r="C721" s="79" t="s">
        <v>447</v>
      </c>
      <c r="D721" s="79"/>
      <c r="E721" s="79" t="s">
        <v>1124</v>
      </c>
      <c r="F721" s="79">
        <v>19</v>
      </c>
      <c r="G721" s="79">
        <v>0</v>
      </c>
      <c r="H721" s="79" t="s">
        <v>449</v>
      </c>
      <c r="I721" s="79">
        <v>100351</v>
      </c>
      <c r="J721" s="79"/>
      <c r="K721" s="79">
        <v>5</v>
      </c>
      <c r="L721" s="79"/>
      <c r="M721" s="127"/>
      <c r="N721" s="79"/>
      <c r="O721" s="79"/>
      <c r="P721" s="107"/>
      <c r="Q721" s="79">
        <v>100351</v>
      </c>
      <c r="R721" s="79"/>
    </row>
    <row r="722" spans="1:18" s="106" customFormat="1">
      <c r="A722" s="79">
        <v>140352</v>
      </c>
      <c r="B722" s="79">
        <v>1003521</v>
      </c>
      <c r="C722" s="79" t="s">
        <v>447</v>
      </c>
      <c r="D722" s="79"/>
      <c r="E722" s="79" t="s">
        <v>1125</v>
      </c>
      <c r="F722" s="79">
        <v>19</v>
      </c>
      <c r="G722" s="79">
        <v>0</v>
      </c>
      <c r="H722" s="79" t="s">
        <v>449</v>
      </c>
      <c r="I722" s="79">
        <v>100352</v>
      </c>
      <c r="J722" s="79"/>
      <c r="K722" s="79">
        <v>6</v>
      </c>
      <c r="L722" s="79"/>
      <c r="M722" s="127"/>
      <c r="N722" s="79"/>
      <c r="O722" s="79"/>
      <c r="P722" s="107"/>
      <c r="Q722" s="79">
        <v>100352</v>
      </c>
      <c r="R722" s="79"/>
    </row>
    <row r="723" spans="1:18" s="106" customFormat="1">
      <c r="A723" s="79">
        <v>140353</v>
      </c>
      <c r="B723" s="79">
        <v>1003531</v>
      </c>
      <c r="C723" s="79" t="s">
        <v>447</v>
      </c>
      <c r="D723" s="79"/>
      <c r="E723" s="79" t="s">
        <v>1126</v>
      </c>
      <c r="F723" s="79">
        <v>19</v>
      </c>
      <c r="G723" s="79">
        <v>0</v>
      </c>
      <c r="H723" s="79" t="s">
        <v>449</v>
      </c>
      <c r="I723" s="79">
        <v>100353</v>
      </c>
      <c r="J723" s="79"/>
      <c r="K723" s="79">
        <v>7</v>
      </c>
      <c r="L723" s="79"/>
      <c r="M723" s="127"/>
      <c r="N723" s="79"/>
      <c r="O723" s="79"/>
      <c r="P723" s="107"/>
      <c r="Q723" s="79">
        <v>100352</v>
      </c>
      <c r="R723" s="79"/>
    </row>
    <row r="724" spans="1:18" s="106" customFormat="1">
      <c r="A724" s="79">
        <v>140354</v>
      </c>
      <c r="B724" s="79">
        <v>1003541</v>
      </c>
      <c r="C724" s="79" t="s">
        <v>447</v>
      </c>
      <c r="D724" s="79"/>
      <c r="E724" s="79" t="s">
        <v>1127</v>
      </c>
      <c r="F724" s="79">
        <v>19</v>
      </c>
      <c r="G724" s="79">
        <v>0</v>
      </c>
      <c r="H724" s="79" t="s">
        <v>449</v>
      </c>
      <c r="I724" s="79">
        <v>100354</v>
      </c>
      <c r="J724" s="79"/>
      <c r="K724" s="79">
        <v>8</v>
      </c>
      <c r="L724" s="79"/>
      <c r="M724" s="127"/>
      <c r="N724" s="79"/>
      <c r="O724" s="79"/>
      <c r="P724" s="107"/>
      <c r="Q724" s="79">
        <v>100354</v>
      </c>
      <c r="R724" s="79"/>
    </row>
    <row r="725" spans="1:18" s="106" customFormat="1">
      <c r="A725" s="79">
        <v>140361</v>
      </c>
      <c r="B725" s="79">
        <v>1003611</v>
      </c>
      <c r="C725" s="79" t="s">
        <v>454</v>
      </c>
      <c r="D725" s="79"/>
      <c r="E725" s="79" t="s">
        <v>1128</v>
      </c>
      <c r="F725" s="79">
        <v>19</v>
      </c>
      <c r="G725" s="79">
        <v>0</v>
      </c>
      <c r="H725" s="79" t="s">
        <v>456</v>
      </c>
      <c r="I725" s="79">
        <v>100361</v>
      </c>
      <c r="J725" s="79"/>
      <c r="K725" s="79">
        <v>5</v>
      </c>
      <c r="L725" s="79"/>
      <c r="M725" s="127"/>
      <c r="N725" s="79"/>
      <c r="O725" s="79"/>
      <c r="P725" s="107"/>
      <c r="Q725" s="79">
        <v>100361</v>
      </c>
      <c r="R725" s="79"/>
    </row>
    <row r="726" spans="1:18" s="106" customFormat="1">
      <c r="A726" s="79">
        <v>140362</v>
      </c>
      <c r="B726" s="79">
        <v>1003621</v>
      </c>
      <c r="C726" s="79" t="s">
        <v>454</v>
      </c>
      <c r="D726" s="79"/>
      <c r="E726" s="79" t="s">
        <v>1129</v>
      </c>
      <c r="F726" s="79">
        <v>19</v>
      </c>
      <c r="G726" s="79">
        <v>0</v>
      </c>
      <c r="H726" s="79" t="s">
        <v>456</v>
      </c>
      <c r="I726" s="79">
        <v>100362</v>
      </c>
      <c r="J726" s="79"/>
      <c r="K726" s="79">
        <v>6</v>
      </c>
      <c r="L726" s="79"/>
      <c r="M726" s="127"/>
      <c r="N726" s="79"/>
      <c r="O726" s="79"/>
      <c r="P726" s="107"/>
      <c r="Q726" s="79">
        <v>100362</v>
      </c>
      <c r="R726" s="79"/>
    </row>
    <row r="727" spans="1:18" s="106" customFormat="1">
      <c r="A727" s="79">
        <v>140363</v>
      </c>
      <c r="B727" s="79">
        <v>1003631</v>
      </c>
      <c r="C727" s="79" t="s">
        <v>454</v>
      </c>
      <c r="D727" s="79"/>
      <c r="E727" s="79" t="s">
        <v>1130</v>
      </c>
      <c r="F727" s="79">
        <v>19</v>
      </c>
      <c r="G727" s="79">
        <v>0</v>
      </c>
      <c r="H727" s="79" t="s">
        <v>456</v>
      </c>
      <c r="I727" s="79">
        <v>100363</v>
      </c>
      <c r="J727" s="79"/>
      <c r="K727" s="79">
        <v>7</v>
      </c>
      <c r="L727" s="79"/>
      <c r="M727" s="127"/>
      <c r="N727" s="79"/>
      <c r="O727" s="79"/>
      <c r="P727" s="107"/>
      <c r="Q727" s="79">
        <v>100362</v>
      </c>
      <c r="R727" s="79"/>
    </row>
    <row r="728" spans="1:18" s="106" customFormat="1">
      <c r="A728" s="79">
        <v>140371</v>
      </c>
      <c r="B728" s="79">
        <v>1003711</v>
      </c>
      <c r="C728" s="79" t="s">
        <v>459</v>
      </c>
      <c r="D728" s="79"/>
      <c r="E728" s="79" t="s">
        <v>1131</v>
      </c>
      <c r="F728" s="79">
        <v>19</v>
      </c>
      <c r="G728" s="79">
        <v>0</v>
      </c>
      <c r="H728" s="79" t="s">
        <v>461</v>
      </c>
      <c r="I728" s="79">
        <v>100371</v>
      </c>
      <c r="J728" s="79"/>
      <c r="K728" s="79">
        <v>5</v>
      </c>
      <c r="L728" s="79"/>
      <c r="M728" s="127"/>
      <c r="N728" s="79"/>
      <c r="O728" s="79"/>
      <c r="P728" s="107"/>
      <c r="Q728" s="79">
        <v>100371</v>
      </c>
      <c r="R728" s="79"/>
    </row>
    <row r="729" spans="1:18" s="106" customFormat="1">
      <c r="A729" s="79">
        <v>140372</v>
      </c>
      <c r="B729" s="79">
        <v>1003721</v>
      </c>
      <c r="C729" s="79" t="s">
        <v>459</v>
      </c>
      <c r="D729" s="79"/>
      <c r="E729" s="79" t="s">
        <v>1132</v>
      </c>
      <c r="F729" s="79">
        <v>19</v>
      </c>
      <c r="G729" s="79">
        <v>0</v>
      </c>
      <c r="H729" s="79" t="s">
        <v>461</v>
      </c>
      <c r="I729" s="79">
        <v>100372</v>
      </c>
      <c r="J729" s="79"/>
      <c r="K729" s="79">
        <v>6</v>
      </c>
      <c r="L729" s="79"/>
      <c r="M729" s="127"/>
      <c r="N729" s="79"/>
      <c r="O729" s="79"/>
      <c r="P729" s="107"/>
      <c r="Q729" s="79">
        <v>100372</v>
      </c>
      <c r="R729" s="79"/>
    </row>
    <row r="730" spans="1:18" s="106" customFormat="1">
      <c r="A730" s="79">
        <v>140373</v>
      </c>
      <c r="B730" s="79">
        <v>1003731</v>
      </c>
      <c r="C730" s="79" t="s">
        <v>459</v>
      </c>
      <c r="D730" s="79"/>
      <c r="E730" s="79" t="s">
        <v>1133</v>
      </c>
      <c r="F730" s="79">
        <v>19</v>
      </c>
      <c r="G730" s="79">
        <v>0</v>
      </c>
      <c r="H730" s="79" t="s">
        <v>461</v>
      </c>
      <c r="I730" s="79">
        <v>100373</v>
      </c>
      <c r="J730" s="79"/>
      <c r="K730" s="79">
        <v>7</v>
      </c>
      <c r="L730" s="79"/>
      <c r="M730" s="127"/>
      <c r="N730" s="79"/>
      <c r="O730" s="79"/>
      <c r="P730" s="107"/>
      <c r="Q730" s="79">
        <v>100372</v>
      </c>
      <c r="R730" s="79"/>
    </row>
    <row r="731" spans="1:18" s="106" customFormat="1">
      <c r="A731" s="79">
        <v>140382</v>
      </c>
      <c r="B731" s="79">
        <v>1003821</v>
      </c>
      <c r="C731" s="79" t="s">
        <v>464</v>
      </c>
      <c r="D731" s="79"/>
      <c r="E731" s="79" t="s">
        <v>1134</v>
      </c>
      <c r="F731" s="79">
        <v>19</v>
      </c>
      <c r="G731" s="79">
        <v>0</v>
      </c>
      <c r="H731" s="79" t="s">
        <v>466</v>
      </c>
      <c r="I731" s="79">
        <v>100382</v>
      </c>
      <c r="J731" s="79"/>
      <c r="K731" s="79">
        <v>5</v>
      </c>
      <c r="L731" s="79"/>
      <c r="M731" s="127"/>
      <c r="N731" s="79"/>
      <c r="O731" s="79"/>
      <c r="P731" s="107"/>
      <c r="Q731" s="79">
        <v>100382</v>
      </c>
      <c r="R731" s="79"/>
    </row>
    <row r="732" spans="1:18" s="106" customFormat="1">
      <c r="A732" s="79">
        <v>140391</v>
      </c>
      <c r="B732" s="79">
        <v>1003911</v>
      </c>
      <c r="C732" s="79" t="s">
        <v>468</v>
      </c>
      <c r="D732" s="79"/>
      <c r="E732" s="79" t="s">
        <v>1135</v>
      </c>
      <c r="F732" s="79">
        <v>19</v>
      </c>
      <c r="G732" s="79">
        <v>0</v>
      </c>
      <c r="H732" s="79" t="s">
        <v>470</v>
      </c>
      <c r="I732" s="79">
        <v>100391</v>
      </c>
      <c r="J732" s="79"/>
      <c r="K732" s="79">
        <v>5</v>
      </c>
      <c r="L732" s="79"/>
      <c r="M732" s="127"/>
      <c r="N732" s="79"/>
      <c r="O732" s="79"/>
      <c r="P732" s="107"/>
      <c r="Q732" s="79">
        <v>100392</v>
      </c>
      <c r="R732" s="79"/>
    </row>
    <row r="733" spans="1:18" s="106" customFormat="1">
      <c r="A733" s="79">
        <v>140392</v>
      </c>
      <c r="B733" s="79">
        <v>1003921</v>
      </c>
      <c r="C733" s="79" t="s">
        <v>468</v>
      </c>
      <c r="D733" s="79"/>
      <c r="E733" s="79" t="s">
        <v>1136</v>
      </c>
      <c r="F733" s="79">
        <v>19</v>
      </c>
      <c r="G733" s="79">
        <v>0</v>
      </c>
      <c r="H733" s="79" t="s">
        <v>470</v>
      </c>
      <c r="I733" s="79">
        <v>100392</v>
      </c>
      <c r="J733" s="79"/>
      <c r="K733" s="79">
        <v>6</v>
      </c>
      <c r="L733" s="79"/>
      <c r="M733" s="127"/>
      <c r="N733" s="79"/>
      <c r="O733" s="79"/>
      <c r="P733" s="107"/>
      <c r="Q733" s="79">
        <v>100391</v>
      </c>
      <c r="R733" s="79"/>
    </row>
    <row r="734" spans="1:18" s="106" customFormat="1">
      <c r="A734" s="79">
        <v>140393</v>
      </c>
      <c r="B734" s="79">
        <v>1003931</v>
      </c>
      <c r="C734" s="79" t="s">
        <v>468</v>
      </c>
      <c r="D734" s="79"/>
      <c r="E734" s="79" t="s">
        <v>1137</v>
      </c>
      <c r="F734" s="79">
        <v>19</v>
      </c>
      <c r="G734" s="79">
        <v>0</v>
      </c>
      <c r="H734" s="79" t="s">
        <v>470</v>
      </c>
      <c r="I734" s="79">
        <v>100393</v>
      </c>
      <c r="J734" s="79"/>
      <c r="K734" s="79">
        <v>7</v>
      </c>
      <c r="L734" s="79"/>
      <c r="M734" s="127"/>
      <c r="N734" s="79"/>
      <c r="O734" s="79"/>
      <c r="P734" s="107"/>
      <c r="Q734" s="79">
        <v>100393</v>
      </c>
      <c r="R734" s="79"/>
    </row>
    <row r="735" spans="1:18" s="106" customFormat="1">
      <c r="A735" s="79">
        <v>140401</v>
      </c>
      <c r="B735" s="79">
        <v>1004011</v>
      </c>
      <c r="C735" s="79" t="s">
        <v>473</v>
      </c>
      <c r="D735" s="79"/>
      <c r="E735" s="79" t="s">
        <v>1138</v>
      </c>
      <c r="F735" s="79">
        <v>19</v>
      </c>
      <c r="G735" s="79">
        <v>0</v>
      </c>
      <c r="H735" s="79" t="s">
        <v>475</v>
      </c>
      <c r="I735" s="79">
        <v>100401</v>
      </c>
      <c r="J735" s="79"/>
      <c r="K735" s="79">
        <v>5</v>
      </c>
      <c r="L735" s="79"/>
      <c r="M735" s="127"/>
      <c r="N735" s="79"/>
      <c r="O735" s="79"/>
      <c r="P735" s="107"/>
      <c r="Q735" s="79">
        <v>100401</v>
      </c>
      <c r="R735" s="79"/>
    </row>
    <row r="736" spans="1:18" s="106" customFormat="1">
      <c r="A736" s="79">
        <v>140402</v>
      </c>
      <c r="B736" s="79">
        <v>1004021</v>
      </c>
      <c r="C736" s="79" t="s">
        <v>473</v>
      </c>
      <c r="D736" s="79"/>
      <c r="E736" s="79" t="s">
        <v>1139</v>
      </c>
      <c r="F736" s="79">
        <v>19</v>
      </c>
      <c r="G736" s="79">
        <v>0</v>
      </c>
      <c r="H736" s="79" t="s">
        <v>475</v>
      </c>
      <c r="I736" s="79">
        <v>100401</v>
      </c>
      <c r="J736" s="79"/>
      <c r="K736" s="79">
        <v>6</v>
      </c>
      <c r="L736" s="79"/>
      <c r="M736" s="127"/>
      <c r="N736" s="79"/>
      <c r="O736" s="79"/>
      <c r="P736" s="107"/>
      <c r="Q736" s="79">
        <v>100401</v>
      </c>
      <c r="R736" s="79"/>
    </row>
    <row r="737" spans="1:18" s="106" customFormat="1">
      <c r="A737" s="79">
        <v>140403</v>
      </c>
      <c r="B737" s="79">
        <v>1004031</v>
      </c>
      <c r="C737" s="79" t="s">
        <v>473</v>
      </c>
      <c r="D737" s="79"/>
      <c r="E737" s="79" t="s">
        <v>1140</v>
      </c>
      <c r="F737" s="79">
        <v>19</v>
      </c>
      <c r="G737" s="79">
        <v>0</v>
      </c>
      <c r="H737" s="79" t="s">
        <v>475</v>
      </c>
      <c r="I737" s="79">
        <v>100401</v>
      </c>
      <c r="J737" s="79"/>
      <c r="K737" s="79">
        <v>7</v>
      </c>
      <c r="L737" s="79"/>
      <c r="M737" s="127"/>
      <c r="N737" s="79"/>
      <c r="O737" s="79"/>
      <c r="P737" s="107"/>
      <c r="Q737" s="79">
        <v>100401</v>
      </c>
      <c r="R737" s="79"/>
    </row>
    <row r="738" spans="1:18" s="106" customFormat="1">
      <c r="A738" s="79">
        <v>140411</v>
      </c>
      <c r="B738" s="79">
        <v>1004111</v>
      </c>
      <c r="C738" s="79" t="s">
        <v>478</v>
      </c>
      <c r="D738" s="79"/>
      <c r="E738" s="79" t="s">
        <v>1141</v>
      </c>
      <c r="F738" s="79">
        <v>19</v>
      </c>
      <c r="G738" s="79">
        <v>0</v>
      </c>
      <c r="H738" s="79" t="s">
        <v>480</v>
      </c>
      <c r="I738" s="79">
        <v>100411</v>
      </c>
      <c r="J738" s="79"/>
      <c r="K738" s="79">
        <v>5</v>
      </c>
      <c r="L738" s="79"/>
      <c r="M738" s="127"/>
      <c r="N738" s="79"/>
      <c r="O738" s="79"/>
      <c r="P738" s="107"/>
      <c r="Q738" s="79">
        <v>100411</v>
      </c>
      <c r="R738" s="79"/>
    </row>
    <row r="739" spans="1:18" s="106" customFormat="1">
      <c r="A739" s="79">
        <v>140412</v>
      </c>
      <c r="B739" s="79">
        <v>1004121</v>
      </c>
      <c r="C739" s="79" t="s">
        <v>478</v>
      </c>
      <c r="D739" s="79"/>
      <c r="E739" s="79" t="s">
        <v>1142</v>
      </c>
      <c r="F739" s="79">
        <v>19</v>
      </c>
      <c r="G739" s="79">
        <v>0</v>
      </c>
      <c r="H739" s="79" t="s">
        <v>480</v>
      </c>
      <c r="I739" s="79">
        <v>100411</v>
      </c>
      <c r="J739" s="79"/>
      <c r="K739" s="79">
        <v>6</v>
      </c>
      <c r="L739" s="79"/>
      <c r="M739" s="127"/>
      <c r="N739" s="79"/>
      <c r="O739" s="79"/>
      <c r="P739" s="107"/>
      <c r="Q739" s="79">
        <v>100411</v>
      </c>
      <c r="R739" s="79"/>
    </row>
    <row r="740" spans="1:18" s="106" customFormat="1">
      <c r="A740" s="79">
        <v>140413</v>
      </c>
      <c r="B740" s="79">
        <v>1004131</v>
      </c>
      <c r="C740" s="79" t="s">
        <v>478</v>
      </c>
      <c r="D740" s="79"/>
      <c r="E740" s="79" t="s">
        <v>1143</v>
      </c>
      <c r="F740" s="79">
        <v>19</v>
      </c>
      <c r="G740" s="79">
        <v>0</v>
      </c>
      <c r="H740" s="79" t="s">
        <v>480</v>
      </c>
      <c r="I740" s="79">
        <v>100411</v>
      </c>
      <c r="J740" s="79"/>
      <c r="K740" s="79">
        <v>7</v>
      </c>
      <c r="L740" s="79"/>
      <c r="M740" s="127"/>
      <c r="N740" s="79"/>
      <c r="O740" s="79"/>
      <c r="P740" s="107"/>
      <c r="Q740" s="79">
        <v>100411</v>
      </c>
      <c r="R740" s="79"/>
    </row>
    <row r="741" spans="1:18" s="106" customFormat="1">
      <c r="A741" s="79">
        <v>140421</v>
      </c>
      <c r="B741" s="79">
        <v>1004211</v>
      </c>
      <c r="C741" s="79" t="s">
        <v>484</v>
      </c>
      <c r="D741" s="79"/>
      <c r="E741" s="79" t="s">
        <v>1144</v>
      </c>
      <c r="F741" s="79">
        <v>19</v>
      </c>
      <c r="G741" s="79">
        <v>0</v>
      </c>
      <c r="H741" s="79" t="s">
        <v>486</v>
      </c>
      <c r="I741" s="79">
        <v>100421</v>
      </c>
      <c r="J741" s="79"/>
      <c r="K741" s="79">
        <v>5</v>
      </c>
      <c r="L741" s="79"/>
      <c r="M741" s="127"/>
      <c r="N741" s="79"/>
      <c r="O741" s="79"/>
      <c r="P741" s="107"/>
      <c r="Q741" s="79">
        <v>100421</v>
      </c>
      <c r="R741" s="79"/>
    </row>
    <row r="742" spans="1:18" s="106" customFormat="1">
      <c r="A742" s="79">
        <v>140422</v>
      </c>
      <c r="B742" s="79">
        <v>1004221</v>
      </c>
      <c r="C742" s="79" t="s">
        <v>484</v>
      </c>
      <c r="D742" s="79"/>
      <c r="E742" s="79" t="s">
        <v>1145</v>
      </c>
      <c r="F742" s="79">
        <v>19</v>
      </c>
      <c r="G742" s="79">
        <v>0</v>
      </c>
      <c r="H742" s="79" t="s">
        <v>486</v>
      </c>
      <c r="I742" s="79">
        <v>100421</v>
      </c>
      <c r="J742" s="79"/>
      <c r="K742" s="79">
        <v>6</v>
      </c>
      <c r="L742" s="79"/>
      <c r="M742" s="127"/>
      <c r="N742" s="79"/>
      <c r="O742" s="79"/>
      <c r="P742" s="107"/>
      <c r="Q742" s="79">
        <v>100421</v>
      </c>
      <c r="R742" s="79"/>
    </row>
    <row r="743" spans="1:18" s="106" customFormat="1">
      <c r="A743" s="79">
        <v>140423</v>
      </c>
      <c r="B743" s="79">
        <v>1004231</v>
      </c>
      <c r="C743" s="79" t="s">
        <v>484</v>
      </c>
      <c r="D743" s="79"/>
      <c r="E743" s="79" t="s">
        <v>1146</v>
      </c>
      <c r="F743" s="79">
        <v>19</v>
      </c>
      <c r="G743" s="79">
        <v>0</v>
      </c>
      <c r="H743" s="79" t="s">
        <v>486</v>
      </c>
      <c r="I743" s="79">
        <v>100421</v>
      </c>
      <c r="J743" s="79"/>
      <c r="K743" s="79">
        <v>7</v>
      </c>
      <c r="L743" s="79"/>
      <c r="M743" s="127"/>
      <c r="N743" s="79"/>
      <c r="O743" s="79"/>
      <c r="P743" s="107"/>
      <c r="Q743" s="79">
        <v>100421</v>
      </c>
      <c r="R743" s="79"/>
    </row>
    <row r="744" spans="1:18" s="106" customFormat="1">
      <c r="A744" s="79">
        <v>140431</v>
      </c>
      <c r="B744" s="79">
        <v>1004311</v>
      </c>
      <c r="C744" s="79" t="s">
        <v>489</v>
      </c>
      <c r="D744" s="79"/>
      <c r="E744" s="79" t="s">
        <v>1147</v>
      </c>
      <c r="F744" s="79">
        <v>19</v>
      </c>
      <c r="G744" s="79">
        <v>0</v>
      </c>
      <c r="H744" s="79" t="s">
        <v>491</v>
      </c>
      <c r="I744" s="79">
        <v>100431</v>
      </c>
      <c r="J744" s="79"/>
      <c r="K744" s="79">
        <v>5</v>
      </c>
      <c r="L744" s="79"/>
      <c r="M744" s="127"/>
      <c r="N744" s="79"/>
      <c r="O744" s="79"/>
      <c r="P744" s="107"/>
      <c r="Q744" s="79">
        <v>100431</v>
      </c>
      <c r="R744" s="79"/>
    </row>
    <row r="745" spans="1:18" s="106" customFormat="1">
      <c r="A745" s="79">
        <v>140432</v>
      </c>
      <c r="B745" s="79">
        <v>1004321</v>
      </c>
      <c r="C745" s="79" t="s">
        <v>489</v>
      </c>
      <c r="D745" s="79"/>
      <c r="E745" s="79" t="s">
        <v>1148</v>
      </c>
      <c r="F745" s="79">
        <v>19</v>
      </c>
      <c r="G745" s="79">
        <v>0</v>
      </c>
      <c r="H745" s="79" t="s">
        <v>491</v>
      </c>
      <c r="I745" s="79">
        <v>100431</v>
      </c>
      <c r="J745" s="79"/>
      <c r="K745" s="79">
        <v>6</v>
      </c>
      <c r="L745" s="79"/>
      <c r="M745" s="127"/>
      <c r="N745" s="79"/>
      <c r="O745" s="79"/>
      <c r="P745" s="107"/>
      <c r="Q745" s="79">
        <v>100431</v>
      </c>
      <c r="R745" s="79"/>
    </row>
    <row r="746" spans="1:18" s="106" customFormat="1">
      <c r="A746" s="79">
        <v>140433</v>
      </c>
      <c r="B746" s="79">
        <v>1004331</v>
      </c>
      <c r="C746" s="79" t="s">
        <v>489</v>
      </c>
      <c r="D746" s="79"/>
      <c r="E746" s="79" t="s">
        <v>1149</v>
      </c>
      <c r="F746" s="79">
        <v>19</v>
      </c>
      <c r="G746" s="79">
        <v>0</v>
      </c>
      <c r="H746" s="79" t="s">
        <v>491</v>
      </c>
      <c r="I746" s="79">
        <v>100431</v>
      </c>
      <c r="J746" s="79"/>
      <c r="K746" s="79">
        <v>7</v>
      </c>
      <c r="L746" s="79"/>
      <c r="M746" s="127"/>
      <c r="N746" s="79"/>
      <c r="O746" s="79"/>
      <c r="P746" s="107"/>
      <c r="Q746" s="79">
        <v>100431</v>
      </c>
      <c r="R746" s="79"/>
    </row>
    <row r="747" spans="1:18" s="106" customFormat="1">
      <c r="A747" s="79">
        <v>140441</v>
      </c>
      <c r="B747" s="79">
        <v>1004411</v>
      </c>
      <c r="C747" s="79" t="s">
        <v>495</v>
      </c>
      <c r="D747" s="79"/>
      <c r="E747" s="79" t="s">
        <v>1150</v>
      </c>
      <c r="F747" s="79">
        <v>19</v>
      </c>
      <c r="G747" s="79">
        <v>0</v>
      </c>
      <c r="H747" s="79" t="s">
        <v>497</v>
      </c>
      <c r="I747" s="79">
        <v>100441</v>
      </c>
      <c r="J747" s="79"/>
      <c r="K747" s="79">
        <v>5</v>
      </c>
      <c r="L747" s="79"/>
      <c r="M747" s="127"/>
      <c r="N747" s="79"/>
      <c r="O747" s="79"/>
      <c r="P747" s="107"/>
      <c r="Q747" s="79">
        <v>100441</v>
      </c>
      <c r="R747" s="79"/>
    </row>
    <row r="748" spans="1:18" s="106" customFormat="1">
      <c r="A748" s="79">
        <v>140442</v>
      </c>
      <c r="B748" s="79">
        <v>1004421</v>
      </c>
      <c r="C748" s="79" t="s">
        <v>495</v>
      </c>
      <c r="D748" s="79"/>
      <c r="E748" s="79" t="s">
        <v>1151</v>
      </c>
      <c r="F748" s="79">
        <v>19</v>
      </c>
      <c r="G748" s="79">
        <v>0</v>
      </c>
      <c r="H748" s="79" t="s">
        <v>497</v>
      </c>
      <c r="I748" s="79">
        <v>100441</v>
      </c>
      <c r="J748" s="79"/>
      <c r="K748" s="79">
        <v>6</v>
      </c>
      <c r="L748" s="79"/>
      <c r="M748" s="127"/>
      <c r="N748" s="79"/>
      <c r="O748" s="79"/>
      <c r="P748" s="107"/>
      <c r="Q748" s="79">
        <v>100441</v>
      </c>
      <c r="R748" s="79"/>
    </row>
    <row r="749" spans="1:18" s="106" customFormat="1">
      <c r="A749" s="79">
        <v>140443</v>
      </c>
      <c r="B749" s="79">
        <v>1004431</v>
      </c>
      <c r="C749" s="79" t="s">
        <v>495</v>
      </c>
      <c r="D749" s="79"/>
      <c r="E749" s="79" t="s">
        <v>1152</v>
      </c>
      <c r="F749" s="79">
        <v>19</v>
      </c>
      <c r="G749" s="79">
        <v>0</v>
      </c>
      <c r="H749" s="79" t="s">
        <v>497</v>
      </c>
      <c r="I749" s="79">
        <v>100441</v>
      </c>
      <c r="J749" s="79"/>
      <c r="K749" s="79">
        <v>7</v>
      </c>
      <c r="L749" s="79"/>
      <c r="M749" s="127"/>
      <c r="N749" s="79"/>
      <c r="O749" s="79"/>
      <c r="P749" s="107"/>
      <c r="Q749" s="79">
        <v>100441</v>
      </c>
      <c r="R749" s="79"/>
    </row>
    <row r="750" spans="1:18" s="106" customFormat="1">
      <c r="A750" s="79">
        <v>140451</v>
      </c>
      <c r="B750" s="79">
        <v>1004511</v>
      </c>
      <c r="C750" s="79" t="s">
        <v>501</v>
      </c>
      <c r="D750" s="79"/>
      <c r="E750" s="79" t="s">
        <v>1153</v>
      </c>
      <c r="F750" s="79">
        <v>19</v>
      </c>
      <c r="G750" s="79">
        <v>0</v>
      </c>
      <c r="H750" s="79" t="s">
        <v>503</v>
      </c>
      <c r="I750" s="79">
        <v>100451</v>
      </c>
      <c r="J750" s="79"/>
      <c r="K750" s="79">
        <v>5</v>
      </c>
      <c r="L750" s="79"/>
      <c r="M750" s="127"/>
      <c r="N750" s="79"/>
      <c r="O750" s="79"/>
      <c r="P750" s="107"/>
      <c r="Q750" s="79">
        <v>100451</v>
      </c>
      <c r="R750" s="79"/>
    </row>
    <row r="751" spans="1:18" s="106" customFormat="1">
      <c r="A751" s="79">
        <v>140452</v>
      </c>
      <c r="B751" s="79">
        <v>1004521</v>
      </c>
      <c r="C751" s="79" t="s">
        <v>501</v>
      </c>
      <c r="D751" s="79"/>
      <c r="E751" s="79" t="s">
        <v>1154</v>
      </c>
      <c r="F751" s="79">
        <v>19</v>
      </c>
      <c r="G751" s="79">
        <v>0</v>
      </c>
      <c r="H751" s="79" t="s">
        <v>503</v>
      </c>
      <c r="I751" s="79">
        <v>100451</v>
      </c>
      <c r="J751" s="79"/>
      <c r="K751" s="79">
        <v>6</v>
      </c>
      <c r="L751" s="79"/>
      <c r="M751" s="127"/>
      <c r="N751" s="79"/>
      <c r="O751" s="79"/>
      <c r="P751" s="107"/>
      <c r="Q751" s="79">
        <v>100451</v>
      </c>
      <c r="R751" s="79"/>
    </row>
    <row r="752" spans="1:18" s="106" customFormat="1">
      <c r="A752" s="79">
        <v>140453</v>
      </c>
      <c r="B752" s="79">
        <v>1004531</v>
      </c>
      <c r="C752" s="79" t="s">
        <v>501</v>
      </c>
      <c r="D752" s="79"/>
      <c r="E752" s="79" t="s">
        <v>1155</v>
      </c>
      <c r="F752" s="79">
        <v>19</v>
      </c>
      <c r="G752" s="79">
        <v>0</v>
      </c>
      <c r="H752" s="79" t="s">
        <v>503</v>
      </c>
      <c r="I752" s="79">
        <v>100451</v>
      </c>
      <c r="J752" s="79"/>
      <c r="K752" s="79">
        <v>7</v>
      </c>
      <c r="L752" s="79"/>
      <c r="M752" s="127"/>
      <c r="N752" s="79"/>
      <c r="O752" s="79"/>
      <c r="P752" s="107"/>
      <c r="Q752" s="79">
        <v>100451</v>
      </c>
      <c r="R752" s="79"/>
    </row>
    <row r="753" spans="1:18" s="106" customFormat="1">
      <c r="A753" s="79">
        <v>140461</v>
      </c>
      <c r="B753" s="79">
        <v>1004611</v>
      </c>
      <c r="C753" s="79" t="s">
        <v>506</v>
      </c>
      <c r="D753" s="79"/>
      <c r="E753" s="79" t="s">
        <v>1156</v>
      </c>
      <c r="F753" s="79">
        <v>19</v>
      </c>
      <c r="G753" s="79">
        <v>0</v>
      </c>
      <c r="H753" s="79" t="s">
        <v>508</v>
      </c>
      <c r="I753" s="79">
        <v>100461</v>
      </c>
      <c r="J753" s="79"/>
      <c r="K753" s="79">
        <v>5</v>
      </c>
      <c r="L753" s="79"/>
      <c r="M753" s="127"/>
      <c r="N753" s="79"/>
      <c r="O753" s="79"/>
      <c r="P753" s="107"/>
      <c r="Q753" s="79">
        <v>100461</v>
      </c>
      <c r="R753" s="79"/>
    </row>
    <row r="754" spans="1:18" s="106" customFormat="1">
      <c r="A754" s="79">
        <v>140462</v>
      </c>
      <c r="B754" s="79">
        <v>1004621</v>
      </c>
      <c r="C754" s="79" t="s">
        <v>506</v>
      </c>
      <c r="D754" s="79"/>
      <c r="E754" s="79" t="s">
        <v>1157</v>
      </c>
      <c r="F754" s="79">
        <v>19</v>
      </c>
      <c r="G754" s="79">
        <v>0</v>
      </c>
      <c r="H754" s="79" t="s">
        <v>508</v>
      </c>
      <c r="I754" s="79">
        <v>100462</v>
      </c>
      <c r="J754" s="79"/>
      <c r="K754" s="79">
        <v>6</v>
      </c>
      <c r="L754" s="79"/>
      <c r="M754" s="127"/>
      <c r="N754" s="79"/>
      <c r="O754" s="79"/>
      <c r="P754" s="107"/>
      <c r="Q754" s="79">
        <v>100462</v>
      </c>
      <c r="R754" s="79"/>
    </row>
    <row r="755" spans="1:18" s="106" customFormat="1">
      <c r="A755" s="79">
        <v>140463</v>
      </c>
      <c r="B755" s="79">
        <v>1004631</v>
      </c>
      <c r="C755" s="79" t="s">
        <v>506</v>
      </c>
      <c r="D755" s="79"/>
      <c r="E755" s="79" t="s">
        <v>1158</v>
      </c>
      <c r="F755" s="79">
        <v>19</v>
      </c>
      <c r="G755" s="79">
        <v>0</v>
      </c>
      <c r="H755" s="79" t="s">
        <v>508</v>
      </c>
      <c r="I755" s="79">
        <v>100463</v>
      </c>
      <c r="J755" s="79"/>
      <c r="K755" s="79">
        <v>7</v>
      </c>
      <c r="L755" s="79"/>
      <c r="M755" s="127"/>
      <c r="N755" s="79"/>
      <c r="O755" s="79"/>
      <c r="P755" s="107"/>
      <c r="Q755" s="79">
        <v>100462</v>
      </c>
      <c r="R755" s="79"/>
    </row>
    <row r="756" spans="1:18" s="106" customFormat="1">
      <c r="A756" s="79">
        <v>140811</v>
      </c>
      <c r="B756" s="79">
        <v>1008111</v>
      </c>
      <c r="C756" s="79" t="s">
        <v>571</v>
      </c>
      <c r="D756" s="79"/>
      <c r="E756" s="79" t="s">
        <v>1159</v>
      </c>
      <c r="F756" s="79">
        <v>19</v>
      </c>
      <c r="G756" s="79">
        <v>0</v>
      </c>
      <c r="H756" s="79" t="s">
        <v>573</v>
      </c>
      <c r="I756" s="79">
        <v>100812</v>
      </c>
      <c r="J756" s="79"/>
      <c r="K756" s="79">
        <v>5</v>
      </c>
      <c r="L756" s="79"/>
      <c r="M756" s="127"/>
      <c r="N756" s="79"/>
      <c r="O756" s="79"/>
      <c r="P756" s="107"/>
      <c r="Q756" s="79">
        <v>100811</v>
      </c>
      <c r="R756" s="79"/>
    </row>
    <row r="757" spans="1:18" s="106" customFormat="1">
      <c r="A757" s="79">
        <v>140812</v>
      </c>
      <c r="B757" s="79">
        <v>1008121</v>
      </c>
      <c r="C757" s="79" t="s">
        <v>571</v>
      </c>
      <c r="D757" s="79"/>
      <c r="E757" s="79" t="s">
        <v>1160</v>
      </c>
      <c r="F757" s="79">
        <v>19</v>
      </c>
      <c r="G757" s="79">
        <v>0</v>
      </c>
      <c r="H757" s="79" t="s">
        <v>573</v>
      </c>
      <c r="I757" s="79">
        <v>100812</v>
      </c>
      <c r="J757" s="79"/>
      <c r="K757" s="79">
        <v>6</v>
      </c>
      <c r="L757" s="79"/>
      <c r="M757" s="127"/>
      <c r="N757" s="79"/>
      <c r="O757" s="79"/>
      <c r="P757" s="107"/>
      <c r="Q757" s="79">
        <v>100812</v>
      </c>
      <c r="R757" s="79"/>
    </row>
    <row r="758" spans="1:18" s="106" customFormat="1">
      <c r="A758" s="79">
        <v>140813</v>
      </c>
      <c r="B758" s="79">
        <v>1008131</v>
      </c>
      <c r="C758" s="79" t="s">
        <v>571</v>
      </c>
      <c r="D758" s="79"/>
      <c r="E758" s="79" t="s">
        <v>1161</v>
      </c>
      <c r="F758" s="79">
        <v>19</v>
      </c>
      <c r="G758" s="79">
        <v>0</v>
      </c>
      <c r="H758" s="79" t="s">
        <v>576</v>
      </c>
      <c r="I758" s="79">
        <v>100813</v>
      </c>
      <c r="J758" s="79"/>
      <c r="K758" s="79">
        <v>7</v>
      </c>
      <c r="L758" s="79"/>
      <c r="M758" s="127"/>
      <c r="N758" s="79"/>
      <c r="O758" s="79"/>
      <c r="P758" s="107"/>
      <c r="Q758" s="79">
        <v>100813</v>
      </c>
      <c r="R758" s="79"/>
    </row>
    <row r="759" spans="1:18" s="106" customFormat="1">
      <c r="A759" s="79">
        <v>140832</v>
      </c>
      <c r="B759" s="79">
        <v>1008321</v>
      </c>
      <c r="C759" s="79" t="s">
        <v>582</v>
      </c>
      <c r="D759" s="79"/>
      <c r="E759" s="79" t="s">
        <v>1162</v>
      </c>
      <c r="F759" s="79">
        <v>19</v>
      </c>
      <c r="G759" s="79">
        <v>0</v>
      </c>
      <c r="H759" s="79" t="s">
        <v>584</v>
      </c>
      <c r="I759" s="79">
        <v>100832</v>
      </c>
      <c r="J759" s="79"/>
      <c r="K759" s="79">
        <v>5</v>
      </c>
      <c r="L759" s="79"/>
      <c r="M759" s="127"/>
      <c r="N759" s="79"/>
      <c r="O759" s="79"/>
      <c r="P759" s="107"/>
      <c r="Q759" s="79">
        <v>100832</v>
      </c>
      <c r="R759" s="79"/>
    </row>
    <row r="760" spans="1:18" s="106" customFormat="1">
      <c r="A760" s="79">
        <v>140833</v>
      </c>
      <c r="B760" s="79">
        <v>1008331</v>
      </c>
      <c r="C760" s="79" t="s">
        <v>582</v>
      </c>
      <c r="D760" s="79"/>
      <c r="E760" s="79" t="s">
        <v>1163</v>
      </c>
      <c r="F760" s="79">
        <v>19</v>
      </c>
      <c r="G760" s="79">
        <v>0</v>
      </c>
      <c r="H760" s="79" t="s">
        <v>584</v>
      </c>
      <c r="I760" s="79">
        <v>100833</v>
      </c>
      <c r="J760" s="79"/>
      <c r="K760" s="79">
        <v>6</v>
      </c>
      <c r="L760" s="79"/>
      <c r="M760" s="127"/>
      <c r="N760" s="79"/>
      <c r="O760" s="79"/>
      <c r="P760" s="107"/>
      <c r="Q760" s="79">
        <v>100833</v>
      </c>
      <c r="R760" s="79"/>
    </row>
    <row r="761" spans="1:18" s="106" customFormat="1">
      <c r="A761" s="79">
        <v>140834</v>
      </c>
      <c r="B761" s="79">
        <v>1008341</v>
      </c>
      <c r="C761" s="79" t="s">
        <v>582</v>
      </c>
      <c r="D761" s="79"/>
      <c r="E761" s="79" t="s">
        <v>1164</v>
      </c>
      <c r="F761" s="79">
        <v>19</v>
      </c>
      <c r="G761" s="79">
        <v>0</v>
      </c>
      <c r="H761" s="79" t="s">
        <v>584</v>
      </c>
      <c r="I761" s="79">
        <v>100834</v>
      </c>
      <c r="J761" s="79"/>
      <c r="K761" s="79">
        <v>7</v>
      </c>
      <c r="L761" s="79"/>
      <c r="M761" s="127"/>
      <c r="N761" s="79"/>
      <c r="O761" s="79"/>
      <c r="P761" s="107"/>
      <c r="Q761" s="79">
        <v>100834</v>
      </c>
      <c r="R761" s="79"/>
    </row>
    <row r="762" spans="1:18" s="106" customFormat="1">
      <c r="A762" s="79">
        <v>140842</v>
      </c>
      <c r="B762" s="79">
        <v>1008421</v>
      </c>
      <c r="C762" s="79" t="s">
        <v>587</v>
      </c>
      <c r="D762" s="79"/>
      <c r="E762" s="79" t="s">
        <v>1162</v>
      </c>
      <c r="F762" s="79">
        <v>19</v>
      </c>
      <c r="G762" s="79">
        <v>0</v>
      </c>
      <c r="H762" s="79" t="s">
        <v>589</v>
      </c>
      <c r="I762" s="79">
        <v>100842</v>
      </c>
      <c r="J762" s="79"/>
      <c r="K762" s="79">
        <v>5</v>
      </c>
      <c r="L762" s="79"/>
      <c r="M762" s="127"/>
      <c r="N762" s="79"/>
      <c r="O762" s="79"/>
      <c r="P762" s="107"/>
      <c r="Q762" s="79">
        <v>100842</v>
      </c>
      <c r="R762" s="79"/>
    </row>
    <row r="763" spans="1:18" s="106" customFormat="1">
      <c r="A763" s="79">
        <v>140843</v>
      </c>
      <c r="B763" s="79">
        <v>1008431</v>
      </c>
      <c r="C763" s="79" t="s">
        <v>587</v>
      </c>
      <c r="D763" s="79"/>
      <c r="E763" s="79" t="s">
        <v>1163</v>
      </c>
      <c r="F763" s="79">
        <v>19</v>
      </c>
      <c r="G763" s="79">
        <v>0</v>
      </c>
      <c r="H763" s="79" t="s">
        <v>590</v>
      </c>
      <c r="I763" s="79">
        <v>100843</v>
      </c>
      <c r="J763" s="79"/>
      <c r="K763" s="79">
        <v>6</v>
      </c>
      <c r="L763" s="79"/>
      <c r="M763" s="127"/>
      <c r="N763" s="79"/>
      <c r="O763" s="79"/>
      <c r="P763" s="107"/>
      <c r="Q763" s="79">
        <v>100843</v>
      </c>
      <c r="R763" s="79"/>
    </row>
    <row r="764" spans="1:18" s="106" customFormat="1">
      <c r="A764" s="79">
        <v>140844</v>
      </c>
      <c r="B764" s="79">
        <v>1008441</v>
      </c>
      <c r="C764" s="79" t="s">
        <v>587</v>
      </c>
      <c r="D764" s="79"/>
      <c r="E764" s="79" t="s">
        <v>1164</v>
      </c>
      <c r="F764" s="79">
        <v>19</v>
      </c>
      <c r="G764" s="79">
        <v>0</v>
      </c>
      <c r="H764" s="79" t="s">
        <v>591</v>
      </c>
      <c r="I764" s="79">
        <v>100844</v>
      </c>
      <c r="J764" s="79"/>
      <c r="K764" s="79">
        <v>7</v>
      </c>
      <c r="L764" s="79"/>
      <c r="M764" s="127"/>
      <c r="N764" s="79"/>
      <c r="O764" s="79"/>
      <c r="P764" s="107"/>
      <c r="Q764" s="79">
        <v>100844</v>
      </c>
      <c r="R764" s="79"/>
    </row>
    <row r="765" spans="1:18" s="106" customFormat="1">
      <c r="A765" s="79">
        <v>140853</v>
      </c>
      <c r="B765" s="79">
        <v>1008531</v>
      </c>
      <c r="C765" s="79" t="s">
        <v>592</v>
      </c>
      <c r="D765" s="79"/>
      <c r="E765" s="79" t="s">
        <v>1165</v>
      </c>
      <c r="F765" s="79">
        <v>19</v>
      </c>
      <c r="G765" s="79">
        <v>0</v>
      </c>
      <c r="H765" s="79" t="s">
        <v>594</v>
      </c>
      <c r="I765" s="79">
        <v>100853</v>
      </c>
      <c r="J765" s="79"/>
      <c r="K765" s="79">
        <v>6</v>
      </c>
      <c r="L765" s="79"/>
      <c r="M765" s="127"/>
      <c r="N765" s="79"/>
      <c r="O765" s="79"/>
      <c r="P765" s="107"/>
      <c r="Q765" s="79">
        <v>100853</v>
      </c>
      <c r="R765" s="79"/>
    </row>
    <row r="766" spans="1:18" s="106" customFormat="1">
      <c r="A766" s="79">
        <v>140854</v>
      </c>
      <c r="B766" s="79">
        <v>1008541</v>
      </c>
      <c r="C766" s="79" t="s">
        <v>592</v>
      </c>
      <c r="D766" s="79"/>
      <c r="E766" s="79" t="s">
        <v>1166</v>
      </c>
      <c r="F766" s="79">
        <v>19</v>
      </c>
      <c r="G766" s="79">
        <v>0</v>
      </c>
      <c r="H766" s="79" t="s">
        <v>596</v>
      </c>
      <c r="I766" s="79">
        <v>100854</v>
      </c>
      <c r="J766" s="79"/>
      <c r="K766" s="79">
        <v>7</v>
      </c>
      <c r="L766" s="79"/>
      <c r="M766" s="127"/>
      <c r="N766" s="79"/>
      <c r="O766" s="79"/>
      <c r="P766" s="107"/>
      <c r="Q766" s="79">
        <v>100854</v>
      </c>
      <c r="R766" s="79"/>
    </row>
    <row r="767" spans="1:18" s="106" customFormat="1">
      <c r="A767" s="79">
        <v>140863</v>
      </c>
      <c r="B767" s="79">
        <v>1008631</v>
      </c>
      <c r="C767" s="79" t="s">
        <v>597</v>
      </c>
      <c r="D767" s="79"/>
      <c r="E767" s="79" t="s">
        <v>1167</v>
      </c>
      <c r="F767" s="79">
        <v>19</v>
      </c>
      <c r="G767" s="79">
        <v>0</v>
      </c>
      <c r="H767" s="79" t="s">
        <v>599</v>
      </c>
      <c r="I767" s="79">
        <v>100863</v>
      </c>
      <c r="J767" s="79"/>
      <c r="K767" s="79">
        <v>5</v>
      </c>
      <c r="L767" s="79"/>
      <c r="M767" s="127"/>
      <c r="N767" s="79"/>
      <c r="O767" s="79"/>
      <c r="P767" s="107"/>
      <c r="Q767" s="79">
        <v>100863</v>
      </c>
      <c r="R767" s="79"/>
    </row>
    <row r="768" spans="1:18" s="106" customFormat="1">
      <c r="A768" s="79">
        <v>140872</v>
      </c>
      <c r="B768" s="79">
        <v>1008721</v>
      </c>
      <c r="C768" s="79" t="s">
        <v>602</v>
      </c>
      <c r="D768" s="79"/>
      <c r="E768" s="79" t="s">
        <v>1168</v>
      </c>
      <c r="F768" s="79">
        <v>19</v>
      </c>
      <c r="G768" s="79">
        <v>0</v>
      </c>
      <c r="H768" s="79" t="s">
        <v>604</v>
      </c>
      <c r="I768" s="79">
        <v>100872</v>
      </c>
      <c r="J768" s="79"/>
      <c r="K768" s="79">
        <v>5</v>
      </c>
      <c r="L768" s="79"/>
      <c r="M768" s="127"/>
      <c r="N768" s="79"/>
      <c r="O768" s="79"/>
      <c r="P768" s="107"/>
      <c r="Q768" s="79">
        <v>100872</v>
      </c>
      <c r="R768" s="79"/>
    </row>
    <row r="769" spans="1:18" s="106" customFormat="1">
      <c r="A769" s="79">
        <v>140873</v>
      </c>
      <c r="B769" s="79">
        <v>1008731</v>
      </c>
      <c r="C769" s="79" t="s">
        <v>602</v>
      </c>
      <c r="D769" s="79"/>
      <c r="E769" s="79" t="s">
        <v>1169</v>
      </c>
      <c r="F769" s="79">
        <v>19</v>
      </c>
      <c r="G769" s="79">
        <v>0</v>
      </c>
      <c r="H769" s="79" t="s">
        <v>604</v>
      </c>
      <c r="I769" s="79">
        <v>100873</v>
      </c>
      <c r="J769" s="79"/>
      <c r="K769" s="79">
        <v>6</v>
      </c>
      <c r="L769" s="79"/>
      <c r="M769" s="127"/>
      <c r="N769" s="79"/>
      <c r="O769" s="79"/>
      <c r="P769" s="107"/>
      <c r="Q769" s="79">
        <v>100873</v>
      </c>
      <c r="R769" s="79"/>
    </row>
    <row r="770" spans="1:18" s="106" customFormat="1">
      <c r="A770" s="79">
        <v>140874</v>
      </c>
      <c r="B770" s="79">
        <v>1008741</v>
      </c>
      <c r="C770" s="79" t="s">
        <v>602</v>
      </c>
      <c r="D770" s="79"/>
      <c r="E770" s="79" t="s">
        <v>1170</v>
      </c>
      <c r="F770" s="79">
        <v>19</v>
      </c>
      <c r="G770" s="79">
        <v>0</v>
      </c>
      <c r="H770" s="79" t="s">
        <v>604</v>
      </c>
      <c r="I770" s="79">
        <v>100874</v>
      </c>
      <c r="J770" s="79"/>
      <c r="K770" s="79">
        <v>7</v>
      </c>
      <c r="L770" s="79"/>
      <c r="M770" s="127"/>
      <c r="N770" s="79"/>
      <c r="O770" s="79"/>
      <c r="P770" s="107"/>
      <c r="Q770" s="79">
        <v>100874</v>
      </c>
      <c r="R770" s="79"/>
    </row>
    <row r="771" spans="1:18" s="106" customFormat="1">
      <c r="A771" s="79">
        <v>140882</v>
      </c>
      <c r="B771" s="79">
        <v>1008821</v>
      </c>
      <c r="C771" s="79" t="s">
        <v>607</v>
      </c>
      <c r="D771" s="79"/>
      <c r="E771" s="79" t="s">
        <v>1171</v>
      </c>
      <c r="F771" s="79">
        <v>19</v>
      </c>
      <c r="G771" s="79">
        <v>0</v>
      </c>
      <c r="H771" s="79" t="s">
        <v>609</v>
      </c>
      <c r="I771" s="79">
        <v>100882</v>
      </c>
      <c r="J771" s="79"/>
      <c r="K771" s="79">
        <v>5</v>
      </c>
      <c r="L771" s="79"/>
      <c r="M771" s="127"/>
      <c r="N771" s="79"/>
      <c r="O771" s="79"/>
      <c r="P771" s="107"/>
      <c r="Q771" s="79">
        <v>100882</v>
      </c>
      <c r="R771" s="79"/>
    </row>
    <row r="772" spans="1:18" s="106" customFormat="1">
      <c r="A772" s="79">
        <v>140883</v>
      </c>
      <c r="B772" s="79">
        <v>1008831</v>
      </c>
      <c r="C772" s="79" t="s">
        <v>607</v>
      </c>
      <c r="D772" s="79"/>
      <c r="E772" s="79" t="s">
        <v>1172</v>
      </c>
      <c r="F772" s="79">
        <v>19</v>
      </c>
      <c r="G772" s="79">
        <v>0</v>
      </c>
      <c r="H772" s="79" t="s">
        <v>609</v>
      </c>
      <c r="I772" s="79">
        <v>100883</v>
      </c>
      <c r="J772" s="79"/>
      <c r="K772" s="79">
        <v>6</v>
      </c>
      <c r="L772" s="79"/>
      <c r="M772" s="127"/>
      <c r="N772" s="79"/>
      <c r="O772" s="79"/>
      <c r="P772" s="107"/>
      <c r="Q772" s="79">
        <v>100883</v>
      </c>
      <c r="R772" s="79"/>
    </row>
    <row r="773" spans="1:18" s="106" customFormat="1">
      <c r="A773" s="79">
        <v>140884</v>
      </c>
      <c r="B773" s="79">
        <v>1008841</v>
      </c>
      <c r="C773" s="79" t="s">
        <v>607</v>
      </c>
      <c r="D773" s="79"/>
      <c r="E773" s="79" t="s">
        <v>1173</v>
      </c>
      <c r="F773" s="79">
        <v>19</v>
      </c>
      <c r="G773" s="79">
        <v>0</v>
      </c>
      <c r="H773" s="79" t="s">
        <v>609</v>
      </c>
      <c r="I773" s="79">
        <v>100884</v>
      </c>
      <c r="J773" s="79"/>
      <c r="K773" s="79">
        <v>7</v>
      </c>
      <c r="L773" s="79"/>
      <c r="M773" s="127"/>
      <c r="N773" s="79"/>
      <c r="O773" s="79"/>
      <c r="P773" s="107"/>
      <c r="Q773" s="79">
        <v>100884</v>
      </c>
      <c r="R773" s="79"/>
    </row>
    <row r="774" spans="1:18" s="106" customFormat="1">
      <c r="A774" s="79">
        <v>140894</v>
      </c>
      <c r="B774" s="79">
        <v>1008941</v>
      </c>
      <c r="C774" s="79" t="s">
        <v>613</v>
      </c>
      <c r="D774" s="79"/>
      <c r="E774" s="79" t="s">
        <v>1174</v>
      </c>
      <c r="F774" s="79">
        <v>19</v>
      </c>
      <c r="G774" s="79">
        <v>0</v>
      </c>
      <c r="H774" s="79" t="s">
        <v>615</v>
      </c>
      <c r="I774" s="79">
        <v>100894</v>
      </c>
      <c r="J774" s="79"/>
      <c r="K774" s="79">
        <v>7</v>
      </c>
      <c r="L774" s="79"/>
      <c r="M774" s="127"/>
      <c r="N774" s="79"/>
      <c r="O774" s="79"/>
      <c r="P774" s="107"/>
      <c r="Q774" s="79">
        <v>100894</v>
      </c>
      <c r="R774" s="79"/>
    </row>
    <row r="775" spans="1:18" s="108" customFormat="1">
      <c r="A775" s="107">
        <v>140902</v>
      </c>
      <c r="B775" s="79">
        <v>1009021</v>
      </c>
      <c r="C775" s="79" t="s">
        <v>692</v>
      </c>
      <c r="D775" s="79"/>
      <c r="E775" s="79" t="s">
        <v>1175</v>
      </c>
      <c r="F775" s="79">
        <v>19</v>
      </c>
      <c r="G775" s="79">
        <v>0</v>
      </c>
      <c r="H775" s="79"/>
      <c r="I775" s="79"/>
      <c r="J775" s="79"/>
      <c r="K775" s="79">
        <v>5</v>
      </c>
      <c r="L775" s="79"/>
      <c r="M775" s="127"/>
      <c r="N775" s="79"/>
      <c r="O775" s="79"/>
      <c r="P775" s="107"/>
      <c r="Q775" s="79">
        <v>100902</v>
      </c>
      <c r="R775" s="79"/>
    </row>
    <row r="776" spans="1:18" s="108" customFormat="1">
      <c r="A776" s="107">
        <v>140903</v>
      </c>
      <c r="B776" s="79">
        <v>1009031</v>
      </c>
      <c r="C776" s="79" t="s">
        <v>692</v>
      </c>
      <c r="D776" s="79"/>
      <c r="E776" s="79" t="s">
        <v>1176</v>
      </c>
      <c r="F776" s="79">
        <v>19</v>
      </c>
      <c r="G776" s="79">
        <v>0</v>
      </c>
      <c r="H776" s="79"/>
      <c r="I776" s="79"/>
      <c r="J776" s="79"/>
      <c r="K776" s="79">
        <v>6</v>
      </c>
      <c r="L776" s="79"/>
      <c r="M776" s="127"/>
      <c r="N776" s="79"/>
      <c r="O776" s="79"/>
      <c r="P776" s="107"/>
      <c r="Q776" s="79">
        <v>100903</v>
      </c>
      <c r="R776" s="79"/>
    </row>
    <row r="777" spans="1:18" s="108" customFormat="1">
      <c r="A777" s="107">
        <v>140904</v>
      </c>
      <c r="B777" s="79">
        <v>1009041</v>
      </c>
      <c r="C777" s="79" t="s">
        <v>692</v>
      </c>
      <c r="D777" s="79"/>
      <c r="E777" s="79" t="s">
        <v>1177</v>
      </c>
      <c r="F777" s="79">
        <v>19</v>
      </c>
      <c r="G777" s="79">
        <v>0</v>
      </c>
      <c r="H777" s="79"/>
      <c r="I777" s="79"/>
      <c r="J777" s="79"/>
      <c r="K777" s="79">
        <v>7</v>
      </c>
      <c r="L777" s="79"/>
      <c r="M777" s="127"/>
      <c r="N777" s="79"/>
      <c r="O777" s="79"/>
      <c r="P777" s="107"/>
      <c r="Q777" s="79">
        <v>100904</v>
      </c>
      <c r="R777" s="79"/>
    </row>
    <row r="778" spans="1:18" s="106" customFormat="1">
      <c r="A778" s="79">
        <v>140912</v>
      </c>
      <c r="B778" s="79">
        <v>1009121</v>
      </c>
      <c r="C778" s="79" t="s">
        <v>616</v>
      </c>
      <c r="D778" s="79"/>
      <c r="E778" s="79" t="s">
        <v>1178</v>
      </c>
      <c r="F778" s="79">
        <v>19</v>
      </c>
      <c r="G778" s="79">
        <v>0</v>
      </c>
      <c r="H778" s="79" t="s">
        <v>618</v>
      </c>
      <c r="I778" s="79">
        <v>100912</v>
      </c>
      <c r="J778" s="79"/>
      <c r="K778" s="79">
        <v>5</v>
      </c>
      <c r="L778" s="79"/>
      <c r="M778" s="127"/>
      <c r="N778" s="79"/>
      <c r="O778" s="79"/>
      <c r="P778" s="107"/>
      <c r="Q778" s="79">
        <v>100912</v>
      </c>
      <c r="R778" s="79"/>
    </row>
    <row r="779" spans="1:18" s="106" customFormat="1">
      <c r="A779" s="79">
        <v>140913</v>
      </c>
      <c r="B779" s="79">
        <v>1009131</v>
      </c>
      <c r="C779" s="79" t="s">
        <v>616</v>
      </c>
      <c r="D779" s="79"/>
      <c r="E779" s="79" t="s">
        <v>1179</v>
      </c>
      <c r="F779" s="79">
        <v>19</v>
      </c>
      <c r="G779" s="79">
        <v>0</v>
      </c>
      <c r="H779" s="79" t="s">
        <v>618</v>
      </c>
      <c r="I779" s="79">
        <v>100913</v>
      </c>
      <c r="J779" s="79"/>
      <c r="K779" s="79">
        <v>6</v>
      </c>
      <c r="L779" s="79"/>
      <c r="M779" s="127"/>
      <c r="N779" s="79"/>
      <c r="O779" s="79"/>
      <c r="P779" s="107"/>
      <c r="Q779" s="79">
        <v>100913</v>
      </c>
      <c r="R779" s="79"/>
    </row>
    <row r="780" spans="1:18" s="106" customFormat="1">
      <c r="A780" s="79">
        <v>140914</v>
      </c>
      <c r="B780" s="79">
        <v>1009141</v>
      </c>
      <c r="C780" s="79" t="s">
        <v>616</v>
      </c>
      <c r="D780" s="79"/>
      <c r="E780" s="79" t="s">
        <v>1180</v>
      </c>
      <c r="F780" s="79">
        <v>19</v>
      </c>
      <c r="G780" s="79">
        <v>0</v>
      </c>
      <c r="H780" s="79" t="s">
        <v>618</v>
      </c>
      <c r="I780" s="79">
        <v>100914</v>
      </c>
      <c r="J780" s="79"/>
      <c r="K780" s="79">
        <v>7</v>
      </c>
      <c r="L780" s="79"/>
      <c r="M780" s="127"/>
      <c r="N780" s="79"/>
      <c r="O780" s="79"/>
      <c r="P780" s="107"/>
      <c r="Q780" s="79">
        <v>100914</v>
      </c>
      <c r="R780" s="79"/>
    </row>
    <row r="781" spans="1:18" s="106" customFormat="1">
      <c r="A781" s="79">
        <v>140922</v>
      </c>
      <c r="B781" s="79">
        <v>1009221</v>
      </c>
      <c r="C781" s="79" t="s">
        <v>621</v>
      </c>
      <c r="D781" s="79"/>
      <c r="E781" s="79" t="s">
        <v>1181</v>
      </c>
      <c r="F781" s="79">
        <v>19</v>
      </c>
      <c r="G781" s="79">
        <v>0</v>
      </c>
      <c r="H781" s="79" t="s">
        <v>623</v>
      </c>
      <c r="I781" s="79">
        <v>100922</v>
      </c>
      <c r="J781" s="79"/>
      <c r="K781" s="79">
        <v>5</v>
      </c>
      <c r="L781" s="79"/>
      <c r="M781" s="127"/>
      <c r="N781" s="79"/>
      <c r="O781" s="79"/>
      <c r="P781" s="107"/>
      <c r="Q781" s="79">
        <v>100922</v>
      </c>
      <c r="R781" s="79"/>
    </row>
    <row r="782" spans="1:18" s="106" customFormat="1">
      <c r="A782" s="79">
        <v>140923</v>
      </c>
      <c r="B782" s="79">
        <v>1009231</v>
      </c>
      <c r="C782" s="79" t="s">
        <v>621</v>
      </c>
      <c r="D782" s="79"/>
      <c r="E782" s="79" t="s">
        <v>1182</v>
      </c>
      <c r="F782" s="79">
        <v>19</v>
      </c>
      <c r="G782" s="79">
        <v>0</v>
      </c>
      <c r="H782" s="79" t="s">
        <v>623</v>
      </c>
      <c r="I782" s="79">
        <v>100923</v>
      </c>
      <c r="J782" s="79"/>
      <c r="K782" s="79">
        <v>6</v>
      </c>
      <c r="L782" s="79"/>
      <c r="M782" s="127"/>
      <c r="N782" s="79"/>
      <c r="O782" s="79"/>
      <c r="P782" s="107"/>
      <c r="Q782" s="79">
        <v>100923</v>
      </c>
      <c r="R782" s="79"/>
    </row>
    <row r="783" spans="1:18" s="106" customFormat="1">
      <c r="A783" s="79">
        <v>140924</v>
      </c>
      <c r="B783" s="79">
        <v>1009241</v>
      </c>
      <c r="C783" s="79" t="s">
        <v>621</v>
      </c>
      <c r="D783" s="79"/>
      <c r="E783" s="79" t="s">
        <v>1183</v>
      </c>
      <c r="F783" s="79">
        <v>19</v>
      </c>
      <c r="G783" s="79">
        <v>0</v>
      </c>
      <c r="H783" s="79" t="s">
        <v>623</v>
      </c>
      <c r="I783" s="79">
        <v>100924</v>
      </c>
      <c r="J783" s="79"/>
      <c r="K783" s="79">
        <v>7</v>
      </c>
      <c r="L783" s="79"/>
      <c r="M783" s="127"/>
      <c r="N783" s="79"/>
      <c r="O783" s="79"/>
      <c r="P783" s="107"/>
      <c r="Q783" s="79">
        <v>100924</v>
      </c>
      <c r="R783" s="79"/>
    </row>
    <row r="784" spans="1:18" s="106" customFormat="1">
      <c r="A784" s="79">
        <v>140932</v>
      </c>
      <c r="B784" s="79">
        <v>1009321</v>
      </c>
      <c r="C784" s="79" t="s">
        <v>626</v>
      </c>
      <c r="D784" s="79"/>
      <c r="E784" s="79" t="s">
        <v>1184</v>
      </c>
      <c r="F784" s="79">
        <v>19</v>
      </c>
      <c r="G784" s="79">
        <v>0</v>
      </c>
      <c r="H784" s="79" t="s">
        <v>628</v>
      </c>
      <c r="I784" s="79">
        <v>100932</v>
      </c>
      <c r="J784" s="79"/>
      <c r="K784" s="79">
        <v>5</v>
      </c>
      <c r="L784" s="79"/>
      <c r="M784" s="127"/>
      <c r="N784" s="79"/>
      <c r="O784" s="79"/>
      <c r="P784" s="107"/>
      <c r="Q784" s="79">
        <v>100932</v>
      </c>
      <c r="R784" s="79"/>
    </row>
    <row r="785" spans="1:18" s="106" customFormat="1">
      <c r="A785" s="79">
        <v>140933</v>
      </c>
      <c r="B785" s="79">
        <v>1009331</v>
      </c>
      <c r="C785" s="79" t="s">
        <v>626</v>
      </c>
      <c r="D785" s="79"/>
      <c r="E785" s="79" t="s">
        <v>1185</v>
      </c>
      <c r="F785" s="79">
        <v>19</v>
      </c>
      <c r="G785" s="79">
        <v>0</v>
      </c>
      <c r="H785" s="79" t="s">
        <v>628</v>
      </c>
      <c r="I785" s="79">
        <v>100933</v>
      </c>
      <c r="J785" s="79"/>
      <c r="K785" s="79">
        <v>6</v>
      </c>
      <c r="L785" s="79"/>
      <c r="M785" s="127"/>
      <c r="N785" s="79"/>
      <c r="O785" s="79"/>
      <c r="P785" s="107"/>
      <c r="Q785" s="79">
        <v>100933</v>
      </c>
      <c r="R785" s="79"/>
    </row>
    <row r="786" spans="1:18" s="106" customFormat="1">
      <c r="A786" s="79">
        <v>140934</v>
      </c>
      <c r="B786" s="79">
        <v>1009341</v>
      </c>
      <c r="C786" s="79" t="s">
        <v>626</v>
      </c>
      <c r="D786" s="79"/>
      <c r="E786" s="79" t="s">
        <v>1186</v>
      </c>
      <c r="F786" s="79">
        <v>19</v>
      </c>
      <c r="G786" s="79">
        <v>0</v>
      </c>
      <c r="H786" s="79" t="s">
        <v>628</v>
      </c>
      <c r="I786" s="79">
        <v>100934</v>
      </c>
      <c r="J786" s="79"/>
      <c r="K786" s="79">
        <v>7</v>
      </c>
      <c r="L786" s="79"/>
      <c r="M786" s="127"/>
      <c r="N786" s="79"/>
      <c r="O786" s="79"/>
      <c r="P786" s="107"/>
      <c r="Q786" s="79">
        <v>100934</v>
      </c>
      <c r="R786" s="79"/>
    </row>
    <row r="787" spans="1:18" s="106" customFormat="1">
      <c r="A787" s="79">
        <v>140942</v>
      </c>
      <c r="B787" s="79">
        <v>1009421</v>
      </c>
      <c r="C787" s="79" t="s">
        <v>631</v>
      </c>
      <c r="D787" s="79"/>
      <c r="E787" s="79" t="s">
        <v>1187</v>
      </c>
      <c r="F787" s="79">
        <v>19</v>
      </c>
      <c r="G787" s="79">
        <v>0</v>
      </c>
      <c r="H787" s="79" t="s">
        <v>618</v>
      </c>
      <c r="I787" s="79">
        <v>100942</v>
      </c>
      <c r="J787" s="79"/>
      <c r="K787" s="79">
        <v>5</v>
      </c>
      <c r="L787" s="79"/>
      <c r="M787" s="127"/>
      <c r="N787" s="79"/>
      <c r="O787" s="79"/>
      <c r="P787" s="107"/>
      <c r="Q787" s="79">
        <v>100942</v>
      </c>
      <c r="R787" s="79"/>
    </row>
    <row r="788" spans="1:18" s="106" customFormat="1">
      <c r="A788" s="79">
        <v>140943</v>
      </c>
      <c r="B788" s="79">
        <v>1009431</v>
      </c>
      <c r="C788" s="79" t="s">
        <v>631</v>
      </c>
      <c r="D788" s="79"/>
      <c r="E788" s="79" t="s">
        <v>1188</v>
      </c>
      <c r="F788" s="79">
        <v>19</v>
      </c>
      <c r="G788" s="79">
        <v>0</v>
      </c>
      <c r="H788" s="79" t="s">
        <v>618</v>
      </c>
      <c r="I788" s="79">
        <v>100943</v>
      </c>
      <c r="J788" s="79"/>
      <c r="K788" s="79">
        <v>6</v>
      </c>
      <c r="L788" s="79"/>
      <c r="M788" s="127"/>
      <c r="N788" s="79"/>
      <c r="O788" s="79"/>
      <c r="P788" s="107"/>
      <c r="Q788" s="79">
        <v>100943</v>
      </c>
      <c r="R788" s="79"/>
    </row>
    <row r="789" spans="1:18" s="106" customFormat="1">
      <c r="A789" s="79">
        <v>140944</v>
      </c>
      <c r="B789" s="79">
        <v>1009441</v>
      </c>
      <c r="C789" s="79" t="s">
        <v>631</v>
      </c>
      <c r="D789" s="79"/>
      <c r="E789" s="79" t="s">
        <v>1189</v>
      </c>
      <c r="F789" s="79">
        <v>19</v>
      </c>
      <c r="G789" s="79">
        <v>0</v>
      </c>
      <c r="H789" s="79" t="s">
        <v>618</v>
      </c>
      <c r="I789" s="79">
        <v>100944</v>
      </c>
      <c r="J789" s="79"/>
      <c r="K789" s="79">
        <v>7</v>
      </c>
      <c r="L789" s="79"/>
      <c r="M789" s="127"/>
      <c r="N789" s="79"/>
      <c r="O789" s="79"/>
      <c r="P789" s="107"/>
      <c r="Q789" s="79">
        <v>100944</v>
      </c>
      <c r="R789" s="79"/>
    </row>
    <row r="790" spans="1:18" s="106" customFormat="1">
      <c r="A790" s="79">
        <v>140952</v>
      </c>
      <c r="B790" s="79">
        <v>1009521</v>
      </c>
      <c r="C790" s="79" t="s">
        <v>636</v>
      </c>
      <c r="D790" s="79"/>
      <c r="E790" s="79" t="s">
        <v>1190</v>
      </c>
      <c r="F790" s="79">
        <v>19</v>
      </c>
      <c r="G790" s="79">
        <v>0</v>
      </c>
      <c r="H790" s="79" t="s">
        <v>623</v>
      </c>
      <c r="I790" s="79">
        <v>100952</v>
      </c>
      <c r="J790" s="79"/>
      <c r="K790" s="79">
        <v>5</v>
      </c>
      <c r="L790" s="79"/>
      <c r="M790" s="127"/>
      <c r="N790" s="79"/>
      <c r="O790" s="79"/>
      <c r="P790" s="107"/>
      <c r="Q790" s="79">
        <v>100952</v>
      </c>
      <c r="R790" s="79"/>
    </row>
    <row r="791" spans="1:18" s="106" customFormat="1">
      <c r="A791" s="79">
        <v>140953</v>
      </c>
      <c r="B791" s="79">
        <v>1009531</v>
      </c>
      <c r="C791" s="79" t="s">
        <v>636</v>
      </c>
      <c r="D791" s="79"/>
      <c r="E791" s="79" t="s">
        <v>1191</v>
      </c>
      <c r="F791" s="79">
        <v>19</v>
      </c>
      <c r="G791" s="79">
        <v>0</v>
      </c>
      <c r="H791" s="79" t="s">
        <v>623</v>
      </c>
      <c r="I791" s="79">
        <v>100953</v>
      </c>
      <c r="J791" s="79"/>
      <c r="K791" s="79">
        <v>6</v>
      </c>
      <c r="L791" s="79"/>
      <c r="M791" s="127"/>
      <c r="N791" s="79"/>
      <c r="O791" s="79"/>
      <c r="P791" s="107"/>
      <c r="Q791" s="79">
        <v>100953</v>
      </c>
      <c r="R791" s="79"/>
    </row>
    <row r="792" spans="1:18" s="106" customFormat="1">
      <c r="A792" s="79">
        <v>140954</v>
      </c>
      <c r="B792" s="79">
        <v>1009541</v>
      </c>
      <c r="C792" s="79" t="s">
        <v>636</v>
      </c>
      <c r="D792" s="79"/>
      <c r="E792" s="79" t="s">
        <v>1192</v>
      </c>
      <c r="F792" s="79">
        <v>19</v>
      </c>
      <c r="G792" s="79">
        <v>0</v>
      </c>
      <c r="H792" s="79" t="s">
        <v>623</v>
      </c>
      <c r="I792" s="79">
        <v>100954</v>
      </c>
      <c r="J792" s="79"/>
      <c r="K792" s="79">
        <v>7</v>
      </c>
      <c r="L792" s="79"/>
      <c r="M792" s="127"/>
      <c r="N792" s="79"/>
      <c r="O792" s="79"/>
      <c r="P792" s="107"/>
      <c r="Q792" s="79">
        <v>100954</v>
      </c>
      <c r="R792" s="79"/>
    </row>
    <row r="793" spans="1:18" s="106" customFormat="1">
      <c r="A793" s="79">
        <v>140962</v>
      </c>
      <c r="B793" s="79">
        <v>1009621</v>
      </c>
      <c r="C793" s="79" t="s">
        <v>643</v>
      </c>
      <c r="D793" s="79"/>
      <c r="E793" s="79" t="s">
        <v>1193</v>
      </c>
      <c r="F793" s="79">
        <v>19</v>
      </c>
      <c r="G793" s="79">
        <v>0</v>
      </c>
      <c r="H793" s="79" t="s">
        <v>645</v>
      </c>
      <c r="I793" s="79">
        <v>100962</v>
      </c>
      <c r="J793" s="79"/>
      <c r="K793" s="79">
        <v>5</v>
      </c>
      <c r="L793" s="79"/>
      <c r="M793" s="127"/>
      <c r="N793" s="79"/>
      <c r="O793" s="79"/>
      <c r="P793" s="107"/>
      <c r="Q793" s="79">
        <v>100962</v>
      </c>
      <c r="R793" s="79"/>
    </row>
    <row r="794" spans="1:18" s="106" customFormat="1">
      <c r="A794" s="79">
        <v>140963</v>
      </c>
      <c r="B794" s="79">
        <v>1009631</v>
      </c>
      <c r="C794" s="79" t="s">
        <v>643</v>
      </c>
      <c r="D794" s="79"/>
      <c r="E794" s="79" t="s">
        <v>1194</v>
      </c>
      <c r="F794" s="79">
        <v>19</v>
      </c>
      <c r="G794" s="79">
        <v>0</v>
      </c>
      <c r="H794" s="79" t="s">
        <v>647</v>
      </c>
      <c r="I794" s="79">
        <v>100963</v>
      </c>
      <c r="J794" s="79"/>
      <c r="K794" s="79">
        <v>6</v>
      </c>
      <c r="L794" s="79"/>
      <c r="M794" s="127"/>
      <c r="N794" s="79"/>
      <c r="O794" s="79"/>
      <c r="P794" s="107"/>
      <c r="Q794" s="79">
        <v>100963</v>
      </c>
      <c r="R794" s="79"/>
    </row>
    <row r="795" spans="1:18" s="106" customFormat="1">
      <c r="A795" s="79">
        <v>140964</v>
      </c>
      <c r="B795" s="79">
        <v>1009641</v>
      </c>
      <c r="C795" s="79" t="s">
        <v>643</v>
      </c>
      <c r="D795" s="79"/>
      <c r="E795" s="79" t="s">
        <v>1195</v>
      </c>
      <c r="F795" s="79">
        <v>19</v>
      </c>
      <c r="G795" s="79">
        <v>0</v>
      </c>
      <c r="H795" s="79" t="s">
        <v>649</v>
      </c>
      <c r="I795" s="79">
        <v>100964</v>
      </c>
      <c r="J795" s="79"/>
      <c r="K795" s="79">
        <v>7</v>
      </c>
      <c r="L795" s="79"/>
      <c r="M795" s="127"/>
      <c r="N795" s="79"/>
      <c r="O795" s="79"/>
      <c r="P795" s="107"/>
      <c r="Q795" s="79">
        <v>100964</v>
      </c>
      <c r="R795" s="79"/>
    </row>
    <row r="796" spans="1:18" s="106" customFormat="1">
      <c r="A796" s="79">
        <v>140972</v>
      </c>
      <c r="B796" s="79">
        <v>1009721</v>
      </c>
      <c r="C796" s="79" t="s">
        <v>650</v>
      </c>
      <c r="D796" s="79"/>
      <c r="E796" s="79" t="s">
        <v>1196</v>
      </c>
      <c r="F796" s="79">
        <v>19</v>
      </c>
      <c r="G796" s="79">
        <v>0</v>
      </c>
      <c r="H796" s="79" t="s">
        <v>652</v>
      </c>
      <c r="I796" s="79">
        <v>100972</v>
      </c>
      <c r="J796" s="79"/>
      <c r="K796" s="79">
        <v>5</v>
      </c>
      <c r="L796" s="79"/>
      <c r="M796" s="127"/>
      <c r="N796" s="79"/>
      <c r="O796" s="79"/>
      <c r="P796" s="107"/>
      <c r="Q796" s="79">
        <v>100972</v>
      </c>
      <c r="R796" s="79"/>
    </row>
    <row r="797" spans="1:18" s="106" customFormat="1">
      <c r="A797" s="79">
        <v>140973</v>
      </c>
      <c r="B797" s="79">
        <v>1009731</v>
      </c>
      <c r="C797" s="79" t="s">
        <v>650</v>
      </c>
      <c r="D797" s="79"/>
      <c r="E797" s="79" t="s">
        <v>1197</v>
      </c>
      <c r="F797" s="79">
        <v>19</v>
      </c>
      <c r="G797" s="79">
        <v>0</v>
      </c>
      <c r="H797" s="79" t="s">
        <v>654</v>
      </c>
      <c r="I797" s="79">
        <v>100973</v>
      </c>
      <c r="J797" s="79"/>
      <c r="K797" s="79">
        <v>6</v>
      </c>
      <c r="L797" s="79"/>
      <c r="M797" s="127"/>
      <c r="N797" s="79"/>
      <c r="O797" s="79"/>
      <c r="P797" s="107"/>
      <c r="Q797" s="79">
        <v>100973</v>
      </c>
      <c r="R797" s="79"/>
    </row>
    <row r="798" spans="1:18" s="106" customFormat="1">
      <c r="A798" s="79">
        <v>140974</v>
      </c>
      <c r="B798" s="79">
        <v>1009741</v>
      </c>
      <c r="C798" s="79" t="s">
        <v>650</v>
      </c>
      <c r="D798" s="79"/>
      <c r="E798" s="79" t="s">
        <v>1198</v>
      </c>
      <c r="F798" s="79">
        <v>19</v>
      </c>
      <c r="G798" s="79">
        <v>0</v>
      </c>
      <c r="H798" s="79" t="s">
        <v>656</v>
      </c>
      <c r="I798" s="79">
        <v>100974</v>
      </c>
      <c r="J798" s="79"/>
      <c r="K798" s="79">
        <v>7</v>
      </c>
      <c r="L798" s="79"/>
      <c r="M798" s="127"/>
      <c r="N798" s="79"/>
      <c r="O798" s="79"/>
      <c r="P798" s="107"/>
      <c r="Q798" s="79">
        <v>100974</v>
      </c>
      <c r="R798" s="79"/>
    </row>
    <row r="799" spans="1:18" s="106" customFormat="1">
      <c r="A799" s="79">
        <v>140982</v>
      </c>
      <c r="B799" s="79">
        <v>1009821</v>
      </c>
      <c r="C799" s="79" t="s">
        <v>657</v>
      </c>
      <c r="D799" s="79"/>
      <c r="E799" s="79" t="s">
        <v>1199</v>
      </c>
      <c r="F799" s="79">
        <v>19</v>
      </c>
      <c r="G799" s="79">
        <v>0</v>
      </c>
      <c r="H799" s="79" t="s">
        <v>659</v>
      </c>
      <c r="I799" s="79">
        <v>100982</v>
      </c>
      <c r="J799" s="79"/>
      <c r="K799" s="79">
        <v>5</v>
      </c>
      <c r="L799" s="79"/>
      <c r="M799" s="127"/>
      <c r="N799" s="79"/>
      <c r="O799" s="79"/>
      <c r="P799" s="107"/>
      <c r="Q799" s="79">
        <v>100982</v>
      </c>
      <c r="R799" s="79"/>
    </row>
    <row r="800" spans="1:18" s="106" customFormat="1">
      <c r="A800" s="79">
        <v>140983</v>
      </c>
      <c r="B800" s="79">
        <v>1009831</v>
      </c>
      <c r="C800" s="79" t="s">
        <v>657</v>
      </c>
      <c r="D800" s="79"/>
      <c r="E800" s="79" t="s">
        <v>1200</v>
      </c>
      <c r="F800" s="79">
        <v>19</v>
      </c>
      <c r="G800" s="79">
        <v>0</v>
      </c>
      <c r="H800" s="79" t="s">
        <v>661</v>
      </c>
      <c r="I800" s="79">
        <v>100983</v>
      </c>
      <c r="J800" s="79"/>
      <c r="K800" s="79">
        <v>6</v>
      </c>
      <c r="L800" s="79"/>
      <c r="M800" s="127"/>
      <c r="N800" s="79"/>
      <c r="O800" s="79"/>
      <c r="P800" s="107"/>
      <c r="Q800" s="79">
        <v>100983</v>
      </c>
      <c r="R800" s="79"/>
    </row>
    <row r="801" spans="1:18" s="106" customFormat="1">
      <c r="A801" s="79">
        <v>140984</v>
      </c>
      <c r="B801" s="79">
        <v>1009841</v>
      </c>
      <c r="C801" s="79" t="s">
        <v>657</v>
      </c>
      <c r="D801" s="79"/>
      <c r="E801" s="79" t="s">
        <v>1201</v>
      </c>
      <c r="F801" s="79">
        <v>19</v>
      </c>
      <c r="G801" s="79">
        <v>0</v>
      </c>
      <c r="H801" s="79" t="s">
        <v>663</v>
      </c>
      <c r="I801" s="79">
        <v>100984</v>
      </c>
      <c r="J801" s="79"/>
      <c r="K801" s="79">
        <v>7</v>
      </c>
      <c r="L801" s="79"/>
      <c r="M801" s="127"/>
      <c r="N801" s="79"/>
      <c r="O801" s="79"/>
      <c r="P801" s="107"/>
      <c r="Q801" s="79">
        <v>100984</v>
      </c>
      <c r="R801" s="79"/>
    </row>
    <row r="802" spans="1:18" s="106" customFormat="1">
      <c r="A802" s="79">
        <v>140992</v>
      </c>
      <c r="B802" s="79">
        <v>1009921</v>
      </c>
      <c r="C802" s="79" t="s">
        <v>664</v>
      </c>
      <c r="D802" s="79"/>
      <c r="E802" s="79" t="s">
        <v>1202</v>
      </c>
      <c r="F802" s="79">
        <v>19</v>
      </c>
      <c r="G802" s="79">
        <v>0</v>
      </c>
      <c r="H802" s="79" t="s">
        <v>666</v>
      </c>
      <c r="I802" s="79">
        <v>100992</v>
      </c>
      <c r="J802" s="79"/>
      <c r="K802" s="79">
        <v>5</v>
      </c>
      <c r="L802" s="79"/>
      <c r="M802" s="127"/>
      <c r="N802" s="79"/>
      <c r="O802" s="79"/>
      <c r="P802" s="107"/>
      <c r="Q802" s="79">
        <v>100992</v>
      </c>
      <c r="R802" s="79"/>
    </row>
    <row r="803" spans="1:18" s="106" customFormat="1">
      <c r="A803" s="79">
        <v>140993</v>
      </c>
      <c r="B803" s="79">
        <v>1009931</v>
      </c>
      <c r="C803" s="79" t="s">
        <v>664</v>
      </c>
      <c r="D803" s="79"/>
      <c r="E803" s="79" t="s">
        <v>1203</v>
      </c>
      <c r="F803" s="79">
        <v>19</v>
      </c>
      <c r="G803" s="79">
        <v>0</v>
      </c>
      <c r="H803" s="79" t="s">
        <v>668</v>
      </c>
      <c r="I803" s="79">
        <v>100993</v>
      </c>
      <c r="J803" s="79"/>
      <c r="K803" s="79">
        <v>6</v>
      </c>
      <c r="L803" s="79"/>
      <c r="M803" s="127"/>
      <c r="N803" s="79"/>
      <c r="O803" s="79"/>
      <c r="P803" s="107"/>
      <c r="Q803" s="79">
        <v>100993</v>
      </c>
      <c r="R803" s="79"/>
    </row>
    <row r="804" spans="1:18" s="106" customFormat="1">
      <c r="A804" s="79">
        <v>140994</v>
      </c>
      <c r="B804" s="79">
        <v>1009941</v>
      </c>
      <c r="C804" s="79" t="s">
        <v>664</v>
      </c>
      <c r="D804" s="79"/>
      <c r="E804" s="79" t="s">
        <v>1204</v>
      </c>
      <c r="F804" s="79">
        <v>19</v>
      </c>
      <c r="G804" s="79">
        <v>0</v>
      </c>
      <c r="H804" s="79" t="s">
        <v>670</v>
      </c>
      <c r="I804" s="79">
        <v>100994</v>
      </c>
      <c r="J804" s="79"/>
      <c r="K804" s="79">
        <v>7</v>
      </c>
      <c r="L804" s="79"/>
      <c r="M804" s="127"/>
      <c r="N804" s="79"/>
      <c r="O804" s="79"/>
      <c r="P804" s="107"/>
      <c r="Q804" s="79">
        <v>100994</v>
      </c>
      <c r="R804" s="79"/>
    </row>
    <row r="805" spans="1:18" s="106" customFormat="1">
      <c r="A805" s="79">
        <v>141002</v>
      </c>
      <c r="B805" s="79">
        <v>1010021</v>
      </c>
      <c r="C805" s="79" t="s">
        <v>671</v>
      </c>
      <c r="D805" s="79"/>
      <c r="E805" s="79" t="s">
        <v>1205</v>
      </c>
      <c r="F805" s="79">
        <v>19</v>
      </c>
      <c r="G805" s="79">
        <v>0</v>
      </c>
      <c r="H805" s="79" t="s">
        <v>673</v>
      </c>
      <c r="I805" s="79">
        <v>101002</v>
      </c>
      <c r="J805" s="79"/>
      <c r="K805" s="79">
        <v>5</v>
      </c>
      <c r="L805" s="79"/>
      <c r="M805" s="127"/>
      <c r="N805" s="79"/>
      <c r="O805" s="79"/>
      <c r="P805" s="107"/>
      <c r="Q805" s="79">
        <v>101002</v>
      </c>
      <c r="R805" s="79"/>
    </row>
    <row r="806" spans="1:18" s="106" customFormat="1">
      <c r="A806" s="79">
        <v>141003</v>
      </c>
      <c r="B806" s="79">
        <v>1010031</v>
      </c>
      <c r="C806" s="79" t="s">
        <v>671</v>
      </c>
      <c r="D806" s="79"/>
      <c r="E806" s="79" t="s">
        <v>1206</v>
      </c>
      <c r="F806" s="79">
        <v>19</v>
      </c>
      <c r="G806" s="79">
        <v>0</v>
      </c>
      <c r="H806" s="79" t="s">
        <v>675</v>
      </c>
      <c r="I806" s="79">
        <v>101003</v>
      </c>
      <c r="J806" s="79"/>
      <c r="K806" s="79">
        <v>6</v>
      </c>
      <c r="L806" s="79"/>
      <c r="M806" s="127"/>
      <c r="N806" s="79"/>
      <c r="O806" s="79"/>
      <c r="P806" s="107"/>
      <c r="Q806" s="79">
        <v>101003</v>
      </c>
      <c r="R806" s="79"/>
    </row>
    <row r="807" spans="1:18" s="106" customFormat="1">
      <c r="A807" s="79">
        <v>141004</v>
      </c>
      <c r="B807" s="79">
        <v>1010041</v>
      </c>
      <c r="C807" s="79" t="s">
        <v>671</v>
      </c>
      <c r="D807" s="79"/>
      <c r="E807" s="79" t="s">
        <v>1207</v>
      </c>
      <c r="F807" s="79">
        <v>19</v>
      </c>
      <c r="G807" s="79">
        <v>0</v>
      </c>
      <c r="H807" s="79" t="s">
        <v>677</v>
      </c>
      <c r="I807" s="79">
        <v>101004</v>
      </c>
      <c r="J807" s="79"/>
      <c r="K807" s="79">
        <v>7</v>
      </c>
      <c r="L807" s="79"/>
      <c r="M807" s="127"/>
      <c r="N807" s="79"/>
      <c r="O807" s="79"/>
      <c r="P807" s="107"/>
      <c r="Q807" s="79">
        <v>101004</v>
      </c>
      <c r="R807" s="79"/>
    </row>
    <row r="808" spans="1:18" s="108" customFormat="1">
      <c r="A808" s="79">
        <v>141012</v>
      </c>
      <c r="B808" s="79">
        <v>1010121</v>
      </c>
      <c r="C808" s="79" t="s">
        <v>678</v>
      </c>
      <c r="D808" s="79"/>
      <c r="E808" s="79" t="s">
        <v>1208</v>
      </c>
      <c r="F808" s="79">
        <v>19</v>
      </c>
      <c r="G808" s="79">
        <v>0</v>
      </c>
      <c r="H808" s="79" t="s">
        <v>680</v>
      </c>
      <c r="I808" s="79">
        <v>101012</v>
      </c>
      <c r="J808" s="79"/>
      <c r="K808" s="79">
        <v>5</v>
      </c>
      <c r="L808" s="79"/>
      <c r="M808" s="127"/>
      <c r="N808" s="79"/>
      <c r="O808" s="79"/>
      <c r="P808" s="107"/>
      <c r="Q808" s="79">
        <v>101012</v>
      </c>
      <c r="R808" s="79"/>
    </row>
    <row r="809" spans="1:18" s="108" customFormat="1">
      <c r="A809" s="79">
        <v>141013</v>
      </c>
      <c r="B809" s="79">
        <v>1010131</v>
      </c>
      <c r="C809" s="79" t="s">
        <v>678</v>
      </c>
      <c r="D809" s="79"/>
      <c r="E809" s="79" t="s">
        <v>1209</v>
      </c>
      <c r="F809" s="79">
        <v>19</v>
      </c>
      <c r="G809" s="79">
        <v>0</v>
      </c>
      <c r="H809" s="79" t="s">
        <v>682</v>
      </c>
      <c r="I809" s="79">
        <v>101013</v>
      </c>
      <c r="J809" s="79"/>
      <c r="K809" s="79">
        <v>6</v>
      </c>
      <c r="L809" s="79"/>
      <c r="M809" s="127"/>
      <c r="N809" s="79"/>
      <c r="O809" s="79"/>
      <c r="P809" s="107"/>
      <c r="Q809" s="79">
        <v>101013</v>
      </c>
      <c r="R809" s="79"/>
    </row>
    <row r="810" spans="1:18" s="108" customFormat="1">
      <c r="A810" s="79">
        <v>141014</v>
      </c>
      <c r="B810" s="79">
        <v>1010141</v>
      </c>
      <c r="C810" s="79" t="s">
        <v>678</v>
      </c>
      <c r="D810" s="79"/>
      <c r="E810" s="79" t="s">
        <v>1210</v>
      </c>
      <c r="F810" s="79">
        <v>19</v>
      </c>
      <c r="G810" s="79">
        <v>0</v>
      </c>
      <c r="H810" s="79" t="s">
        <v>684</v>
      </c>
      <c r="I810" s="79">
        <v>101014</v>
      </c>
      <c r="J810" s="79"/>
      <c r="K810" s="79">
        <v>7</v>
      </c>
      <c r="L810" s="79"/>
      <c r="M810" s="127"/>
      <c r="N810" s="79"/>
      <c r="O810" s="79"/>
      <c r="P810" s="107"/>
      <c r="Q810" s="79">
        <v>101014</v>
      </c>
      <c r="R810" s="79"/>
    </row>
    <row r="811" spans="1:18" s="106" customFormat="1">
      <c r="A811" s="79">
        <v>141022</v>
      </c>
      <c r="B811" s="79">
        <v>1010221</v>
      </c>
      <c r="C811" s="79" t="s">
        <v>685</v>
      </c>
      <c r="D811" s="79"/>
      <c r="E811" s="79" t="s">
        <v>1211</v>
      </c>
      <c r="F811" s="79">
        <v>19</v>
      </c>
      <c r="G811" s="79">
        <v>0</v>
      </c>
      <c r="H811" s="79" t="s">
        <v>687</v>
      </c>
      <c r="I811" s="79">
        <v>101022</v>
      </c>
      <c r="J811" s="79"/>
      <c r="K811" s="79">
        <v>5</v>
      </c>
      <c r="L811" s="79"/>
      <c r="M811" s="127"/>
      <c r="N811" s="79"/>
      <c r="O811" s="79"/>
      <c r="P811" s="107"/>
      <c r="Q811" s="79">
        <v>101022</v>
      </c>
      <c r="R811" s="79"/>
    </row>
    <row r="812" spans="1:18" s="106" customFormat="1">
      <c r="A812" s="79">
        <v>141023</v>
      </c>
      <c r="B812" s="79">
        <v>1010231</v>
      </c>
      <c r="C812" s="79" t="s">
        <v>685</v>
      </c>
      <c r="D812" s="79"/>
      <c r="E812" s="79" t="s">
        <v>1212</v>
      </c>
      <c r="F812" s="79">
        <v>19</v>
      </c>
      <c r="G812" s="79">
        <v>0</v>
      </c>
      <c r="H812" s="79" t="s">
        <v>689</v>
      </c>
      <c r="I812" s="79">
        <v>101023</v>
      </c>
      <c r="J812" s="79"/>
      <c r="K812" s="79">
        <v>6</v>
      </c>
      <c r="L812" s="79"/>
      <c r="M812" s="127"/>
      <c r="N812" s="79"/>
      <c r="O812" s="79"/>
      <c r="P812" s="107"/>
      <c r="Q812" s="79">
        <v>101023</v>
      </c>
      <c r="R812" s="79"/>
    </row>
    <row r="813" spans="1:18" s="106" customFormat="1">
      <c r="A813" s="79">
        <v>141024</v>
      </c>
      <c r="B813" s="79">
        <v>1010241</v>
      </c>
      <c r="C813" s="79" t="s">
        <v>685</v>
      </c>
      <c r="D813" s="79"/>
      <c r="E813" s="79" t="s">
        <v>1213</v>
      </c>
      <c r="F813" s="79">
        <v>19</v>
      </c>
      <c r="G813" s="79">
        <v>0</v>
      </c>
      <c r="H813" s="79" t="s">
        <v>691</v>
      </c>
      <c r="I813" s="79">
        <v>101024</v>
      </c>
      <c r="J813" s="79"/>
      <c r="K813" s="79">
        <v>7</v>
      </c>
      <c r="L813" s="79"/>
      <c r="M813" s="127"/>
      <c r="N813" s="79"/>
      <c r="O813" s="79"/>
      <c r="P813" s="107"/>
      <c r="Q813" s="79">
        <v>101024</v>
      </c>
      <c r="R813" s="79"/>
    </row>
    <row r="814" spans="1:18" s="108" customFormat="1">
      <c r="A814" s="79">
        <v>141032</v>
      </c>
      <c r="B814" s="79">
        <v>1010321</v>
      </c>
      <c r="C814" s="79" t="s">
        <v>692</v>
      </c>
      <c r="D814" s="79"/>
      <c r="E814" s="79" t="s">
        <v>1214</v>
      </c>
      <c r="F814" s="79">
        <v>19</v>
      </c>
      <c r="G814" s="79">
        <v>0</v>
      </c>
      <c r="H814" s="79" t="s">
        <v>694</v>
      </c>
      <c r="I814" s="79">
        <v>101032</v>
      </c>
      <c r="J814" s="79"/>
      <c r="K814" s="79">
        <v>5</v>
      </c>
      <c r="L814" s="79"/>
      <c r="M814" s="127"/>
      <c r="N814" s="79"/>
      <c r="O814" s="79"/>
      <c r="P814" s="107"/>
      <c r="Q814" s="79">
        <v>101032</v>
      </c>
      <c r="R814" s="79"/>
    </row>
    <row r="815" spans="1:18" s="108" customFormat="1">
      <c r="A815" s="79">
        <v>141033</v>
      </c>
      <c r="B815" s="79">
        <v>1010331</v>
      </c>
      <c r="C815" s="79" t="s">
        <v>692</v>
      </c>
      <c r="D815" s="79"/>
      <c r="E815" s="79" t="s">
        <v>1215</v>
      </c>
      <c r="F815" s="79">
        <v>19</v>
      </c>
      <c r="G815" s="79">
        <v>0</v>
      </c>
      <c r="H815" s="79" t="s">
        <v>696</v>
      </c>
      <c r="I815" s="79">
        <v>101033</v>
      </c>
      <c r="J815" s="79"/>
      <c r="K815" s="79">
        <v>6</v>
      </c>
      <c r="L815" s="79"/>
      <c r="M815" s="127"/>
      <c r="N815" s="79"/>
      <c r="O815" s="79"/>
      <c r="P815" s="107"/>
      <c r="Q815" s="79">
        <v>101033</v>
      </c>
      <c r="R815" s="79"/>
    </row>
    <row r="816" spans="1:18" s="108" customFormat="1">
      <c r="A816" s="79">
        <v>141034</v>
      </c>
      <c r="B816" s="79">
        <v>1010341</v>
      </c>
      <c r="C816" s="79" t="s">
        <v>692</v>
      </c>
      <c r="D816" s="79"/>
      <c r="E816" s="79" t="s">
        <v>1216</v>
      </c>
      <c r="F816" s="79">
        <v>19</v>
      </c>
      <c r="G816" s="79">
        <v>0</v>
      </c>
      <c r="H816" s="79" t="s">
        <v>698</v>
      </c>
      <c r="I816" s="79">
        <v>101034</v>
      </c>
      <c r="J816" s="79"/>
      <c r="K816" s="79">
        <v>7</v>
      </c>
      <c r="L816" s="79"/>
      <c r="M816" s="127"/>
      <c r="N816" s="79"/>
      <c r="O816" s="79"/>
      <c r="P816" s="107"/>
      <c r="Q816" s="79">
        <v>101034</v>
      </c>
      <c r="R816" s="79"/>
    </row>
    <row r="817" spans="1:18" s="108" customFormat="1">
      <c r="A817" s="79">
        <v>141042</v>
      </c>
      <c r="B817" s="79">
        <v>1010421</v>
      </c>
      <c r="C817" s="79" t="s">
        <v>699</v>
      </c>
      <c r="D817" s="79"/>
      <c r="E817" s="79" t="s">
        <v>1217</v>
      </c>
      <c r="F817" s="79">
        <v>19</v>
      </c>
      <c r="G817" s="79">
        <v>0</v>
      </c>
      <c r="H817" s="79" t="s">
        <v>701</v>
      </c>
      <c r="I817" s="79">
        <v>101042</v>
      </c>
      <c r="J817" s="79"/>
      <c r="K817" s="79">
        <v>5</v>
      </c>
      <c r="L817" s="79"/>
      <c r="M817" s="127"/>
      <c r="N817" s="79"/>
      <c r="O817" s="79"/>
      <c r="P817" s="107"/>
      <c r="Q817" s="79">
        <v>101042</v>
      </c>
      <c r="R817" s="79"/>
    </row>
    <row r="818" spans="1:18" s="106" customFormat="1">
      <c r="A818" s="79">
        <v>141043</v>
      </c>
      <c r="B818" s="79">
        <v>1010431</v>
      </c>
      <c r="C818" s="79" t="s">
        <v>699</v>
      </c>
      <c r="D818" s="79"/>
      <c r="E818" s="79" t="s">
        <v>1218</v>
      </c>
      <c r="F818" s="79">
        <v>19</v>
      </c>
      <c r="G818" s="79">
        <v>0</v>
      </c>
      <c r="H818" s="79" t="s">
        <v>703</v>
      </c>
      <c r="I818" s="79">
        <v>101043</v>
      </c>
      <c r="J818" s="79"/>
      <c r="K818" s="79">
        <v>6</v>
      </c>
      <c r="L818" s="79"/>
      <c r="M818" s="127"/>
      <c r="N818" s="79"/>
      <c r="O818" s="79"/>
      <c r="P818" s="107"/>
      <c r="Q818" s="79">
        <v>101043</v>
      </c>
      <c r="R818" s="79"/>
    </row>
    <row r="819" spans="1:18" s="106" customFormat="1">
      <c r="A819" s="79">
        <v>141044</v>
      </c>
      <c r="B819" s="79">
        <v>1010441</v>
      </c>
      <c r="C819" s="79" t="s">
        <v>699</v>
      </c>
      <c r="D819" s="79"/>
      <c r="E819" s="79" t="s">
        <v>1219</v>
      </c>
      <c r="F819" s="79">
        <v>19</v>
      </c>
      <c r="G819" s="79">
        <v>0</v>
      </c>
      <c r="H819" s="79" t="s">
        <v>705</v>
      </c>
      <c r="I819" s="79">
        <v>101044</v>
      </c>
      <c r="J819" s="79"/>
      <c r="K819" s="79">
        <v>7</v>
      </c>
      <c r="L819" s="79"/>
      <c r="M819" s="127"/>
      <c r="N819" s="79"/>
      <c r="O819" s="79"/>
      <c r="P819" s="107"/>
      <c r="Q819" s="79">
        <v>101044</v>
      </c>
      <c r="R819" s="79"/>
    </row>
    <row r="820" spans="1:18" s="106" customFormat="1">
      <c r="A820" s="79">
        <v>141052</v>
      </c>
      <c r="B820" s="79">
        <v>1010521</v>
      </c>
      <c r="C820" s="79" t="s">
        <v>706</v>
      </c>
      <c r="D820" s="79"/>
      <c r="E820" s="79" t="s">
        <v>1220</v>
      </c>
      <c r="F820" s="79">
        <v>19</v>
      </c>
      <c r="G820" s="79">
        <v>0</v>
      </c>
      <c r="H820" s="79" t="s">
        <v>708</v>
      </c>
      <c r="I820" s="79">
        <v>101052</v>
      </c>
      <c r="J820" s="79"/>
      <c r="K820" s="79">
        <v>5</v>
      </c>
      <c r="L820" s="79"/>
      <c r="M820" s="127"/>
      <c r="N820" s="79"/>
      <c r="O820" s="79"/>
      <c r="P820" s="107"/>
      <c r="Q820" s="79">
        <v>101052</v>
      </c>
      <c r="R820" s="79"/>
    </row>
    <row r="821" spans="1:18" s="106" customFormat="1">
      <c r="A821" s="79">
        <v>141053</v>
      </c>
      <c r="B821" s="79">
        <v>1010531</v>
      </c>
      <c r="C821" s="79" t="s">
        <v>706</v>
      </c>
      <c r="D821" s="79"/>
      <c r="E821" s="79" t="s">
        <v>1221</v>
      </c>
      <c r="F821" s="79">
        <v>19</v>
      </c>
      <c r="G821" s="79">
        <v>0</v>
      </c>
      <c r="H821" s="79" t="s">
        <v>710</v>
      </c>
      <c r="I821" s="79">
        <v>101053</v>
      </c>
      <c r="J821" s="79"/>
      <c r="K821" s="79">
        <v>6</v>
      </c>
      <c r="L821" s="79"/>
      <c r="M821" s="127"/>
      <c r="N821" s="79"/>
      <c r="O821" s="79"/>
      <c r="P821" s="107"/>
      <c r="Q821" s="79">
        <v>101053</v>
      </c>
      <c r="R821" s="79"/>
    </row>
    <row r="822" spans="1:18" s="106" customFormat="1">
      <c r="A822" s="79">
        <v>141054</v>
      </c>
      <c r="B822" s="79">
        <v>1010541</v>
      </c>
      <c r="C822" s="79" t="s">
        <v>706</v>
      </c>
      <c r="D822" s="79"/>
      <c r="E822" s="79" t="s">
        <v>1222</v>
      </c>
      <c r="F822" s="79">
        <v>19</v>
      </c>
      <c r="G822" s="79">
        <v>0</v>
      </c>
      <c r="H822" s="79" t="s">
        <v>712</v>
      </c>
      <c r="I822" s="79">
        <v>101054</v>
      </c>
      <c r="J822" s="79"/>
      <c r="K822" s="79">
        <v>7</v>
      </c>
      <c r="L822" s="79"/>
      <c r="M822" s="127"/>
      <c r="N822" s="79"/>
      <c r="O822" s="79"/>
      <c r="P822" s="107"/>
      <c r="Q822" s="79">
        <v>101054</v>
      </c>
      <c r="R822" s="79"/>
    </row>
    <row r="823" spans="1:18" s="106" customFormat="1">
      <c r="A823" s="79">
        <v>141062</v>
      </c>
      <c r="B823" s="79">
        <v>1010621</v>
      </c>
      <c r="C823" s="79" t="s">
        <v>713</v>
      </c>
      <c r="D823" s="79"/>
      <c r="E823" s="79" t="s">
        <v>1223</v>
      </c>
      <c r="F823" s="79">
        <v>19</v>
      </c>
      <c r="G823" s="79">
        <v>0</v>
      </c>
      <c r="H823" s="79" t="s">
        <v>715</v>
      </c>
      <c r="I823" s="79">
        <v>101062</v>
      </c>
      <c r="J823" s="79"/>
      <c r="K823" s="79">
        <v>5</v>
      </c>
      <c r="L823" s="79"/>
      <c r="M823" s="127"/>
      <c r="N823" s="79"/>
      <c r="O823" s="79"/>
      <c r="P823" s="107"/>
      <c r="Q823" s="79">
        <v>101062</v>
      </c>
      <c r="R823" s="79"/>
    </row>
    <row r="824" spans="1:18" s="106" customFormat="1">
      <c r="A824" s="79">
        <v>141063</v>
      </c>
      <c r="B824" s="79">
        <v>1010631</v>
      </c>
      <c r="C824" s="79" t="s">
        <v>713</v>
      </c>
      <c r="D824" s="79"/>
      <c r="E824" s="79" t="s">
        <v>1224</v>
      </c>
      <c r="F824" s="79">
        <v>19</v>
      </c>
      <c r="G824" s="79">
        <v>0</v>
      </c>
      <c r="H824" s="79" t="s">
        <v>717</v>
      </c>
      <c r="I824" s="79">
        <v>101063</v>
      </c>
      <c r="J824" s="79"/>
      <c r="K824" s="79">
        <v>6</v>
      </c>
      <c r="L824" s="79"/>
      <c r="M824" s="127"/>
      <c r="N824" s="79"/>
      <c r="O824" s="79"/>
      <c r="P824" s="107"/>
      <c r="Q824" s="79">
        <v>101063</v>
      </c>
      <c r="R824" s="79"/>
    </row>
    <row r="825" spans="1:18" s="106" customFormat="1">
      <c r="A825" s="79">
        <v>141064</v>
      </c>
      <c r="B825" s="79">
        <v>1010641</v>
      </c>
      <c r="C825" s="79" t="s">
        <v>713</v>
      </c>
      <c r="D825" s="79"/>
      <c r="E825" s="79" t="s">
        <v>1225</v>
      </c>
      <c r="F825" s="79">
        <v>19</v>
      </c>
      <c r="G825" s="79">
        <v>0</v>
      </c>
      <c r="H825" s="79" t="s">
        <v>719</v>
      </c>
      <c r="I825" s="79">
        <v>101064</v>
      </c>
      <c r="J825" s="79"/>
      <c r="K825" s="79">
        <v>7</v>
      </c>
      <c r="L825" s="79"/>
      <c r="M825" s="127"/>
      <c r="N825" s="79"/>
      <c r="O825" s="79"/>
      <c r="P825" s="107"/>
      <c r="Q825" s="79">
        <v>101064</v>
      </c>
      <c r="R825" s="79"/>
    </row>
    <row r="826" spans="1:18" s="106" customFormat="1">
      <c r="A826" s="79">
        <v>141072</v>
      </c>
      <c r="B826" s="79">
        <v>1010721</v>
      </c>
      <c r="C826" s="79" t="s">
        <v>720</v>
      </c>
      <c r="D826" s="79"/>
      <c r="E826" s="79" t="s">
        <v>1226</v>
      </c>
      <c r="F826" s="79">
        <v>19</v>
      </c>
      <c r="G826" s="79">
        <v>0</v>
      </c>
      <c r="H826" s="79" t="s">
        <v>722</v>
      </c>
      <c r="I826" s="79">
        <v>101072</v>
      </c>
      <c r="J826" s="79"/>
      <c r="K826" s="79">
        <v>5</v>
      </c>
      <c r="L826" s="79"/>
      <c r="M826" s="127"/>
      <c r="N826" s="79"/>
      <c r="O826" s="79"/>
      <c r="P826" s="107"/>
      <c r="Q826" s="79">
        <v>101072</v>
      </c>
      <c r="R826" s="79"/>
    </row>
    <row r="827" spans="1:18" s="106" customFormat="1">
      <c r="A827" s="79">
        <v>141073</v>
      </c>
      <c r="B827" s="79">
        <v>1010731</v>
      </c>
      <c r="C827" s="79" t="s">
        <v>720</v>
      </c>
      <c r="D827" s="79"/>
      <c r="E827" s="79" t="s">
        <v>1227</v>
      </c>
      <c r="F827" s="79">
        <v>19</v>
      </c>
      <c r="G827" s="79">
        <v>0</v>
      </c>
      <c r="H827" s="79" t="s">
        <v>724</v>
      </c>
      <c r="I827" s="79">
        <v>101073</v>
      </c>
      <c r="J827" s="79"/>
      <c r="K827" s="79">
        <v>6</v>
      </c>
      <c r="L827" s="79"/>
      <c r="M827" s="127"/>
      <c r="N827" s="79"/>
      <c r="O827" s="79"/>
      <c r="P827" s="107"/>
      <c r="Q827" s="79">
        <v>101073</v>
      </c>
      <c r="R827" s="79"/>
    </row>
    <row r="828" spans="1:18" s="106" customFormat="1">
      <c r="A828" s="79">
        <v>141074</v>
      </c>
      <c r="B828" s="79">
        <v>1010741</v>
      </c>
      <c r="C828" s="79" t="s">
        <v>720</v>
      </c>
      <c r="D828" s="79"/>
      <c r="E828" s="79" t="s">
        <v>1228</v>
      </c>
      <c r="F828" s="79">
        <v>19</v>
      </c>
      <c r="G828" s="79">
        <v>0</v>
      </c>
      <c r="H828" s="79" t="s">
        <v>726</v>
      </c>
      <c r="I828" s="79">
        <v>101074</v>
      </c>
      <c r="J828" s="79"/>
      <c r="K828" s="79">
        <v>7</v>
      </c>
      <c r="L828" s="79"/>
      <c r="M828" s="127"/>
      <c r="N828" s="79"/>
      <c r="O828" s="79"/>
      <c r="P828" s="107"/>
      <c r="Q828" s="79">
        <v>101074</v>
      </c>
      <c r="R828" s="79"/>
    </row>
    <row r="829" spans="1:18" s="106" customFormat="1">
      <c r="A829" s="79">
        <v>141082</v>
      </c>
      <c r="B829" s="79">
        <v>1010821</v>
      </c>
      <c r="C829" s="79" t="s">
        <v>727</v>
      </c>
      <c r="D829" s="79"/>
      <c r="E829" s="79" t="s">
        <v>1229</v>
      </c>
      <c r="F829" s="79">
        <v>19</v>
      </c>
      <c r="G829" s="79">
        <v>0</v>
      </c>
      <c r="H829" s="79" t="s">
        <v>729</v>
      </c>
      <c r="I829" s="79">
        <v>101082</v>
      </c>
      <c r="J829" s="79"/>
      <c r="K829" s="79">
        <v>5</v>
      </c>
      <c r="L829" s="79"/>
      <c r="M829" s="127"/>
      <c r="N829" s="79"/>
      <c r="O829" s="79"/>
      <c r="P829" s="107"/>
      <c r="Q829" s="79">
        <v>101082</v>
      </c>
      <c r="R829" s="79"/>
    </row>
    <row r="830" spans="1:18" s="106" customFormat="1">
      <c r="A830" s="79">
        <v>141083</v>
      </c>
      <c r="B830" s="79">
        <v>1010831</v>
      </c>
      <c r="C830" s="79" t="s">
        <v>727</v>
      </c>
      <c r="D830" s="79"/>
      <c r="E830" s="79" t="s">
        <v>1230</v>
      </c>
      <c r="F830" s="79">
        <v>19</v>
      </c>
      <c r="G830" s="79">
        <v>0</v>
      </c>
      <c r="H830" s="79" t="s">
        <v>731</v>
      </c>
      <c r="I830" s="79">
        <v>101083</v>
      </c>
      <c r="J830" s="79"/>
      <c r="K830" s="79">
        <v>6</v>
      </c>
      <c r="L830" s="79"/>
      <c r="M830" s="127"/>
      <c r="N830" s="79"/>
      <c r="O830" s="79"/>
      <c r="P830" s="107"/>
      <c r="Q830" s="79">
        <v>101083</v>
      </c>
      <c r="R830" s="79"/>
    </row>
    <row r="831" spans="1:18" s="106" customFormat="1">
      <c r="A831" s="79">
        <v>141084</v>
      </c>
      <c r="B831" s="79">
        <v>1010841</v>
      </c>
      <c r="C831" s="79" t="s">
        <v>727</v>
      </c>
      <c r="D831" s="79"/>
      <c r="E831" s="79" t="s">
        <v>1231</v>
      </c>
      <c r="F831" s="79">
        <v>19</v>
      </c>
      <c r="G831" s="79">
        <v>0</v>
      </c>
      <c r="H831" s="79" t="s">
        <v>733</v>
      </c>
      <c r="I831" s="79">
        <v>101084</v>
      </c>
      <c r="J831" s="79"/>
      <c r="K831" s="79">
        <v>7</v>
      </c>
      <c r="L831" s="79"/>
      <c r="M831" s="127"/>
      <c r="N831" s="79"/>
      <c r="O831" s="79"/>
      <c r="P831" s="107"/>
      <c r="Q831" s="79">
        <v>101084</v>
      </c>
      <c r="R831" s="79"/>
    </row>
    <row r="832" spans="1:18" s="106" customFormat="1">
      <c r="A832" s="79">
        <v>141092</v>
      </c>
      <c r="B832" s="79">
        <v>1010921</v>
      </c>
      <c r="C832" s="79" t="s">
        <v>734</v>
      </c>
      <c r="D832" s="79"/>
      <c r="E832" s="79" t="s">
        <v>1232</v>
      </c>
      <c r="F832" s="79">
        <v>19</v>
      </c>
      <c r="G832" s="79">
        <v>0</v>
      </c>
      <c r="H832" s="79" t="s">
        <v>736</v>
      </c>
      <c r="I832" s="79">
        <v>101092</v>
      </c>
      <c r="J832" s="79"/>
      <c r="K832" s="79">
        <v>5</v>
      </c>
      <c r="L832" s="79"/>
      <c r="M832" s="127"/>
      <c r="N832" s="79"/>
      <c r="O832" s="79"/>
      <c r="P832" s="107"/>
      <c r="Q832" s="79">
        <v>101092</v>
      </c>
      <c r="R832" s="79"/>
    </row>
    <row r="833" spans="1:18" s="106" customFormat="1">
      <c r="A833" s="79">
        <v>141093</v>
      </c>
      <c r="B833" s="79">
        <v>1010931</v>
      </c>
      <c r="C833" s="79" t="s">
        <v>734</v>
      </c>
      <c r="D833" s="79"/>
      <c r="E833" s="79" t="s">
        <v>1233</v>
      </c>
      <c r="F833" s="79">
        <v>19</v>
      </c>
      <c r="G833" s="79">
        <v>0</v>
      </c>
      <c r="H833" s="79" t="s">
        <v>738</v>
      </c>
      <c r="I833" s="79">
        <v>101093</v>
      </c>
      <c r="J833" s="79"/>
      <c r="K833" s="79">
        <v>6</v>
      </c>
      <c r="L833" s="79"/>
      <c r="M833" s="127"/>
      <c r="N833" s="79"/>
      <c r="O833" s="79"/>
      <c r="P833" s="107"/>
      <c r="Q833" s="79">
        <v>101093</v>
      </c>
      <c r="R833" s="79"/>
    </row>
    <row r="834" spans="1:18" s="106" customFormat="1">
      <c r="A834" s="79">
        <v>141094</v>
      </c>
      <c r="B834" s="79">
        <v>1010941</v>
      </c>
      <c r="C834" s="79" t="s">
        <v>734</v>
      </c>
      <c r="D834" s="79"/>
      <c r="E834" s="79" t="s">
        <v>1234</v>
      </c>
      <c r="F834" s="79">
        <v>19</v>
      </c>
      <c r="G834" s="79">
        <v>0</v>
      </c>
      <c r="H834" s="79" t="s">
        <v>740</v>
      </c>
      <c r="I834" s="79">
        <v>101094</v>
      </c>
      <c r="J834" s="79"/>
      <c r="K834" s="79">
        <v>7</v>
      </c>
      <c r="L834" s="79"/>
      <c r="M834" s="127"/>
      <c r="N834" s="79"/>
      <c r="O834" s="79"/>
      <c r="P834" s="107"/>
      <c r="Q834" s="79">
        <v>101094</v>
      </c>
      <c r="R834" s="79"/>
    </row>
    <row r="835" spans="1:18" s="106" customFormat="1">
      <c r="A835" s="79">
        <v>141102</v>
      </c>
      <c r="B835" s="79">
        <v>1011021</v>
      </c>
      <c r="C835" s="79" t="s">
        <v>741</v>
      </c>
      <c r="D835" s="79"/>
      <c r="E835" s="79" t="s">
        <v>1235</v>
      </c>
      <c r="F835" s="79">
        <v>19</v>
      </c>
      <c r="G835" s="79">
        <v>0</v>
      </c>
      <c r="H835" s="79" t="s">
        <v>743</v>
      </c>
      <c r="I835" s="79">
        <v>101102</v>
      </c>
      <c r="J835" s="79"/>
      <c r="K835" s="79">
        <v>5</v>
      </c>
      <c r="L835" s="79"/>
      <c r="M835" s="127"/>
      <c r="N835" s="79"/>
      <c r="O835" s="79"/>
      <c r="P835" s="107"/>
      <c r="Q835" s="79">
        <v>101102</v>
      </c>
      <c r="R835" s="79"/>
    </row>
    <row r="836" spans="1:18" s="106" customFormat="1">
      <c r="A836" s="79">
        <v>141103</v>
      </c>
      <c r="B836" s="79">
        <v>1011031</v>
      </c>
      <c r="C836" s="79" t="s">
        <v>741</v>
      </c>
      <c r="D836" s="79"/>
      <c r="E836" s="79" t="s">
        <v>1236</v>
      </c>
      <c r="F836" s="79">
        <v>19</v>
      </c>
      <c r="G836" s="79">
        <v>0</v>
      </c>
      <c r="H836" s="79" t="s">
        <v>745</v>
      </c>
      <c r="I836" s="79">
        <v>101103</v>
      </c>
      <c r="J836" s="79"/>
      <c r="K836" s="79">
        <v>6</v>
      </c>
      <c r="L836" s="79"/>
      <c r="M836" s="127"/>
      <c r="N836" s="79"/>
      <c r="O836" s="79"/>
      <c r="P836" s="107"/>
      <c r="Q836" s="79">
        <v>101103</v>
      </c>
      <c r="R836" s="79"/>
    </row>
    <row r="837" spans="1:18" s="106" customFormat="1">
      <c r="A837" s="79">
        <v>141104</v>
      </c>
      <c r="B837" s="79">
        <v>1011041</v>
      </c>
      <c r="C837" s="79" t="s">
        <v>741</v>
      </c>
      <c r="D837" s="79"/>
      <c r="E837" s="79" t="s">
        <v>1237</v>
      </c>
      <c r="F837" s="79">
        <v>19</v>
      </c>
      <c r="G837" s="79">
        <v>0</v>
      </c>
      <c r="H837" s="79" t="s">
        <v>747</v>
      </c>
      <c r="I837" s="79">
        <v>101104</v>
      </c>
      <c r="J837" s="79"/>
      <c r="K837" s="79">
        <v>7</v>
      </c>
      <c r="L837" s="79"/>
      <c r="M837" s="127"/>
      <c r="N837" s="79"/>
      <c r="O837" s="79"/>
      <c r="P837" s="107"/>
      <c r="Q837" s="79">
        <v>101104</v>
      </c>
      <c r="R837" s="79"/>
    </row>
    <row r="838" spans="1:18" s="106" customFormat="1">
      <c r="A838" s="79">
        <v>141112</v>
      </c>
      <c r="B838" s="79">
        <v>1011121</v>
      </c>
      <c r="C838" s="79" t="s">
        <v>748</v>
      </c>
      <c r="D838" s="79"/>
      <c r="E838" s="79" t="s">
        <v>1238</v>
      </c>
      <c r="F838" s="79">
        <v>19</v>
      </c>
      <c r="G838" s="79">
        <v>0</v>
      </c>
      <c r="H838" s="79" t="s">
        <v>750</v>
      </c>
      <c r="I838" s="79">
        <v>101112</v>
      </c>
      <c r="J838" s="79"/>
      <c r="K838" s="79">
        <v>5</v>
      </c>
      <c r="L838" s="79"/>
      <c r="M838" s="127"/>
      <c r="N838" s="79"/>
      <c r="O838" s="79"/>
      <c r="P838" s="107"/>
      <c r="Q838" s="79">
        <v>101112</v>
      </c>
      <c r="R838" s="79"/>
    </row>
    <row r="839" spans="1:18" s="106" customFormat="1">
      <c r="A839" s="79">
        <v>141113</v>
      </c>
      <c r="B839" s="79">
        <v>1011131</v>
      </c>
      <c r="C839" s="79" t="s">
        <v>748</v>
      </c>
      <c r="D839" s="79"/>
      <c r="E839" s="79" t="s">
        <v>1239</v>
      </c>
      <c r="F839" s="79">
        <v>19</v>
      </c>
      <c r="G839" s="79">
        <v>0</v>
      </c>
      <c r="H839" s="79" t="s">
        <v>752</v>
      </c>
      <c r="I839" s="79">
        <v>101113</v>
      </c>
      <c r="J839" s="79"/>
      <c r="K839" s="79">
        <v>6</v>
      </c>
      <c r="L839" s="79"/>
      <c r="M839" s="127"/>
      <c r="N839" s="79"/>
      <c r="O839" s="79"/>
      <c r="P839" s="107"/>
      <c r="Q839" s="79">
        <v>101113</v>
      </c>
      <c r="R839" s="79"/>
    </row>
    <row r="840" spans="1:18" s="106" customFormat="1">
      <c r="A840" s="79">
        <v>141114</v>
      </c>
      <c r="B840" s="79">
        <v>1011141</v>
      </c>
      <c r="C840" s="79" t="s">
        <v>748</v>
      </c>
      <c r="D840" s="79"/>
      <c r="E840" s="79" t="s">
        <v>1240</v>
      </c>
      <c r="F840" s="79">
        <v>19</v>
      </c>
      <c r="G840" s="79">
        <v>0</v>
      </c>
      <c r="H840" s="79" t="s">
        <v>754</v>
      </c>
      <c r="I840" s="79">
        <v>101114</v>
      </c>
      <c r="J840" s="79"/>
      <c r="K840" s="79">
        <v>7</v>
      </c>
      <c r="L840" s="79"/>
      <c r="M840" s="127"/>
      <c r="N840" s="79"/>
      <c r="O840" s="79"/>
      <c r="P840" s="107"/>
      <c r="Q840" s="79">
        <v>101114</v>
      </c>
      <c r="R840" s="79"/>
    </row>
    <row r="841" spans="1:18" s="106" customFormat="1">
      <c r="A841" s="79">
        <v>141122</v>
      </c>
      <c r="B841" s="79">
        <v>1011221</v>
      </c>
      <c r="C841" s="79" t="s">
        <v>755</v>
      </c>
      <c r="D841" s="79"/>
      <c r="E841" s="79" t="s">
        <v>1241</v>
      </c>
      <c r="F841" s="79">
        <v>19</v>
      </c>
      <c r="G841" s="79">
        <v>0</v>
      </c>
      <c r="H841" s="79" t="s">
        <v>757</v>
      </c>
      <c r="I841" s="79">
        <v>101122</v>
      </c>
      <c r="J841" s="79"/>
      <c r="K841" s="79">
        <v>5</v>
      </c>
      <c r="L841" s="79"/>
      <c r="M841" s="127"/>
      <c r="N841" s="79"/>
      <c r="O841" s="79"/>
      <c r="P841" s="107"/>
      <c r="Q841" s="79">
        <v>101122</v>
      </c>
      <c r="R841" s="79"/>
    </row>
    <row r="842" spans="1:18" s="106" customFormat="1">
      <c r="A842" s="79">
        <v>141123</v>
      </c>
      <c r="B842" s="79">
        <v>1011231</v>
      </c>
      <c r="C842" s="79" t="s">
        <v>755</v>
      </c>
      <c r="D842" s="79"/>
      <c r="E842" s="79" t="s">
        <v>1242</v>
      </c>
      <c r="F842" s="79">
        <v>19</v>
      </c>
      <c r="G842" s="79">
        <v>0</v>
      </c>
      <c r="H842" s="79" t="s">
        <v>759</v>
      </c>
      <c r="I842" s="79">
        <v>101123</v>
      </c>
      <c r="J842" s="79"/>
      <c r="K842" s="79">
        <v>6</v>
      </c>
      <c r="L842" s="79"/>
      <c r="M842" s="127"/>
      <c r="N842" s="79"/>
      <c r="O842" s="79"/>
      <c r="P842" s="107"/>
      <c r="Q842" s="79">
        <v>101123</v>
      </c>
      <c r="R842" s="79"/>
    </row>
    <row r="843" spans="1:18" s="106" customFormat="1">
      <c r="A843" s="79">
        <v>141124</v>
      </c>
      <c r="B843" s="79">
        <v>1011241</v>
      </c>
      <c r="C843" s="79" t="s">
        <v>755</v>
      </c>
      <c r="D843" s="79"/>
      <c r="E843" s="79" t="s">
        <v>1243</v>
      </c>
      <c r="F843" s="79">
        <v>19</v>
      </c>
      <c r="G843" s="79">
        <v>0</v>
      </c>
      <c r="H843" s="79" t="s">
        <v>761</v>
      </c>
      <c r="I843" s="79">
        <v>101124</v>
      </c>
      <c r="J843" s="79"/>
      <c r="K843" s="79">
        <v>7</v>
      </c>
      <c r="L843" s="79"/>
      <c r="M843" s="127"/>
      <c r="N843" s="79"/>
      <c r="O843" s="79"/>
      <c r="P843" s="107"/>
      <c r="Q843" s="79">
        <v>101124</v>
      </c>
      <c r="R843" s="79"/>
    </row>
    <row r="844" spans="1:18" s="106" customFormat="1">
      <c r="A844" s="79">
        <v>141132</v>
      </c>
      <c r="B844" s="79">
        <v>1011321</v>
      </c>
      <c r="C844" s="79" t="s">
        <v>762</v>
      </c>
      <c r="D844" s="79"/>
      <c r="E844" s="79" t="s">
        <v>1244</v>
      </c>
      <c r="F844" s="79">
        <v>19</v>
      </c>
      <c r="G844" s="79">
        <v>0</v>
      </c>
      <c r="H844" s="79" t="s">
        <v>764</v>
      </c>
      <c r="I844" s="79">
        <v>101132</v>
      </c>
      <c r="J844" s="79"/>
      <c r="K844" s="79">
        <v>5</v>
      </c>
      <c r="L844" s="79"/>
      <c r="M844" s="127"/>
      <c r="N844" s="79"/>
      <c r="O844" s="79"/>
      <c r="P844" s="107"/>
      <c r="Q844" s="79">
        <v>101132</v>
      </c>
      <c r="R844" s="79"/>
    </row>
    <row r="845" spans="1:18" s="106" customFormat="1">
      <c r="A845" s="79">
        <v>141133</v>
      </c>
      <c r="B845" s="79">
        <v>1011331</v>
      </c>
      <c r="C845" s="79" t="s">
        <v>762</v>
      </c>
      <c r="D845" s="79"/>
      <c r="E845" s="79" t="s">
        <v>1245</v>
      </c>
      <c r="F845" s="79">
        <v>19</v>
      </c>
      <c r="G845" s="79">
        <v>0</v>
      </c>
      <c r="H845" s="79" t="s">
        <v>766</v>
      </c>
      <c r="I845" s="79">
        <v>101133</v>
      </c>
      <c r="J845" s="79"/>
      <c r="K845" s="79">
        <v>6</v>
      </c>
      <c r="L845" s="79"/>
      <c r="M845" s="127"/>
      <c r="N845" s="79"/>
      <c r="O845" s="79"/>
      <c r="P845" s="107"/>
      <c r="Q845" s="79">
        <v>101133</v>
      </c>
      <c r="R845" s="79"/>
    </row>
    <row r="846" spans="1:18" s="106" customFormat="1">
      <c r="A846" s="79">
        <v>141134</v>
      </c>
      <c r="B846" s="79">
        <v>1011341</v>
      </c>
      <c r="C846" s="79" t="s">
        <v>762</v>
      </c>
      <c r="D846" s="79"/>
      <c r="E846" s="79" t="s">
        <v>1246</v>
      </c>
      <c r="F846" s="79">
        <v>19</v>
      </c>
      <c r="G846" s="79">
        <v>0</v>
      </c>
      <c r="H846" s="79" t="s">
        <v>768</v>
      </c>
      <c r="I846" s="79">
        <v>101134</v>
      </c>
      <c r="J846" s="79"/>
      <c r="K846" s="79">
        <v>7</v>
      </c>
      <c r="L846" s="79"/>
      <c r="M846" s="127"/>
      <c r="N846" s="79"/>
      <c r="O846" s="79"/>
      <c r="P846" s="107"/>
      <c r="Q846" s="79">
        <v>101134</v>
      </c>
      <c r="R846" s="79"/>
    </row>
    <row r="847" spans="1:18" s="106" customFormat="1">
      <c r="A847" s="79">
        <v>141142</v>
      </c>
      <c r="B847" s="79">
        <v>1011421</v>
      </c>
      <c r="C847" s="79" t="s">
        <v>769</v>
      </c>
      <c r="D847" s="79"/>
      <c r="E847" s="79" t="s">
        <v>1247</v>
      </c>
      <c r="F847" s="79">
        <v>19</v>
      </c>
      <c r="G847" s="79">
        <v>0</v>
      </c>
      <c r="H847" s="79" t="s">
        <v>771</v>
      </c>
      <c r="I847" s="79">
        <v>101142</v>
      </c>
      <c r="J847" s="79"/>
      <c r="K847" s="79">
        <v>5</v>
      </c>
      <c r="L847" s="79"/>
      <c r="M847" s="127"/>
      <c r="N847" s="79"/>
      <c r="O847" s="79"/>
      <c r="P847" s="107"/>
      <c r="Q847" s="79">
        <v>101142</v>
      </c>
      <c r="R847" s="79"/>
    </row>
    <row r="848" spans="1:18" s="106" customFormat="1">
      <c r="A848" s="79">
        <v>141143</v>
      </c>
      <c r="B848" s="79">
        <v>1011431</v>
      </c>
      <c r="C848" s="79" t="s">
        <v>769</v>
      </c>
      <c r="D848" s="79"/>
      <c r="E848" s="79" t="s">
        <v>1248</v>
      </c>
      <c r="F848" s="79">
        <v>19</v>
      </c>
      <c r="G848" s="79">
        <v>0</v>
      </c>
      <c r="H848" s="79" t="s">
        <v>774</v>
      </c>
      <c r="I848" s="79">
        <v>101143</v>
      </c>
      <c r="J848" s="79"/>
      <c r="K848" s="79">
        <v>6</v>
      </c>
      <c r="L848" s="79"/>
      <c r="M848" s="127"/>
      <c r="N848" s="79"/>
      <c r="O848" s="79"/>
      <c r="P848" s="107"/>
      <c r="Q848" s="79">
        <v>101143</v>
      </c>
      <c r="R848" s="79"/>
    </row>
    <row r="849" spans="1:18" s="106" customFormat="1">
      <c r="A849" s="79">
        <v>141144</v>
      </c>
      <c r="B849" s="79">
        <v>1011441</v>
      </c>
      <c r="C849" s="79" t="s">
        <v>769</v>
      </c>
      <c r="D849" s="79"/>
      <c r="E849" s="79" t="s">
        <v>1249</v>
      </c>
      <c r="F849" s="79">
        <v>19</v>
      </c>
      <c r="G849" s="79">
        <v>0</v>
      </c>
      <c r="H849" s="79" t="s">
        <v>776</v>
      </c>
      <c r="I849" s="79">
        <v>101144</v>
      </c>
      <c r="J849" s="79"/>
      <c r="K849" s="79">
        <v>7</v>
      </c>
      <c r="L849" s="79"/>
      <c r="M849" s="127"/>
      <c r="N849" s="79"/>
      <c r="O849" s="79"/>
      <c r="P849" s="107"/>
      <c r="Q849" s="79">
        <v>101144</v>
      </c>
      <c r="R849" s="79"/>
    </row>
    <row r="850" spans="1:18" s="108" customFormat="1">
      <c r="A850" s="80">
        <v>141152</v>
      </c>
      <c r="B850" s="79">
        <v>1011521</v>
      </c>
      <c r="C850" s="79" t="s">
        <v>777</v>
      </c>
      <c r="D850" s="79"/>
      <c r="E850" s="79" t="s">
        <v>778</v>
      </c>
      <c r="F850" s="79">
        <v>19</v>
      </c>
      <c r="G850" s="79">
        <v>0</v>
      </c>
      <c r="H850" s="79" t="s">
        <v>779</v>
      </c>
      <c r="I850" s="80">
        <v>101152</v>
      </c>
      <c r="J850" s="79"/>
      <c r="K850" s="79">
        <v>5</v>
      </c>
      <c r="L850" s="79"/>
      <c r="M850" s="127"/>
      <c r="N850" s="79"/>
      <c r="O850" s="79"/>
      <c r="P850" s="107"/>
      <c r="Q850" s="80">
        <v>101152</v>
      </c>
      <c r="R850" s="79"/>
    </row>
    <row r="851" spans="1:18" s="108" customFormat="1">
      <c r="A851" s="80">
        <v>141153</v>
      </c>
      <c r="B851" s="79">
        <v>1011531</v>
      </c>
      <c r="C851" s="79" t="s">
        <v>777</v>
      </c>
      <c r="D851" s="79"/>
      <c r="E851" s="79" t="s">
        <v>780</v>
      </c>
      <c r="F851" s="79">
        <v>19</v>
      </c>
      <c r="G851" s="79">
        <v>0</v>
      </c>
      <c r="H851" s="79" t="s">
        <v>781</v>
      </c>
      <c r="I851" s="80">
        <v>101153</v>
      </c>
      <c r="J851" s="79"/>
      <c r="K851" s="79">
        <v>6</v>
      </c>
      <c r="L851" s="79"/>
      <c r="M851" s="127"/>
      <c r="N851" s="79"/>
      <c r="O851" s="79"/>
      <c r="P851" s="107"/>
      <c r="Q851" s="80">
        <v>101153</v>
      </c>
      <c r="R851" s="79"/>
    </row>
    <row r="852" spans="1:18" s="108" customFormat="1">
      <c r="A852" s="80">
        <v>141154</v>
      </c>
      <c r="B852" s="79">
        <v>1011541</v>
      </c>
      <c r="C852" s="79" t="s">
        <v>777</v>
      </c>
      <c r="D852" s="79"/>
      <c r="E852" s="79" t="s">
        <v>782</v>
      </c>
      <c r="F852" s="79">
        <v>19</v>
      </c>
      <c r="G852" s="79">
        <v>0</v>
      </c>
      <c r="H852" s="79" t="s">
        <v>783</v>
      </c>
      <c r="I852" s="80">
        <v>101154</v>
      </c>
      <c r="J852" s="79"/>
      <c r="K852" s="79">
        <v>7</v>
      </c>
      <c r="L852" s="79"/>
      <c r="M852" s="127"/>
      <c r="N852" s="79"/>
      <c r="O852" s="79"/>
      <c r="P852" s="107"/>
      <c r="Q852" s="80">
        <v>101154</v>
      </c>
      <c r="R852" s="79"/>
    </row>
    <row r="853" spans="1:18" s="106" customFormat="1">
      <c r="A853" s="80">
        <v>141174</v>
      </c>
      <c r="B853" s="79">
        <v>1011741</v>
      </c>
      <c r="C853" s="79" t="s">
        <v>790</v>
      </c>
      <c r="D853" s="79"/>
      <c r="E853" s="79" t="s">
        <v>791</v>
      </c>
      <c r="F853" s="79">
        <v>19</v>
      </c>
      <c r="G853" s="79">
        <v>0</v>
      </c>
      <c r="H853" s="79" t="s">
        <v>1250</v>
      </c>
      <c r="I853" s="87">
        <v>101174</v>
      </c>
      <c r="J853" s="79"/>
      <c r="K853" s="79">
        <v>8</v>
      </c>
      <c r="L853" s="79"/>
      <c r="M853" s="127"/>
      <c r="N853" s="79"/>
      <c r="O853" s="79"/>
      <c r="P853" s="107"/>
      <c r="Q853" s="87">
        <v>101174</v>
      </c>
      <c r="R853" s="79"/>
    </row>
    <row r="854" spans="1:18" s="106" customFormat="1">
      <c r="A854" s="80">
        <v>141183</v>
      </c>
      <c r="B854" s="79">
        <v>1011831</v>
      </c>
      <c r="C854" s="79" t="s">
        <v>792</v>
      </c>
      <c r="D854" s="79"/>
      <c r="E854" s="79" t="s">
        <v>793</v>
      </c>
      <c r="F854" s="79">
        <v>19</v>
      </c>
      <c r="G854" s="79">
        <v>0</v>
      </c>
      <c r="H854" s="79" t="s">
        <v>1251</v>
      </c>
      <c r="I854" s="87">
        <v>101183</v>
      </c>
      <c r="J854" s="79"/>
      <c r="K854" s="79">
        <v>7</v>
      </c>
      <c r="L854" s="79"/>
      <c r="M854" s="127"/>
      <c r="N854" s="79"/>
      <c r="O854" s="79"/>
      <c r="P854" s="107"/>
      <c r="Q854" s="87">
        <v>101183</v>
      </c>
      <c r="R854" s="79"/>
    </row>
    <row r="855" spans="1:18" s="106" customFormat="1">
      <c r="A855" s="80">
        <v>141194</v>
      </c>
      <c r="B855" s="79">
        <v>1011941</v>
      </c>
      <c r="C855" s="79" t="s">
        <v>794</v>
      </c>
      <c r="D855" s="79"/>
      <c r="E855" s="79" t="s">
        <v>1252</v>
      </c>
      <c r="F855" s="79">
        <v>19</v>
      </c>
      <c r="G855" s="79">
        <v>0</v>
      </c>
      <c r="H855" s="79" t="s">
        <v>1253</v>
      </c>
      <c r="I855" s="89">
        <v>101194</v>
      </c>
      <c r="J855" s="79"/>
      <c r="K855" s="79">
        <v>8</v>
      </c>
      <c r="L855" s="79"/>
      <c r="M855" s="127"/>
      <c r="N855" s="79"/>
      <c r="O855" s="79"/>
      <c r="P855" s="107"/>
      <c r="Q855" s="89">
        <v>101194</v>
      </c>
      <c r="R855" s="79"/>
    </row>
    <row r="856" spans="1:18" s="106" customFormat="1">
      <c r="A856" s="80">
        <v>141204</v>
      </c>
      <c r="B856" s="79">
        <v>1012041</v>
      </c>
      <c r="C856" s="79" t="s">
        <v>795</v>
      </c>
      <c r="D856" s="79"/>
      <c r="E856" s="79" t="s">
        <v>1254</v>
      </c>
      <c r="F856" s="79">
        <v>19</v>
      </c>
      <c r="G856" s="79">
        <v>0</v>
      </c>
      <c r="H856" s="79" t="s">
        <v>1255</v>
      </c>
      <c r="I856" s="89">
        <v>101204</v>
      </c>
      <c r="J856" s="79"/>
      <c r="K856" s="79">
        <v>8</v>
      </c>
      <c r="L856" s="79"/>
      <c r="M856" s="127"/>
      <c r="N856" s="79"/>
      <c r="O856" s="79"/>
      <c r="P856" s="107"/>
      <c r="Q856" s="89">
        <v>101204</v>
      </c>
      <c r="R856" s="79"/>
    </row>
    <row r="857" spans="1:18" s="106" customFormat="1">
      <c r="A857" s="80">
        <v>141214</v>
      </c>
      <c r="B857" s="79">
        <v>1012141</v>
      </c>
      <c r="C857" s="79" t="s">
        <v>796</v>
      </c>
      <c r="D857" s="79"/>
      <c r="E857" s="79" t="s">
        <v>1256</v>
      </c>
      <c r="F857" s="79">
        <v>19</v>
      </c>
      <c r="G857" s="79">
        <v>0</v>
      </c>
      <c r="H857" s="79" t="s">
        <v>1257</v>
      </c>
      <c r="I857" s="89">
        <v>101214</v>
      </c>
      <c r="J857" s="79"/>
      <c r="K857" s="79">
        <v>8</v>
      </c>
      <c r="L857" s="79"/>
      <c r="M857" s="127"/>
      <c r="N857" s="79"/>
      <c r="O857" s="79"/>
      <c r="P857" s="107"/>
      <c r="Q857" s="89">
        <v>101214</v>
      </c>
      <c r="R857" s="79"/>
    </row>
    <row r="858" spans="1:18" s="106" customFormat="1">
      <c r="A858" s="80">
        <v>141224</v>
      </c>
      <c r="B858" s="79">
        <v>1012241</v>
      </c>
      <c r="C858" s="79" t="s">
        <v>797</v>
      </c>
      <c r="D858" s="79"/>
      <c r="E858" s="79" t="s">
        <v>1258</v>
      </c>
      <c r="F858" s="79">
        <v>19</v>
      </c>
      <c r="G858" s="79">
        <v>0</v>
      </c>
      <c r="H858" s="79" t="s">
        <v>1259</v>
      </c>
      <c r="I858" s="89">
        <v>101224</v>
      </c>
      <c r="J858" s="79"/>
      <c r="K858" s="79">
        <v>8</v>
      </c>
      <c r="L858" s="79"/>
      <c r="M858" s="127"/>
      <c r="N858" s="79"/>
      <c r="O858" s="79"/>
      <c r="P858" s="107"/>
      <c r="Q858" s="89">
        <v>101224</v>
      </c>
      <c r="R858" s="79"/>
    </row>
    <row r="859" spans="1:18" s="106" customFormat="1">
      <c r="A859" s="80">
        <v>141234</v>
      </c>
      <c r="B859" s="79">
        <v>1012341</v>
      </c>
      <c r="C859" s="79" t="s">
        <v>798</v>
      </c>
      <c r="D859" s="79"/>
      <c r="E859" s="79" t="s">
        <v>1260</v>
      </c>
      <c r="F859" s="79">
        <v>19</v>
      </c>
      <c r="G859" s="79">
        <v>0</v>
      </c>
      <c r="H859" s="79" t="s">
        <v>1261</v>
      </c>
      <c r="I859" s="89">
        <v>101234</v>
      </c>
      <c r="J859" s="79"/>
      <c r="K859" s="79">
        <v>8</v>
      </c>
      <c r="L859" s="79"/>
      <c r="M859" s="127"/>
      <c r="N859" s="79"/>
      <c r="O859" s="79"/>
      <c r="P859" s="107"/>
      <c r="Q859" s="89">
        <v>101234</v>
      </c>
      <c r="R859" s="79"/>
    </row>
    <row r="860" spans="1:18" s="106" customFormat="1">
      <c r="A860" s="80">
        <v>141244</v>
      </c>
      <c r="B860" s="79">
        <v>1012441</v>
      </c>
      <c r="C860" s="79" t="s">
        <v>799</v>
      </c>
      <c r="D860" s="79"/>
      <c r="E860" s="79" t="s">
        <v>1262</v>
      </c>
      <c r="F860" s="79">
        <v>19</v>
      </c>
      <c r="G860" s="79">
        <v>0</v>
      </c>
      <c r="H860" s="79" t="s">
        <v>1263</v>
      </c>
      <c r="I860" s="89">
        <v>101244</v>
      </c>
      <c r="J860" s="79"/>
      <c r="K860" s="79">
        <v>8</v>
      </c>
      <c r="L860" s="79"/>
      <c r="M860" s="127"/>
      <c r="N860" s="79"/>
      <c r="O860" s="79"/>
      <c r="P860" s="107"/>
      <c r="Q860" s="89">
        <v>101244</v>
      </c>
      <c r="R860" s="79"/>
    </row>
    <row r="861" spans="1:18" s="106" customFormat="1">
      <c r="A861" s="80">
        <v>141254</v>
      </c>
      <c r="B861" s="79">
        <v>1012541</v>
      </c>
      <c r="C861" s="79" t="s">
        <v>800</v>
      </c>
      <c r="D861" s="79"/>
      <c r="E861" s="79" t="s">
        <v>1264</v>
      </c>
      <c r="F861" s="79">
        <v>19</v>
      </c>
      <c r="G861" s="79">
        <v>0</v>
      </c>
      <c r="H861" s="79" t="s">
        <v>1265</v>
      </c>
      <c r="I861" s="87">
        <v>101254</v>
      </c>
      <c r="J861" s="79"/>
      <c r="K861" s="79">
        <v>8</v>
      </c>
      <c r="L861" s="79"/>
      <c r="M861" s="127"/>
      <c r="N861" s="79"/>
      <c r="O861" s="79"/>
      <c r="P861" s="107"/>
      <c r="Q861" s="87">
        <v>101254</v>
      </c>
      <c r="R861" s="79"/>
    </row>
    <row r="862" spans="1:18" s="106" customFormat="1">
      <c r="A862" s="80">
        <v>141264</v>
      </c>
      <c r="B862" s="79">
        <v>1012641</v>
      </c>
      <c r="C862" s="79" t="s">
        <v>801</v>
      </c>
      <c r="D862" s="79"/>
      <c r="E862" s="79" t="s">
        <v>1266</v>
      </c>
      <c r="F862" s="79">
        <v>19</v>
      </c>
      <c r="G862" s="79">
        <v>0</v>
      </c>
      <c r="H862" s="79" t="s">
        <v>1267</v>
      </c>
      <c r="I862" s="87">
        <v>101264</v>
      </c>
      <c r="J862" s="79"/>
      <c r="K862" s="79">
        <v>8</v>
      </c>
      <c r="L862" s="79"/>
      <c r="M862" s="127"/>
      <c r="N862" s="79"/>
      <c r="O862" s="79"/>
      <c r="P862" s="107"/>
      <c r="Q862" s="87">
        <v>101264</v>
      </c>
      <c r="R862" s="79"/>
    </row>
    <row r="863" spans="1:18" s="106" customFormat="1">
      <c r="A863" s="80">
        <v>141274</v>
      </c>
      <c r="B863" s="79">
        <v>1012741</v>
      </c>
      <c r="C863" s="79" t="s">
        <v>802</v>
      </c>
      <c r="D863" s="79"/>
      <c r="E863" s="79" t="s">
        <v>1268</v>
      </c>
      <c r="F863" s="79">
        <v>19</v>
      </c>
      <c r="G863" s="79">
        <v>0</v>
      </c>
      <c r="H863" s="79" t="s">
        <v>1269</v>
      </c>
      <c r="I863" s="87">
        <v>101274</v>
      </c>
      <c r="J863" s="79"/>
      <c r="K863" s="79">
        <v>8</v>
      </c>
      <c r="L863" s="79"/>
      <c r="M863" s="127"/>
      <c r="N863" s="79"/>
      <c r="O863" s="79"/>
      <c r="P863" s="107"/>
      <c r="Q863" s="87">
        <v>101274</v>
      </c>
      <c r="R863" s="79"/>
    </row>
    <row r="864" spans="1:18" s="106" customFormat="1">
      <c r="A864" s="80">
        <v>141284</v>
      </c>
      <c r="B864" s="79">
        <v>1012841</v>
      </c>
      <c r="C864" s="79" t="s">
        <v>803</v>
      </c>
      <c r="D864" s="79"/>
      <c r="E864" s="79" t="s">
        <v>1270</v>
      </c>
      <c r="F864" s="79">
        <v>19</v>
      </c>
      <c r="G864" s="79">
        <v>0</v>
      </c>
      <c r="H864" s="79" t="s">
        <v>1271</v>
      </c>
      <c r="I864" s="87">
        <v>101284</v>
      </c>
      <c r="J864" s="79"/>
      <c r="K864" s="79">
        <v>8</v>
      </c>
      <c r="L864" s="79"/>
      <c r="M864" s="127"/>
      <c r="N864" s="79"/>
      <c r="O864" s="79"/>
      <c r="P864" s="107"/>
      <c r="Q864" s="87">
        <v>101284</v>
      </c>
      <c r="R864" s="79"/>
    </row>
    <row r="865" spans="1:18" s="106" customFormat="1">
      <c r="A865" s="80">
        <v>141294</v>
      </c>
      <c r="B865" s="79">
        <v>1012941</v>
      </c>
      <c r="C865" s="79" t="s">
        <v>804</v>
      </c>
      <c r="D865" s="79"/>
      <c r="E865" s="79" t="s">
        <v>1272</v>
      </c>
      <c r="F865" s="79">
        <v>19</v>
      </c>
      <c r="G865" s="79">
        <v>0</v>
      </c>
      <c r="H865" s="79" t="s">
        <v>1273</v>
      </c>
      <c r="I865" s="89">
        <v>101294</v>
      </c>
      <c r="J865" s="79"/>
      <c r="K865" s="79">
        <v>8</v>
      </c>
      <c r="L865" s="79"/>
      <c r="M865" s="127"/>
      <c r="N865" s="79"/>
      <c r="O865" s="79"/>
      <c r="P865" s="107"/>
      <c r="Q865" s="89">
        <v>101294</v>
      </c>
      <c r="R865" s="79"/>
    </row>
    <row r="866" spans="1:18" s="106" customFormat="1">
      <c r="A866" s="80">
        <v>141304</v>
      </c>
      <c r="B866" s="79">
        <v>1013041</v>
      </c>
      <c r="C866" s="79" t="s">
        <v>805</v>
      </c>
      <c r="D866" s="79"/>
      <c r="E866" s="79" t="s">
        <v>1274</v>
      </c>
      <c r="F866" s="79">
        <v>19</v>
      </c>
      <c r="G866" s="79">
        <v>0</v>
      </c>
      <c r="H866" s="79" t="s">
        <v>1275</v>
      </c>
      <c r="I866" s="89">
        <v>101304</v>
      </c>
      <c r="J866" s="79"/>
      <c r="K866" s="79">
        <v>8</v>
      </c>
      <c r="L866" s="79"/>
      <c r="M866" s="127"/>
      <c r="N866" s="79"/>
      <c r="O866" s="79"/>
      <c r="P866" s="107"/>
      <c r="Q866" s="89">
        <v>101304</v>
      </c>
      <c r="R866" s="79"/>
    </row>
    <row r="867" spans="1:18" s="106" customFormat="1">
      <c r="A867" s="80">
        <v>141314</v>
      </c>
      <c r="B867" s="79">
        <v>1013141</v>
      </c>
      <c r="C867" s="79" t="s">
        <v>806</v>
      </c>
      <c r="D867" s="79"/>
      <c r="E867" s="79" t="s">
        <v>1276</v>
      </c>
      <c r="F867" s="79">
        <v>19</v>
      </c>
      <c r="G867" s="79">
        <v>0</v>
      </c>
      <c r="H867" s="79" t="s">
        <v>807</v>
      </c>
      <c r="I867" s="89">
        <v>101314</v>
      </c>
      <c r="J867" s="79"/>
      <c r="K867" s="79">
        <v>8</v>
      </c>
      <c r="L867" s="79"/>
      <c r="M867" s="127"/>
      <c r="N867" s="79"/>
      <c r="O867" s="79"/>
      <c r="P867" s="107"/>
      <c r="Q867" s="89">
        <v>101314</v>
      </c>
      <c r="R867" s="79"/>
    </row>
    <row r="868" spans="1:18" s="106" customFormat="1">
      <c r="A868" s="80">
        <v>141322</v>
      </c>
      <c r="B868" s="79">
        <v>1013221</v>
      </c>
      <c r="C868" s="79" t="s">
        <v>808</v>
      </c>
      <c r="D868" s="79"/>
      <c r="E868" s="79" t="s">
        <v>809</v>
      </c>
      <c r="F868" s="79">
        <v>19</v>
      </c>
      <c r="G868" s="79">
        <v>0</v>
      </c>
      <c r="H868" s="79" t="s">
        <v>810</v>
      </c>
      <c r="I868" s="89">
        <v>101322</v>
      </c>
      <c r="J868" s="79"/>
      <c r="K868" s="79">
        <v>5</v>
      </c>
      <c r="L868" s="79"/>
      <c r="M868" s="127"/>
      <c r="N868" s="79"/>
      <c r="O868" s="79"/>
      <c r="P868" s="107"/>
      <c r="Q868" s="89">
        <v>101322</v>
      </c>
      <c r="R868" s="79"/>
    </row>
    <row r="869" spans="1:18" s="106" customFormat="1">
      <c r="A869" s="80">
        <v>141323</v>
      </c>
      <c r="B869" s="79">
        <v>1013231</v>
      </c>
      <c r="C869" s="79" t="s">
        <v>808</v>
      </c>
      <c r="D869" s="79"/>
      <c r="E869" s="79" t="s">
        <v>811</v>
      </c>
      <c r="F869" s="79">
        <v>19</v>
      </c>
      <c r="G869" s="79">
        <v>0</v>
      </c>
      <c r="H869" s="79" t="s">
        <v>812</v>
      </c>
      <c r="I869" s="89">
        <v>101323</v>
      </c>
      <c r="J869" s="79"/>
      <c r="K869" s="79">
        <v>6</v>
      </c>
      <c r="L869" s="79"/>
      <c r="M869" s="127"/>
      <c r="N869" s="79"/>
      <c r="O869" s="79"/>
      <c r="P869" s="107"/>
      <c r="Q869" s="89">
        <v>101323</v>
      </c>
      <c r="R869" s="79"/>
    </row>
    <row r="870" spans="1:18" s="106" customFormat="1">
      <c r="A870" s="80">
        <v>141324</v>
      </c>
      <c r="B870" s="79">
        <v>1013241</v>
      </c>
      <c r="C870" s="79" t="s">
        <v>808</v>
      </c>
      <c r="D870" s="79"/>
      <c r="E870" s="79" t="s">
        <v>813</v>
      </c>
      <c r="F870" s="79">
        <v>19</v>
      </c>
      <c r="G870" s="79">
        <v>0</v>
      </c>
      <c r="H870" s="79" t="s">
        <v>814</v>
      </c>
      <c r="I870" s="89">
        <v>101324</v>
      </c>
      <c r="J870" s="79"/>
      <c r="K870" s="79">
        <v>7</v>
      </c>
      <c r="L870" s="79"/>
      <c r="M870" s="127"/>
      <c r="N870" s="79"/>
      <c r="O870" s="79"/>
      <c r="P870" s="107"/>
      <c r="Q870" s="89">
        <v>101324</v>
      </c>
      <c r="R870" s="79"/>
    </row>
    <row r="871" spans="1:18" s="106" customFormat="1">
      <c r="A871" s="80">
        <v>141332</v>
      </c>
      <c r="B871" s="79">
        <v>1013321</v>
      </c>
      <c r="C871" s="79" t="s">
        <v>815</v>
      </c>
      <c r="D871" s="79"/>
      <c r="E871" s="79" t="s">
        <v>816</v>
      </c>
      <c r="F871" s="79">
        <v>19</v>
      </c>
      <c r="G871" s="79">
        <v>0</v>
      </c>
      <c r="H871" s="79" t="s">
        <v>817</v>
      </c>
      <c r="I871" s="89">
        <v>101332</v>
      </c>
      <c r="J871" s="79"/>
      <c r="K871" s="79">
        <v>5</v>
      </c>
      <c r="L871" s="79"/>
      <c r="M871" s="127"/>
      <c r="N871" s="79"/>
      <c r="O871" s="79"/>
      <c r="P871" s="107"/>
      <c r="Q871" s="89">
        <v>101332</v>
      </c>
      <c r="R871" s="79"/>
    </row>
    <row r="872" spans="1:18" s="106" customFormat="1">
      <c r="A872" s="80">
        <v>141333</v>
      </c>
      <c r="B872" s="79">
        <v>1013331</v>
      </c>
      <c r="C872" s="79" t="s">
        <v>815</v>
      </c>
      <c r="D872" s="79"/>
      <c r="E872" s="79" t="s">
        <v>818</v>
      </c>
      <c r="F872" s="79">
        <v>19</v>
      </c>
      <c r="G872" s="79">
        <v>0</v>
      </c>
      <c r="H872" s="79" t="s">
        <v>819</v>
      </c>
      <c r="I872" s="89">
        <v>101333</v>
      </c>
      <c r="J872" s="79"/>
      <c r="K872" s="79">
        <v>6</v>
      </c>
      <c r="L872" s="79"/>
      <c r="M872" s="127"/>
      <c r="N872" s="79"/>
      <c r="O872" s="79"/>
      <c r="P872" s="107"/>
      <c r="Q872" s="89">
        <v>101333</v>
      </c>
      <c r="R872" s="79"/>
    </row>
    <row r="873" spans="1:18" s="106" customFormat="1">
      <c r="A873" s="80">
        <v>141334</v>
      </c>
      <c r="B873" s="79">
        <v>1013341</v>
      </c>
      <c r="C873" s="79" t="s">
        <v>815</v>
      </c>
      <c r="D873" s="79"/>
      <c r="E873" s="79" t="s">
        <v>820</v>
      </c>
      <c r="F873" s="79">
        <v>19</v>
      </c>
      <c r="G873" s="79">
        <v>0</v>
      </c>
      <c r="H873" s="79" t="s">
        <v>821</v>
      </c>
      <c r="I873" s="89">
        <v>101334</v>
      </c>
      <c r="J873" s="79"/>
      <c r="K873" s="79">
        <v>7</v>
      </c>
      <c r="L873" s="79"/>
      <c r="M873" s="127"/>
      <c r="N873" s="79"/>
      <c r="O873" s="79"/>
      <c r="P873" s="107"/>
      <c r="Q873" s="89">
        <v>101334</v>
      </c>
      <c r="R873" s="79"/>
    </row>
    <row r="874" spans="1:18" s="106" customFormat="1">
      <c r="A874" s="80">
        <v>141342</v>
      </c>
      <c r="B874" s="79">
        <v>1013421</v>
      </c>
      <c r="C874" s="79" t="s">
        <v>822</v>
      </c>
      <c r="D874" s="79"/>
      <c r="E874" s="79" t="s">
        <v>825</v>
      </c>
      <c r="F874" s="79">
        <v>19</v>
      </c>
      <c r="G874" s="79">
        <v>0</v>
      </c>
      <c r="H874" s="83" t="s">
        <v>824</v>
      </c>
      <c r="I874" s="83">
        <v>101342</v>
      </c>
      <c r="J874" s="79"/>
      <c r="K874" s="79">
        <v>5</v>
      </c>
      <c r="L874" s="79"/>
      <c r="M874" s="127"/>
      <c r="N874" s="79"/>
      <c r="O874" s="79"/>
      <c r="P874" s="107"/>
      <c r="Q874" s="83">
        <v>101342</v>
      </c>
      <c r="R874" s="79"/>
    </row>
    <row r="875" spans="1:18" s="106" customFormat="1">
      <c r="A875" s="80">
        <v>141343</v>
      </c>
      <c r="B875" s="79">
        <v>1013431</v>
      </c>
      <c r="C875" s="79" t="s">
        <v>822</v>
      </c>
      <c r="D875" s="79"/>
      <c r="E875" s="79" t="s">
        <v>826</v>
      </c>
      <c r="F875" s="79">
        <v>19</v>
      </c>
      <c r="G875" s="79">
        <v>0</v>
      </c>
      <c r="H875" s="83" t="s">
        <v>827</v>
      </c>
      <c r="I875" s="83">
        <v>101343</v>
      </c>
      <c r="J875" s="79"/>
      <c r="K875" s="79">
        <v>6</v>
      </c>
      <c r="L875" s="79"/>
      <c r="M875" s="127"/>
      <c r="N875" s="79"/>
      <c r="O875" s="79"/>
      <c r="P875" s="107"/>
      <c r="Q875" s="83">
        <v>101343</v>
      </c>
      <c r="R875" s="79"/>
    </row>
    <row r="876" spans="1:18" s="106" customFormat="1">
      <c r="A876" s="80">
        <v>141344</v>
      </c>
      <c r="B876" s="79">
        <v>1013441</v>
      </c>
      <c r="C876" s="79" t="s">
        <v>822</v>
      </c>
      <c r="D876" s="79"/>
      <c r="E876" s="79" t="s">
        <v>828</v>
      </c>
      <c r="F876" s="79">
        <v>19</v>
      </c>
      <c r="G876" s="79">
        <v>0</v>
      </c>
      <c r="H876" s="83" t="s">
        <v>829</v>
      </c>
      <c r="I876" s="83">
        <v>101344</v>
      </c>
      <c r="J876" s="79"/>
      <c r="K876" s="79">
        <v>7</v>
      </c>
      <c r="L876" s="79"/>
      <c r="M876" s="127"/>
      <c r="N876" s="79"/>
      <c r="O876" s="79"/>
      <c r="P876" s="107"/>
      <c r="Q876" s="83">
        <v>101344</v>
      </c>
      <c r="R876" s="79"/>
    </row>
    <row r="877" spans="1:18" s="110" customFormat="1">
      <c r="A877" s="80">
        <v>141352</v>
      </c>
      <c r="B877" s="79">
        <v>1013521</v>
      </c>
      <c r="C877" s="79" t="s">
        <v>830</v>
      </c>
      <c r="D877" s="79">
        <v>1013522</v>
      </c>
      <c r="E877" s="79" t="s">
        <v>831</v>
      </c>
      <c r="F877" s="79">
        <v>19</v>
      </c>
      <c r="G877" s="88">
        <v>0</v>
      </c>
      <c r="H877" s="89" t="s">
        <v>832</v>
      </c>
      <c r="I877" s="89">
        <v>101352</v>
      </c>
      <c r="J877" s="137"/>
      <c r="K877" s="88">
        <v>5</v>
      </c>
      <c r="L877" s="88"/>
      <c r="M877" s="138"/>
      <c r="N877" s="79"/>
      <c r="O877" s="79"/>
      <c r="P877" s="139"/>
      <c r="Q877" s="89">
        <v>101352</v>
      </c>
      <c r="R877" s="88"/>
    </row>
    <row r="878" spans="1:18" s="110" customFormat="1">
      <c r="A878" s="80">
        <v>141353</v>
      </c>
      <c r="B878" s="79">
        <v>1013531</v>
      </c>
      <c r="C878" s="79" t="s">
        <v>830</v>
      </c>
      <c r="D878" s="79">
        <v>1013532</v>
      </c>
      <c r="E878" s="79" t="s">
        <v>833</v>
      </c>
      <c r="F878" s="79">
        <v>19</v>
      </c>
      <c r="G878" s="88">
        <v>0</v>
      </c>
      <c r="H878" s="89" t="s">
        <v>834</v>
      </c>
      <c r="I878" s="89">
        <v>101353</v>
      </c>
      <c r="J878" s="137"/>
      <c r="K878" s="88">
        <v>6</v>
      </c>
      <c r="L878" s="88"/>
      <c r="M878" s="138"/>
      <c r="N878" s="79"/>
      <c r="O878" s="79"/>
      <c r="P878" s="139"/>
      <c r="Q878" s="89">
        <v>101353</v>
      </c>
      <c r="R878" s="88"/>
    </row>
    <row r="879" spans="1:18" s="110" customFormat="1">
      <c r="A879" s="80">
        <v>141354</v>
      </c>
      <c r="B879" s="79">
        <v>1013541</v>
      </c>
      <c r="C879" s="79" t="s">
        <v>830</v>
      </c>
      <c r="D879" s="79">
        <v>1013542</v>
      </c>
      <c r="E879" s="79" t="s">
        <v>835</v>
      </c>
      <c r="F879" s="79">
        <v>19</v>
      </c>
      <c r="G879" s="88">
        <v>0</v>
      </c>
      <c r="H879" s="89" t="s">
        <v>836</v>
      </c>
      <c r="I879" s="89">
        <v>101354</v>
      </c>
      <c r="J879" s="137"/>
      <c r="K879" s="88">
        <v>7</v>
      </c>
      <c r="L879" s="88"/>
      <c r="M879" s="138"/>
      <c r="N879" s="79"/>
      <c r="O879" s="79"/>
      <c r="P879" s="139"/>
      <c r="Q879" s="89">
        <v>101354</v>
      </c>
      <c r="R879" s="88"/>
    </row>
    <row r="880" spans="1:18" s="110" customFormat="1">
      <c r="A880" s="80">
        <v>141362</v>
      </c>
      <c r="B880" s="79">
        <v>1013621</v>
      </c>
      <c r="C880" s="79" t="s">
        <v>837</v>
      </c>
      <c r="D880" s="79">
        <v>1013622</v>
      </c>
      <c r="E880" s="79" t="s">
        <v>838</v>
      </c>
      <c r="F880" s="79">
        <v>19</v>
      </c>
      <c r="G880" s="88">
        <v>0</v>
      </c>
      <c r="H880" s="89" t="s">
        <v>839</v>
      </c>
      <c r="I880" s="89">
        <v>101362</v>
      </c>
      <c r="J880" s="137"/>
      <c r="K880" s="88">
        <v>5</v>
      </c>
      <c r="L880" s="88"/>
      <c r="M880" s="138"/>
      <c r="N880" s="79"/>
      <c r="O880" s="79"/>
      <c r="P880" s="139"/>
      <c r="Q880" s="89">
        <v>101362</v>
      </c>
      <c r="R880" s="88"/>
    </row>
    <row r="881" spans="1:18" s="110" customFormat="1">
      <c r="A881" s="80">
        <v>141363</v>
      </c>
      <c r="B881" s="79">
        <v>1013631</v>
      </c>
      <c r="C881" s="79" t="s">
        <v>837</v>
      </c>
      <c r="D881" s="79">
        <v>1013632</v>
      </c>
      <c r="E881" s="79" t="s">
        <v>840</v>
      </c>
      <c r="F881" s="79">
        <v>19</v>
      </c>
      <c r="G881" s="88">
        <v>0</v>
      </c>
      <c r="H881" s="89" t="s">
        <v>841</v>
      </c>
      <c r="I881" s="89">
        <v>101363</v>
      </c>
      <c r="J881" s="137"/>
      <c r="K881" s="88">
        <v>6</v>
      </c>
      <c r="L881" s="88"/>
      <c r="M881" s="138"/>
      <c r="N881" s="79"/>
      <c r="O881" s="79"/>
      <c r="P881" s="139"/>
      <c r="Q881" s="89">
        <v>101363</v>
      </c>
      <c r="R881" s="88"/>
    </row>
    <row r="882" spans="1:18" s="110" customFormat="1">
      <c r="A882" s="80">
        <v>141364</v>
      </c>
      <c r="B882" s="79">
        <v>1013641</v>
      </c>
      <c r="C882" s="79" t="s">
        <v>837</v>
      </c>
      <c r="D882" s="79">
        <v>1013642</v>
      </c>
      <c r="E882" s="79" t="s">
        <v>842</v>
      </c>
      <c r="F882" s="79">
        <v>19</v>
      </c>
      <c r="G882" s="88">
        <v>0</v>
      </c>
      <c r="H882" s="89" t="s">
        <v>843</v>
      </c>
      <c r="I882" s="89">
        <v>101364</v>
      </c>
      <c r="J882" s="137"/>
      <c r="K882" s="88">
        <v>7</v>
      </c>
      <c r="L882" s="88"/>
      <c r="M882" s="138"/>
      <c r="N882" s="79"/>
      <c r="O882" s="79"/>
      <c r="P882" s="139"/>
      <c r="Q882" s="89">
        <v>101364</v>
      </c>
      <c r="R882" s="88"/>
    </row>
    <row r="883" spans="1:18" s="110" customFormat="1">
      <c r="A883" s="80">
        <v>141372</v>
      </c>
      <c r="B883" s="79">
        <v>1013721</v>
      </c>
      <c r="C883" s="79" t="s">
        <v>844</v>
      </c>
      <c r="D883" s="79">
        <v>1013722</v>
      </c>
      <c r="E883" s="79" t="s">
        <v>845</v>
      </c>
      <c r="F883" s="79">
        <v>19</v>
      </c>
      <c r="G883" s="88">
        <v>0</v>
      </c>
      <c r="H883" s="89" t="s">
        <v>846</v>
      </c>
      <c r="I883" s="89">
        <v>101372</v>
      </c>
      <c r="J883" s="137"/>
      <c r="K883" s="88">
        <v>5</v>
      </c>
      <c r="L883" s="88"/>
      <c r="M883" s="138"/>
      <c r="N883" s="79"/>
      <c r="O883" s="79"/>
      <c r="P883" s="139"/>
      <c r="Q883" s="89">
        <v>101372</v>
      </c>
      <c r="R883" s="88"/>
    </row>
    <row r="884" spans="1:18" s="110" customFormat="1">
      <c r="A884" s="80">
        <v>141373</v>
      </c>
      <c r="B884" s="79">
        <v>1013731</v>
      </c>
      <c r="C884" s="79" t="s">
        <v>844</v>
      </c>
      <c r="D884" s="79">
        <v>1013732</v>
      </c>
      <c r="E884" s="79" t="s">
        <v>847</v>
      </c>
      <c r="F884" s="79">
        <v>19</v>
      </c>
      <c r="G884" s="88">
        <v>0</v>
      </c>
      <c r="H884" s="89" t="s">
        <v>848</v>
      </c>
      <c r="I884" s="89">
        <v>101373</v>
      </c>
      <c r="J884" s="137"/>
      <c r="K884" s="88">
        <v>6</v>
      </c>
      <c r="L884" s="88"/>
      <c r="M884" s="138"/>
      <c r="N884" s="79"/>
      <c r="O884" s="79"/>
      <c r="P884" s="139"/>
      <c r="Q884" s="89">
        <v>101373</v>
      </c>
      <c r="R884" s="88"/>
    </row>
    <row r="885" spans="1:18" s="110" customFormat="1">
      <c r="A885" s="80">
        <v>141374</v>
      </c>
      <c r="B885" s="79">
        <v>1013741</v>
      </c>
      <c r="C885" s="79" t="s">
        <v>844</v>
      </c>
      <c r="D885" s="79">
        <v>1013742</v>
      </c>
      <c r="E885" s="79" t="s">
        <v>849</v>
      </c>
      <c r="F885" s="79">
        <v>19</v>
      </c>
      <c r="G885" s="88">
        <v>0</v>
      </c>
      <c r="H885" s="89" t="s">
        <v>850</v>
      </c>
      <c r="I885" s="89">
        <v>101374</v>
      </c>
      <c r="J885" s="137"/>
      <c r="K885" s="88">
        <v>7</v>
      </c>
      <c r="L885" s="88"/>
      <c r="M885" s="138"/>
      <c r="N885" s="79"/>
      <c r="O885" s="79"/>
      <c r="P885" s="139"/>
      <c r="Q885" s="89">
        <v>101374</v>
      </c>
      <c r="R885" s="88"/>
    </row>
    <row r="886" spans="1:18" s="110" customFormat="1">
      <c r="A886" s="80">
        <v>141382</v>
      </c>
      <c r="B886" s="79">
        <v>1013821</v>
      </c>
      <c r="C886" s="79" t="s">
        <v>851</v>
      </c>
      <c r="D886" s="79">
        <v>1013822</v>
      </c>
      <c r="E886" s="79" t="s">
        <v>852</v>
      </c>
      <c r="F886" s="79">
        <v>19</v>
      </c>
      <c r="G886" s="88">
        <v>0</v>
      </c>
      <c r="H886" s="89" t="s">
        <v>853</v>
      </c>
      <c r="I886" s="89">
        <v>101382</v>
      </c>
      <c r="J886" s="137"/>
      <c r="K886" s="88">
        <v>5</v>
      </c>
      <c r="L886" s="88"/>
      <c r="M886" s="138"/>
      <c r="N886" s="79"/>
      <c r="O886" s="79"/>
      <c r="P886" s="139"/>
      <c r="Q886" s="89">
        <v>101382</v>
      </c>
      <c r="R886" s="88"/>
    </row>
    <row r="887" spans="1:18" s="110" customFormat="1">
      <c r="A887" s="80">
        <v>141383</v>
      </c>
      <c r="B887" s="79">
        <v>1013831</v>
      </c>
      <c r="C887" s="79" t="s">
        <v>851</v>
      </c>
      <c r="D887" s="79">
        <v>1013832</v>
      </c>
      <c r="E887" s="79" t="s">
        <v>854</v>
      </c>
      <c r="F887" s="79">
        <v>19</v>
      </c>
      <c r="G887" s="88">
        <v>0</v>
      </c>
      <c r="H887" s="89" t="s">
        <v>855</v>
      </c>
      <c r="I887" s="89">
        <v>101383</v>
      </c>
      <c r="J887" s="137"/>
      <c r="K887" s="88">
        <v>6</v>
      </c>
      <c r="L887" s="88"/>
      <c r="M887" s="138"/>
      <c r="N887" s="79"/>
      <c r="O887" s="79"/>
      <c r="P887" s="139"/>
      <c r="Q887" s="89">
        <v>101383</v>
      </c>
      <c r="R887" s="88"/>
    </row>
    <row r="888" spans="1:18" s="110" customFormat="1">
      <c r="A888" s="80">
        <v>141384</v>
      </c>
      <c r="B888" s="79">
        <v>1013841</v>
      </c>
      <c r="C888" s="79" t="s">
        <v>851</v>
      </c>
      <c r="D888" s="79">
        <v>1013842</v>
      </c>
      <c r="E888" s="79" t="s">
        <v>856</v>
      </c>
      <c r="F888" s="79">
        <v>19</v>
      </c>
      <c r="G888" s="88">
        <v>0</v>
      </c>
      <c r="H888" s="89" t="s">
        <v>857</v>
      </c>
      <c r="I888" s="89">
        <v>101384</v>
      </c>
      <c r="J888" s="137"/>
      <c r="K888" s="88">
        <v>7</v>
      </c>
      <c r="L888" s="88"/>
      <c r="M888" s="138"/>
      <c r="N888" s="79"/>
      <c r="O888" s="79"/>
      <c r="P888" s="139"/>
      <c r="Q888" s="89">
        <v>101384</v>
      </c>
      <c r="R888" s="88"/>
    </row>
    <row r="889" spans="1:18" s="110" customFormat="1">
      <c r="A889" s="80">
        <v>141392</v>
      </c>
      <c r="B889" s="79">
        <v>1013921</v>
      </c>
      <c r="C889" s="79" t="s">
        <v>858</v>
      </c>
      <c r="D889" s="79">
        <v>1013922</v>
      </c>
      <c r="E889" s="79" t="s">
        <v>859</v>
      </c>
      <c r="F889" s="79">
        <v>19</v>
      </c>
      <c r="G889" s="88">
        <v>0</v>
      </c>
      <c r="H889" s="89" t="s">
        <v>860</v>
      </c>
      <c r="I889" s="89">
        <v>101392</v>
      </c>
      <c r="J889" s="137"/>
      <c r="K889" s="88">
        <v>5</v>
      </c>
      <c r="L889" s="88"/>
      <c r="M889" s="138"/>
      <c r="N889" s="79"/>
      <c r="O889" s="79"/>
      <c r="P889" s="139"/>
      <c r="Q889" s="89">
        <v>101392</v>
      </c>
      <c r="R889" s="88"/>
    </row>
    <row r="890" spans="1:18" s="110" customFormat="1">
      <c r="A890" s="80">
        <v>141393</v>
      </c>
      <c r="B890" s="79">
        <v>1013931</v>
      </c>
      <c r="C890" s="79" t="s">
        <v>858</v>
      </c>
      <c r="D890" s="79">
        <v>1013932</v>
      </c>
      <c r="E890" s="79" t="s">
        <v>861</v>
      </c>
      <c r="F890" s="79">
        <v>19</v>
      </c>
      <c r="G890" s="88">
        <v>0</v>
      </c>
      <c r="H890" s="89" t="s">
        <v>862</v>
      </c>
      <c r="I890" s="89">
        <v>101393</v>
      </c>
      <c r="J890" s="137"/>
      <c r="K890" s="88">
        <v>6</v>
      </c>
      <c r="L890" s="88"/>
      <c r="M890" s="138"/>
      <c r="N890" s="79"/>
      <c r="O890" s="79"/>
      <c r="P890" s="139"/>
      <c r="Q890" s="89">
        <v>101393</v>
      </c>
      <c r="R890" s="88"/>
    </row>
    <row r="891" spans="1:18" s="110" customFormat="1">
      <c r="A891" s="80">
        <v>141394</v>
      </c>
      <c r="B891" s="79">
        <v>1013941</v>
      </c>
      <c r="C891" s="79" t="s">
        <v>858</v>
      </c>
      <c r="D891" s="79">
        <v>1013942</v>
      </c>
      <c r="E891" s="79" t="s">
        <v>863</v>
      </c>
      <c r="F891" s="79">
        <v>19</v>
      </c>
      <c r="G891" s="88">
        <v>0</v>
      </c>
      <c r="H891" s="89" t="s">
        <v>864</v>
      </c>
      <c r="I891" s="89">
        <v>101394</v>
      </c>
      <c r="J891" s="137"/>
      <c r="K891" s="88">
        <v>7</v>
      </c>
      <c r="L891" s="88"/>
      <c r="M891" s="138"/>
      <c r="N891" s="79"/>
      <c r="O891" s="79"/>
      <c r="P891" s="139"/>
      <c r="Q891" s="89">
        <v>101394</v>
      </c>
      <c r="R891" s="88"/>
    </row>
    <row r="892" spans="1:18" s="110" customFormat="1">
      <c r="A892" s="80">
        <v>141402</v>
      </c>
      <c r="B892" s="79">
        <v>1014021</v>
      </c>
      <c r="C892" s="79" t="s">
        <v>865</v>
      </c>
      <c r="D892" s="79">
        <v>1014022</v>
      </c>
      <c r="E892" s="79" t="s">
        <v>866</v>
      </c>
      <c r="F892" s="79">
        <v>19</v>
      </c>
      <c r="G892" s="88">
        <v>0</v>
      </c>
      <c r="H892" s="89" t="s">
        <v>867</v>
      </c>
      <c r="I892" s="89">
        <v>101402</v>
      </c>
      <c r="J892" s="137"/>
      <c r="K892" s="88">
        <v>5</v>
      </c>
      <c r="L892" s="88"/>
      <c r="M892" s="138"/>
      <c r="N892" s="79"/>
      <c r="O892" s="79"/>
      <c r="P892" s="139"/>
      <c r="Q892" s="89">
        <v>101402</v>
      </c>
      <c r="R892" s="88"/>
    </row>
    <row r="893" spans="1:18" s="110" customFormat="1">
      <c r="A893" s="80">
        <v>141403</v>
      </c>
      <c r="B893" s="79">
        <v>1014031</v>
      </c>
      <c r="C893" s="79" t="s">
        <v>865</v>
      </c>
      <c r="D893" s="79">
        <v>1014032</v>
      </c>
      <c r="E893" s="79" t="s">
        <v>868</v>
      </c>
      <c r="F893" s="79">
        <v>19</v>
      </c>
      <c r="G893" s="88">
        <v>0</v>
      </c>
      <c r="H893" s="89" t="s">
        <v>869</v>
      </c>
      <c r="I893" s="89">
        <v>101403</v>
      </c>
      <c r="J893" s="137"/>
      <c r="K893" s="88">
        <v>6</v>
      </c>
      <c r="L893" s="88"/>
      <c r="M893" s="138"/>
      <c r="N893" s="79"/>
      <c r="O893" s="79"/>
      <c r="P893" s="139"/>
      <c r="Q893" s="89">
        <v>101403</v>
      </c>
      <c r="R893" s="88"/>
    </row>
    <row r="894" spans="1:18" s="110" customFormat="1">
      <c r="A894" s="80">
        <v>141404</v>
      </c>
      <c r="B894" s="79">
        <v>1014041</v>
      </c>
      <c r="C894" s="79" t="s">
        <v>865</v>
      </c>
      <c r="D894" s="79">
        <v>1014042</v>
      </c>
      <c r="E894" s="79" t="s">
        <v>870</v>
      </c>
      <c r="F894" s="79">
        <v>19</v>
      </c>
      <c r="G894" s="88">
        <v>0</v>
      </c>
      <c r="H894" s="89" t="s">
        <v>871</v>
      </c>
      <c r="I894" s="89">
        <v>101404</v>
      </c>
      <c r="J894" s="137"/>
      <c r="K894" s="88">
        <v>7</v>
      </c>
      <c r="L894" s="88"/>
      <c r="M894" s="138"/>
      <c r="N894" s="79"/>
      <c r="O894" s="79"/>
      <c r="P894" s="139"/>
      <c r="Q894" s="89">
        <v>101404</v>
      </c>
      <c r="R894" s="88"/>
    </row>
    <row r="895" spans="1:18" s="110" customFormat="1">
      <c r="A895" s="80">
        <v>141412</v>
      </c>
      <c r="B895" s="79">
        <v>1014121</v>
      </c>
      <c r="C895" s="79" t="s">
        <v>872</v>
      </c>
      <c r="D895" s="79">
        <v>1014122</v>
      </c>
      <c r="E895" s="79" t="s">
        <v>873</v>
      </c>
      <c r="F895" s="79">
        <v>19</v>
      </c>
      <c r="G895" s="88">
        <v>0</v>
      </c>
      <c r="H895" s="89" t="s">
        <v>874</v>
      </c>
      <c r="I895" s="89">
        <v>101412</v>
      </c>
      <c r="J895" s="137"/>
      <c r="K895" s="88">
        <v>5</v>
      </c>
      <c r="L895" s="88"/>
      <c r="M895" s="138"/>
      <c r="N895" s="79"/>
      <c r="O895" s="79"/>
      <c r="P895" s="139"/>
      <c r="Q895" s="89">
        <v>101412</v>
      </c>
      <c r="R895" s="88"/>
    </row>
    <row r="896" spans="1:18" s="110" customFormat="1">
      <c r="A896" s="80">
        <v>141413</v>
      </c>
      <c r="B896" s="79">
        <v>1014131</v>
      </c>
      <c r="C896" s="79" t="s">
        <v>872</v>
      </c>
      <c r="D896" s="79">
        <v>1014132</v>
      </c>
      <c r="E896" s="79" t="s">
        <v>875</v>
      </c>
      <c r="F896" s="79">
        <v>19</v>
      </c>
      <c r="G896" s="88">
        <v>0</v>
      </c>
      <c r="H896" s="89" t="s">
        <v>876</v>
      </c>
      <c r="I896" s="89">
        <v>101413</v>
      </c>
      <c r="J896" s="137"/>
      <c r="K896" s="88">
        <v>6</v>
      </c>
      <c r="L896" s="88"/>
      <c r="M896" s="138"/>
      <c r="N896" s="79"/>
      <c r="O896" s="79"/>
      <c r="P896" s="139"/>
      <c r="Q896" s="89">
        <v>101413</v>
      </c>
      <c r="R896" s="88"/>
    </row>
    <row r="897" spans="1:21" s="110" customFormat="1">
      <c r="A897" s="80">
        <v>141414</v>
      </c>
      <c r="B897" s="79">
        <v>1014101</v>
      </c>
      <c r="C897" s="79" t="s">
        <v>872</v>
      </c>
      <c r="D897" s="79">
        <v>1014142</v>
      </c>
      <c r="E897" s="79" t="s">
        <v>877</v>
      </c>
      <c r="F897" s="79">
        <v>19</v>
      </c>
      <c r="G897" s="88">
        <v>0</v>
      </c>
      <c r="H897" s="89" t="s">
        <v>878</v>
      </c>
      <c r="I897" s="89">
        <v>101414</v>
      </c>
      <c r="J897" s="137"/>
      <c r="K897" s="88">
        <v>7</v>
      </c>
      <c r="L897" s="88"/>
      <c r="M897" s="138"/>
      <c r="N897" s="79"/>
      <c r="O897" s="79"/>
      <c r="P897" s="139"/>
      <c r="Q897" s="89">
        <v>101414</v>
      </c>
      <c r="R897" s="88"/>
    </row>
    <row r="898" spans="1:21" s="110" customFormat="1">
      <c r="A898" s="80">
        <v>141422</v>
      </c>
      <c r="B898" s="79">
        <v>1014221</v>
      </c>
      <c r="C898" s="79" t="s">
        <v>879</v>
      </c>
      <c r="D898" s="79">
        <v>1014222</v>
      </c>
      <c r="E898" s="79" t="s">
        <v>880</v>
      </c>
      <c r="F898" s="79">
        <v>19</v>
      </c>
      <c r="G898" s="88">
        <v>0</v>
      </c>
      <c r="H898" s="89" t="s">
        <v>881</v>
      </c>
      <c r="I898" s="89">
        <v>101422</v>
      </c>
      <c r="J898" s="137"/>
      <c r="K898" s="88">
        <v>5</v>
      </c>
      <c r="L898" s="88"/>
      <c r="M898" s="138"/>
      <c r="N898" s="79"/>
      <c r="O898" s="79"/>
      <c r="P898" s="139"/>
      <c r="Q898" s="89">
        <v>101422</v>
      </c>
      <c r="R898" s="88"/>
    </row>
    <row r="899" spans="1:21" s="110" customFormat="1">
      <c r="A899" s="80">
        <v>141423</v>
      </c>
      <c r="B899" s="79">
        <v>1014231</v>
      </c>
      <c r="C899" s="79" t="s">
        <v>879</v>
      </c>
      <c r="D899" s="79">
        <v>1014232</v>
      </c>
      <c r="E899" s="79" t="s">
        <v>882</v>
      </c>
      <c r="F899" s="79">
        <v>19</v>
      </c>
      <c r="G899" s="88">
        <v>0</v>
      </c>
      <c r="H899" s="89" t="s">
        <v>883</v>
      </c>
      <c r="I899" s="89">
        <v>101423</v>
      </c>
      <c r="J899" s="137"/>
      <c r="K899" s="88">
        <v>6</v>
      </c>
      <c r="L899" s="88"/>
      <c r="M899" s="138"/>
      <c r="N899" s="79"/>
      <c r="O899" s="79"/>
      <c r="P899" s="139"/>
      <c r="Q899" s="89">
        <v>101423</v>
      </c>
      <c r="R899" s="88"/>
    </row>
    <row r="900" spans="1:21" s="110" customFormat="1">
      <c r="A900" s="80">
        <v>141424</v>
      </c>
      <c r="B900" s="79">
        <v>1014241</v>
      </c>
      <c r="C900" s="79" t="s">
        <v>879</v>
      </c>
      <c r="D900" s="79">
        <v>1014242</v>
      </c>
      <c r="E900" s="79" t="s">
        <v>884</v>
      </c>
      <c r="F900" s="79">
        <v>19</v>
      </c>
      <c r="G900" s="88">
        <v>0</v>
      </c>
      <c r="H900" s="89" t="s">
        <v>885</v>
      </c>
      <c r="I900" s="89">
        <v>101424</v>
      </c>
      <c r="J900" s="137"/>
      <c r="K900" s="88">
        <v>7</v>
      </c>
      <c r="L900" s="88"/>
      <c r="M900" s="138"/>
      <c r="N900" s="79"/>
      <c r="O900" s="79"/>
      <c r="P900" s="139"/>
      <c r="Q900" s="89">
        <v>101424</v>
      </c>
      <c r="R900" s="88"/>
    </row>
    <row r="901" spans="1:21" s="106" customFormat="1">
      <c r="A901" s="80">
        <v>141452</v>
      </c>
      <c r="B901" s="79">
        <v>1014521</v>
      </c>
      <c r="C901" s="79" t="s">
        <v>889</v>
      </c>
      <c r="D901" s="79">
        <v>1014522</v>
      </c>
      <c r="E901" s="79" t="s">
        <v>892</v>
      </c>
      <c r="F901" s="79">
        <v>19</v>
      </c>
      <c r="G901" s="79">
        <v>0</v>
      </c>
      <c r="H901" s="83" t="s">
        <v>891</v>
      </c>
      <c r="I901" s="83">
        <v>101452</v>
      </c>
      <c r="J901" s="79"/>
      <c r="K901" s="79">
        <v>5</v>
      </c>
      <c r="L901" s="79"/>
      <c r="M901" s="127"/>
      <c r="N901" s="79"/>
      <c r="O901" s="79"/>
      <c r="P901" s="107"/>
      <c r="Q901" s="83">
        <v>101452</v>
      </c>
      <c r="R901" s="79"/>
    </row>
    <row r="902" spans="1:21" s="106" customFormat="1">
      <c r="A902" s="80">
        <v>141453</v>
      </c>
      <c r="B902" s="79">
        <v>1014531</v>
      </c>
      <c r="C902" s="79" t="s">
        <v>889</v>
      </c>
      <c r="D902" s="79">
        <v>1014532</v>
      </c>
      <c r="E902" s="79" t="s">
        <v>893</v>
      </c>
      <c r="F902" s="79">
        <v>19</v>
      </c>
      <c r="G902" s="79">
        <v>0</v>
      </c>
      <c r="H902" s="83" t="s">
        <v>894</v>
      </c>
      <c r="I902" s="83">
        <v>101453</v>
      </c>
      <c r="J902" s="79"/>
      <c r="K902" s="79">
        <v>6</v>
      </c>
      <c r="L902" s="79"/>
      <c r="M902" s="127"/>
      <c r="N902" s="79"/>
      <c r="O902" s="79"/>
      <c r="P902" s="107"/>
      <c r="Q902" s="83">
        <v>101453</v>
      </c>
      <c r="R902" s="79"/>
    </row>
    <row r="903" spans="1:21" s="106" customFormat="1">
      <c r="A903" s="80">
        <v>141454</v>
      </c>
      <c r="B903" s="79">
        <v>1014541</v>
      </c>
      <c r="C903" s="79" t="s">
        <v>889</v>
      </c>
      <c r="D903" s="79">
        <v>1014542</v>
      </c>
      <c r="E903" s="79" t="s">
        <v>895</v>
      </c>
      <c r="F903" s="79">
        <v>19</v>
      </c>
      <c r="G903" s="79">
        <v>0</v>
      </c>
      <c r="H903" s="83" t="s">
        <v>896</v>
      </c>
      <c r="I903" s="83">
        <v>101454</v>
      </c>
      <c r="J903" s="79"/>
      <c r="K903" s="79">
        <v>7</v>
      </c>
      <c r="L903" s="79"/>
      <c r="M903" s="127"/>
      <c r="N903" s="79"/>
      <c r="O903" s="79"/>
      <c r="P903" s="107"/>
      <c r="Q903" s="83">
        <v>101454</v>
      </c>
      <c r="R903" s="79"/>
    </row>
    <row r="904" spans="1:21" s="106" customFormat="1">
      <c r="A904" s="79">
        <v>200001</v>
      </c>
      <c r="B904" s="79">
        <f t="shared" si="47"/>
        <v>2000011</v>
      </c>
      <c r="C904" s="79" t="s">
        <v>1277</v>
      </c>
      <c r="D904" s="79">
        <f t="shared" si="48"/>
        <v>2000012</v>
      </c>
      <c r="E904" s="79" t="s">
        <v>1278</v>
      </c>
      <c r="F904" s="79">
        <v>3</v>
      </c>
      <c r="G904" s="79">
        <v>0</v>
      </c>
      <c r="H904" s="79" t="s">
        <v>1279</v>
      </c>
      <c r="I904" s="79" t="str">
        <f t="shared" ref="I904:I910" si="55">A904&amp;","&amp;A904+10000</f>
        <v>200001,210001</v>
      </c>
      <c r="J904" s="79"/>
      <c r="K904" s="79">
        <v>3</v>
      </c>
      <c r="L904" s="79">
        <v>0</v>
      </c>
      <c r="M904" s="127">
        <v>0</v>
      </c>
      <c r="N904" s="79">
        <v>1</v>
      </c>
      <c r="O904" s="79">
        <v>0</v>
      </c>
      <c r="P904" s="107">
        <v>588</v>
      </c>
      <c r="Q904" s="79"/>
      <c r="R904" s="79">
        <v>2100011</v>
      </c>
      <c r="S904" s="79" t="s">
        <v>1277</v>
      </c>
      <c r="T904" s="79">
        <v>2100012</v>
      </c>
      <c r="U904" s="79" t="s">
        <v>1278</v>
      </c>
    </row>
    <row r="905" spans="1:21" s="106" customFormat="1">
      <c r="A905" s="79">
        <v>200002</v>
      </c>
      <c r="B905" s="79">
        <f t="shared" si="47"/>
        <v>2000021</v>
      </c>
      <c r="C905" s="79" t="s">
        <v>314</v>
      </c>
      <c r="D905" s="79">
        <f t="shared" si="48"/>
        <v>2000022</v>
      </c>
      <c r="E905" s="79" t="s">
        <v>1280</v>
      </c>
      <c r="F905" s="79">
        <v>3</v>
      </c>
      <c r="G905" s="79">
        <v>0</v>
      </c>
      <c r="H905" s="79" t="s">
        <v>1281</v>
      </c>
      <c r="I905" s="79" t="str">
        <f t="shared" si="55"/>
        <v>200002,210002</v>
      </c>
      <c r="J905" s="79"/>
      <c r="K905" s="79">
        <v>5</v>
      </c>
      <c r="L905" s="79">
        <v>0</v>
      </c>
      <c r="M905" s="127">
        <v>0</v>
      </c>
      <c r="N905" s="79">
        <v>1</v>
      </c>
      <c r="O905" s="79">
        <v>0</v>
      </c>
      <c r="P905" s="107">
        <v>1888</v>
      </c>
      <c r="Q905" s="79"/>
      <c r="R905" s="79">
        <v>2100021</v>
      </c>
      <c r="S905" s="79" t="s">
        <v>314</v>
      </c>
      <c r="T905" s="79">
        <v>2100022</v>
      </c>
      <c r="U905" s="79" t="s">
        <v>1280</v>
      </c>
    </row>
    <row r="906" spans="1:21" s="106" customFormat="1">
      <c r="A906" s="79">
        <v>200003</v>
      </c>
      <c r="B906" s="79">
        <f t="shared" si="47"/>
        <v>2000031</v>
      </c>
      <c r="C906" s="79" t="s">
        <v>1282</v>
      </c>
      <c r="D906" s="79">
        <f t="shared" si="48"/>
        <v>2000032</v>
      </c>
      <c r="E906" s="79" t="s">
        <v>1283</v>
      </c>
      <c r="F906" s="79">
        <v>3</v>
      </c>
      <c r="G906" s="79">
        <v>0</v>
      </c>
      <c r="H906" s="79" t="s">
        <v>1284</v>
      </c>
      <c r="I906" s="79" t="str">
        <f t="shared" si="55"/>
        <v>200003,210003</v>
      </c>
      <c r="J906" s="79"/>
      <c r="K906" s="79">
        <v>5</v>
      </c>
      <c r="L906" s="79">
        <v>0</v>
      </c>
      <c r="M906" s="127">
        <v>0</v>
      </c>
      <c r="N906" s="79">
        <v>1</v>
      </c>
      <c r="O906" s="79">
        <v>0</v>
      </c>
      <c r="P906" s="107"/>
      <c r="Q906" s="79"/>
      <c r="R906" s="79">
        <v>2100031</v>
      </c>
      <c r="S906" s="79" t="s">
        <v>1282</v>
      </c>
      <c r="T906" s="79">
        <v>2100032</v>
      </c>
      <c r="U906" s="79" t="s">
        <v>1283</v>
      </c>
    </row>
    <row r="907" spans="1:21" s="106" customFormat="1">
      <c r="A907" s="79">
        <v>200004</v>
      </c>
      <c r="B907" s="79">
        <f t="shared" si="47"/>
        <v>2000041</v>
      </c>
      <c r="C907" s="79" t="s">
        <v>1285</v>
      </c>
      <c r="D907" s="79">
        <f t="shared" si="48"/>
        <v>2000042</v>
      </c>
      <c r="E907" s="79" t="s">
        <v>1286</v>
      </c>
      <c r="F907" s="79">
        <v>3</v>
      </c>
      <c r="G907" s="79">
        <v>0</v>
      </c>
      <c r="H907" s="79" t="s">
        <v>1287</v>
      </c>
      <c r="I907" s="79" t="str">
        <f t="shared" si="55"/>
        <v>200004,210004</v>
      </c>
      <c r="J907" s="79"/>
      <c r="K907" s="79">
        <v>4</v>
      </c>
      <c r="L907" s="79">
        <v>0</v>
      </c>
      <c r="M907" s="127">
        <v>0</v>
      </c>
      <c r="N907" s="79">
        <v>1</v>
      </c>
      <c r="O907" s="79">
        <v>0</v>
      </c>
      <c r="P907" s="107"/>
      <c r="Q907" s="79"/>
      <c r="R907" s="79">
        <v>2100041</v>
      </c>
      <c r="S907" s="79" t="s">
        <v>1285</v>
      </c>
      <c r="T907" s="79">
        <v>2100042</v>
      </c>
      <c r="U907" s="79" t="s">
        <v>1286</v>
      </c>
    </row>
    <row r="908" spans="1:21" s="106" customFormat="1">
      <c r="A908" s="79">
        <v>200005</v>
      </c>
      <c r="B908" s="79">
        <f t="shared" si="47"/>
        <v>2000051</v>
      </c>
      <c r="C908" s="79" t="s">
        <v>1288</v>
      </c>
      <c r="D908" s="79">
        <f t="shared" si="48"/>
        <v>2000052</v>
      </c>
      <c r="E908" s="79" t="s">
        <v>1289</v>
      </c>
      <c r="F908" s="79">
        <v>3</v>
      </c>
      <c r="G908" s="79">
        <v>0</v>
      </c>
      <c r="H908" s="79" t="s">
        <v>1290</v>
      </c>
      <c r="I908" s="79" t="str">
        <f t="shared" si="55"/>
        <v>200005,210005</v>
      </c>
      <c r="J908" s="79"/>
      <c r="K908" s="79">
        <v>5</v>
      </c>
      <c r="L908" s="79">
        <v>0</v>
      </c>
      <c r="M908" s="127">
        <v>0</v>
      </c>
      <c r="N908" s="79">
        <v>1</v>
      </c>
      <c r="O908" s="79">
        <v>0</v>
      </c>
      <c r="P908" s="107">
        <v>188</v>
      </c>
      <c r="Q908" s="79"/>
      <c r="R908" s="79">
        <v>2100051</v>
      </c>
      <c r="S908" s="79" t="s">
        <v>1288</v>
      </c>
      <c r="T908" s="79">
        <v>2100052</v>
      </c>
      <c r="U908" s="79" t="s">
        <v>1289</v>
      </c>
    </row>
    <row r="909" spans="1:21" s="105" customFormat="1">
      <c r="A909" s="79">
        <v>200006</v>
      </c>
      <c r="B909" s="79">
        <f t="shared" si="47"/>
        <v>2000061</v>
      </c>
      <c r="C909" s="79" t="s">
        <v>1291</v>
      </c>
      <c r="D909" s="79">
        <f t="shared" si="48"/>
        <v>2000062</v>
      </c>
      <c r="E909" s="79" t="s">
        <v>1292</v>
      </c>
      <c r="F909" s="79">
        <v>3</v>
      </c>
      <c r="G909" s="79">
        <v>0</v>
      </c>
      <c r="H909" s="79" t="s">
        <v>1293</v>
      </c>
      <c r="I909" s="79" t="str">
        <f t="shared" si="55"/>
        <v>200006,210006</v>
      </c>
      <c r="J909" s="79"/>
      <c r="K909" s="79">
        <v>4</v>
      </c>
      <c r="L909" s="79">
        <v>0</v>
      </c>
      <c r="M909" s="127" t="s">
        <v>86</v>
      </c>
      <c r="N909" s="79">
        <v>1</v>
      </c>
      <c r="O909" s="79">
        <v>0</v>
      </c>
      <c r="P909" s="107"/>
      <c r="Q909" s="79"/>
      <c r="R909" s="79">
        <v>2100061</v>
      </c>
      <c r="S909" s="79" t="s">
        <v>1291</v>
      </c>
      <c r="T909" s="79">
        <v>2100062</v>
      </c>
      <c r="U909" s="79" t="s">
        <v>1292</v>
      </c>
    </row>
    <row r="910" spans="1:21" s="106" customFormat="1">
      <c r="A910" s="79">
        <v>200007</v>
      </c>
      <c r="B910" s="79">
        <f t="shared" si="47"/>
        <v>2000071</v>
      </c>
      <c r="C910" s="79" t="s">
        <v>1294</v>
      </c>
      <c r="D910" s="79">
        <f t="shared" si="48"/>
        <v>2000072</v>
      </c>
      <c r="E910" s="79" t="s">
        <v>1295</v>
      </c>
      <c r="F910" s="79">
        <v>3</v>
      </c>
      <c r="G910" s="79">
        <v>0</v>
      </c>
      <c r="H910" s="79" t="s">
        <v>1296</v>
      </c>
      <c r="I910" s="79" t="str">
        <f t="shared" si="55"/>
        <v>200007,210007</v>
      </c>
      <c r="J910" s="79"/>
      <c r="K910" s="79">
        <v>5</v>
      </c>
      <c r="L910" s="79">
        <v>0</v>
      </c>
      <c r="M910" s="127" t="s">
        <v>86</v>
      </c>
      <c r="N910" s="79">
        <v>1</v>
      </c>
      <c r="O910" s="79">
        <v>0</v>
      </c>
      <c r="P910" s="107"/>
      <c r="Q910" s="79"/>
      <c r="R910" s="79">
        <v>2100071</v>
      </c>
      <c r="S910" s="79" t="s">
        <v>1294</v>
      </c>
      <c r="T910" s="79">
        <v>2100072</v>
      </c>
      <c r="U910" s="79" t="s">
        <v>1295</v>
      </c>
    </row>
    <row r="911" spans="1:21" s="106" customFormat="1">
      <c r="A911" s="79">
        <v>200008</v>
      </c>
      <c r="B911" s="79">
        <f t="shared" si="47"/>
        <v>2000081</v>
      </c>
      <c r="C911" s="79" t="s">
        <v>1297</v>
      </c>
      <c r="D911" s="79">
        <f t="shared" si="48"/>
        <v>2000082</v>
      </c>
      <c r="E911" s="79" t="s">
        <v>1298</v>
      </c>
      <c r="F911" s="79">
        <v>3</v>
      </c>
      <c r="G911" s="79">
        <v>0</v>
      </c>
      <c r="H911" s="79" t="s">
        <v>1299</v>
      </c>
      <c r="I911" s="79" t="str">
        <f>A911&amp;","&amp;A911</f>
        <v>200008,200008</v>
      </c>
      <c r="J911" s="79"/>
      <c r="K911" s="79">
        <v>7</v>
      </c>
      <c r="L911" s="79">
        <v>16</v>
      </c>
      <c r="M911" s="127" t="s">
        <v>1300</v>
      </c>
      <c r="N911" s="79">
        <v>1</v>
      </c>
      <c r="O911" s="79">
        <v>0</v>
      </c>
      <c r="P911" s="107"/>
      <c r="Q911" s="79"/>
      <c r="R911" s="79">
        <v>2100081</v>
      </c>
      <c r="S911" s="79" t="s">
        <v>1297</v>
      </c>
      <c r="T911" s="79">
        <v>2100082</v>
      </c>
      <c r="U911" s="79" t="s">
        <v>1298</v>
      </c>
    </row>
    <row r="912" spans="1:21" s="106" customFormat="1">
      <c r="A912" s="79">
        <v>200009</v>
      </c>
      <c r="B912" s="79">
        <f t="shared" si="47"/>
        <v>2000091</v>
      </c>
      <c r="C912" s="79" t="s">
        <v>1301</v>
      </c>
      <c r="D912" s="79">
        <f t="shared" si="48"/>
        <v>2000092</v>
      </c>
      <c r="E912" s="79" t="s">
        <v>1302</v>
      </c>
      <c r="F912" s="79">
        <v>3</v>
      </c>
      <c r="G912" s="79">
        <v>0</v>
      </c>
      <c r="H912" s="79" t="s">
        <v>1303</v>
      </c>
      <c r="I912" s="79" t="str">
        <f>A912&amp;","&amp;A912</f>
        <v>200009,200009</v>
      </c>
      <c r="J912" s="79"/>
      <c r="K912" s="79">
        <v>7</v>
      </c>
      <c r="L912" s="79">
        <v>16</v>
      </c>
      <c r="M912" s="127" t="s">
        <v>1300</v>
      </c>
      <c r="N912" s="79">
        <v>1</v>
      </c>
      <c r="O912" s="79">
        <v>0</v>
      </c>
      <c r="P912" s="107"/>
      <c r="Q912" s="79"/>
      <c r="R912" s="79">
        <v>2100091</v>
      </c>
      <c r="S912" s="79" t="s">
        <v>1301</v>
      </c>
      <c r="T912" s="79">
        <v>2100092</v>
      </c>
      <c r="U912" s="79" t="s">
        <v>1302</v>
      </c>
    </row>
    <row r="913" spans="1:24" s="106" customFormat="1">
      <c r="A913" s="79">
        <v>200010</v>
      </c>
      <c r="B913" s="79">
        <f t="shared" si="47"/>
        <v>2000101</v>
      </c>
      <c r="C913" s="79" t="s">
        <v>1304</v>
      </c>
      <c r="D913" s="79">
        <f t="shared" si="48"/>
        <v>2000102</v>
      </c>
      <c r="E913" s="79" t="s">
        <v>1305</v>
      </c>
      <c r="F913" s="79">
        <v>3</v>
      </c>
      <c r="G913" s="79">
        <v>0</v>
      </c>
      <c r="H913" s="79" t="s">
        <v>1306</v>
      </c>
      <c r="I913" s="79" t="str">
        <f t="shared" ref="I913:I921" si="56">A913&amp;","&amp;A913+10000</f>
        <v>200010,210010</v>
      </c>
      <c r="J913" s="79"/>
      <c r="K913" s="79">
        <v>6</v>
      </c>
      <c r="L913" s="79">
        <v>0</v>
      </c>
      <c r="M913" s="127" t="s">
        <v>86</v>
      </c>
      <c r="N913" s="79">
        <v>1</v>
      </c>
      <c r="O913" s="79">
        <v>0</v>
      </c>
      <c r="P913" s="107"/>
      <c r="Q913" s="79"/>
      <c r="R913" s="79">
        <v>2100101</v>
      </c>
      <c r="S913" s="79" t="s">
        <v>1304</v>
      </c>
      <c r="T913" s="79">
        <v>2100102</v>
      </c>
      <c r="U913" s="79" t="s">
        <v>1305</v>
      </c>
      <c r="V913" s="92"/>
      <c r="W913" s="92"/>
      <c r="X913" s="92"/>
    </row>
    <row r="914" spans="1:24" s="106" customFormat="1">
      <c r="A914" s="79">
        <v>200011</v>
      </c>
      <c r="B914" s="79">
        <f t="shared" si="47"/>
        <v>2000111</v>
      </c>
      <c r="C914" s="79" t="s">
        <v>1307</v>
      </c>
      <c r="D914" s="79">
        <f t="shared" si="48"/>
        <v>2000112</v>
      </c>
      <c r="E914" s="79" t="s">
        <v>1308</v>
      </c>
      <c r="F914" s="79">
        <v>3</v>
      </c>
      <c r="G914" s="79">
        <v>0</v>
      </c>
      <c r="H914" s="79" t="s">
        <v>1309</v>
      </c>
      <c r="I914" s="79" t="str">
        <f t="shared" si="56"/>
        <v>200011,210011</v>
      </c>
      <c r="J914" s="79"/>
      <c r="K914" s="79">
        <v>6</v>
      </c>
      <c r="L914" s="79">
        <v>0</v>
      </c>
      <c r="M914" s="127" t="s">
        <v>86</v>
      </c>
      <c r="N914" s="79">
        <v>1</v>
      </c>
      <c r="O914" s="79">
        <v>0</v>
      </c>
      <c r="P914" s="107"/>
      <c r="Q914" s="79"/>
      <c r="R914" s="79">
        <v>2100111</v>
      </c>
      <c r="S914" s="79" t="s">
        <v>1307</v>
      </c>
      <c r="T914" s="79">
        <v>2100112</v>
      </c>
      <c r="U914" s="79" t="s">
        <v>1308</v>
      </c>
      <c r="V914" s="92"/>
      <c r="W914" s="92"/>
      <c r="X914" s="92"/>
    </row>
    <row r="915" spans="1:24" s="106" customFormat="1">
      <c r="A915" s="79">
        <v>200012</v>
      </c>
      <c r="B915" s="79">
        <f t="shared" si="47"/>
        <v>2000121</v>
      </c>
      <c r="C915" s="79" t="s">
        <v>1310</v>
      </c>
      <c r="D915" s="79">
        <f t="shared" si="48"/>
        <v>2000122</v>
      </c>
      <c r="E915" s="79" t="s">
        <v>1311</v>
      </c>
      <c r="F915" s="79">
        <v>3</v>
      </c>
      <c r="G915" s="79">
        <v>0</v>
      </c>
      <c r="H915" s="79" t="s">
        <v>1312</v>
      </c>
      <c r="I915" s="79" t="str">
        <f t="shared" si="56"/>
        <v>200012,210012</v>
      </c>
      <c r="J915" s="79"/>
      <c r="K915" s="79">
        <v>6</v>
      </c>
      <c r="L915" s="79">
        <v>0</v>
      </c>
      <c r="M915" s="127" t="s">
        <v>86</v>
      </c>
      <c r="N915" s="79">
        <v>1</v>
      </c>
      <c r="O915" s="79">
        <v>0</v>
      </c>
      <c r="P915" s="107"/>
      <c r="Q915" s="79"/>
      <c r="R915" s="79">
        <v>2100121</v>
      </c>
      <c r="S915" s="79" t="s">
        <v>1310</v>
      </c>
      <c r="T915" s="79">
        <v>2100122</v>
      </c>
      <c r="U915" s="79" t="s">
        <v>1311</v>
      </c>
      <c r="V915" s="92"/>
      <c r="W915" s="92"/>
      <c r="X915" s="92"/>
    </row>
    <row r="916" spans="1:24" s="106" customFormat="1">
      <c r="A916" s="79">
        <v>200013</v>
      </c>
      <c r="B916" s="79">
        <f t="shared" si="47"/>
        <v>2000131</v>
      </c>
      <c r="C916" s="79" t="s">
        <v>1313</v>
      </c>
      <c r="D916" s="79">
        <f t="shared" si="48"/>
        <v>2000132</v>
      </c>
      <c r="E916" s="79" t="s">
        <v>1314</v>
      </c>
      <c r="F916" s="79">
        <v>3</v>
      </c>
      <c r="G916" s="79">
        <v>0</v>
      </c>
      <c r="H916" s="79" t="s">
        <v>1315</v>
      </c>
      <c r="I916" s="79" t="str">
        <f t="shared" si="56"/>
        <v>200013,210013</v>
      </c>
      <c r="J916" s="79"/>
      <c r="K916" s="79">
        <v>5</v>
      </c>
      <c r="L916" s="79">
        <v>0</v>
      </c>
      <c r="M916" s="127" t="s">
        <v>86</v>
      </c>
      <c r="N916" s="79">
        <v>1</v>
      </c>
      <c r="O916" s="79">
        <v>0</v>
      </c>
      <c r="P916" s="107"/>
      <c r="Q916" s="79"/>
      <c r="R916" s="79">
        <v>2100131</v>
      </c>
      <c r="S916" s="79" t="s">
        <v>1313</v>
      </c>
      <c r="T916" s="79">
        <v>2100132</v>
      </c>
      <c r="U916" s="79" t="s">
        <v>1314</v>
      </c>
      <c r="V916" s="92"/>
      <c r="W916" s="92"/>
      <c r="X916" s="92"/>
    </row>
    <row r="917" spans="1:24" s="106" customFormat="1">
      <c r="A917" s="79">
        <v>200014</v>
      </c>
      <c r="B917" s="79">
        <f t="shared" si="47"/>
        <v>2000141</v>
      </c>
      <c r="C917" s="79" t="s">
        <v>1316</v>
      </c>
      <c r="D917" s="79">
        <f t="shared" si="48"/>
        <v>2000142</v>
      </c>
      <c r="E917" s="79" t="s">
        <v>1317</v>
      </c>
      <c r="F917" s="79">
        <v>3</v>
      </c>
      <c r="G917" s="79">
        <v>0</v>
      </c>
      <c r="H917" s="79" t="s">
        <v>1318</v>
      </c>
      <c r="I917" s="79" t="str">
        <f t="shared" si="56"/>
        <v>200014,210014</v>
      </c>
      <c r="J917" s="79"/>
      <c r="K917" s="79">
        <v>5</v>
      </c>
      <c r="L917" s="79">
        <v>0</v>
      </c>
      <c r="M917" s="127" t="s">
        <v>86</v>
      </c>
      <c r="N917" s="79">
        <v>1</v>
      </c>
      <c r="O917" s="79">
        <v>0</v>
      </c>
      <c r="P917" s="107"/>
      <c r="Q917" s="79"/>
      <c r="R917" s="79">
        <v>2100141</v>
      </c>
      <c r="S917" s="79" t="s">
        <v>1316</v>
      </c>
      <c r="T917" s="79">
        <v>2100142</v>
      </c>
      <c r="U917" s="79" t="s">
        <v>1317</v>
      </c>
      <c r="V917" s="92"/>
      <c r="W917" s="92"/>
      <c r="X917" s="92"/>
    </row>
    <row r="918" spans="1:24" s="106" customFormat="1">
      <c r="A918" s="79">
        <v>200015</v>
      </c>
      <c r="B918" s="79">
        <f t="shared" si="47"/>
        <v>2000151</v>
      </c>
      <c r="C918" s="79" t="s">
        <v>1319</v>
      </c>
      <c r="D918" s="79">
        <f t="shared" si="48"/>
        <v>2000152</v>
      </c>
      <c r="E918" s="79" t="s">
        <v>1317</v>
      </c>
      <c r="F918" s="79">
        <v>3</v>
      </c>
      <c r="G918" s="79">
        <v>0</v>
      </c>
      <c r="H918" s="79" t="s">
        <v>1320</v>
      </c>
      <c r="I918" s="79" t="str">
        <f t="shared" si="56"/>
        <v>200015,210015</v>
      </c>
      <c r="J918" s="79"/>
      <c r="K918" s="79">
        <v>5</v>
      </c>
      <c r="L918" s="79">
        <v>0</v>
      </c>
      <c r="M918" s="127" t="s">
        <v>86</v>
      </c>
      <c r="N918" s="79">
        <v>1</v>
      </c>
      <c r="O918" s="79">
        <v>0</v>
      </c>
      <c r="P918" s="107"/>
      <c r="Q918" s="79"/>
      <c r="R918" s="79">
        <v>2100151</v>
      </c>
      <c r="S918" s="79" t="s">
        <v>1319</v>
      </c>
      <c r="T918" s="79">
        <v>2100152</v>
      </c>
      <c r="U918" s="79" t="s">
        <v>1317</v>
      </c>
      <c r="V918" s="92"/>
      <c r="W918" s="92"/>
      <c r="X918" s="92"/>
    </row>
    <row r="919" spans="1:24" s="106" customFormat="1">
      <c r="A919" s="79">
        <v>200016</v>
      </c>
      <c r="B919" s="79">
        <f t="shared" si="47"/>
        <v>2000161</v>
      </c>
      <c r="C919" s="79" t="s">
        <v>1321</v>
      </c>
      <c r="D919" s="79">
        <f t="shared" si="48"/>
        <v>2000162</v>
      </c>
      <c r="E919" s="79"/>
      <c r="F919" s="79">
        <v>3</v>
      </c>
      <c r="G919" s="79">
        <v>0</v>
      </c>
      <c r="H919" s="79" t="s">
        <v>1322</v>
      </c>
      <c r="I919" s="79" t="str">
        <f t="shared" si="56"/>
        <v>200016,210016</v>
      </c>
      <c r="J919" s="79"/>
      <c r="K919" s="79">
        <v>5</v>
      </c>
      <c r="L919" s="79">
        <v>0</v>
      </c>
      <c r="M919" s="127" t="s">
        <v>86</v>
      </c>
      <c r="N919" s="79">
        <v>1</v>
      </c>
      <c r="O919" s="79">
        <v>0</v>
      </c>
      <c r="P919" s="107"/>
      <c r="Q919" s="79"/>
      <c r="R919" s="79">
        <v>2100161</v>
      </c>
      <c r="S919" s="79" t="s">
        <v>1321</v>
      </c>
      <c r="T919" s="79">
        <v>2100162</v>
      </c>
      <c r="U919" s="79"/>
      <c r="V919" s="92"/>
      <c r="W919" s="92"/>
      <c r="X919" s="92"/>
    </row>
    <row r="920" spans="1:24" s="94" customFormat="1">
      <c r="A920" s="93">
        <v>200017</v>
      </c>
      <c r="B920" s="93">
        <f t="shared" si="47"/>
        <v>2000171</v>
      </c>
      <c r="C920" s="93" t="s">
        <v>1323</v>
      </c>
      <c r="D920" s="93">
        <f t="shared" si="48"/>
        <v>2000172</v>
      </c>
      <c r="E920" s="93" t="s">
        <v>1324</v>
      </c>
      <c r="F920" s="93">
        <v>3</v>
      </c>
      <c r="G920" s="93">
        <v>0</v>
      </c>
      <c r="H920" s="93" t="s">
        <v>1325</v>
      </c>
      <c r="I920" s="93" t="str">
        <f t="shared" si="56"/>
        <v>200017,210017</v>
      </c>
      <c r="J920" s="93"/>
      <c r="K920" s="93">
        <v>6</v>
      </c>
      <c r="L920" s="93">
        <v>0</v>
      </c>
      <c r="M920" s="117" t="s">
        <v>86</v>
      </c>
      <c r="N920" s="93">
        <v>1</v>
      </c>
      <c r="O920" s="93">
        <v>0</v>
      </c>
      <c r="P920" s="98"/>
      <c r="Q920" s="93"/>
      <c r="R920" s="93">
        <v>2100171</v>
      </c>
      <c r="S920" s="93" t="s">
        <v>1323</v>
      </c>
      <c r="T920" s="93">
        <v>2100172</v>
      </c>
      <c r="U920" s="93" t="s">
        <v>1324</v>
      </c>
      <c r="V920" s="92"/>
      <c r="W920" s="92"/>
      <c r="X920" s="92"/>
    </row>
    <row r="921" spans="1:24" s="108" customFormat="1">
      <c r="A921" s="79">
        <v>200018</v>
      </c>
      <c r="B921" s="79">
        <v>2000181</v>
      </c>
      <c r="C921" s="79" t="s">
        <v>1326</v>
      </c>
      <c r="D921" s="79">
        <v>2000182</v>
      </c>
      <c r="E921" s="79"/>
      <c r="F921" s="79">
        <v>3</v>
      </c>
      <c r="G921" s="79">
        <v>0</v>
      </c>
      <c r="H921" s="79" t="s">
        <v>1327</v>
      </c>
      <c r="I921" s="79" t="str">
        <f t="shared" si="56"/>
        <v>200018,210018</v>
      </c>
      <c r="J921" s="79"/>
      <c r="K921" s="79">
        <v>6</v>
      </c>
      <c r="L921" s="79">
        <v>0</v>
      </c>
      <c r="M921" s="127" t="s">
        <v>86</v>
      </c>
      <c r="N921" s="79">
        <v>1</v>
      </c>
      <c r="O921" s="79">
        <v>0</v>
      </c>
      <c r="P921" s="107"/>
      <c r="Q921" s="79"/>
      <c r="R921" s="79">
        <v>2100181</v>
      </c>
      <c r="S921" s="79" t="s">
        <v>1328</v>
      </c>
      <c r="T921" s="79">
        <v>2100182</v>
      </c>
      <c r="U921" s="79"/>
      <c r="V921" s="101"/>
      <c r="W921" s="101"/>
      <c r="X921" s="101"/>
    </row>
    <row r="922" spans="1:24" s="108" customFormat="1">
      <c r="A922" s="79">
        <v>200019</v>
      </c>
      <c r="B922" s="79">
        <v>2000191</v>
      </c>
      <c r="C922" s="79" t="s">
        <v>1329</v>
      </c>
      <c r="D922" s="79">
        <v>2000192</v>
      </c>
      <c r="E922" s="79"/>
      <c r="F922" s="79">
        <v>3</v>
      </c>
      <c r="G922" s="79">
        <v>0</v>
      </c>
      <c r="H922" s="79" t="s">
        <v>1330</v>
      </c>
      <c r="I922" s="79" t="str">
        <f t="shared" ref="I922" si="57">A922&amp;","&amp;A922+10000</f>
        <v>200019,210019</v>
      </c>
      <c r="J922" s="79"/>
      <c r="K922" s="79">
        <v>5</v>
      </c>
      <c r="L922" s="79">
        <v>0</v>
      </c>
      <c r="M922" s="127" t="s">
        <v>86</v>
      </c>
      <c r="N922" s="79">
        <v>1</v>
      </c>
      <c r="O922" s="79">
        <v>0</v>
      </c>
      <c r="P922" s="107"/>
      <c r="Q922" s="79"/>
      <c r="R922" s="79">
        <v>2100191</v>
      </c>
      <c r="S922" s="79" t="s">
        <v>1329</v>
      </c>
      <c r="T922" s="79">
        <v>2100192</v>
      </c>
      <c r="U922" s="79"/>
      <c r="V922" s="101"/>
      <c r="W922" s="101"/>
      <c r="X922" s="101"/>
    </row>
    <row r="923" spans="1:24" s="108" customFormat="1">
      <c r="A923" s="79">
        <v>200020</v>
      </c>
      <c r="B923" s="79">
        <v>2000201</v>
      </c>
      <c r="C923" s="79" t="s">
        <v>1331</v>
      </c>
      <c r="D923" s="79">
        <v>2000202</v>
      </c>
      <c r="E923" s="79" t="s">
        <v>1332</v>
      </c>
      <c r="F923" s="79">
        <v>3</v>
      </c>
      <c r="G923" s="79">
        <v>0</v>
      </c>
      <c r="H923" s="79" t="s">
        <v>1333</v>
      </c>
      <c r="I923" s="79" t="str">
        <f>A923&amp;","&amp;A923</f>
        <v>200020,200020</v>
      </c>
      <c r="J923" s="79"/>
      <c r="K923" s="79">
        <v>6</v>
      </c>
      <c r="L923" s="79">
        <v>0</v>
      </c>
      <c r="M923" s="127" t="s">
        <v>86</v>
      </c>
      <c r="N923" s="79">
        <v>1</v>
      </c>
      <c r="O923" s="79">
        <v>0</v>
      </c>
      <c r="P923" s="107"/>
      <c r="Q923" s="79"/>
      <c r="R923" s="79">
        <v>2100201</v>
      </c>
      <c r="S923" s="79" t="s">
        <v>1331</v>
      </c>
      <c r="T923" s="79">
        <v>2100202</v>
      </c>
      <c r="U923" s="79" t="s">
        <v>1332</v>
      </c>
      <c r="V923" s="101"/>
      <c r="W923" s="101"/>
      <c r="X923" s="101"/>
    </row>
    <row r="924" spans="1:24" s="108" customFormat="1">
      <c r="A924" s="79">
        <v>200021</v>
      </c>
      <c r="B924" s="79">
        <v>2000211</v>
      </c>
      <c r="C924" s="79" t="s">
        <v>1334</v>
      </c>
      <c r="D924" s="79">
        <v>2000212</v>
      </c>
      <c r="E924" s="79" t="s">
        <v>1332</v>
      </c>
      <c r="F924" s="79">
        <v>3</v>
      </c>
      <c r="G924" s="79">
        <v>0</v>
      </c>
      <c r="H924" s="79" t="s">
        <v>1335</v>
      </c>
      <c r="I924" s="79" t="str">
        <f t="shared" ref="I924:I926" si="58">A924&amp;","&amp;A924+10000</f>
        <v>200021,210021</v>
      </c>
      <c r="J924" s="79"/>
      <c r="K924" s="79">
        <v>6</v>
      </c>
      <c r="L924" s="79">
        <v>0</v>
      </c>
      <c r="M924" s="127" t="s">
        <v>86</v>
      </c>
      <c r="N924" s="79">
        <v>1</v>
      </c>
      <c r="O924" s="79">
        <v>0</v>
      </c>
      <c r="P924" s="107"/>
      <c r="Q924" s="79"/>
      <c r="R924" s="79">
        <v>2100211</v>
      </c>
      <c r="S924" s="101" t="s">
        <v>1336</v>
      </c>
      <c r="T924" s="146">
        <v>2100212</v>
      </c>
      <c r="U924" s="79" t="s">
        <v>1337</v>
      </c>
      <c r="V924" s="101"/>
      <c r="W924" s="101"/>
      <c r="X924" s="101"/>
    </row>
    <row r="925" spans="1:24" s="108" customFormat="1">
      <c r="A925" s="79">
        <v>200022</v>
      </c>
      <c r="B925" s="79">
        <v>2000221</v>
      </c>
      <c r="C925" s="79" t="s">
        <v>5542</v>
      </c>
      <c r="D925" s="79">
        <v>2000222</v>
      </c>
      <c r="E925" s="79" t="s">
        <v>5514</v>
      </c>
      <c r="F925" s="79">
        <v>3</v>
      </c>
      <c r="G925" s="79">
        <v>0</v>
      </c>
      <c r="H925" s="79" t="s">
        <v>1339</v>
      </c>
      <c r="I925" s="79" t="str">
        <f t="shared" si="58"/>
        <v>200022,210022</v>
      </c>
      <c r="J925" s="79"/>
      <c r="K925" s="79">
        <v>6</v>
      </c>
      <c r="L925" s="79">
        <v>0</v>
      </c>
      <c r="M925" s="127" t="s">
        <v>86</v>
      </c>
      <c r="N925" s="79">
        <v>1</v>
      </c>
      <c r="O925" s="79">
        <v>0</v>
      </c>
      <c r="P925" s="107"/>
      <c r="Q925" s="79"/>
      <c r="R925" s="79">
        <v>2100221</v>
      </c>
      <c r="S925" s="101" t="s">
        <v>5542</v>
      </c>
      <c r="T925" s="146">
        <v>2000222</v>
      </c>
      <c r="U925" s="79" t="s">
        <v>1338</v>
      </c>
      <c r="V925" s="101"/>
      <c r="W925" s="101"/>
      <c r="X925" s="101"/>
    </row>
    <row r="926" spans="1:24" s="108" customFormat="1">
      <c r="A926" s="79">
        <v>200023</v>
      </c>
      <c r="B926" s="79">
        <v>2000231</v>
      </c>
      <c r="C926" s="79" t="s">
        <v>5638</v>
      </c>
      <c r="D926" s="79">
        <v>2000232</v>
      </c>
      <c r="E926" s="79" t="s">
        <v>5640</v>
      </c>
      <c r="F926" s="79">
        <v>3</v>
      </c>
      <c r="G926" s="79">
        <v>0</v>
      </c>
      <c r="H926" s="79" t="s">
        <v>5634</v>
      </c>
      <c r="I926" s="79" t="str">
        <f t="shared" si="58"/>
        <v>200023,210023</v>
      </c>
      <c r="J926" s="79"/>
      <c r="K926" s="79">
        <v>6</v>
      </c>
      <c r="L926" s="79">
        <v>0</v>
      </c>
      <c r="M926" s="127" t="s">
        <v>5529</v>
      </c>
      <c r="N926" s="79">
        <v>1</v>
      </c>
      <c r="O926" s="79">
        <v>0</v>
      </c>
      <c r="P926" s="107"/>
      <c r="Q926" s="79"/>
      <c r="R926" s="79">
        <v>2000231</v>
      </c>
      <c r="S926" s="101" t="s">
        <v>5637</v>
      </c>
      <c r="T926" s="146">
        <v>2000232</v>
      </c>
      <c r="U926" s="79" t="s">
        <v>5639</v>
      </c>
      <c r="V926" s="101"/>
      <c r="W926" s="101"/>
      <c r="X926" s="101"/>
    </row>
    <row r="927" spans="1:24" s="108" customFormat="1">
      <c r="A927" s="79">
        <v>300001</v>
      </c>
      <c r="B927" s="79">
        <f t="shared" si="47"/>
        <v>3000011</v>
      </c>
      <c r="C927" s="79" t="s">
        <v>1340</v>
      </c>
      <c r="D927" s="79">
        <f t="shared" si="48"/>
        <v>3000012</v>
      </c>
      <c r="E927" s="79" t="s">
        <v>1341</v>
      </c>
      <c r="F927" s="79">
        <v>4</v>
      </c>
      <c r="G927" s="79">
        <v>0</v>
      </c>
      <c r="H927" s="79" t="str">
        <f t="shared" ref="H927:H946" si="59">"icon_"&amp;A927</f>
        <v>icon_300001</v>
      </c>
      <c r="I927" s="79">
        <f t="shared" ref="I927:I946" si="60">A927</f>
        <v>300001</v>
      </c>
      <c r="J927" s="79"/>
      <c r="K927" s="79">
        <v>3</v>
      </c>
      <c r="L927" s="79">
        <v>0</v>
      </c>
      <c r="M927" s="127">
        <v>0</v>
      </c>
      <c r="N927" s="79">
        <v>1</v>
      </c>
      <c r="O927" s="79">
        <v>0</v>
      </c>
      <c r="P927" s="107">
        <v>588</v>
      </c>
      <c r="Q927" s="79"/>
      <c r="R927" s="79"/>
      <c r="S927" s="101"/>
      <c r="T927" s="101"/>
      <c r="U927" s="101"/>
      <c r="V927" s="101"/>
      <c r="W927" s="101"/>
      <c r="X927" s="101"/>
    </row>
    <row r="928" spans="1:24" s="106" customFormat="1">
      <c r="A928" s="79">
        <v>300002</v>
      </c>
      <c r="B928" s="79">
        <f t="shared" si="47"/>
        <v>3000021</v>
      </c>
      <c r="C928" s="79" t="s">
        <v>1342</v>
      </c>
      <c r="D928" s="79">
        <f t="shared" si="48"/>
        <v>3000022</v>
      </c>
      <c r="E928" s="79" t="s">
        <v>1343</v>
      </c>
      <c r="F928" s="79">
        <v>4</v>
      </c>
      <c r="G928" s="79">
        <v>0</v>
      </c>
      <c r="H928" s="79" t="str">
        <f t="shared" si="59"/>
        <v>icon_300002</v>
      </c>
      <c r="I928" s="79">
        <f t="shared" si="60"/>
        <v>300002</v>
      </c>
      <c r="J928" s="79"/>
      <c r="K928" s="79">
        <v>3</v>
      </c>
      <c r="L928" s="79">
        <v>0</v>
      </c>
      <c r="M928" s="127">
        <v>0</v>
      </c>
      <c r="N928" s="79">
        <v>1</v>
      </c>
      <c r="O928" s="79">
        <v>0</v>
      </c>
      <c r="P928" s="107">
        <v>1888</v>
      </c>
      <c r="Q928" s="93"/>
      <c r="R928" s="92"/>
    </row>
    <row r="929" spans="1:18" s="106" customFormat="1">
      <c r="A929" s="79">
        <v>300003</v>
      </c>
      <c r="B929" s="79">
        <f t="shared" si="47"/>
        <v>3000031</v>
      </c>
      <c r="C929" s="79" t="s">
        <v>1344</v>
      </c>
      <c r="D929" s="79">
        <f t="shared" si="48"/>
        <v>3000032</v>
      </c>
      <c r="E929" s="79" t="s">
        <v>1345</v>
      </c>
      <c r="F929" s="79">
        <v>4</v>
      </c>
      <c r="G929" s="79">
        <v>0</v>
      </c>
      <c r="H929" s="79" t="str">
        <f t="shared" si="59"/>
        <v>icon_300003</v>
      </c>
      <c r="I929" s="79">
        <f t="shared" si="60"/>
        <v>300003</v>
      </c>
      <c r="J929" s="79"/>
      <c r="K929" s="79">
        <v>3</v>
      </c>
      <c r="L929" s="79">
        <v>0</v>
      </c>
      <c r="M929" s="127">
        <v>0</v>
      </c>
      <c r="N929" s="79">
        <v>1</v>
      </c>
      <c r="O929" s="79">
        <v>0</v>
      </c>
      <c r="P929" s="107">
        <v>188</v>
      </c>
      <c r="Q929" s="93"/>
      <c r="R929" s="92"/>
    </row>
    <row r="930" spans="1:18" s="106" customFormat="1">
      <c r="A930" s="79">
        <v>300004</v>
      </c>
      <c r="B930" s="79">
        <f t="shared" si="47"/>
        <v>3000041</v>
      </c>
      <c r="C930" s="79" t="s">
        <v>1346</v>
      </c>
      <c r="D930" s="79">
        <f t="shared" si="48"/>
        <v>3000042</v>
      </c>
      <c r="E930" s="79" t="s">
        <v>1347</v>
      </c>
      <c r="F930" s="79">
        <v>4</v>
      </c>
      <c r="G930" s="79">
        <v>0</v>
      </c>
      <c r="H930" s="79" t="str">
        <f t="shared" si="59"/>
        <v>icon_300004</v>
      </c>
      <c r="I930" s="79">
        <f t="shared" si="60"/>
        <v>300004</v>
      </c>
      <c r="J930" s="79"/>
      <c r="K930" s="79">
        <v>3</v>
      </c>
      <c r="L930" s="79">
        <v>0</v>
      </c>
      <c r="M930" s="127">
        <v>0</v>
      </c>
      <c r="N930" s="79">
        <v>1</v>
      </c>
      <c r="O930" s="79">
        <v>0</v>
      </c>
      <c r="P930" s="107">
        <v>588</v>
      </c>
      <c r="Q930" s="93"/>
      <c r="R930" s="105"/>
    </row>
    <row r="931" spans="1:18" s="106" customFormat="1">
      <c r="A931" s="79">
        <v>300005</v>
      </c>
      <c r="B931" s="79">
        <f t="shared" si="47"/>
        <v>3000051</v>
      </c>
      <c r="C931" s="79" t="s">
        <v>1348</v>
      </c>
      <c r="D931" s="79">
        <f t="shared" si="48"/>
        <v>3000052</v>
      </c>
      <c r="E931" s="79" t="s">
        <v>1349</v>
      </c>
      <c r="F931" s="79">
        <v>4</v>
      </c>
      <c r="G931" s="79">
        <v>0</v>
      </c>
      <c r="H931" s="79" t="str">
        <f t="shared" si="59"/>
        <v>icon_300005</v>
      </c>
      <c r="I931" s="79">
        <f t="shared" si="60"/>
        <v>300005</v>
      </c>
      <c r="J931" s="79"/>
      <c r="K931" s="79">
        <v>3</v>
      </c>
      <c r="L931" s="79">
        <v>0</v>
      </c>
      <c r="M931" s="127">
        <v>0</v>
      </c>
      <c r="N931" s="79">
        <v>1</v>
      </c>
      <c r="O931" s="79">
        <v>0</v>
      </c>
      <c r="P931" s="107">
        <v>1888</v>
      </c>
      <c r="Q931" s="93"/>
      <c r="R931" s="79"/>
    </row>
    <row r="932" spans="1:18" s="106" customFormat="1">
      <c r="A932" s="79">
        <v>300006</v>
      </c>
      <c r="B932" s="79">
        <f t="shared" si="47"/>
        <v>3000061</v>
      </c>
      <c r="C932" s="79" t="s">
        <v>1350</v>
      </c>
      <c r="D932" s="79">
        <f t="shared" si="48"/>
        <v>3000062</v>
      </c>
      <c r="E932" s="79" t="s">
        <v>1351</v>
      </c>
      <c r="F932" s="79">
        <v>4</v>
      </c>
      <c r="G932" s="79">
        <v>0</v>
      </c>
      <c r="H932" s="79" t="str">
        <f t="shared" si="59"/>
        <v>icon_300006</v>
      </c>
      <c r="I932" s="79">
        <f t="shared" si="60"/>
        <v>300006</v>
      </c>
      <c r="J932" s="79"/>
      <c r="K932" s="79">
        <v>4</v>
      </c>
      <c r="L932" s="79">
        <v>0</v>
      </c>
      <c r="M932" s="127">
        <v>0</v>
      </c>
      <c r="N932" s="79">
        <v>1</v>
      </c>
      <c r="O932" s="79">
        <v>0</v>
      </c>
      <c r="P932" s="107">
        <v>1888</v>
      </c>
      <c r="Q932" s="93"/>
      <c r="R932" s="79"/>
    </row>
    <row r="933" spans="1:18" s="106" customFormat="1">
      <c r="A933" s="79">
        <v>300007</v>
      </c>
      <c r="B933" s="79">
        <f t="shared" si="47"/>
        <v>3000071</v>
      </c>
      <c r="C933" s="79" t="s">
        <v>1352</v>
      </c>
      <c r="D933" s="79">
        <f t="shared" si="48"/>
        <v>3000072</v>
      </c>
      <c r="E933" s="79" t="s">
        <v>1353</v>
      </c>
      <c r="F933" s="79">
        <v>4</v>
      </c>
      <c r="G933" s="79">
        <v>0</v>
      </c>
      <c r="H933" s="79" t="str">
        <f t="shared" si="59"/>
        <v>icon_300007</v>
      </c>
      <c r="I933" s="79">
        <f t="shared" si="60"/>
        <v>300007</v>
      </c>
      <c r="J933" s="79"/>
      <c r="K933" s="79">
        <v>5</v>
      </c>
      <c r="L933" s="79">
        <v>0</v>
      </c>
      <c r="M933" s="127">
        <v>0</v>
      </c>
      <c r="N933" s="79">
        <v>1</v>
      </c>
      <c r="O933" s="79">
        <v>0</v>
      </c>
      <c r="P933" s="107">
        <v>1888</v>
      </c>
      <c r="Q933" s="93"/>
      <c r="R933" s="79"/>
    </row>
    <row r="934" spans="1:18" s="106" customFormat="1">
      <c r="A934" s="79">
        <v>300008</v>
      </c>
      <c r="B934" s="79">
        <f t="shared" ref="B934:B981" si="61">A934*10+1</f>
        <v>3000081</v>
      </c>
      <c r="C934" s="79" t="s">
        <v>1354</v>
      </c>
      <c r="D934" s="79">
        <f t="shared" ref="D934:D981" si="62">A934*10+2</f>
        <v>3000082</v>
      </c>
      <c r="E934" s="79" t="s">
        <v>1355</v>
      </c>
      <c r="F934" s="79">
        <v>4</v>
      </c>
      <c r="G934" s="79">
        <v>0</v>
      </c>
      <c r="H934" s="79" t="str">
        <f t="shared" si="59"/>
        <v>icon_300008</v>
      </c>
      <c r="I934" s="79">
        <f t="shared" si="60"/>
        <v>300008</v>
      </c>
      <c r="J934" s="79"/>
      <c r="K934" s="79">
        <v>4</v>
      </c>
      <c r="L934" s="79">
        <v>0</v>
      </c>
      <c r="M934" s="127">
        <v>0</v>
      </c>
      <c r="N934" s="79">
        <v>1</v>
      </c>
      <c r="O934" s="79">
        <v>0</v>
      </c>
      <c r="P934" s="107">
        <v>1888</v>
      </c>
      <c r="Q934" s="93"/>
      <c r="R934" s="79"/>
    </row>
    <row r="935" spans="1:18" s="105" customFormat="1">
      <c r="A935" s="79">
        <v>300009</v>
      </c>
      <c r="B935" s="79">
        <f t="shared" si="61"/>
        <v>3000091</v>
      </c>
      <c r="C935" s="79" t="s">
        <v>1356</v>
      </c>
      <c r="D935" s="79">
        <f t="shared" si="62"/>
        <v>3000092</v>
      </c>
      <c r="E935" s="79" t="s">
        <v>1357</v>
      </c>
      <c r="F935" s="79">
        <v>4</v>
      </c>
      <c r="G935" s="79">
        <v>0</v>
      </c>
      <c r="H935" s="79" t="str">
        <f t="shared" si="59"/>
        <v>icon_300009</v>
      </c>
      <c r="I935" s="79">
        <f t="shared" si="60"/>
        <v>300009</v>
      </c>
      <c r="J935" s="79"/>
      <c r="K935" s="79">
        <v>5</v>
      </c>
      <c r="L935" s="79">
        <v>0</v>
      </c>
      <c r="M935" s="127">
        <v>0</v>
      </c>
      <c r="N935" s="79">
        <v>1</v>
      </c>
      <c r="O935" s="79">
        <v>0</v>
      </c>
      <c r="P935" s="107"/>
      <c r="Q935" s="93"/>
      <c r="R935" s="79"/>
    </row>
    <row r="936" spans="1:18" s="106" customFormat="1">
      <c r="A936" s="79">
        <v>300010</v>
      </c>
      <c r="B936" s="79">
        <f t="shared" si="61"/>
        <v>3000101</v>
      </c>
      <c r="C936" s="79" t="s">
        <v>1358</v>
      </c>
      <c r="D936" s="79">
        <f t="shared" si="62"/>
        <v>3000102</v>
      </c>
      <c r="E936" s="79" t="s">
        <v>1359</v>
      </c>
      <c r="F936" s="79">
        <v>4</v>
      </c>
      <c r="G936" s="79">
        <v>0</v>
      </c>
      <c r="H936" s="79" t="str">
        <f t="shared" si="59"/>
        <v>icon_300010</v>
      </c>
      <c r="I936" s="79">
        <f t="shared" si="60"/>
        <v>300010</v>
      </c>
      <c r="J936" s="79"/>
      <c r="K936" s="79">
        <v>5</v>
      </c>
      <c r="L936" s="79">
        <v>0</v>
      </c>
      <c r="M936" s="127">
        <v>0</v>
      </c>
      <c r="N936" s="79">
        <v>1</v>
      </c>
      <c r="O936" s="79">
        <v>0</v>
      </c>
      <c r="P936" s="107"/>
      <c r="Q936" s="93"/>
      <c r="R936" s="79"/>
    </row>
    <row r="937" spans="1:18" s="94" customFormat="1">
      <c r="A937" s="93">
        <v>300011</v>
      </c>
      <c r="B937" s="93">
        <f t="shared" si="61"/>
        <v>3000111</v>
      </c>
      <c r="C937" s="93" t="s">
        <v>158</v>
      </c>
      <c r="D937" s="93">
        <f t="shared" si="62"/>
        <v>3000112</v>
      </c>
      <c r="E937" s="93" t="s">
        <v>1360</v>
      </c>
      <c r="F937" s="93">
        <v>4</v>
      </c>
      <c r="G937" s="93">
        <v>0</v>
      </c>
      <c r="H937" s="93" t="str">
        <f t="shared" si="59"/>
        <v>icon_300011</v>
      </c>
      <c r="I937" s="93">
        <f t="shared" si="60"/>
        <v>300011</v>
      </c>
      <c r="J937" s="93"/>
      <c r="K937" s="93">
        <v>5</v>
      </c>
      <c r="L937" s="93">
        <v>0</v>
      </c>
      <c r="M937" s="117">
        <v>0</v>
      </c>
      <c r="N937" s="93">
        <v>1</v>
      </c>
      <c r="O937" s="93">
        <v>0</v>
      </c>
      <c r="P937" s="98"/>
      <c r="Q937" s="93"/>
      <c r="R937" s="93"/>
    </row>
    <row r="938" spans="1:18" s="106" customFormat="1">
      <c r="A938" s="79">
        <v>300012</v>
      </c>
      <c r="B938" s="79">
        <f t="shared" si="61"/>
        <v>3000121</v>
      </c>
      <c r="C938" s="79" t="s">
        <v>339</v>
      </c>
      <c r="D938" s="79">
        <f t="shared" si="62"/>
        <v>3000122</v>
      </c>
      <c r="E938" s="79" t="s">
        <v>1361</v>
      </c>
      <c r="F938" s="79">
        <v>4</v>
      </c>
      <c r="G938" s="79">
        <v>0</v>
      </c>
      <c r="H938" s="79" t="str">
        <f t="shared" si="59"/>
        <v>icon_300012</v>
      </c>
      <c r="I938" s="79">
        <f t="shared" si="60"/>
        <v>300012</v>
      </c>
      <c r="J938" s="79"/>
      <c r="K938" s="79">
        <v>5</v>
      </c>
      <c r="L938" s="79">
        <v>0</v>
      </c>
      <c r="M938" s="127">
        <v>0</v>
      </c>
      <c r="N938" s="79">
        <v>1</v>
      </c>
      <c r="O938" s="79">
        <v>0</v>
      </c>
      <c r="P938" s="107"/>
      <c r="Q938" s="93"/>
      <c r="R938" s="79"/>
    </row>
    <row r="939" spans="1:18" s="106" customFormat="1">
      <c r="A939" s="79">
        <v>300013</v>
      </c>
      <c r="B939" s="79">
        <f t="shared" si="61"/>
        <v>3000131</v>
      </c>
      <c r="C939" s="79" t="s">
        <v>1362</v>
      </c>
      <c r="D939" s="79">
        <f t="shared" si="62"/>
        <v>3000132</v>
      </c>
      <c r="E939" s="79" t="s">
        <v>1363</v>
      </c>
      <c r="F939" s="79">
        <v>4</v>
      </c>
      <c r="G939" s="79">
        <v>0</v>
      </c>
      <c r="H939" s="79" t="str">
        <f t="shared" si="59"/>
        <v>icon_300013</v>
      </c>
      <c r="I939" s="79">
        <f t="shared" si="60"/>
        <v>300013</v>
      </c>
      <c r="J939" s="79"/>
      <c r="K939" s="79">
        <v>5</v>
      </c>
      <c r="L939" s="79">
        <v>0</v>
      </c>
      <c r="M939" s="127">
        <v>0</v>
      </c>
      <c r="N939" s="79">
        <v>1</v>
      </c>
      <c r="O939" s="79">
        <v>0</v>
      </c>
      <c r="P939" s="107"/>
      <c r="Q939" s="93"/>
      <c r="R939" s="79"/>
    </row>
    <row r="940" spans="1:18" s="106" customFormat="1">
      <c r="A940" s="79">
        <v>300014</v>
      </c>
      <c r="B940" s="79">
        <f t="shared" si="61"/>
        <v>3000141</v>
      </c>
      <c r="C940" s="79" t="s">
        <v>291</v>
      </c>
      <c r="D940" s="79">
        <f t="shared" si="62"/>
        <v>3000142</v>
      </c>
      <c r="E940" s="79" t="s">
        <v>1364</v>
      </c>
      <c r="F940" s="79">
        <v>4</v>
      </c>
      <c r="G940" s="79">
        <v>0</v>
      </c>
      <c r="H940" s="79" t="str">
        <f t="shared" si="59"/>
        <v>icon_300014</v>
      </c>
      <c r="I940" s="79">
        <f t="shared" si="60"/>
        <v>300014</v>
      </c>
      <c r="J940" s="79"/>
      <c r="K940" s="79">
        <v>5</v>
      </c>
      <c r="L940" s="79">
        <v>0</v>
      </c>
      <c r="M940" s="127">
        <v>0</v>
      </c>
      <c r="N940" s="79">
        <v>1</v>
      </c>
      <c r="O940" s="79">
        <v>0</v>
      </c>
      <c r="P940" s="107"/>
      <c r="Q940" s="93"/>
      <c r="R940" s="105"/>
    </row>
    <row r="941" spans="1:18" s="106" customFormat="1">
      <c r="A941" s="79">
        <v>300015</v>
      </c>
      <c r="B941" s="79">
        <f t="shared" si="61"/>
        <v>3000151</v>
      </c>
      <c r="C941" s="79" t="s">
        <v>1365</v>
      </c>
      <c r="D941" s="79">
        <f t="shared" si="62"/>
        <v>3000152</v>
      </c>
      <c r="E941" s="79" t="s">
        <v>1366</v>
      </c>
      <c r="F941" s="79">
        <v>4</v>
      </c>
      <c r="G941" s="79">
        <v>0</v>
      </c>
      <c r="H941" s="79" t="str">
        <f t="shared" si="59"/>
        <v>icon_300015</v>
      </c>
      <c r="I941" s="79">
        <f t="shared" si="60"/>
        <v>300015</v>
      </c>
      <c r="J941" s="79"/>
      <c r="K941" s="79">
        <v>5</v>
      </c>
      <c r="L941" s="79">
        <v>0</v>
      </c>
      <c r="M941" s="127">
        <v>0</v>
      </c>
      <c r="N941" s="79">
        <v>1</v>
      </c>
      <c r="O941" s="79">
        <v>0</v>
      </c>
      <c r="P941" s="107"/>
      <c r="Q941" s="93"/>
      <c r="R941" s="79"/>
    </row>
    <row r="942" spans="1:18" s="106" customFormat="1">
      <c r="A942" s="79">
        <v>300016</v>
      </c>
      <c r="B942" s="79">
        <f t="shared" si="61"/>
        <v>3000161</v>
      </c>
      <c r="C942" s="79" t="s">
        <v>547</v>
      </c>
      <c r="D942" s="79">
        <f t="shared" si="62"/>
        <v>3000162</v>
      </c>
      <c r="E942" s="79" t="s">
        <v>1367</v>
      </c>
      <c r="F942" s="79">
        <v>4</v>
      </c>
      <c r="G942" s="79">
        <v>0</v>
      </c>
      <c r="H942" s="79" t="str">
        <f t="shared" si="59"/>
        <v>icon_300016</v>
      </c>
      <c r="I942" s="79">
        <f t="shared" si="60"/>
        <v>300016</v>
      </c>
      <c r="J942" s="79"/>
      <c r="K942" s="79">
        <v>5</v>
      </c>
      <c r="L942" s="79">
        <v>0</v>
      </c>
      <c r="M942" s="127">
        <v>0</v>
      </c>
      <c r="N942" s="79">
        <v>1</v>
      </c>
      <c r="O942" s="79">
        <v>0</v>
      </c>
      <c r="P942" s="107"/>
      <c r="Q942" s="93"/>
      <c r="R942" s="79"/>
    </row>
    <row r="943" spans="1:18" s="106" customFormat="1">
      <c r="A943" s="79">
        <v>300017</v>
      </c>
      <c r="B943" s="79">
        <f t="shared" si="61"/>
        <v>3000171</v>
      </c>
      <c r="C943" s="79" t="s">
        <v>1368</v>
      </c>
      <c r="D943" s="79">
        <f t="shared" si="62"/>
        <v>3000172</v>
      </c>
      <c r="E943" s="79" t="s">
        <v>1369</v>
      </c>
      <c r="F943" s="79">
        <v>4</v>
      </c>
      <c r="G943" s="79">
        <v>0</v>
      </c>
      <c r="H943" s="79" t="str">
        <f t="shared" si="59"/>
        <v>icon_300017</v>
      </c>
      <c r="I943" s="79">
        <f t="shared" si="60"/>
        <v>300017</v>
      </c>
      <c r="J943" s="79"/>
      <c r="K943" s="79">
        <v>5</v>
      </c>
      <c r="L943" s="79">
        <v>0</v>
      </c>
      <c r="M943" s="127">
        <v>0</v>
      </c>
      <c r="N943" s="79">
        <v>1</v>
      </c>
      <c r="O943" s="79">
        <v>0</v>
      </c>
      <c r="P943" s="107"/>
      <c r="R943" s="79"/>
    </row>
    <row r="944" spans="1:18" s="106" customFormat="1">
      <c r="A944" s="79">
        <v>300018</v>
      </c>
      <c r="B944" s="79">
        <f t="shared" si="61"/>
        <v>3000181</v>
      </c>
      <c r="C944" s="79" t="s">
        <v>459</v>
      </c>
      <c r="D944" s="79">
        <f t="shared" si="62"/>
        <v>3000182</v>
      </c>
      <c r="E944" s="79" t="s">
        <v>1370</v>
      </c>
      <c r="F944" s="79">
        <v>4</v>
      </c>
      <c r="G944" s="79">
        <v>0</v>
      </c>
      <c r="H944" s="79" t="str">
        <f t="shared" si="59"/>
        <v>icon_300018</v>
      </c>
      <c r="I944" s="79">
        <f t="shared" si="60"/>
        <v>300018</v>
      </c>
      <c r="J944" s="79"/>
      <c r="K944" s="79">
        <v>5</v>
      </c>
      <c r="L944" s="79">
        <v>0</v>
      </c>
      <c r="M944" s="127"/>
      <c r="N944" s="79">
        <v>1</v>
      </c>
      <c r="O944" s="79"/>
      <c r="P944" s="107"/>
      <c r="R944" s="79"/>
    </row>
    <row r="945" spans="1:21" s="106" customFormat="1">
      <c r="A945" s="79">
        <v>300019</v>
      </c>
      <c r="B945" s="79">
        <f t="shared" si="61"/>
        <v>3000191</v>
      </c>
      <c r="C945" s="79" t="s">
        <v>1371</v>
      </c>
      <c r="D945" s="79">
        <f t="shared" si="62"/>
        <v>3000192</v>
      </c>
      <c r="E945" s="79" t="s">
        <v>1372</v>
      </c>
      <c r="F945" s="79">
        <v>4</v>
      </c>
      <c r="G945" s="79">
        <v>0</v>
      </c>
      <c r="H945" s="79" t="str">
        <f t="shared" si="59"/>
        <v>icon_300019</v>
      </c>
      <c r="I945" s="79">
        <f t="shared" si="60"/>
        <v>300019</v>
      </c>
      <c r="J945" s="79"/>
      <c r="K945" s="79">
        <v>5</v>
      </c>
      <c r="L945" s="79">
        <v>0</v>
      </c>
      <c r="M945" s="127" t="s">
        <v>86</v>
      </c>
      <c r="N945" s="79">
        <v>1</v>
      </c>
      <c r="O945" s="79">
        <v>0</v>
      </c>
      <c r="P945" s="107"/>
      <c r="R945" s="79"/>
    </row>
    <row r="946" spans="1:21" s="106" customFormat="1">
      <c r="A946" s="78">
        <v>300020</v>
      </c>
      <c r="B946" s="79">
        <f t="shared" si="61"/>
        <v>3000201</v>
      </c>
      <c r="C946" s="79" t="s">
        <v>1373</v>
      </c>
      <c r="D946" s="79">
        <f t="shared" si="62"/>
        <v>3000202</v>
      </c>
      <c r="E946" s="79" t="s">
        <v>1374</v>
      </c>
      <c r="F946" s="79">
        <v>4</v>
      </c>
      <c r="G946" s="79">
        <v>0</v>
      </c>
      <c r="H946" s="79" t="str">
        <f t="shared" si="59"/>
        <v>icon_300020</v>
      </c>
      <c r="I946" s="79">
        <f t="shared" si="60"/>
        <v>300020</v>
      </c>
      <c r="J946" s="79"/>
      <c r="K946" s="79">
        <v>7</v>
      </c>
      <c r="L946" s="79">
        <v>1</v>
      </c>
      <c r="M946" s="127" t="s">
        <v>290</v>
      </c>
      <c r="N946" s="79">
        <v>1</v>
      </c>
      <c r="O946" s="79">
        <v>0</v>
      </c>
      <c r="P946" s="107"/>
      <c r="R946" s="79"/>
    </row>
    <row r="947" spans="1:21" s="106" customFormat="1">
      <c r="A947" s="78">
        <v>300021</v>
      </c>
      <c r="B947" s="79">
        <f t="shared" si="61"/>
        <v>3000211</v>
      </c>
      <c r="C947" s="92" t="s">
        <v>1375</v>
      </c>
      <c r="D947" s="79">
        <f t="shared" si="62"/>
        <v>3000212</v>
      </c>
      <c r="E947" s="79" t="s">
        <v>1376</v>
      </c>
      <c r="F947" s="79">
        <v>4</v>
      </c>
      <c r="G947" s="79">
        <v>0</v>
      </c>
      <c r="H947" s="79" t="s">
        <v>1377</v>
      </c>
      <c r="I947" s="79">
        <v>300021</v>
      </c>
      <c r="J947" s="79"/>
      <c r="K947" s="79">
        <v>6</v>
      </c>
      <c r="L947" s="79">
        <v>0</v>
      </c>
      <c r="M947" s="127" t="s">
        <v>86</v>
      </c>
      <c r="N947" s="79">
        <v>1</v>
      </c>
      <c r="O947" s="79">
        <v>0</v>
      </c>
      <c r="P947" s="107"/>
      <c r="Q947" s="92"/>
      <c r="R947" s="79"/>
      <c r="S947" s="92"/>
      <c r="T947" s="92"/>
      <c r="U947" s="92"/>
    </row>
    <row r="948" spans="1:21" s="106" customFormat="1">
      <c r="A948" s="79">
        <v>300022</v>
      </c>
      <c r="B948" s="79">
        <f t="shared" si="61"/>
        <v>3000221</v>
      </c>
      <c r="C948" s="79" t="s">
        <v>1378</v>
      </c>
      <c r="D948" s="79">
        <f t="shared" si="62"/>
        <v>3000222</v>
      </c>
      <c r="E948" s="79" t="s">
        <v>1379</v>
      </c>
      <c r="F948" s="79">
        <v>4</v>
      </c>
      <c r="G948" s="79">
        <v>0</v>
      </c>
      <c r="H948" s="79" t="str">
        <f t="shared" ref="H948:H954" si="63">"icon_"&amp;A948</f>
        <v>icon_300022</v>
      </c>
      <c r="I948" s="79">
        <f t="shared" ref="I948:I954" si="64">A948</f>
        <v>300022</v>
      </c>
      <c r="J948" s="79"/>
      <c r="K948" s="79">
        <v>6</v>
      </c>
      <c r="L948" s="79">
        <v>0</v>
      </c>
      <c r="M948" s="127" t="s">
        <v>86</v>
      </c>
      <c r="N948" s="79">
        <v>1</v>
      </c>
      <c r="O948" s="79">
        <v>0</v>
      </c>
      <c r="P948" s="107"/>
      <c r="Q948" s="92"/>
      <c r="R948" s="79"/>
    </row>
    <row r="949" spans="1:21" s="106" customFormat="1">
      <c r="A949" s="79">
        <v>300023</v>
      </c>
      <c r="B949" s="79">
        <f t="shared" si="61"/>
        <v>3000231</v>
      </c>
      <c r="C949" s="79" t="s">
        <v>1380</v>
      </c>
      <c r="D949" s="79">
        <f t="shared" si="62"/>
        <v>3000232</v>
      </c>
      <c r="E949" s="79" t="s">
        <v>1381</v>
      </c>
      <c r="F949" s="79">
        <v>4</v>
      </c>
      <c r="G949" s="79">
        <v>0</v>
      </c>
      <c r="H949" s="79" t="str">
        <f t="shared" si="63"/>
        <v>icon_300023</v>
      </c>
      <c r="I949" s="79">
        <f t="shared" si="64"/>
        <v>300023</v>
      </c>
      <c r="J949" s="79"/>
      <c r="K949" s="79">
        <v>6</v>
      </c>
      <c r="L949" s="79">
        <v>0</v>
      </c>
      <c r="M949" s="127" t="s">
        <v>86</v>
      </c>
      <c r="N949" s="79">
        <v>1</v>
      </c>
      <c r="O949" s="79">
        <v>0</v>
      </c>
      <c r="P949" s="107"/>
      <c r="Q949" s="93"/>
      <c r="R949" s="92"/>
    </row>
    <row r="950" spans="1:21" s="106" customFormat="1">
      <c r="A950" s="79">
        <v>300024</v>
      </c>
      <c r="B950" s="79">
        <f t="shared" si="61"/>
        <v>3000241</v>
      </c>
      <c r="C950" s="79" t="s">
        <v>1382</v>
      </c>
      <c r="D950" s="79">
        <f t="shared" si="62"/>
        <v>3000242</v>
      </c>
      <c r="E950" s="79" t="s">
        <v>1383</v>
      </c>
      <c r="F950" s="79">
        <v>4</v>
      </c>
      <c r="G950" s="79">
        <v>0</v>
      </c>
      <c r="H950" s="79" t="str">
        <f t="shared" si="63"/>
        <v>icon_300024</v>
      </c>
      <c r="I950" s="79">
        <f t="shared" si="64"/>
        <v>300024</v>
      </c>
      <c r="J950" s="79"/>
      <c r="K950" s="79">
        <v>6</v>
      </c>
      <c r="L950" s="79">
        <v>0</v>
      </c>
      <c r="M950" s="127" t="s">
        <v>86</v>
      </c>
      <c r="N950" s="79">
        <v>1</v>
      </c>
      <c r="O950" s="79">
        <v>0</v>
      </c>
      <c r="P950" s="107"/>
      <c r="Q950" s="93"/>
      <c r="R950" s="92"/>
    </row>
    <row r="951" spans="1:21" s="106" customFormat="1">
      <c r="A951" s="79">
        <v>300025</v>
      </c>
      <c r="B951" s="79">
        <f t="shared" si="61"/>
        <v>3000251</v>
      </c>
      <c r="C951" s="79" t="s">
        <v>1384</v>
      </c>
      <c r="D951" s="79">
        <f t="shared" si="62"/>
        <v>3000252</v>
      </c>
      <c r="E951" s="79" t="s">
        <v>1385</v>
      </c>
      <c r="F951" s="79">
        <v>4</v>
      </c>
      <c r="G951" s="79">
        <v>0</v>
      </c>
      <c r="H951" s="79" t="str">
        <f t="shared" si="63"/>
        <v>icon_300025</v>
      </c>
      <c r="I951" s="79">
        <f t="shared" si="64"/>
        <v>300025</v>
      </c>
      <c r="J951" s="79"/>
      <c r="K951" s="79">
        <v>6</v>
      </c>
      <c r="L951" s="79">
        <v>0</v>
      </c>
      <c r="M951" s="127" t="s">
        <v>86</v>
      </c>
      <c r="N951" s="79">
        <v>1</v>
      </c>
      <c r="O951" s="79">
        <v>0</v>
      </c>
      <c r="P951" s="107"/>
      <c r="Q951" s="93"/>
      <c r="R951" s="92"/>
    </row>
    <row r="952" spans="1:21" s="106" customFormat="1">
      <c r="A952" s="79">
        <v>300026</v>
      </c>
      <c r="B952" s="79">
        <f t="shared" si="61"/>
        <v>3000261</v>
      </c>
      <c r="C952" s="79" t="s">
        <v>1386</v>
      </c>
      <c r="D952" s="79">
        <f t="shared" si="62"/>
        <v>3000262</v>
      </c>
      <c r="E952" s="79" t="s">
        <v>1387</v>
      </c>
      <c r="F952" s="79">
        <v>4</v>
      </c>
      <c r="G952" s="79">
        <v>0</v>
      </c>
      <c r="H952" s="79" t="str">
        <f t="shared" si="63"/>
        <v>icon_300026</v>
      </c>
      <c r="I952" s="79">
        <f t="shared" si="64"/>
        <v>300026</v>
      </c>
      <c r="J952" s="79"/>
      <c r="K952" s="79">
        <v>6</v>
      </c>
      <c r="L952" s="79">
        <v>0</v>
      </c>
      <c r="M952" s="127" t="s">
        <v>86</v>
      </c>
      <c r="N952" s="79">
        <v>1</v>
      </c>
      <c r="O952" s="79">
        <v>0</v>
      </c>
      <c r="P952" s="107"/>
      <c r="Q952" s="93"/>
      <c r="R952" s="92"/>
    </row>
    <row r="953" spans="1:21" s="94" customFormat="1">
      <c r="A953" s="93">
        <v>300027</v>
      </c>
      <c r="B953" s="93">
        <f t="shared" si="61"/>
        <v>3000271</v>
      </c>
      <c r="C953" s="93" t="s">
        <v>1388</v>
      </c>
      <c r="D953" s="93">
        <f t="shared" si="62"/>
        <v>3000272</v>
      </c>
      <c r="E953" s="93" t="s">
        <v>1389</v>
      </c>
      <c r="F953" s="93">
        <v>4</v>
      </c>
      <c r="G953" s="93">
        <v>0</v>
      </c>
      <c r="H953" s="93" t="str">
        <f t="shared" si="63"/>
        <v>icon_300027</v>
      </c>
      <c r="I953" s="93">
        <f t="shared" si="64"/>
        <v>300027</v>
      </c>
      <c r="J953" s="93"/>
      <c r="K953" s="93">
        <v>6</v>
      </c>
      <c r="L953" s="93">
        <v>0</v>
      </c>
      <c r="M953" s="117" t="s">
        <v>86</v>
      </c>
      <c r="N953" s="93">
        <v>1</v>
      </c>
      <c r="O953" s="93">
        <v>0</v>
      </c>
      <c r="P953" s="98"/>
      <c r="Q953" s="93"/>
      <c r="R953" s="92"/>
    </row>
    <row r="954" spans="1:21" s="94" customFormat="1">
      <c r="A954" s="93">
        <v>300028</v>
      </c>
      <c r="B954" s="93">
        <f t="shared" si="61"/>
        <v>3000281</v>
      </c>
      <c r="C954" s="93" t="s">
        <v>1390</v>
      </c>
      <c r="D954" s="93">
        <f t="shared" si="62"/>
        <v>3000282</v>
      </c>
      <c r="E954" s="93" t="s">
        <v>1391</v>
      </c>
      <c r="F954" s="93">
        <v>4</v>
      </c>
      <c r="G954" s="93">
        <v>0</v>
      </c>
      <c r="H954" s="93" t="str">
        <f t="shared" si="63"/>
        <v>icon_300028</v>
      </c>
      <c r="I954" s="93">
        <f t="shared" si="64"/>
        <v>300028</v>
      </c>
      <c r="J954" s="93"/>
      <c r="K954" s="93">
        <v>6</v>
      </c>
      <c r="L954" s="93">
        <v>0</v>
      </c>
      <c r="M954" s="117" t="s">
        <v>86</v>
      </c>
      <c r="N954" s="93">
        <v>1</v>
      </c>
      <c r="O954" s="93">
        <v>0</v>
      </c>
      <c r="P954" s="98"/>
      <c r="Q954" s="93"/>
      <c r="R954" s="92"/>
    </row>
    <row r="955" spans="1:21" s="110" customFormat="1">
      <c r="A955" s="88">
        <v>300029</v>
      </c>
      <c r="B955" s="88">
        <f t="shared" ref="B955" si="65">A955*10+1</f>
        <v>3000291</v>
      </c>
      <c r="C955" s="88" t="s">
        <v>1392</v>
      </c>
      <c r="D955" s="88">
        <f t="shared" si="62"/>
        <v>3000292</v>
      </c>
      <c r="E955" s="88"/>
      <c r="F955" s="88">
        <v>4</v>
      </c>
      <c r="G955" s="79">
        <v>0</v>
      </c>
      <c r="H955" s="88" t="str">
        <f t="shared" ref="H955" si="66">"icon_"&amp;A955</f>
        <v>icon_300029</v>
      </c>
      <c r="I955" s="88">
        <f t="shared" ref="I955" si="67">A955</f>
        <v>300029</v>
      </c>
      <c r="J955" s="88"/>
      <c r="K955" s="79">
        <v>6</v>
      </c>
      <c r="L955" s="79">
        <v>0</v>
      </c>
      <c r="M955" s="127" t="s">
        <v>86</v>
      </c>
      <c r="N955" s="79">
        <v>1</v>
      </c>
      <c r="O955" s="79">
        <v>0</v>
      </c>
      <c r="P955" s="139"/>
      <c r="Q955" s="88"/>
      <c r="R955" s="137"/>
    </row>
    <row r="956" spans="1:21" s="110" customFormat="1">
      <c r="A956" s="88">
        <v>300030</v>
      </c>
      <c r="B956" s="88">
        <f t="shared" ref="B956" si="68">A956*10+1</f>
        <v>3000301</v>
      </c>
      <c r="C956" s="88" t="s">
        <v>1393</v>
      </c>
      <c r="D956" s="88">
        <f t="shared" si="62"/>
        <v>3000302</v>
      </c>
      <c r="E956" s="88"/>
      <c r="F956" s="88">
        <v>4</v>
      </c>
      <c r="G956" s="79">
        <v>0</v>
      </c>
      <c r="H956" s="88" t="str">
        <f t="shared" ref="H956" si="69">"icon_"&amp;A956</f>
        <v>icon_300030</v>
      </c>
      <c r="I956" s="88">
        <f t="shared" ref="I956" si="70">A956</f>
        <v>300030</v>
      </c>
      <c r="J956" s="88"/>
      <c r="K956" s="79">
        <v>6</v>
      </c>
      <c r="L956" s="79">
        <v>0</v>
      </c>
      <c r="M956" s="127" t="s">
        <v>86</v>
      </c>
      <c r="N956" s="79">
        <v>1</v>
      </c>
      <c r="O956" s="79">
        <v>0</v>
      </c>
      <c r="P956" s="139"/>
      <c r="Q956" s="88"/>
      <c r="R956" s="137"/>
    </row>
    <row r="957" spans="1:21" s="110" customFormat="1">
      <c r="A957" s="88">
        <v>300031</v>
      </c>
      <c r="B957" s="88"/>
      <c r="C957" s="88" t="s">
        <v>563</v>
      </c>
      <c r="D957" s="88"/>
      <c r="E957" s="88"/>
      <c r="F957" s="88"/>
      <c r="G957" s="79"/>
      <c r="H957" s="88"/>
      <c r="I957" s="88"/>
      <c r="J957" s="88"/>
      <c r="K957" s="79"/>
      <c r="L957" s="79"/>
      <c r="M957" s="127"/>
      <c r="N957" s="79"/>
      <c r="O957" s="79"/>
      <c r="P957" s="139"/>
      <c r="Q957" s="88"/>
      <c r="R957" s="137"/>
    </row>
    <row r="958" spans="1:21" s="106" customFormat="1">
      <c r="A958" s="79">
        <v>400008</v>
      </c>
      <c r="B958" s="121">
        <f t="shared" si="61"/>
        <v>4000081</v>
      </c>
      <c r="C958" s="79" t="s">
        <v>1408</v>
      </c>
      <c r="D958" s="121">
        <f t="shared" si="62"/>
        <v>4000082</v>
      </c>
      <c r="E958" s="79" t="s">
        <v>1409</v>
      </c>
      <c r="F958" s="79">
        <v>5</v>
      </c>
      <c r="G958" s="79">
        <v>1</v>
      </c>
      <c r="H958" s="79" t="s">
        <v>286</v>
      </c>
      <c r="I958" s="79"/>
      <c r="J958" s="79"/>
      <c r="K958" s="79">
        <v>5</v>
      </c>
      <c r="L958" s="79">
        <v>4</v>
      </c>
      <c r="M958" s="127" t="s">
        <v>1410</v>
      </c>
      <c r="N958" s="79">
        <v>1</v>
      </c>
      <c r="O958" s="79">
        <v>0</v>
      </c>
      <c r="P958" s="107"/>
      <c r="R958" s="79"/>
    </row>
    <row r="959" spans="1:21" s="106" customFormat="1">
      <c r="A959" s="79">
        <v>400009</v>
      </c>
      <c r="B959" s="121">
        <f t="shared" si="61"/>
        <v>4000091</v>
      </c>
      <c r="C959" s="79" t="s">
        <v>1411</v>
      </c>
      <c r="D959" s="121">
        <f t="shared" si="62"/>
        <v>4000092</v>
      </c>
      <c r="E959" s="79" t="s">
        <v>1412</v>
      </c>
      <c r="F959" s="79">
        <v>5</v>
      </c>
      <c r="G959" s="79">
        <v>1</v>
      </c>
      <c r="H959" s="79" t="s">
        <v>286</v>
      </c>
      <c r="I959" s="79"/>
      <c r="J959" s="79"/>
      <c r="K959" s="79">
        <v>5</v>
      </c>
      <c r="L959" s="79">
        <v>4</v>
      </c>
      <c r="M959" s="127" t="s">
        <v>1413</v>
      </c>
      <c r="N959" s="79">
        <v>1</v>
      </c>
      <c r="O959" s="79">
        <v>0</v>
      </c>
      <c r="P959" s="107"/>
      <c r="R959" s="79"/>
    </row>
    <row r="960" spans="1:21" s="106" customFormat="1">
      <c r="A960" s="79">
        <v>400010</v>
      </c>
      <c r="B960" s="121">
        <f t="shared" si="61"/>
        <v>4000101</v>
      </c>
      <c r="C960" s="79" t="s">
        <v>1411</v>
      </c>
      <c r="D960" s="121">
        <f t="shared" si="62"/>
        <v>4000102</v>
      </c>
      <c r="E960" s="79" t="s">
        <v>1414</v>
      </c>
      <c r="F960" s="79">
        <v>5</v>
      </c>
      <c r="G960" s="79">
        <v>1</v>
      </c>
      <c r="H960" s="79" t="s">
        <v>286</v>
      </c>
      <c r="I960" s="79"/>
      <c r="J960" s="79"/>
      <c r="K960" s="79">
        <v>5</v>
      </c>
      <c r="L960" s="79">
        <v>4</v>
      </c>
      <c r="M960" s="127" t="s">
        <v>1415</v>
      </c>
      <c r="N960" s="79">
        <v>1</v>
      </c>
      <c r="O960" s="79">
        <v>0</v>
      </c>
      <c r="P960" s="107"/>
      <c r="R960" s="79"/>
    </row>
    <row r="961" spans="1:18" s="106" customFormat="1">
      <c r="A961" s="79">
        <v>400011</v>
      </c>
      <c r="B961" s="121">
        <f t="shared" si="61"/>
        <v>4000111</v>
      </c>
      <c r="C961" s="79" t="s">
        <v>1416</v>
      </c>
      <c r="D961" s="121">
        <f t="shared" si="62"/>
        <v>4000112</v>
      </c>
      <c r="E961" s="79" t="s">
        <v>1417</v>
      </c>
      <c r="F961" s="79">
        <v>5</v>
      </c>
      <c r="G961" s="79">
        <v>1</v>
      </c>
      <c r="H961" s="79" t="s">
        <v>286</v>
      </c>
      <c r="I961" s="79"/>
      <c r="J961" s="79"/>
      <c r="K961" s="79">
        <v>5</v>
      </c>
      <c r="L961" s="79">
        <v>4</v>
      </c>
      <c r="M961" s="127" t="s">
        <v>1418</v>
      </c>
      <c r="N961" s="79">
        <v>1</v>
      </c>
      <c r="O961" s="79">
        <v>0</v>
      </c>
      <c r="P961" s="107"/>
      <c r="R961" s="79"/>
    </row>
    <row r="962" spans="1:18" s="106" customFormat="1">
      <c r="A962" s="79">
        <v>400012</v>
      </c>
      <c r="B962" s="121">
        <f t="shared" si="61"/>
        <v>4000121</v>
      </c>
      <c r="C962" s="79" t="s">
        <v>1408</v>
      </c>
      <c r="D962" s="121">
        <f t="shared" si="62"/>
        <v>4000122</v>
      </c>
      <c r="E962" s="79" t="s">
        <v>1419</v>
      </c>
      <c r="F962" s="79">
        <v>5</v>
      </c>
      <c r="G962" s="79">
        <v>1</v>
      </c>
      <c r="H962" s="79" t="s">
        <v>286</v>
      </c>
      <c r="I962" s="79"/>
      <c r="J962" s="79"/>
      <c r="K962" s="79">
        <v>5</v>
      </c>
      <c r="L962" s="79">
        <v>4</v>
      </c>
      <c r="M962" s="127" t="s">
        <v>1420</v>
      </c>
      <c r="N962" s="79">
        <v>1</v>
      </c>
      <c r="O962" s="79">
        <v>0</v>
      </c>
      <c r="P962" s="107"/>
      <c r="R962" s="79"/>
    </row>
    <row r="963" spans="1:18" s="106" customFormat="1">
      <c r="A963" s="79">
        <v>400013</v>
      </c>
      <c r="B963" s="121">
        <f t="shared" si="61"/>
        <v>4000131</v>
      </c>
      <c r="C963" s="79" t="s">
        <v>1421</v>
      </c>
      <c r="D963" s="121">
        <f t="shared" si="62"/>
        <v>4000132</v>
      </c>
      <c r="E963" s="79" t="s">
        <v>1422</v>
      </c>
      <c r="F963" s="79">
        <v>5</v>
      </c>
      <c r="G963" s="79">
        <v>1</v>
      </c>
      <c r="H963" s="79" t="s">
        <v>286</v>
      </c>
      <c r="I963" s="79"/>
      <c r="J963" s="79"/>
      <c r="K963" s="79">
        <v>5</v>
      </c>
      <c r="L963" s="79">
        <v>4</v>
      </c>
      <c r="M963" s="127" t="s">
        <v>1423</v>
      </c>
      <c r="N963" s="79">
        <v>1</v>
      </c>
      <c r="O963" s="79">
        <v>0</v>
      </c>
      <c r="P963" s="107"/>
      <c r="R963" s="79"/>
    </row>
    <row r="964" spans="1:18" s="106" customFormat="1">
      <c r="A964" s="79">
        <v>400014</v>
      </c>
      <c r="B964" s="121">
        <f t="shared" si="61"/>
        <v>4000141</v>
      </c>
      <c r="C964" s="79" t="s">
        <v>1416</v>
      </c>
      <c r="D964" s="121">
        <f t="shared" si="62"/>
        <v>4000142</v>
      </c>
      <c r="E964" s="79" t="s">
        <v>1424</v>
      </c>
      <c r="F964" s="79">
        <v>5</v>
      </c>
      <c r="G964" s="79">
        <v>1</v>
      </c>
      <c r="H964" s="79" t="s">
        <v>286</v>
      </c>
      <c r="I964" s="79"/>
      <c r="J964" s="79"/>
      <c r="K964" s="79">
        <v>6</v>
      </c>
      <c r="L964" s="79">
        <v>4</v>
      </c>
      <c r="M964" s="127" t="s">
        <v>1425</v>
      </c>
      <c r="N964" s="79">
        <v>1</v>
      </c>
      <c r="O964" s="79">
        <v>0</v>
      </c>
      <c r="P964" s="107"/>
      <c r="R964" s="79"/>
    </row>
    <row r="965" spans="1:18" s="106" customFormat="1">
      <c r="A965" s="79">
        <v>400015</v>
      </c>
      <c r="B965" s="121">
        <f t="shared" si="61"/>
        <v>4000151</v>
      </c>
      <c r="C965" s="79" t="s">
        <v>1408</v>
      </c>
      <c r="D965" s="121">
        <f t="shared" si="62"/>
        <v>4000152</v>
      </c>
      <c r="E965" s="79" t="s">
        <v>1426</v>
      </c>
      <c r="F965" s="79">
        <v>5</v>
      </c>
      <c r="G965" s="79">
        <v>4</v>
      </c>
      <c r="H965" s="79" t="s">
        <v>286</v>
      </c>
      <c r="I965" s="79"/>
      <c r="J965" s="79"/>
      <c r="K965" s="79">
        <v>6</v>
      </c>
      <c r="L965" s="79">
        <v>4</v>
      </c>
      <c r="M965" s="127" t="s">
        <v>1427</v>
      </c>
      <c r="N965" s="79">
        <v>1</v>
      </c>
      <c r="O965" s="79">
        <v>0</v>
      </c>
      <c r="P965" s="107"/>
      <c r="R965" s="79"/>
    </row>
    <row r="966" spans="1:18" s="106" customFormat="1">
      <c r="A966" s="79">
        <v>400016</v>
      </c>
      <c r="B966" s="121">
        <f t="shared" si="61"/>
        <v>4000161</v>
      </c>
      <c r="C966" s="79" t="s">
        <v>1421</v>
      </c>
      <c r="D966" s="121">
        <f t="shared" si="62"/>
        <v>4000162</v>
      </c>
      <c r="E966" s="79" t="s">
        <v>1428</v>
      </c>
      <c r="F966" s="79">
        <v>5</v>
      </c>
      <c r="G966" s="79">
        <v>1</v>
      </c>
      <c r="H966" s="79" t="s">
        <v>286</v>
      </c>
      <c r="I966" s="79"/>
      <c r="J966" s="79"/>
      <c r="K966" s="79">
        <v>6</v>
      </c>
      <c r="L966" s="79">
        <v>4</v>
      </c>
      <c r="M966" s="127" t="s">
        <v>1429</v>
      </c>
      <c r="N966" s="79">
        <v>1</v>
      </c>
      <c r="O966" s="79">
        <v>0</v>
      </c>
      <c r="P966" s="107"/>
      <c r="R966" s="79"/>
    </row>
    <row r="967" spans="1:18" s="106" customFormat="1">
      <c r="A967" s="79">
        <v>400017</v>
      </c>
      <c r="B967" s="121">
        <f t="shared" si="61"/>
        <v>4000171</v>
      </c>
      <c r="C967" s="79" t="s">
        <v>1416</v>
      </c>
      <c r="D967" s="121">
        <f t="shared" si="62"/>
        <v>4000172</v>
      </c>
      <c r="E967" s="79" t="s">
        <v>1430</v>
      </c>
      <c r="F967" s="79">
        <v>5</v>
      </c>
      <c r="G967" s="79">
        <v>1</v>
      </c>
      <c r="H967" s="79" t="s">
        <v>286</v>
      </c>
      <c r="I967" s="79"/>
      <c r="J967" s="79"/>
      <c r="K967" s="79">
        <v>7</v>
      </c>
      <c r="L967" s="79">
        <v>4</v>
      </c>
      <c r="M967" s="127" t="s">
        <v>1431</v>
      </c>
      <c r="N967" s="79">
        <v>1</v>
      </c>
      <c r="O967" s="79">
        <v>0</v>
      </c>
      <c r="P967" s="107"/>
      <c r="R967" s="79"/>
    </row>
    <row r="968" spans="1:18" s="106" customFormat="1">
      <c r="A968" s="79">
        <v>400018</v>
      </c>
      <c r="B968" s="121">
        <f t="shared" si="61"/>
        <v>4000181</v>
      </c>
      <c r="C968" s="79" t="s">
        <v>1408</v>
      </c>
      <c r="D968" s="121">
        <f t="shared" si="62"/>
        <v>4000182</v>
      </c>
      <c r="E968" s="79" t="s">
        <v>1432</v>
      </c>
      <c r="F968" s="79">
        <v>5</v>
      </c>
      <c r="G968" s="79">
        <v>1</v>
      </c>
      <c r="H968" s="79" t="s">
        <v>286</v>
      </c>
      <c r="I968" s="79"/>
      <c r="J968" s="79"/>
      <c r="K968" s="79">
        <v>7</v>
      </c>
      <c r="L968" s="79">
        <v>4</v>
      </c>
      <c r="M968" s="127" t="s">
        <v>1433</v>
      </c>
      <c r="N968" s="79">
        <v>1</v>
      </c>
      <c r="O968" s="79">
        <v>0</v>
      </c>
      <c r="P968" s="107"/>
      <c r="R968" s="79"/>
    </row>
    <row r="969" spans="1:18" s="106" customFormat="1">
      <c r="A969" s="79">
        <v>400019</v>
      </c>
      <c r="B969" s="121">
        <f t="shared" si="61"/>
        <v>4000191</v>
      </c>
      <c r="C969" s="79" t="s">
        <v>1421</v>
      </c>
      <c r="D969" s="121">
        <f t="shared" si="62"/>
        <v>4000192</v>
      </c>
      <c r="E969" s="79" t="s">
        <v>1434</v>
      </c>
      <c r="F969" s="79">
        <v>5</v>
      </c>
      <c r="G969" s="79">
        <v>1</v>
      </c>
      <c r="H969" s="79" t="s">
        <v>286</v>
      </c>
      <c r="I969" s="79"/>
      <c r="J969" s="79"/>
      <c r="K969" s="79">
        <v>7</v>
      </c>
      <c r="L969" s="79">
        <v>4</v>
      </c>
      <c r="M969" s="127" t="s">
        <v>1435</v>
      </c>
      <c r="N969" s="79">
        <v>1</v>
      </c>
      <c r="O969" s="79">
        <v>0</v>
      </c>
      <c r="P969" s="107"/>
      <c r="R969" s="79"/>
    </row>
    <row r="970" spans="1:18" s="178" customFormat="1">
      <c r="A970" s="176">
        <v>400020</v>
      </c>
      <c r="B970" s="176">
        <f t="shared" si="61"/>
        <v>4000201</v>
      </c>
      <c r="C970" s="176" t="s">
        <v>1436</v>
      </c>
      <c r="D970" s="176">
        <f t="shared" si="62"/>
        <v>4000202</v>
      </c>
      <c r="E970" s="176" t="s">
        <v>1437</v>
      </c>
      <c r="F970" s="176">
        <v>5</v>
      </c>
      <c r="G970" s="176">
        <v>1</v>
      </c>
      <c r="H970" s="176" t="s">
        <v>293</v>
      </c>
      <c r="I970" s="176"/>
      <c r="J970" s="176"/>
      <c r="K970" s="176">
        <v>5</v>
      </c>
      <c r="L970" s="176">
        <v>4</v>
      </c>
      <c r="M970" s="176" t="s">
        <v>1438</v>
      </c>
      <c r="N970" s="176">
        <v>1</v>
      </c>
      <c r="O970" s="176">
        <v>0</v>
      </c>
      <c r="P970" s="176"/>
      <c r="Q970" s="176"/>
      <c r="R970" s="175"/>
    </row>
    <row r="971" spans="1:18" s="106" customFormat="1">
      <c r="A971" s="79">
        <v>400021</v>
      </c>
      <c r="B971" s="121">
        <f t="shared" si="61"/>
        <v>4000211</v>
      </c>
      <c r="C971" s="79" t="s">
        <v>1439</v>
      </c>
      <c r="D971" s="121">
        <f t="shared" si="62"/>
        <v>4000212</v>
      </c>
      <c r="E971" s="79" t="s">
        <v>1440</v>
      </c>
      <c r="F971" s="79">
        <v>5</v>
      </c>
      <c r="G971" s="79">
        <v>1</v>
      </c>
      <c r="H971" s="79" t="s">
        <v>293</v>
      </c>
      <c r="I971" s="79"/>
      <c r="J971" s="79"/>
      <c r="K971" s="79">
        <v>5</v>
      </c>
      <c r="L971" s="79">
        <v>4</v>
      </c>
      <c r="M971" s="127" t="s">
        <v>1441</v>
      </c>
      <c r="N971" s="79">
        <v>1</v>
      </c>
      <c r="O971" s="79">
        <v>0</v>
      </c>
      <c r="P971" s="107"/>
      <c r="R971" s="79"/>
    </row>
    <row r="972" spans="1:18" s="106" customFormat="1">
      <c r="A972" s="79">
        <v>400022</v>
      </c>
      <c r="B972" s="121">
        <f t="shared" si="61"/>
        <v>4000221</v>
      </c>
      <c r="C972" s="79" t="s">
        <v>1442</v>
      </c>
      <c r="D972" s="121">
        <f t="shared" si="62"/>
        <v>4000222</v>
      </c>
      <c r="E972" s="79" t="s">
        <v>1443</v>
      </c>
      <c r="F972" s="79">
        <v>5</v>
      </c>
      <c r="G972" s="79">
        <v>1</v>
      </c>
      <c r="H972" s="79" t="s">
        <v>293</v>
      </c>
      <c r="I972" s="79"/>
      <c r="J972" s="79"/>
      <c r="K972" s="79">
        <v>5</v>
      </c>
      <c r="L972" s="79">
        <v>4</v>
      </c>
      <c r="M972" s="127" t="s">
        <v>1444</v>
      </c>
      <c r="N972" s="79">
        <v>1</v>
      </c>
      <c r="O972" s="79">
        <v>0</v>
      </c>
      <c r="P972" s="107"/>
      <c r="R972" s="79"/>
    </row>
    <row r="973" spans="1:18" s="106" customFormat="1">
      <c r="A973" s="79">
        <v>400023</v>
      </c>
      <c r="B973" s="121">
        <f t="shared" si="61"/>
        <v>4000231</v>
      </c>
      <c r="C973" s="79" t="s">
        <v>1445</v>
      </c>
      <c r="D973" s="121">
        <f t="shared" si="62"/>
        <v>4000232</v>
      </c>
      <c r="E973" s="79" t="s">
        <v>1446</v>
      </c>
      <c r="F973" s="79">
        <v>5</v>
      </c>
      <c r="G973" s="79">
        <v>1</v>
      </c>
      <c r="H973" s="79" t="s">
        <v>293</v>
      </c>
      <c r="I973" s="79"/>
      <c r="J973" s="79"/>
      <c r="K973" s="79">
        <v>5</v>
      </c>
      <c r="L973" s="79">
        <v>4</v>
      </c>
      <c r="M973" s="127" t="s">
        <v>1447</v>
      </c>
      <c r="N973" s="79">
        <v>1</v>
      </c>
      <c r="O973" s="79">
        <v>0</v>
      </c>
      <c r="P973" s="107"/>
      <c r="R973" s="79"/>
    </row>
    <row r="974" spans="1:18" s="106" customFormat="1">
      <c r="A974" s="79">
        <v>400024</v>
      </c>
      <c r="B974" s="121">
        <f t="shared" si="61"/>
        <v>4000241</v>
      </c>
      <c r="C974" s="79" t="s">
        <v>1439</v>
      </c>
      <c r="D974" s="121">
        <f t="shared" si="62"/>
        <v>4000242</v>
      </c>
      <c r="E974" s="79" t="s">
        <v>1448</v>
      </c>
      <c r="F974" s="79">
        <v>5</v>
      </c>
      <c r="G974" s="79">
        <v>1</v>
      </c>
      <c r="H974" s="79" t="s">
        <v>293</v>
      </c>
      <c r="I974" s="79"/>
      <c r="J974" s="79"/>
      <c r="K974" s="79">
        <v>6</v>
      </c>
      <c r="L974" s="79">
        <v>4</v>
      </c>
      <c r="M974" s="127" t="s">
        <v>1449</v>
      </c>
      <c r="N974" s="79">
        <v>1</v>
      </c>
      <c r="O974" s="79">
        <v>0</v>
      </c>
      <c r="P974" s="107"/>
      <c r="R974" s="79"/>
    </row>
    <row r="975" spans="1:18" s="106" customFormat="1">
      <c r="A975" s="79">
        <v>400025</v>
      </c>
      <c r="B975" s="121">
        <f t="shared" si="61"/>
        <v>4000251</v>
      </c>
      <c r="C975" s="79" t="s">
        <v>1442</v>
      </c>
      <c r="D975" s="121">
        <f t="shared" si="62"/>
        <v>4000252</v>
      </c>
      <c r="E975" s="79" t="s">
        <v>1450</v>
      </c>
      <c r="F975" s="79">
        <v>5</v>
      </c>
      <c r="G975" s="79">
        <v>1</v>
      </c>
      <c r="H975" s="79" t="s">
        <v>293</v>
      </c>
      <c r="I975" s="79"/>
      <c r="J975" s="79"/>
      <c r="K975" s="79">
        <v>6</v>
      </c>
      <c r="L975" s="79">
        <v>4</v>
      </c>
      <c r="M975" s="127" t="s">
        <v>1451</v>
      </c>
      <c r="N975" s="79">
        <v>1</v>
      </c>
      <c r="O975" s="79">
        <v>0</v>
      </c>
      <c r="P975" s="107"/>
      <c r="R975" s="79"/>
    </row>
    <row r="976" spans="1:18" s="106" customFormat="1">
      <c r="A976" s="79">
        <v>400026</v>
      </c>
      <c r="B976" s="121">
        <f t="shared" si="61"/>
        <v>4000261</v>
      </c>
      <c r="C976" s="79" t="s">
        <v>1445</v>
      </c>
      <c r="D976" s="121">
        <f t="shared" si="62"/>
        <v>4000262</v>
      </c>
      <c r="E976" s="79" t="s">
        <v>1452</v>
      </c>
      <c r="F976" s="79">
        <v>5</v>
      </c>
      <c r="G976" s="79">
        <v>1</v>
      </c>
      <c r="H976" s="79" t="s">
        <v>293</v>
      </c>
      <c r="I976" s="79"/>
      <c r="J976" s="79"/>
      <c r="K976" s="79">
        <v>6</v>
      </c>
      <c r="L976" s="79">
        <v>4</v>
      </c>
      <c r="M976" s="127" t="s">
        <v>1453</v>
      </c>
      <c r="N976" s="79">
        <v>1</v>
      </c>
      <c r="O976" s="79">
        <v>0</v>
      </c>
      <c r="P976" s="107"/>
      <c r="R976" s="79"/>
    </row>
    <row r="977" spans="1:18" s="106" customFormat="1">
      <c r="A977" s="79">
        <v>400027</v>
      </c>
      <c r="B977" s="121">
        <f t="shared" si="61"/>
        <v>4000271</v>
      </c>
      <c r="C977" s="79" t="s">
        <v>1439</v>
      </c>
      <c r="D977" s="121">
        <f t="shared" si="62"/>
        <v>4000272</v>
      </c>
      <c r="E977" s="79" t="s">
        <v>1454</v>
      </c>
      <c r="F977" s="79">
        <v>5</v>
      </c>
      <c r="G977" s="79">
        <v>1</v>
      </c>
      <c r="H977" s="79" t="s">
        <v>293</v>
      </c>
      <c r="I977" s="79"/>
      <c r="J977" s="79"/>
      <c r="K977" s="79">
        <v>7</v>
      </c>
      <c r="L977" s="79">
        <v>4</v>
      </c>
      <c r="M977" s="127" t="s">
        <v>1455</v>
      </c>
      <c r="N977" s="79">
        <v>1</v>
      </c>
      <c r="O977" s="79">
        <v>0</v>
      </c>
      <c r="P977" s="107"/>
      <c r="R977" s="79"/>
    </row>
    <row r="978" spans="1:18" s="106" customFormat="1">
      <c r="A978" s="79">
        <v>400028</v>
      </c>
      <c r="B978" s="121">
        <f t="shared" si="61"/>
        <v>4000281</v>
      </c>
      <c r="C978" s="79" t="s">
        <v>1442</v>
      </c>
      <c r="D978" s="121">
        <f t="shared" si="62"/>
        <v>4000282</v>
      </c>
      <c r="E978" s="79" t="s">
        <v>1456</v>
      </c>
      <c r="F978" s="79">
        <v>5</v>
      </c>
      <c r="G978" s="79">
        <v>1</v>
      </c>
      <c r="H978" s="79" t="s">
        <v>293</v>
      </c>
      <c r="I978" s="79"/>
      <c r="J978" s="79"/>
      <c r="K978" s="79">
        <v>7</v>
      </c>
      <c r="L978" s="79">
        <v>4</v>
      </c>
      <c r="M978" s="127" t="s">
        <v>1457</v>
      </c>
      <c r="N978" s="79">
        <v>1</v>
      </c>
      <c r="O978" s="79">
        <v>0</v>
      </c>
      <c r="P978" s="107"/>
      <c r="R978" s="79"/>
    </row>
    <row r="979" spans="1:18" s="106" customFormat="1">
      <c r="A979" s="79">
        <v>400029</v>
      </c>
      <c r="B979" s="121">
        <f t="shared" si="61"/>
        <v>4000291</v>
      </c>
      <c r="C979" s="79" t="s">
        <v>1445</v>
      </c>
      <c r="D979" s="121">
        <f t="shared" si="62"/>
        <v>4000292</v>
      </c>
      <c r="E979" s="79" t="s">
        <v>1458</v>
      </c>
      <c r="F979" s="79">
        <v>5</v>
      </c>
      <c r="G979" s="79">
        <v>1</v>
      </c>
      <c r="H979" s="79" t="s">
        <v>293</v>
      </c>
      <c r="I979" s="79"/>
      <c r="J979" s="79"/>
      <c r="K979" s="79">
        <v>7</v>
      </c>
      <c r="L979" s="79">
        <v>4</v>
      </c>
      <c r="M979" s="127" t="s">
        <v>1459</v>
      </c>
      <c r="N979" s="79">
        <v>1</v>
      </c>
      <c r="O979" s="79">
        <v>0</v>
      </c>
      <c r="P979" s="107"/>
      <c r="R979" s="79"/>
    </row>
    <row r="980" spans="1:18" s="178" customFormat="1">
      <c r="A980" s="176">
        <v>400030</v>
      </c>
      <c r="B980" s="176">
        <f t="shared" si="61"/>
        <v>4000301</v>
      </c>
      <c r="C980" s="176" t="s">
        <v>1436</v>
      </c>
      <c r="D980" s="176">
        <f t="shared" si="62"/>
        <v>4000302</v>
      </c>
      <c r="E980" s="176" t="s">
        <v>1460</v>
      </c>
      <c r="F980" s="176">
        <v>5</v>
      </c>
      <c r="G980" s="176">
        <v>1</v>
      </c>
      <c r="H980" s="176" t="s">
        <v>293</v>
      </c>
      <c r="I980" s="176"/>
      <c r="J980" s="176"/>
      <c r="K980" s="176">
        <v>6</v>
      </c>
      <c r="L980" s="176">
        <v>4</v>
      </c>
      <c r="M980" s="176" t="s">
        <v>1461</v>
      </c>
      <c r="N980" s="176">
        <v>1</v>
      </c>
      <c r="O980" s="176">
        <v>0</v>
      </c>
      <c r="P980" s="176"/>
      <c r="Q980" s="176"/>
      <c r="R980" s="175"/>
    </row>
    <row r="981" spans="1:18" s="106" customFormat="1">
      <c r="A981" s="79">
        <v>400031</v>
      </c>
      <c r="B981" s="121">
        <f t="shared" si="61"/>
        <v>4000311</v>
      </c>
      <c r="C981" s="79" t="s">
        <v>1462</v>
      </c>
      <c r="D981" s="121">
        <f t="shared" si="62"/>
        <v>4000312</v>
      </c>
      <c r="E981" s="79" t="s">
        <v>1463</v>
      </c>
      <c r="F981" s="79">
        <v>5</v>
      </c>
      <c r="G981" s="79">
        <v>1</v>
      </c>
      <c r="H981" s="79" t="s">
        <v>298</v>
      </c>
      <c r="I981" s="79"/>
      <c r="J981" s="79"/>
      <c r="K981" s="79">
        <v>4</v>
      </c>
      <c r="L981" s="79">
        <v>4</v>
      </c>
      <c r="M981" s="127" t="s">
        <v>1464</v>
      </c>
      <c r="N981" s="79">
        <v>1</v>
      </c>
      <c r="O981" s="79">
        <v>0</v>
      </c>
      <c r="P981" s="107"/>
      <c r="R981" s="79"/>
    </row>
    <row r="982" spans="1:18" s="106" customFormat="1">
      <c r="A982" s="79">
        <v>400032</v>
      </c>
      <c r="B982" s="121">
        <f t="shared" ref="B982:B1045" si="71">A982*10+1</f>
        <v>4000321</v>
      </c>
      <c r="C982" s="79" t="s">
        <v>1465</v>
      </c>
      <c r="D982" s="121">
        <f t="shared" ref="D982:D1045" si="72">A982*10+2</f>
        <v>4000322</v>
      </c>
      <c r="E982" s="79" t="s">
        <v>1466</v>
      </c>
      <c r="F982" s="79">
        <v>5</v>
      </c>
      <c r="G982" s="79">
        <v>1</v>
      </c>
      <c r="H982" s="79" t="s">
        <v>298</v>
      </c>
      <c r="I982" s="79"/>
      <c r="J982" s="79"/>
      <c r="K982" s="79">
        <v>4</v>
      </c>
      <c r="L982" s="79">
        <v>4</v>
      </c>
      <c r="M982" s="127" t="s">
        <v>1467</v>
      </c>
      <c r="N982" s="79">
        <v>1</v>
      </c>
      <c r="O982" s="79">
        <v>0</v>
      </c>
      <c r="P982" s="107"/>
      <c r="R982" s="79"/>
    </row>
    <row r="983" spans="1:18" s="106" customFormat="1">
      <c r="A983" s="79">
        <v>400033</v>
      </c>
      <c r="B983" s="121">
        <f t="shared" si="71"/>
        <v>4000331</v>
      </c>
      <c r="C983" s="79" t="s">
        <v>1468</v>
      </c>
      <c r="D983" s="121">
        <f t="shared" si="72"/>
        <v>4000332</v>
      </c>
      <c r="E983" s="79" t="s">
        <v>1469</v>
      </c>
      <c r="F983" s="79">
        <v>5</v>
      </c>
      <c r="G983" s="79">
        <v>1</v>
      </c>
      <c r="H983" s="79" t="s">
        <v>298</v>
      </c>
      <c r="I983" s="79"/>
      <c r="J983" s="79"/>
      <c r="K983" s="79">
        <v>4</v>
      </c>
      <c r="L983" s="79">
        <v>4</v>
      </c>
      <c r="M983" s="127" t="s">
        <v>1470</v>
      </c>
      <c r="N983" s="79">
        <v>1</v>
      </c>
      <c r="O983" s="79">
        <v>0</v>
      </c>
      <c r="P983" s="107"/>
      <c r="R983" s="79"/>
    </row>
    <row r="984" spans="1:18" s="106" customFormat="1">
      <c r="A984" s="79">
        <v>400041</v>
      </c>
      <c r="B984" s="121">
        <f t="shared" si="71"/>
        <v>4000411</v>
      </c>
      <c r="C984" s="79" t="s">
        <v>1471</v>
      </c>
      <c r="D984" s="121">
        <f t="shared" si="72"/>
        <v>4000412</v>
      </c>
      <c r="E984" s="79" t="s">
        <v>1472</v>
      </c>
      <c r="F984" s="79">
        <v>5</v>
      </c>
      <c r="G984" s="79">
        <v>1</v>
      </c>
      <c r="H984" s="79" t="s">
        <v>303</v>
      </c>
      <c r="I984" s="79"/>
      <c r="J984" s="79"/>
      <c r="K984" s="79">
        <v>5</v>
      </c>
      <c r="L984" s="79">
        <v>4</v>
      </c>
      <c r="M984" s="127" t="s">
        <v>1473</v>
      </c>
      <c r="N984" s="79">
        <v>1</v>
      </c>
      <c r="O984" s="79">
        <v>0</v>
      </c>
      <c r="P984" s="107"/>
      <c r="R984" s="79"/>
    </row>
    <row r="985" spans="1:18" s="106" customFormat="1">
      <c r="A985" s="79">
        <v>400042</v>
      </c>
      <c r="B985" s="121">
        <f t="shared" si="71"/>
        <v>4000421</v>
      </c>
      <c r="C985" s="79" t="s">
        <v>1474</v>
      </c>
      <c r="D985" s="121">
        <f t="shared" si="72"/>
        <v>4000422</v>
      </c>
      <c r="E985" s="79" t="s">
        <v>1475</v>
      </c>
      <c r="F985" s="79">
        <v>5</v>
      </c>
      <c r="G985" s="79">
        <v>1</v>
      </c>
      <c r="H985" s="79" t="s">
        <v>303</v>
      </c>
      <c r="I985" s="79"/>
      <c r="J985" s="79"/>
      <c r="K985" s="79">
        <v>5</v>
      </c>
      <c r="L985" s="79">
        <v>4</v>
      </c>
      <c r="M985" s="127" t="s">
        <v>1476</v>
      </c>
      <c r="N985" s="79">
        <v>1</v>
      </c>
      <c r="O985" s="79">
        <v>0</v>
      </c>
      <c r="P985" s="107"/>
      <c r="R985" s="79"/>
    </row>
    <row r="986" spans="1:18" s="106" customFormat="1">
      <c r="A986" s="79">
        <v>400043</v>
      </c>
      <c r="B986" s="121">
        <f t="shared" si="71"/>
        <v>4000431</v>
      </c>
      <c r="C986" s="79" t="s">
        <v>1477</v>
      </c>
      <c r="D986" s="121">
        <f t="shared" si="72"/>
        <v>4000432</v>
      </c>
      <c r="E986" s="79" t="s">
        <v>1478</v>
      </c>
      <c r="F986" s="79">
        <v>5</v>
      </c>
      <c r="G986" s="79">
        <v>1</v>
      </c>
      <c r="H986" s="79" t="s">
        <v>303</v>
      </c>
      <c r="I986" s="79"/>
      <c r="J986" s="79"/>
      <c r="K986" s="79">
        <v>5</v>
      </c>
      <c r="L986" s="79">
        <v>4</v>
      </c>
      <c r="M986" s="127" t="s">
        <v>1479</v>
      </c>
      <c r="N986" s="79">
        <v>1</v>
      </c>
      <c r="O986" s="79">
        <v>0</v>
      </c>
      <c r="P986" s="107"/>
      <c r="R986" s="79"/>
    </row>
    <row r="987" spans="1:18" s="106" customFormat="1">
      <c r="A987" s="79">
        <v>400044</v>
      </c>
      <c r="B987" s="121">
        <f t="shared" si="71"/>
        <v>4000441</v>
      </c>
      <c r="C987" s="79" t="s">
        <v>1471</v>
      </c>
      <c r="D987" s="121">
        <f t="shared" si="72"/>
        <v>4000442</v>
      </c>
      <c r="E987" s="79" t="s">
        <v>1480</v>
      </c>
      <c r="F987" s="79">
        <v>5</v>
      </c>
      <c r="G987" s="79">
        <v>1</v>
      </c>
      <c r="H987" s="79" t="s">
        <v>303</v>
      </c>
      <c r="I987" s="79"/>
      <c r="J987" s="79"/>
      <c r="K987" s="79">
        <v>6</v>
      </c>
      <c r="L987" s="79">
        <v>4</v>
      </c>
      <c r="M987" s="127" t="s">
        <v>1481</v>
      </c>
      <c r="N987" s="79">
        <v>1</v>
      </c>
      <c r="O987" s="79">
        <v>0</v>
      </c>
      <c r="P987" s="107"/>
      <c r="R987" s="79"/>
    </row>
    <row r="988" spans="1:18" s="106" customFormat="1">
      <c r="A988" s="79">
        <v>400045</v>
      </c>
      <c r="B988" s="121">
        <f t="shared" si="71"/>
        <v>4000451</v>
      </c>
      <c r="C988" s="79" t="s">
        <v>1474</v>
      </c>
      <c r="D988" s="121">
        <f t="shared" si="72"/>
        <v>4000452</v>
      </c>
      <c r="E988" s="79" t="s">
        <v>1482</v>
      </c>
      <c r="F988" s="79">
        <v>5</v>
      </c>
      <c r="G988" s="79">
        <v>1</v>
      </c>
      <c r="H988" s="79" t="s">
        <v>303</v>
      </c>
      <c r="I988" s="79"/>
      <c r="J988" s="79"/>
      <c r="K988" s="79">
        <v>6</v>
      </c>
      <c r="L988" s="79">
        <v>4</v>
      </c>
      <c r="M988" s="127" t="s">
        <v>1483</v>
      </c>
      <c r="N988" s="79">
        <v>1</v>
      </c>
      <c r="O988" s="79">
        <v>0</v>
      </c>
      <c r="P988" s="107"/>
      <c r="R988" s="79"/>
    </row>
    <row r="989" spans="1:18" s="106" customFormat="1">
      <c r="A989" s="79">
        <v>400046</v>
      </c>
      <c r="B989" s="121">
        <f t="shared" si="71"/>
        <v>4000461</v>
      </c>
      <c r="C989" s="79" t="s">
        <v>1477</v>
      </c>
      <c r="D989" s="121">
        <f t="shared" si="72"/>
        <v>4000462</v>
      </c>
      <c r="E989" s="79" t="s">
        <v>1484</v>
      </c>
      <c r="F989" s="79">
        <v>5</v>
      </c>
      <c r="G989" s="79">
        <v>1</v>
      </c>
      <c r="H989" s="79" t="s">
        <v>303</v>
      </c>
      <c r="I989" s="79"/>
      <c r="J989" s="79"/>
      <c r="K989" s="79">
        <v>6</v>
      </c>
      <c r="L989" s="79">
        <v>4</v>
      </c>
      <c r="M989" s="127" t="s">
        <v>1485</v>
      </c>
      <c r="N989" s="79">
        <v>1</v>
      </c>
      <c r="O989" s="79">
        <v>0</v>
      </c>
      <c r="P989" s="107"/>
      <c r="R989" s="79"/>
    </row>
    <row r="990" spans="1:18" s="106" customFormat="1">
      <c r="A990" s="79">
        <v>400047</v>
      </c>
      <c r="B990" s="121">
        <f t="shared" si="71"/>
        <v>4000471</v>
      </c>
      <c r="C990" s="79" t="s">
        <v>1471</v>
      </c>
      <c r="D990" s="121">
        <f t="shared" si="72"/>
        <v>4000472</v>
      </c>
      <c r="E990" s="79" t="s">
        <v>1486</v>
      </c>
      <c r="F990" s="79">
        <v>5</v>
      </c>
      <c r="G990" s="79">
        <v>1</v>
      </c>
      <c r="H990" s="79" t="s">
        <v>303</v>
      </c>
      <c r="I990" s="79"/>
      <c r="J990" s="79"/>
      <c r="K990" s="79">
        <v>7</v>
      </c>
      <c r="L990" s="79">
        <v>4</v>
      </c>
      <c r="M990" s="127" t="s">
        <v>1487</v>
      </c>
      <c r="N990" s="79">
        <v>1</v>
      </c>
      <c r="O990" s="79">
        <v>0</v>
      </c>
      <c r="P990" s="107"/>
      <c r="R990" s="79"/>
    </row>
    <row r="991" spans="1:18" s="106" customFormat="1">
      <c r="A991" s="79">
        <v>400048</v>
      </c>
      <c r="B991" s="121">
        <f t="shared" si="71"/>
        <v>4000481</v>
      </c>
      <c r="C991" s="79" t="s">
        <v>1474</v>
      </c>
      <c r="D991" s="121">
        <f t="shared" si="72"/>
        <v>4000482</v>
      </c>
      <c r="E991" s="79" t="s">
        <v>1488</v>
      </c>
      <c r="F991" s="79">
        <v>5</v>
      </c>
      <c r="G991" s="79">
        <v>1</v>
      </c>
      <c r="H991" s="79" t="s">
        <v>303</v>
      </c>
      <c r="I991" s="79"/>
      <c r="J991" s="79"/>
      <c r="K991" s="79">
        <v>7</v>
      </c>
      <c r="L991" s="79">
        <v>4</v>
      </c>
      <c r="M991" s="127" t="s">
        <v>1489</v>
      </c>
      <c r="N991" s="79">
        <v>1</v>
      </c>
      <c r="O991" s="79">
        <v>0</v>
      </c>
      <c r="P991" s="107"/>
      <c r="R991" s="79"/>
    </row>
    <row r="992" spans="1:18" s="106" customFormat="1">
      <c r="A992" s="79">
        <v>400049</v>
      </c>
      <c r="B992" s="121">
        <f t="shared" si="71"/>
        <v>4000491</v>
      </c>
      <c r="C992" s="79" t="s">
        <v>1477</v>
      </c>
      <c r="D992" s="121">
        <f t="shared" si="72"/>
        <v>4000492</v>
      </c>
      <c r="E992" s="79" t="s">
        <v>1490</v>
      </c>
      <c r="F992" s="79">
        <v>5</v>
      </c>
      <c r="G992" s="79">
        <v>1</v>
      </c>
      <c r="H992" s="79" t="s">
        <v>303</v>
      </c>
      <c r="I992" s="79"/>
      <c r="J992" s="79"/>
      <c r="K992" s="79">
        <v>7</v>
      </c>
      <c r="L992" s="79">
        <v>4</v>
      </c>
      <c r="M992" s="127" t="s">
        <v>1491</v>
      </c>
      <c r="N992" s="79">
        <v>1</v>
      </c>
      <c r="O992" s="79">
        <v>0</v>
      </c>
      <c r="P992" s="107"/>
      <c r="R992" s="79"/>
    </row>
    <row r="993" spans="1:18" s="106" customFormat="1">
      <c r="A993" s="79">
        <v>400051</v>
      </c>
      <c r="B993" s="121">
        <f t="shared" si="71"/>
        <v>4000511</v>
      </c>
      <c r="C993" s="79" t="s">
        <v>1492</v>
      </c>
      <c r="D993" s="121">
        <f t="shared" si="72"/>
        <v>4000512</v>
      </c>
      <c r="E993" s="79" t="s">
        <v>1493</v>
      </c>
      <c r="F993" s="79">
        <v>5</v>
      </c>
      <c r="G993" s="79">
        <v>1</v>
      </c>
      <c r="H993" s="79" t="s">
        <v>310</v>
      </c>
      <c r="I993" s="79"/>
      <c r="J993" s="79"/>
      <c r="K993" s="79">
        <v>5</v>
      </c>
      <c r="L993" s="79">
        <v>4</v>
      </c>
      <c r="M993" s="127" t="s">
        <v>1494</v>
      </c>
      <c r="N993" s="79">
        <v>1</v>
      </c>
      <c r="O993" s="79">
        <v>0</v>
      </c>
      <c r="P993" s="107"/>
      <c r="R993" s="79"/>
    </row>
    <row r="994" spans="1:18" s="106" customFormat="1">
      <c r="A994" s="79">
        <v>400052</v>
      </c>
      <c r="B994" s="121">
        <f t="shared" si="71"/>
        <v>4000521</v>
      </c>
      <c r="C994" s="79" t="s">
        <v>1495</v>
      </c>
      <c r="D994" s="121">
        <f t="shared" si="72"/>
        <v>4000522</v>
      </c>
      <c r="E994" s="79" t="s">
        <v>1496</v>
      </c>
      <c r="F994" s="79">
        <v>5</v>
      </c>
      <c r="G994" s="79">
        <v>1</v>
      </c>
      <c r="H994" s="79" t="s">
        <v>310</v>
      </c>
      <c r="I994" s="79"/>
      <c r="J994" s="79"/>
      <c r="K994" s="79">
        <v>5</v>
      </c>
      <c r="L994" s="79">
        <v>4</v>
      </c>
      <c r="M994" s="127" t="s">
        <v>1497</v>
      </c>
      <c r="N994" s="79">
        <v>1</v>
      </c>
      <c r="O994" s="79">
        <v>0</v>
      </c>
      <c r="P994" s="107"/>
      <c r="R994" s="79"/>
    </row>
    <row r="995" spans="1:18" s="106" customFormat="1">
      <c r="A995" s="79">
        <v>400053</v>
      </c>
      <c r="B995" s="121">
        <f t="shared" si="71"/>
        <v>4000531</v>
      </c>
      <c r="C995" s="79" t="s">
        <v>1498</v>
      </c>
      <c r="D995" s="121">
        <f t="shared" si="72"/>
        <v>4000532</v>
      </c>
      <c r="E995" s="79" t="s">
        <v>1499</v>
      </c>
      <c r="F995" s="79">
        <v>5</v>
      </c>
      <c r="G995" s="79">
        <v>1</v>
      </c>
      <c r="H995" s="79" t="s">
        <v>310</v>
      </c>
      <c r="I995" s="79"/>
      <c r="J995" s="79"/>
      <c r="K995" s="79">
        <v>5</v>
      </c>
      <c r="L995" s="79">
        <v>4</v>
      </c>
      <c r="M995" s="127" t="s">
        <v>1500</v>
      </c>
      <c r="N995" s="79">
        <v>1</v>
      </c>
      <c r="O995" s="79">
        <v>0</v>
      </c>
      <c r="P995" s="107"/>
      <c r="R995" s="79"/>
    </row>
    <row r="996" spans="1:18" s="106" customFormat="1">
      <c r="A996" s="79">
        <v>400054</v>
      </c>
      <c r="B996" s="121">
        <f t="shared" si="71"/>
        <v>4000541</v>
      </c>
      <c r="C996" s="79" t="s">
        <v>1492</v>
      </c>
      <c r="D996" s="121">
        <f t="shared" si="72"/>
        <v>4000542</v>
      </c>
      <c r="E996" s="79" t="s">
        <v>1501</v>
      </c>
      <c r="F996" s="79">
        <v>5</v>
      </c>
      <c r="G996" s="79">
        <v>1</v>
      </c>
      <c r="H996" s="79" t="s">
        <v>310</v>
      </c>
      <c r="I996" s="79"/>
      <c r="J996" s="79"/>
      <c r="K996" s="79">
        <v>6</v>
      </c>
      <c r="L996" s="79">
        <v>4</v>
      </c>
      <c r="M996" s="127" t="s">
        <v>1502</v>
      </c>
      <c r="N996" s="79">
        <v>1</v>
      </c>
      <c r="O996" s="79">
        <v>0</v>
      </c>
      <c r="P996" s="107"/>
      <c r="R996" s="79"/>
    </row>
    <row r="997" spans="1:18" s="106" customFormat="1">
      <c r="A997" s="79">
        <v>400055</v>
      </c>
      <c r="B997" s="121">
        <f t="shared" si="71"/>
        <v>4000551</v>
      </c>
      <c r="C997" s="79" t="s">
        <v>1495</v>
      </c>
      <c r="D997" s="121">
        <f t="shared" si="72"/>
        <v>4000552</v>
      </c>
      <c r="E997" s="79" t="s">
        <v>1503</v>
      </c>
      <c r="F997" s="79">
        <v>5</v>
      </c>
      <c r="G997" s="79">
        <v>1</v>
      </c>
      <c r="H997" s="79" t="s">
        <v>310</v>
      </c>
      <c r="I997" s="79"/>
      <c r="J997" s="79"/>
      <c r="K997" s="79">
        <v>6</v>
      </c>
      <c r="L997" s="79">
        <v>4</v>
      </c>
      <c r="M997" s="127" t="s">
        <v>1504</v>
      </c>
      <c r="N997" s="79">
        <v>1</v>
      </c>
      <c r="O997" s="79">
        <v>0</v>
      </c>
      <c r="P997" s="107"/>
      <c r="R997" s="79"/>
    </row>
    <row r="998" spans="1:18" s="106" customFormat="1">
      <c r="A998" s="79">
        <v>400056</v>
      </c>
      <c r="B998" s="121">
        <f t="shared" si="71"/>
        <v>4000561</v>
      </c>
      <c r="C998" s="79" t="s">
        <v>1498</v>
      </c>
      <c r="D998" s="121">
        <f t="shared" si="72"/>
        <v>4000562</v>
      </c>
      <c r="E998" s="79" t="s">
        <v>1505</v>
      </c>
      <c r="F998" s="79">
        <v>5</v>
      </c>
      <c r="G998" s="79">
        <v>1</v>
      </c>
      <c r="H998" s="79" t="s">
        <v>310</v>
      </c>
      <c r="I998" s="79"/>
      <c r="J998" s="79"/>
      <c r="K998" s="79">
        <v>6</v>
      </c>
      <c r="L998" s="79">
        <v>4</v>
      </c>
      <c r="M998" s="127" t="s">
        <v>1506</v>
      </c>
      <c r="N998" s="79">
        <v>1</v>
      </c>
      <c r="O998" s="79">
        <v>0</v>
      </c>
      <c r="P998" s="107"/>
      <c r="R998" s="79"/>
    </row>
    <row r="999" spans="1:18" s="106" customFormat="1">
      <c r="A999" s="79">
        <v>400057</v>
      </c>
      <c r="B999" s="121">
        <f t="shared" si="71"/>
        <v>4000571</v>
      </c>
      <c r="C999" s="79" t="s">
        <v>1492</v>
      </c>
      <c r="D999" s="121">
        <f t="shared" si="72"/>
        <v>4000572</v>
      </c>
      <c r="E999" s="79" t="s">
        <v>1507</v>
      </c>
      <c r="F999" s="79">
        <v>5</v>
      </c>
      <c r="G999" s="79">
        <v>1</v>
      </c>
      <c r="H999" s="79" t="s">
        <v>310</v>
      </c>
      <c r="I999" s="79"/>
      <c r="J999" s="79"/>
      <c r="K999" s="79">
        <v>7</v>
      </c>
      <c r="L999" s="79">
        <v>4</v>
      </c>
      <c r="M999" s="127" t="s">
        <v>1508</v>
      </c>
      <c r="N999" s="79">
        <v>1</v>
      </c>
      <c r="O999" s="79">
        <v>0</v>
      </c>
      <c r="P999" s="107"/>
      <c r="R999" s="79"/>
    </row>
    <row r="1000" spans="1:18" s="106" customFormat="1">
      <c r="A1000" s="79">
        <v>400058</v>
      </c>
      <c r="B1000" s="121">
        <f t="shared" si="71"/>
        <v>4000581</v>
      </c>
      <c r="C1000" s="79" t="s">
        <v>1495</v>
      </c>
      <c r="D1000" s="121">
        <f t="shared" si="72"/>
        <v>4000582</v>
      </c>
      <c r="E1000" s="79" t="s">
        <v>1509</v>
      </c>
      <c r="F1000" s="79">
        <v>5</v>
      </c>
      <c r="G1000" s="79">
        <v>1</v>
      </c>
      <c r="H1000" s="79" t="s">
        <v>310</v>
      </c>
      <c r="I1000" s="79"/>
      <c r="J1000" s="79"/>
      <c r="K1000" s="79">
        <v>7</v>
      </c>
      <c r="L1000" s="79">
        <v>4</v>
      </c>
      <c r="M1000" s="127" t="s">
        <v>1510</v>
      </c>
      <c r="N1000" s="79">
        <v>1</v>
      </c>
      <c r="O1000" s="79">
        <v>0</v>
      </c>
      <c r="P1000" s="107"/>
      <c r="R1000" s="79"/>
    </row>
    <row r="1001" spans="1:18" s="106" customFormat="1">
      <c r="A1001" s="79">
        <v>400059</v>
      </c>
      <c r="B1001" s="121">
        <f t="shared" si="71"/>
        <v>4000591</v>
      </c>
      <c r="C1001" s="79" t="s">
        <v>1498</v>
      </c>
      <c r="D1001" s="121">
        <f t="shared" si="72"/>
        <v>4000592</v>
      </c>
      <c r="E1001" s="79" t="s">
        <v>1511</v>
      </c>
      <c r="F1001" s="79">
        <v>5</v>
      </c>
      <c r="G1001" s="79">
        <v>1</v>
      </c>
      <c r="H1001" s="79" t="s">
        <v>310</v>
      </c>
      <c r="I1001" s="79"/>
      <c r="J1001" s="79"/>
      <c r="K1001" s="79">
        <v>7</v>
      </c>
      <c r="L1001" s="79">
        <v>4</v>
      </c>
      <c r="M1001" s="127" t="s">
        <v>1512</v>
      </c>
      <c r="N1001" s="79">
        <v>1</v>
      </c>
      <c r="O1001" s="79">
        <v>0</v>
      </c>
      <c r="P1001" s="107"/>
      <c r="R1001" s="79"/>
    </row>
    <row r="1002" spans="1:18" s="106" customFormat="1">
      <c r="A1002" s="79">
        <v>400060</v>
      </c>
      <c r="B1002" s="121">
        <f t="shared" si="71"/>
        <v>4000601</v>
      </c>
      <c r="C1002" s="79" t="s">
        <v>1513</v>
      </c>
      <c r="D1002" s="121">
        <f t="shared" si="72"/>
        <v>4000602</v>
      </c>
      <c r="E1002" s="79" t="s">
        <v>1514</v>
      </c>
      <c r="F1002" s="79">
        <v>5</v>
      </c>
      <c r="G1002" s="79">
        <v>1</v>
      </c>
      <c r="H1002" s="79" t="s">
        <v>310</v>
      </c>
      <c r="I1002" s="79"/>
      <c r="J1002" s="79"/>
      <c r="K1002" s="79">
        <v>6</v>
      </c>
      <c r="L1002" s="79">
        <v>4</v>
      </c>
      <c r="M1002" s="127" t="s">
        <v>1515</v>
      </c>
      <c r="N1002" s="79">
        <v>1</v>
      </c>
      <c r="O1002" s="79">
        <v>0</v>
      </c>
      <c r="P1002" s="107"/>
      <c r="R1002" s="79"/>
    </row>
    <row r="1003" spans="1:18" s="106" customFormat="1">
      <c r="A1003" s="79">
        <v>400061</v>
      </c>
      <c r="B1003" s="121">
        <f t="shared" si="71"/>
        <v>4000611</v>
      </c>
      <c r="C1003" s="79" t="s">
        <v>1516</v>
      </c>
      <c r="D1003" s="121">
        <f t="shared" si="72"/>
        <v>4000612</v>
      </c>
      <c r="E1003" s="79" t="s">
        <v>1517</v>
      </c>
      <c r="F1003" s="79">
        <v>5</v>
      </c>
      <c r="G1003" s="79">
        <v>1</v>
      </c>
      <c r="H1003" s="79" t="s">
        <v>316</v>
      </c>
      <c r="I1003" s="79"/>
      <c r="J1003" s="79"/>
      <c r="K1003" s="79">
        <v>5</v>
      </c>
      <c r="L1003" s="79">
        <v>4</v>
      </c>
      <c r="M1003" s="127" t="s">
        <v>1518</v>
      </c>
      <c r="N1003" s="79">
        <v>1</v>
      </c>
      <c r="O1003" s="79">
        <v>0</v>
      </c>
      <c r="P1003" s="107"/>
      <c r="R1003" s="79"/>
    </row>
    <row r="1004" spans="1:18" s="106" customFormat="1">
      <c r="A1004" s="79">
        <v>400062</v>
      </c>
      <c r="B1004" s="121">
        <f t="shared" si="71"/>
        <v>4000621</v>
      </c>
      <c r="C1004" s="79" t="s">
        <v>1519</v>
      </c>
      <c r="D1004" s="121">
        <f t="shared" si="72"/>
        <v>4000622</v>
      </c>
      <c r="E1004" s="79" t="s">
        <v>1520</v>
      </c>
      <c r="F1004" s="79">
        <v>5</v>
      </c>
      <c r="G1004" s="79">
        <v>1</v>
      </c>
      <c r="H1004" s="79" t="s">
        <v>316</v>
      </c>
      <c r="I1004" s="79"/>
      <c r="J1004" s="79"/>
      <c r="K1004" s="79">
        <v>5</v>
      </c>
      <c r="L1004" s="79">
        <v>4</v>
      </c>
      <c r="M1004" s="127" t="s">
        <v>1521</v>
      </c>
      <c r="N1004" s="79">
        <v>1</v>
      </c>
      <c r="O1004" s="79">
        <v>0</v>
      </c>
      <c r="P1004" s="107"/>
      <c r="R1004" s="79"/>
    </row>
    <row r="1005" spans="1:18" s="106" customFormat="1">
      <c r="A1005" s="79">
        <v>400063</v>
      </c>
      <c r="B1005" s="121">
        <f t="shared" si="71"/>
        <v>4000631</v>
      </c>
      <c r="C1005" s="79" t="s">
        <v>1522</v>
      </c>
      <c r="D1005" s="121">
        <f t="shared" si="72"/>
        <v>4000632</v>
      </c>
      <c r="E1005" s="79" t="s">
        <v>1523</v>
      </c>
      <c r="F1005" s="79">
        <v>5</v>
      </c>
      <c r="G1005" s="79">
        <v>1</v>
      </c>
      <c r="H1005" s="79" t="s">
        <v>316</v>
      </c>
      <c r="I1005" s="79"/>
      <c r="J1005" s="79"/>
      <c r="K1005" s="79">
        <v>5</v>
      </c>
      <c r="L1005" s="79">
        <v>4</v>
      </c>
      <c r="M1005" s="127" t="s">
        <v>1524</v>
      </c>
      <c r="N1005" s="79">
        <v>1</v>
      </c>
      <c r="O1005" s="79">
        <v>0</v>
      </c>
      <c r="P1005" s="107"/>
      <c r="R1005" s="79"/>
    </row>
    <row r="1006" spans="1:18" s="106" customFormat="1">
      <c r="A1006" s="79">
        <v>400064</v>
      </c>
      <c r="B1006" s="121">
        <f t="shared" si="71"/>
        <v>4000641</v>
      </c>
      <c r="C1006" s="79" t="s">
        <v>1516</v>
      </c>
      <c r="D1006" s="121">
        <f t="shared" si="72"/>
        <v>4000642</v>
      </c>
      <c r="E1006" s="79" t="s">
        <v>1525</v>
      </c>
      <c r="F1006" s="79">
        <v>5</v>
      </c>
      <c r="G1006" s="79">
        <v>1</v>
      </c>
      <c r="H1006" s="79" t="s">
        <v>316</v>
      </c>
      <c r="I1006" s="79"/>
      <c r="J1006" s="79"/>
      <c r="K1006" s="79">
        <v>6</v>
      </c>
      <c r="L1006" s="79">
        <v>4</v>
      </c>
      <c r="M1006" s="127" t="s">
        <v>1526</v>
      </c>
      <c r="N1006" s="79">
        <v>1</v>
      </c>
      <c r="O1006" s="79">
        <v>0</v>
      </c>
      <c r="P1006" s="107"/>
      <c r="R1006" s="79"/>
    </row>
    <row r="1007" spans="1:18" s="106" customFormat="1">
      <c r="A1007" s="79">
        <v>400065</v>
      </c>
      <c r="B1007" s="121">
        <f t="shared" si="71"/>
        <v>4000651</v>
      </c>
      <c r="C1007" s="79" t="s">
        <v>1519</v>
      </c>
      <c r="D1007" s="121">
        <f t="shared" si="72"/>
        <v>4000652</v>
      </c>
      <c r="E1007" s="79" t="s">
        <v>1527</v>
      </c>
      <c r="F1007" s="79">
        <v>5</v>
      </c>
      <c r="G1007" s="79">
        <v>1</v>
      </c>
      <c r="H1007" s="79" t="s">
        <v>316</v>
      </c>
      <c r="I1007" s="79"/>
      <c r="J1007" s="79"/>
      <c r="K1007" s="79">
        <v>6</v>
      </c>
      <c r="L1007" s="79">
        <v>4</v>
      </c>
      <c r="M1007" s="127" t="s">
        <v>1528</v>
      </c>
      <c r="N1007" s="79">
        <v>1</v>
      </c>
      <c r="O1007" s="79">
        <v>0</v>
      </c>
      <c r="P1007" s="107"/>
      <c r="R1007" s="79"/>
    </row>
    <row r="1008" spans="1:18" s="106" customFormat="1">
      <c r="A1008" s="79">
        <v>400066</v>
      </c>
      <c r="B1008" s="121">
        <f t="shared" si="71"/>
        <v>4000661</v>
      </c>
      <c r="C1008" s="79" t="s">
        <v>1522</v>
      </c>
      <c r="D1008" s="121">
        <f t="shared" si="72"/>
        <v>4000662</v>
      </c>
      <c r="E1008" s="79" t="s">
        <v>1529</v>
      </c>
      <c r="F1008" s="79">
        <v>5</v>
      </c>
      <c r="G1008" s="79">
        <v>1</v>
      </c>
      <c r="H1008" s="79" t="s">
        <v>316</v>
      </c>
      <c r="I1008" s="79"/>
      <c r="J1008" s="79"/>
      <c r="K1008" s="79">
        <v>6</v>
      </c>
      <c r="L1008" s="79">
        <v>4</v>
      </c>
      <c r="M1008" s="127" t="s">
        <v>1530</v>
      </c>
      <c r="N1008" s="79">
        <v>1</v>
      </c>
      <c r="O1008" s="79">
        <v>0</v>
      </c>
      <c r="P1008" s="107"/>
      <c r="R1008" s="79"/>
    </row>
    <row r="1009" spans="1:18" s="106" customFormat="1">
      <c r="A1009" s="79">
        <v>400067</v>
      </c>
      <c r="B1009" s="121">
        <f t="shared" si="71"/>
        <v>4000671</v>
      </c>
      <c r="C1009" s="79" t="s">
        <v>1519</v>
      </c>
      <c r="D1009" s="121">
        <f t="shared" si="72"/>
        <v>4000672</v>
      </c>
      <c r="E1009" s="79" t="s">
        <v>1531</v>
      </c>
      <c r="F1009" s="79">
        <v>5</v>
      </c>
      <c r="G1009" s="79">
        <v>1</v>
      </c>
      <c r="H1009" s="79" t="s">
        <v>316</v>
      </c>
      <c r="I1009" s="79"/>
      <c r="J1009" s="79"/>
      <c r="K1009" s="79">
        <v>4</v>
      </c>
      <c r="L1009" s="79">
        <v>4</v>
      </c>
      <c r="M1009" s="127" t="s">
        <v>1532</v>
      </c>
      <c r="N1009" s="79">
        <v>1</v>
      </c>
      <c r="O1009" s="79">
        <v>0</v>
      </c>
      <c r="P1009" s="107"/>
      <c r="R1009" s="79"/>
    </row>
    <row r="1010" spans="1:18" s="106" customFormat="1">
      <c r="A1010" s="79">
        <v>400068</v>
      </c>
      <c r="B1010" s="121">
        <f t="shared" si="71"/>
        <v>4000681</v>
      </c>
      <c r="C1010" s="79" t="s">
        <v>1533</v>
      </c>
      <c r="D1010" s="121">
        <f t="shared" si="72"/>
        <v>4000682</v>
      </c>
      <c r="E1010" s="79" t="s">
        <v>1534</v>
      </c>
      <c r="F1010" s="79">
        <v>5</v>
      </c>
      <c r="G1010" s="79">
        <v>1</v>
      </c>
      <c r="H1010" s="79" t="s">
        <v>316</v>
      </c>
      <c r="I1010" s="79"/>
      <c r="J1010" s="79"/>
      <c r="K1010" s="79">
        <v>4</v>
      </c>
      <c r="L1010" s="79">
        <v>4</v>
      </c>
      <c r="M1010" s="127" t="s">
        <v>1535</v>
      </c>
      <c r="N1010" s="79">
        <v>1</v>
      </c>
      <c r="O1010" s="79">
        <v>0</v>
      </c>
      <c r="P1010" s="107"/>
      <c r="R1010" s="79"/>
    </row>
    <row r="1011" spans="1:18" s="106" customFormat="1">
      <c r="A1011" s="79">
        <v>400069</v>
      </c>
      <c r="B1011" s="121">
        <f t="shared" si="71"/>
        <v>4000691</v>
      </c>
      <c r="C1011" s="79" t="s">
        <v>1533</v>
      </c>
      <c r="D1011" s="121">
        <f t="shared" si="72"/>
        <v>4000692</v>
      </c>
      <c r="E1011" s="79" t="s">
        <v>1536</v>
      </c>
      <c r="F1011" s="79">
        <v>5</v>
      </c>
      <c r="G1011" s="79">
        <v>1</v>
      </c>
      <c r="H1011" s="79" t="s">
        <v>316</v>
      </c>
      <c r="I1011" s="79"/>
      <c r="J1011" s="79"/>
      <c r="K1011" s="79">
        <v>5</v>
      </c>
      <c r="L1011" s="79">
        <v>4</v>
      </c>
      <c r="M1011" s="127" t="s">
        <v>1537</v>
      </c>
      <c r="N1011" s="79">
        <v>1</v>
      </c>
      <c r="O1011" s="79">
        <v>0</v>
      </c>
      <c r="P1011" s="107"/>
      <c r="R1011" s="79"/>
    </row>
    <row r="1012" spans="1:18" s="106" customFormat="1">
      <c r="A1012" s="79">
        <v>400071</v>
      </c>
      <c r="B1012" s="121">
        <f t="shared" si="71"/>
        <v>4000711</v>
      </c>
      <c r="C1012" s="79" t="s">
        <v>1538</v>
      </c>
      <c r="D1012" s="121">
        <f t="shared" si="72"/>
        <v>4000712</v>
      </c>
      <c r="E1012" s="79" t="s">
        <v>1539</v>
      </c>
      <c r="F1012" s="79">
        <v>5</v>
      </c>
      <c r="G1012" s="79">
        <v>1</v>
      </c>
      <c r="H1012" s="79" t="s">
        <v>321</v>
      </c>
      <c r="I1012" s="79"/>
      <c r="J1012" s="79"/>
      <c r="K1012" s="79">
        <v>5</v>
      </c>
      <c r="L1012" s="79">
        <v>4</v>
      </c>
      <c r="M1012" s="127" t="s">
        <v>1540</v>
      </c>
      <c r="N1012" s="79">
        <v>1</v>
      </c>
      <c r="O1012" s="79">
        <v>0</v>
      </c>
      <c r="P1012" s="107"/>
      <c r="R1012" s="79"/>
    </row>
    <row r="1013" spans="1:18" s="106" customFormat="1">
      <c r="A1013" s="79">
        <v>400072</v>
      </c>
      <c r="B1013" s="121">
        <f t="shared" si="71"/>
        <v>4000721</v>
      </c>
      <c r="C1013" s="79" t="s">
        <v>1541</v>
      </c>
      <c r="D1013" s="121">
        <f t="shared" si="72"/>
        <v>4000722</v>
      </c>
      <c r="E1013" s="79" t="s">
        <v>1542</v>
      </c>
      <c r="F1013" s="79">
        <v>5</v>
      </c>
      <c r="G1013" s="79">
        <v>1</v>
      </c>
      <c r="H1013" s="79" t="s">
        <v>321</v>
      </c>
      <c r="I1013" s="79"/>
      <c r="J1013" s="79"/>
      <c r="K1013" s="79">
        <v>5</v>
      </c>
      <c r="L1013" s="79">
        <v>4</v>
      </c>
      <c r="M1013" s="127" t="s">
        <v>1543</v>
      </c>
      <c r="N1013" s="79">
        <v>1</v>
      </c>
      <c r="O1013" s="79">
        <v>0</v>
      </c>
      <c r="P1013" s="107"/>
      <c r="R1013" s="79"/>
    </row>
    <row r="1014" spans="1:18" s="106" customFormat="1">
      <c r="A1014" s="79">
        <v>400073</v>
      </c>
      <c r="B1014" s="121">
        <f t="shared" si="71"/>
        <v>4000731</v>
      </c>
      <c r="C1014" s="79" t="s">
        <v>1544</v>
      </c>
      <c r="D1014" s="121">
        <f t="shared" si="72"/>
        <v>4000732</v>
      </c>
      <c r="E1014" s="79" t="s">
        <v>1545</v>
      </c>
      <c r="F1014" s="79">
        <v>5</v>
      </c>
      <c r="G1014" s="79">
        <v>1</v>
      </c>
      <c r="H1014" s="79" t="s">
        <v>321</v>
      </c>
      <c r="I1014" s="79"/>
      <c r="J1014" s="79"/>
      <c r="K1014" s="79">
        <v>5</v>
      </c>
      <c r="L1014" s="79">
        <v>4</v>
      </c>
      <c r="M1014" s="127" t="s">
        <v>1546</v>
      </c>
      <c r="N1014" s="79">
        <v>1</v>
      </c>
      <c r="O1014" s="79">
        <v>0</v>
      </c>
      <c r="P1014" s="107"/>
      <c r="R1014" s="79"/>
    </row>
    <row r="1015" spans="1:18" s="106" customFormat="1">
      <c r="A1015" s="79">
        <v>400074</v>
      </c>
      <c r="B1015" s="121">
        <f t="shared" si="71"/>
        <v>4000741</v>
      </c>
      <c r="C1015" s="79" t="s">
        <v>1538</v>
      </c>
      <c r="D1015" s="121">
        <f t="shared" si="72"/>
        <v>4000742</v>
      </c>
      <c r="E1015" s="79" t="s">
        <v>1547</v>
      </c>
      <c r="F1015" s="79">
        <v>5</v>
      </c>
      <c r="G1015" s="79">
        <v>1</v>
      </c>
      <c r="H1015" s="79" t="s">
        <v>321</v>
      </c>
      <c r="I1015" s="79"/>
      <c r="J1015" s="79"/>
      <c r="K1015" s="79">
        <v>6</v>
      </c>
      <c r="L1015" s="79">
        <v>4</v>
      </c>
      <c r="M1015" s="127" t="s">
        <v>1548</v>
      </c>
      <c r="N1015" s="79">
        <v>1</v>
      </c>
      <c r="O1015" s="79">
        <v>0</v>
      </c>
      <c r="P1015" s="107"/>
      <c r="R1015" s="79"/>
    </row>
    <row r="1016" spans="1:18" s="106" customFormat="1">
      <c r="A1016" s="79">
        <v>400075</v>
      </c>
      <c r="B1016" s="121">
        <f t="shared" si="71"/>
        <v>4000751</v>
      </c>
      <c r="C1016" s="79" t="s">
        <v>1541</v>
      </c>
      <c r="D1016" s="121">
        <f t="shared" si="72"/>
        <v>4000752</v>
      </c>
      <c r="E1016" s="79" t="s">
        <v>1549</v>
      </c>
      <c r="F1016" s="79">
        <v>5</v>
      </c>
      <c r="G1016" s="79">
        <v>1</v>
      </c>
      <c r="H1016" s="79" t="s">
        <v>321</v>
      </c>
      <c r="I1016" s="79"/>
      <c r="J1016" s="79"/>
      <c r="K1016" s="79">
        <v>6</v>
      </c>
      <c r="L1016" s="79">
        <v>4</v>
      </c>
      <c r="M1016" s="127" t="s">
        <v>1550</v>
      </c>
      <c r="N1016" s="79">
        <v>1</v>
      </c>
      <c r="O1016" s="79">
        <v>0</v>
      </c>
      <c r="P1016" s="107"/>
      <c r="R1016" s="79"/>
    </row>
    <row r="1017" spans="1:18" s="106" customFormat="1">
      <c r="A1017" s="79">
        <v>400076</v>
      </c>
      <c r="B1017" s="121">
        <f t="shared" si="71"/>
        <v>4000761</v>
      </c>
      <c r="C1017" s="79" t="s">
        <v>1544</v>
      </c>
      <c r="D1017" s="121">
        <f t="shared" si="72"/>
        <v>4000762</v>
      </c>
      <c r="E1017" s="79" t="s">
        <v>1551</v>
      </c>
      <c r="F1017" s="79">
        <v>5</v>
      </c>
      <c r="G1017" s="79">
        <v>1</v>
      </c>
      <c r="H1017" s="79" t="s">
        <v>321</v>
      </c>
      <c r="I1017" s="79"/>
      <c r="J1017" s="79"/>
      <c r="K1017" s="79">
        <v>6</v>
      </c>
      <c r="L1017" s="79">
        <v>4</v>
      </c>
      <c r="M1017" s="127" t="s">
        <v>1552</v>
      </c>
      <c r="N1017" s="79">
        <v>1</v>
      </c>
      <c r="O1017" s="79">
        <v>0</v>
      </c>
      <c r="P1017" s="107"/>
      <c r="R1017" s="79"/>
    </row>
    <row r="1018" spans="1:18" s="106" customFormat="1">
      <c r="A1018" s="79">
        <v>400077</v>
      </c>
      <c r="B1018" s="121">
        <f t="shared" si="71"/>
        <v>4000771</v>
      </c>
      <c r="C1018" s="79" t="s">
        <v>1538</v>
      </c>
      <c r="D1018" s="121">
        <f t="shared" si="72"/>
        <v>4000772</v>
      </c>
      <c r="E1018" s="79" t="s">
        <v>1553</v>
      </c>
      <c r="F1018" s="79">
        <v>5</v>
      </c>
      <c r="G1018" s="79">
        <v>1</v>
      </c>
      <c r="H1018" s="79" t="s">
        <v>321</v>
      </c>
      <c r="I1018" s="79"/>
      <c r="J1018" s="79"/>
      <c r="K1018" s="79">
        <v>7</v>
      </c>
      <c r="L1018" s="79">
        <v>4</v>
      </c>
      <c r="M1018" s="127" t="s">
        <v>1554</v>
      </c>
      <c r="N1018" s="79">
        <v>1</v>
      </c>
      <c r="O1018" s="79">
        <v>0</v>
      </c>
      <c r="P1018" s="107"/>
      <c r="R1018" s="79"/>
    </row>
    <row r="1019" spans="1:18" s="106" customFormat="1">
      <c r="A1019" s="79">
        <v>400078</v>
      </c>
      <c r="B1019" s="121">
        <f t="shared" si="71"/>
        <v>4000781</v>
      </c>
      <c r="C1019" s="79" t="s">
        <v>1541</v>
      </c>
      <c r="D1019" s="121">
        <f t="shared" si="72"/>
        <v>4000782</v>
      </c>
      <c r="E1019" s="79" t="s">
        <v>1555</v>
      </c>
      <c r="F1019" s="79">
        <v>5</v>
      </c>
      <c r="G1019" s="79">
        <v>1</v>
      </c>
      <c r="H1019" s="79" t="s">
        <v>321</v>
      </c>
      <c r="I1019" s="79"/>
      <c r="J1019" s="79"/>
      <c r="K1019" s="79">
        <v>7</v>
      </c>
      <c r="L1019" s="79">
        <v>4</v>
      </c>
      <c r="M1019" s="127" t="s">
        <v>1556</v>
      </c>
      <c r="N1019" s="79">
        <v>1</v>
      </c>
      <c r="O1019" s="79">
        <v>0</v>
      </c>
      <c r="P1019" s="107"/>
      <c r="R1019" s="79"/>
    </row>
    <row r="1020" spans="1:18" s="106" customFormat="1">
      <c r="A1020" s="79">
        <v>400079</v>
      </c>
      <c r="B1020" s="121">
        <f t="shared" si="71"/>
        <v>4000791</v>
      </c>
      <c r="C1020" s="79" t="s">
        <v>1544</v>
      </c>
      <c r="D1020" s="121">
        <f t="shared" si="72"/>
        <v>4000792</v>
      </c>
      <c r="E1020" s="79" t="s">
        <v>1557</v>
      </c>
      <c r="F1020" s="79">
        <v>5</v>
      </c>
      <c r="G1020" s="79">
        <v>1</v>
      </c>
      <c r="H1020" s="79" t="s">
        <v>321</v>
      </c>
      <c r="I1020" s="79"/>
      <c r="J1020" s="79"/>
      <c r="K1020" s="79">
        <v>7</v>
      </c>
      <c r="L1020" s="79">
        <v>4</v>
      </c>
      <c r="M1020" s="127" t="s">
        <v>1558</v>
      </c>
      <c r="N1020" s="79">
        <v>1</v>
      </c>
      <c r="O1020" s="79">
        <v>0</v>
      </c>
      <c r="P1020" s="107"/>
      <c r="R1020" s="79"/>
    </row>
    <row r="1021" spans="1:18" s="106" customFormat="1">
      <c r="A1021" s="79">
        <v>400081</v>
      </c>
      <c r="B1021" s="121">
        <f t="shared" si="71"/>
        <v>4000811</v>
      </c>
      <c r="C1021" s="79" t="s">
        <v>1559</v>
      </c>
      <c r="D1021" s="121">
        <f t="shared" si="72"/>
        <v>4000812</v>
      </c>
      <c r="E1021" s="79" t="s">
        <v>1560</v>
      </c>
      <c r="F1021" s="79">
        <v>5</v>
      </c>
      <c r="G1021" s="79">
        <v>1</v>
      </c>
      <c r="H1021" s="79" t="s">
        <v>326</v>
      </c>
      <c r="I1021" s="79"/>
      <c r="J1021" s="79"/>
      <c r="K1021" s="79">
        <v>5</v>
      </c>
      <c r="L1021" s="79">
        <v>4</v>
      </c>
      <c r="M1021" s="127" t="s">
        <v>1561</v>
      </c>
      <c r="N1021" s="79">
        <v>1</v>
      </c>
      <c r="O1021" s="79">
        <v>0</v>
      </c>
      <c r="P1021" s="107"/>
      <c r="R1021" s="79"/>
    </row>
    <row r="1022" spans="1:18" s="106" customFormat="1">
      <c r="A1022" s="79">
        <v>400082</v>
      </c>
      <c r="B1022" s="121">
        <f t="shared" si="71"/>
        <v>4000821</v>
      </c>
      <c r="C1022" s="79" t="s">
        <v>1562</v>
      </c>
      <c r="D1022" s="121">
        <f t="shared" si="72"/>
        <v>4000822</v>
      </c>
      <c r="E1022" s="79" t="s">
        <v>1563</v>
      </c>
      <c r="F1022" s="79">
        <v>5</v>
      </c>
      <c r="G1022" s="79">
        <v>1</v>
      </c>
      <c r="H1022" s="79" t="s">
        <v>326</v>
      </c>
      <c r="I1022" s="79"/>
      <c r="J1022" s="79"/>
      <c r="K1022" s="79">
        <v>5</v>
      </c>
      <c r="L1022" s="79">
        <v>4</v>
      </c>
      <c r="M1022" s="127" t="s">
        <v>1564</v>
      </c>
      <c r="N1022" s="79">
        <v>1</v>
      </c>
      <c r="O1022" s="79">
        <v>0</v>
      </c>
      <c r="P1022" s="107"/>
      <c r="R1022" s="79"/>
    </row>
    <row r="1023" spans="1:18" s="106" customFormat="1">
      <c r="A1023" s="79">
        <v>400083</v>
      </c>
      <c r="B1023" s="121">
        <f t="shared" si="71"/>
        <v>4000831</v>
      </c>
      <c r="C1023" s="79" t="s">
        <v>1565</v>
      </c>
      <c r="D1023" s="121">
        <f t="shared" si="72"/>
        <v>4000832</v>
      </c>
      <c r="E1023" s="79" t="s">
        <v>1566</v>
      </c>
      <c r="F1023" s="79">
        <v>5</v>
      </c>
      <c r="G1023" s="79">
        <v>1</v>
      </c>
      <c r="H1023" s="79" t="s">
        <v>326</v>
      </c>
      <c r="I1023" s="79"/>
      <c r="J1023" s="79"/>
      <c r="K1023" s="79">
        <v>5</v>
      </c>
      <c r="L1023" s="79">
        <v>4</v>
      </c>
      <c r="M1023" s="127" t="s">
        <v>1567</v>
      </c>
      <c r="N1023" s="79">
        <v>1</v>
      </c>
      <c r="O1023" s="79">
        <v>0</v>
      </c>
      <c r="P1023" s="107"/>
      <c r="R1023" s="79"/>
    </row>
    <row r="1024" spans="1:18" s="106" customFormat="1">
      <c r="A1024" s="79">
        <v>400084</v>
      </c>
      <c r="B1024" s="121">
        <f t="shared" si="71"/>
        <v>4000841</v>
      </c>
      <c r="C1024" s="79" t="s">
        <v>1559</v>
      </c>
      <c r="D1024" s="121">
        <f t="shared" si="72"/>
        <v>4000842</v>
      </c>
      <c r="E1024" s="79" t="s">
        <v>1568</v>
      </c>
      <c r="F1024" s="79">
        <v>5</v>
      </c>
      <c r="G1024" s="79">
        <v>1</v>
      </c>
      <c r="H1024" s="79" t="s">
        <v>326</v>
      </c>
      <c r="I1024" s="79"/>
      <c r="J1024" s="79"/>
      <c r="K1024" s="79">
        <v>6</v>
      </c>
      <c r="L1024" s="79">
        <v>4</v>
      </c>
      <c r="M1024" s="127" t="s">
        <v>1569</v>
      </c>
      <c r="N1024" s="79">
        <v>1</v>
      </c>
      <c r="O1024" s="79">
        <v>0</v>
      </c>
      <c r="P1024" s="107"/>
      <c r="R1024" s="79"/>
    </row>
    <row r="1025" spans="1:18" s="106" customFormat="1">
      <c r="A1025" s="79">
        <v>400085</v>
      </c>
      <c r="B1025" s="121">
        <f t="shared" si="71"/>
        <v>4000851</v>
      </c>
      <c r="C1025" s="79" t="s">
        <v>1562</v>
      </c>
      <c r="D1025" s="121">
        <f t="shared" si="72"/>
        <v>4000852</v>
      </c>
      <c r="E1025" s="79" t="s">
        <v>1570</v>
      </c>
      <c r="F1025" s="79">
        <v>5</v>
      </c>
      <c r="G1025" s="79">
        <v>1</v>
      </c>
      <c r="H1025" s="79" t="s">
        <v>326</v>
      </c>
      <c r="I1025" s="79"/>
      <c r="J1025" s="79"/>
      <c r="K1025" s="79">
        <v>6</v>
      </c>
      <c r="L1025" s="79">
        <v>4</v>
      </c>
      <c r="M1025" s="127" t="s">
        <v>1571</v>
      </c>
      <c r="N1025" s="79">
        <v>1</v>
      </c>
      <c r="O1025" s="79">
        <v>0</v>
      </c>
      <c r="P1025" s="107"/>
      <c r="R1025" s="79"/>
    </row>
    <row r="1026" spans="1:18" s="107" customFormat="1">
      <c r="A1026" s="79">
        <v>400086</v>
      </c>
      <c r="B1026" s="121">
        <f t="shared" si="71"/>
        <v>4000861</v>
      </c>
      <c r="C1026" s="79" t="s">
        <v>1565</v>
      </c>
      <c r="D1026" s="121">
        <f t="shared" si="72"/>
        <v>4000862</v>
      </c>
      <c r="E1026" s="79" t="s">
        <v>1572</v>
      </c>
      <c r="F1026" s="79">
        <v>5</v>
      </c>
      <c r="G1026" s="79">
        <v>1</v>
      </c>
      <c r="H1026" s="79" t="s">
        <v>326</v>
      </c>
      <c r="I1026" s="79"/>
      <c r="J1026" s="79"/>
      <c r="K1026" s="79">
        <v>6</v>
      </c>
      <c r="L1026" s="79">
        <v>4</v>
      </c>
      <c r="M1026" s="127" t="s">
        <v>1573</v>
      </c>
      <c r="N1026" s="79">
        <v>1</v>
      </c>
      <c r="O1026" s="79">
        <v>0</v>
      </c>
      <c r="Q1026" s="106"/>
      <c r="R1026" s="79"/>
    </row>
    <row r="1027" spans="1:18" s="107" customFormat="1">
      <c r="A1027" s="79">
        <v>400087</v>
      </c>
      <c r="B1027" s="121">
        <f t="shared" si="71"/>
        <v>4000871</v>
      </c>
      <c r="C1027" s="79" t="s">
        <v>1559</v>
      </c>
      <c r="D1027" s="121">
        <f t="shared" si="72"/>
        <v>4000872</v>
      </c>
      <c r="E1027" s="79" t="s">
        <v>1574</v>
      </c>
      <c r="F1027" s="79">
        <v>5</v>
      </c>
      <c r="G1027" s="79">
        <v>1</v>
      </c>
      <c r="H1027" s="79" t="s">
        <v>326</v>
      </c>
      <c r="I1027" s="79"/>
      <c r="J1027" s="79"/>
      <c r="K1027" s="79">
        <v>7</v>
      </c>
      <c r="L1027" s="79">
        <v>4</v>
      </c>
      <c r="M1027" s="127" t="s">
        <v>1575</v>
      </c>
      <c r="N1027" s="79">
        <v>1</v>
      </c>
      <c r="O1027" s="79">
        <v>0</v>
      </c>
      <c r="Q1027" s="106"/>
      <c r="R1027" s="79"/>
    </row>
    <row r="1028" spans="1:18" s="107" customFormat="1">
      <c r="A1028" s="79">
        <v>400088</v>
      </c>
      <c r="B1028" s="121">
        <f t="shared" si="71"/>
        <v>4000881</v>
      </c>
      <c r="C1028" s="79" t="s">
        <v>1562</v>
      </c>
      <c r="D1028" s="121">
        <f t="shared" si="72"/>
        <v>4000882</v>
      </c>
      <c r="E1028" s="79" t="s">
        <v>1576</v>
      </c>
      <c r="F1028" s="79">
        <v>5</v>
      </c>
      <c r="G1028" s="79">
        <v>1</v>
      </c>
      <c r="H1028" s="79" t="s">
        <v>326</v>
      </c>
      <c r="I1028" s="79"/>
      <c r="J1028" s="79"/>
      <c r="K1028" s="79">
        <v>7</v>
      </c>
      <c r="L1028" s="79">
        <v>4</v>
      </c>
      <c r="M1028" s="127" t="s">
        <v>1577</v>
      </c>
      <c r="N1028" s="79">
        <v>1</v>
      </c>
      <c r="O1028" s="79">
        <v>0</v>
      </c>
      <c r="Q1028" s="106"/>
      <c r="R1028" s="79"/>
    </row>
    <row r="1029" spans="1:18" s="106" customFormat="1">
      <c r="A1029" s="79">
        <v>400089</v>
      </c>
      <c r="B1029" s="121">
        <f t="shared" si="71"/>
        <v>4000891</v>
      </c>
      <c r="C1029" s="79" t="s">
        <v>1565</v>
      </c>
      <c r="D1029" s="121">
        <f t="shared" si="72"/>
        <v>4000892</v>
      </c>
      <c r="E1029" s="79" t="s">
        <v>1578</v>
      </c>
      <c r="F1029" s="79">
        <v>5</v>
      </c>
      <c r="G1029" s="79">
        <v>1</v>
      </c>
      <c r="H1029" s="79" t="s">
        <v>326</v>
      </c>
      <c r="I1029" s="79"/>
      <c r="J1029" s="79"/>
      <c r="K1029" s="79">
        <v>7</v>
      </c>
      <c r="L1029" s="79">
        <v>4</v>
      </c>
      <c r="M1029" s="127" t="s">
        <v>1579</v>
      </c>
      <c r="N1029" s="79">
        <v>1</v>
      </c>
      <c r="O1029" s="79">
        <v>0</v>
      </c>
      <c r="P1029" s="107"/>
      <c r="R1029" s="79"/>
    </row>
    <row r="1030" spans="1:18" s="106" customFormat="1">
      <c r="A1030" s="79">
        <v>400091</v>
      </c>
      <c r="B1030" s="121">
        <f t="shared" si="71"/>
        <v>4000911</v>
      </c>
      <c r="C1030" s="79" t="s">
        <v>1580</v>
      </c>
      <c r="D1030" s="121">
        <f t="shared" si="72"/>
        <v>4000912</v>
      </c>
      <c r="E1030" s="79" t="s">
        <v>1581</v>
      </c>
      <c r="F1030" s="79">
        <v>5</v>
      </c>
      <c r="G1030" s="79">
        <v>1</v>
      </c>
      <c r="H1030" s="79" t="s">
        <v>331</v>
      </c>
      <c r="I1030" s="79"/>
      <c r="J1030" s="79"/>
      <c r="K1030" s="79">
        <v>5</v>
      </c>
      <c r="L1030" s="79">
        <v>4</v>
      </c>
      <c r="M1030" s="127" t="s">
        <v>1582</v>
      </c>
      <c r="N1030" s="79">
        <v>1</v>
      </c>
      <c r="O1030" s="79">
        <v>0</v>
      </c>
      <c r="P1030" s="107"/>
      <c r="R1030" s="79"/>
    </row>
    <row r="1031" spans="1:18" s="106" customFormat="1">
      <c r="A1031" s="79">
        <v>400092</v>
      </c>
      <c r="B1031" s="121">
        <f t="shared" si="71"/>
        <v>4000921</v>
      </c>
      <c r="C1031" s="79" t="s">
        <v>1583</v>
      </c>
      <c r="D1031" s="121">
        <f t="shared" si="72"/>
        <v>4000922</v>
      </c>
      <c r="E1031" s="79" t="s">
        <v>1584</v>
      </c>
      <c r="F1031" s="79">
        <v>5</v>
      </c>
      <c r="G1031" s="79">
        <v>1</v>
      </c>
      <c r="H1031" s="79" t="s">
        <v>331</v>
      </c>
      <c r="I1031" s="79"/>
      <c r="J1031" s="79"/>
      <c r="K1031" s="79">
        <v>5</v>
      </c>
      <c r="L1031" s="79">
        <v>4</v>
      </c>
      <c r="M1031" s="127" t="s">
        <v>1585</v>
      </c>
      <c r="N1031" s="79">
        <v>1</v>
      </c>
      <c r="O1031" s="79">
        <v>0</v>
      </c>
      <c r="P1031" s="107"/>
      <c r="R1031" s="79"/>
    </row>
    <row r="1032" spans="1:18" s="106" customFormat="1">
      <c r="A1032" s="79">
        <v>400093</v>
      </c>
      <c r="B1032" s="121">
        <f t="shared" si="71"/>
        <v>4000931</v>
      </c>
      <c r="C1032" s="79" t="s">
        <v>1586</v>
      </c>
      <c r="D1032" s="121">
        <f t="shared" si="72"/>
        <v>4000932</v>
      </c>
      <c r="E1032" s="79" t="s">
        <v>1587</v>
      </c>
      <c r="F1032" s="79">
        <v>5</v>
      </c>
      <c r="G1032" s="79">
        <v>1</v>
      </c>
      <c r="H1032" s="79" t="s">
        <v>331</v>
      </c>
      <c r="I1032" s="79"/>
      <c r="J1032" s="79"/>
      <c r="K1032" s="79">
        <v>5</v>
      </c>
      <c r="L1032" s="79">
        <v>4</v>
      </c>
      <c r="M1032" s="127" t="s">
        <v>1588</v>
      </c>
      <c r="N1032" s="79">
        <v>1</v>
      </c>
      <c r="O1032" s="79">
        <v>0</v>
      </c>
      <c r="P1032" s="107"/>
      <c r="R1032" s="107"/>
    </row>
    <row r="1033" spans="1:18" s="106" customFormat="1">
      <c r="A1033" s="79">
        <v>400094</v>
      </c>
      <c r="B1033" s="121">
        <f t="shared" si="71"/>
        <v>4000941</v>
      </c>
      <c r="C1033" s="79" t="s">
        <v>1580</v>
      </c>
      <c r="D1033" s="121">
        <f t="shared" si="72"/>
        <v>4000942</v>
      </c>
      <c r="E1033" s="79" t="s">
        <v>1589</v>
      </c>
      <c r="F1033" s="79">
        <v>5</v>
      </c>
      <c r="G1033" s="79">
        <v>1</v>
      </c>
      <c r="H1033" s="79" t="s">
        <v>331</v>
      </c>
      <c r="I1033" s="79"/>
      <c r="J1033" s="79"/>
      <c r="K1033" s="79">
        <v>6</v>
      </c>
      <c r="L1033" s="79">
        <v>4</v>
      </c>
      <c r="M1033" s="127" t="s">
        <v>1590</v>
      </c>
      <c r="N1033" s="79">
        <v>1</v>
      </c>
      <c r="O1033" s="79">
        <v>0</v>
      </c>
      <c r="P1033" s="107"/>
      <c r="R1033" s="107"/>
    </row>
    <row r="1034" spans="1:18" s="106" customFormat="1">
      <c r="A1034" s="79">
        <v>400095</v>
      </c>
      <c r="B1034" s="121">
        <f t="shared" si="71"/>
        <v>4000951</v>
      </c>
      <c r="C1034" s="79" t="s">
        <v>1583</v>
      </c>
      <c r="D1034" s="121">
        <f t="shared" si="72"/>
        <v>4000952</v>
      </c>
      <c r="E1034" s="79" t="s">
        <v>1591</v>
      </c>
      <c r="F1034" s="79">
        <v>5</v>
      </c>
      <c r="G1034" s="79">
        <v>1</v>
      </c>
      <c r="H1034" s="79" t="s">
        <v>331</v>
      </c>
      <c r="I1034" s="79"/>
      <c r="J1034" s="79"/>
      <c r="K1034" s="79">
        <v>6</v>
      </c>
      <c r="L1034" s="79">
        <v>4</v>
      </c>
      <c r="M1034" s="127" t="s">
        <v>1592</v>
      </c>
      <c r="N1034" s="79">
        <v>1</v>
      </c>
      <c r="O1034" s="79">
        <v>0</v>
      </c>
      <c r="P1034" s="107"/>
      <c r="R1034" s="107"/>
    </row>
    <row r="1035" spans="1:18" s="106" customFormat="1">
      <c r="A1035" s="79">
        <v>400096</v>
      </c>
      <c r="B1035" s="121">
        <f t="shared" si="71"/>
        <v>4000961</v>
      </c>
      <c r="C1035" s="79" t="s">
        <v>1586</v>
      </c>
      <c r="D1035" s="121">
        <f t="shared" si="72"/>
        <v>4000962</v>
      </c>
      <c r="E1035" s="79" t="s">
        <v>1593</v>
      </c>
      <c r="F1035" s="79">
        <v>5</v>
      </c>
      <c r="G1035" s="79">
        <v>1</v>
      </c>
      <c r="H1035" s="79" t="s">
        <v>331</v>
      </c>
      <c r="I1035" s="79"/>
      <c r="J1035" s="79"/>
      <c r="K1035" s="79">
        <v>6</v>
      </c>
      <c r="L1035" s="79">
        <v>4</v>
      </c>
      <c r="M1035" s="127" t="s">
        <v>1594</v>
      </c>
      <c r="N1035" s="79">
        <v>1</v>
      </c>
      <c r="O1035" s="79">
        <v>0</v>
      </c>
      <c r="P1035" s="107"/>
      <c r="R1035" s="79"/>
    </row>
    <row r="1036" spans="1:18" s="106" customFormat="1">
      <c r="A1036" s="79">
        <v>400097</v>
      </c>
      <c r="B1036" s="121">
        <f t="shared" si="71"/>
        <v>4000971</v>
      </c>
      <c r="C1036" s="79" t="s">
        <v>1580</v>
      </c>
      <c r="D1036" s="121">
        <f t="shared" si="72"/>
        <v>4000972</v>
      </c>
      <c r="E1036" s="79" t="s">
        <v>1595</v>
      </c>
      <c r="F1036" s="79">
        <v>5</v>
      </c>
      <c r="G1036" s="79">
        <v>1</v>
      </c>
      <c r="H1036" s="79" t="s">
        <v>331</v>
      </c>
      <c r="I1036" s="79"/>
      <c r="J1036" s="79"/>
      <c r="K1036" s="79">
        <v>7</v>
      </c>
      <c r="L1036" s="79">
        <v>4</v>
      </c>
      <c r="M1036" s="127" t="s">
        <v>1596</v>
      </c>
      <c r="N1036" s="79">
        <v>1</v>
      </c>
      <c r="O1036" s="79">
        <v>0</v>
      </c>
      <c r="P1036" s="107"/>
      <c r="R1036" s="79"/>
    </row>
    <row r="1037" spans="1:18" s="106" customFormat="1">
      <c r="A1037" s="79">
        <v>400098</v>
      </c>
      <c r="B1037" s="121">
        <f t="shared" si="71"/>
        <v>4000981</v>
      </c>
      <c r="C1037" s="79" t="s">
        <v>1583</v>
      </c>
      <c r="D1037" s="121">
        <f t="shared" si="72"/>
        <v>4000982</v>
      </c>
      <c r="E1037" s="79" t="s">
        <v>1597</v>
      </c>
      <c r="F1037" s="79">
        <v>5</v>
      </c>
      <c r="G1037" s="79">
        <v>1</v>
      </c>
      <c r="H1037" s="79" t="s">
        <v>331</v>
      </c>
      <c r="I1037" s="79"/>
      <c r="J1037" s="79"/>
      <c r="K1037" s="79">
        <v>7</v>
      </c>
      <c r="L1037" s="79">
        <v>4</v>
      </c>
      <c r="M1037" s="127" t="s">
        <v>1598</v>
      </c>
      <c r="N1037" s="79">
        <v>1</v>
      </c>
      <c r="O1037" s="79">
        <v>0</v>
      </c>
      <c r="P1037" s="107"/>
      <c r="R1037" s="79"/>
    </row>
    <row r="1038" spans="1:18" s="106" customFormat="1">
      <c r="A1038" s="79">
        <v>400099</v>
      </c>
      <c r="B1038" s="121">
        <f t="shared" si="71"/>
        <v>4000991</v>
      </c>
      <c r="C1038" s="79" t="s">
        <v>1586</v>
      </c>
      <c r="D1038" s="121">
        <f t="shared" si="72"/>
        <v>4000992</v>
      </c>
      <c r="E1038" s="79" t="s">
        <v>1599</v>
      </c>
      <c r="F1038" s="79">
        <v>5</v>
      </c>
      <c r="G1038" s="79">
        <v>1</v>
      </c>
      <c r="H1038" s="79" t="s">
        <v>331</v>
      </c>
      <c r="I1038" s="79"/>
      <c r="J1038" s="79"/>
      <c r="K1038" s="79">
        <v>7</v>
      </c>
      <c r="L1038" s="79">
        <v>4</v>
      </c>
      <c r="M1038" s="127" t="s">
        <v>1600</v>
      </c>
      <c r="N1038" s="79">
        <v>1</v>
      </c>
      <c r="O1038" s="79">
        <v>0</v>
      </c>
      <c r="P1038" s="107"/>
      <c r="R1038" s="79"/>
    </row>
    <row r="1039" spans="1:18" s="106" customFormat="1">
      <c r="A1039" s="79">
        <v>400101</v>
      </c>
      <c r="B1039" s="121">
        <f t="shared" si="71"/>
        <v>4001011</v>
      </c>
      <c r="C1039" s="79" t="s">
        <v>1601</v>
      </c>
      <c r="D1039" s="121">
        <f t="shared" si="72"/>
        <v>4001012</v>
      </c>
      <c r="E1039" s="79" t="s">
        <v>1602</v>
      </c>
      <c r="F1039" s="79">
        <v>5</v>
      </c>
      <c r="G1039" s="79">
        <v>1</v>
      </c>
      <c r="H1039" s="79" t="s">
        <v>336</v>
      </c>
      <c r="I1039" s="79"/>
      <c r="J1039" s="79"/>
      <c r="K1039" s="79">
        <v>5</v>
      </c>
      <c r="L1039" s="79">
        <v>4</v>
      </c>
      <c r="M1039" s="127" t="s">
        <v>1603</v>
      </c>
      <c r="N1039" s="79">
        <v>1</v>
      </c>
      <c r="O1039" s="79">
        <v>0</v>
      </c>
      <c r="P1039" s="107"/>
      <c r="R1039" s="79"/>
    </row>
    <row r="1040" spans="1:18" s="106" customFormat="1">
      <c r="A1040" s="79">
        <v>400102</v>
      </c>
      <c r="B1040" s="121">
        <f t="shared" si="71"/>
        <v>4001021</v>
      </c>
      <c r="C1040" s="79" t="s">
        <v>1604</v>
      </c>
      <c r="D1040" s="121">
        <f t="shared" si="72"/>
        <v>4001022</v>
      </c>
      <c r="E1040" s="79" t="s">
        <v>1605</v>
      </c>
      <c r="F1040" s="79">
        <v>5</v>
      </c>
      <c r="G1040" s="79">
        <v>1</v>
      </c>
      <c r="H1040" s="79" t="s">
        <v>336</v>
      </c>
      <c r="I1040" s="79"/>
      <c r="J1040" s="79"/>
      <c r="K1040" s="79">
        <v>5</v>
      </c>
      <c r="L1040" s="79">
        <v>4</v>
      </c>
      <c r="M1040" s="127" t="s">
        <v>1606</v>
      </c>
      <c r="N1040" s="79">
        <v>1</v>
      </c>
      <c r="O1040" s="79">
        <v>0</v>
      </c>
      <c r="P1040" s="107"/>
      <c r="R1040" s="79"/>
    </row>
    <row r="1041" spans="1:18" s="106" customFormat="1">
      <c r="A1041" s="79">
        <v>400103</v>
      </c>
      <c r="B1041" s="121">
        <f t="shared" si="71"/>
        <v>4001031</v>
      </c>
      <c r="C1041" s="79" t="s">
        <v>1607</v>
      </c>
      <c r="D1041" s="121">
        <f t="shared" si="72"/>
        <v>4001032</v>
      </c>
      <c r="E1041" s="79" t="s">
        <v>1608</v>
      </c>
      <c r="F1041" s="79">
        <v>5</v>
      </c>
      <c r="G1041" s="79">
        <v>1</v>
      </c>
      <c r="H1041" s="79" t="s">
        <v>336</v>
      </c>
      <c r="I1041" s="79"/>
      <c r="J1041" s="79"/>
      <c r="K1041" s="79">
        <v>5</v>
      </c>
      <c r="L1041" s="79">
        <v>4</v>
      </c>
      <c r="M1041" s="127" t="s">
        <v>1609</v>
      </c>
      <c r="N1041" s="79">
        <v>1</v>
      </c>
      <c r="O1041" s="79">
        <v>0</v>
      </c>
      <c r="P1041" s="107"/>
      <c r="R1041" s="79"/>
    </row>
    <row r="1042" spans="1:18" s="106" customFormat="1">
      <c r="A1042" s="79">
        <v>400104</v>
      </c>
      <c r="B1042" s="121">
        <f t="shared" si="71"/>
        <v>4001041</v>
      </c>
      <c r="C1042" s="79" t="s">
        <v>1601</v>
      </c>
      <c r="D1042" s="121">
        <f t="shared" si="72"/>
        <v>4001042</v>
      </c>
      <c r="E1042" s="79" t="s">
        <v>1610</v>
      </c>
      <c r="F1042" s="79">
        <v>5</v>
      </c>
      <c r="G1042" s="79">
        <v>1</v>
      </c>
      <c r="H1042" s="79" t="s">
        <v>336</v>
      </c>
      <c r="I1042" s="79"/>
      <c r="J1042" s="79"/>
      <c r="K1042" s="79">
        <v>6</v>
      </c>
      <c r="L1042" s="79">
        <v>4</v>
      </c>
      <c r="M1042" s="127" t="s">
        <v>1611</v>
      </c>
      <c r="N1042" s="79">
        <v>1</v>
      </c>
      <c r="O1042" s="79">
        <v>0</v>
      </c>
      <c r="P1042" s="107"/>
      <c r="R1042" s="79"/>
    </row>
    <row r="1043" spans="1:18" s="106" customFormat="1">
      <c r="A1043" s="79">
        <v>400105</v>
      </c>
      <c r="B1043" s="121">
        <f t="shared" si="71"/>
        <v>4001051</v>
      </c>
      <c r="C1043" s="79" t="s">
        <v>1604</v>
      </c>
      <c r="D1043" s="121">
        <f t="shared" si="72"/>
        <v>4001052</v>
      </c>
      <c r="E1043" s="79" t="s">
        <v>1612</v>
      </c>
      <c r="F1043" s="79">
        <v>5</v>
      </c>
      <c r="G1043" s="79">
        <v>1</v>
      </c>
      <c r="H1043" s="79" t="s">
        <v>336</v>
      </c>
      <c r="I1043" s="79"/>
      <c r="J1043" s="79"/>
      <c r="K1043" s="79">
        <v>6</v>
      </c>
      <c r="L1043" s="79">
        <v>4</v>
      </c>
      <c r="M1043" s="127" t="s">
        <v>1613</v>
      </c>
      <c r="N1043" s="79">
        <v>1</v>
      </c>
      <c r="O1043" s="79">
        <v>0</v>
      </c>
      <c r="P1043" s="107"/>
      <c r="R1043" s="79"/>
    </row>
    <row r="1044" spans="1:18" s="106" customFormat="1">
      <c r="A1044" s="79">
        <v>400106</v>
      </c>
      <c r="B1044" s="121">
        <f t="shared" si="71"/>
        <v>4001061</v>
      </c>
      <c r="C1044" s="79" t="s">
        <v>1607</v>
      </c>
      <c r="D1044" s="121">
        <f t="shared" si="72"/>
        <v>4001062</v>
      </c>
      <c r="E1044" s="79" t="s">
        <v>1614</v>
      </c>
      <c r="F1044" s="79">
        <v>5</v>
      </c>
      <c r="G1044" s="79">
        <v>1</v>
      </c>
      <c r="H1044" s="79" t="s">
        <v>336</v>
      </c>
      <c r="I1044" s="79"/>
      <c r="J1044" s="79"/>
      <c r="K1044" s="79">
        <v>6</v>
      </c>
      <c r="L1044" s="79">
        <v>4</v>
      </c>
      <c r="M1044" s="127" t="s">
        <v>1615</v>
      </c>
      <c r="N1044" s="79">
        <v>1</v>
      </c>
      <c r="O1044" s="79">
        <v>0</v>
      </c>
      <c r="P1044" s="107"/>
      <c r="R1044" s="79"/>
    </row>
    <row r="1045" spans="1:18" s="106" customFormat="1">
      <c r="A1045" s="79">
        <v>400107</v>
      </c>
      <c r="B1045" s="121">
        <f t="shared" si="71"/>
        <v>4001071</v>
      </c>
      <c r="C1045" s="79" t="s">
        <v>1601</v>
      </c>
      <c r="D1045" s="121">
        <f t="shared" si="72"/>
        <v>4001072</v>
      </c>
      <c r="E1045" s="79" t="s">
        <v>1616</v>
      </c>
      <c r="F1045" s="79">
        <v>5</v>
      </c>
      <c r="G1045" s="79">
        <v>1</v>
      </c>
      <c r="H1045" s="79" t="s">
        <v>336</v>
      </c>
      <c r="I1045" s="79"/>
      <c r="J1045" s="79"/>
      <c r="K1045" s="79">
        <v>7</v>
      </c>
      <c r="L1045" s="79">
        <v>4</v>
      </c>
      <c r="M1045" s="127" t="s">
        <v>1617</v>
      </c>
      <c r="N1045" s="79">
        <v>1</v>
      </c>
      <c r="O1045" s="79">
        <v>0</v>
      </c>
      <c r="P1045" s="107"/>
      <c r="R1045" s="79"/>
    </row>
    <row r="1046" spans="1:18" s="106" customFormat="1">
      <c r="A1046" s="79">
        <v>400108</v>
      </c>
      <c r="B1046" s="121">
        <f t="shared" ref="B1046:B1106" si="73">A1046*10+1</f>
        <v>4001081</v>
      </c>
      <c r="C1046" s="79" t="s">
        <v>1604</v>
      </c>
      <c r="D1046" s="121">
        <f t="shared" ref="D1046:D1106" si="74">A1046*10+2</f>
        <v>4001082</v>
      </c>
      <c r="E1046" s="79" t="s">
        <v>1618</v>
      </c>
      <c r="F1046" s="79">
        <v>5</v>
      </c>
      <c r="G1046" s="79">
        <v>1</v>
      </c>
      <c r="H1046" s="79" t="s">
        <v>336</v>
      </c>
      <c r="I1046" s="79"/>
      <c r="J1046" s="79"/>
      <c r="K1046" s="79">
        <v>7</v>
      </c>
      <c r="L1046" s="79">
        <v>4</v>
      </c>
      <c r="M1046" s="127" t="s">
        <v>1619</v>
      </c>
      <c r="N1046" s="79">
        <v>1</v>
      </c>
      <c r="O1046" s="79">
        <v>0</v>
      </c>
      <c r="P1046" s="107"/>
      <c r="R1046" s="79"/>
    </row>
    <row r="1047" spans="1:18" s="106" customFormat="1">
      <c r="A1047" s="79">
        <v>400109</v>
      </c>
      <c r="B1047" s="121">
        <f t="shared" si="73"/>
        <v>4001091</v>
      </c>
      <c r="C1047" s="79" t="s">
        <v>1607</v>
      </c>
      <c r="D1047" s="121">
        <f t="shared" si="74"/>
        <v>4001092</v>
      </c>
      <c r="E1047" s="79" t="s">
        <v>1620</v>
      </c>
      <c r="F1047" s="79">
        <v>5</v>
      </c>
      <c r="G1047" s="79">
        <v>1</v>
      </c>
      <c r="H1047" s="79" t="s">
        <v>336</v>
      </c>
      <c r="I1047" s="79"/>
      <c r="J1047" s="79"/>
      <c r="K1047" s="79">
        <v>7</v>
      </c>
      <c r="L1047" s="79">
        <v>4</v>
      </c>
      <c r="M1047" s="127" t="s">
        <v>1621</v>
      </c>
      <c r="N1047" s="79">
        <v>1</v>
      </c>
      <c r="O1047" s="79">
        <v>0</v>
      </c>
      <c r="P1047" s="107"/>
      <c r="R1047" s="79"/>
    </row>
    <row r="1048" spans="1:18" s="106" customFormat="1">
      <c r="A1048" s="79">
        <v>400111</v>
      </c>
      <c r="B1048" s="121">
        <f t="shared" si="73"/>
        <v>4001111</v>
      </c>
      <c r="C1048" s="79" t="s">
        <v>1622</v>
      </c>
      <c r="D1048" s="121">
        <f t="shared" si="74"/>
        <v>4001112</v>
      </c>
      <c r="E1048" s="79" t="s">
        <v>1623</v>
      </c>
      <c r="F1048" s="79">
        <v>5</v>
      </c>
      <c r="G1048" s="79">
        <v>1</v>
      </c>
      <c r="H1048" s="79" t="s">
        <v>341</v>
      </c>
      <c r="I1048" s="79"/>
      <c r="J1048" s="79"/>
      <c r="K1048" s="79">
        <v>6</v>
      </c>
      <c r="L1048" s="79">
        <v>4</v>
      </c>
      <c r="M1048" s="127" t="s">
        <v>1624</v>
      </c>
      <c r="N1048" s="79">
        <v>1</v>
      </c>
      <c r="O1048" s="79">
        <v>0</v>
      </c>
      <c r="P1048" s="107"/>
      <c r="R1048" s="79"/>
    </row>
    <row r="1049" spans="1:18" s="106" customFormat="1">
      <c r="A1049" s="79">
        <v>400112</v>
      </c>
      <c r="B1049" s="121">
        <f t="shared" si="73"/>
        <v>4001121</v>
      </c>
      <c r="C1049" s="79" t="s">
        <v>1625</v>
      </c>
      <c r="D1049" s="121">
        <f t="shared" si="74"/>
        <v>4001122</v>
      </c>
      <c r="E1049" s="79" t="s">
        <v>1626</v>
      </c>
      <c r="F1049" s="79">
        <v>5</v>
      </c>
      <c r="G1049" s="79">
        <v>1</v>
      </c>
      <c r="H1049" s="79" t="s">
        <v>341</v>
      </c>
      <c r="I1049" s="79"/>
      <c r="J1049" s="79"/>
      <c r="K1049" s="79">
        <v>6</v>
      </c>
      <c r="L1049" s="79">
        <v>4</v>
      </c>
      <c r="M1049" s="127" t="s">
        <v>1627</v>
      </c>
      <c r="N1049" s="79">
        <v>1</v>
      </c>
      <c r="O1049" s="79">
        <v>0</v>
      </c>
      <c r="P1049" s="107"/>
      <c r="R1049" s="79"/>
    </row>
    <row r="1050" spans="1:18" s="106" customFormat="1">
      <c r="A1050" s="79">
        <v>400113</v>
      </c>
      <c r="B1050" s="121">
        <f t="shared" si="73"/>
        <v>4001131</v>
      </c>
      <c r="C1050" s="79" t="s">
        <v>1628</v>
      </c>
      <c r="D1050" s="121">
        <f t="shared" si="74"/>
        <v>4001132</v>
      </c>
      <c r="E1050" s="79" t="s">
        <v>1629</v>
      </c>
      <c r="F1050" s="79">
        <v>5</v>
      </c>
      <c r="G1050" s="79">
        <v>1</v>
      </c>
      <c r="H1050" s="79" t="s">
        <v>341</v>
      </c>
      <c r="I1050" s="79"/>
      <c r="J1050" s="79"/>
      <c r="K1050" s="79">
        <v>6</v>
      </c>
      <c r="L1050" s="79">
        <v>4</v>
      </c>
      <c r="M1050" s="127" t="s">
        <v>1630</v>
      </c>
      <c r="N1050" s="79">
        <v>1</v>
      </c>
      <c r="O1050" s="79">
        <v>0</v>
      </c>
      <c r="P1050" s="107"/>
      <c r="R1050" s="79"/>
    </row>
    <row r="1051" spans="1:18" s="106" customFormat="1">
      <c r="A1051" s="79">
        <v>400114</v>
      </c>
      <c r="B1051" s="121">
        <f t="shared" si="73"/>
        <v>4001141</v>
      </c>
      <c r="C1051" s="79" t="s">
        <v>1622</v>
      </c>
      <c r="D1051" s="121">
        <f t="shared" si="74"/>
        <v>4001142</v>
      </c>
      <c r="E1051" s="79" t="s">
        <v>1631</v>
      </c>
      <c r="F1051" s="79">
        <v>5</v>
      </c>
      <c r="G1051" s="79">
        <v>1</v>
      </c>
      <c r="H1051" s="79" t="s">
        <v>341</v>
      </c>
      <c r="I1051" s="79"/>
      <c r="J1051" s="79"/>
      <c r="K1051" s="79">
        <v>5</v>
      </c>
      <c r="L1051" s="79">
        <v>4</v>
      </c>
      <c r="M1051" s="127" t="s">
        <v>1632</v>
      </c>
      <c r="N1051" s="79">
        <v>1</v>
      </c>
      <c r="O1051" s="79">
        <v>0</v>
      </c>
      <c r="P1051" s="107"/>
      <c r="R1051" s="79"/>
    </row>
    <row r="1052" spans="1:18" s="106" customFormat="1">
      <c r="A1052" s="79">
        <v>400115</v>
      </c>
      <c r="B1052" s="121">
        <f t="shared" si="73"/>
        <v>4001151</v>
      </c>
      <c r="C1052" s="79" t="s">
        <v>1625</v>
      </c>
      <c r="D1052" s="121">
        <f t="shared" si="74"/>
        <v>4001152</v>
      </c>
      <c r="E1052" s="79" t="s">
        <v>1633</v>
      </c>
      <c r="F1052" s="79">
        <v>5</v>
      </c>
      <c r="G1052" s="79">
        <v>1</v>
      </c>
      <c r="H1052" s="79" t="s">
        <v>341</v>
      </c>
      <c r="I1052" s="79"/>
      <c r="J1052" s="79"/>
      <c r="K1052" s="79">
        <v>5</v>
      </c>
      <c r="L1052" s="79">
        <v>4</v>
      </c>
      <c r="M1052" s="127" t="s">
        <v>1634</v>
      </c>
      <c r="N1052" s="79">
        <v>1</v>
      </c>
      <c r="O1052" s="79">
        <v>0</v>
      </c>
      <c r="P1052" s="107"/>
      <c r="R1052" s="79"/>
    </row>
    <row r="1053" spans="1:18" s="106" customFormat="1">
      <c r="A1053" s="79">
        <v>400116</v>
      </c>
      <c r="B1053" s="121">
        <f t="shared" si="73"/>
        <v>4001161</v>
      </c>
      <c r="C1053" s="79" t="s">
        <v>1628</v>
      </c>
      <c r="D1053" s="121">
        <f t="shared" si="74"/>
        <v>4001162</v>
      </c>
      <c r="E1053" s="79" t="s">
        <v>1635</v>
      </c>
      <c r="F1053" s="79">
        <v>5</v>
      </c>
      <c r="G1053" s="79">
        <v>1</v>
      </c>
      <c r="H1053" s="79" t="s">
        <v>341</v>
      </c>
      <c r="I1053" s="79"/>
      <c r="J1053" s="79"/>
      <c r="K1053" s="79">
        <v>5</v>
      </c>
      <c r="L1053" s="79">
        <v>4</v>
      </c>
      <c r="M1053" s="127" t="s">
        <v>1636</v>
      </c>
      <c r="N1053" s="79">
        <v>1</v>
      </c>
      <c r="O1053" s="79">
        <v>0</v>
      </c>
      <c r="P1053" s="107"/>
      <c r="R1053" s="79"/>
    </row>
    <row r="1054" spans="1:18" s="106" customFormat="1">
      <c r="A1054" s="79">
        <v>400117</v>
      </c>
      <c r="B1054" s="121">
        <f t="shared" si="73"/>
        <v>4001171</v>
      </c>
      <c r="C1054" s="79" t="s">
        <v>1622</v>
      </c>
      <c r="D1054" s="121">
        <f t="shared" si="74"/>
        <v>4001172</v>
      </c>
      <c r="E1054" s="79" t="s">
        <v>1637</v>
      </c>
      <c r="F1054" s="79">
        <v>5</v>
      </c>
      <c r="G1054" s="79">
        <v>1</v>
      </c>
      <c r="H1054" s="79" t="s">
        <v>341</v>
      </c>
      <c r="I1054" s="79"/>
      <c r="J1054" s="79"/>
      <c r="K1054" s="79">
        <v>7</v>
      </c>
      <c r="L1054" s="79">
        <v>4</v>
      </c>
      <c r="M1054" s="127" t="s">
        <v>1638</v>
      </c>
      <c r="N1054" s="79">
        <v>1</v>
      </c>
      <c r="O1054" s="79">
        <v>0</v>
      </c>
      <c r="P1054" s="107"/>
      <c r="R1054" s="79"/>
    </row>
    <row r="1055" spans="1:18" s="106" customFormat="1">
      <c r="A1055" s="79">
        <v>400118</v>
      </c>
      <c r="B1055" s="121">
        <f t="shared" si="73"/>
        <v>4001181</v>
      </c>
      <c r="C1055" s="79" t="s">
        <v>1625</v>
      </c>
      <c r="D1055" s="121">
        <f t="shared" si="74"/>
        <v>4001182</v>
      </c>
      <c r="E1055" s="79" t="s">
        <v>1639</v>
      </c>
      <c r="F1055" s="79">
        <v>5</v>
      </c>
      <c r="G1055" s="79">
        <v>1</v>
      </c>
      <c r="H1055" s="79" t="s">
        <v>341</v>
      </c>
      <c r="I1055" s="79"/>
      <c r="J1055" s="79"/>
      <c r="K1055" s="79">
        <v>7</v>
      </c>
      <c r="L1055" s="79">
        <v>4</v>
      </c>
      <c r="M1055" s="127" t="s">
        <v>1640</v>
      </c>
      <c r="N1055" s="79">
        <v>1</v>
      </c>
      <c r="O1055" s="79">
        <v>0</v>
      </c>
      <c r="P1055" s="107"/>
      <c r="R1055" s="79"/>
    </row>
    <row r="1056" spans="1:18" s="106" customFormat="1">
      <c r="A1056" s="79">
        <v>400119</v>
      </c>
      <c r="B1056" s="121">
        <f t="shared" si="73"/>
        <v>4001191</v>
      </c>
      <c r="C1056" s="79" t="s">
        <v>1628</v>
      </c>
      <c r="D1056" s="121">
        <f t="shared" si="74"/>
        <v>4001192</v>
      </c>
      <c r="E1056" s="79" t="s">
        <v>1641</v>
      </c>
      <c r="F1056" s="79">
        <v>5</v>
      </c>
      <c r="G1056" s="79">
        <v>1</v>
      </c>
      <c r="H1056" s="79" t="s">
        <v>341</v>
      </c>
      <c r="I1056" s="79"/>
      <c r="J1056" s="79"/>
      <c r="K1056" s="79">
        <v>7</v>
      </c>
      <c r="L1056" s="79">
        <v>4</v>
      </c>
      <c r="M1056" s="127" t="s">
        <v>1642</v>
      </c>
      <c r="N1056" s="79">
        <v>1</v>
      </c>
      <c r="O1056" s="79">
        <v>0</v>
      </c>
      <c r="P1056" s="107"/>
      <c r="R1056" s="79"/>
    </row>
    <row r="1057" spans="1:18" s="106" customFormat="1">
      <c r="A1057" s="79">
        <v>400121</v>
      </c>
      <c r="B1057" s="121">
        <f t="shared" si="73"/>
        <v>4001211</v>
      </c>
      <c r="C1057" s="79" t="s">
        <v>1643</v>
      </c>
      <c r="D1057" s="121">
        <f t="shared" si="74"/>
        <v>4001212</v>
      </c>
      <c r="E1057" s="79" t="s">
        <v>1644</v>
      </c>
      <c r="F1057" s="79">
        <v>5</v>
      </c>
      <c r="G1057" s="79">
        <v>1</v>
      </c>
      <c r="H1057" s="79" t="s">
        <v>346</v>
      </c>
      <c r="I1057" s="79"/>
      <c r="J1057" s="79"/>
      <c r="K1057" s="79">
        <v>5</v>
      </c>
      <c r="L1057" s="79">
        <v>4</v>
      </c>
      <c r="M1057" s="127" t="s">
        <v>1645</v>
      </c>
      <c r="N1057" s="79">
        <v>1</v>
      </c>
      <c r="O1057" s="79">
        <v>0</v>
      </c>
      <c r="P1057" s="107"/>
      <c r="R1057" s="79"/>
    </row>
    <row r="1058" spans="1:18" s="106" customFormat="1">
      <c r="A1058" s="79">
        <v>400122</v>
      </c>
      <c r="B1058" s="121">
        <f t="shared" si="73"/>
        <v>4001221</v>
      </c>
      <c r="C1058" s="79" t="s">
        <v>1646</v>
      </c>
      <c r="D1058" s="121">
        <f t="shared" si="74"/>
        <v>4001222</v>
      </c>
      <c r="E1058" s="79" t="s">
        <v>1647</v>
      </c>
      <c r="F1058" s="79">
        <v>5</v>
      </c>
      <c r="G1058" s="79">
        <v>1</v>
      </c>
      <c r="H1058" s="79" t="s">
        <v>346</v>
      </c>
      <c r="I1058" s="79"/>
      <c r="J1058" s="79"/>
      <c r="K1058" s="79">
        <v>5</v>
      </c>
      <c r="L1058" s="79">
        <v>4</v>
      </c>
      <c r="M1058" s="127" t="s">
        <v>1648</v>
      </c>
      <c r="N1058" s="79">
        <v>1</v>
      </c>
      <c r="O1058" s="79">
        <v>0</v>
      </c>
      <c r="P1058" s="107"/>
      <c r="R1058" s="79"/>
    </row>
    <row r="1059" spans="1:18" s="106" customFormat="1">
      <c r="A1059" s="79">
        <v>400123</v>
      </c>
      <c r="B1059" s="121">
        <f t="shared" si="73"/>
        <v>4001231</v>
      </c>
      <c r="C1059" s="79" t="s">
        <v>1649</v>
      </c>
      <c r="D1059" s="121">
        <f t="shared" si="74"/>
        <v>4001232</v>
      </c>
      <c r="E1059" s="79" t="s">
        <v>1650</v>
      </c>
      <c r="F1059" s="79">
        <v>5</v>
      </c>
      <c r="G1059" s="79">
        <v>1</v>
      </c>
      <c r="H1059" s="79" t="s">
        <v>346</v>
      </c>
      <c r="I1059" s="79"/>
      <c r="J1059" s="79"/>
      <c r="K1059" s="79">
        <v>5</v>
      </c>
      <c r="L1059" s="79">
        <v>4</v>
      </c>
      <c r="M1059" s="127" t="s">
        <v>1651</v>
      </c>
      <c r="N1059" s="79">
        <v>1</v>
      </c>
      <c r="O1059" s="79">
        <v>0</v>
      </c>
      <c r="P1059" s="107"/>
      <c r="R1059" s="79"/>
    </row>
    <row r="1060" spans="1:18" s="106" customFormat="1">
      <c r="A1060" s="79">
        <v>400124</v>
      </c>
      <c r="B1060" s="121">
        <f t="shared" si="73"/>
        <v>4001241</v>
      </c>
      <c r="C1060" s="79" t="s">
        <v>1643</v>
      </c>
      <c r="D1060" s="121">
        <f t="shared" si="74"/>
        <v>4001242</v>
      </c>
      <c r="E1060" s="79" t="s">
        <v>1652</v>
      </c>
      <c r="F1060" s="79">
        <v>5</v>
      </c>
      <c r="G1060" s="79">
        <v>1</v>
      </c>
      <c r="H1060" s="79" t="s">
        <v>346</v>
      </c>
      <c r="I1060" s="79"/>
      <c r="J1060" s="79"/>
      <c r="K1060" s="79">
        <v>6</v>
      </c>
      <c r="L1060" s="79">
        <v>4</v>
      </c>
      <c r="M1060" s="127" t="s">
        <v>1653</v>
      </c>
      <c r="N1060" s="79">
        <v>1</v>
      </c>
      <c r="O1060" s="79">
        <v>0</v>
      </c>
      <c r="P1060" s="107"/>
      <c r="R1060" s="79"/>
    </row>
    <row r="1061" spans="1:18" s="106" customFormat="1">
      <c r="A1061" s="79">
        <v>400125</v>
      </c>
      <c r="B1061" s="121">
        <f t="shared" si="73"/>
        <v>4001251</v>
      </c>
      <c r="C1061" s="79" t="s">
        <v>1646</v>
      </c>
      <c r="D1061" s="121">
        <f t="shared" si="74"/>
        <v>4001252</v>
      </c>
      <c r="E1061" s="79" t="s">
        <v>1654</v>
      </c>
      <c r="F1061" s="79">
        <v>5</v>
      </c>
      <c r="G1061" s="79">
        <v>1</v>
      </c>
      <c r="H1061" s="79" t="s">
        <v>346</v>
      </c>
      <c r="I1061" s="79"/>
      <c r="J1061" s="79"/>
      <c r="K1061" s="79">
        <v>6</v>
      </c>
      <c r="L1061" s="79">
        <v>4</v>
      </c>
      <c r="M1061" s="127" t="s">
        <v>1655</v>
      </c>
      <c r="N1061" s="79">
        <v>1</v>
      </c>
      <c r="O1061" s="79">
        <v>0</v>
      </c>
      <c r="P1061" s="107"/>
      <c r="R1061" s="79"/>
    </row>
    <row r="1062" spans="1:18" s="106" customFormat="1">
      <c r="A1062" s="79">
        <v>400126</v>
      </c>
      <c r="B1062" s="121">
        <f t="shared" si="73"/>
        <v>4001261</v>
      </c>
      <c r="C1062" s="79" t="s">
        <v>1656</v>
      </c>
      <c r="D1062" s="121">
        <f t="shared" si="74"/>
        <v>4001262</v>
      </c>
      <c r="E1062" s="79" t="s">
        <v>1657</v>
      </c>
      <c r="F1062" s="79">
        <v>5</v>
      </c>
      <c r="G1062" s="79">
        <v>1</v>
      </c>
      <c r="H1062" s="79" t="s">
        <v>346</v>
      </c>
      <c r="I1062" s="79"/>
      <c r="J1062" s="79"/>
      <c r="K1062" s="79">
        <v>6</v>
      </c>
      <c r="L1062" s="79">
        <v>4</v>
      </c>
      <c r="M1062" s="127" t="s">
        <v>1658</v>
      </c>
      <c r="N1062" s="79">
        <v>1</v>
      </c>
      <c r="O1062" s="79">
        <v>0</v>
      </c>
      <c r="P1062" s="107"/>
      <c r="R1062" s="79"/>
    </row>
    <row r="1063" spans="1:18" s="106" customFormat="1">
      <c r="A1063" s="79">
        <v>400127</v>
      </c>
      <c r="B1063" s="121">
        <f t="shared" si="73"/>
        <v>4001271</v>
      </c>
      <c r="C1063" s="79" t="s">
        <v>1643</v>
      </c>
      <c r="D1063" s="121">
        <f t="shared" si="74"/>
        <v>4001272</v>
      </c>
      <c r="E1063" s="79" t="s">
        <v>1659</v>
      </c>
      <c r="F1063" s="79">
        <v>5</v>
      </c>
      <c r="G1063" s="79">
        <v>1</v>
      </c>
      <c r="H1063" s="79" t="s">
        <v>346</v>
      </c>
      <c r="I1063" s="79"/>
      <c r="J1063" s="79"/>
      <c r="K1063" s="79">
        <v>7</v>
      </c>
      <c r="L1063" s="79">
        <v>4</v>
      </c>
      <c r="M1063" s="127" t="s">
        <v>1660</v>
      </c>
      <c r="N1063" s="79">
        <v>1</v>
      </c>
      <c r="O1063" s="79">
        <v>0</v>
      </c>
      <c r="P1063" s="107"/>
      <c r="R1063" s="79"/>
    </row>
    <row r="1064" spans="1:18" s="106" customFormat="1">
      <c r="A1064" s="79">
        <v>400128</v>
      </c>
      <c r="B1064" s="121">
        <f t="shared" si="73"/>
        <v>4001281</v>
      </c>
      <c r="C1064" s="79" t="s">
        <v>1646</v>
      </c>
      <c r="D1064" s="121">
        <f t="shared" si="74"/>
        <v>4001282</v>
      </c>
      <c r="E1064" s="79" t="s">
        <v>1661</v>
      </c>
      <c r="F1064" s="79">
        <v>5</v>
      </c>
      <c r="G1064" s="79">
        <v>1</v>
      </c>
      <c r="H1064" s="79" t="s">
        <v>346</v>
      </c>
      <c r="I1064" s="79"/>
      <c r="J1064" s="79"/>
      <c r="K1064" s="79">
        <v>7</v>
      </c>
      <c r="L1064" s="79">
        <v>4</v>
      </c>
      <c r="M1064" s="127" t="s">
        <v>1662</v>
      </c>
      <c r="N1064" s="79">
        <v>1</v>
      </c>
      <c r="O1064" s="79">
        <v>0</v>
      </c>
      <c r="P1064" s="107"/>
      <c r="R1064" s="79"/>
    </row>
    <row r="1065" spans="1:18" s="106" customFormat="1">
      <c r="A1065" s="79">
        <v>400129</v>
      </c>
      <c r="B1065" s="121">
        <f t="shared" si="73"/>
        <v>4001291</v>
      </c>
      <c r="C1065" s="79" t="s">
        <v>1656</v>
      </c>
      <c r="D1065" s="121">
        <f t="shared" si="74"/>
        <v>4001292</v>
      </c>
      <c r="E1065" s="79" t="s">
        <v>1663</v>
      </c>
      <c r="F1065" s="79">
        <v>5</v>
      </c>
      <c r="G1065" s="79">
        <v>1</v>
      </c>
      <c r="H1065" s="79" t="s">
        <v>346</v>
      </c>
      <c r="I1065" s="79"/>
      <c r="J1065" s="79"/>
      <c r="K1065" s="79">
        <v>7</v>
      </c>
      <c r="L1065" s="79">
        <v>4</v>
      </c>
      <c r="M1065" s="127" t="s">
        <v>1664</v>
      </c>
      <c r="N1065" s="79">
        <v>1</v>
      </c>
      <c r="O1065" s="79">
        <v>0</v>
      </c>
      <c r="P1065" s="107"/>
      <c r="R1065" s="79"/>
    </row>
    <row r="1066" spans="1:18" s="106" customFormat="1">
      <c r="A1066" s="79">
        <v>400130</v>
      </c>
      <c r="B1066" s="121">
        <f t="shared" si="73"/>
        <v>4001301</v>
      </c>
      <c r="C1066" s="79" t="s">
        <v>1649</v>
      </c>
      <c r="D1066" s="121">
        <f t="shared" si="74"/>
        <v>4001302</v>
      </c>
      <c r="E1066" s="79" t="s">
        <v>1665</v>
      </c>
      <c r="F1066" s="79">
        <v>5</v>
      </c>
      <c r="G1066" s="79">
        <v>1</v>
      </c>
      <c r="H1066" s="79" t="s">
        <v>346</v>
      </c>
      <c r="I1066" s="79"/>
      <c r="J1066" s="79"/>
      <c r="K1066" s="79">
        <v>6</v>
      </c>
      <c r="L1066" s="79">
        <v>4</v>
      </c>
      <c r="M1066" s="127" t="s">
        <v>1666</v>
      </c>
      <c r="N1066" s="79">
        <v>1</v>
      </c>
      <c r="O1066" s="79">
        <v>0</v>
      </c>
      <c r="P1066" s="107"/>
      <c r="R1066" s="79"/>
    </row>
    <row r="1067" spans="1:18" s="106" customFormat="1">
      <c r="A1067" s="79">
        <v>400131</v>
      </c>
      <c r="B1067" s="121">
        <f t="shared" si="73"/>
        <v>4001311</v>
      </c>
      <c r="C1067" s="79" t="s">
        <v>1667</v>
      </c>
      <c r="D1067" s="121">
        <f t="shared" si="74"/>
        <v>4001312</v>
      </c>
      <c r="E1067" s="79" t="s">
        <v>1668</v>
      </c>
      <c r="F1067" s="79">
        <v>5</v>
      </c>
      <c r="G1067" s="79">
        <v>1</v>
      </c>
      <c r="H1067" s="79" t="s">
        <v>352</v>
      </c>
      <c r="I1067" s="79"/>
      <c r="J1067" s="79"/>
      <c r="K1067" s="79">
        <v>5</v>
      </c>
      <c r="L1067" s="79">
        <v>4</v>
      </c>
      <c r="M1067" s="127" t="s">
        <v>1669</v>
      </c>
      <c r="N1067" s="79">
        <v>1</v>
      </c>
      <c r="O1067" s="79">
        <v>0</v>
      </c>
      <c r="P1067" s="107"/>
      <c r="R1067" s="79"/>
    </row>
    <row r="1068" spans="1:18" s="106" customFormat="1">
      <c r="A1068" s="79">
        <v>400132</v>
      </c>
      <c r="B1068" s="121">
        <f t="shared" si="73"/>
        <v>4001321</v>
      </c>
      <c r="C1068" s="79" t="s">
        <v>1670</v>
      </c>
      <c r="D1068" s="121">
        <f t="shared" si="74"/>
        <v>4001322</v>
      </c>
      <c r="E1068" s="79" t="s">
        <v>1671</v>
      </c>
      <c r="F1068" s="79">
        <v>5</v>
      </c>
      <c r="G1068" s="79">
        <v>1</v>
      </c>
      <c r="H1068" s="79" t="s">
        <v>352</v>
      </c>
      <c r="I1068" s="79"/>
      <c r="J1068" s="79"/>
      <c r="K1068" s="79">
        <v>5</v>
      </c>
      <c r="L1068" s="79">
        <v>4</v>
      </c>
      <c r="M1068" s="127" t="s">
        <v>1672</v>
      </c>
      <c r="N1068" s="79">
        <v>1</v>
      </c>
      <c r="O1068" s="79">
        <v>0</v>
      </c>
      <c r="P1068" s="107"/>
      <c r="R1068" s="79"/>
    </row>
    <row r="1069" spans="1:18" s="106" customFormat="1">
      <c r="A1069" s="79">
        <v>400133</v>
      </c>
      <c r="B1069" s="121">
        <f t="shared" si="73"/>
        <v>4001331</v>
      </c>
      <c r="C1069" s="79" t="s">
        <v>1673</v>
      </c>
      <c r="D1069" s="121">
        <f t="shared" si="74"/>
        <v>4001332</v>
      </c>
      <c r="E1069" s="79" t="s">
        <v>1674</v>
      </c>
      <c r="F1069" s="79">
        <v>5</v>
      </c>
      <c r="G1069" s="79">
        <v>1</v>
      </c>
      <c r="H1069" s="79" t="s">
        <v>352</v>
      </c>
      <c r="I1069" s="79"/>
      <c r="J1069" s="79"/>
      <c r="K1069" s="79">
        <v>5</v>
      </c>
      <c r="L1069" s="79">
        <v>4</v>
      </c>
      <c r="M1069" s="127" t="s">
        <v>1675</v>
      </c>
      <c r="N1069" s="79">
        <v>1</v>
      </c>
      <c r="O1069" s="79">
        <v>0</v>
      </c>
      <c r="P1069" s="107"/>
      <c r="R1069" s="79"/>
    </row>
    <row r="1070" spans="1:18" s="106" customFormat="1">
      <c r="A1070" s="79">
        <v>400134</v>
      </c>
      <c r="B1070" s="121">
        <f t="shared" si="73"/>
        <v>4001341</v>
      </c>
      <c r="C1070" s="79" t="s">
        <v>1667</v>
      </c>
      <c r="D1070" s="121">
        <f t="shared" si="74"/>
        <v>4001342</v>
      </c>
      <c r="E1070" s="79" t="s">
        <v>1676</v>
      </c>
      <c r="F1070" s="79">
        <v>5</v>
      </c>
      <c r="G1070" s="79">
        <v>1</v>
      </c>
      <c r="H1070" s="79" t="s">
        <v>352</v>
      </c>
      <c r="I1070" s="79"/>
      <c r="J1070" s="79"/>
      <c r="K1070" s="79">
        <v>6</v>
      </c>
      <c r="L1070" s="79">
        <v>4</v>
      </c>
      <c r="M1070" s="127" t="s">
        <v>1677</v>
      </c>
      <c r="N1070" s="79">
        <v>1</v>
      </c>
      <c r="O1070" s="79">
        <v>0</v>
      </c>
      <c r="P1070" s="107"/>
      <c r="R1070" s="79"/>
    </row>
    <row r="1071" spans="1:18" s="106" customFormat="1">
      <c r="A1071" s="79">
        <v>400135</v>
      </c>
      <c r="B1071" s="121">
        <f t="shared" si="73"/>
        <v>4001351</v>
      </c>
      <c r="C1071" s="79" t="s">
        <v>1670</v>
      </c>
      <c r="D1071" s="121">
        <f t="shared" si="74"/>
        <v>4001352</v>
      </c>
      <c r="E1071" s="79" t="s">
        <v>1678</v>
      </c>
      <c r="F1071" s="79">
        <v>5</v>
      </c>
      <c r="G1071" s="79">
        <v>1</v>
      </c>
      <c r="H1071" s="79" t="s">
        <v>352</v>
      </c>
      <c r="I1071" s="79"/>
      <c r="J1071" s="79"/>
      <c r="K1071" s="79">
        <v>6</v>
      </c>
      <c r="L1071" s="79">
        <v>4</v>
      </c>
      <c r="M1071" s="127" t="s">
        <v>1679</v>
      </c>
      <c r="N1071" s="79">
        <v>1</v>
      </c>
      <c r="O1071" s="79">
        <v>0</v>
      </c>
      <c r="P1071" s="107"/>
      <c r="R1071" s="79"/>
    </row>
    <row r="1072" spans="1:18" s="106" customFormat="1">
      <c r="A1072" s="79">
        <v>400136</v>
      </c>
      <c r="B1072" s="121">
        <f t="shared" si="73"/>
        <v>4001361</v>
      </c>
      <c r="C1072" s="79" t="s">
        <v>1673</v>
      </c>
      <c r="D1072" s="121">
        <f t="shared" si="74"/>
        <v>4001362</v>
      </c>
      <c r="E1072" s="79" t="s">
        <v>1680</v>
      </c>
      <c r="F1072" s="79">
        <v>5</v>
      </c>
      <c r="G1072" s="79">
        <v>1</v>
      </c>
      <c r="H1072" s="79" t="s">
        <v>352</v>
      </c>
      <c r="I1072" s="79"/>
      <c r="J1072" s="79"/>
      <c r="K1072" s="79">
        <v>6</v>
      </c>
      <c r="L1072" s="79">
        <v>4</v>
      </c>
      <c r="M1072" s="127" t="s">
        <v>1681</v>
      </c>
      <c r="N1072" s="79">
        <v>1</v>
      </c>
      <c r="O1072" s="79">
        <v>0</v>
      </c>
      <c r="P1072" s="107"/>
      <c r="R1072" s="79"/>
    </row>
    <row r="1073" spans="1:18" s="106" customFormat="1">
      <c r="A1073" s="79">
        <v>400137</v>
      </c>
      <c r="B1073" s="121">
        <f t="shared" si="73"/>
        <v>4001371</v>
      </c>
      <c r="C1073" s="79" t="s">
        <v>1667</v>
      </c>
      <c r="D1073" s="121">
        <f t="shared" si="74"/>
        <v>4001372</v>
      </c>
      <c r="E1073" s="79" t="s">
        <v>1682</v>
      </c>
      <c r="F1073" s="79">
        <v>5</v>
      </c>
      <c r="G1073" s="79">
        <v>1</v>
      </c>
      <c r="H1073" s="79" t="s">
        <v>352</v>
      </c>
      <c r="I1073" s="79"/>
      <c r="J1073" s="79"/>
      <c r="K1073" s="79">
        <v>7</v>
      </c>
      <c r="L1073" s="79">
        <v>4</v>
      </c>
      <c r="M1073" s="127" t="s">
        <v>1683</v>
      </c>
      <c r="N1073" s="79">
        <v>1</v>
      </c>
      <c r="O1073" s="79">
        <v>0</v>
      </c>
      <c r="P1073" s="107"/>
      <c r="R1073" s="79"/>
    </row>
    <row r="1074" spans="1:18" s="106" customFormat="1">
      <c r="A1074" s="79">
        <v>400138</v>
      </c>
      <c r="B1074" s="121">
        <f t="shared" si="73"/>
        <v>4001381</v>
      </c>
      <c r="C1074" s="79" t="s">
        <v>1670</v>
      </c>
      <c r="D1074" s="121">
        <f t="shared" si="74"/>
        <v>4001382</v>
      </c>
      <c r="E1074" s="79" t="s">
        <v>1684</v>
      </c>
      <c r="F1074" s="79">
        <v>5</v>
      </c>
      <c r="G1074" s="79">
        <v>1</v>
      </c>
      <c r="H1074" s="79" t="s">
        <v>352</v>
      </c>
      <c r="I1074" s="79"/>
      <c r="J1074" s="79"/>
      <c r="K1074" s="79">
        <v>7</v>
      </c>
      <c r="L1074" s="79">
        <v>4</v>
      </c>
      <c r="M1074" s="127" t="s">
        <v>1685</v>
      </c>
      <c r="N1074" s="79">
        <v>1</v>
      </c>
      <c r="O1074" s="79">
        <v>0</v>
      </c>
      <c r="P1074" s="107"/>
      <c r="R1074" s="79"/>
    </row>
    <row r="1075" spans="1:18" s="106" customFormat="1">
      <c r="A1075" s="79">
        <v>400139</v>
      </c>
      <c r="B1075" s="121">
        <f t="shared" si="73"/>
        <v>4001391</v>
      </c>
      <c r="C1075" s="79" t="s">
        <v>1673</v>
      </c>
      <c r="D1075" s="121">
        <f t="shared" si="74"/>
        <v>4001392</v>
      </c>
      <c r="E1075" s="79" t="s">
        <v>1686</v>
      </c>
      <c r="F1075" s="79">
        <v>5</v>
      </c>
      <c r="G1075" s="79">
        <v>1</v>
      </c>
      <c r="H1075" s="79" t="s">
        <v>352</v>
      </c>
      <c r="I1075" s="79"/>
      <c r="J1075" s="79"/>
      <c r="K1075" s="79">
        <v>7</v>
      </c>
      <c r="L1075" s="79">
        <v>4</v>
      </c>
      <c r="M1075" s="127" t="s">
        <v>1687</v>
      </c>
      <c r="N1075" s="79">
        <v>1</v>
      </c>
      <c r="O1075" s="79">
        <v>0</v>
      </c>
      <c r="P1075" s="107"/>
      <c r="R1075" s="79"/>
    </row>
    <row r="1076" spans="1:18" s="106" customFormat="1">
      <c r="A1076" s="79">
        <v>400141</v>
      </c>
      <c r="B1076" s="121">
        <f t="shared" si="73"/>
        <v>4001411</v>
      </c>
      <c r="C1076" s="79" t="s">
        <v>1688</v>
      </c>
      <c r="D1076" s="121">
        <f t="shared" si="74"/>
        <v>4001412</v>
      </c>
      <c r="E1076" s="79" t="s">
        <v>1689</v>
      </c>
      <c r="F1076" s="79">
        <v>5</v>
      </c>
      <c r="G1076" s="79">
        <v>1</v>
      </c>
      <c r="H1076" s="79" t="s">
        <v>357</v>
      </c>
      <c r="I1076" s="79"/>
      <c r="J1076" s="79"/>
      <c r="K1076" s="79">
        <v>5</v>
      </c>
      <c r="L1076" s="79">
        <v>4</v>
      </c>
      <c r="M1076" s="127" t="s">
        <v>1690</v>
      </c>
      <c r="N1076" s="79">
        <v>1</v>
      </c>
      <c r="O1076" s="79">
        <v>0</v>
      </c>
      <c r="P1076" s="107"/>
      <c r="R1076" s="79"/>
    </row>
    <row r="1077" spans="1:18" s="106" customFormat="1">
      <c r="A1077" s="79">
        <v>400142</v>
      </c>
      <c r="B1077" s="121">
        <f t="shared" si="73"/>
        <v>4001421</v>
      </c>
      <c r="C1077" s="79" t="s">
        <v>1691</v>
      </c>
      <c r="D1077" s="121">
        <f t="shared" si="74"/>
        <v>4001422</v>
      </c>
      <c r="E1077" s="79" t="s">
        <v>1692</v>
      </c>
      <c r="F1077" s="79">
        <v>5</v>
      </c>
      <c r="G1077" s="79">
        <v>1</v>
      </c>
      <c r="H1077" s="79" t="s">
        <v>357</v>
      </c>
      <c r="I1077" s="79"/>
      <c r="J1077" s="79"/>
      <c r="K1077" s="79">
        <v>5</v>
      </c>
      <c r="L1077" s="79">
        <v>4</v>
      </c>
      <c r="M1077" s="127" t="s">
        <v>1693</v>
      </c>
      <c r="N1077" s="79">
        <v>1</v>
      </c>
      <c r="O1077" s="79">
        <v>0</v>
      </c>
      <c r="P1077" s="107"/>
      <c r="R1077" s="79"/>
    </row>
    <row r="1078" spans="1:18" s="106" customFormat="1">
      <c r="A1078" s="79">
        <v>400143</v>
      </c>
      <c r="B1078" s="121">
        <f t="shared" si="73"/>
        <v>4001431</v>
      </c>
      <c r="C1078" s="79" t="s">
        <v>1694</v>
      </c>
      <c r="D1078" s="121">
        <f t="shared" si="74"/>
        <v>4001432</v>
      </c>
      <c r="E1078" s="79" t="s">
        <v>1695</v>
      </c>
      <c r="F1078" s="79">
        <v>5</v>
      </c>
      <c r="G1078" s="79">
        <v>1</v>
      </c>
      <c r="H1078" s="79" t="s">
        <v>357</v>
      </c>
      <c r="I1078" s="79"/>
      <c r="J1078" s="79"/>
      <c r="K1078" s="79">
        <v>5</v>
      </c>
      <c r="L1078" s="79">
        <v>4</v>
      </c>
      <c r="M1078" s="127" t="s">
        <v>1696</v>
      </c>
      <c r="N1078" s="79">
        <v>1</v>
      </c>
      <c r="O1078" s="79">
        <v>0</v>
      </c>
      <c r="P1078" s="107"/>
      <c r="R1078" s="79"/>
    </row>
    <row r="1079" spans="1:18" s="106" customFormat="1">
      <c r="A1079" s="79">
        <v>400144</v>
      </c>
      <c r="B1079" s="121">
        <f t="shared" si="73"/>
        <v>4001441</v>
      </c>
      <c r="C1079" s="79" t="s">
        <v>1688</v>
      </c>
      <c r="D1079" s="121">
        <f t="shared" si="74"/>
        <v>4001442</v>
      </c>
      <c r="E1079" s="79" t="s">
        <v>1697</v>
      </c>
      <c r="F1079" s="79">
        <v>5</v>
      </c>
      <c r="G1079" s="79">
        <v>1</v>
      </c>
      <c r="H1079" s="79" t="s">
        <v>357</v>
      </c>
      <c r="I1079" s="79"/>
      <c r="J1079" s="79"/>
      <c r="K1079" s="79">
        <v>6</v>
      </c>
      <c r="L1079" s="79">
        <v>4</v>
      </c>
      <c r="M1079" s="127" t="s">
        <v>1698</v>
      </c>
      <c r="N1079" s="79">
        <v>1</v>
      </c>
      <c r="O1079" s="79">
        <v>0</v>
      </c>
      <c r="P1079" s="107"/>
      <c r="R1079" s="79"/>
    </row>
    <row r="1080" spans="1:18" s="106" customFormat="1">
      <c r="A1080" s="79">
        <v>400145</v>
      </c>
      <c r="B1080" s="121">
        <f t="shared" si="73"/>
        <v>4001451</v>
      </c>
      <c r="C1080" s="79" t="s">
        <v>1691</v>
      </c>
      <c r="D1080" s="121">
        <f t="shared" si="74"/>
        <v>4001452</v>
      </c>
      <c r="E1080" s="79" t="s">
        <v>1699</v>
      </c>
      <c r="F1080" s="79">
        <v>5</v>
      </c>
      <c r="G1080" s="79">
        <v>1</v>
      </c>
      <c r="H1080" s="79" t="s">
        <v>357</v>
      </c>
      <c r="I1080" s="79"/>
      <c r="J1080" s="79"/>
      <c r="K1080" s="79">
        <v>6</v>
      </c>
      <c r="L1080" s="79">
        <v>4</v>
      </c>
      <c r="M1080" s="127" t="s">
        <v>1700</v>
      </c>
      <c r="N1080" s="79">
        <v>1</v>
      </c>
      <c r="O1080" s="79">
        <v>0</v>
      </c>
      <c r="P1080" s="107"/>
      <c r="R1080" s="79"/>
    </row>
    <row r="1081" spans="1:18" s="106" customFormat="1">
      <c r="A1081" s="79">
        <v>400146</v>
      </c>
      <c r="B1081" s="121">
        <f t="shared" si="73"/>
        <v>4001461</v>
      </c>
      <c r="C1081" s="79" t="s">
        <v>1694</v>
      </c>
      <c r="D1081" s="121">
        <f t="shared" si="74"/>
        <v>4001462</v>
      </c>
      <c r="E1081" s="79" t="s">
        <v>1701</v>
      </c>
      <c r="F1081" s="79">
        <v>5</v>
      </c>
      <c r="G1081" s="79">
        <v>1</v>
      </c>
      <c r="H1081" s="79" t="s">
        <v>357</v>
      </c>
      <c r="I1081" s="79"/>
      <c r="J1081" s="79"/>
      <c r="K1081" s="79">
        <v>6</v>
      </c>
      <c r="L1081" s="79">
        <v>4</v>
      </c>
      <c r="M1081" s="127" t="s">
        <v>1702</v>
      </c>
      <c r="N1081" s="79">
        <v>1</v>
      </c>
      <c r="O1081" s="79">
        <v>0</v>
      </c>
      <c r="P1081" s="107"/>
      <c r="R1081" s="79"/>
    </row>
    <row r="1082" spans="1:18" s="106" customFormat="1">
      <c r="A1082" s="79">
        <v>400147</v>
      </c>
      <c r="B1082" s="121">
        <f t="shared" si="73"/>
        <v>4001471</v>
      </c>
      <c r="C1082" s="79" t="s">
        <v>1688</v>
      </c>
      <c r="D1082" s="121">
        <f t="shared" si="74"/>
        <v>4001472</v>
      </c>
      <c r="E1082" s="79" t="s">
        <v>1703</v>
      </c>
      <c r="F1082" s="79">
        <v>5</v>
      </c>
      <c r="G1082" s="79">
        <v>1</v>
      </c>
      <c r="H1082" s="79" t="s">
        <v>357</v>
      </c>
      <c r="I1082" s="79"/>
      <c r="J1082" s="79"/>
      <c r="K1082" s="79">
        <v>7</v>
      </c>
      <c r="L1082" s="79">
        <v>4</v>
      </c>
      <c r="M1082" s="127" t="s">
        <v>1704</v>
      </c>
      <c r="N1082" s="79">
        <v>1</v>
      </c>
      <c r="O1082" s="79">
        <v>0</v>
      </c>
      <c r="P1082" s="107"/>
      <c r="R1082" s="79"/>
    </row>
    <row r="1083" spans="1:18" s="106" customFormat="1">
      <c r="A1083" s="79">
        <v>400148</v>
      </c>
      <c r="B1083" s="121">
        <f t="shared" si="73"/>
        <v>4001481</v>
      </c>
      <c r="C1083" s="79" t="s">
        <v>1691</v>
      </c>
      <c r="D1083" s="121">
        <f t="shared" si="74"/>
        <v>4001482</v>
      </c>
      <c r="E1083" s="79" t="s">
        <v>1705</v>
      </c>
      <c r="F1083" s="79">
        <v>5</v>
      </c>
      <c r="G1083" s="79">
        <v>1</v>
      </c>
      <c r="H1083" s="79" t="s">
        <v>357</v>
      </c>
      <c r="I1083" s="79"/>
      <c r="J1083" s="79"/>
      <c r="K1083" s="79">
        <v>7</v>
      </c>
      <c r="L1083" s="79">
        <v>4</v>
      </c>
      <c r="M1083" s="127" t="s">
        <v>1706</v>
      </c>
      <c r="N1083" s="79">
        <v>1</v>
      </c>
      <c r="O1083" s="79">
        <v>0</v>
      </c>
      <c r="P1083" s="107"/>
      <c r="R1083" s="79"/>
    </row>
    <row r="1084" spans="1:18" s="106" customFormat="1">
      <c r="A1084" s="79">
        <v>400149</v>
      </c>
      <c r="B1084" s="121">
        <f t="shared" si="73"/>
        <v>4001491</v>
      </c>
      <c r="C1084" s="79" t="s">
        <v>1694</v>
      </c>
      <c r="D1084" s="121">
        <f t="shared" si="74"/>
        <v>4001492</v>
      </c>
      <c r="E1084" s="79" t="s">
        <v>1707</v>
      </c>
      <c r="F1084" s="79">
        <v>5</v>
      </c>
      <c r="G1084" s="79">
        <v>1</v>
      </c>
      <c r="H1084" s="79" t="s">
        <v>357</v>
      </c>
      <c r="I1084" s="79"/>
      <c r="J1084" s="79"/>
      <c r="K1084" s="79">
        <v>7</v>
      </c>
      <c r="L1084" s="79">
        <v>4</v>
      </c>
      <c r="M1084" s="127" t="s">
        <v>1708</v>
      </c>
      <c r="N1084" s="79">
        <v>1</v>
      </c>
      <c r="O1084" s="79">
        <v>0</v>
      </c>
      <c r="P1084" s="107"/>
      <c r="R1084" s="79"/>
    </row>
    <row r="1085" spans="1:18" s="106" customFormat="1">
      <c r="A1085" s="79">
        <v>400151</v>
      </c>
      <c r="B1085" s="121">
        <f t="shared" si="73"/>
        <v>4001511</v>
      </c>
      <c r="C1085" s="79" t="s">
        <v>1709</v>
      </c>
      <c r="D1085" s="121">
        <f t="shared" si="74"/>
        <v>4001512</v>
      </c>
      <c r="E1085" s="79" t="s">
        <v>1710</v>
      </c>
      <c r="F1085" s="79">
        <v>5</v>
      </c>
      <c r="G1085" s="79">
        <v>1</v>
      </c>
      <c r="H1085" s="79" t="s">
        <v>362</v>
      </c>
      <c r="I1085" s="79"/>
      <c r="J1085" s="79"/>
      <c r="K1085" s="79">
        <v>4</v>
      </c>
      <c r="L1085" s="79">
        <v>4</v>
      </c>
      <c r="M1085" s="127" t="s">
        <v>1711</v>
      </c>
      <c r="N1085" s="79">
        <v>1</v>
      </c>
      <c r="O1085" s="79">
        <v>0</v>
      </c>
      <c r="P1085" s="107"/>
      <c r="R1085" s="79"/>
    </row>
    <row r="1086" spans="1:18" s="106" customFormat="1">
      <c r="A1086" s="79">
        <v>400152</v>
      </c>
      <c r="B1086" s="121">
        <f t="shared" si="73"/>
        <v>4001521</v>
      </c>
      <c r="C1086" s="79" t="s">
        <v>1712</v>
      </c>
      <c r="D1086" s="121">
        <f t="shared" si="74"/>
        <v>4001522</v>
      </c>
      <c r="E1086" s="79" t="s">
        <v>1713</v>
      </c>
      <c r="F1086" s="79">
        <v>5</v>
      </c>
      <c r="G1086" s="79">
        <v>1</v>
      </c>
      <c r="H1086" s="79" t="s">
        <v>362</v>
      </c>
      <c r="I1086" s="79"/>
      <c r="J1086" s="79"/>
      <c r="K1086" s="79">
        <v>4</v>
      </c>
      <c r="L1086" s="79">
        <v>4</v>
      </c>
      <c r="M1086" s="127" t="s">
        <v>1714</v>
      </c>
      <c r="N1086" s="79">
        <v>1</v>
      </c>
      <c r="O1086" s="79">
        <v>0</v>
      </c>
      <c r="P1086" s="107"/>
      <c r="R1086" s="79"/>
    </row>
    <row r="1087" spans="1:18" s="106" customFormat="1">
      <c r="A1087" s="79">
        <v>400153</v>
      </c>
      <c r="B1087" s="121">
        <f t="shared" si="73"/>
        <v>4001531</v>
      </c>
      <c r="C1087" s="79" t="s">
        <v>1715</v>
      </c>
      <c r="D1087" s="121">
        <f t="shared" si="74"/>
        <v>4001532</v>
      </c>
      <c r="E1087" s="79" t="s">
        <v>1716</v>
      </c>
      <c r="F1087" s="79">
        <v>5</v>
      </c>
      <c r="G1087" s="79">
        <v>1</v>
      </c>
      <c r="H1087" s="79" t="s">
        <v>362</v>
      </c>
      <c r="I1087" s="79"/>
      <c r="J1087" s="79"/>
      <c r="K1087" s="79">
        <v>4</v>
      </c>
      <c r="L1087" s="79">
        <v>4</v>
      </c>
      <c r="M1087" s="127" t="s">
        <v>1717</v>
      </c>
      <c r="N1087" s="79">
        <v>1</v>
      </c>
      <c r="O1087" s="79">
        <v>0</v>
      </c>
      <c r="P1087" s="107"/>
      <c r="R1087" s="79"/>
    </row>
    <row r="1088" spans="1:18" s="106" customFormat="1">
      <c r="A1088" s="79">
        <v>490161</v>
      </c>
      <c r="B1088" s="121">
        <f t="shared" si="73"/>
        <v>4901611</v>
      </c>
      <c r="C1088" s="79" t="s">
        <v>1718</v>
      </c>
      <c r="D1088" s="121">
        <f t="shared" si="74"/>
        <v>4901612</v>
      </c>
      <c r="E1088" s="79" t="s">
        <v>1719</v>
      </c>
      <c r="F1088" s="79">
        <v>5</v>
      </c>
      <c r="G1088" s="79">
        <v>4</v>
      </c>
      <c r="H1088" s="79" t="s">
        <v>367</v>
      </c>
      <c r="I1088" s="79"/>
      <c r="J1088" s="79"/>
      <c r="K1088" s="79">
        <v>6</v>
      </c>
      <c r="L1088" s="79">
        <v>8</v>
      </c>
      <c r="M1088" s="127" t="s">
        <v>1720</v>
      </c>
      <c r="N1088" s="79">
        <v>1</v>
      </c>
      <c r="O1088" s="79">
        <v>0</v>
      </c>
      <c r="P1088" s="107"/>
      <c r="R1088" s="79"/>
    </row>
    <row r="1089" spans="1:18" s="106" customFormat="1">
      <c r="A1089" s="79">
        <v>490162</v>
      </c>
      <c r="B1089" s="121">
        <f t="shared" si="73"/>
        <v>4901621</v>
      </c>
      <c r="C1089" s="79" t="s">
        <v>1721</v>
      </c>
      <c r="D1089" s="121">
        <f t="shared" si="74"/>
        <v>4901622</v>
      </c>
      <c r="E1089" s="79" t="s">
        <v>1722</v>
      </c>
      <c r="F1089" s="79">
        <v>5</v>
      </c>
      <c r="G1089" s="79">
        <v>4</v>
      </c>
      <c r="H1089" s="79" t="s">
        <v>367</v>
      </c>
      <c r="I1089" s="79"/>
      <c r="J1089" s="79"/>
      <c r="K1089" s="79">
        <v>6</v>
      </c>
      <c r="L1089" s="79">
        <v>8</v>
      </c>
      <c r="M1089" s="127" t="s">
        <v>1723</v>
      </c>
      <c r="N1089" s="79">
        <v>1</v>
      </c>
      <c r="O1089" s="79">
        <v>0</v>
      </c>
      <c r="P1089" s="107"/>
      <c r="R1089" s="79"/>
    </row>
    <row r="1090" spans="1:18" s="106" customFormat="1">
      <c r="A1090" s="79">
        <v>490163</v>
      </c>
      <c r="B1090" s="121">
        <f t="shared" si="73"/>
        <v>4901631</v>
      </c>
      <c r="C1090" s="79" t="s">
        <v>1724</v>
      </c>
      <c r="D1090" s="121">
        <f t="shared" si="74"/>
        <v>4901632</v>
      </c>
      <c r="E1090" s="79" t="s">
        <v>1725</v>
      </c>
      <c r="F1090" s="79">
        <v>5</v>
      </c>
      <c r="G1090" s="79">
        <v>4</v>
      </c>
      <c r="H1090" s="79" t="s">
        <v>367</v>
      </c>
      <c r="I1090" s="79"/>
      <c r="J1090" s="79"/>
      <c r="K1090" s="79">
        <v>6</v>
      </c>
      <c r="L1090" s="79">
        <v>8</v>
      </c>
      <c r="M1090" s="127" t="s">
        <v>1726</v>
      </c>
      <c r="N1090" s="79">
        <v>1</v>
      </c>
      <c r="O1090" s="79">
        <v>0</v>
      </c>
      <c r="P1090" s="107"/>
      <c r="Q1090" s="107"/>
      <c r="R1090" s="79"/>
    </row>
    <row r="1091" spans="1:18" s="106" customFormat="1">
      <c r="A1091" s="79">
        <v>400170</v>
      </c>
      <c r="B1091" s="121">
        <f t="shared" si="73"/>
        <v>4001701</v>
      </c>
      <c r="C1091" s="79" t="s">
        <v>1727</v>
      </c>
      <c r="D1091" s="121">
        <f t="shared" si="74"/>
        <v>4001702</v>
      </c>
      <c r="E1091" s="79" t="s">
        <v>1728</v>
      </c>
      <c r="F1091" s="79">
        <v>5</v>
      </c>
      <c r="G1091" s="79">
        <v>1</v>
      </c>
      <c r="H1091" s="79" t="s">
        <v>371</v>
      </c>
      <c r="I1091" s="79"/>
      <c r="J1091" s="79"/>
      <c r="K1091" s="79">
        <v>5</v>
      </c>
      <c r="L1091" s="79">
        <v>4</v>
      </c>
      <c r="M1091" s="127" t="s">
        <v>1729</v>
      </c>
      <c r="N1091" s="79">
        <v>1</v>
      </c>
      <c r="O1091" s="79">
        <v>0</v>
      </c>
      <c r="P1091" s="107"/>
      <c r="R1091" s="79"/>
    </row>
    <row r="1092" spans="1:18" s="106" customFormat="1">
      <c r="A1092" s="79">
        <v>400171</v>
      </c>
      <c r="B1092" s="121">
        <f t="shared" si="73"/>
        <v>4001711</v>
      </c>
      <c r="C1092" s="79" t="s">
        <v>1730</v>
      </c>
      <c r="D1092" s="121">
        <f t="shared" si="74"/>
        <v>4001712</v>
      </c>
      <c r="E1092" s="79" t="s">
        <v>1731</v>
      </c>
      <c r="F1092" s="79">
        <v>5</v>
      </c>
      <c r="G1092" s="79">
        <v>1</v>
      </c>
      <c r="H1092" s="79" t="s">
        <v>371</v>
      </c>
      <c r="I1092" s="79"/>
      <c r="J1092" s="79"/>
      <c r="K1092" s="79">
        <v>5</v>
      </c>
      <c r="L1092" s="79">
        <v>4</v>
      </c>
      <c r="M1092" s="127" t="s">
        <v>1732</v>
      </c>
      <c r="N1092" s="79">
        <v>1</v>
      </c>
      <c r="O1092" s="79">
        <v>0</v>
      </c>
      <c r="P1092" s="107"/>
      <c r="R1092" s="79"/>
    </row>
    <row r="1093" spans="1:18" s="106" customFormat="1">
      <c r="A1093" s="79">
        <v>400172</v>
      </c>
      <c r="B1093" s="121">
        <f t="shared" si="73"/>
        <v>4001721</v>
      </c>
      <c r="C1093" s="79" t="s">
        <v>1727</v>
      </c>
      <c r="D1093" s="121">
        <f t="shared" si="74"/>
        <v>4001722</v>
      </c>
      <c r="E1093" s="79" t="s">
        <v>1733</v>
      </c>
      <c r="F1093" s="79">
        <v>5</v>
      </c>
      <c r="G1093" s="79">
        <v>1</v>
      </c>
      <c r="H1093" s="79" t="s">
        <v>371</v>
      </c>
      <c r="I1093" s="79"/>
      <c r="J1093" s="79"/>
      <c r="K1093" s="79">
        <v>5</v>
      </c>
      <c r="L1093" s="79">
        <v>4</v>
      </c>
      <c r="M1093" s="127" t="s">
        <v>1734</v>
      </c>
      <c r="N1093" s="79">
        <v>1</v>
      </c>
      <c r="O1093" s="79">
        <v>0</v>
      </c>
      <c r="P1093" s="107"/>
      <c r="R1093" s="79"/>
    </row>
    <row r="1094" spans="1:18" s="106" customFormat="1">
      <c r="A1094" s="79">
        <v>400173</v>
      </c>
      <c r="B1094" s="121">
        <f t="shared" si="73"/>
        <v>4001731</v>
      </c>
      <c r="C1094" s="79" t="s">
        <v>1735</v>
      </c>
      <c r="D1094" s="121">
        <f t="shared" si="74"/>
        <v>4001732</v>
      </c>
      <c r="E1094" s="79" t="s">
        <v>1736</v>
      </c>
      <c r="F1094" s="79">
        <v>5</v>
      </c>
      <c r="G1094" s="79">
        <v>1</v>
      </c>
      <c r="H1094" s="79" t="s">
        <v>371</v>
      </c>
      <c r="I1094" s="79"/>
      <c r="J1094" s="79"/>
      <c r="K1094" s="79">
        <v>5</v>
      </c>
      <c r="L1094" s="79">
        <v>4</v>
      </c>
      <c r="M1094" s="127" t="s">
        <v>1737</v>
      </c>
      <c r="N1094" s="79">
        <v>1</v>
      </c>
      <c r="O1094" s="79">
        <v>0</v>
      </c>
      <c r="P1094" s="107"/>
      <c r="R1094" s="79"/>
    </row>
    <row r="1095" spans="1:18" s="106" customFormat="1">
      <c r="A1095" s="79">
        <v>400174</v>
      </c>
      <c r="B1095" s="121">
        <f t="shared" si="73"/>
        <v>4001741</v>
      </c>
      <c r="C1095" s="79" t="s">
        <v>1730</v>
      </c>
      <c r="D1095" s="121">
        <f t="shared" si="74"/>
        <v>4001742</v>
      </c>
      <c r="E1095" s="79" t="s">
        <v>1738</v>
      </c>
      <c r="F1095" s="79">
        <v>5</v>
      </c>
      <c r="G1095" s="79">
        <v>1</v>
      </c>
      <c r="H1095" s="79" t="s">
        <v>371</v>
      </c>
      <c r="I1095" s="79"/>
      <c r="J1095" s="79"/>
      <c r="K1095" s="79">
        <v>6</v>
      </c>
      <c r="L1095" s="79">
        <v>4</v>
      </c>
      <c r="M1095" s="127" t="s">
        <v>1739</v>
      </c>
      <c r="N1095" s="79">
        <v>1</v>
      </c>
      <c r="O1095" s="79">
        <v>0</v>
      </c>
      <c r="P1095" s="107"/>
      <c r="R1095" s="79"/>
    </row>
    <row r="1096" spans="1:18" s="106" customFormat="1">
      <c r="A1096" s="79">
        <v>400175</v>
      </c>
      <c r="B1096" s="121">
        <f t="shared" si="73"/>
        <v>4001751</v>
      </c>
      <c r="C1096" s="79" t="s">
        <v>1727</v>
      </c>
      <c r="D1096" s="121">
        <f t="shared" si="74"/>
        <v>4001752</v>
      </c>
      <c r="E1096" s="79" t="s">
        <v>1740</v>
      </c>
      <c r="F1096" s="79">
        <v>5</v>
      </c>
      <c r="G1096" s="79">
        <v>1</v>
      </c>
      <c r="H1096" s="79" t="s">
        <v>371</v>
      </c>
      <c r="I1096" s="79"/>
      <c r="J1096" s="79"/>
      <c r="K1096" s="79">
        <v>6</v>
      </c>
      <c r="L1096" s="79">
        <v>4</v>
      </c>
      <c r="M1096" s="127" t="s">
        <v>1741</v>
      </c>
      <c r="N1096" s="79">
        <v>1</v>
      </c>
      <c r="O1096" s="79">
        <v>0</v>
      </c>
      <c r="P1096" s="107"/>
      <c r="R1096" s="79"/>
    </row>
    <row r="1097" spans="1:18" s="106" customFormat="1">
      <c r="A1097" s="79">
        <v>400176</v>
      </c>
      <c r="B1097" s="121">
        <f t="shared" si="73"/>
        <v>4001761</v>
      </c>
      <c r="C1097" s="79" t="s">
        <v>1735</v>
      </c>
      <c r="D1097" s="121">
        <f t="shared" si="74"/>
        <v>4001762</v>
      </c>
      <c r="E1097" s="79" t="s">
        <v>1742</v>
      </c>
      <c r="F1097" s="79">
        <v>5</v>
      </c>
      <c r="G1097" s="79">
        <v>1</v>
      </c>
      <c r="H1097" s="79" t="s">
        <v>371</v>
      </c>
      <c r="I1097" s="79"/>
      <c r="J1097" s="79"/>
      <c r="K1097" s="79">
        <v>6</v>
      </c>
      <c r="L1097" s="79">
        <v>4</v>
      </c>
      <c r="M1097" s="127" t="s">
        <v>1743</v>
      </c>
      <c r="N1097" s="79">
        <v>1</v>
      </c>
      <c r="O1097" s="79">
        <v>0</v>
      </c>
      <c r="P1097" s="107"/>
      <c r="R1097" s="79"/>
    </row>
    <row r="1098" spans="1:18" s="106" customFormat="1">
      <c r="A1098" s="79">
        <v>400177</v>
      </c>
      <c r="B1098" s="121">
        <f t="shared" si="73"/>
        <v>4001771</v>
      </c>
      <c r="C1098" s="79" t="s">
        <v>1730</v>
      </c>
      <c r="D1098" s="121">
        <f t="shared" si="74"/>
        <v>4001772</v>
      </c>
      <c r="E1098" s="79" t="s">
        <v>1744</v>
      </c>
      <c r="F1098" s="79">
        <v>5</v>
      </c>
      <c r="G1098" s="79">
        <v>1</v>
      </c>
      <c r="H1098" s="79" t="s">
        <v>371</v>
      </c>
      <c r="I1098" s="79"/>
      <c r="J1098" s="79"/>
      <c r="K1098" s="79">
        <v>7</v>
      </c>
      <c r="L1098" s="79">
        <v>4</v>
      </c>
      <c r="M1098" s="127" t="s">
        <v>1745</v>
      </c>
      <c r="N1098" s="79">
        <v>1</v>
      </c>
      <c r="O1098" s="79">
        <v>0</v>
      </c>
      <c r="P1098" s="107"/>
      <c r="R1098" s="79"/>
    </row>
    <row r="1099" spans="1:18" s="106" customFormat="1">
      <c r="A1099" s="79">
        <v>400178</v>
      </c>
      <c r="B1099" s="121">
        <f t="shared" si="73"/>
        <v>4001781</v>
      </c>
      <c r="C1099" s="79" t="s">
        <v>1727</v>
      </c>
      <c r="D1099" s="121">
        <f t="shared" si="74"/>
        <v>4001782</v>
      </c>
      <c r="E1099" s="79" t="s">
        <v>1746</v>
      </c>
      <c r="F1099" s="79">
        <v>5</v>
      </c>
      <c r="G1099" s="79">
        <v>1</v>
      </c>
      <c r="H1099" s="79" t="s">
        <v>371</v>
      </c>
      <c r="I1099" s="79"/>
      <c r="J1099" s="79"/>
      <c r="K1099" s="79">
        <v>7</v>
      </c>
      <c r="L1099" s="79">
        <v>4</v>
      </c>
      <c r="M1099" s="127" t="s">
        <v>1747</v>
      </c>
      <c r="N1099" s="79">
        <v>1</v>
      </c>
      <c r="O1099" s="79">
        <v>0</v>
      </c>
      <c r="P1099" s="107"/>
      <c r="R1099" s="79"/>
    </row>
    <row r="1100" spans="1:18" s="106" customFormat="1">
      <c r="A1100" s="79">
        <v>400179</v>
      </c>
      <c r="B1100" s="121">
        <f t="shared" si="73"/>
        <v>4001791</v>
      </c>
      <c r="C1100" s="79" t="s">
        <v>1735</v>
      </c>
      <c r="D1100" s="121">
        <f t="shared" si="74"/>
        <v>4001792</v>
      </c>
      <c r="E1100" s="79" t="s">
        <v>1748</v>
      </c>
      <c r="F1100" s="79">
        <v>5</v>
      </c>
      <c r="G1100" s="79">
        <v>1</v>
      </c>
      <c r="H1100" s="79" t="s">
        <v>371</v>
      </c>
      <c r="I1100" s="79"/>
      <c r="J1100" s="79"/>
      <c r="K1100" s="79">
        <v>7</v>
      </c>
      <c r="L1100" s="79">
        <v>4</v>
      </c>
      <c r="M1100" s="127" t="s">
        <v>1749</v>
      </c>
      <c r="N1100" s="79">
        <v>1</v>
      </c>
      <c r="O1100" s="79">
        <v>0</v>
      </c>
      <c r="P1100" s="107"/>
      <c r="R1100" s="79"/>
    </row>
    <row r="1101" spans="1:18" s="106" customFormat="1">
      <c r="A1101" s="79">
        <v>400180</v>
      </c>
      <c r="B1101" s="121">
        <f t="shared" si="73"/>
        <v>4001801</v>
      </c>
      <c r="C1101" s="79" t="s">
        <v>1730</v>
      </c>
      <c r="D1101" s="121">
        <f t="shared" si="74"/>
        <v>4001802</v>
      </c>
      <c r="E1101" s="79" t="s">
        <v>1750</v>
      </c>
      <c r="F1101" s="79">
        <v>5</v>
      </c>
      <c r="G1101" s="79">
        <v>1</v>
      </c>
      <c r="H1101" s="79" t="s">
        <v>371</v>
      </c>
      <c r="I1101" s="79"/>
      <c r="J1101" s="79"/>
      <c r="K1101" s="79">
        <v>4</v>
      </c>
      <c r="L1101" s="79">
        <v>4</v>
      </c>
      <c r="M1101" s="127" t="s">
        <v>1751</v>
      </c>
      <c r="N1101" s="79">
        <v>1</v>
      </c>
      <c r="O1101" s="79">
        <v>0</v>
      </c>
      <c r="P1101" s="107"/>
      <c r="R1101" s="79"/>
    </row>
    <row r="1102" spans="1:18" s="106" customFormat="1">
      <c r="A1102" s="79">
        <v>400181</v>
      </c>
      <c r="B1102" s="121">
        <f t="shared" si="73"/>
        <v>4001811</v>
      </c>
      <c r="C1102" s="79" t="s">
        <v>1752</v>
      </c>
      <c r="D1102" s="121">
        <f t="shared" si="74"/>
        <v>4001812</v>
      </c>
      <c r="E1102" s="79" t="s">
        <v>1753</v>
      </c>
      <c r="F1102" s="79">
        <v>5</v>
      </c>
      <c r="G1102" s="79">
        <v>1</v>
      </c>
      <c r="H1102" s="79" t="s">
        <v>378</v>
      </c>
      <c r="I1102" s="79"/>
      <c r="J1102" s="79"/>
      <c r="K1102" s="79">
        <v>6</v>
      </c>
      <c r="L1102" s="79">
        <v>4</v>
      </c>
      <c r="M1102" s="127" t="s">
        <v>1754</v>
      </c>
      <c r="N1102" s="79">
        <v>1</v>
      </c>
      <c r="O1102" s="79">
        <v>0</v>
      </c>
      <c r="P1102" s="107"/>
      <c r="R1102" s="79"/>
    </row>
    <row r="1103" spans="1:18" s="106" customFormat="1">
      <c r="A1103" s="79">
        <v>400182</v>
      </c>
      <c r="B1103" s="121">
        <f t="shared" si="73"/>
        <v>4001821</v>
      </c>
      <c r="C1103" s="79" t="s">
        <v>1755</v>
      </c>
      <c r="D1103" s="121">
        <f t="shared" si="74"/>
        <v>4001822</v>
      </c>
      <c r="E1103" s="79" t="s">
        <v>1756</v>
      </c>
      <c r="F1103" s="79">
        <v>5</v>
      </c>
      <c r="G1103" s="79">
        <v>1</v>
      </c>
      <c r="H1103" s="79" t="s">
        <v>378</v>
      </c>
      <c r="I1103" s="79"/>
      <c r="J1103" s="79"/>
      <c r="K1103" s="79">
        <v>6</v>
      </c>
      <c r="L1103" s="79">
        <v>4</v>
      </c>
      <c r="M1103" s="127" t="s">
        <v>1757</v>
      </c>
      <c r="N1103" s="79">
        <v>1</v>
      </c>
      <c r="O1103" s="79">
        <v>0</v>
      </c>
      <c r="P1103" s="107"/>
      <c r="R1103" s="79"/>
    </row>
    <row r="1104" spans="1:18" s="106" customFormat="1">
      <c r="A1104" s="79">
        <v>400183</v>
      </c>
      <c r="B1104" s="121">
        <f t="shared" si="73"/>
        <v>4001831</v>
      </c>
      <c r="C1104" s="79" t="s">
        <v>1758</v>
      </c>
      <c r="D1104" s="121">
        <f t="shared" si="74"/>
        <v>4001832</v>
      </c>
      <c r="E1104" s="79" t="s">
        <v>1759</v>
      </c>
      <c r="F1104" s="79">
        <v>5</v>
      </c>
      <c r="G1104" s="79">
        <v>1</v>
      </c>
      <c r="H1104" s="79" t="s">
        <v>378</v>
      </c>
      <c r="I1104" s="79"/>
      <c r="J1104" s="79"/>
      <c r="K1104" s="79">
        <v>6</v>
      </c>
      <c r="L1104" s="79">
        <v>4</v>
      </c>
      <c r="M1104" s="127" t="s">
        <v>1760</v>
      </c>
      <c r="N1104" s="79">
        <v>1</v>
      </c>
      <c r="O1104" s="79">
        <v>0</v>
      </c>
      <c r="P1104" s="107"/>
      <c r="R1104" s="79"/>
    </row>
    <row r="1105" spans="1:18" s="106" customFormat="1">
      <c r="A1105" s="79">
        <v>400188</v>
      </c>
      <c r="B1105" s="121">
        <f t="shared" si="73"/>
        <v>4001881</v>
      </c>
      <c r="C1105" s="79" t="s">
        <v>1761</v>
      </c>
      <c r="D1105" s="121">
        <f t="shared" si="74"/>
        <v>4001882</v>
      </c>
      <c r="E1105" s="79" t="s">
        <v>1762</v>
      </c>
      <c r="F1105" s="79">
        <v>5</v>
      </c>
      <c r="G1105" s="79">
        <v>1</v>
      </c>
      <c r="H1105" s="79" t="s">
        <v>381</v>
      </c>
      <c r="I1105" s="79"/>
      <c r="J1105" s="79"/>
      <c r="K1105" s="79">
        <v>5</v>
      </c>
      <c r="L1105" s="79">
        <v>4</v>
      </c>
      <c r="M1105" s="127" t="s">
        <v>1763</v>
      </c>
      <c r="N1105" s="79">
        <v>1</v>
      </c>
      <c r="O1105" s="79">
        <v>0</v>
      </c>
      <c r="P1105" s="107"/>
      <c r="R1105" s="79"/>
    </row>
    <row r="1106" spans="1:18" s="106" customFormat="1">
      <c r="A1106" s="79">
        <v>400189</v>
      </c>
      <c r="B1106" s="121">
        <f t="shared" si="73"/>
        <v>4001891</v>
      </c>
      <c r="C1106" s="79" t="s">
        <v>1764</v>
      </c>
      <c r="D1106" s="121">
        <f t="shared" si="74"/>
        <v>4001892</v>
      </c>
      <c r="E1106" s="79" t="s">
        <v>1765</v>
      </c>
      <c r="F1106" s="79">
        <v>5</v>
      </c>
      <c r="G1106" s="79">
        <v>1</v>
      </c>
      <c r="H1106" s="79" t="s">
        <v>381</v>
      </c>
      <c r="I1106" s="79"/>
      <c r="J1106" s="79"/>
      <c r="K1106" s="79">
        <v>4</v>
      </c>
      <c r="L1106" s="79">
        <v>4</v>
      </c>
      <c r="M1106" s="127" t="s">
        <v>1766</v>
      </c>
      <c r="N1106" s="79">
        <v>1</v>
      </c>
      <c r="O1106" s="79">
        <v>0</v>
      </c>
      <c r="P1106" s="107"/>
      <c r="R1106" s="79"/>
    </row>
    <row r="1107" spans="1:18" s="106" customFormat="1">
      <c r="A1107" s="79">
        <v>400190</v>
      </c>
      <c r="B1107" s="121">
        <f t="shared" ref="B1107:B1171" si="75">A1107*10+1</f>
        <v>4001901</v>
      </c>
      <c r="C1107" s="79" t="s">
        <v>1761</v>
      </c>
      <c r="D1107" s="121">
        <f t="shared" ref="D1107:D1171" si="76">A1107*10+2</f>
        <v>4001902</v>
      </c>
      <c r="E1107" s="79" t="s">
        <v>1767</v>
      </c>
      <c r="F1107" s="79">
        <v>5</v>
      </c>
      <c r="G1107" s="79">
        <v>1</v>
      </c>
      <c r="H1107" s="79" t="s">
        <v>381</v>
      </c>
      <c r="I1107" s="79"/>
      <c r="J1107" s="79"/>
      <c r="K1107" s="79">
        <v>4</v>
      </c>
      <c r="L1107" s="79">
        <v>4</v>
      </c>
      <c r="M1107" s="127" t="s">
        <v>1768</v>
      </c>
      <c r="N1107" s="79">
        <v>1</v>
      </c>
      <c r="O1107" s="79">
        <v>0</v>
      </c>
      <c r="P1107" s="107"/>
      <c r="R1107" s="79"/>
    </row>
    <row r="1108" spans="1:18" s="106" customFormat="1">
      <c r="A1108" s="79">
        <v>400191</v>
      </c>
      <c r="B1108" s="121">
        <f t="shared" si="75"/>
        <v>4001911</v>
      </c>
      <c r="C1108" s="79" t="s">
        <v>1769</v>
      </c>
      <c r="D1108" s="121">
        <f t="shared" si="76"/>
        <v>4001912</v>
      </c>
      <c r="E1108" s="79" t="s">
        <v>1770</v>
      </c>
      <c r="F1108" s="79">
        <v>5</v>
      </c>
      <c r="G1108" s="79">
        <v>1</v>
      </c>
      <c r="H1108" s="79" t="s">
        <v>381</v>
      </c>
      <c r="I1108" s="79"/>
      <c r="J1108" s="79"/>
      <c r="K1108" s="79">
        <v>5</v>
      </c>
      <c r="L1108" s="79">
        <v>4</v>
      </c>
      <c r="M1108" s="127" t="s">
        <v>1771</v>
      </c>
      <c r="N1108" s="79">
        <v>1</v>
      </c>
      <c r="O1108" s="79">
        <v>0</v>
      </c>
      <c r="P1108" s="107"/>
      <c r="R1108" s="79"/>
    </row>
    <row r="1109" spans="1:18" s="106" customFormat="1">
      <c r="A1109" s="79">
        <v>400192</v>
      </c>
      <c r="B1109" s="121">
        <f t="shared" si="75"/>
        <v>4001921</v>
      </c>
      <c r="C1109" s="79" t="s">
        <v>1764</v>
      </c>
      <c r="D1109" s="121">
        <f t="shared" si="76"/>
        <v>4001922</v>
      </c>
      <c r="E1109" s="79" t="s">
        <v>1772</v>
      </c>
      <c r="F1109" s="79">
        <v>5</v>
      </c>
      <c r="G1109" s="79">
        <v>1</v>
      </c>
      <c r="H1109" s="79" t="s">
        <v>381</v>
      </c>
      <c r="I1109" s="79"/>
      <c r="J1109" s="79"/>
      <c r="K1109" s="79">
        <v>5</v>
      </c>
      <c r="L1109" s="79">
        <v>4</v>
      </c>
      <c r="M1109" s="127" t="s">
        <v>1773</v>
      </c>
      <c r="N1109" s="79">
        <v>1</v>
      </c>
      <c r="O1109" s="79">
        <v>0</v>
      </c>
      <c r="P1109" s="107"/>
      <c r="R1109" s="79"/>
    </row>
    <row r="1110" spans="1:18" s="106" customFormat="1">
      <c r="A1110" s="79">
        <v>400193</v>
      </c>
      <c r="B1110" s="121">
        <f t="shared" si="75"/>
        <v>4001931</v>
      </c>
      <c r="C1110" s="79" t="s">
        <v>1774</v>
      </c>
      <c r="D1110" s="121">
        <f t="shared" si="76"/>
        <v>4001932</v>
      </c>
      <c r="E1110" s="79" t="s">
        <v>1775</v>
      </c>
      <c r="F1110" s="79">
        <v>5</v>
      </c>
      <c r="G1110" s="79">
        <v>1</v>
      </c>
      <c r="H1110" s="79" t="s">
        <v>381</v>
      </c>
      <c r="I1110" s="79"/>
      <c r="J1110" s="79"/>
      <c r="K1110" s="79">
        <v>5</v>
      </c>
      <c r="L1110" s="79">
        <v>4</v>
      </c>
      <c r="M1110" s="127" t="s">
        <v>1776</v>
      </c>
      <c r="N1110" s="79">
        <v>1</v>
      </c>
      <c r="O1110" s="79">
        <v>0</v>
      </c>
      <c r="P1110" s="107"/>
      <c r="R1110" s="79"/>
    </row>
    <row r="1111" spans="1:18" s="106" customFormat="1">
      <c r="A1111" s="79">
        <v>400194</v>
      </c>
      <c r="B1111" s="121">
        <f t="shared" si="75"/>
        <v>4001941</v>
      </c>
      <c r="C1111" s="79" t="s">
        <v>1769</v>
      </c>
      <c r="D1111" s="121">
        <f t="shared" si="76"/>
        <v>4001942</v>
      </c>
      <c r="E1111" s="79" t="s">
        <v>1777</v>
      </c>
      <c r="F1111" s="79">
        <v>5</v>
      </c>
      <c r="G1111" s="79">
        <v>1</v>
      </c>
      <c r="H1111" s="79" t="s">
        <v>381</v>
      </c>
      <c r="I1111" s="79"/>
      <c r="J1111" s="79"/>
      <c r="K1111" s="79">
        <v>6</v>
      </c>
      <c r="L1111" s="79">
        <v>4</v>
      </c>
      <c r="M1111" s="127" t="s">
        <v>1778</v>
      </c>
      <c r="N1111" s="79">
        <v>1</v>
      </c>
      <c r="O1111" s="79">
        <v>0</v>
      </c>
      <c r="P1111" s="107"/>
      <c r="R1111" s="79"/>
    </row>
    <row r="1112" spans="1:18" s="106" customFormat="1">
      <c r="A1112" s="79">
        <v>400195</v>
      </c>
      <c r="B1112" s="121">
        <f t="shared" si="75"/>
        <v>4001951</v>
      </c>
      <c r="C1112" s="79" t="s">
        <v>1764</v>
      </c>
      <c r="D1112" s="121">
        <f t="shared" si="76"/>
        <v>4001952</v>
      </c>
      <c r="E1112" s="79" t="s">
        <v>1779</v>
      </c>
      <c r="F1112" s="79">
        <v>5</v>
      </c>
      <c r="G1112" s="79">
        <v>1</v>
      </c>
      <c r="H1112" s="79" t="s">
        <v>381</v>
      </c>
      <c r="I1112" s="79"/>
      <c r="J1112" s="79"/>
      <c r="K1112" s="79">
        <v>6</v>
      </c>
      <c r="L1112" s="79">
        <v>4</v>
      </c>
      <c r="M1112" s="127" t="s">
        <v>1780</v>
      </c>
      <c r="N1112" s="79">
        <v>1</v>
      </c>
      <c r="O1112" s="79">
        <v>0</v>
      </c>
      <c r="P1112" s="107"/>
      <c r="R1112" s="79"/>
    </row>
    <row r="1113" spans="1:18" s="106" customFormat="1">
      <c r="A1113" s="79">
        <v>400196</v>
      </c>
      <c r="B1113" s="121">
        <f t="shared" si="75"/>
        <v>4001961</v>
      </c>
      <c r="C1113" s="79" t="s">
        <v>1774</v>
      </c>
      <c r="D1113" s="121">
        <f t="shared" si="76"/>
        <v>4001962</v>
      </c>
      <c r="E1113" s="79" t="s">
        <v>1781</v>
      </c>
      <c r="F1113" s="79">
        <v>5</v>
      </c>
      <c r="G1113" s="79">
        <v>1</v>
      </c>
      <c r="H1113" s="79" t="s">
        <v>381</v>
      </c>
      <c r="I1113" s="79"/>
      <c r="J1113" s="79"/>
      <c r="K1113" s="79">
        <v>6</v>
      </c>
      <c r="L1113" s="79">
        <v>4</v>
      </c>
      <c r="M1113" s="127" t="s">
        <v>1782</v>
      </c>
      <c r="N1113" s="79">
        <v>1</v>
      </c>
      <c r="O1113" s="79">
        <v>0</v>
      </c>
      <c r="P1113" s="107"/>
      <c r="R1113" s="79"/>
    </row>
    <row r="1114" spans="1:18" s="106" customFormat="1">
      <c r="A1114" s="79">
        <v>400197</v>
      </c>
      <c r="B1114" s="121">
        <f t="shared" si="75"/>
        <v>4001971</v>
      </c>
      <c r="C1114" s="79" t="s">
        <v>1769</v>
      </c>
      <c r="D1114" s="121">
        <f t="shared" si="76"/>
        <v>4001972</v>
      </c>
      <c r="E1114" s="79" t="s">
        <v>1783</v>
      </c>
      <c r="F1114" s="79">
        <v>5</v>
      </c>
      <c r="G1114" s="79">
        <v>1</v>
      </c>
      <c r="H1114" s="79" t="s">
        <v>381</v>
      </c>
      <c r="I1114" s="79"/>
      <c r="J1114" s="79"/>
      <c r="K1114" s="79">
        <v>7</v>
      </c>
      <c r="L1114" s="79">
        <v>4</v>
      </c>
      <c r="M1114" s="127" t="s">
        <v>1784</v>
      </c>
      <c r="N1114" s="79">
        <v>1</v>
      </c>
      <c r="O1114" s="79">
        <v>0</v>
      </c>
      <c r="P1114" s="107"/>
      <c r="R1114" s="79"/>
    </row>
    <row r="1115" spans="1:18" s="106" customFormat="1">
      <c r="A1115" s="79">
        <v>400198</v>
      </c>
      <c r="B1115" s="121">
        <f t="shared" si="75"/>
        <v>4001981</v>
      </c>
      <c r="C1115" s="79" t="s">
        <v>1764</v>
      </c>
      <c r="D1115" s="121">
        <f t="shared" si="76"/>
        <v>4001982</v>
      </c>
      <c r="E1115" s="79" t="s">
        <v>1785</v>
      </c>
      <c r="F1115" s="79">
        <v>5</v>
      </c>
      <c r="G1115" s="79">
        <v>1</v>
      </c>
      <c r="H1115" s="79" t="s">
        <v>381</v>
      </c>
      <c r="I1115" s="79"/>
      <c r="J1115" s="79"/>
      <c r="K1115" s="79">
        <v>7</v>
      </c>
      <c r="L1115" s="79">
        <v>4</v>
      </c>
      <c r="M1115" s="127" t="s">
        <v>1786</v>
      </c>
      <c r="N1115" s="79">
        <v>1</v>
      </c>
      <c r="O1115" s="79">
        <v>0</v>
      </c>
      <c r="P1115" s="107"/>
      <c r="R1115" s="79"/>
    </row>
    <row r="1116" spans="1:18" s="106" customFormat="1">
      <c r="A1116" s="79">
        <v>400199</v>
      </c>
      <c r="B1116" s="121">
        <f t="shared" si="75"/>
        <v>4001991</v>
      </c>
      <c r="C1116" s="79" t="s">
        <v>1774</v>
      </c>
      <c r="D1116" s="121">
        <f t="shared" si="76"/>
        <v>4001992</v>
      </c>
      <c r="E1116" s="79" t="s">
        <v>1787</v>
      </c>
      <c r="F1116" s="79">
        <v>5</v>
      </c>
      <c r="G1116" s="79">
        <v>1</v>
      </c>
      <c r="H1116" s="79" t="s">
        <v>381</v>
      </c>
      <c r="I1116" s="79"/>
      <c r="J1116" s="79"/>
      <c r="K1116" s="79">
        <v>7</v>
      </c>
      <c r="L1116" s="79">
        <v>4</v>
      </c>
      <c r="M1116" s="127" t="s">
        <v>1788</v>
      </c>
      <c r="N1116" s="79">
        <v>1</v>
      </c>
      <c r="O1116" s="79">
        <v>0</v>
      </c>
      <c r="P1116" s="107"/>
      <c r="R1116" s="79"/>
    </row>
    <row r="1117" spans="1:18" s="106" customFormat="1">
      <c r="A1117" s="79">
        <v>400201</v>
      </c>
      <c r="B1117" s="121">
        <f t="shared" si="75"/>
        <v>4002011</v>
      </c>
      <c r="C1117" s="79" t="s">
        <v>1789</v>
      </c>
      <c r="D1117" s="121">
        <f t="shared" si="76"/>
        <v>4002012</v>
      </c>
      <c r="E1117" s="79" t="s">
        <v>1790</v>
      </c>
      <c r="F1117" s="79">
        <v>5</v>
      </c>
      <c r="G1117" s="79">
        <v>1</v>
      </c>
      <c r="H1117" s="79" t="s">
        <v>388</v>
      </c>
      <c r="I1117" s="79"/>
      <c r="J1117" s="79"/>
      <c r="K1117" s="79">
        <v>5</v>
      </c>
      <c r="L1117" s="79">
        <v>4</v>
      </c>
      <c r="M1117" s="127" t="s">
        <v>1791</v>
      </c>
      <c r="N1117" s="79">
        <v>1</v>
      </c>
      <c r="O1117" s="79">
        <v>0</v>
      </c>
      <c r="P1117" s="107"/>
      <c r="R1117" s="79"/>
    </row>
    <row r="1118" spans="1:18" s="106" customFormat="1">
      <c r="A1118" s="79">
        <v>400202</v>
      </c>
      <c r="B1118" s="121">
        <f t="shared" si="75"/>
        <v>4002021</v>
      </c>
      <c r="C1118" s="79" t="s">
        <v>1792</v>
      </c>
      <c r="D1118" s="121">
        <f t="shared" si="76"/>
        <v>4002022</v>
      </c>
      <c r="E1118" s="79" t="s">
        <v>1793</v>
      </c>
      <c r="F1118" s="79">
        <v>5</v>
      </c>
      <c r="G1118" s="79">
        <v>1</v>
      </c>
      <c r="H1118" s="79" t="s">
        <v>388</v>
      </c>
      <c r="I1118" s="79"/>
      <c r="J1118" s="79"/>
      <c r="K1118" s="79">
        <v>5</v>
      </c>
      <c r="L1118" s="79">
        <v>4</v>
      </c>
      <c r="M1118" s="127" t="s">
        <v>1794</v>
      </c>
      <c r="N1118" s="79">
        <v>1</v>
      </c>
      <c r="O1118" s="79">
        <v>0</v>
      </c>
      <c r="P1118" s="107"/>
      <c r="R1118" s="79"/>
    </row>
    <row r="1119" spans="1:18" s="106" customFormat="1">
      <c r="A1119" s="79">
        <v>400203</v>
      </c>
      <c r="B1119" s="121">
        <f t="shared" si="75"/>
        <v>4002031</v>
      </c>
      <c r="C1119" s="79" t="s">
        <v>1795</v>
      </c>
      <c r="D1119" s="121">
        <f t="shared" si="76"/>
        <v>4002032</v>
      </c>
      <c r="E1119" s="79" t="s">
        <v>1796</v>
      </c>
      <c r="F1119" s="79">
        <v>5</v>
      </c>
      <c r="G1119" s="79">
        <v>1</v>
      </c>
      <c r="H1119" s="79" t="s">
        <v>388</v>
      </c>
      <c r="I1119" s="79"/>
      <c r="J1119" s="79"/>
      <c r="K1119" s="79">
        <v>5</v>
      </c>
      <c r="L1119" s="79">
        <v>4</v>
      </c>
      <c r="M1119" s="127" t="s">
        <v>1797</v>
      </c>
      <c r="N1119" s="79">
        <v>1</v>
      </c>
      <c r="O1119" s="79">
        <v>0</v>
      </c>
      <c r="P1119" s="107"/>
      <c r="R1119" s="79"/>
    </row>
    <row r="1120" spans="1:18" s="106" customFormat="1">
      <c r="A1120" s="79">
        <v>400204</v>
      </c>
      <c r="B1120" s="121">
        <f t="shared" si="75"/>
        <v>4002041</v>
      </c>
      <c r="C1120" s="79" t="s">
        <v>1789</v>
      </c>
      <c r="D1120" s="121">
        <f t="shared" si="76"/>
        <v>4002042</v>
      </c>
      <c r="E1120" s="79" t="s">
        <v>1798</v>
      </c>
      <c r="F1120" s="79">
        <v>5</v>
      </c>
      <c r="G1120" s="79">
        <v>1</v>
      </c>
      <c r="H1120" s="79" t="s">
        <v>388</v>
      </c>
      <c r="I1120" s="79"/>
      <c r="J1120" s="79"/>
      <c r="K1120" s="79">
        <v>6</v>
      </c>
      <c r="L1120" s="79">
        <v>4</v>
      </c>
      <c r="M1120" s="127" t="s">
        <v>1799</v>
      </c>
      <c r="N1120" s="79">
        <v>1</v>
      </c>
      <c r="O1120" s="79">
        <v>0</v>
      </c>
      <c r="P1120" s="107"/>
      <c r="R1120" s="79"/>
    </row>
    <row r="1121" spans="1:18" s="106" customFormat="1">
      <c r="A1121" s="79">
        <v>400205</v>
      </c>
      <c r="B1121" s="121">
        <f t="shared" si="75"/>
        <v>4002051</v>
      </c>
      <c r="C1121" s="79" t="s">
        <v>1792</v>
      </c>
      <c r="D1121" s="121">
        <f t="shared" si="76"/>
        <v>4002052</v>
      </c>
      <c r="E1121" s="79" t="s">
        <v>1800</v>
      </c>
      <c r="F1121" s="79">
        <v>5</v>
      </c>
      <c r="G1121" s="79">
        <v>1</v>
      </c>
      <c r="H1121" s="79" t="s">
        <v>388</v>
      </c>
      <c r="I1121" s="79"/>
      <c r="J1121" s="79"/>
      <c r="K1121" s="79">
        <v>6</v>
      </c>
      <c r="L1121" s="79">
        <v>4</v>
      </c>
      <c r="M1121" s="127" t="s">
        <v>1801</v>
      </c>
      <c r="N1121" s="79">
        <v>1</v>
      </c>
      <c r="O1121" s="79">
        <v>0</v>
      </c>
      <c r="P1121" s="107"/>
      <c r="R1121" s="79"/>
    </row>
    <row r="1122" spans="1:18" s="106" customFormat="1">
      <c r="A1122" s="79">
        <v>400206</v>
      </c>
      <c r="B1122" s="121">
        <f t="shared" si="75"/>
        <v>4002061</v>
      </c>
      <c r="C1122" s="79" t="s">
        <v>1795</v>
      </c>
      <c r="D1122" s="121">
        <f t="shared" si="76"/>
        <v>4002062</v>
      </c>
      <c r="E1122" s="79" t="s">
        <v>1802</v>
      </c>
      <c r="F1122" s="79">
        <v>5</v>
      </c>
      <c r="G1122" s="79">
        <v>1</v>
      </c>
      <c r="H1122" s="79" t="s">
        <v>388</v>
      </c>
      <c r="I1122" s="79"/>
      <c r="J1122" s="79"/>
      <c r="K1122" s="79">
        <v>6</v>
      </c>
      <c r="L1122" s="79">
        <v>4</v>
      </c>
      <c r="M1122" s="127" t="s">
        <v>1803</v>
      </c>
      <c r="N1122" s="79">
        <v>1</v>
      </c>
      <c r="O1122" s="79">
        <v>0</v>
      </c>
      <c r="P1122" s="107"/>
      <c r="R1122" s="79"/>
    </row>
    <row r="1123" spans="1:18" s="106" customFormat="1">
      <c r="A1123" s="79">
        <v>400207</v>
      </c>
      <c r="B1123" s="121">
        <f t="shared" si="75"/>
        <v>4002071</v>
      </c>
      <c r="C1123" s="79" t="s">
        <v>1789</v>
      </c>
      <c r="D1123" s="121">
        <f t="shared" si="76"/>
        <v>4002072</v>
      </c>
      <c r="E1123" s="79" t="s">
        <v>1804</v>
      </c>
      <c r="F1123" s="79">
        <v>5</v>
      </c>
      <c r="G1123" s="79">
        <v>1</v>
      </c>
      <c r="H1123" s="79" t="s">
        <v>388</v>
      </c>
      <c r="I1123" s="79"/>
      <c r="J1123" s="79"/>
      <c r="K1123" s="79">
        <v>7</v>
      </c>
      <c r="L1123" s="79">
        <v>4</v>
      </c>
      <c r="M1123" s="127" t="s">
        <v>1805</v>
      </c>
      <c r="N1123" s="79">
        <v>1</v>
      </c>
      <c r="O1123" s="79">
        <v>0</v>
      </c>
      <c r="P1123" s="107"/>
      <c r="R1123" s="79"/>
    </row>
    <row r="1124" spans="1:18" s="106" customFormat="1">
      <c r="A1124" s="79">
        <v>400208</v>
      </c>
      <c r="B1124" s="121">
        <f t="shared" si="75"/>
        <v>4002081</v>
      </c>
      <c r="C1124" s="79" t="s">
        <v>1792</v>
      </c>
      <c r="D1124" s="121">
        <f t="shared" si="76"/>
        <v>4002082</v>
      </c>
      <c r="E1124" s="79" t="s">
        <v>1806</v>
      </c>
      <c r="F1124" s="79">
        <v>5</v>
      </c>
      <c r="G1124" s="79">
        <v>1</v>
      </c>
      <c r="H1124" s="79" t="s">
        <v>388</v>
      </c>
      <c r="I1124" s="79"/>
      <c r="J1124" s="79"/>
      <c r="K1124" s="79">
        <v>7</v>
      </c>
      <c r="L1124" s="79">
        <v>4</v>
      </c>
      <c r="M1124" s="127" t="s">
        <v>1807</v>
      </c>
      <c r="N1124" s="79">
        <v>1</v>
      </c>
      <c r="O1124" s="79">
        <v>0</v>
      </c>
      <c r="P1124" s="107"/>
      <c r="R1124" s="79"/>
    </row>
    <row r="1125" spans="1:18" s="106" customFormat="1">
      <c r="A1125" s="79">
        <v>400209</v>
      </c>
      <c r="B1125" s="121">
        <f t="shared" si="75"/>
        <v>4002091</v>
      </c>
      <c r="C1125" s="79" t="s">
        <v>1795</v>
      </c>
      <c r="D1125" s="121">
        <f t="shared" si="76"/>
        <v>4002092</v>
      </c>
      <c r="E1125" s="79" t="s">
        <v>1808</v>
      </c>
      <c r="F1125" s="79">
        <v>5</v>
      </c>
      <c r="G1125" s="79">
        <v>1</v>
      </c>
      <c r="H1125" s="79" t="s">
        <v>388</v>
      </c>
      <c r="I1125" s="79"/>
      <c r="J1125" s="79"/>
      <c r="K1125" s="79">
        <v>7</v>
      </c>
      <c r="L1125" s="79">
        <v>4</v>
      </c>
      <c r="M1125" s="127" t="s">
        <v>1809</v>
      </c>
      <c r="N1125" s="79">
        <v>1</v>
      </c>
      <c r="O1125" s="79">
        <v>0</v>
      </c>
      <c r="P1125" s="107"/>
      <c r="R1125" s="79"/>
    </row>
    <row r="1126" spans="1:18" s="106" customFormat="1">
      <c r="A1126" s="79">
        <v>400221</v>
      </c>
      <c r="B1126" s="121">
        <f t="shared" si="75"/>
        <v>4002211</v>
      </c>
      <c r="C1126" s="79" t="s">
        <v>1810</v>
      </c>
      <c r="D1126" s="121">
        <f t="shared" si="76"/>
        <v>4002212</v>
      </c>
      <c r="E1126" s="79" t="s">
        <v>1811</v>
      </c>
      <c r="F1126" s="79">
        <v>5</v>
      </c>
      <c r="G1126" s="79">
        <v>4</v>
      </c>
      <c r="H1126" s="79" t="s">
        <v>393</v>
      </c>
      <c r="I1126" s="79"/>
      <c r="J1126" s="79"/>
      <c r="K1126" s="79">
        <v>4</v>
      </c>
      <c r="L1126" s="79">
        <v>4</v>
      </c>
      <c r="M1126" s="127" t="s">
        <v>1812</v>
      </c>
      <c r="N1126" s="79">
        <v>1</v>
      </c>
      <c r="O1126" s="79">
        <v>0</v>
      </c>
      <c r="P1126" s="107"/>
      <c r="R1126" s="79"/>
    </row>
    <row r="1127" spans="1:18" s="106" customFormat="1">
      <c r="A1127" s="79">
        <v>400222</v>
      </c>
      <c r="B1127" s="121">
        <f t="shared" si="75"/>
        <v>4002221</v>
      </c>
      <c r="C1127" s="79" t="s">
        <v>1810</v>
      </c>
      <c r="D1127" s="121">
        <f t="shared" si="76"/>
        <v>4002222</v>
      </c>
      <c r="E1127" s="79" t="s">
        <v>1813</v>
      </c>
      <c r="F1127" s="79">
        <v>5</v>
      </c>
      <c r="G1127" s="79">
        <v>4</v>
      </c>
      <c r="H1127" s="79" t="s">
        <v>393</v>
      </c>
      <c r="I1127" s="79"/>
      <c r="J1127" s="79"/>
      <c r="K1127" s="79">
        <v>5</v>
      </c>
      <c r="L1127" s="79">
        <v>4</v>
      </c>
      <c r="M1127" s="127" t="s">
        <v>1814</v>
      </c>
      <c r="N1127" s="79">
        <v>1</v>
      </c>
      <c r="O1127" s="79">
        <v>0</v>
      </c>
      <c r="P1127" s="107"/>
      <c r="R1127" s="79"/>
    </row>
    <row r="1128" spans="1:18" s="106" customFormat="1">
      <c r="A1128" s="79">
        <v>400223</v>
      </c>
      <c r="B1128" s="121">
        <f t="shared" si="75"/>
        <v>4002231</v>
      </c>
      <c r="C1128" s="79" t="s">
        <v>1810</v>
      </c>
      <c r="D1128" s="121">
        <f t="shared" si="76"/>
        <v>4002232</v>
      </c>
      <c r="E1128" s="79" t="s">
        <v>1815</v>
      </c>
      <c r="F1128" s="79">
        <v>5</v>
      </c>
      <c r="G1128" s="79">
        <v>4</v>
      </c>
      <c r="H1128" s="79" t="s">
        <v>393</v>
      </c>
      <c r="I1128" s="79"/>
      <c r="J1128" s="79"/>
      <c r="K1128" s="79">
        <v>6</v>
      </c>
      <c r="L1128" s="79">
        <v>4</v>
      </c>
      <c r="M1128" s="127" t="s">
        <v>1816</v>
      </c>
      <c r="N1128" s="79">
        <v>1</v>
      </c>
      <c r="O1128" s="79">
        <v>0</v>
      </c>
      <c r="P1128" s="107"/>
      <c r="R1128" s="79"/>
    </row>
    <row r="1129" spans="1:18" s="106" customFormat="1">
      <c r="A1129" s="79">
        <v>400224</v>
      </c>
      <c r="B1129" s="121">
        <f t="shared" si="75"/>
        <v>4002241</v>
      </c>
      <c r="C1129" s="79" t="s">
        <v>1817</v>
      </c>
      <c r="D1129" s="121">
        <f t="shared" si="76"/>
        <v>4002242</v>
      </c>
      <c r="E1129" s="79" t="s">
        <v>1818</v>
      </c>
      <c r="F1129" s="79">
        <v>5</v>
      </c>
      <c r="G1129" s="79">
        <v>4</v>
      </c>
      <c r="H1129" s="79" t="s">
        <v>393</v>
      </c>
      <c r="I1129" s="79"/>
      <c r="J1129" s="79"/>
      <c r="K1129" s="79">
        <v>4</v>
      </c>
      <c r="L1129" s="79">
        <v>4</v>
      </c>
      <c r="M1129" s="127" t="s">
        <v>1819</v>
      </c>
      <c r="N1129" s="79">
        <v>1</v>
      </c>
      <c r="O1129" s="79">
        <v>0</v>
      </c>
      <c r="P1129" s="107"/>
      <c r="R1129" s="79"/>
    </row>
    <row r="1130" spans="1:18" s="106" customFormat="1">
      <c r="A1130" s="79">
        <v>400225</v>
      </c>
      <c r="B1130" s="121">
        <f t="shared" si="75"/>
        <v>4002251</v>
      </c>
      <c r="C1130" s="79" t="s">
        <v>1817</v>
      </c>
      <c r="D1130" s="121">
        <f t="shared" si="76"/>
        <v>4002252</v>
      </c>
      <c r="E1130" s="79" t="s">
        <v>1820</v>
      </c>
      <c r="F1130" s="79">
        <v>5</v>
      </c>
      <c r="G1130" s="79">
        <v>4</v>
      </c>
      <c r="H1130" s="79" t="s">
        <v>393</v>
      </c>
      <c r="I1130" s="79"/>
      <c r="J1130" s="79"/>
      <c r="K1130" s="79">
        <v>5</v>
      </c>
      <c r="L1130" s="79">
        <v>4</v>
      </c>
      <c r="M1130" s="127" t="s">
        <v>1821</v>
      </c>
      <c r="N1130" s="79">
        <v>1</v>
      </c>
      <c r="O1130" s="79">
        <v>0</v>
      </c>
      <c r="P1130" s="107"/>
      <c r="R1130" s="79"/>
    </row>
    <row r="1131" spans="1:18" s="106" customFormat="1">
      <c r="A1131" s="79">
        <v>400226</v>
      </c>
      <c r="B1131" s="121">
        <f t="shared" si="75"/>
        <v>4002261</v>
      </c>
      <c r="C1131" s="79" t="s">
        <v>1817</v>
      </c>
      <c r="D1131" s="121">
        <f t="shared" si="76"/>
        <v>4002262</v>
      </c>
      <c r="E1131" s="79" t="s">
        <v>1822</v>
      </c>
      <c r="F1131" s="79">
        <v>5</v>
      </c>
      <c r="G1131" s="79">
        <v>4</v>
      </c>
      <c r="H1131" s="79" t="s">
        <v>393</v>
      </c>
      <c r="I1131" s="79"/>
      <c r="J1131" s="79"/>
      <c r="K1131" s="79">
        <v>6</v>
      </c>
      <c r="L1131" s="79">
        <v>4</v>
      </c>
      <c r="M1131" s="127" t="s">
        <v>1823</v>
      </c>
      <c r="N1131" s="79">
        <v>1</v>
      </c>
      <c r="O1131" s="79">
        <v>0</v>
      </c>
      <c r="P1131" s="107"/>
      <c r="R1131" s="79"/>
    </row>
    <row r="1132" spans="1:18" s="106" customFormat="1">
      <c r="A1132" s="79">
        <v>400227</v>
      </c>
      <c r="B1132" s="121">
        <f t="shared" si="75"/>
        <v>4002271</v>
      </c>
      <c r="C1132" s="79" t="s">
        <v>1824</v>
      </c>
      <c r="D1132" s="121">
        <f t="shared" si="76"/>
        <v>4002272</v>
      </c>
      <c r="E1132" s="79" t="s">
        <v>1825</v>
      </c>
      <c r="F1132" s="79">
        <v>5</v>
      </c>
      <c r="G1132" s="79">
        <v>4</v>
      </c>
      <c r="H1132" s="79" t="s">
        <v>393</v>
      </c>
      <c r="I1132" s="79"/>
      <c r="J1132" s="79"/>
      <c r="K1132" s="79">
        <v>4</v>
      </c>
      <c r="L1132" s="79">
        <v>4</v>
      </c>
      <c r="M1132" s="127" t="s">
        <v>1826</v>
      </c>
      <c r="N1132" s="79">
        <v>1</v>
      </c>
      <c r="O1132" s="79">
        <v>0</v>
      </c>
      <c r="P1132" s="107"/>
      <c r="R1132" s="79"/>
    </row>
    <row r="1133" spans="1:18" s="106" customFormat="1">
      <c r="A1133" s="79">
        <v>400228</v>
      </c>
      <c r="B1133" s="121">
        <f t="shared" si="75"/>
        <v>4002281</v>
      </c>
      <c r="C1133" s="79" t="s">
        <v>1824</v>
      </c>
      <c r="D1133" s="121">
        <f t="shared" si="76"/>
        <v>4002282</v>
      </c>
      <c r="E1133" s="79" t="s">
        <v>1827</v>
      </c>
      <c r="F1133" s="79">
        <v>5</v>
      </c>
      <c r="G1133" s="79">
        <v>4</v>
      </c>
      <c r="H1133" s="79" t="s">
        <v>393</v>
      </c>
      <c r="I1133" s="79"/>
      <c r="J1133" s="79"/>
      <c r="K1133" s="79">
        <v>5</v>
      </c>
      <c r="L1133" s="79">
        <v>4</v>
      </c>
      <c r="M1133" s="127" t="s">
        <v>1828</v>
      </c>
      <c r="N1133" s="79">
        <v>1</v>
      </c>
      <c r="O1133" s="79">
        <v>0</v>
      </c>
      <c r="P1133" s="107"/>
      <c r="R1133" s="79"/>
    </row>
    <row r="1134" spans="1:18" s="106" customFormat="1">
      <c r="A1134" s="79">
        <v>400229</v>
      </c>
      <c r="B1134" s="121">
        <f t="shared" si="75"/>
        <v>4002291</v>
      </c>
      <c r="C1134" s="79" t="s">
        <v>1824</v>
      </c>
      <c r="D1134" s="121">
        <f t="shared" si="76"/>
        <v>4002292</v>
      </c>
      <c r="E1134" s="79" t="s">
        <v>1829</v>
      </c>
      <c r="F1134" s="79">
        <v>5</v>
      </c>
      <c r="G1134" s="79">
        <v>4</v>
      </c>
      <c r="H1134" s="79" t="s">
        <v>393</v>
      </c>
      <c r="I1134" s="79"/>
      <c r="J1134" s="79"/>
      <c r="K1134" s="79">
        <v>6</v>
      </c>
      <c r="L1134" s="79">
        <v>4</v>
      </c>
      <c r="M1134" s="127" t="s">
        <v>1830</v>
      </c>
      <c r="N1134" s="79">
        <v>1</v>
      </c>
      <c r="O1134" s="79">
        <v>0</v>
      </c>
      <c r="P1134" s="107"/>
      <c r="R1134" s="79"/>
    </row>
    <row r="1135" spans="1:18" s="106" customFormat="1">
      <c r="A1135" s="79">
        <v>400231</v>
      </c>
      <c r="B1135" s="121">
        <f t="shared" si="75"/>
        <v>4002311</v>
      </c>
      <c r="C1135" s="79" t="s">
        <v>1831</v>
      </c>
      <c r="D1135" s="121">
        <f t="shared" si="76"/>
        <v>4002312</v>
      </c>
      <c r="E1135" s="79" t="s">
        <v>1832</v>
      </c>
      <c r="F1135" s="79">
        <v>5</v>
      </c>
      <c r="G1135" s="79">
        <v>4</v>
      </c>
      <c r="H1135" s="79" t="s">
        <v>398</v>
      </c>
      <c r="I1135" s="79"/>
      <c r="J1135" s="79"/>
      <c r="K1135" s="79">
        <v>4</v>
      </c>
      <c r="L1135" s="79">
        <v>4</v>
      </c>
      <c r="M1135" s="127" t="s">
        <v>1833</v>
      </c>
      <c r="N1135" s="79">
        <v>1</v>
      </c>
      <c r="O1135" s="79">
        <v>0</v>
      </c>
      <c r="P1135" s="107"/>
      <c r="R1135" s="79"/>
    </row>
    <row r="1136" spans="1:18" s="106" customFormat="1">
      <c r="A1136" s="79">
        <v>400232</v>
      </c>
      <c r="B1136" s="121">
        <f t="shared" si="75"/>
        <v>4002321</v>
      </c>
      <c r="C1136" s="79" t="s">
        <v>1834</v>
      </c>
      <c r="D1136" s="121">
        <f t="shared" si="76"/>
        <v>4002322</v>
      </c>
      <c r="E1136" s="79" t="s">
        <v>1835</v>
      </c>
      <c r="F1136" s="79">
        <v>5</v>
      </c>
      <c r="G1136" s="79">
        <v>4</v>
      </c>
      <c r="H1136" s="79" t="s">
        <v>398</v>
      </c>
      <c r="I1136" s="79"/>
      <c r="J1136" s="79"/>
      <c r="K1136" s="79">
        <v>4</v>
      </c>
      <c r="L1136" s="79">
        <v>4</v>
      </c>
      <c r="M1136" s="127" t="s">
        <v>1836</v>
      </c>
      <c r="N1136" s="79">
        <v>1</v>
      </c>
      <c r="O1136" s="79">
        <v>0</v>
      </c>
      <c r="P1136" s="107"/>
      <c r="R1136" s="79"/>
    </row>
    <row r="1137" spans="1:18" s="106" customFormat="1">
      <c r="A1137" s="79">
        <v>400233</v>
      </c>
      <c r="B1137" s="121">
        <f t="shared" si="75"/>
        <v>4002331</v>
      </c>
      <c r="C1137" s="79" t="s">
        <v>1837</v>
      </c>
      <c r="D1137" s="121">
        <f t="shared" si="76"/>
        <v>4002332</v>
      </c>
      <c r="E1137" s="79" t="s">
        <v>1838</v>
      </c>
      <c r="F1137" s="79">
        <v>5</v>
      </c>
      <c r="G1137" s="79">
        <v>4</v>
      </c>
      <c r="H1137" s="79" t="s">
        <v>398</v>
      </c>
      <c r="I1137" s="79"/>
      <c r="J1137" s="79"/>
      <c r="K1137" s="79">
        <v>4</v>
      </c>
      <c r="L1137" s="79">
        <v>4</v>
      </c>
      <c r="M1137" s="127" t="s">
        <v>1839</v>
      </c>
      <c r="N1137" s="79">
        <v>1</v>
      </c>
      <c r="O1137" s="79">
        <v>0</v>
      </c>
      <c r="P1137" s="107"/>
      <c r="R1137" s="79"/>
    </row>
    <row r="1138" spans="1:18" s="106" customFormat="1">
      <c r="A1138" s="79">
        <v>400241</v>
      </c>
      <c r="B1138" s="121">
        <f t="shared" si="75"/>
        <v>4002411</v>
      </c>
      <c r="C1138" s="79" t="s">
        <v>1840</v>
      </c>
      <c r="D1138" s="121">
        <f t="shared" si="76"/>
        <v>4002412</v>
      </c>
      <c r="E1138" s="79" t="s">
        <v>1841</v>
      </c>
      <c r="F1138" s="79">
        <v>5</v>
      </c>
      <c r="G1138" s="79">
        <v>4</v>
      </c>
      <c r="H1138" s="79" t="s">
        <v>402</v>
      </c>
      <c r="I1138" s="79"/>
      <c r="J1138" s="79"/>
      <c r="K1138" s="79">
        <v>4</v>
      </c>
      <c r="L1138" s="79">
        <v>4</v>
      </c>
      <c r="M1138" s="127" t="s">
        <v>1842</v>
      </c>
      <c r="N1138" s="79">
        <v>1</v>
      </c>
      <c r="O1138" s="79">
        <v>0</v>
      </c>
      <c r="P1138" s="107"/>
      <c r="R1138" s="79"/>
    </row>
    <row r="1139" spans="1:18" s="106" customFormat="1">
      <c r="A1139" s="79">
        <v>400242</v>
      </c>
      <c r="B1139" s="121">
        <f t="shared" si="75"/>
        <v>4002421</v>
      </c>
      <c r="C1139" s="79" t="s">
        <v>1843</v>
      </c>
      <c r="D1139" s="121">
        <f t="shared" si="76"/>
        <v>4002422</v>
      </c>
      <c r="E1139" s="79" t="s">
        <v>1844</v>
      </c>
      <c r="F1139" s="79">
        <v>5</v>
      </c>
      <c r="G1139" s="79">
        <v>4</v>
      </c>
      <c r="H1139" s="79" t="s">
        <v>402</v>
      </c>
      <c r="I1139" s="79"/>
      <c r="J1139" s="79"/>
      <c r="K1139" s="79">
        <v>4</v>
      </c>
      <c r="L1139" s="79">
        <v>4</v>
      </c>
      <c r="M1139" s="127" t="s">
        <v>1845</v>
      </c>
      <c r="N1139" s="79">
        <v>1</v>
      </c>
      <c r="O1139" s="79">
        <v>0</v>
      </c>
      <c r="P1139" s="107"/>
      <c r="R1139" s="79"/>
    </row>
    <row r="1140" spans="1:18" s="106" customFormat="1">
      <c r="A1140" s="79">
        <v>400243</v>
      </c>
      <c r="B1140" s="121">
        <f t="shared" si="75"/>
        <v>4002431</v>
      </c>
      <c r="C1140" s="79" t="s">
        <v>1846</v>
      </c>
      <c r="D1140" s="121">
        <f t="shared" si="76"/>
        <v>4002432</v>
      </c>
      <c r="E1140" s="79" t="s">
        <v>1847</v>
      </c>
      <c r="F1140" s="79">
        <v>5</v>
      </c>
      <c r="G1140" s="79">
        <v>4</v>
      </c>
      <c r="H1140" s="79" t="s">
        <v>402</v>
      </c>
      <c r="I1140" s="79"/>
      <c r="J1140" s="79"/>
      <c r="K1140" s="79">
        <v>4</v>
      </c>
      <c r="L1140" s="79">
        <v>4</v>
      </c>
      <c r="M1140" s="127" t="s">
        <v>1848</v>
      </c>
      <c r="N1140" s="79">
        <v>1</v>
      </c>
      <c r="O1140" s="79">
        <v>0</v>
      </c>
      <c r="P1140" s="107"/>
      <c r="R1140" s="79"/>
    </row>
    <row r="1141" spans="1:18" s="106" customFormat="1">
      <c r="A1141" s="79">
        <v>400251</v>
      </c>
      <c r="B1141" s="121">
        <f t="shared" si="75"/>
        <v>4002511</v>
      </c>
      <c r="C1141" s="79" t="s">
        <v>1849</v>
      </c>
      <c r="D1141" s="121">
        <f t="shared" si="76"/>
        <v>4002512</v>
      </c>
      <c r="E1141" s="79" t="s">
        <v>1850</v>
      </c>
      <c r="F1141" s="79">
        <v>5</v>
      </c>
      <c r="G1141" s="79">
        <v>4</v>
      </c>
      <c r="H1141" s="79" t="s">
        <v>406</v>
      </c>
      <c r="I1141" s="79"/>
      <c r="J1141" s="79"/>
      <c r="K1141" s="79">
        <v>5</v>
      </c>
      <c r="L1141" s="79">
        <v>4</v>
      </c>
      <c r="M1141" s="127" t="s">
        <v>1851</v>
      </c>
      <c r="N1141" s="79">
        <v>1</v>
      </c>
      <c r="O1141" s="79">
        <v>0</v>
      </c>
      <c r="P1141" s="107"/>
      <c r="R1141" s="79"/>
    </row>
    <row r="1142" spans="1:18" s="106" customFormat="1">
      <c r="A1142" s="79">
        <v>400252</v>
      </c>
      <c r="B1142" s="121">
        <f t="shared" si="75"/>
        <v>4002521</v>
      </c>
      <c r="C1142" s="79" t="s">
        <v>1852</v>
      </c>
      <c r="D1142" s="121">
        <f t="shared" si="76"/>
        <v>4002522</v>
      </c>
      <c r="E1142" s="79" t="s">
        <v>1853</v>
      </c>
      <c r="F1142" s="79">
        <v>5</v>
      </c>
      <c r="G1142" s="79">
        <v>4</v>
      </c>
      <c r="H1142" s="79" t="s">
        <v>1854</v>
      </c>
      <c r="I1142" s="79"/>
      <c r="J1142" s="79"/>
      <c r="K1142" s="79">
        <v>5</v>
      </c>
      <c r="L1142" s="79">
        <v>4</v>
      </c>
      <c r="M1142" s="127" t="s">
        <v>1855</v>
      </c>
      <c r="N1142" s="79">
        <v>1</v>
      </c>
      <c r="O1142" s="79">
        <v>0</v>
      </c>
      <c r="P1142" s="107"/>
      <c r="R1142" s="79"/>
    </row>
    <row r="1143" spans="1:18" s="106" customFormat="1">
      <c r="A1143" s="79">
        <v>400253</v>
      </c>
      <c r="B1143" s="121">
        <f t="shared" si="75"/>
        <v>4002531</v>
      </c>
      <c r="C1143" s="79" t="s">
        <v>1856</v>
      </c>
      <c r="D1143" s="121">
        <f t="shared" si="76"/>
        <v>4002532</v>
      </c>
      <c r="E1143" s="79" t="s">
        <v>1857</v>
      </c>
      <c r="F1143" s="79">
        <v>5</v>
      </c>
      <c r="G1143" s="79">
        <v>4</v>
      </c>
      <c r="H1143" s="79" t="s">
        <v>1858</v>
      </c>
      <c r="I1143" s="79"/>
      <c r="J1143" s="79"/>
      <c r="K1143" s="79">
        <v>5</v>
      </c>
      <c r="L1143" s="79">
        <v>4</v>
      </c>
      <c r="M1143" s="127" t="s">
        <v>1859</v>
      </c>
      <c r="N1143" s="79">
        <v>1</v>
      </c>
      <c r="O1143" s="79">
        <v>0</v>
      </c>
      <c r="P1143" s="107"/>
      <c r="R1143" s="79"/>
    </row>
    <row r="1144" spans="1:18" s="106" customFormat="1">
      <c r="A1144" s="79">
        <v>400261</v>
      </c>
      <c r="B1144" s="121">
        <f t="shared" si="75"/>
        <v>4002611</v>
      </c>
      <c r="C1144" s="79" t="s">
        <v>1860</v>
      </c>
      <c r="D1144" s="121">
        <f t="shared" si="76"/>
        <v>4002612</v>
      </c>
      <c r="E1144" s="79" t="s">
        <v>1861</v>
      </c>
      <c r="F1144" s="79">
        <v>5</v>
      </c>
      <c r="G1144" s="79">
        <v>4</v>
      </c>
      <c r="H1144" s="79" t="s">
        <v>411</v>
      </c>
      <c r="I1144" s="79"/>
      <c r="J1144" s="79"/>
      <c r="K1144" s="79">
        <v>4</v>
      </c>
      <c r="L1144" s="79">
        <v>4</v>
      </c>
      <c r="M1144" s="127" t="s">
        <v>1862</v>
      </c>
      <c r="N1144" s="79">
        <v>1</v>
      </c>
      <c r="O1144" s="79">
        <v>0</v>
      </c>
      <c r="P1144" s="107"/>
      <c r="R1144" s="79"/>
    </row>
    <row r="1145" spans="1:18" s="106" customFormat="1">
      <c r="A1145" s="79">
        <v>400262</v>
      </c>
      <c r="B1145" s="121">
        <f t="shared" si="75"/>
        <v>4002621</v>
      </c>
      <c r="C1145" s="79" t="s">
        <v>1863</v>
      </c>
      <c r="D1145" s="121">
        <f t="shared" si="76"/>
        <v>4002622</v>
      </c>
      <c r="E1145" s="79" t="s">
        <v>1864</v>
      </c>
      <c r="F1145" s="79">
        <v>5</v>
      </c>
      <c r="G1145" s="79">
        <v>4</v>
      </c>
      <c r="H1145" s="79" t="s">
        <v>411</v>
      </c>
      <c r="I1145" s="79"/>
      <c r="J1145" s="79"/>
      <c r="K1145" s="79">
        <v>4</v>
      </c>
      <c r="L1145" s="79">
        <v>4</v>
      </c>
      <c r="M1145" s="127" t="s">
        <v>1865</v>
      </c>
      <c r="N1145" s="79">
        <v>1</v>
      </c>
      <c r="O1145" s="79">
        <v>0</v>
      </c>
      <c r="P1145" s="107"/>
      <c r="R1145" s="79"/>
    </row>
    <row r="1146" spans="1:18" s="106" customFormat="1">
      <c r="A1146" s="79">
        <v>400263</v>
      </c>
      <c r="B1146" s="121">
        <f t="shared" si="75"/>
        <v>4002631</v>
      </c>
      <c r="C1146" s="79" t="s">
        <v>1866</v>
      </c>
      <c r="D1146" s="121">
        <f t="shared" si="76"/>
        <v>4002632</v>
      </c>
      <c r="E1146" s="79" t="s">
        <v>1867</v>
      </c>
      <c r="F1146" s="79">
        <v>5</v>
      </c>
      <c r="G1146" s="79">
        <v>4</v>
      </c>
      <c r="H1146" s="79" t="s">
        <v>411</v>
      </c>
      <c r="I1146" s="79"/>
      <c r="J1146" s="79"/>
      <c r="K1146" s="79">
        <v>4</v>
      </c>
      <c r="L1146" s="79">
        <v>4</v>
      </c>
      <c r="M1146" s="127" t="s">
        <v>1868</v>
      </c>
      <c r="N1146" s="79">
        <v>1</v>
      </c>
      <c r="O1146" s="79">
        <v>0</v>
      </c>
      <c r="P1146" s="107"/>
      <c r="R1146" s="79"/>
    </row>
    <row r="1147" spans="1:18" s="106" customFormat="1">
      <c r="A1147" s="79">
        <v>400271</v>
      </c>
      <c r="B1147" s="121">
        <f t="shared" si="75"/>
        <v>4002711</v>
      </c>
      <c r="C1147" s="79" t="s">
        <v>1869</v>
      </c>
      <c r="D1147" s="121">
        <f t="shared" si="76"/>
        <v>4002712</v>
      </c>
      <c r="E1147" s="79" t="s">
        <v>1870</v>
      </c>
      <c r="F1147" s="79">
        <v>5</v>
      </c>
      <c r="G1147" s="79">
        <v>4</v>
      </c>
      <c r="H1147" s="79" t="s">
        <v>418</v>
      </c>
      <c r="I1147" s="79"/>
      <c r="J1147" s="79"/>
      <c r="K1147" s="79">
        <v>4</v>
      </c>
      <c r="L1147" s="79">
        <v>4</v>
      </c>
      <c r="M1147" s="127" t="s">
        <v>1871</v>
      </c>
      <c r="N1147" s="79">
        <v>1</v>
      </c>
      <c r="O1147" s="79">
        <v>0</v>
      </c>
      <c r="P1147" s="107"/>
      <c r="R1147" s="79"/>
    </row>
    <row r="1148" spans="1:18" s="106" customFormat="1">
      <c r="A1148" s="79">
        <v>400272</v>
      </c>
      <c r="B1148" s="121">
        <f t="shared" si="75"/>
        <v>4002721</v>
      </c>
      <c r="C1148" s="79" t="s">
        <v>1872</v>
      </c>
      <c r="D1148" s="121">
        <f t="shared" si="76"/>
        <v>4002722</v>
      </c>
      <c r="E1148" s="79" t="s">
        <v>1873</v>
      </c>
      <c r="F1148" s="79">
        <v>5</v>
      </c>
      <c r="G1148" s="79">
        <v>4</v>
      </c>
      <c r="H1148" s="79" t="s">
        <v>418</v>
      </c>
      <c r="I1148" s="79"/>
      <c r="J1148" s="79"/>
      <c r="K1148" s="79">
        <v>4</v>
      </c>
      <c r="L1148" s="79">
        <v>4</v>
      </c>
      <c r="M1148" s="127" t="s">
        <v>1874</v>
      </c>
      <c r="N1148" s="79">
        <v>1</v>
      </c>
      <c r="O1148" s="79">
        <v>0</v>
      </c>
      <c r="P1148" s="107"/>
      <c r="R1148" s="79"/>
    </row>
    <row r="1149" spans="1:18" s="106" customFormat="1">
      <c r="A1149" s="79">
        <v>400273</v>
      </c>
      <c r="B1149" s="121">
        <f t="shared" si="75"/>
        <v>4002731</v>
      </c>
      <c r="C1149" s="79" t="s">
        <v>1875</v>
      </c>
      <c r="D1149" s="121">
        <f t="shared" si="76"/>
        <v>4002732</v>
      </c>
      <c r="E1149" s="79" t="s">
        <v>1876</v>
      </c>
      <c r="F1149" s="79">
        <v>5</v>
      </c>
      <c r="G1149" s="79">
        <v>4</v>
      </c>
      <c r="H1149" s="79" t="s">
        <v>418</v>
      </c>
      <c r="I1149" s="79"/>
      <c r="J1149" s="79"/>
      <c r="K1149" s="79">
        <v>4</v>
      </c>
      <c r="L1149" s="79">
        <v>4</v>
      </c>
      <c r="M1149" s="127" t="s">
        <v>1877</v>
      </c>
      <c r="N1149" s="79">
        <v>1</v>
      </c>
      <c r="O1149" s="79">
        <v>0</v>
      </c>
      <c r="P1149" s="107"/>
      <c r="R1149" s="79"/>
    </row>
    <row r="1150" spans="1:18" s="106" customFormat="1">
      <c r="A1150" s="79">
        <v>400281</v>
      </c>
      <c r="B1150" s="121">
        <f t="shared" si="75"/>
        <v>4002811</v>
      </c>
      <c r="C1150" s="79" t="s">
        <v>1878</v>
      </c>
      <c r="D1150" s="121">
        <f t="shared" si="76"/>
        <v>4002812</v>
      </c>
      <c r="E1150" s="79" t="s">
        <v>1879</v>
      </c>
      <c r="F1150" s="79">
        <v>5</v>
      </c>
      <c r="G1150" s="79">
        <v>4</v>
      </c>
      <c r="H1150" s="79" t="s">
        <v>423</v>
      </c>
      <c r="I1150" s="79"/>
      <c r="J1150" s="79"/>
      <c r="K1150" s="79">
        <v>4</v>
      </c>
      <c r="L1150" s="79">
        <v>4</v>
      </c>
      <c r="M1150" s="127" t="s">
        <v>1880</v>
      </c>
      <c r="N1150" s="79">
        <v>1</v>
      </c>
      <c r="O1150" s="79">
        <v>0</v>
      </c>
      <c r="P1150" s="107"/>
      <c r="R1150" s="79"/>
    </row>
    <row r="1151" spans="1:18" s="106" customFormat="1">
      <c r="A1151" s="79">
        <v>400282</v>
      </c>
      <c r="B1151" s="121">
        <f t="shared" si="75"/>
        <v>4002821</v>
      </c>
      <c r="C1151" s="79" t="s">
        <v>1881</v>
      </c>
      <c r="D1151" s="121">
        <f t="shared" si="76"/>
        <v>4002822</v>
      </c>
      <c r="E1151" s="79" t="s">
        <v>1882</v>
      </c>
      <c r="F1151" s="79">
        <v>5</v>
      </c>
      <c r="G1151" s="79">
        <v>4</v>
      </c>
      <c r="H1151" s="79" t="s">
        <v>423</v>
      </c>
      <c r="I1151" s="79"/>
      <c r="J1151" s="79"/>
      <c r="K1151" s="79">
        <v>4</v>
      </c>
      <c r="L1151" s="79">
        <v>4</v>
      </c>
      <c r="M1151" s="127" t="s">
        <v>1883</v>
      </c>
      <c r="N1151" s="79">
        <v>1</v>
      </c>
      <c r="O1151" s="79">
        <v>0</v>
      </c>
      <c r="P1151" s="107"/>
      <c r="R1151" s="79"/>
    </row>
    <row r="1152" spans="1:18" s="106" customFormat="1">
      <c r="A1152" s="79">
        <v>400283</v>
      </c>
      <c r="B1152" s="121">
        <f t="shared" si="75"/>
        <v>4002831</v>
      </c>
      <c r="C1152" s="79" t="s">
        <v>1884</v>
      </c>
      <c r="D1152" s="121">
        <f t="shared" si="76"/>
        <v>4002832</v>
      </c>
      <c r="E1152" s="79" t="s">
        <v>1885</v>
      </c>
      <c r="F1152" s="79">
        <v>5</v>
      </c>
      <c r="G1152" s="79">
        <v>4</v>
      </c>
      <c r="H1152" s="79" t="s">
        <v>423</v>
      </c>
      <c r="I1152" s="79"/>
      <c r="J1152" s="79"/>
      <c r="K1152" s="79">
        <v>4</v>
      </c>
      <c r="L1152" s="79">
        <v>4</v>
      </c>
      <c r="M1152" s="127" t="s">
        <v>1886</v>
      </c>
      <c r="N1152" s="79">
        <v>1</v>
      </c>
      <c r="O1152" s="79">
        <v>0</v>
      </c>
      <c r="P1152" s="107"/>
      <c r="R1152" s="79"/>
    </row>
    <row r="1153" spans="1:18" s="106" customFormat="1">
      <c r="A1153" s="79">
        <v>400291</v>
      </c>
      <c r="B1153" s="121">
        <f t="shared" si="75"/>
        <v>4002911</v>
      </c>
      <c r="C1153" s="79" t="s">
        <v>1887</v>
      </c>
      <c r="D1153" s="121">
        <f t="shared" si="76"/>
        <v>4002912</v>
      </c>
      <c r="E1153" s="79" t="s">
        <v>1888</v>
      </c>
      <c r="F1153" s="79">
        <v>5</v>
      </c>
      <c r="G1153" s="79">
        <v>4</v>
      </c>
      <c r="H1153" s="79" t="s">
        <v>428</v>
      </c>
      <c r="I1153" s="79"/>
      <c r="J1153" s="79"/>
      <c r="K1153" s="79">
        <v>4</v>
      </c>
      <c r="L1153" s="79">
        <v>4</v>
      </c>
      <c r="M1153" s="127" t="s">
        <v>1889</v>
      </c>
      <c r="N1153" s="79">
        <v>1</v>
      </c>
      <c r="O1153" s="79">
        <v>0</v>
      </c>
      <c r="P1153" s="107"/>
      <c r="R1153" s="79"/>
    </row>
    <row r="1154" spans="1:18" s="106" customFormat="1">
      <c r="A1154" s="79">
        <v>400292</v>
      </c>
      <c r="B1154" s="121">
        <f t="shared" si="75"/>
        <v>4002921</v>
      </c>
      <c r="C1154" s="79" t="s">
        <v>1890</v>
      </c>
      <c r="D1154" s="121">
        <f t="shared" si="76"/>
        <v>4002922</v>
      </c>
      <c r="E1154" s="79" t="s">
        <v>1891</v>
      </c>
      <c r="F1154" s="79">
        <v>5</v>
      </c>
      <c r="G1154" s="79">
        <v>4</v>
      </c>
      <c r="H1154" s="79" t="s">
        <v>428</v>
      </c>
      <c r="I1154" s="79"/>
      <c r="J1154" s="79"/>
      <c r="K1154" s="79">
        <v>4</v>
      </c>
      <c r="L1154" s="79">
        <v>4</v>
      </c>
      <c r="M1154" s="127" t="s">
        <v>1892</v>
      </c>
      <c r="N1154" s="79">
        <v>1</v>
      </c>
      <c r="O1154" s="79">
        <v>0</v>
      </c>
      <c r="P1154" s="107"/>
      <c r="R1154" s="79"/>
    </row>
    <row r="1155" spans="1:18" s="106" customFormat="1">
      <c r="A1155" s="79">
        <v>400293</v>
      </c>
      <c r="B1155" s="121">
        <f t="shared" si="75"/>
        <v>4002931</v>
      </c>
      <c r="C1155" s="79" t="s">
        <v>1893</v>
      </c>
      <c r="D1155" s="121">
        <f t="shared" si="76"/>
        <v>4002932</v>
      </c>
      <c r="E1155" s="79" t="s">
        <v>1894</v>
      </c>
      <c r="F1155" s="79">
        <v>5</v>
      </c>
      <c r="G1155" s="79">
        <v>4</v>
      </c>
      <c r="H1155" s="79" t="s">
        <v>428</v>
      </c>
      <c r="I1155" s="79"/>
      <c r="J1155" s="79"/>
      <c r="K1155" s="79">
        <v>4</v>
      </c>
      <c r="L1155" s="79">
        <v>4</v>
      </c>
      <c r="M1155" s="127" t="s">
        <v>1895</v>
      </c>
      <c r="N1155" s="79">
        <v>1</v>
      </c>
      <c r="O1155" s="79">
        <v>0</v>
      </c>
      <c r="P1155" s="107"/>
      <c r="R1155" s="79"/>
    </row>
    <row r="1156" spans="1:18" s="106" customFormat="1">
      <c r="A1156" s="79">
        <v>400321</v>
      </c>
      <c r="B1156" s="121">
        <f t="shared" si="75"/>
        <v>4003211</v>
      </c>
      <c r="C1156" s="79" t="s">
        <v>5616</v>
      </c>
      <c r="D1156" s="121">
        <f t="shared" si="76"/>
        <v>4003212</v>
      </c>
      <c r="E1156" s="79" t="s">
        <v>1896</v>
      </c>
      <c r="F1156" s="79">
        <v>5</v>
      </c>
      <c r="G1156" s="79">
        <v>4</v>
      </c>
      <c r="H1156" s="79" t="s">
        <v>433</v>
      </c>
      <c r="I1156" s="79"/>
      <c r="J1156" s="79"/>
      <c r="K1156" s="79">
        <v>5</v>
      </c>
      <c r="L1156" s="79">
        <v>4</v>
      </c>
      <c r="M1156" s="127" t="s">
        <v>1897</v>
      </c>
      <c r="N1156" s="79">
        <v>1</v>
      </c>
      <c r="O1156" s="79">
        <v>0</v>
      </c>
      <c r="P1156" s="107"/>
      <c r="R1156" s="79"/>
    </row>
    <row r="1157" spans="1:18" s="106" customFormat="1">
      <c r="A1157" s="79">
        <v>400361</v>
      </c>
      <c r="B1157" s="121">
        <f t="shared" si="75"/>
        <v>4003611</v>
      </c>
      <c r="C1157" s="79" t="s">
        <v>1898</v>
      </c>
      <c r="D1157" s="121">
        <f t="shared" si="76"/>
        <v>4003612</v>
      </c>
      <c r="E1157" s="79" t="s">
        <v>1899</v>
      </c>
      <c r="F1157" s="79">
        <v>5</v>
      </c>
      <c r="G1157" s="79">
        <v>4</v>
      </c>
      <c r="H1157" s="79" t="s">
        <v>456</v>
      </c>
      <c r="I1157" s="79"/>
      <c r="J1157" s="79"/>
      <c r="K1157" s="79">
        <v>5</v>
      </c>
      <c r="L1157" s="79">
        <v>4</v>
      </c>
      <c r="M1157" s="127" t="s">
        <v>1900</v>
      </c>
      <c r="N1157" s="79">
        <v>1</v>
      </c>
      <c r="O1157" s="79">
        <v>0</v>
      </c>
      <c r="P1157" s="107"/>
      <c r="R1157" s="79"/>
    </row>
    <row r="1158" spans="1:18" s="106" customFormat="1">
      <c r="A1158" s="79">
        <v>400362</v>
      </c>
      <c r="B1158" s="121">
        <f t="shared" si="75"/>
        <v>4003621</v>
      </c>
      <c r="C1158" s="79" t="s">
        <v>1901</v>
      </c>
      <c r="D1158" s="121">
        <f t="shared" si="76"/>
        <v>4003622</v>
      </c>
      <c r="E1158" s="79" t="s">
        <v>1902</v>
      </c>
      <c r="F1158" s="79">
        <v>5</v>
      </c>
      <c r="G1158" s="79">
        <v>4</v>
      </c>
      <c r="H1158" s="79" t="s">
        <v>456</v>
      </c>
      <c r="I1158" s="79"/>
      <c r="J1158" s="79"/>
      <c r="K1158" s="79">
        <v>5</v>
      </c>
      <c r="L1158" s="79">
        <v>4</v>
      </c>
      <c r="M1158" s="127" t="s">
        <v>1903</v>
      </c>
      <c r="N1158" s="79">
        <v>1</v>
      </c>
      <c r="O1158" s="79">
        <v>0</v>
      </c>
      <c r="P1158" s="107"/>
      <c r="R1158" s="79"/>
    </row>
    <row r="1159" spans="1:18" s="106" customFormat="1">
      <c r="A1159" s="79">
        <v>400363</v>
      </c>
      <c r="B1159" s="121">
        <f t="shared" si="75"/>
        <v>4003631</v>
      </c>
      <c r="C1159" s="79" t="s">
        <v>1904</v>
      </c>
      <c r="D1159" s="121">
        <f t="shared" si="76"/>
        <v>4003632</v>
      </c>
      <c r="E1159" s="79" t="s">
        <v>1905</v>
      </c>
      <c r="F1159" s="79">
        <v>5</v>
      </c>
      <c r="G1159" s="79">
        <v>4</v>
      </c>
      <c r="H1159" s="79" t="s">
        <v>456</v>
      </c>
      <c r="I1159" s="79"/>
      <c r="J1159" s="79"/>
      <c r="K1159" s="79">
        <v>5</v>
      </c>
      <c r="L1159" s="79">
        <v>4</v>
      </c>
      <c r="M1159" s="127" t="s">
        <v>1906</v>
      </c>
      <c r="N1159" s="79">
        <v>1</v>
      </c>
      <c r="O1159" s="79">
        <v>0</v>
      </c>
      <c r="P1159" s="107"/>
      <c r="R1159" s="79"/>
    </row>
    <row r="1160" spans="1:18" s="106" customFormat="1">
      <c r="A1160" s="79">
        <v>400364</v>
      </c>
      <c r="B1160" s="121">
        <f t="shared" si="75"/>
        <v>4003641</v>
      </c>
      <c r="C1160" s="79" t="s">
        <v>1898</v>
      </c>
      <c r="D1160" s="121">
        <f t="shared" si="76"/>
        <v>4003642</v>
      </c>
      <c r="E1160" s="79" t="s">
        <v>1907</v>
      </c>
      <c r="F1160" s="79">
        <v>5</v>
      </c>
      <c r="G1160" s="79">
        <v>4</v>
      </c>
      <c r="H1160" s="79" t="s">
        <v>456</v>
      </c>
      <c r="I1160" s="79"/>
      <c r="J1160" s="79"/>
      <c r="K1160" s="79">
        <v>6</v>
      </c>
      <c r="L1160" s="79">
        <v>4</v>
      </c>
      <c r="M1160" s="127" t="s">
        <v>1908</v>
      </c>
      <c r="N1160" s="79">
        <v>1</v>
      </c>
      <c r="O1160" s="79">
        <v>0</v>
      </c>
      <c r="P1160" s="107"/>
      <c r="R1160" s="79"/>
    </row>
    <row r="1161" spans="1:18" s="106" customFormat="1">
      <c r="A1161" s="79">
        <v>400365</v>
      </c>
      <c r="B1161" s="121">
        <f t="shared" si="75"/>
        <v>4003651</v>
      </c>
      <c r="C1161" s="79" t="s">
        <v>1901</v>
      </c>
      <c r="D1161" s="121">
        <f t="shared" si="76"/>
        <v>4003652</v>
      </c>
      <c r="E1161" s="79" t="s">
        <v>1909</v>
      </c>
      <c r="F1161" s="79">
        <v>5</v>
      </c>
      <c r="G1161" s="79">
        <v>4</v>
      </c>
      <c r="H1161" s="79" t="s">
        <v>456</v>
      </c>
      <c r="I1161" s="79"/>
      <c r="J1161" s="79"/>
      <c r="K1161" s="79">
        <v>6</v>
      </c>
      <c r="L1161" s="79">
        <v>4</v>
      </c>
      <c r="M1161" s="127" t="s">
        <v>1910</v>
      </c>
      <c r="N1161" s="79">
        <v>1</v>
      </c>
      <c r="O1161" s="79">
        <v>0</v>
      </c>
      <c r="P1161" s="107"/>
      <c r="R1161" s="79"/>
    </row>
    <row r="1162" spans="1:18" s="106" customFormat="1">
      <c r="A1162" s="79">
        <v>400366</v>
      </c>
      <c r="B1162" s="121">
        <f t="shared" si="75"/>
        <v>4003661</v>
      </c>
      <c r="C1162" s="79" t="s">
        <v>1904</v>
      </c>
      <c r="D1162" s="121">
        <f t="shared" si="76"/>
        <v>4003662</v>
      </c>
      <c r="E1162" s="79" t="s">
        <v>1911</v>
      </c>
      <c r="F1162" s="79">
        <v>5</v>
      </c>
      <c r="G1162" s="79">
        <v>4</v>
      </c>
      <c r="H1162" s="79" t="s">
        <v>456</v>
      </c>
      <c r="I1162" s="79"/>
      <c r="J1162" s="79"/>
      <c r="K1162" s="79">
        <v>6</v>
      </c>
      <c r="L1162" s="79">
        <v>4</v>
      </c>
      <c r="M1162" s="127" t="s">
        <v>1912</v>
      </c>
      <c r="N1162" s="79">
        <v>1</v>
      </c>
      <c r="O1162" s="79">
        <v>0</v>
      </c>
      <c r="P1162" s="107"/>
      <c r="R1162" s="79"/>
    </row>
    <row r="1163" spans="1:18" s="106" customFormat="1">
      <c r="A1163" s="79">
        <v>400367</v>
      </c>
      <c r="B1163" s="121">
        <f t="shared" si="75"/>
        <v>4003671</v>
      </c>
      <c r="C1163" s="79" t="s">
        <v>1898</v>
      </c>
      <c r="D1163" s="121">
        <f t="shared" si="76"/>
        <v>4003672</v>
      </c>
      <c r="E1163" s="79" t="s">
        <v>1913</v>
      </c>
      <c r="F1163" s="79">
        <v>5</v>
      </c>
      <c r="G1163" s="79">
        <v>4</v>
      </c>
      <c r="H1163" s="79" t="s">
        <v>456</v>
      </c>
      <c r="I1163" s="79"/>
      <c r="J1163" s="79"/>
      <c r="K1163" s="79">
        <v>7</v>
      </c>
      <c r="L1163" s="79">
        <v>4</v>
      </c>
      <c r="M1163" s="127" t="s">
        <v>1914</v>
      </c>
      <c r="N1163" s="79">
        <v>1</v>
      </c>
      <c r="O1163" s="79">
        <v>0</v>
      </c>
      <c r="P1163" s="107"/>
      <c r="R1163" s="79"/>
    </row>
    <row r="1164" spans="1:18" s="106" customFormat="1">
      <c r="A1164" s="79">
        <v>400368</v>
      </c>
      <c r="B1164" s="121">
        <f t="shared" si="75"/>
        <v>4003681</v>
      </c>
      <c r="C1164" s="79" t="s">
        <v>1901</v>
      </c>
      <c r="D1164" s="121">
        <f t="shared" si="76"/>
        <v>4003682</v>
      </c>
      <c r="E1164" s="79" t="s">
        <v>1915</v>
      </c>
      <c r="F1164" s="79">
        <v>5</v>
      </c>
      <c r="G1164" s="79">
        <v>4</v>
      </c>
      <c r="H1164" s="79" t="s">
        <v>456</v>
      </c>
      <c r="I1164" s="79"/>
      <c r="J1164" s="79"/>
      <c r="K1164" s="79">
        <v>7</v>
      </c>
      <c r="L1164" s="79">
        <v>4</v>
      </c>
      <c r="M1164" s="127" t="s">
        <v>1916</v>
      </c>
      <c r="N1164" s="79">
        <v>1</v>
      </c>
      <c r="O1164" s="79">
        <v>0</v>
      </c>
      <c r="P1164" s="107"/>
      <c r="R1164" s="79"/>
    </row>
    <row r="1165" spans="1:18" s="106" customFormat="1">
      <c r="A1165" s="79">
        <v>400369</v>
      </c>
      <c r="B1165" s="121">
        <f t="shared" si="75"/>
        <v>4003691</v>
      </c>
      <c r="C1165" s="79" t="s">
        <v>1904</v>
      </c>
      <c r="D1165" s="121">
        <f t="shared" si="76"/>
        <v>4003692</v>
      </c>
      <c r="E1165" s="79" t="s">
        <v>1917</v>
      </c>
      <c r="F1165" s="79">
        <v>5</v>
      </c>
      <c r="G1165" s="79">
        <v>4</v>
      </c>
      <c r="H1165" s="79" t="s">
        <v>456</v>
      </c>
      <c r="I1165" s="79"/>
      <c r="J1165" s="79"/>
      <c r="K1165" s="79">
        <v>7</v>
      </c>
      <c r="L1165" s="79">
        <v>4</v>
      </c>
      <c r="M1165" s="127" t="s">
        <v>1918</v>
      </c>
      <c r="N1165" s="79">
        <v>1</v>
      </c>
      <c r="O1165" s="79">
        <v>0</v>
      </c>
      <c r="P1165" s="107"/>
      <c r="R1165" s="79"/>
    </row>
    <row r="1166" spans="1:18" s="106" customFormat="1">
      <c r="A1166" s="79">
        <v>400401</v>
      </c>
      <c r="B1166" s="121">
        <f t="shared" si="75"/>
        <v>4004011</v>
      </c>
      <c r="C1166" s="79" t="s">
        <v>1919</v>
      </c>
      <c r="D1166" s="121">
        <f t="shared" si="76"/>
        <v>4004012</v>
      </c>
      <c r="E1166" s="79" t="s">
        <v>1920</v>
      </c>
      <c r="F1166" s="79">
        <v>5</v>
      </c>
      <c r="G1166" s="79">
        <v>4</v>
      </c>
      <c r="H1166" s="79" t="s">
        <v>475</v>
      </c>
      <c r="I1166" s="79"/>
      <c r="J1166" s="79"/>
      <c r="K1166" s="79">
        <v>5</v>
      </c>
      <c r="L1166" s="79">
        <v>4</v>
      </c>
      <c r="M1166" s="127" t="s">
        <v>1921</v>
      </c>
      <c r="N1166" s="79">
        <v>1</v>
      </c>
      <c r="O1166" s="79">
        <v>0</v>
      </c>
      <c r="P1166" s="107"/>
      <c r="R1166" s="79"/>
    </row>
    <row r="1167" spans="1:18" s="106" customFormat="1">
      <c r="A1167" s="79">
        <v>400402</v>
      </c>
      <c r="B1167" s="121">
        <f t="shared" si="75"/>
        <v>4004021</v>
      </c>
      <c r="C1167" s="79" t="s">
        <v>1922</v>
      </c>
      <c r="D1167" s="121">
        <f t="shared" si="76"/>
        <v>4004022</v>
      </c>
      <c r="E1167" s="79" t="s">
        <v>1923</v>
      </c>
      <c r="F1167" s="79">
        <v>5</v>
      </c>
      <c r="G1167" s="79">
        <v>4</v>
      </c>
      <c r="H1167" s="79" t="s">
        <v>475</v>
      </c>
      <c r="I1167" s="79"/>
      <c r="J1167" s="79"/>
      <c r="K1167" s="79">
        <v>5</v>
      </c>
      <c r="L1167" s="79">
        <v>4</v>
      </c>
      <c r="M1167" s="127" t="s">
        <v>1924</v>
      </c>
      <c r="N1167" s="79">
        <v>1</v>
      </c>
      <c r="O1167" s="79">
        <v>0</v>
      </c>
      <c r="P1167" s="107"/>
      <c r="R1167" s="79"/>
    </row>
    <row r="1168" spans="1:18" s="106" customFormat="1">
      <c r="A1168" s="79">
        <v>400403</v>
      </c>
      <c r="B1168" s="121">
        <f t="shared" si="75"/>
        <v>4004031</v>
      </c>
      <c r="C1168" s="79" t="s">
        <v>1925</v>
      </c>
      <c r="D1168" s="121">
        <f t="shared" si="76"/>
        <v>4004032</v>
      </c>
      <c r="E1168" s="79" t="s">
        <v>1926</v>
      </c>
      <c r="F1168" s="79">
        <v>5</v>
      </c>
      <c r="G1168" s="79">
        <v>4</v>
      </c>
      <c r="H1168" s="79" t="s">
        <v>475</v>
      </c>
      <c r="I1168" s="79"/>
      <c r="J1168" s="79"/>
      <c r="K1168" s="79">
        <v>5</v>
      </c>
      <c r="L1168" s="79">
        <v>4</v>
      </c>
      <c r="M1168" s="127" t="s">
        <v>1927</v>
      </c>
      <c r="N1168" s="79">
        <v>1</v>
      </c>
      <c r="O1168" s="79">
        <v>0</v>
      </c>
      <c r="P1168" s="107"/>
      <c r="R1168" s="79"/>
    </row>
    <row r="1169" spans="1:18" s="106" customFormat="1">
      <c r="A1169" s="79">
        <v>400404</v>
      </c>
      <c r="B1169" s="121">
        <f t="shared" si="75"/>
        <v>4004041</v>
      </c>
      <c r="C1169" s="79" t="s">
        <v>1919</v>
      </c>
      <c r="D1169" s="121">
        <f t="shared" si="76"/>
        <v>4004042</v>
      </c>
      <c r="E1169" s="79" t="s">
        <v>1928</v>
      </c>
      <c r="F1169" s="79">
        <v>5</v>
      </c>
      <c r="G1169" s="79">
        <v>4</v>
      </c>
      <c r="H1169" s="79" t="s">
        <v>475</v>
      </c>
      <c r="I1169" s="79"/>
      <c r="J1169" s="79"/>
      <c r="K1169" s="79">
        <v>6</v>
      </c>
      <c r="L1169" s="79">
        <v>4</v>
      </c>
      <c r="M1169" s="127" t="s">
        <v>1929</v>
      </c>
      <c r="N1169" s="79">
        <v>1</v>
      </c>
      <c r="O1169" s="79">
        <v>0</v>
      </c>
      <c r="P1169" s="107"/>
      <c r="R1169" s="79"/>
    </row>
    <row r="1170" spans="1:18" s="106" customFormat="1">
      <c r="A1170" s="79">
        <v>400405</v>
      </c>
      <c r="B1170" s="121">
        <f t="shared" si="75"/>
        <v>4004051</v>
      </c>
      <c r="C1170" s="79" t="s">
        <v>1922</v>
      </c>
      <c r="D1170" s="121">
        <f t="shared" si="76"/>
        <v>4004052</v>
      </c>
      <c r="E1170" s="79" t="s">
        <v>1930</v>
      </c>
      <c r="F1170" s="79">
        <v>5</v>
      </c>
      <c r="G1170" s="79">
        <v>4</v>
      </c>
      <c r="H1170" s="79" t="s">
        <v>475</v>
      </c>
      <c r="I1170" s="79"/>
      <c r="J1170" s="79"/>
      <c r="K1170" s="79">
        <v>6</v>
      </c>
      <c r="L1170" s="79">
        <v>4</v>
      </c>
      <c r="M1170" s="127" t="s">
        <v>1931</v>
      </c>
      <c r="N1170" s="79">
        <v>1</v>
      </c>
      <c r="O1170" s="79">
        <v>0</v>
      </c>
      <c r="P1170" s="107"/>
      <c r="R1170" s="79"/>
    </row>
    <row r="1171" spans="1:18" s="106" customFormat="1">
      <c r="A1171" s="79">
        <v>400406</v>
      </c>
      <c r="B1171" s="121">
        <f t="shared" si="75"/>
        <v>4004061</v>
      </c>
      <c r="C1171" s="79" t="s">
        <v>1925</v>
      </c>
      <c r="D1171" s="121">
        <f t="shared" si="76"/>
        <v>4004062</v>
      </c>
      <c r="E1171" s="79" t="s">
        <v>1932</v>
      </c>
      <c r="F1171" s="79">
        <v>5</v>
      </c>
      <c r="G1171" s="79">
        <v>4</v>
      </c>
      <c r="H1171" s="79" t="s">
        <v>475</v>
      </c>
      <c r="I1171" s="79"/>
      <c r="J1171" s="79"/>
      <c r="K1171" s="79">
        <v>6</v>
      </c>
      <c r="L1171" s="79">
        <v>4</v>
      </c>
      <c r="M1171" s="127" t="s">
        <v>1933</v>
      </c>
      <c r="N1171" s="79">
        <v>1</v>
      </c>
      <c r="O1171" s="79">
        <v>0</v>
      </c>
      <c r="P1171" s="107"/>
      <c r="R1171" s="79"/>
    </row>
    <row r="1172" spans="1:18" s="106" customFormat="1">
      <c r="A1172" s="79">
        <v>400407</v>
      </c>
      <c r="B1172" s="121">
        <f t="shared" ref="B1172:B1235" si="77">A1172*10+1</f>
        <v>4004071</v>
      </c>
      <c r="C1172" s="79" t="s">
        <v>1919</v>
      </c>
      <c r="D1172" s="121">
        <f t="shared" ref="D1172:D1235" si="78">A1172*10+2</f>
        <v>4004072</v>
      </c>
      <c r="E1172" s="79" t="s">
        <v>1934</v>
      </c>
      <c r="F1172" s="79">
        <v>5</v>
      </c>
      <c r="G1172" s="79">
        <v>4</v>
      </c>
      <c r="H1172" s="79" t="s">
        <v>475</v>
      </c>
      <c r="I1172" s="79"/>
      <c r="J1172" s="79"/>
      <c r="K1172" s="79">
        <v>7</v>
      </c>
      <c r="L1172" s="79">
        <v>4</v>
      </c>
      <c r="M1172" s="127" t="s">
        <v>1935</v>
      </c>
      <c r="N1172" s="79">
        <v>1</v>
      </c>
      <c r="O1172" s="79">
        <v>0</v>
      </c>
      <c r="P1172" s="107"/>
      <c r="R1172" s="79"/>
    </row>
    <row r="1173" spans="1:18" s="106" customFormat="1">
      <c r="A1173" s="79">
        <v>400408</v>
      </c>
      <c r="B1173" s="121">
        <f t="shared" si="77"/>
        <v>4004081</v>
      </c>
      <c r="C1173" s="79" t="s">
        <v>1922</v>
      </c>
      <c r="D1173" s="121">
        <f t="shared" si="78"/>
        <v>4004082</v>
      </c>
      <c r="E1173" s="79" t="s">
        <v>1936</v>
      </c>
      <c r="F1173" s="79">
        <v>5</v>
      </c>
      <c r="G1173" s="79">
        <v>4</v>
      </c>
      <c r="H1173" s="79" t="s">
        <v>475</v>
      </c>
      <c r="I1173" s="79"/>
      <c r="J1173" s="79"/>
      <c r="K1173" s="79">
        <v>7</v>
      </c>
      <c r="L1173" s="79">
        <v>4</v>
      </c>
      <c r="M1173" s="127" t="s">
        <v>1937</v>
      </c>
      <c r="N1173" s="79">
        <v>1</v>
      </c>
      <c r="O1173" s="79">
        <v>0</v>
      </c>
      <c r="P1173" s="107"/>
      <c r="R1173" s="79"/>
    </row>
    <row r="1174" spans="1:18" s="106" customFormat="1">
      <c r="A1174" s="79">
        <v>400409</v>
      </c>
      <c r="B1174" s="121">
        <f t="shared" si="77"/>
        <v>4004091</v>
      </c>
      <c r="C1174" s="79" t="s">
        <v>1925</v>
      </c>
      <c r="D1174" s="121">
        <f t="shared" si="78"/>
        <v>4004092</v>
      </c>
      <c r="E1174" s="79" t="s">
        <v>1938</v>
      </c>
      <c r="F1174" s="79">
        <v>5</v>
      </c>
      <c r="G1174" s="79">
        <v>4</v>
      </c>
      <c r="H1174" s="79" t="s">
        <v>475</v>
      </c>
      <c r="I1174" s="79"/>
      <c r="J1174" s="79"/>
      <c r="K1174" s="79">
        <v>7</v>
      </c>
      <c r="L1174" s="79">
        <v>4</v>
      </c>
      <c r="M1174" s="127" t="s">
        <v>1939</v>
      </c>
      <c r="N1174" s="79">
        <v>1</v>
      </c>
      <c r="O1174" s="79">
        <v>0</v>
      </c>
      <c r="P1174" s="107"/>
      <c r="R1174" s="79"/>
    </row>
    <row r="1175" spans="1:18" s="106" customFormat="1">
      <c r="A1175" s="79">
        <v>400411</v>
      </c>
      <c r="B1175" s="121">
        <f t="shared" si="77"/>
        <v>4004111</v>
      </c>
      <c r="C1175" s="79" t="s">
        <v>1940</v>
      </c>
      <c r="D1175" s="121">
        <f t="shared" si="78"/>
        <v>4004112</v>
      </c>
      <c r="E1175" s="79" t="s">
        <v>1941</v>
      </c>
      <c r="F1175" s="79">
        <v>5</v>
      </c>
      <c r="G1175" s="79">
        <v>4</v>
      </c>
      <c r="H1175" s="79" t="s">
        <v>480</v>
      </c>
      <c r="I1175" s="79"/>
      <c r="J1175" s="79"/>
      <c r="K1175" s="79">
        <v>5</v>
      </c>
      <c r="L1175" s="79">
        <v>4</v>
      </c>
      <c r="M1175" s="127" t="s">
        <v>1942</v>
      </c>
      <c r="N1175" s="79">
        <v>1</v>
      </c>
      <c r="O1175" s="79">
        <v>0</v>
      </c>
      <c r="P1175" s="107"/>
      <c r="R1175" s="79"/>
    </row>
    <row r="1176" spans="1:18" s="106" customFormat="1">
      <c r="A1176" s="79">
        <v>400412</v>
      </c>
      <c r="B1176" s="121">
        <f t="shared" si="77"/>
        <v>4004121</v>
      </c>
      <c r="C1176" s="79" t="s">
        <v>1943</v>
      </c>
      <c r="D1176" s="121">
        <f t="shared" si="78"/>
        <v>4004122</v>
      </c>
      <c r="E1176" s="79" t="s">
        <v>1944</v>
      </c>
      <c r="F1176" s="79">
        <v>5</v>
      </c>
      <c r="G1176" s="79">
        <v>4</v>
      </c>
      <c r="H1176" s="79" t="s">
        <v>480</v>
      </c>
      <c r="I1176" s="79"/>
      <c r="J1176" s="79"/>
      <c r="K1176" s="79">
        <v>5</v>
      </c>
      <c r="L1176" s="79">
        <v>4</v>
      </c>
      <c r="M1176" s="127" t="s">
        <v>1945</v>
      </c>
      <c r="N1176" s="79">
        <v>1</v>
      </c>
      <c r="O1176" s="79">
        <v>0</v>
      </c>
      <c r="P1176" s="107"/>
      <c r="R1176" s="79"/>
    </row>
    <row r="1177" spans="1:18" s="106" customFormat="1">
      <c r="A1177" s="79">
        <v>400413</v>
      </c>
      <c r="B1177" s="121">
        <f t="shared" si="77"/>
        <v>4004131</v>
      </c>
      <c r="C1177" s="79" t="s">
        <v>1946</v>
      </c>
      <c r="D1177" s="121">
        <f t="shared" si="78"/>
        <v>4004132</v>
      </c>
      <c r="E1177" s="79" t="s">
        <v>1947</v>
      </c>
      <c r="F1177" s="79">
        <v>5</v>
      </c>
      <c r="G1177" s="79">
        <v>4</v>
      </c>
      <c r="H1177" s="79" t="s">
        <v>480</v>
      </c>
      <c r="I1177" s="79"/>
      <c r="J1177" s="79"/>
      <c r="K1177" s="79">
        <v>5</v>
      </c>
      <c r="L1177" s="79">
        <v>4</v>
      </c>
      <c r="M1177" s="127" t="s">
        <v>1948</v>
      </c>
      <c r="N1177" s="79">
        <v>1</v>
      </c>
      <c r="O1177" s="79">
        <v>0</v>
      </c>
      <c r="P1177" s="107"/>
      <c r="R1177" s="79"/>
    </row>
    <row r="1178" spans="1:18" s="106" customFormat="1">
      <c r="A1178" s="79">
        <v>400414</v>
      </c>
      <c r="B1178" s="121">
        <f t="shared" si="77"/>
        <v>4004141</v>
      </c>
      <c r="C1178" s="79" t="s">
        <v>1940</v>
      </c>
      <c r="D1178" s="121">
        <f t="shared" si="78"/>
        <v>4004142</v>
      </c>
      <c r="E1178" s="79" t="s">
        <v>1949</v>
      </c>
      <c r="F1178" s="79">
        <v>5</v>
      </c>
      <c r="G1178" s="79">
        <v>4</v>
      </c>
      <c r="H1178" s="79" t="s">
        <v>480</v>
      </c>
      <c r="I1178" s="79"/>
      <c r="J1178" s="79"/>
      <c r="K1178" s="79">
        <v>6</v>
      </c>
      <c r="L1178" s="79">
        <v>4</v>
      </c>
      <c r="M1178" s="127" t="s">
        <v>1950</v>
      </c>
      <c r="N1178" s="79">
        <v>1</v>
      </c>
      <c r="O1178" s="79">
        <v>0</v>
      </c>
      <c r="P1178" s="107"/>
      <c r="R1178" s="79"/>
    </row>
    <row r="1179" spans="1:18" s="106" customFormat="1">
      <c r="A1179" s="79">
        <v>400415</v>
      </c>
      <c r="B1179" s="121">
        <f t="shared" si="77"/>
        <v>4004151</v>
      </c>
      <c r="C1179" s="79" t="s">
        <v>1943</v>
      </c>
      <c r="D1179" s="121">
        <f t="shared" si="78"/>
        <v>4004152</v>
      </c>
      <c r="E1179" s="79" t="s">
        <v>1951</v>
      </c>
      <c r="F1179" s="79">
        <v>5</v>
      </c>
      <c r="G1179" s="79">
        <v>4</v>
      </c>
      <c r="H1179" s="79" t="s">
        <v>480</v>
      </c>
      <c r="I1179" s="79"/>
      <c r="J1179" s="79"/>
      <c r="K1179" s="79">
        <v>6</v>
      </c>
      <c r="L1179" s="79">
        <v>4</v>
      </c>
      <c r="M1179" s="127" t="s">
        <v>1952</v>
      </c>
      <c r="N1179" s="79">
        <v>1</v>
      </c>
      <c r="O1179" s="79">
        <v>0</v>
      </c>
      <c r="P1179" s="107"/>
      <c r="R1179" s="79"/>
    </row>
    <row r="1180" spans="1:18" s="106" customFormat="1">
      <c r="A1180" s="79">
        <v>400416</v>
      </c>
      <c r="B1180" s="121">
        <f t="shared" si="77"/>
        <v>4004161</v>
      </c>
      <c r="C1180" s="79" t="s">
        <v>1946</v>
      </c>
      <c r="D1180" s="121">
        <f t="shared" si="78"/>
        <v>4004162</v>
      </c>
      <c r="E1180" s="79" t="s">
        <v>1953</v>
      </c>
      <c r="F1180" s="79">
        <v>5</v>
      </c>
      <c r="G1180" s="79">
        <v>4</v>
      </c>
      <c r="H1180" s="79" t="s">
        <v>480</v>
      </c>
      <c r="I1180" s="79"/>
      <c r="J1180" s="79"/>
      <c r="K1180" s="79">
        <v>6</v>
      </c>
      <c r="L1180" s="79">
        <v>4</v>
      </c>
      <c r="M1180" s="127" t="s">
        <v>1954</v>
      </c>
      <c r="N1180" s="79">
        <v>1</v>
      </c>
      <c r="O1180" s="79">
        <v>0</v>
      </c>
      <c r="P1180" s="107"/>
      <c r="R1180" s="79"/>
    </row>
    <row r="1181" spans="1:18" s="106" customFormat="1">
      <c r="A1181" s="79">
        <v>400417</v>
      </c>
      <c r="B1181" s="121">
        <f t="shared" si="77"/>
        <v>4004171</v>
      </c>
      <c r="C1181" s="79" t="s">
        <v>1940</v>
      </c>
      <c r="D1181" s="121">
        <f t="shared" si="78"/>
        <v>4004172</v>
      </c>
      <c r="E1181" s="79" t="s">
        <v>1955</v>
      </c>
      <c r="F1181" s="79">
        <v>5</v>
      </c>
      <c r="G1181" s="79">
        <v>4</v>
      </c>
      <c r="H1181" s="79" t="s">
        <v>480</v>
      </c>
      <c r="I1181" s="79"/>
      <c r="J1181" s="79"/>
      <c r="K1181" s="79">
        <v>7</v>
      </c>
      <c r="L1181" s="79">
        <v>4</v>
      </c>
      <c r="M1181" s="127" t="s">
        <v>1956</v>
      </c>
      <c r="N1181" s="79">
        <v>1</v>
      </c>
      <c r="O1181" s="79">
        <v>0</v>
      </c>
      <c r="P1181" s="107"/>
      <c r="R1181" s="79"/>
    </row>
    <row r="1182" spans="1:18" s="106" customFormat="1">
      <c r="A1182" s="79">
        <v>400418</v>
      </c>
      <c r="B1182" s="121">
        <f t="shared" si="77"/>
        <v>4004181</v>
      </c>
      <c r="C1182" s="79" t="s">
        <v>1943</v>
      </c>
      <c r="D1182" s="121">
        <f t="shared" si="78"/>
        <v>4004182</v>
      </c>
      <c r="E1182" s="79" t="s">
        <v>1957</v>
      </c>
      <c r="F1182" s="79">
        <v>5</v>
      </c>
      <c r="G1182" s="79">
        <v>4</v>
      </c>
      <c r="H1182" s="79" t="s">
        <v>480</v>
      </c>
      <c r="I1182" s="79"/>
      <c r="J1182" s="79"/>
      <c r="K1182" s="79">
        <v>7</v>
      </c>
      <c r="L1182" s="79">
        <v>4</v>
      </c>
      <c r="M1182" s="127" t="s">
        <v>1958</v>
      </c>
      <c r="N1182" s="79">
        <v>1</v>
      </c>
      <c r="O1182" s="79">
        <v>0</v>
      </c>
      <c r="P1182" s="107"/>
      <c r="R1182" s="79"/>
    </row>
    <row r="1183" spans="1:18" s="106" customFormat="1">
      <c r="A1183" s="79">
        <v>400419</v>
      </c>
      <c r="B1183" s="121">
        <f t="shared" si="77"/>
        <v>4004191</v>
      </c>
      <c r="C1183" s="79" t="s">
        <v>1946</v>
      </c>
      <c r="D1183" s="121">
        <f t="shared" si="78"/>
        <v>4004192</v>
      </c>
      <c r="E1183" s="79" t="s">
        <v>1959</v>
      </c>
      <c r="F1183" s="79">
        <v>5</v>
      </c>
      <c r="G1183" s="79">
        <v>4</v>
      </c>
      <c r="H1183" s="79" t="s">
        <v>480</v>
      </c>
      <c r="I1183" s="79"/>
      <c r="J1183" s="79"/>
      <c r="K1183" s="79">
        <v>7</v>
      </c>
      <c r="L1183" s="79">
        <v>4</v>
      </c>
      <c r="M1183" s="127" t="s">
        <v>1960</v>
      </c>
      <c r="N1183" s="79">
        <v>1</v>
      </c>
      <c r="O1183" s="79">
        <v>0</v>
      </c>
      <c r="P1183" s="107"/>
      <c r="R1183" s="79"/>
    </row>
    <row r="1184" spans="1:18" s="106" customFormat="1">
      <c r="A1184" s="79">
        <v>400420</v>
      </c>
      <c r="B1184" s="121">
        <f t="shared" si="77"/>
        <v>4004201</v>
      </c>
      <c r="C1184" s="79" t="s">
        <v>1961</v>
      </c>
      <c r="D1184" s="121">
        <f t="shared" si="78"/>
        <v>4004202</v>
      </c>
      <c r="E1184" s="79" t="s">
        <v>1962</v>
      </c>
      <c r="F1184" s="79">
        <v>5</v>
      </c>
      <c r="G1184" s="79">
        <v>4</v>
      </c>
      <c r="H1184" s="79" t="s">
        <v>486</v>
      </c>
      <c r="I1184" s="79"/>
      <c r="J1184" s="79"/>
      <c r="K1184" s="79">
        <v>5</v>
      </c>
      <c r="L1184" s="79">
        <v>4</v>
      </c>
      <c r="M1184" s="127" t="s">
        <v>1963</v>
      </c>
      <c r="N1184" s="79">
        <v>1</v>
      </c>
      <c r="O1184" s="79">
        <v>0</v>
      </c>
      <c r="P1184" s="107"/>
      <c r="R1184" s="79"/>
    </row>
    <row r="1185" spans="1:18" s="106" customFormat="1">
      <c r="A1185" s="79">
        <v>400421</v>
      </c>
      <c r="B1185" s="121">
        <f t="shared" si="77"/>
        <v>4004211</v>
      </c>
      <c r="C1185" s="79" t="s">
        <v>1964</v>
      </c>
      <c r="D1185" s="121">
        <f t="shared" si="78"/>
        <v>4004212</v>
      </c>
      <c r="E1185" s="79" t="s">
        <v>1965</v>
      </c>
      <c r="F1185" s="79">
        <v>5</v>
      </c>
      <c r="G1185" s="79">
        <v>4</v>
      </c>
      <c r="H1185" s="79" t="s">
        <v>486</v>
      </c>
      <c r="I1185" s="79"/>
      <c r="J1185" s="79"/>
      <c r="K1185" s="79">
        <v>5</v>
      </c>
      <c r="L1185" s="79">
        <v>4</v>
      </c>
      <c r="M1185" s="127" t="s">
        <v>1966</v>
      </c>
      <c r="N1185" s="79">
        <v>1</v>
      </c>
      <c r="O1185" s="79">
        <v>0</v>
      </c>
      <c r="P1185" s="107"/>
      <c r="R1185" s="79"/>
    </row>
    <row r="1186" spans="1:18" s="106" customFormat="1">
      <c r="A1186" s="79">
        <v>400422</v>
      </c>
      <c r="B1186" s="121">
        <f t="shared" si="77"/>
        <v>4004221</v>
      </c>
      <c r="C1186" s="79" t="s">
        <v>1967</v>
      </c>
      <c r="D1186" s="121">
        <f t="shared" si="78"/>
        <v>4004222</v>
      </c>
      <c r="E1186" s="79" t="s">
        <v>1968</v>
      </c>
      <c r="F1186" s="79">
        <v>5</v>
      </c>
      <c r="G1186" s="79">
        <v>4</v>
      </c>
      <c r="H1186" s="79" t="s">
        <v>486</v>
      </c>
      <c r="I1186" s="79"/>
      <c r="J1186" s="79"/>
      <c r="K1186" s="79">
        <v>5</v>
      </c>
      <c r="L1186" s="79">
        <v>4</v>
      </c>
      <c r="M1186" s="127" t="s">
        <v>1969</v>
      </c>
      <c r="N1186" s="79">
        <v>1</v>
      </c>
      <c r="O1186" s="79">
        <v>0</v>
      </c>
      <c r="P1186" s="107"/>
      <c r="R1186" s="79"/>
    </row>
    <row r="1187" spans="1:18" s="106" customFormat="1">
      <c r="A1187" s="79">
        <v>400423</v>
      </c>
      <c r="B1187" s="121">
        <f t="shared" si="77"/>
        <v>4004231</v>
      </c>
      <c r="C1187" s="79" t="s">
        <v>1970</v>
      </c>
      <c r="D1187" s="121">
        <f t="shared" si="78"/>
        <v>4004232</v>
      </c>
      <c r="E1187" s="79" t="s">
        <v>1971</v>
      </c>
      <c r="F1187" s="79">
        <v>5</v>
      </c>
      <c r="G1187" s="79">
        <v>4</v>
      </c>
      <c r="H1187" s="79" t="s">
        <v>486</v>
      </c>
      <c r="I1187" s="79"/>
      <c r="J1187" s="79"/>
      <c r="K1187" s="79">
        <v>5</v>
      </c>
      <c r="L1187" s="79">
        <v>4</v>
      </c>
      <c r="M1187" s="127" t="s">
        <v>1972</v>
      </c>
      <c r="N1187" s="79">
        <v>1</v>
      </c>
      <c r="O1187" s="79">
        <v>0</v>
      </c>
      <c r="P1187" s="107"/>
      <c r="R1187" s="79"/>
    </row>
    <row r="1188" spans="1:18" s="106" customFormat="1">
      <c r="A1188" s="79">
        <v>400424</v>
      </c>
      <c r="B1188" s="121">
        <f t="shared" si="77"/>
        <v>4004241</v>
      </c>
      <c r="C1188" s="79" t="s">
        <v>1964</v>
      </c>
      <c r="D1188" s="121">
        <f t="shared" si="78"/>
        <v>4004242</v>
      </c>
      <c r="E1188" s="79" t="s">
        <v>1973</v>
      </c>
      <c r="F1188" s="79">
        <v>5</v>
      </c>
      <c r="G1188" s="79">
        <v>4</v>
      </c>
      <c r="H1188" s="79" t="s">
        <v>486</v>
      </c>
      <c r="I1188" s="79"/>
      <c r="J1188" s="79"/>
      <c r="K1188" s="79">
        <v>6</v>
      </c>
      <c r="L1188" s="79">
        <v>4</v>
      </c>
      <c r="M1188" s="127" t="s">
        <v>1974</v>
      </c>
      <c r="N1188" s="79">
        <v>1</v>
      </c>
      <c r="O1188" s="79">
        <v>0</v>
      </c>
      <c r="P1188" s="107"/>
      <c r="R1188" s="79"/>
    </row>
    <row r="1189" spans="1:18" s="106" customFormat="1">
      <c r="A1189" s="79">
        <v>400425</v>
      </c>
      <c r="B1189" s="121">
        <f t="shared" si="77"/>
        <v>4004251</v>
      </c>
      <c r="C1189" s="79" t="s">
        <v>1967</v>
      </c>
      <c r="D1189" s="121">
        <f t="shared" si="78"/>
        <v>4004252</v>
      </c>
      <c r="E1189" s="79" t="s">
        <v>1975</v>
      </c>
      <c r="F1189" s="79">
        <v>5</v>
      </c>
      <c r="G1189" s="79">
        <v>4</v>
      </c>
      <c r="H1189" s="79" t="s">
        <v>486</v>
      </c>
      <c r="I1189" s="79"/>
      <c r="J1189" s="79"/>
      <c r="K1189" s="79">
        <v>6</v>
      </c>
      <c r="L1189" s="79">
        <v>4</v>
      </c>
      <c r="M1189" s="127" t="s">
        <v>1976</v>
      </c>
      <c r="N1189" s="79">
        <v>1</v>
      </c>
      <c r="O1189" s="79">
        <v>0</v>
      </c>
      <c r="P1189" s="107"/>
      <c r="R1189" s="79"/>
    </row>
    <row r="1190" spans="1:18" s="106" customFormat="1">
      <c r="A1190" s="79">
        <v>400426</v>
      </c>
      <c r="B1190" s="121">
        <f t="shared" si="77"/>
        <v>4004261</v>
      </c>
      <c r="C1190" s="79" t="s">
        <v>1970</v>
      </c>
      <c r="D1190" s="121">
        <f t="shared" si="78"/>
        <v>4004262</v>
      </c>
      <c r="E1190" s="79" t="s">
        <v>1977</v>
      </c>
      <c r="F1190" s="79">
        <v>5</v>
      </c>
      <c r="G1190" s="79">
        <v>4</v>
      </c>
      <c r="H1190" s="79" t="s">
        <v>486</v>
      </c>
      <c r="I1190" s="79"/>
      <c r="J1190" s="79"/>
      <c r="K1190" s="79">
        <v>6</v>
      </c>
      <c r="L1190" s="79">
        <v>4</v>
      </c>
      <c r="M1190" s="127" t="s">
        <v>1978</v>
      </c>
      <c r="N1190" s="79">
        <v>1</v>
      </c>
      <c r="O1190" s="79">
        <v>0</v>
      </c>
      <c r="P1190" s="107"/>
      <c r="R1190" s="79"/>
    </row>
    <row r="1191" spans="1:18" s="106" customFormat="1">
      <c r="A1191" s="79">
        <v>400427</v>
      </c>
      <c r="B1191" s="121">
        <f t="shared" si="77"/>
        <v>4004271</v>
      </c>
      <c r="C1191" s="79" t="s">
        <v>1964</v>
      </c>
      <c r="D1191" s="121">
        <f t="shared" si="78"/>
        <v>4004272</v>
      </c>
      <c r="E1191" s="79" t="s">
        <v>1979</v>
      </c>
      <c r="F1191" s="79">
        <v>5</v>
      </c>
      <c r="G1191" s="79">
        <v>4</v>
      </c>
      <c r="H1191" s="79" t="s">
        <v>486</v>
      </c>
      <c r="I1191" s="79"/>
      <c r="J1191" s="79"/>
      <c r="K1191" s="79">
        <v>7</v>
      </c>
      <c r="L1191" s="79">
        <v>4</v>
      </c>
      <c r="M1191" s="127" t="s">
        <v>1980</v>
      </c>
      <c r="N1191" s="79">
        <v>1</v>
      </c>
      <c r="O1191" s="79">
        <v>0</v>
      </c>
      <c r="P1191" s="107"/>
      <c r="R1191" s="79"/>
    </row>
    <row r="1192" spans="1:18" s="106" customFormat="1">
      <c r="A1192" s="79">
        <v>400428</v>
      </c>
      <c r="B1192" s="121">
        <f t="shared" si="77"/>
        <v>4004281</v>
      </c>
      <c r="C1192" s="79" t="s">
        <v>1967</v>
      </c>
      <c r="D1192" s="121">
        <f t="shared" si="78"/>
        <v>4004282</v>
      </c>
      <c r="E1192" s="79" t="s">
        <v>1981</v>
      </c>
      <c r="F1192" s="79">
        <v>5</v>
      </c>
      <c r="G1192" s="79">
        <v>4</v>
      </c>
      <c r="H1192" s="79" t="s">
        <v>486</v>
      </c>
      <c r="I1192" s="79"/>
      <c r="J1192" s="79"/>
      <c r="K1192" s="79">
        <v>7</v>
      </c>
      <c r="L1192" s="79">
        <v>4</v>
      </c>
      <c r="M1192" s="127" t="s">
        <v>1982</v>
      </c>
      <c r="N1192" s="79">
        <v>1</v>
      </c>
      <c r="O1192" s="79">
        <v>0</v>
      </c>
      <c r="P1192" s="107"/>
      <c r="R1192" s="79"/>
    </row>
    <row r="1193" spans="1:18" s="106" customFormat="1">
      <c r="A1193" s="79">
        <v>400429</v>
      </c>
      <c r="B1193" s="121">
        <f t="shared" si="77"/>
        <v>4004291</v>
      </c>
      <c r="C1193" s="79" t="s">
        <v>1970</v>
      </c>
      <c r="D1193" s="121">
        <f t="shared" si="78"/>
        <v>4004292</v>
      </c>
      <c r="E1193" s="79" t="s">
        <v>1983</v>
      </c>
      <c r="F1193" s="79">
        <v>5</v>
      </c>
      <c r="G1193" s="79">
        <v>4</v>
      </c>
      <c r="H1193" s="79" t="s">
        <v>486</v>
      </c>
      <c r="I1193" s="79"/>
      <c r="J1193" s="79"/>
      <c r="K1193" s="79">
        <v>7</v>
      </c>
      <c r="L1193" s="79">
        <v>4</v>
      </c>
      <c r="M1193" s="127" t="s">
        <v>1984</v>
      </c>
      <c r="N1193" s="79">
        <v>1</v>
      </c>
      <c r="O1193" s="79">
        <v>0</v>
      </c>
      <c r="P1193" s="107"/>
      <c r="R1193" s="140"/>
    </row>
    <row r="1194" spans="1:18" s="106" customFormat="1">
      <c r="A1194" s="79">
        <v>400430</v>
      </c>
      <c r="B1194" s="121">
        <f t="shared" si="77"/>
        <v>4004301</v>
      </c>
      <c r="C1194" s="79" t="s">
        <v>1961</v>
      </c>
      <c r="D1194" s="121">
        <f t="shared" si="78"/>
        <v>4004302</v>
      </c>
      <c r="E1194" s="79" t="s">
        <v>1985</v>
      </c>
      <c r="F1194" s="79">
        <v>5</v>
      </c>
      <c r="G1194" s="79">
        <v>4</v>
      </c>
      <c r="H1194" s="79" t="s">
        <v>486</v>
      </c>
      <c r="I1194" s="79"/>
      <c r="J1194" s="79"/>
      <c r="K1194" s="79">
        <v>6</v>
      </c>
      <c r="L1194" s="79">
        <v>4</v>
      </c>
      <c r="M1194" s="127" t="s">
        <v>1986</v>
      </c>
      <c r="N1194" s="79">
        <v>1</v>
      </c>
      <c r="O1194" s="79">
        <v>0</v>
      </c>
      <c r="P1194" s="107"/>
      <c r="R1194" s="79"/>
    </row>
    <row r="1195" spans="1:18" s="106" customFormat="1">
      <c r="A1195" s="79">
        <v>400431</v>
      </c>
      <c r="B1195" s="121">
        <f t="shared" si="77"/>
        <v>4004311</v>
      </c>
      <c r="C1195" s="79" t="s">
        <v>1987</v>
      </c>
      <c r="D1195" s="121">
        <f t="shared" si="78"/>
        <v>4004312</v>
      </c>
      <c r="E1195" s="79" t="s">
        <v>1988</v>
      </c>
      <c r="F1195" s="79">
        <v>5</v>
      </c>
      <c r="G1195" s="79">
        <v>4</v>
      </c>
      <c r="H1195" s="79" t="s">
        <v>491</v>
      </c>
      <c r="I1195" s="79"/>
      <c r="J1195" s="79"/>
      <c r="K1195" s="79">
        <v>5</v>
      </c>
      <c r="L1195" s="79">
        <v>4</v>
      </c>
      <c r="M1195" s="127" t="s">
        <v>1989</v>
      </c>
      <c r="N1195" s="79">
        <v>1</v>
      </c>
      <c r="O1195" s="79">
        <v>0</v>
      </c>
      <c r="P1195" s="107"/>
      <c r="R1195" s="79"/>
    </row>
    <row r="1196" spans="1:18" s="106" customFormat="1">
      <c r="A1196" s="79">
        <v>400432</v>
      </c>
      <c r="B1196" s="121">
        <f t="shared" si="77"/>
        <v>4004321</v>
      </c>
      <c r="C1196" s="79" t="s">
        <v>1990</v>
      </c>
      <c r="D1196" s="121">
        <f t="shared" si="78"/>
        <v>4004322</v>
      </c>
      <c r="E1196" s="79" t="s">
        <v>1991</v>
      </c>
      <c r="F1196" s="79">
        <v>5</v>
      </c>
      <c r="G1196" s="79">
        <v>4</v>
      </c>
      <c r="H1196" s="79" t="s">
        <v>491</v>
      </c>
      <c r="I1196" s="79"/>
      <c r="J1196" s="79"/>
      <c r="K1196" s="79">
        <v>5</v>
      </c>
      <c r="L1196" s="79">
        <v>4</v>
      </c>
      <c r="M1196" s="127" t="s">
        <v>1992</v>
      </c>
      <c r="N1196" s="79">
        <v>1</v>
      </c>
      <c r="O1196" s="79">
        <v>0</v>
      </c>
      <c r="P1196" s="107"/>
      <c r="R1196" s="79"/>
    </row>
    <row r="1197" spans="1:18" s="106" customFormat="1">
      <c r="A1197" s="79">
        <v>400433</v>
      </c>
      <c r="B1197" s="121">
        <f t="shared" si="77"/>
        <v>4004331</v>
      </c>
      <c r="C1197" s="79" t="s">
        <v>1993</v>
      </c>
      <c r="D1197" s="121">
        <f t="shared" si="78"/>
        <v>4004332</v>
      </c>
      <c r="E1197" s="79" t="s">
        <v>1994</v>
      </c>
      <c r="F1197" s="79">
        <v>5</v>
      </c>
      <c r="G1197" s="79">
        <v>4</v>
      </c>
      <c r="H1197" s="79" t="s">
        <v>491</v>
      </c>
      <c r="I1197" s="79"/>
      <c r="J1197" s="79"/>
      <c r="K1197" s="79">
        <v>5</v>
      </c>
      <c r="L1197" s="79">
        <v>4</v>
      </c>
      <c r="M1197" s="127" t="s">
        <v>1995</v>
      </c>
      <c r="N1197" s="79">
        <v>1</v>
      </c>
      <c r="O1197" s="79">
        <v>0</v>
      </c>
      <c r="P1197" s="107"/>
      <c r="R1197" s="79"/>
    </row>
    <row r="1198" spans="1:18" s="106" customFormat="1">
      <c r="A1198" s="79">
        <v>400434</v>
      </c>
      <c r="B1198" s="121">
        <f t="shared" si="77"/>
        <v>4004341</v>
      </c>
      <c r="C1198" s="79" t="s">
        <v>1987</v>
      </c>
      <c r="D1198" s="121">
        <f t="shared" si="78"/>
        <v>4004342</v>
      </c>
      <c r="E1198" s="79" t="s">
        <v>1996</v>
      </c>
      <c r="F1198" s="79">
        <v>5</v>
      </c>
      <c r="G1198" s="79">
        <v>4</v>
      </c>
      <c r="H1198" s="79" t="s">
        <v>491</v>
      </c>
      <c r="I1198" s="79"/>
      <c r="J1198" s="79"/>
      <c r="K1198" s="79">
        <v>6</v>
      </c>
      <c r="L1198" s="79">
        <v>4</v>
      </c>
      <c r="M1198" s="127" t="s">
        <v>1997</v>
      </c>
      <c r="N1198" s="79">
        <v>1</v>
      </c>
      <c r="O1198" s="79">
        <v>0</v>
      </c>
      <c r="P1198" s="107"/>
      <c r="R1198" s="79"/>
    </row>
    <row r="1199" spans="1:18" s="106" customFormat="1">
      <c r="A1199" s="79">
        <v>400435</v>
      </c>
      <c r="B1199" s="121">
        <f t="shared" si="77"/>
        <v>4004351</v>
      </c>
      <c r="C1199" s="79" t="s">
        <v>1990</v>
      </c>
      <c r="D1199" s="121">
        <f t="shared" si="78"/>
        <v>4004352</v>
      </c>
      <c r="E1199" s="79" t="s">
        <v>1998</v>
      </c>
      <c r="F1199" s="79">
        <v>5</v>
      </c>
      <c r="G1199" s="79">
        <v>4</v>
      </c>
      <c r="H1199" s="79" t="s">
        <v>491</v>
      </c>
      <c r="I1199" s="79"/>
      <c r="J1199" s="79"/>
      <c r="K1199" s="79">
        <v>6</v>
      </c>
      <c r="L1199" s="79">
        <v>4</v>
      </c>
      <c r="M1199" s="127" t="s">
        <v>1999</v>
      </c>
      <c r="N1199" s="79">
        <v>1</v>
      </c>
      <c r="O1199" s="79">
        <v>0</v>
      </c>
      <c r="P1199" s="107"/>
      <c r="R1199" s="79"/>
    </row>
    <row r="1200" spans="1:18" s="106" customFormat="1">
      <c r="A1200" s="79">
        <v>400436</v>
      </c>
      <c r="B1200" s="121">
        <f t="shared" si="77"/>
        <v>4004361</v>
      </c>
      <c r="C1200" s="79" t="s">
        <v>1993</v>
      </c>
      <c r="D1200" s="121">
        <f t="shared" si="78"/>
        <v>4004362</v>
      </c>
      <c r="E1200" s="79" t="s">
        <v>2000</v>
      </c>
      <c r="F1200" s="79">
        <v>5</v>
      </c>
      <c r="G1200" s="79">
        <v>4</v>
      </c>
      <c r="H1200" s="79" t="s">
        <v>491</v>
      </c>
      <c r="I1200" s="79"/>
      <c r="J1200" s="79"/>
      <c r="K1200" s="79">
        <v>6</v>
      </c>
      <c r="L1200" s="79">
        <v>4</v>
      </c>
      <c r="M1200" s="127" t="s">
        <v>2001</v>
      </c>
      <c r="N1200" s="79">
        <v>1</v>
      </c>
      <c r="O1200" s="79">
        <v>0</v>
      </c>
      <c r="P1200" s="107"/>
      <c r="R1200" s="79"/>
    </row>
    <row r="1201" spans="1:23" s="106" customFormat="1">
      <c r="A1201" s="79">
        <v>400437</v>
      </c>
      <c r="B1201" s="121">
        <f t="shared" si="77"/>
        <v>4004371</v>
      </c>
      <c r="C1201" s="79" t="s">
        <v>1987</v>
      </c>
      <c r="D1201" s="121">
        <f t="shared" si="78"/>
        <v>4004372</v>
      </c>
      <c r="E1201" s="79" t="s">
        <v>2002</v>
      </c>
      <c r="F1201" s="79">
        <v>5</v>
      </c>
      <c r="G1201" s="79">
        <v>4</v>
      </c>
      <c r="H1201" s="79" t="s">
        <v>491</v>
      </c>
      <c r="I1201" s="79"/>
      <c r="J1201" s="79"/>
      <c r="K1201" s="79">
        <v>7</v>
      </c>
      <c r="L1201" s="79">
        <v>4</v>
      </c>
      <c r="M1201" s="127" t="s">
        <v>2003</v>
      </c>
      <c r="N1201" s="79">
        <v>1</v>
      </c>
      <c r="O1201" s="79">
        <v>0</v>
      </c>
      <c r="P1201" s="107"/>
      <c r="R1201" s="79"/>
    </row>
    <row r="1202" spans="1:23" s="106" customFormat="1">
      <c r="A1202" s="79">
        <v>400438</v>
      </c>
      <c r="B1202" s="121">
        <f t="shared" si="77"/>
        <v>4004381</v>
      </c>
      <c r="C1202" s="79" t="s">
        <v>1990</v>
      </c>
      <c r="D1202" s="121">
        <f t="shared" si="78"/>
        <v>4004382</v>
      </c>
      <c r="E1202" s="79" t="s">
        <v>2004</v>
      </c>
      <c r="F1202" s="79">
        <v>5</v>
      </c>
      <c r="G1202" s="79">
        <v>4</v>
      </c>
      <c r="H1202" s="79" t="s">
        <v>491</v>
      </c>
      <c r="I1202" s="79"/>
      <c r="J1202" s="79"/>
      <c r="K1202" s="79">
        <v>7</v>
      </c>
      <c r="L1202" s="79">
        <v>4</v>
      </c>
      <c r="M1202" s="127" t="s">
        <v>2005</v>
      </c>
      <c r="N1202" s="79">
        <v>1</v>
      </c>
      <c r="O1202" s="79">
        <v>0</v>
      </c>
      <c r="P1202" s="107"/>
      <c r="R1202" s="79"/>
    </row>
    <row r="1203" spans="1:23" s="106" customFormat="1">
      <c r="A1203" s="79">
        <v>400439</v>
      </c>
      <c r="B1203" s="121">
        <f t="shared" si="77"/>
        <v>4004391</v>
      </c>
      <c r="C1203" s="79" t="s">
        <v>1993</v>
      </c>
      <c r="D1203" s="121">
        <f t="shared" si="78"/>
        <v>4004392</v>
      </c>
      <c r="E1203" s="79" t="s">
        <v>2006</v>
      </c>
      <c r="F1203" s="79">
        <v>5</v>
      </c>
      <c r="G1203" s="79">
        <v>4</v>
      </c>
      <c r="H1203" s="79" t="s">
        <v>491</v>
      </c>
      <c r="I1203" s="79"/>
      <c r="J1203" s="79"/>
      <c r="K1203" s="79">
        <v>7</v>
      </c>
      <c r="L1203" s="79">
        <v>4</v>
      </c>
      <c r="M1203" s="127" t="s">
        <v>2007</v>
      </c>
      <c r="N1203" s="79">
        <v>1</v>
      </c>
      <c r="O1203" s="79">
        <v>0</v>
      </c>
      <c r="P1203" s="107"/>
      <c r="R1203" s="79"/>
    </row>
    <row r="1204" spans="1:23" s="106" customFormat="1">
      <c r="A1204" s="79">
        <v>400441</v>
      </c>
      <c r="B1204" s="121">
        <f t="shared" si="77"/>
        <v>4004411</v>
      </c>
      <c r="C1204" s="79" t="s">
        <v>2008</v>
      </c>
      <c r="D1204" s="121">
        <f t="shared" si="78"/>
        <v>4004412</v>
      </c>
      <c r="E1204" s="79" t="s">
        <v>2009</v>
      </c>
      <c r="F1204" s="79">
        <v>5</v>
      </c>
      <c r="G1204" s="79">
        <v>4</v>
      </c>
      <c r="H1204" s="79" t="s">
        <v>497</v>
      </c>
      <c r="I1204" s="79"/>
      <c r="J1204" s="79"/>
      <c r="K1204" s="79">
        <v>5</v>
      </c>
      <c r="L1204" s="79">
        <v>4</v>
      </c>
      <c r="M1204" s="127" t="s">
        <v>2010</v>
      </c>
      <c r="N1204" s="79">
        <v>1</v>
      </c>
      <c r="O1204" s="79">
        <v>0</v>
      </c>
      <c r="P1204" s="107"/>
      <c r="R1204" s="79"/>
    </row>
    <row r="1205" spans="1:23" s="106" customFormat="1">
      <c r="A1205" s="79">
        <v>400442</v>
      </c>
      <c r="B1205" s="121">
        <f t="shared" si="77"/>
        <v>4004421</v>
      </c>
      <c r="C1205" s="79" t="s">
        <v>2011</v>
      </c>
      <c r="D1205" s="121">
        <f t="shared" si="78"/>
        <v>4004422</v>
      </c>
      <c r="E1205" s="79" t="s">
        <v>2012</v>
      </c>
      <c r="F1205" s="79">
        <v>5</v>
      </c>
      <c r="G1205" s="79">
        <v>4</v>
      </c>
      <c r="H1205" s="79" t="s">
        <v>497</v>
      </c>
      <c r="I1205" s="79"/>
      <c r="J1205" s="79"/>
      <c r="K1205" s="79">
        <v>5</v>
      </c>
      <c r="L1205" s="79">
        <v>4</v>
      </c>
      <c r="M1205" s="127" t="s">
        <v>2013</v>
      </c>
      <c r="N1205" s="79">
        <v>1</v>
      </c>
      <c r="O1205" s="79">
        <v>0</v>
      </c>
      <c r="P1205" s="107"/>
      <c r="R1205" s="79"/>
    </row>
    <row r="1206" spans="1:23" s="106" customFormat="1">
      <c r="A1206" s="79">
        <v>400443</v>
      </c>
      <c r="B1206" s="121">
        <f t="shared" si="77"/>
        <v>4004431</v>
      </c>
      <c r="C1206" s="79" t="s">
        <v>2014</v>
      </c>
      <c r="D1206" s="121">
        <f t="shared" si="78"/>
        <v>4004432</v>
      </c>
      <c r="E1206" s="79" t="s">
        <v>2015</v>
      </c>
      <c r="F1206" s="79">
        <v>5</v>
      </c>
      <c r="G1206" s="79">
        <v>4</v>
      </c>
      <c r="H1206" s="79" t="s">
        <v>497</v>
      </c>
      <c r="I1206" s="79"/>
      <c r="J1206" s="79"/>
      <c r="K1206" s="79">
        <v>5</v>
      </c>
      <c r="L1206" s="79">
        <v>4</v>
      </c>
      <c r="M1206" s="127" t="s">
        <v>2016</v>
      </c>
      <c r="N1206" s="79">
        <v>1</v>
      </c>
      <c r="O1206" s="79">
        <v>0</v>
      </c>
      <c r="P1206" s="107"/>
      <c r="R1206" s="79"/>
    </row>
    <row r="1207" spans="1:23" s="106" customFormat="1">
      <c r="A1207" s="79">
        <v>400444</v>
      </c>
      <c r="B1207" s="121">
        <f t="shared" si="77"/>
        <v>4004441</v>
      </c>
      <c r="C1207" s="79" t="s">
        <v>2008</v>
      </c>
      <c r="D1207" s="121">
        <f t="shared" si="78"/>
        <v>4004442</v>
      </c>
      <c r="E1207" s="79" t="s">
        <v>2017</v>
      </c>
      <c r="F1207" s="79">
        <v>5</v>
      </c>
      <c r="G1207" s="79">
        <v>4</v>
      </c>
      <c r="H1207" s="79" t="s">
        <v>497</v>
      </c>
      <c r="I1207" s="79"/>
      <c r="J1207" s="79"/>
      <c r="K1207" s="79">
        <v>6</v>
      </c>
      <c r="L1207" s="79">
        <v>4</v>
      </c>
      <c r="M1207" s="127" t="s">
        <v>2018</v>
      </c>
      <c r="N1207" s="79">
        <v>1</v>
      </c>
      <c r="O1207" s="79">
        <v>0</v>
      </c>
      <c r="P1207" s="107"/>
      <c r="R1207" s="79"/>
    </row>
    <row r="1208" spans="1:23" s="106" customFormat="1">
      <c r="A1208" s="79">
        <v>400445</v>
      </c>
      <c r="B1208" s="121">
        <f t="shared" si="77"/>
        <v>4004451</v>
      </c>
      <c r="C1208" s="79" t="s">
        <v>2011</v>
      </c>
      <c r="D1208" s="121">
        <f t="shared" si="78"/>
        <v>4004452</v>
      </c>
      <c r="E1208" s="79" t="s">
        <v>2019</v>
      </c>
      <c r="F1208" s="79">
        <v>5</v>
      </c>
      <c r="G1208" s="79">
        <v>4</v>
      </c>
      <c r="H1208" s="79" t="s">
        <v>497</v>
      </c>
      <c r="I1208" s="79"/>
      <c r="J1208" s="79"/>
      <c r="K1208" s="79">
        <v>6</v>
      </c>
      <c r="L1208" s="79">
        <v>4</v>
      </c>
      <c r="M1208" s="127" t="s">
        <v>2020</v>
      </c>
      <c r="N1208" s="79">
        <v>1</v>
      </c>
      <c r="O1208" s="79">
        <v>0</v>
      </c>
      <c r="P1208" s="107"/>
      <c r="R1208" s="79"/>
    </row>
    <row r="1209" spans="1:23" s="106" customFormat="1">
      <c r="A1209" s="79">
        <v>400446</v>
      </c>
      <c r="B1209" s="121">
        <f t="shared" si="77"/>
        <v>4004461</v>
      </c>
      <c r="C1209" s="79" t="s">
        <v>2014</v>
      </c>
      <c r="D1209" s="121">
        <f t="shared" si="78"/>
        <v>4004462</v>
      </c>
      <c r="E1209" s="79" t="s">
        <v>2021</v>
      </c>
      <c r="F1209" s="79">
        <v>5</v>
      </c>
      <c r="G1209" s="79">
        <v>4</v>
      </c>
      <c r="H1209" s="79" t="s">
        <v>497</v>
      </c>
      <c r="I1209" s="79"/>
      <c r="J1209" s="79"/>
      <c r="K1209" s="79">
        <v>6</v>
      </c>
      <c r="L1209" s="79">
        <v>4</v>
      </c>
      <c r="M1209" s="127" t="s">
        <v>2022</v>
      </c>
      <c r="N1209" s="79">
        <v>1</v>
      </c>
      <c r="O1209" s="79">
        <v>0</v>
      </c>
      <c r="P1209" s="107"/>
      <c r="R1209" s="79"/>
    </row>
    <row r="1210" spans="1:23" s="106" customFormat="1">
      <c r="A1210" s="79">
        <v>400447</v>
      </c>
      <c r="B1210" s="121">
        <f t="shared" si="77"/>
        <v>4004471</v>
      </c>
      <c r="C1210" s="79" t="s">
        <v>2008</v>
      </c>
      <c r="D1210" s="121">
        <f t="shared" si="78"/>
        <v>4004472</v>
      </c>
      <c r="E1210" s="79" t="s">
        <v>2023</v>
      </c>
      <c r="F1210" s="79">
        <v>5</v>
      </c>
      <c r="G1210" s="79">
        <v>4</v>
      </c>
      <c r="H1210" s="79" t="s">
        <v>497</v>
      </c>
      <c r="I1210" s="79"/>
      <c r="J1210" s="79"/>
      <c r="K1210" s="79">
        <v>7</v>
      </c>
      <c r="L1210" s="79">
        <v>4</v>
      </c>
      <c r="M1210" s="127" t="s">
        <v>2024</v>
      </c>
      <c r="N1210" s="79">
        <v>1</v>
      </c>
      <c r="O1210" s="79">
        <v>0</v>
      </c>
      <c r="P1210" s="107"/>
      <c r="R1210" s="79"/>
    </row>
    <row r="1211" spans="1:23" s="106" customFormat="1">
      <c r="A1211" s="79">
        <v>400448</v>
      </c>
      <c r="B1211" s="121">
        <f t="shared" si="77"/>
        <v>4004481</v>
      </c>
      <c r="C1211" s="79" t="s">
        <v>2011</v>
      </c>
      <c r="D1211" s="121">
        <f t="shared" si="78"/>
        <v>4004482</v>
      </c>
      <c r="E1211" s="79" t="s">
        <v>2025</v>
      </c>
      <c r="F1211" s="79">
        <v>5</v>
      </c>
      <c r="G1211" s="79">
        <v>4</v>
      </c>
      <c r="H1211" s="79" t="s">
        <v>497</v>
      </c>
      <c r="I1211" s="79"/>
      <c r="J1211" s="79"/>
      <c r="K1211" s="79">
        <v>7</v>
      </c>
      <c r="L1211" s="79">
        <v>4</v>
      </c>
      <c r="M1211" s="127" t="s">
        <v>2026</v>
      </c>
      <c r="N1211" s="79">
        <v>1</v>
      </c>
      <c r="O1211" s="79">
        <v>0</v>
      </c>
      <c r="P1211" s="107"/>
      <c r="R1211" s="79"/>
    </row>
    <row r="1212" spans="1:23" s="106" customFormat="1">
      <c r="A1212" s="79">
        <v>400449</v>
      </c>
      <c r="B1212" s="121">
        <f t="shared" si="77"/>
        <v>4004491</v>
      </c>
      <c r="C1212" s="79" t="s">
        <v>2014</v>
      </c>
      <c r="D1212" s="121">
        <f t="shared" si="78"/>
        <v>4004492</v>
      </c>
      <c r="E1212" s="79" t="s">
        <v>2027</v>
      </c>
      <c r="F1212" s="79">
        <v>5</v>
      </c>
      <c r="G1212" s="79">
        <v>4</v>
      </c>
      <c r="H1212" s="79" t="s">
        <v>497</v>
      </c>
      <c r="I1212" s="79"/>
      <c r="J1212" s="79"/>
      <c r="K1212" s="79">
        <v>7</v>
      </c>
      <c r="L1212" s="79">
        <v>4</v>
      </c>
      <c r="M1212" s="127" t="s">
        <v>2028</v>
      </c>
      <c r="N1212" s="79">
        <v>1</v>
      </c>
      <c r="O1212" s="79">
        <v>0</v>
      </c>
      <c r="P1212" s="107"/>
      <c r="R1212" s="79"/>
      <c r="S1212" s="92"/>
      <c r="T1212" s="92"/>
      <c r="U1212" s="92"/>
      <c r="V1212" s="92"/>
      <c r="W1212" s="92"/>
    </row>
    <row r="1213" spans="1:23" s="106" customFormat="1">
      <c r="A1213" s="79">
        <v>400451</v>
      </c>
      <c r="B1213" s="121">
        <f t="shared" si="77"/>
        <v>4004511</v>
      </c>
      <c r="C1213" s="79" t="s">
        <v>2029</v>
      </c>
      <c r="D1213" s="121">
        <f t="shared" si="78"/>
        <v>4004512</v>
      </c>
      <c r="E1213" s="79" t="s">
        <v>2030</v>
      </c>
      <c r="F1213" s="79">
        <v>5</v>
      </c>
      <c r="G1213" s="79">
        <v>4</v>
      </c>
      <c r="H1213" s="79" t="s">
        <v>503</v>
      </c>
      <c r="I1213" s="79"/>
      <c r="J1213" s="79"/>
      <c r="K1213" s="79">
        <v>5</v>
      </c>
      <c r="L1213" s="79">
        <v>4</v>
      </c>
      <c r="M1213" s="127" t="s">
        <v>2031</v>
      </c>
      <c r="N1213" s="79">
        <v>1</v>
      </c>
      <c r="O1213" s="79">
        <v>0</v>
      </c>
      <c r="P1213" s="107"/>
      <c r="R1213" s="79"/>
      <c r="S1213" s="92"/>
      <c r="T1213" s="92"/>
      <c r="U1213" s="92"/>
      <c r="V1213" s="92"/>
      <c r="W1213" s="92"/>
    </row>
    <row r="1214" spans="1:23" s="106" customFormat="1">
      <c r="A1214" s="79">
        <v>400452</v>
      </c>
      <c r="B1214" s="121">
        <f t="shared" si="77"/>
        <v>4004521</v>
      </c>
      <c r="C1214" s="79" t="s">
        <v>2032</v>
      </c>
      <c r="D1214" s="121">
        <f t="shared" si="78"/>
        <v>4004522</v>
      </c>
      <c r="E1214" s="79" t="s">
        <v>2033</v>
      </c>
      <c r="F1214" s="79">
        <v>5</v>
      </c>
      <c r="G1214" s="79">
        <v>4</v>
      </c>
      <c r="H1214" s="79" t="s">
        <v>503</v>
      </c>
      <c r="I1214" s="79"/>
      <c r="J1214" s="79"/>
      <c r="K1214" s="79">
        <v>5</v>
      </c>
      <c r="L1214" s="79">
        <v>4</v>
      </c>
      <c r="M1214" s="127" t="s">
        <v>2034</v>
      </c>
      <c r="N1214" s="79">
        <v>1</v>
      </c>
      <c r="O1214" s="79">
        <v>0</v>
      </c>
      <c r="P1214" s="107"/>
      <c r="R1214" s="79"/>
      <c r="S1214" s="92"/>
      <c r="T1214" s="92"/>
      <c r="U1214" s="92"/>
      <c r="V1214" s="92"/>
      <c r="W1214" s="92"/>
    </row>
    <row r="1215" spans="1:23" s="106" customFormat="1">
      <c r="A1215" s="79">
        <v>400453</v>
      </c>
      <c r="B1215" s="121">
        <f t="shared" si="77"/>
        <v>4004531</v>
      </c>
      <c r="C1215" s="79" t="s">
        <v>2035</v>
      </c>
      <c r="D1215" s="121">
        <f t="shared" si="78"/>
        <v>4004532</v>
      </c>
      <c r="E1215" s="79" t="s">
        <v>2036</v>
      </c>
      <c r="F1215" s="79">
        <v>5</v>
      </c>
      <c r="G1215" s="79">
        <v>4</v>
      </c>
      <c r="H1215" s="79" t="s">
        <v>503</v>
      </c>
      <c r="I1215" s="79"/>
      <c r="J1215" s="79"/>
      <c r="K1215" s="79">
        <v>5</v>
      </c>
      <c r="L1215" s="79">
        <v>4</v>
      </c>
      <c r="M1215" s="127" t="s">
        <v>2037</v>
      </c>
      <c r="N1215" s="79">
        <v>1</v>
      </c>
      <c r="O1215" s="79">
        <v>0</v>
      </c>
      <c r="P1215" s="107"/>
      <c r="R1215" s="79"/>
      <c r="S1215" s="92"/>
      <c r="T1215" s="92"/>
      <c r="U1215" s="92"/>
      <c r="V1215" s="92"/>
      <c r="W1215" s="92"/>
    </row>
    <row r="1216" spans="1:23" s="106" customFormat="1">
      <c r="A1216" s="79">
        <v>400454</v>
      </c>
      <c r="B1216" s="121">
        <f t="shared" si="77"/>
        <v>4004541</v>
      </c>
      <c r="C1216" s="79" t="s">
        <v>2029</v>
      </c>
      <c r="D1216" s="121">
        <f t="shared" si="78"/>
        <v>4004542</v>
      </c>
      <c r="E1216" s="79" t="s">
        <v>2038</v>
      </c>
      <c r="F1216" s="79">
        <v>5</v>
      </c>
      <c r="G1216" s="79">
        <v>4</v>
      </c>
      <c r="H1216" s="79" t="s">
        <v>503</v>
      </c>
      <c r="I1216" s="79"/>
      <c r="J1216" s="79"/>
      <c r="K1216" s="79">
        <v>6</v>
      </c>
      <c r="L1216" s="79">
        <v>4</v>
      </c>
      <c r="M1216" s="127" t="s">
        <v>2039</v>
      </c>
      <c r="N1216" s="79">
        <v>1</v>
      </c>
      <c r="O1216" s="79">
        <v>0</v>
      </c>
      <c r="P1216" s="107"/>
      <c r="R1216" s="79"/>
      <c r="S1216" s="92"/>
      <c r="T1216" s="92"/>
      <c r="U1216" s="92"/>
      <c r="V1216" s="92"/>
      <c r="W1216" s="92"/>
    </row>
    <row r="1217" spans="1:23" s="106" customFormat="1">
      <c r="A1217" s="79">
        <v>400455</v>
      </c>
      <c r="B1217" s="121">
        <f t="shared" si="77"/>
        <v>4004551</v>
      </c>
      <c r="C1217" s="79" t="s">
        <v>2032</v>
      </c>
      <c r="D1217" s="121">
        <f t="shared" si="78"/>
        <v>4004552</v>
      </c>
      <c r="E1217" s="79" t="s">
        <v>2040</v>
      </c>
      <c r="F1217" s="79">
        <v>5</v>
      </c>
      <c r="G1217" s="79">
        <v>4</v>
      </c>
      <c r="H1217" s="79" t="s">
        <v>503</v>
      </c>
      <c r="I1217" s="79"/>
      <c r="J1217" s="79"/>
      <c r="K1217" s="79">
        <v>6</v>
      </c>
      <c r="L1217" s="79">
        <v>4</v>
      </c>
      <c r="M1217" s="127" t="s">
        <v>2041</v>
      </c>
      <c r="N1217" s="79">
        <v>1</v>
      </c>
      <c r="O1217" s="79">
        <v>0</v>
      </c>
      <c r="P1217" s="107"/>
      <c r="R1217" s="79"/>
      <c r="S1217" s="92"/>
      <c r="T1217" s="92"/>
      <c r="U1217" s="92"/>
      <c r="V1217" s="92"/>
      <c r="W1217" s="92"/>
    </row>
    <row r="1218" spans="1:23" s="106" customFormat="1">
      <c r="A1218" s="79">
        <v>400456</v>
      </c>
      <c r="B1218" s="121">
        <f t="shared" si="77"/>
        <v>4004561</v>
      </c>
      <c r="C1218" s="79" t="s">
        <v>2035</v>
      </c>
      <c r="D1218" s="121">
        <f t="shared" si="78"/>
        <v>4004562</v>
      </c>
      <c r="E1218" s="79" t="s">
        <v>2042</v>
      </c>
      <c r="F1218" s="79">
        <v>5</v>
      </c>
      <c r="G1218" s="79">
        <v>4</v>
      </c>
      <c r="H1218" s="79" t="s">
        <v>503</v>
      </c>
      <c r="I1218" s="79"/>
      <c r="J1218" s="79"/>
      <c r="K1218" s="79">
        <v>6</v>
      </c>
      <c r="L1218" s="79">
        <v>4</v>
      </c>
      <c r="M1218" s="127" t="s">
        <v>2043</v>
      </c>
      <c r="N1218" s="79">
        <v>1</v>
      </c>
      <c r="O1218" s="79">
        <v>0</v>
      </c>
      <c r="P1218" s="107"/>
      <c r="R1218" s="79"/>
      <c r="S1218" s="92"/>
      <c r="T1218" s="92"/>
      <c r="U1218" s="92"/>
      <c r="V1218" s="92"/>
      <c r="W1218" s="92"/>
    </row>
    <row r="1219" spans="1:23" s="106" customFormat="1">
      <c r="A1219" s="79">
        <v>400457</v>
      </c>
      <c r="B1219" s="121">
        <f t="shared" si="77"/>
        <v>4004571</v>
      </c>
      <c r="C1219" s="79" t="s">
        <v>2029</v>
      </c>
      <c r="D1219" s="121">
        <f t="shared" si="78"/>
        <v>4004572</v>
      </c>
      <c r="E1219" s="79" t="s">
        <v>2044</v>
      </c>
      <c r="F1219" s="79">
        <v>5</v>
      </c>
      <c r="G1219" s="79">
        <v>4</v>
      </c>
      <c r="H1219" s="79" t="s">
        <v>503</v>
      </c>
      <c r="I1219" s="79"/>
      <c r="J1219" s="79"/>
      <c r="K1219" s="79">
        <v>7</v>
      </c>
      <c r="L1219" s="79">
        <v>4</v>
      </c>
      <c r="M1219" s="127" t="s">
        <v>2045</v>
      </c>
      <c r="N1219" s="79">
        <v>1</v>
      </c>
      <c r="O1219" s="79">
        <v>0</v>
      </c>
      <c r="P1219" s="107"/>
      <c r="R1219" s="79"/>
      <c r="S1219" s="92"/>
      <c r="T1219" s="92"/>
      <c r="U1219" s="92"/>
      <c r="V1219" s="92"/>
      <c r="W1219" s="92"/>
    </row>
    <row r="1220" spans="1:23" s="106" customFormat="1">
      <c r="A1220" s="79">
        <v>400458</v>
      </c>
      <c r="B1220" s="121">
        <f t="shared" si="77"/>
        <v>4004581</v>
      </c>
      <c r="C1220" s="79" t="s">
        <v>2032</v>
      </c>
      <c r="D1220" s="121">
        <f t="shared" si="78"/>
        <v>4004582</v>
      </c>
      <c r="E1220" s="79" t="s">
        <v>2046</v>
      </c>
      <c r="F1220" s="79">
        <v>5</v>
      </c>
      <c r="G1220" s="79">
        <v>4</v>
      </c>
      <c r="H1220" s="79" t="s">
        <v>503</v>
      </c>
      <c r="I1220" s="79"/>
      <c r="J1220" s="79"/>
      <c r="K1220" s="79">
        <v>7</v>
      </c>
      <c r="L1220" s="79">
        <v>4</v>
      </c>
      <c r="M1220" s="127" t="s">
        <v>2047</v>
      </c>
      <c r="N1220" s="79">
        <v>1</v>
      </c>
      <c r="O1220" s="79">
        <v>0</v>
      </c>
      <c r="P1220" s="107"/>
      <c r="R1220" s="79"/>
      <c r="S1220" s="92"/>
      <c r="T1220" s="92"/>
      <c r="U1220" s="92"/>
      <c r="V1220" s="92"/>
      <c r="W1220" s="92"/>
    </row>
    <row r="1221" spans="1:23" s="106" customFormat="1">
      <c r="A1221" s="79">
        <v>400459</v>
      </c>
      <c r="B1221" s="121">
        <f t="shared" si="77"/>
        <v>4004591</v>
      </c>
      <c r="C1221" s="79" t="s">
        <v>2035</v>
      </c>
      <c r="D1221" s="121">
        <f t="shared" si="78"/>
        <v>4004592</v>
      </c>
      <c r="E1221" s="79" t="s">
        <v>2048</v>
      </c>
      <c r="F1221" s="79">
        <v>5</v>
      </c>
      <c r="G1221" s="79">
        <v>4</v>
      </c>
      <c r="H1221" s="79" t="s">
        <v>503</v>
      </c>
      <c r="I1221" s="79"/>
      <c r="J1221" s="79"/>
      <c r="K1221" s="79">
        <v>7</v>
      </c>
      <c r="L1221" s="79">
        <v>4</v>
      </c>
      <c r="M1221" s="127" t="s">
        <v>2049</v>
      </c>
      <c r="N1221" s="79">
        <v>1</v>
      </c>
      <c r="O1221" s="79">
        <v>0</v>
      </c>
      <c r="P1221" s="107"/>
      <c r="R1221" s="79"/>
      <c r="S1221" s="92"/>
      <c r="T1221" s="92"/>
      <c r="U1221" s="92"/>
      <c r="V1221" s="92"/>
      <c r="W1221" s="92"/>
    </row>
    <row r="1222" spans="1:23" s="106" customFormat="1">
      <c r="A1222" s="79">
        <v>400461</v>
      </c>
      <c r="B1222" s="121">
        <f t="shared" si="77"/>
        <v>4004611</v>
      </c>
      <c r="C1222" s="79" t="s">
        <v>2050</v>
      </c>
      <c r="D1222" s="121">
        <f t="shared" si="78"/>
        <v>4004612</v>
      </c>
      <c r="E1222" s="79" t="s">
        <v>2051</v>
      </c>
      <c r="F1222" s="79">
        <v>5</v>
      </c>
      <c r="G1222" s="79">
        <v>4</v>
      </c>
      <c r="H1222" s="79" t="s">
        <v>508</v>
      </c>
      <c r="I1222" s="79"/>
      <c r="J1222" s="79"/>
      <c r="K1222" s="79">
        <v>5</v>
      </c>
      <c r="L1222" s="79">
        <v>4</v>
      </c>
      <c r="M1222" s="127" t="s">
        <v>2052</v>
      </c>
      <c r="N1222" s="79">
        <v>1</v>
      </c>
      <c r="O1222" s="79">
        <v>0</v>
      </c>
      <c r="P1222" s="107"/>
      <c r="R1222" s="79"/>
    </row>
    <row r="1223" spans="1:23" s="106" customFormat="1">
      <c r="A1223" s="79">
        <v>400462</v>
      </c>
      <c r="B1223" s="121">
        <f t="shared" si="77"/>
        <v>4004621</v>
      </c>
      <c r="C1223" s="79" t="s">
        <v>2053</v>
      </c>
      <c r="D1223" s="121">
        <f t="shared" si="78"/>
        <v>4004622</v>
      </c>
      <c r="E1223" s="79" t="s">
        <v>2054</v>
      </c>
      <c r="F1223" s="79">
        <v>5</v>
      </c>
      <c r="G1223" s="79">
        <v>4</v>
      </c>
      <c r="H1223" s="79" t="s">
        <v>508</v>
      </c>
      <c r="I1223" s="79"/>
      <c r="J1223" s="79"/>
      <c r="K1223" s="79">
        <v>5</v>
      </c>
      <c r="L1223" s="79">
        <v>4</v>
      </c>
      <c r="M1223" s="127" t="s">
        <v>2055</v>
      </c>
      <c r="N1223" s="79">
        <v>1</v>
      </c>
      <c r="O1223" s="79">
        <v>0</v>
      </c>
      <c r="P1223" s="107"/>
      <c r="R1223" s="79"/>
    </row>
    <row r="1224" spans="1:23" s="106" customFormat="1">
      <c r="A1224" s="79">
        <v>400463</v>
      </c>
      <c r="B1224" s="121">
        <f t="shared" si="77"/>
        <v>4004631</v>
      </c>
      <c r="C1224" s="79" t="s">
        <v>2056</v>
      </c>
      <c r="D1224" s="121">
        <f t="shared" si="78"/>
        <v>4004632</v>
      </c>
      <c r="E1224" s="79" t="s">
        <v>2057</v>
      </c>
      <c r="F1224" s="79">
        <v>5</v>
      </c>
      <c r="G1224" s="79">
        <v>4</v>
      </c>
      <c r="H1224" s="79" t="s">
        <v>508</v>
      </c>
      <c r="I1224" s="79"/>
      <c r="J1224" s="79"/>
      <c r="K1224" s="79">
        <v>5</v>
      </c>
      <c r="L1224" s="79">
        <v>4</v>
      </c>
      <c r="M1224" s="127" t="s">
        <v>2058</v>
      </c>
      <c r="N1224" s="79">
        <v>1</v>
      </c>
      <c r="O1224" s="79">
        <v>0</v>
      </c>
      <c r="P1224" s="107"/>
      <c r="R1224" s="79"/>
    </row>
    <row r="1225" spans="1:23" s="106" customFormat="1">
      <c r="A1225" s="79">
        <v>400464</v>
      </c>
      <c r="B1225" s="121">
        <f t="shared" si="77"/>
        <v>4004641</v>
      </c>
      <c r="C1225" s="79" t="s">
        <v>2050</v>
      </c>
      <c r="D1225" s="121">
        <f t="shared" si="78"/>
        <v>4004642</v>
      </c>
      <c r="E1225" s="79" t="s">
        <v>2059</v>
      </c>
      <c r="F1225" s="79">
        <v>5</v>
      </c>
      <c r="G1225" s="79">
        <v>4</v>
      </c>
      <c r="H1225" s="79" t="s">
        <v>508</v>
      </c>
      <c r="I1225" s="79"/>
      <c r="J1225" s="79"/>
      <c r="K1225" s="79">
        <v>6</v>
      </c>
      <c r="L1225" s="79">
        <v>4</v>
      </c>
      <c r="M1225" s="127" t="s">
        <v>2060</v>
      </c>
      <c r="N1225" s="79">
        <v>1</v>
      </c>
      <c r="O1225" s="79">
        <v>0</v>
      </c>
      <c r="P1225" s="107"/>
      <c r="R1225" s="79"/>
    </row>
    <row r="1226" spans="1:23" s="106" customFormat="1">
      <c r="A1226" s="79">
        <v>400465</v>
      </c>
      <c r="B1226" s="121">
        <f t="shared" si="77"/>
        <v>4004651</v>
      </c>
      <c r="C1226" s="79" t="s">
        <v>2053</v>
      </c>
      <c r="D1226" s="121">
        <f t="shared" si="78"/>
        <v>4004652</v>
      </c>
      <c r="E1226" s="79" t="s">
        <v>2061</v>
      </c>
      <c r="F1226" s="79">
        <v>5</v>
      </c>
      <c r="G1226" s="79">
        <v>4</v>
      </c>
      <c r="H1226" s="79" t="s">
        <v>508</v>
      </c>
      <c r="I1226" s="79"/>
      <c r="J1226" s="79"/>
      <c r="K1226" s="79">
        <v>6</v>
      </c>
      <c r="L1226" s="79">
        <v>4</v>
      </c>
      <c r="M1226" s="127" t="s">
        <v>2062</v>
      </c>
      <c r="N1226" s="79">
        <v>1</v>
      </c>
      <c r="O1226" s="79">
        <v>0</v>
      </c>
      <c r="P1226" s="107"/>
      <c r="R1226" s="79"/>
    </row>
    <row r="1227" spans="1:23" s="106" customFormat="1">
      <c r="A1227" s="79">
        <v>400466</v>
      </c>
      <c r="B1227" s="121">
        <f t="shared" si="77"/>
        <v>4004661</v>
      </c>
      <c r="C1227" s="79" t="s">
        <v>2056</v>
      </c>
      <c r="D1227" s="121">
        <f t="shared" si="78"/>
        <v>4004662</v>
      </c>
      <c r="E1227" s="79" t="s">
        <v>2063</v>
      </c>
      <c r="F1227" s="79">
        <v>5</v>
      </c>
      <c r="G1227" s="79">
        <v>4</v>
      </c>
      <c r="H1227" s="79" t="s">
        <v>508</v>
      </c>
      <c r="I1227" s="79"/>
      <c r="J1227" s="79"/>
      <c r="K1227" s="79">
        <v>6</v>
      </c>
      <c r="L1227" s="79">
        <v>4</v>
      </c>
      <c r="M1227" s="127" t="s">
        <v>2064</v>
      </c>
      <c r="N1227" s="79">
        <v>1</v>
      </c>
      <c r="O1227" s="79">
        <v>0</v>
      </c>
      <c r="P1227" s="107"/>
      <c r="R1227" s="79"/>
    </row>
    <row r="1228" spans="1:23" s="106" customFormat="1">
      <c r="A1228" s="79">
        <v>400467</v>
      </c>
      <c r="B1228" s="121">
        <f t="shared" si="77"/>
        <v>4004671</v>
      </c>
      <c r="C1228" s="79" t="s">
        <v>2050</v>
      </c>
      <c r="D1228" s="121">
        <f t="shared" si="78"/>
        <v>4004672</v>
      </c>
      <c r="E1228" s="79" t="s">
        <v>2065</v>
      </c>
      <c r="F1228" s="79">
        <v>5</v>
      </c>
      <c r="G1228" s="79">
        <v>4</v>
      </c>
      <c r="H1228" s="79" t="s">
        <v>508</v>
      </c>
      <c r="I1228" s="79"/>
      <c r="J1228" s="79"/>
      <c r="K1228" s="79">
        <v>7</v>
      </c>
      <c r="L1228" s="79">
        <v>4</v>
      </c>
      <c r="M1228" s="127" t="s">
        <v>2066</v>
      </c>
      <c r="N1228" s="79">
        <v>1</v>
      </c>
      <c r="O1228" s="79">
        <v>0</v>
      </c>
      <c r="P1228" s="107"/>
      <c r="R1228" s="79"/>
    </row>
    <row r="1229" spans="1:23" s="106" customFormat="1">
      <c r="A1229" s="79">
        <v>400468</v>
      </c>
      <c r="B1229" s="121">
        <f t="shared" si="77"/>
        <v>4004681</v>
      </c>
      <c r="C1229" s="79" t="s">
        <v>2053</v>
      </c>
      <c r="D1229" s="121">
        <f t="shared" si="78"/>
        <v>4004682</v>
      </c>
      <c r="E1229" s="79" t="s">
        <v>2067</v>
      </c>
      <c r="F1229" s="79">
        <v>5</v>
      </c>
      <c r="G1229" s="79">
        <v>4</v>
      </c>
      <c r="H1229" s="79" t="s">
        <v>508</v>
      </c>
      <c r="I1229" s="79"/>
      <c r="J1229" s="79"/>
      <c r="K1229" s="79">
        <v>7</v>
      </c>
      <c r="L1229" s="79">
        <v>4</v>
      </c>
      <c r="M1229" s="127" t="s">
        <v>2068</v>
      </c>
      <c r="N1229" s="79">
        <v>1</v>
      </c>
      <c r="O1229" s="79">
        <v>0</v>
      </c>
      <c r="P1229" s="107"/>
      <c r="R1229" s="79"/>
    </row>
    <row r="1230" spans="1:23" s="106" customFormat="1">
      <c r="A1230" s="79">
        <v>400469</v>
      </c>
      <c r="B1230" s="121">
        <f t="shared" si="77"/>
        <v>4004691</v>
      </c>
      <c r="C1230" s="79" t="s">
        <v>2056</v>
      </c>
      <c r="D1230" s="121">
        <f t="shared" si="78"/>
        <v>4004692</v>
      </c>
      <c r="E1230" s="79" t="s">
        <v>2069</v>
      </c>
      <c r="F1230" s="79">
        <v>5</v>
      </c>
      <c r="G1230" s="79">
        <v>4</v>
      </c>
      <c r="H1230" s="79" t="s">
        <v>508</v>
      </c>
      <c r="I1230" s="79"/>
      <c r="J1230" s="79"/>
      <c r="K1230" s="79">
        <v>7</v>
      </c>
      <c r="L1230" s="79">
        <v>4</v>
      </c>
      <c r="M1230" s="127" t="s">
        <v>2070</v>
      </c>
      <c r="N1230" s="79">
        <v>1</v>
      </c>
      <c r="O1230" s="79">
        <v>0</v>
      </c>
      <c r="P1230" s="107"/>
      <c r="R1230" s="79"/>
    </row>
    <row r="1231" spans="1:23" s="106" customFormat="1">
      <c r="A1231" s="79">
        <v>400481</v>
      </c>
      <c r="B1231" s="121">
        <f t="shared" si="77"/>
        <v>4004811</v>
      </c>
      <c r="C1231" s="79" t="s">
        <v>1495</v>
      </c>
      <c r="D1231" s="121">
        <f t="shared" si="78"/>
        <v>4004812</v>
      </c>
      <c r="E1231" s="79" t="s">
        <v>2071</v>
      </c>
      <c r="F1231" s="79">
        <v>5</v>
      </c>
      <c r="G1231" s="79">
        <v>1</v>
      </c>
      <c r="H1231" s="79" t="s">
        <v>310</v>
      </c>
      <c r="I1231" s="79"/>
      <c r="J1231" s="79"/>
      <c r="K1231" s="79">
        <v>4</v>
      </c>
      <c r="L1231" s="79">
        <v>4</v>
      </c>
      <c r="M1231" s="127" t="s">
        <v>2072</v>
      </c>
      <c r="N1231" s="79">
        <v>1</v>
      </c>
      <c r="O1231" s="79">
        <v>0</v>
      </c>
      <c r="P1231" s="107"/>
      <c r="R1231" s="79"/>
    </row>
    <row r="1232" spans="1:23" s="106" customFormat="1">
      <c r="A1232" s="79">
        <v>400482</v>
      </c>
      <c r="B1232" s="121">
        <f t="shared" si="77"/>
        <v>4004821</v>
      </c>
      <c r="C1232" s="79" t="s">
        <v>2073</v>
      </c>
      <c r="D1232" s="121">
        <f t="shared" si="78"/>
        <v>4004822</v>
      </c>
      <c r="E1232" s="79" t="s">
        <v>2074</v>
      </c>
      <c r="F1232" s="79">
        <v>5</v>
      </c>
      <c r="G1232" s="79">
        <v>1</v>
      </c>
      <c r="H1232" s="79" t="s">
        <v>310</v>
      </c>
      <c r="I1232" s="79"/>
      <c r="J1232" s="79"/>
      <c r="K1232" s="79">
        <v>4</v>
      </c>
      <c r="L1232" s="79">
        <v>4</v>
      </c>
      <c r="M1232" s="127" t="s">
        <v>2075</v>
      </c>
      <c r="N1232" s="79">
        <v>1</v>
      </c>
      <c r="O1232" s="79">
        <v>0</v>
      </c>
      <c r="P1232" s="107"/>
      <c r="R1232" s="79"/>
    </row>
    <row r="1233" spans="1:18" s="106" customFormat="1">
      <c r="A1233" s="79">
        <v>400483</v>
      </c>
      <c r="B1233" s="121">
        <f t="shared" si="77"/>
        <v>4004831</v>
      </c>
      <c r="C1233" s="79" t="s">
        <v>2073</v>
      </c>
      <c r="D1233" s="121">
        <f t="shared" si="78"/>
        <v>4004832</v>
      </c>
      <c r="E1233" s="79" t="s">
        <v>2076</v>
      </c>
      <c r="F1233" s="79">
        <v>5</v>
      </c>
      <c r="G1233" s="79">
        <v>1</v>
      </c>
      <c r="H1233" s="79" t="s">
        <v>310</v>
      </c>
      <c r="I1233" s="79"/>
      <c r="J1233" s="79"/>
      <c r="K1233" s="79">
        <v>5</v>
      </c>
      <c r="L1233" s="79">
        <v>4</v>
      </c>
      <c r="M1233" s="127" t="s">
        <v>2077</v>
      </c>
      <c r="N1233" s="79">
        <v>1</v>
      </c>
      <c r="O1233" s="79">
        <v>0</v>
      </c>
      <c r="P1233" s="107"/>
      <c r="R1233" s="79"/>
    </row>
    <row r="1234" spans="1:18" s="106" customFormat="1">
      <c r="A1234" s="79">
        <v>400811</v>
      </c>
      <c r="B1234" s="121">
        <f t="shared" si="77"/>
        <v>4008111</v>
      </c>
      <c r="C1234" s="79" t="s">
        <v>2078</v>
      </c>
      <c r="D1234" s="121">
        <f t="shared" si="78"/>
        <v>4008112</v>
      </c>
      <c r="E1234" s="79" t="s">
        <v>2079</v>
      </c>
      <c r="F1234" s="79">
        <v>5</v>
      </c>
      <c r="G1234" s="79">
        <v>4</v>
      </c>
      <c r="H1234" s="92" t="s">
        <v>573</v>
      </c>
      <c r="I1234" s="79"/>
      <c r="J1234" s="79"/>
      <c r="K1234" s="79">
        <v>5</v>
      </c>
      <c r="L1234" s="79">
        <v>4</v>
      </c>
      <c r="M1234" s="127" t="s">
        <v>2080</v>
      </c>
      <c r="N1234" s="79">
        <v>1</v>
      </c>
      <c r="O1234" s="79">
        <v>0</v>
      </c>
      <c r="P1234" s="107"/>
      <c r="R1234" s="79"/>
    </row>
    <row r="1235" spans="1:18" s="106" customFormat="1">
      <c r="A1235" s="79">
        <v>400812</v>
      </c>
      <c r="B1235" s="121">
        <f t="shared" si="77"/>
        <v>4008121</v>
      </c>
      <c r="C1235" s="79" t="s">
        <v>2081</v>
      </c>
      <c r="D1235" s="121">
        <f t="shared" si="78"/>
        <v>4008122</v>
      </c>
      <c r="E1235" s="79" t="s">
        <v>2082</v>
      </c>
      <c r="F1235" s="79">
        <v>5</v>
      </c>
      <c r="G1235" s="79">
        <v>4</v>
      </c>
      <c r="H1235" s="92" t="s">
        <v>573</v>
      </c>
      <c r="I1235" s="79"/>
      <c r="J1235" s="79"/>
      <c r="K1235" s="79">
        <v>5</v>
      </c>
      <c r="L1235" s="79">
        <v>4</v>
      </c>
      <c r="M1235" s="127" t="s">
        <v>2083</v>
      </c>
      <c r="N1235" s="79">
        <v>1</v>
      </c>
      <c r="O1235" s="79">
        <v>0</v>
      </c>
      <c r="P1235" s="107"/>
      <c r="R1235" s="79"/>
    </row>
    <row r="1236" spans="1:18" s="106" customFormat="1">
      <c r="A1236" s="79">
        <v>400813</v>
      </c>
      <c r="B1236" s="121">
        <f t="shared" ref="B1236:B1271" si="79">A1236*10+1</f>
        <v>4008131</v>
      </c>
      <c r="C1236" s="79" t="s">
        <v>2084</v>
      </c>
      <c r="D1236" s="121">
        <f t="shared" ref="D1236:D1261" si="80">A1236*10+2</f>
        <v>4008132</v>
      </c>
      <c r="E1236" s="79" t="s">
        <v>2085</v>
      </c>
      <c r="F1236" s="79">
        <v>5</v>
      </c>
      <c r="G1236" s="79">
        <v>4</v>
      </c>
      <c r="H1236" s="92" t="s">
        <v>573</v>
      </c>
      <c r="I1236" s="79"/>
      <c r="J1236" s="79"/>
      <c r="K1236" s="79">
        <v>5</v>
      </c>
      <c r="L1236" s="79">
        <v>4</v>
      </c>
      <c r="M1236" s="127" t="s">
        <v>2086</v>
      </c>
      <c r="N1236" s="79">
        <v>1</v>
      </c>
      <c r="O1236" s="79">
        <v>0</v>
      </c>
      <c r="P1236" s="107"/>
      <c r="R1236" s="79"/>
    </row>
    <row r="1237" spans="1:18" s="106" customFormat="1">
      <c r="A1237" s="79">
        <v>400814</v>
      </c>
      <c r="B1237" s="121">
        <f t="shared" si="79"/>
        <v>4008141</v>
      </c>
      <c r="C1237" s="79" t="s">
        <v>2078</v>
      </c>
      <c r="D1237" s="121">
        <f t="shared" si="80"/>
        <v>4008142</v>
      </c>
      <c r="E1237" s="79" t="s">
        <v>2087</v>
      </c>
      <c r="F1237" s="79">
        <v>5</v>
      </c>
      <c r="G1237" s="79">
        <v>4</v>
      </c>
      <c r="H1237" s="92" t="s">
        <v>573</v>
      </c>
      <c r="I1237" s="79"/>
      <c r="J1237" s="79"/>
      <c r="K1237" s="79">
        <v>6</v>
      </c>
      <c r="L1237" s="79">
        <v>4</v>
      </c>
      <c r="M1237" s="127" t="s">
        <v>2088</v>
      </c>
      <c r="N1237" s="79">
        <v>1</v>
      </c>
      <c r="O1237" s="79">
        <v>0</v>
      </c>
      <c r="P1237" s="107"/>
      <c r="R1237" s="79"/>
    </row>
    <row r="1238" spans="1:18" s="106" customFormat="1">
      <c r="A1238" s="79">
        <v>400815</v>
      </c>
      <c r="B1238" s="121">
        <f t="shared" si="79"/>
        <v>4008151</v>
      </c>
      <c r="C1238" s="79" t="s">
        <v>2081</v>
      </c>
      <c r="D1238" s="121">
        <f t="shared" si="80"/>
        <v>4008152</v>
      </c>
      <c r="E1238" s="79" t="s">
        <v>2089</v>
      </c>
      <c r="F1238" s="79">
        <v>5</v>
      </c>
      <c r="G1238" s="79">
        <v>4</v>
      </c>
      <c r="H1238" s="92" t="s">
        <v>573</v>
      </c>
      <c r="I1238" s="79"/>
      <c r="J1238" s="79"/>
      <c r="K1238" s="79">
        <v>6</v>
      </c>
      <c r="L1238" s="79">
        <v>4</v>
      </c>
      <c r="M1238" s="127" t="s">
        <v>2090</v>
      </c>
      <c r="N1238" s="79">
        <v>1</v>
      </c>
      <c r="O1238" s="79">
        <v>0</v>
      </c>
      <c r="P1238" s="107"/>
      <c r="R1238" s="79"/>
    </row>
    <row r="1239" spans="1:18" s="106" customFormat="1">
      <c r="A1239" s="79">
        <v>400816</v>
      </c>
      <c r="B1239" s="121">
        <f t="shared" si="79"/>
        <v>4008161</v>
      </c>
      <c r="C1239" s="79" t="s">
        <v>2084</v>
      </c>
      <c r="D1239" s="121">
        <f t="shared" si="80"/>
        <v>4008162</v>
      </c>
      <c r="E1239" s="79" t="s">
        <v>2091</v>
      </c>
      <c r="F1239" s="79">
        <v>5</v>
      </c>
      <c r="G1239" s="79">
        <v>4</v>
      </c>
      <c r="H1239" s="92" t="s">
        <v>573</v>
      </c>
      <c r="I1239" s="79"/>
      <c r="J1239" s="79"/>
      <c r="K1239" s="79">
        <v>6</v>
      </c>
      <c r="L1239" s="79">
        <v>4</v>
      </c>
      <c r="M1239" s="127" t="s">
        <v>2092</v>
      </c>
      <c r="N1239" s="79">
        <v>1</v>
      </c>
      <c r="O1239" s="79">
        <v>0</v>
      </c>
      <c r="P1239" s="107"/>
      <c r="R1239" s="79"/>
    </row>
    <row r="1240" spans="1:18" s="106" customFormat="1">
      <c r="A1240" s="79">
        <v>400817</v>
      </c>
      <c r="B1240" s="121">
        <f t="shared" si="79"/>
        <v>4008171</v>
      </c>
      <c r="C1240" s="79" t="s">
        <v>2078</v>
      </c>
      <c r="D1240" s="121">
        <f t="shared" si="80"/>
        <v>4008172</v>
      </c>
      <c r="E1240" s="79" t="s">
        <v>2093</v>
      </c>
      <c r="F1240" s="79">
        <v>5</v>
      </c>
      <c r="G1240" s="79">
        <v>4</v>
      </c>
      <c r="H1240" s="92" t="s">
        <v>576</v>
      </c>
      <c r="I1240" s="79"/>
      <c r="J1240" s="79"/>
      <c r="K1240" s="79">
        <v>7</v>
      </c>
      <c r="L1240" s="79">
        <v>4</v>
      </c>
      <c r="M1240" s="127" t="s">
        <v>2094</v>
      </c>
      <c r="N1240" s="79">
        <v>1</v>
      </c>
      <c r="O1240" s="79">
        <v>0</v>
      </c>
      <c r="P1240" s="107"/>
      <c r="R1240" s="79"/>
    </row>
    <row r="1241" spans="1:18" s="106" customFormat="1">
      <c r="A1241" s="79">
        <v>400818</v>
      </c>
      <c r="B1241" s="121">
        <f t="shared" si="79"/>
        <v>4008181</v>
      </c>
      <c r="C1241" s="79" t="s">
        <v>2081</v>
      </c>
      <c r="D1241" s="121">
        <f t="shared" si="80"/>
        <v>4008182</v>
      </c>
      <c r="E1241" s="79" t="s">
        <v>2095</v>
      </c>
      <c r="F1241" s="79">
        <v>5</v>
      </c>
      <c r="G1241" s="79">
        <v>4</v>
      </c>
      <c r="H1241" s="92" t="s">
        <v>576</v>
      </c>
      <c r="I1241" s="79"/>
      <c r="J1241" s="79"/>
      <c r="K1241" s="79">
        <v>7</v>
      </c>
      <c r="L1241" s="79">
        <v>4</v>
      </c>
      <c r="M1241" s="127" t="s">
        <v>2096</v>
      </c>
      <c r="N1241" s="79">
        <v>1</v>
      </c>
      <c r="O1241" s="79">
        <v>0</v>
      </c>
      <c r="P1241" s="107"/>
      <c r="R1241" s="79"/>
    </row>
    <row r="1242" spans="1:18" s="106" customFormat="1">
      <c r="A1242" s="79">
        <v>400819</v>
      </c>
      <c r="B1242" s="121">
        <f t="shared" si="79"/>
        <v>4008191</v>
      </c>
      <c r="C1242" s="79" t="s">
        <v>2084</v>
      </c>
      <c r="D1242" s="121">
        <f t="shared" si="80"/>
        <v>4008192</v>
      </c>
      <c r="E1242" s="79" t="s">
        <v>2097</v>
      </c>
      <c r="F1242" s="79">
        <v>5</v>
      </c>
      <c r="G1242" s="79">
        <v>4</v>
      </c>
      <c r="H1242" s="92" t="s">
        <v>576</v>
      </c>
      <c r="I1242" s="79"/>
      <c r="J1242" s="79"/>
      <c r="K1242" s="79">
        <v>7</v>
      </c>
      <c r="L1242" s="79">
        <v>4</v>
      </c>
      <c r="M1242" s="127" t="s">
        <v>2098</v>
      </c>
      <c r="N1242" s="79">
        <v>1</v>
      </c>
      <c r="O1242" s="79">
        <v>0</v>
      </c>
      <c r="P1242" s="107"/>
      <c r="R1242" s="79"/>
    </row>
    <row r="1243" spans="1:18" s="106" customFormat="1">
      <c r="A1243" s="79">
        <v>400820</v>
      </c>
      <c r="B1243" s="121">
        <f t="shared" si="79"/>
        <v>4008201</v>
      </c>
      <c r="C1243" s="79" t="s">
        <v>2099</v>
      </c>
      <c r="D1243" s="121">
        <f t="shared" si="80"/>
        <v>4008202</v>
      </c>
      <c r="E1243" s="79" t="s">
        <v>2100</v>
      </c>
      <c r="F1243" s="79">
        <v>5</v>
      </c>
      <c r="G1243" s="79">
        <v>4</v>
      </c>
      <c r="H1243" s="92" t="s">
        <v>573</v>
      </c>
      <c r="I1243" s="79"/>
      <c r="J1243" s="79"/>
      <c r="K1243" s="79">
        <v>5</v>
      </c>
      <c r="L1243" s="79">
        <v>4</v>
      </c>
      <c r="M1243" s="127" t="s">
        <v>2101</v>
      </c>
      <c r="N1243" s="79">
        <v>1</v>
      </c>
      <c r="O1243" s="79">
        <v>0</v>
      </c>
      <c r="P1243" s="107"/>
      <c r="R1243" s="79"/>
    </row>
    <row r="1244" spans="1:18" s="106" customFormat="1">
      <c r="A1244" s="79">
        <v>400831</v>
      </c>
      <c r="B1244" s="121">
        <f t="shared" si="79"/>
        <v>4008311</v>
      </c>
      <c r="C1244" s="79" t="s">
        <v>2102</v>
      </c>
      <c r="D1244" s="121">
        <f t="shared" si="80"/>
        <v>4008312</v>
      </c>
      <c r="E1244" s="79" t="s">
        <v>2103</v>
      </c>
      <c r="F1244" s="79">
        <v>5</v>
      </c>
      <c r="G1244" s="79">
        <v>4</v>
      </c>
      <c r="H1244" s="92" t="s">
        <v>584</v>
      </c>
      <c r="I1244" s="79"/>
      <c r="J1244" s="79"/>
      <c r="K1244" s="79">
        <v>5</v>
      </c>
      <c r="L1244" s="79">
        <v>4</v>
      </c>
      <c r="M1244" s="127" t="s">
        <v>2104</v>
      </c>
      <c r="N1244" s="79">
        <v>1</v>
      </c>
      <c r="O1244" s="79">
        <v>0</v>
      </c>
      <c r="P1244" s="107"/>
      <c r="Q1244" s="92"/>
      <c r="R1244" s="79"/>
    </row>
    <row r="1245" spans="1:18" s="106" customFormat="1">
      <c r="A1245" s="79">
        <v>400832</v>
      </c>
      <c r="B1245" s="121">
        <f t="shared" si="79"/>
        <v>4008321</v>
      </c>
      <c r="C1245" s="79" t="s">
        <v>2105</v>
      </c>
      <c r="D1245" s="121">
        <f t="shared" si="80"/>
        <v>4008322</v>
      </c>
      <c r="E1245" s="79" t="s">
        <v>2106</v>
      </c>
      <c r="F1245" s="79">
        <v>5</v>
      </c>
      <c r="G1245" s="79">
        <v>4</v>
      </c>
      <c r="H1245" s="92" t="s">
        <v>584</v>
      </c>
      <c r="I1245" s="79"/>
      <c r="J1245" s="79"/>
      <c r="K1245" s="79">
        <v>5</v>
      </c>
      <c r="L1245" s="79">
        <v>4</v>
      </c>
      <c r="M1245" s="127" t="s">
        <v>2107</v>
      </c>
      <c r="N1245" s="79">
        <v>1</v>
      </c>
      <c r="O1245" s="79">
        <v>0</v>
      </c>
      <c r="P1245" s="107"/>
      <c r="Q1245" s="92"/>
      <c r="R1245" s="79"/>
    </row>
    <row r="1246" spans="1:18" s="106" customFormat="1">
      <c r="A1246" s="79">
        <v>400833</v>
      </c>
      <c r="B1246" s="121">
        <f t="shared" si="79"/>
        <v>4008331</v>
      </c>
      <c r="C1246" s="79" t="s">
        <v>2108</v>
      </c>
      <c r="D1246" s="121">
        <f t="shared" si="80"/>
        <v>4008332</v>
      </c>
      <c r="E1246" s="79" t="s">
        <v>2109</v>
      </c>
      <c r="F1246" s="79">
        <v>5</v>
      </c>
      <c r="G1246" s="79">
        <v>4</v>
      </c>
      <c r="H1246" s="92" t="s">
        <v>584</v>
      </c>
      <c r="I1246" s="79"/>
      <c r="J1246" s="79"/>
      <c r="K1246" s="79">
        <v>5</v>
      </c>
      <c r="L1246" s="79">
        <v>4</v>
      </c>
      <c r="M1246" s="127" t="s">
        <v>2110</v>
      </c>
      <c r="N1246" s="79">
        <v>1</v>
      </c>
      <c r="O1246" s="79">
        <v>0</v>
      </c>
      <c r="P1246" s="107"/>
      <c r="Q1246" s="92"/>
      <c r="R1246" s="79"/>
    </row>
    <row r="1247" spans="1:18" s="106" customFormat="1">
      <c r="A1247" s="79">
        <v>400834</v>
      </c>
      <c r="B1247" s="121">
        <f t="shared" si="79"/>
        <v>4008341</v>
      </c>
      <c r="C1247" s="79" t="s">
        <v>2102</v>
      </c>
      <c r="D1247" s="121">
        <f t="shared" si="80"/>
        <v>4008342</v>
      </c>
      <c r="E1247" s="79" t="s">
        <v>2111</v>
      </c>
      <c r="F1247" s="79">
        <v>5</v>
      </c>
      <c r="G1247" s="79">
        <v>4</v>
      </c>
      <c r="H1247" s="92" t="s">
        <v>584</v>
      </c>
      <c r="I1247" s="79"/>
      <c r="J1247" s="79"/>
      <c r="K1247" s="79">
        <v>6</v>
      </c>
      <c r="L1247" s="79">
        <v>4</v>
      </c>
      <c r="M1247" s="127" t="s">
        <v>2112</v>
      </c>
      <c r="N1247" s="79">
        <v>1</v>
      </c>
      <c r="O1247" s="79">
        <v>0</v>
      </c>
      <c r="P1247" s="107"/>
      <c r="Q1247" s="92"/>
      <c r="R1247" s="79"/>
    </row>
    <row r="1248" spans="1:18" s="106" customFormat="1">
      <c r="A1248" s="79">
        <v>400835</v>
      </c>
      <c r="B1248" s="121">
        <f t="shared" si="79"/>
        <v>4008351</v>
      </c>
      <c r="C1248" s="79" t="s">
        <v>2105</v>
      </c>
      <c r="D1248" s="121">
        <f t="shared" si="80"/>
        <v>4008352</v>
      </c>
      <c r="E1248" s="79" t="s">
        <v>2113</v>
      </c>
      <c r="F1248" s="79">
        <v>5</v>
      </c>
      <c r="G1248" s="79">
        <v>4</v>
      </c>
      <c r="H1248" s="92" t="s">
        <v>584</v>
      </c>
      <c r="I1248" s="79"/>
      <c r="J1248" s="79"/>
      <c r="K1248" s="79">
        <v>6</v>
      </c>
      <c r="L1248" s="79">
        <v>4</v>
      </c>
      <c r="M1248" s="127" t="s">
        <v>2114</v>
      </c>
      <c r="N1248" s="79">
        <v>1</v>
      </c>
      <c r="O1248" s="79">
        <v>0</v>
      </c>
      <c r="P1248" s="107"/>
      <c r="Q1248" s="92"/>
      <c r="R1248" s="79"/>
    </row>
    <row r="1249" spans="1:18" s="106" customFormat="1">
      <c r="A1249" s="79">
        <v>400836</v>
      </c>
      <c r="B1249" s="121">
        <f t="shared" si="79"/>
        <v>4008361</v>
      </c>
      <c r="C1249" s="79" t="s">
        <v>2108</v>
      </c>
      <c r="D1249" s="121">
        <f t="shared" si="80"/>
        <v>4008362</v>
      </c>
      <c r="E1249" s="79" t="s">
        <v>2115</v>
      </c>
      <c r="F1249" s="79">
        <v>5</v>
      </c>
      <c r="G1249" s="79">
        <v>4</v>
      </c>
      <c r="H1249" s="92" t="s">
        <v>584</v>
      </c>
      <c r="I1249" s="79"/>
      <c r="J1249" s="79"/>
      <c r="K1249" s="79">
        <v>6</v>
      </c>
      <c r="L1249" s="79">
        <v>4</v>
      </c>
      <c r="M1249" s="127" t="s">
        <v>2116</v>
      </c>
      <c r="N1249" s="79">
        <v>1</v>
      </c>
      <c r="O1249" s="79">
        <v>0</v>
      </c>
      <c r="P1249" s="107"/>
      <c r="Q1249" s="93"/>
      <c r="R1249" s="79"/>
    </row>
    <row r="1250" spans="1:18" s="106" customFormat="1">
      <c r="A1250" s="79">
        <v>400837</v>
      </c>
      <c r="B1250" s="121">
        <f t="shared" si="79"/>
        <v>4008371</v>
      </c>
      <c r="C1250" s="79" t="s">
        <v>2102</v>
      </c>
      <c r="D1250" s="121">
        <f t="shared" si="80"/>
        <v>4008372</v>
      </c>
      <c r="E1250" s="79" t="s">
        <v>2117</v>
      </c>
      <c r="F1250" s="79">
        <v>5</v>
      </c>
      <c r="G1250" s="79">
        <v>4</v>
      </c>
      <c r="H1250" s="92" t="s">
        <v>584</v>
      </c>
      <c r="I1250" s="79"/>
      <c r="J1250" s="79"/>
      <c r="K1250" s="79">
        <v>7</v>
      </c>
      <c r="L1250" s="79">
        <v>4</v>
      </c>
      <c r="M1250" s="127" t="s">
        <v>2118</v>
      </c>
      <c r="N1250" s="79">
        <v>1</v>
      </c>
      <c r="O1250" s="79">
        <v>0</v>
      </c>
      <c r="P1250" s="107"/>
      <c r="Q1250" s="92"/>
      <c r="R1250" s="79"/>
    </row>
    <row r="1251" spans="1:18" s="106" customFormat="1">
      <c r="A1251" s="79">
        <v>400838</v>
      </c>
      <c r="B1251" s="121">
        <f t="shared" si="79"/>
        <v>4008381</v>
      </c>
      <c r="C1251" s="79" t="s">
        <v>2105</v>
      </c>
      <c r="D1251" s="121">
        <f t="shared" si="80"/>
        <v>4008382</v>
      </c>
      <c r="E1251" s="79" t="s">
        <v>2119</v>
      </c>
      <c r="F1251" s="79">
        <v>5</v>
      </c>
      <c r="G1251" s="79">
        <v>4</v>
      </c>
      <c r="H1251" s="92" t="s">
        <v>584</v>
      </c>
      <c r="I1251" s="79"/>
      <c r="J1251" s="79"/>
      <c r="K1251" s="79">
        <v>7</v>
      </c>
      <c r="L1251" s="79">
        <v>4</v>
      </c>
      <c r="M1251" s="127" t="s">
        <v>2120</v>
      </c>
      <c r="N1251" s="79">
        <v>1</v>
      </c>
      <c r="O1251" s="79">
        <v>0</v>
      </c>
      <c r="P1251" s="107"/>
      <c r="Q1251" s="92"/>
      <c r="R1251" s="79"/>
    </row>
    <row r="1252" spans="1:18" s="106" customFormat="1">
      <c r="A1252" s="79">
        <v>400839</v>
      </c>
      <c r="B1252" s="121">
        <f t="shared" si="79"/>
        <v>4008391</v>
      </c>
      <c r="C1252" s="79" t="s">
        <v>2108</v>
      </c>
      <c r="D1252" s="121">
        <f t="shared" si="80"/>
        <v>4008392</v>
      </c>
      <c r="E1252" s="79" t="s">
        <v>2121</v>
      </c>
      <c r="F1252" s="79">
        <v>5</v>
      </c>
      <c r="G1252" s="79">
        <v>4</v>
      </c>
      <c r="H1252" s="92" t="s">
        <v>584</v>
      </c>
      <c r="I1252" s="79"/>
      <c r="J1252" s="79"/>
      <c r="K1252" s="79">
        <v>7</v>
      </c>
      <c r="L1252" s="79">
        <v>4</v>
      </c>
      <c r="M1252" s="127" t="s">
        <v>2122</v>
      </c>
      <c r="N1252" s="79">
        <v>1</v>
      </c>
      <c r="O1252" s="79">
        <v>0</v>
      </c>
      <c r="P1252" s="107"/>
      <c r="Q1252" s="92"/>
      <c r="R1252" s="79"/>
    </row>
    <row r="1253" spans="1:18" s="106" customFormat="1">
      <c r="A1253" s="79">
        <v>400841</v>
      </c>
      <c r="B1253" s="121">
        <f t="shared" si="79"/>
        <v>4008411</v>
      </c>
      <c r="C1253" s="79" t="s">
        <v>2123</v>
      </c>
      <c r="D1253" s="121">
        <f t="shared" si="80"/>
        <v>4008412</v>
      </c>
      <c r="E1253" s="79" t="s">
        <v>2124</v>
      </c>
      <c r="F1253" s="79">
        <v>5</v>
      </c>
      <c r="G1253" s="79">
        <v>4</v>
      </c>
      <c r="H1253" s="92" t="s">
        <v>588</v>
      </c>
      <c r="I1253" s="79"/>
      <c r="J1253" s="79"/>
      <c r="K1253" s="79">
        <v>5</v>
      </c>
      <c r="L1253" s="79">
        <v>4</v>
      </c>
      <c r="M1253" s="127" t="s">
        <v>2125</v>
      </c>
      <c r="N1253" s="79">
        <v>1</v>
      </c>
      <c r="O1253" s="79">
        <v>0</v>
      </c>
      <c r="P1253" s="107"/>
      <c r="R1253" s="79"/>
    </row>
    <row r="1254" spans="1:18" s="106" customFormat="1">
      <c r="A1254" s="79">
        <v>400842</v>
      </c>
      <c r="B1254" s="121">
        <f t="shared" si="79"/>
        <v>4008421</v>
      </c>
      <c r="C1254" s="79" t="s">
        <v>2126</v>
      </c>
      <c r="D1254" s="121">
        <f t="shared" si="80"/>
        <v>4008422</v>
      </c>
      <c r="E1254" s="79" t="s">
        <v>2127</v>
      </c>
      <c r="F1254" s="79">
        <v>5</v>
      </c>
      <c r="G1254" s="79">
        <v>4</v>
      </c>
      <c r="H1254" s="92" t="s">
        <v>588</v>
      </c>
      <c r="I1254" s="79"/>
      <c r="J1254" s="79"/>
      <c r="K1254" s="79">
        <v>5</v>
      </c>
      <c r="L1254" s="79">
        <v>4</v>
      </c>
      <c r="M1254" s="127" t="s">
        <v>2128</v>
      </c>
      <c r="N1254" s="79">
        <v>1</v>
      </c>
      <c r="O1254" s="79">
        <v>0</v>
      </c>
      <c r="P1254" s="107"/>
      <c r="R1254" s="79"/>
    </row>
    <row r="1255" spans="1:18" s="106" customFormat="1">
      <c r="A1255" s="79">
        <v>400843</v>
      </c>
      <c r="B1255" s="121">
        <f t="shared" si="79"/>
        <v>4008431</v>
      </c>
      <c r="C1255" s="79" t="s">
        <v>2129</v>
      </c>
      <c r="D1255" s="121">
        <f t="shared" si="80"/>
        <v>4008432</v>
      </c>
      <c r="E1255" s="79" t="s">
        <v>2130</v>
      </c>
      <c r="F1255" s="79">
        <v>5</v>
      </c>
      <c r="G1255" s="79">
        <v>4</v>
      </c>
      <c r="H1255" s="92" t="s">
        <v>588</v>
      </c>
      <c r="I1255" s="79"/>
      <c r="J1255" s="79"/>
      <c r="K1255" s="79">
        <v>5</v>
      </c>
      <c r="L1255" s="79">
        <v>4</v>
      </c>
      <c r="M1255" s="127" t="s">
        <v>2131</v>
      </c>
      <c r="N1255" s="79">
        <v>1</v>
      </c>
      <c r="O1255" s="79">
        <v>0</v>
      </c>
      <c r="P1255" s="107"/>
      <c r="R1255" s="79"/>
    </row>
    <row r="1256" spans="1:18" s="106" customFormat="1">
      <c r="A1256" s="79">
        <v>400844</v>
      </c>
      <c r="B1256" s="121">
        <f t="shared" si="79"/>
        <v>4008441</v>
      </c>
      <c r="C1256" s="79" t="s">
        <v>2123</v>
      </c>
      <c r="D1256" s="121">
        <f t="shared" si="80"/>
        <v>4008442</v>
      </c>
      <c r="E1256" s="79" t="s">
        <v>2132</v>
      </c>
      <c r="F1256" s="79">
        <v>5</v>
      </c>
      <c r="G1256" s="79">
        <v>4</v>
      </c>
      <c r="H1256" s="92" t="s">
        <v>589</v>
      </c>
      <c r="I1256" s="79"/>
      <c r="J1256" s="79"/>
      <c r="K1256" s="79">
        <v>6</v>
      </c>
      <c r="L1256" s="79">
        <v>4</v>
      </c>
      <c r="M1256" s="127" t="s">
        <v>2133</v>
      </c>
      <c r="N1256" s="79">
        <v>1</v>
      </c>
      <c r="O1256" s="79">
        <v>0</v>
      </c>
      <c r="P1256" s="107"/>
      <c r="R1256" s="79"/>
    </row>
    <row r="1257" spans="1:18" s="106" customFormat="1">
      <c r="A1257" s="79">
        <v>400845</v>
      </c>
      <c r="B1257" s="121">
        <f t="shared" si="79"/>
        <v>4008451</v>
      </c>
      <c r="C1257" s="79" t="s">
        <v>2126</v>
      </c>
      <c r="D1257" s="121">
        <f t="shared" si="80"/>
        <v>4008452</v>
      </c>
      <c r="E1257" s="79" t="s">
        <v>2134</v>
      </c>
      <c r="F1257" s="79">
        <v>5</v>
      </c>
      <c r="G1257" s="79">
        <v>4</v>
      </c>
      <c r="H1257" s="92" t="s">
        <v>589</v>
      </c>
      <c r="I1257" s="79"/>
      <c r="J1257" s="79"/>
      <c r="K1257" s="79">
        <v>6</v>
      </c>
      <c r="L1257" s="79">
        <v>4</v>
      </c>
      <c r="M1257" s="127" t="s">
        <v>2135</v>
      </c>
      <c r="N1257" s="79">
        <v>1</v>
      </c>
      <c r="O1257" s="79">
        <v>0</v>
      </c>
      <c r="P1257" s="107"/>
      <c r="R1257" s="79"/>
    </row>
    <row r="1258" spans="1:18" s="106" customFormat="1">
      <c r="A1258" s="79">
        <v>400846</v>
      </c>
      <c r="B1258" s="121">
        <f t="shared" si="79"/>
        <v>4008461</v>
      </c>
      <c r="C1258" s="79" t="s">
        <v>2129</v>
      </c>
      <c r="D1258" s="121">
        <f t="shared" si="80"/>
        <v>4008462</v>
      </c>
      <c r="E1258" s="79" t="s">
        <v>2136</v>
      </c>
      <c r="F1258" s="79">
        <v>5</v>
      </c>
      <c r="G1258" s="79">
        <v>4</v>
      </c>
      <c r="H1258" s="92" t="s">
        <v>589</v>
      </c>
      <c r="I1258" s="79"/>
      <c r="J1258" s="79"/>
      <c r="K1258" s="79">
        <v>6</v>
      </c>
      <c r="L1258" s="79">
        <v>4</v>
      </c>
      <c r="M1258" s="127" t="s">
        <v>2137</v>
      </c>
      <c r="N1258" s="79">
        <v>1</v>
      </c>
      <c r="O1258" s="79">
        <v>0</v>
      </c>
      <c r="P1258" s="107"/>
      <c r="R1258" s="79"/>
    </row>
    <row r="1259" spans="1:18" s="106" customFormat="1">
      <c r="A1259" s="79">
        <v>400847</v>
      </c>
      <c r="B1259" s="121">
        <f t="shared" si="79"/>
        <v>4008471</v>
      </c>
      <c r="C1259" s="79" t="s">
        <v>2123</v>
      </c>
      <c r="D1259" s="121">
        <f t="shared" si="80"/>
        <v>4008472</v>
      </c>
      <c r="E1259" s="79" t="s">
        <v>2138</v>
      </c>
      <c r="F1259" s="79">
        <v>5</v>
      </c>
      <c r="G1259" s="79">
        <v>4</v>
      </c>
      <c r="H1259" s="92" t="s">
        <v>590</v>
      </c>
      <c r="I1259" s="79"/>
      <c r="J1259" s="79"/>
      <c r="K1259" s="79">
        <v>7</v>
      </c>
      <c r="L1259" s="79">
        <v>4</v>
      </c>
      <c r="M1259" s="127" t="s">
        <v>2139</v>
      </c>
      <c r="N1259" s="79">
        <v>1</v>
      </c>
      <c r="O1259" s="79">
        <v>0</v>
      </c>
      <c r="P1259" s="107"/>
      <c r="R1259" s="79"/>
    </row>
    <row r="1260" spans="1:18" s="106" customFormat="1">
      <c r="A1260" s="79">
        <v>400848</v>
      </c>
      <c r="B1260" s="121">
        <f t="shared" si="79"/>
        <v>4008481</v>
      </c>
      <c r="C1260" s="79" t="s">
        <v>2126</v>
      </c>
      <c r="D1260" s="121">
        <f t="shared" si="80"/>
        <v>4008482</v>
      </c>
      <c r="E1260" s="79" t="s">
        <v>2140</v>
      </c>
      <c r="F1260" s="79">
        <v>5</v>
      </c>
      <c r="G1260" s="79">
        <v>4</v>
      </c>
      <c r="H1260" s="92" t="s">
        <v>590</v>
      </c>
      <c r="I1260" s="79"/>
      <c r="J1260" s="79"/>
      <c r="K1260" s="79">
        <v>7</v>
      </c>
      <c r="L1260" s="79">
        <v>4</v>
      </c>
      <c r="M1260" s="127" t="s">
        <v>2141</v>
      </c>
      <c r="N1260" s="79">
        <v>1</v>
      </c>
      <c r="O1260" s="79">
        <v>0</v>
      </c>
      <c r="P1260" s="107"/>
      <c r="R1260" s="140"/>
    </row>
    <row r="1261" spans="1:18" s="106" customFormat="1">
      <c r="A1261" s="79">
        <v>400849</v>
      </c>
      <c r="B1261" s="121">
        <f t="shared" si="79"/>
        <v>4008491</v>
      </c>
      <c r="C1261" s="79" t="s">
        <v>2129</v>
      </c>
      <c r="D1261" s="121">
        <f t="shared" si="80"/>
        <v>4008492</v>
      </c>
      <c r="E1261" s="79" t="s">
        <v>2142</v>
      </c>
      <c r="F1261" s="79">
        <v>5</v>
      </c>
      <c r="G1261" s="79">
        <v>4</v>
      </c>
      <c r="H1261" s="92" t="s">
        <v>590</v>
      </c>
      <c r="I1261" s="79"/>
      <c r="J1261" s="79"/>
      <c r="K1261" s="79">
        <v>7</v>
      </c>
      <c r="L1261" s="79">
        <v>4</v>
      </c>
      <c r="M1261" s="127" t="s">
        <v>2143</v>
      </c>
      <c r="N1261" s="79">
        <v>1</v>
      </c>
      <c r="O1261" s="79">
        <v>0</v>
      </c>
      <c r="P1261" s="107"/>
      <c r="R1261" s="121"/>
    </row>
    <row r="1262" spans="1:18" s="94" customFormat="1">
      <c r="A1262" s="93">
        <v>400851</v>
      </c>
      <c r="B1262" s="141">
        <f t="shared" si="79"/>
        <v>4008511</v>
      </c>
      <c r="C1262" s="93" t="s">
        <v>2144</v>
      </c>
      <c r="D1262" s="141">
        <v>4008512</v>
      </c>
      <c r="E1262" s="93" t="s">
        <v>2145</v>
      </c>
      <c r="F1262" s="93">
        <v>5</v>
      </c>
      <c r="G1262" s="93">
        <v>4</v>
      </c>
      <c r="H1262" s="93" t="s">
        <v>444</v>
      </c>
      <c r="I1262" s="93"/>
      <c r="J1262" s="93"/>
      <c r="K1262" s="93">
        <v>5</v>
      </c>
      <c r="L1262" s="93">
        <v>4</v>
      </c>
      <c r="M1262" s="117" t="s">
        <v>2146</v>
      </c>
      <c r="N1262" s="93">
        <v>1</v>
      </c>
      <c r="O1262" s="93">
        <v>0</v>
      </c>
      <c r="P1262" s="98"/>
      <c r="R1262" s="141"/>
    </row>
    <row r="1263" spans="1:18" s="94" customFormat="1">
      <c r="A1263" s="93">
        <v>400852</v>
      </c>
      <c r="B1263" s="141">
        <f t="shared" si="79"/>
        <v>4008521</v>
      </c>
      <c r="C1263" s="93" t="s">
        <v>2147</v>
      </c>
      <c r="D1263" s="141">
        <v>4008522</v>
      </c>
      <c r="E1263" s="93" t="s">
        <v>2148</v>
      </c>
      <c r="F1263" s="93">
        <v>5</v>
      </c>
      <c r="G1263" s="93">
        <v>4</v>
      </c>
      <c r="H1263" s="93" t="s">
        <v>444</v>
      </c>
      <c r="I1263" s="93"/>
      <c r="J1263" s="93"/>
      <c r="K1263" s="93">
        <v>5</v>
      </c>
      <c r="L1263" s="93">
        <v>4</v>
      </c>
      <c r="M1263" s="117" t="s">
        <v>2149</v>
      </c>
      <c r="N1263" s="93">
        <v>1</v>
      </c>
      <c r="O1263" s="93">
        <v>0</v>
      </c>
      <c r="P1263" s="98"/>
      <c r="R1263" s="141"/>
    </row>
    <row r="1264" spans="1:18" s="94" customFormat="1">
      <c r="A1264" s="93">
        <v>400853</v>
      </c>
      <c r="B1264" s="141">
        <f t="shared" si="79"/>
        <v>4008531</v>
      </c>
      <c r="C1264" s="93" t="s">
        <v>2150</v>
      </c>
      <c r="D1264" s="141">
        <v>4008532</v>
      </c>
      <c r="E1264" s="93" t="s">
        <v>2151</v>
      </c>
      <c r="F1264" s="93">
        <v>5</v>
      </c>
      <c r="G1264" s="93">
        <v>4</v>
      </c>
      <c r="H1264" s="93" t="s">
        <v>444</v>
      </c>
      <c r="I1264" s="93"/>
      <c r="J1264" s="93"/>
      <c r="K1264" s="93">
        <v>5</v>
      </c>
      <c r="L1264" s="93">
        <v>4</v>
      </c>
      <c r="M1264" s="117" t="s">
        <v>2152</v>
      </c>
      <c r="N1264" s="93">
        <v>1</v>
      </c>
      <c r="O1264" s="93">
        <v>0</v>
      </c>
      <c r="P1264" s="98"/>
      <c r="R1264" s="141"/>
    </row>
    <row r="1265" spans="1:18" s="94" customFormat="1">
      <c r="A1265" s="93">
        <v>400854</v>
      </c>
      <c r="B1265" s="141">
        <f t="shared" si="79"/>
        <v>4008541</v>
      </c>
      <c r="C1265" s="93" t="s">
        <v>2144</v>
      </c>
      <c r="D1265" s="141">
        <v>4008542</v>
      </c>
      <c r="E1265" s="93" t="s">
        <v>2153</v>
      </c>
      <c r="F1265" s="93">
        <v>5</v>
      </c>
      <c r="G1265" s="93">
        <v>4</v>
      </c>
      <c r="H1265" s="93" t="s">
        <v>2154</v>
      </c>
      <c r="I1265" s="93"/>
      <c r="J1265" s="93"/>
      <c r="K1265" s="93">
        <v>6</v>
      </c>
      <c r="L1265" s="93">
        <v>4</v>
      </c>
      <c r="M1265" s="117" t="s">
        <v>2155</v>
      </c>
      <c r="N1265" s="93">
        <v>1</v>
      </c>
      <c r="O1265" s="93">
        <v>0</v>
      </c>
      <c r="P1265" s="98"/>
      <c r="R1265" s="141"/>
    </row>
    <row r="1266" spans="1:18" s="94" customFormat="1">
      <c r="A1266" s="93">
        <v>400855</v>
      </c>
      <c r="B1266" s="141">
        <f t="shared" si="79"/>
        <v>4008551</v>
      </c>
      <c r="C1266" s="93" t="s">
        <v>2147</v>
      </c>
      <c r="D1266" s="141">
        <v>4008552</v>
      </c>
      <c r="E1266" s="93" t="s">
        <v>2156</v>
      </c>
      <c r="F1266" s="93">
        <v>5</v>
      </c>
      <c r="G1266" s="93">
        <v>4</v>
      </c>
      <c r="H1266" s="93" t="s">
        <v>2154</v>
      </c>
      <c r="I1266" s="93"/>
      <c r="J1266" s="93"/>
      <c r="K1266" s="93">
        <v>6</v>
      </c>
      <c r="L1266" s="93">
        <v>4</v>
      </c>
      <c r="M1266" s="117" t="s">
        <v>2157</v>
      </c>
      <c r="N1266" s="93">
        <v>1</v>
      </c>
      <c r="O1266" s="93">
        <v>0</v>
      </c>
      <c r="P1266" s="98"/>
      <c r="R1266" s="141"/>
    </row>
    <row r="1267" spans="1:18" s="94" customFormat="1">
      <c r="A1267" s="93">
        <v>400856</v>
      </c>
      <c r="B1267" s="141">
        <f t="shared" si="79"/>
        <v>4008561</v>
      </c>
      <c r="C1267" s="93" t="s">
        <v>2150</v>
      </c>
      <c r="D1267" s="141">
        <v>4008562</v>
      </c>
      <c r="E1267" s="93" t="s">
        <v>2158</v>
      </c>
      <c r="F1267" s="93">
        <v>5</v>
      </c>
      <c r="G1267" s="93">
        <v>4</v>
      </c>
      <c r="H1267" s="93" t="s">
        <v>2154</v>
      </c>
      <c r="I1267" s="93"/>
      <c r="J1267" s="93"/>
      <c r="K1267" s="93">
        <v>6</v>
      </c>
      <c r="L1267" s="93">
        <v>4</v>
      </c>
      <c r="M1267" s="117" t="s">
        <v>2159</v>
      </c>
      <c r="N1267" s="93">
        <v>1</v>
      </c>
      <c r="O1267" s="93">
        <v>0</v>
      </c>
      <c r="P1267" s="98"/>
      <c r="R1267" s="141"/>
    </row>
    <row r="1268" spans="1:18" s="94" customFormat="1">
      <c r="A1268" s="93">
        <v>400857</v>
      </c>
      <c r="B1268" s="141">
        <f t="shared" si="79"/>
        <v>4008571</v>
      </c>
      <c r="C1268" s="93" t="s">
        <v>2144</v>
      </c>
      <c r="D1268" s="141">
        <v>4008572</v>
      </c>
      <c r="E1268" s="93" t="s">
        <v>2160</v>
      </c>
      <c r="F1268" s="93">
        <v>5</v>
      </c>
      <c r="G1268" s="93">
        <v>4</v>
      </c>
      <c r="H1268" s="93" t="s">
        <v>2161</v>
      </c>
      <c r="I1268" s="93"/>
      <c r="J1268" s="93"/>
      <c r="K1268" s="93">
        <v>7</v>
      </c>
      <c r="L1268" s="93">
        <v>4</v>
      </c>
      <c r="M1268" s="117" t="s">
        <v>2162</v>
      </c>
      <c r="N1268" s="93">
        <v>1</v>
      </c>
      <c r="O1268" s="93">
        <v>0</v>
      </c>
      <c r="P1268" s="98"/>
      <c r="R1268" s="141"/>
    </row>
    <row r="1269" spans="1:18" s="94" customFormat="1">
      <c r="A1269" s="93">
        <v>400858</v>
      </c>
      <c r="B1269" s="141">
        <f t="shared" si="79"/>
        <v>4008581</v>
      </c>
      <c r="C1269" s="93" t="s">
        <v>2147</v>
      </c>
      <c r="D1269" s="141">
        <v>4008582</v>
      </c>
      <c r="E1269" s="93" t="s">
        <v>2163</v>
      </c>
      <c r="F1269" s="93">
        <v>5</v>
      </c>
      <c r="G1269" s="93">
        <v>4</v>
      </c>
      <c r="H1269" s="93" t="s">
        <v>2161</v>
      </c>
      <c r="I1269" s="93"/>
      <c r="J1269" s="93"/>
      <c r="K1269" s="93">
        <v>7</v>
      </c>
      <c r="L1269" s="93">
        <v>4</v>
      </c>
      <c r="M1269" s="117" t="s">
        <v>2164</v>
      </c>
      <c r="N1269" s="93">
        <v>1</v>
      </c>
      <c r="O1269" s="93">
        <v>0</v>
      </c>
      <c r="P1269" s="98"/>
      <c r="R1269" s="141"/>
    </row>
    <row r="1270" spans="1:18" s="94" customFormat="1">
      <c r="A1270" s="93">
        <v>400859</v>
      </c>
      <c r="B1270" s="141">
        <f t="shared" si="79"/>
        <v>4008591</v>
      </c>
      <c r="C1270" s="93" t="s">
        <v>2150</v>
      </c>
      <c r="D1270" s="141">
        <v>4008592</v>
      </c>
      <c r="E1270" s="93" t="s">
        <v>2165</v>
      </c>
      <c r="F1270" s="93">
        <v>5</v>
      </c>
      <c r="G1270" s="93">
        <v>4</v>
      </c>
      <c r="H1270" s="93" t="s">
        <v>2161</v>
      </c>
      <c r="I1270" s="93"/>
      <c r="J1270" s="93"/>
      <c r="K1270" s="93">
        <v>7</v>
      </c>
      <c r="L1270" s="93">
        <v>4</v>
      </c>
      <c r="M1270" s="117" t="s">
        <v>2166</v>
      </c>
      <c r="N1270" s="93">
        <v>1</v>
      </c>
      <c r="O1270" s="93">
        <v>0</v>
      </c>
      <c r="P1270" s="98"/>
      <c r="R1270" s="141"/>
    </row>
    <row r="1271" spans="1:18" s="94" customFormat="1">
      <c r="A1271" s="78">
        <v>400861</v>
      </c>
      <c r="B1271" s="93">
        <f t="shared" si="79"/>
        <v>4008611</v>
      </c>
      <c r="C1271" s="93" t="s">
        <v>2167</v>
      </c>
      <c r="D1271" s="93">
        <f t="shared" ref="D1271" si="81">A1271*10+2</f>
        <v>4008612</v>
      </c>
      <c r="E1271" s="93" t="s">
        <v>2168</v>
      </c>
      <c r="F1271" s="93">
        <v>5</v>
      </c>
      <c r="G1271" s="93">
        <v>4</v>
      </c>
      <c r="H1271" s="78" t="s">
        <v>764</v>
      </c>
      <c r="I1271" s="78"/>
      <c r="J1271" s="78"/>
      <c r="K1271" s="93">
        <v>5</v>
      </c>
      <c r="L1271" s="93">
        <v>4</v>
      </c>
      <c r="M1271" s="117" t="s">
        <v>2169</v>
      </c>
      <c r="N1271" s="93">
        <v>1</v>
      </c>
      <c r="O1271" s="93">
        <v>0</v>
      </c>
      <c r="P1271" s="98"/>
      <c r="R1271" s="141"/>
    </row>
    <row r="1272" spans="1:18" s="94" customFormat="1">
      <c r="A1272" s="78">
        <v>400862</v>
      </c>
      <c r="B1272" s="93">
        <f t="shared" ref="B1272" si="82">A1272*10+1</f>
        <v>4008621</v>
      </c>
      <c r="C1272" s="93" t="s">
        <v>2170</v>
      </c>
      <c r="D1272" s="93">
        <f t="shared" ref="D1272" si="83">A1272*10+2</f>
        <v>4008622</v>
      </c>
      <c r="E1272" s="93" t="s">
        <v>2171</v>
      </c>
      <c r="F1272" s="93">
        <v>5</v>
      </c>
      <c r="G1272" s="93">
        <v>4</v>
      </c>
      <c r="H1272" s="78" t="s">
        <v>764</v>
      </c>
      <c r="I1272" s="78"/>
      <c r="J1272" s="78"/>
      <c r="K1272" s="93">
        <v>5</v>
      </c>
      <c r="L1272" s="93">
        <v>4</v>
      </c>
      <c r="M1272" s="117" t="s">
        <v>2172</v>
      </c>
      <c r="N1272" s="93">
        <v>1</v>
      </c>
      <c r="O1272" s="93">
        <v>0</v>
      </c>
      <c r="P1272" s="98"/>
      <c r="R1272" s="141"/>
    </row>
    <row r="1273" spans="1:18" s="94" customFormat="1">
      <c r="A1273" s="78">
        <v>400863</v>
      </c>
      <c r="B1273" s="93">
        <f t="shared" ref="B1273" si="84">A1273*10+1</f>
        <v>4008631</v>
      </c>
      <c r="C1273" s="93" t="s">
        <v>2173</v>
      </c>
      <c r="D1273" s="93">
        <f t="shared" ref="D1273" si="85">A1273*10+2</f>
        <v>4008632</v>
      </c>
      <c r="E1273" s="93" t="s">
        <v>2174</v>
      </c>
      <c r="F1273" s="93">
        <v>5</v>
      </c>
      <c r="G1273" s="93">
        <v>4</v>
      </c>
      <c r="H1273" s="78" t="s">
        <v>764</v>
      </c>
      <c r="I1273" s="78"/>
      <c r="J1273" s="78"/>
      <c r="K1273" s="93">
        <v>5</v>
      </c>
      <c r="L1273" s="93">
        <v>4</v>
      </c>
      <c r="M1273" s="117" t="s">
        <v>2175</v>
      </c>
      <c r="N1273" s="93">
        <v>1</v>
      </c>
      <c r="O1273" s="93">
        <v>0</v>
      </c>
      <c r="P1273" s="98"/>
      <c r="R1273" s="141"/>
    </row>
    <row r="1274" spans="1:18" s="94" customFormat="1">
      <c r="A1274" s="78">
        <v>400864</v>
      </c>
      <c r="B1274" s="93">
        <f t="shared" ref="B1274:B1292" si="86">A1274*10+1</f>
        <v>4008641</v>
      </c>
      <c r="C1274" s="93" t="s">
        <v>2167</v>
      </c>
      <c r="D1274" s="93">
        <f t="shared" ref="D1274:D1292" si="87">A1274*10+2</f>
        <v>4008642</v>
      </c>
      <c r="E1274" s="93" t="s">
        <v>2176</v>
      </c>
      <c r="F1274" s="93">
        <v>5</v>
      </c>
      <c r="G1274" s="93">
        <v>4</v>
      </c>
      <c r="H1274" s="78" t="s">
        <v>766</v>
      </c>
      <c r="I1274" s="78"/>
      <c r="J1274" s="78"/>
      <c r="K1274" s="93">
        <v>6</v>
      </c>
      <c r="L1274" s="93">
        <v>4</v>
      </c>
      <c r="M1274" s="117" t="s">
        <v>2177</v>
      </c>
      <c r="N1274" s="93">
        <v>1</v>
      </c>
      <c r="O1274" s="93">
        <v>0</v>
      </c>
      <c r="P1274" s="98"/>
      <c r="R1274" s="141"/>
    </row>
    <row r="1275" spans="1:18" s="94" customFormat="1">
      <c r="A1275" s="78">
        <v>400865</v>
      </c>
      <c r="B1275" s="93">
        <f t="shared" si="86"/>
        <v>4008651</v>
      </c>
      <c r="C1275" s="93" t="s">
        <v>2170</v>
      </c>
      <c r="D1275" s="93">
        <f t="shared" si="87"/>
        <v>4008652</v>
      </c>
      <c r="E1275" s="93" t="s">
        <v>2178</v>
      </c>
      <c r="F1275" s="93">
        <v>5</v>
      </c>
      <c r="G1275" s="93">
        <v>4</v>
      </c>
      <c r="H1275" s="78" t="s">
        <v>766</v>
      </c>
      <c r="I1275" s="78"/>
      <c r="J1275" s="78"/>
      <c r="K1275" s="93">
        <v>6</v>
      </c>
      <c r="L1275" s="93">
        <v>4</v>
      </c>
      <c r="M1275" s="117" t="s">
        <v>2179</v>
      </c>
      <c r="N1275" s="93">
        <v>1</v>
      </c>
      <c r="O1275" s="93">
        <v>0</v>
      </c>
      <c r="P1275" s="98"/>
      <c r="R1275" s="141"/>
    </row>
    <row r="1276" spans="1:18" s="94" customFormat="1">
      <c r="A1276" s="78">
        <v>400866</v>
      </c>
      <c r="B1276" s="93">
        <f t="shared" si="86"/>
        <v>4008661</v>
      </c>
      <c r="C1276" s="93" t="s">
        <v>2173</v>
      </c>
      <c r="D1276" s="93">
        <f t="shared" si="87"/>
        <v>4008662</v>
      </c>
      <c r="E1276" s="93" t="s">
        <v>2180</v>
      </c>
      <c r="F1276" s="93">
        <v>5</v>
      </c>
      <c r="G1276" s="93">
        <v>4</v>
      </c>
      <c r="H1276" s="78" t="s">
        <v>766</v>
      </c>
      <c r="I1276" s="78"/>
      <c r="J1276" s="78"/>
      <c r="K1276" s="93">
        <v>6</v>
      </c>
      <c r="L1276" s="93">
        <v>4</v>
      </c>
      <c r="M1276" s="117" t="s">
        <v>2181</v>
      </c>
      <c r="N1276" s="93">
        <v>1</v>
      </c>
      <c r="O1276" s="93">
        <v>0</v>
      </c>
      <c r="P1276" s="98"/>
      <c r="R1276" s="141"/>
    </row>
    <row r="1277" spans="1:18" s="94" customFormat="1">
      <c r="A1277" s="78">
        <v>400867</v>
      </c>
      <c r="B1277" s="93">
        <f t="shared" si="86"/>
        <v>4008671</v>
      </c>
      <c r="C1277" s="93" t="s">
        <v>2167</v>
      </c>
      <c r="D1277" s="93">
        <f t="shared" si="87"/>
        <v>4008672</v>
      </c>
      <c r="E1277" s="93" t="s">
        <v>2182</v>
      </c>
      <c r="F1277" s="93">
        <v>5</v>
      </c>
      <c r="G1277" s="93">
        <v>4</v>
      </c>
      <c r="H1277" s="78" t="s">
        <v>768</v>
      </c>
      <c r="I1277" s="78"/>
      <c r="J1277" s="78"/>
      <c r="K1277" s="93">
        <v>7</v>
      </c>
      <c r="L1277" s="93">
        <v>4</v>
      </c>
      <c r="M1277" s="117" t="s">
        <v>2183</v>
      </c>
      <c r="N1277" s="93">
        <v>1</v>
      </c>
      <c r="O1277" s="93">
        <v>0</v>
      </c>
      <c r="P1277" s="98"/>
      <c r="R1277" s="141"/>
    </row>
    <row r="1278" spans="1:18" s="94" customFormat="1">
      <c r="A1278" s="78">
        <v>400868</v>
      </c>
      <c r="B1278" s="93">
        <f t="shared" si="86"/>
        <v>4008681</v>
      </c>
      <c r="C1278" s="93" t="s">
        <v>2170</v>
      </c>
      <c r="D1278" s="93">
        <f t="shared" si="87"/>
        <v>4008682</v>
      </c>
      <c r="E1278" s="93" t="s">
        <v>2184</v>
      </c>
      <c r="F1278" s="93">
        <v>5</v>
      </c>
      <c r="G1278" s="93">
        <v>4</v>
      </c>
      <c r="H1278" s="78" t="s">
        <v>768</v>
      </c>
      <c r="I1278" s="78"/>
      <c r="J1278" s="78"/>
      <c r="K1278" s="93">
        <v>7</v>
      </c>
      <c r="L1278" s="93">
        <v>4</v>
      </c>
      <c r="M1278" s="117" t="s">
        <v>2185</v>
      </c>
      <c r="N1278" s="93">
        <v>1</v>
      </c>
      <c r="O1278" s="93">
        <v>0</v>
      </c>
      <c r="P1278" s="98"/>
      <c r="R1278" s="141"/>
    </row>
    <row r="1279" spans="1:18" s="94" customFormat="1">
      <c r="A1279" s="78">
        <v>400869</v>
      </c>
      <c r="B1279" s="93">
        <f t="shared" si="86"/>
        <v>4008691</v>
      </c>
      <c r="C1279" s="93" t="s">
        <v>2173</v>
      </c>
      <c r="D1279" s="93">
        <f t="shared" si="87"/>
        <v>4008692</v>
      </c>
      <c r="E1279" s="93" t="s">
        <v>2186</v>
      </c>
      <c r="F1279" s="93">
        <v>5</v>
      </c>
      <c r="G1279" s="93">
        <v>4</v>
      </c>
      <c r="H1279" s="78" t="s">
        <v>768</v>
      </c>
      <c r="I1279" s="78"/>
      <c r="J1279" s="78"/>
      <c r="K1279" s="93">
        <v>7</v>
      </c>
      <c r="L1279" s="93">
        <v>4</v>
      </c>
      <c r="M1279" s="117" t="s">
        <v>2187</v>
      </c>
      <c r="N1279" s="93">
        <v>1</v>
      </c>
      <c r="O1279" s="93">
        <v>0</v>
      </c>
      <c r="P1279" s="98"/>
      <c r="R1279" s="141"/>
    </row>
    <row r="1280" spans="1:18" s="94" customFormat="1">
      <c r="A1280" s="78">
        <v>400871</v>
      </c>
      <c r="B1280" s="93">
        <f t="shared" si="86"/>
        <v>4008711</v>
      </c>
      <c r="C1280" s="93" t="s">
        <v>2188</v>
      </c>
      <c r="D1280" s="93">
        <f t="shared" si="87"/>
        <v>4008712</v>
      </c>
      <c r="E1280" s="93" t="s">
        <v>2189</v>
      </c>
      <c r="F1280" s="93">
        <v>5</v>
      </c>
      <c r="G1280" s="93">
        <v>4</v>
      </c>
      <c r="H1280" s="78" t="s">
        <v>771</v>
      </c>
      <c r="I1280" s="78"/>
      <c r="J1280" s="78"/>
      <c r="K1280" s="93">
        <v>5</v>
      </c>
      <c r="L1280" s="93">
        <v>4</v>
      </c>
      <c r="M1280" s="117" t="s">
        <v>2190</v>
      </c>
      <c r="N1280" s="93">
        <v>1</v>
      </c>
      <c r="O1280" s="93">
        <v>0</v>
      </c>
      <c r="P1280" s="98"/>
      <c r="R1280" s="141"/>
    </row>
    <row r="1281" spans="1:18" s="94" customFormat="1">
      <c r="A1281" s="78">
        <v>400872</v>
      </c>
      <c r="B1281" s="93">
        <f t="shared" si="86"/>
        <v>4008721</v>
      </c>
      <c r="C1281" s="93" t="s">
        <v>2191</v>
      </c>
      <c r="D1281" s="93">
        <f t="shared" si="87"/>
        <v>4008722</v>
      </c>
      <c r="E1281" s="93" t="s">
        <v>2192</v>
      </c>
      <c r="F1281" s="93">
        <v>5</v>
      </c>
      <c r="G1281" s="93">
        <v>4</v>
      </c>
      <c r="H1281" s="78" t="s">
        <v>771</v>
      </c>
      <c r="I1281" s="78"/>
      <c r="J1281" s="78"/>
      <c r="K1281" s="93">
        <v>5</v>
      </c>
      <c r="L1281" s="93">
        <v>4</v>
      </c>
      <c r="M1281" s="117" t="s">
        <v>2193</v>
      </c>
      <c r="N1281" s="93">
        <v>1</v>
      </c>
      <c r="O1281" s="93">
        <v>0</v>
      </c>
      <c r="P1281" s="98"/>
      <c r="R1281" s="141"/>
    </row>
    <row r="1282" spans="1:18" s="94" customFormat="1">
      <c r="A1282" s="78">
        <v>400873</v>
      </c>
      <c r="B1282" s="93">
        <f t="shared" si="86"/>
        <v>4008731</v>
      </c>
      <c r="C1282" s="93" t="s">
        <v>2194</v>
      </c>
      <c r="D1282" s="93">
        <f t="shared" si="87"/>
        <v>4008732</v>
      </c>
      <c r="E1282" s="93" t="s">
        <v>2195</v>
      </c>
      <c r="F1282" s="93">
        <v>5</v>
      </c>
      <c r="G1282" s="93">
        <v>4</v>
      </c>
      <c r="H1282" s="78" t="s">
        <v>771</v>
      </c>
      <c r="I1282" s="78"/>
      <c r="J1282" s="78"/>
      <c r="K1282" s="93">
        <v>5</v>
      </c>
      <c r="L1282" s="93">
        <v>4</v>
      </c>
      <c r="M1282" s="117" t="s">
        <v>2196</v>
      </c>
      <c r="N1282" s="93">
        <v>1</v>
      </c>
      <c r="O1282" s="93">
        <v>0</v>
      </c>
      <c r="P1282" s="98"/>
      <c r="R1282" s="141"/>
    </row>
    <row r="1283" spans="1:18" s="94" customFormat="1">
      <c r="A1283" s="78">
        <v>400874</v>
      </c>
      <c r="B1283" s="93">
        <f t="shared" si="86"/>
        <v>4008741</v>
      </c>
      <c r="C1283" s="93" t="s">
        <v>2188</v>
      </c>
      <c r="D1283" s="93">
        <f t="shared" si="87"/>
        <v>4008742</v>
      </c>
      <c r="E1283" s="93" t="s">
        <v>2197</v>
      </c>
      <c r="F1283" s="93">
        <v>5</v>
      </c>
      <c r="G1283" s="93">
        <v>4</v>
      </c>
      <c r="H1283" s="78" t="s">
        <v>774</v>
      </c>
      <c r="I1283" s="78"/>
      <c r="J1283" s="78"/>
      <c r="K1283" s="93">
        <v>6</v>
      </c>
      <c r="L1283" s="93">
        <v>4</v>
      </c>
      <c r="M1283" s="117" t="s">
        <v>2198</v>
      </c>
      <c r="N1283" s="93">
        <v>1</v>
      </c>
      <c r="O1283" s="93">
        <v>0</v>
      </c>
      <c r="P1283" s="98"/>
      <c r="R1283" s="141"/>
    </row>
    <row r="1284" spans="1:18" s="94" customFormat="1">
      <c r="A1284" s="78">
        <v>400875</v>
      </c>
      <c r="B1284" s="93">
        <f t="shared" si="86"/>
        <v>4008751</v>
      </c>
      <c r="C1284" s="93" t="s">
        <v>2191</v>
      </c>
      <c r="D1284" s="93">
        <f t="shared" si="87"/>
        <v>4008752</v>
      </c>
      <c r="E1284" s="93" t="s">
        <v>2199</v>
      </c>
      <c r="F1284" s="93">
        <v>5</v>
      </c>
      <c r="G1284" s="93">
        <v>4</v>
      </c>
      <c r="H1284" s="78" t="s">
        <v>774</v>
      </c>
      <c r="I1284" s="78"/>
      <c r="J1284" s="78"/>
      <c r="K1284" s="93">
        <v>6</v>
      </c>
      <c r="L1284" s="93">
        <v>4</v>
      </c>
      <c r="M1284" s="117" t="s">
        <v>2200</v>
      </c>
      <c r="N1284" s="93">
        <v>1</v>
      </c>
      <c r="O1284" s="93">
        <v>0</v>
      </c>
      <c r="P1284" s="98"/>
      <c r="R1284" s="141"/>
    </row>
    <row r="1285" spans="1:18" s="94" customFormat="1">
      <c r="A1285" s="78">
        <v>400876</v>
      </c>
      <c r="B1285" s="93">
        <f t="shared" si="86"/>
        <v>4008761</v>
      </c>
      <c r="C1285" s="93" t="s">
        <v>2194</v>
      </c>
      <c r="D1285" s="93">
        <f t="shared" si="87"/>
        <v>4008762</v>
      </c>
      <c r="E1285" s="93" t="s">
        <v>2201</v>
      </c>
      <c r="F1285" s="93">
        <v>5</v>
      </c>
      <c r="G1285" s="93">
        <v>4</v>
      </c>
      <c r="H1285" s="78" t="s">
        <v>774</v>
      </c>
      <c r="I1285" s="78"/>
      <c r="J1285" s="78"/>
      <c r="K1285" s="93">
        <v>6</v>
      </c>
      <c r="L1285" s="93">
        <v>4</v>
      </c>
      <c r="M1285" s="117" t="s">
        <v>2202</v>
      </c>
      <c r="N1285" s="93">
        <v>1</v>
      </c>
      <c r="O1285" s="93">
        <v>0</v>
      </c>
      <c r="P1285" s="98"/>
      <c r="R1285" s="141"/>
    </row>
    <row r="1286" spans="1:18" s="94" customFormat="1">
      <c r="A1286" s="78">
        <v>400877</v>
      </c>
      <c r="B1286" s="93">
        <f t="shared" si="86"/>
        <v>4008771</v>
      </c>
      <c r="C1286" s="93" t="s">
        <v>2188</v>
      </c>
      <c r="D1286" s="93">
        <f t="shared" si="87"/>
        <v>4008772</v>
      </c>
      <c r="E1286" s="93" t="s">
        <v>2203</v>
      </c>
      <c r="F1286" s="93">
        <v>5</v>
      </c>
      <c r="G1286" s="93">
        <v>4</v>
      </c>
      <c r="H1286" s="78" t="s">
        <v>776</v>
      </c>
      <c r="I1286" s="78"/>
      <c r="J1286" s="78"/>
      <c r="K1286" s="93">
        <v>7</v>
      </c>
      <c r="L1286" s="93">
        <v>4</v>
      </c>
      <c r="M1286" s="117" t="s">
        <v>2204</v>
      </c>
      <c r="N1286" s="93">
        <v>1</v>
      </c>
      <c r="O1286" s="93">
        <v>0</v>
      </c>
      <c r="P1286" s="98"/>
      <c r="R1286" s="141"/>
    </row>
    <row r="1287" spans="1:18" s="94" customFormat="1">
      <c r="A1287" s="78">
        <v>400878</v>
      </c>
      <c r="B1287" s="93">
        <f t="shared" si="86"/>
        <v>4008781</v>
      </c>
      <c r="C1287" s="93" t="s">
        <v>2191</v>
      </c>
      <c r="D1287" s="93">
        <f t="shared" si="87"/>
        <v>4008782</v>
      </c>
      <c r="E1287" s="93" t="s">
        <v>2205</v>
      </c>
      <c r="F1287" s="93">
        <v>5</v>
      </c>
      <c r="G1287" s="93">
        <v>4</v>
      </c>
      <c r="H1287" s="78" t="s">
        <v>776</v>
      </c>
      <c r="I1287" s="78"/>
      <c r="J1287" s="78"/>
      <c r="K1287" s="93">
        <v>7</v>
      </c>
      <c r="L1287" s="93">
        <v>4</v>
      </c>
      <c r="M1287" s="117" t="s">
        <v>2206</v>
      </c>
      <c r="N1287" s="93">
        <v>1</v>
      </c>
      <c r="O1287" s="93">
        <v>0</v>
      </c>
      <c r="P1287" s="98"/>
      <c r="R1287" s="141"/>
    </row>
    <row r="1288" spans="1:18" s="94" customFormat="1">
      <c r="A1288" s="78">
        <v>400879</v>
      </c>
      <c r="B1288" s="93">
        <f t="shared" si="86"/>
        <v>4008791</v>
      </c>
      <c r="C1288" s="93" t="s">
        <v>2194</v>
      </c>
      <c r="D1288" s="93">
        <f t="shared" si="87"/>
        <v>4008792</v>
      </c>
      <c r="E1288" s="93" t="s">
        <v>2207</v>
      </c>
      <c r="F1288" s="93">
        <v>5</v>
      </c>
      <c r="G1288" s="93">
        <v>4</v>
      </c>
      <c r="H1288" s="78" t="s">
        <v>776</v>
      </c>
      <c r="I1288" s="78"/>
      <c r="J1288" s="78"/>
      <c r="K1288" s="93">
        <v>7</v>
      </c>
      <c r="L1288" s="93">
        <v>4</v>
      </c>
      <c r="M1288" s="117" t="s">
        <v>2208</v>
      </c>
      <c r="N1288" s="93">
        <v>1</v>
      </c>
      <c r="O1288" s="93">
        <v>0</v>
      </c>
      <c r="P1288" s="98"/>
      <c r="R1288" s="141"/>
    </row>
    <row r="1289" spans="1:18" s="94" customFormat="1">
      <c r="A1289" s="78">
        <v>400911</v>
      </c>
      <c r="B1289" s="93">
        <f t="shared" si="86"/>
        <v>4009111</v>
      </c>
      <c r="C1289" s="93" t="s">
        <v>5677</v>
      </c>
      <c r="D1289" s="93">
        <f t="shared" si="87"/>
        <v>4009112</v>
      </c>
      <c r="E1289" s="93" t="s">
        <v>5678</v>
      </c>
      <c r="F1289" s="93">
        <v>5</v>
      </c>
      <c r="G1289" s="93">
        <v>4</v>
      </c>
      <c r="H1289" s="78" t="s">
        <v>5679</v>
      </c>
      <c r="I1289" s="78"/>
      <c r="J1289" s="78"/>
      <c r="K1289" s="93">
        <v>5</v>
      </c>
      <c r="L1289" s="93">
        <v>4</v>
      </c>
      <c r="M1289" s="117" t="s">
        <v>5680</v>
      </c>
      <c r="N1289" s="93">
        <v>1</v>
      </c>
      <c r="O1289" s="93">
        <v>0</v>
      </c>
      <c r="P1289" s="98"/>
      <c r="R1289" s="141"/>
    </row>
    <row r="1290" spans="1:18" s="94" customFormat="1">
      <c r="A1290" s="78">
        <v>400931</v>
      </c>
      <c r="B1290" s="93">
        <f t="shared" si="86"/>
        <v>4009311</v>
      </c>
      <c r="C1290" s="93" t="s">
        <v>5681</v>
      </c>
      <c r="D1290" s="93">
        <f t="shared" si="87"/>
        <v>4009312</v>
      </c>
      <c r="E1290" s="93" t="s">
        <v>5682</v>
      </c>
      <c r="F1290" s="93">
        <v>5</v>
      </c>
      <c r="G1290" s="93">
        <v>4</v>
      </c>
      <c r="H1290" s="78" t="s">
        <v>5683</v>
      </c>
      <c r="I1290" s="78"/>
      <c r="J1290" s="78"/>
      <c r="K1290" s="93">
        <v>5</v>
      </c>
      <c r="L1290" s="93">
        <v>4</v>
      </c>
      <c r="M1290" s="117" t="s">
        <v>5684</v>
      </c>
      <c r="N1290" s="93">
        <v>1</v>
      </c>
      <c r="O1290" s="93">
        <v>0</v>
      </c>
      <c r="P1290" s="98"/>
      <c r="R1290" s="141"/>
    </row>
    <row r="1291" spans="1:18" s="94" customFormat="1">
      <c r="A1291" s="78">
        <v>400961</v>
      </c>
      <c r="B1291" s="93">
        <f t="shared" si="86"/>
        <v>4009611</v>
      </c>
      <c r="C1291" s="93" t="s">
        <v>5673</v>
      </c>
      <c r="D1291" s="93">
        <f t="shared" si="87"/>
        <v>4009612</v>
      </c>
      <c r="E1291" s="93" t="s">
        <v>5674</v>
      </c>
      <c r="F1291" s="93">
        <v>5</v>
      </c>
      <c r="G1291" s="93">
        <v>4</v>
      </c>
      <c r="H1291" s="78" t="s">
        <v>5675</v>
      </c>
      <c r="I1291" s="78"/>
      <c r="J1291" s="78"/>
      <c r="K1291" s="93">
        <v>5</v>
      </c>
      <c r="L1291" s="93">
        <v>4</v>
      </c>
      <c r="M1291" s="117" t="s">
        <v>5676</v>
      </c>
      <c r="N1291" s="93">
        <v>1</v>
      </c>
      <c r="O1291" s="93">
        <v>0</v>
      </c>
      <c r="P1291" s="98"/>
      <c r="R1291" s="141"/>
    </row>
    <row r="1292" spans="1:18" s="94" customFormat="1">
      <c r="A1292" s="78">
        <v>401071</v>
      </c>
      <c r="B1292" s="93">
        <f t="shared" si="86"/>
        <v>4010711</v>
      </c>
      <c r="C1292" s="93" t="s">
        <v>5688</v>
      </c>
      <c r="D1292" s="93">
        <f t="shared" si="87"/>
        <v>4010712</v>
      </c>
      <c r="E1292" s="93" t="s">
        <v>5689</v>
      </c>
      <c r="F1292" s="93">
        <v>5</v>
      </c>
      <c r="G1292" s="93">
        <v>4</v>
      </c>
      <c r="H1292" s="78" t="s">
        <v>5687</v>
      </c>
      <c r="I1292" s="78"/>
      <c r="J1292" s="78"/>
      <c r="K1292" s="93">
        <v>5</v>
      </c>
      <c r="L1292" s="93">
        <v>4</v>
      </c>
      <c r="M1292" s="117" t="s">
        <v>5690</v>
      </c>
      <c r="N1292" s="93">
        <v>1</v>
      </c>
      <c r="O1292" s="93">
        <v>0</v>
      </c>
      <c r="P1292" s="98"/>
      <c r="R1292" s="141"/>
    </row>
    <row r="1293" spans="1:18" s="108" customFormat="1">
      <c r="A1293" s="80">
        <v>401341</v>
      </c>
      <c r="B1293" s="79">
        <f t="shared" ref="B1293:B1301" si="88">A1293*10+1</f>
        <v>4013411</v>
      </c>
      <c r="C1293" s="79" t="s">
        <v>2209</v>
      </c>
      <c r="D1293" s="79">
        <f t="shared" ref="D1293:D1301" si="89">A1293*10+2</f>
        <v>4013412</v>
      </c>
      <c r="E1293" s="79" t="s">
        <v>2210</v>
      </c>
      <c r="F1293" s="79">
        <v>5</v>
      </c>
      <c r="G1293" s="79">
        <v>4</v>
      </c>
      <c r="H1293" s="80" t="s">
        <v>824</v>
      </c>
      <c r="I1293" s="80"/>
      <c r="J1293" s="80"/>
      <c r="K1293" s="79">
        <v>5</v>
      </c>
      <c r="L1293" s="79">
        <v>4</v>
      </c>
      <c r="M1293" s="127" t="s">
        <v>2211</v>
      </c>
      <c r="N1293" s="79">
        <v>1</v>
      </c>
      <c r="O1293" s="79">
        <v>0</v>
      </c>
      <c r="P1293" s="107"/>
      <c r="R1293" s="121"/>
    </row>
    <row r="1294" spans="1:18" s="108" customFormat="1">
      <c r="A1294" s="80">
        <v>401342</v>
      </c>
      <c r="B1294" s="79">
        <f t="shared" si="88"/>
        <v>4013421</v>
      </c>
      <c r="C1294" s="79" t="s">
        <v>2212</v>
      </c>
      <c r="D1294" s="79">
        <f t="shared" si="89"/>
        <v>4013422</v>
      </c>
      <c r="E1294" s="79" t="s">
        <v>2213</v>
      </c>
      <c r="F1294" s="79">
        <v>5</v>
      </c>
      <c r="G1294" s="79">
        <v>4</v>
      </c>
      <c r="H1294" s="80" t="s">
        <v>824</v>
      </c>
      <c r="I1294" s="80"/>
      <c r="J1294" s="80"/>
      <c r="K1294" s="79">
        <v>5</v>
      </c>
      <c r="L1294" s="79">
        <v>4</v>
      </c>
      <c r="M1294" s="127" t="s">
        <v>2214</v>
      </c>
      <c r="N1294" s="79">
        <v>1</v>
      </c>
      <c r="O1294" s="79">
        <v>0</v>
      </c>
      <c r="P1294" s="107"/>
      <c r="R1294" s="121"/>
    </row>
    <row r="1295" spans="1:18" s="108" customFormat="1">
      <c r="A1295" s="80">
        <v>401343</v>
      </c>
      <c r="B1295" s="79">
        <f t="shared" si="88"/>
        <v>4013431</v>
      </c>
      <c r="C1295" s="79" t="s">
        <v>2215</v>
      </c>
      <c r="D1295" s="79">
        <f t="shared" si="89"/>
        <v>4013432</v>
      </c>
      <c r="E1295" s="79" t="s">
        <v>2216</v>
      </c>
      <c r="F1295" s="79">
        <v>5</v>
      </c>
      <c r="G1295" s="79">
        <v>4</v>
      </c>
      <c r="H1295" s="80" t="s">
        <v>824</v>
      </c>
      <c r="I1295" s="80"/>
      <c r="J1295" s="80"/>
      <c r="K1295" s="79">
        <v>5</v>
      </c>
      <c r="L1295" s="79">
        <v>4</v>
      </c>
      <c r="M1295" s="127" t="s">
        <v>2217</v>
      </c>
      <c r="N1295" s="79">
        <v>1</v>
      </c>
      <c r="O1295" s="79">
        <v>0</v>
      </c>
      <c r="P1295" s="107"/>
      <c r="R1295" s="121"/>
    </row>
    <row r="1296" spans="1:18" s="108" customFormat="1">
      <c r="A1296" s="80">
        <v>401344</v>
      </c>
      <c r="B1296" s="79">
        <f t="shared" si="88"/>
        <v>4013441</v>
      </c>
      <c r="C1296" s="79" t="s">
        <v>2209</v>
      </c>
      <c r="D1296" s="79">
        <f t="shared" si="89"/>
        <v>4013442</v>
      </c>
      <c r="E1296" s="79" t="s">
        <v>2218</v>
      </c>
      <c r="F1296" s="79">
        <v>5</v>
      </c>
      <c r="G1296" s="79">
        <v>4</v>
      </c>
      <c r="H1296" s="80" t="s">
        <v>827</v>
      </c>
      <c r="I1296" s="80"/>
      <c r="J1296" s="80"/>
      <c r="K1296" s="79">
        <v>6</v>
      </c>
      <c r="L1296" s="79">
        <v>4</v>
      </c>
      <c r="M1296" s="127" t="s">
        <v>2219</v>
      </c>
      <c r="N1296" s="79">
        <v>1</v>
      </c>
      <c r="O1296" s="79">
        <v>0</v>
      </c>
      <c r="P1296" s="107"/>
      <c r="R1296" s="121"/>
    </row>
    <row r="1297" spans="1:21" s="108" customFormat="1">
      <c r="A1297" s="80">
        <v>401345</v>
      </c>
      <c r="B1297" s="79">
        <f t="shared" si="88"/>
        <v>4013451</v>
      </c>
      <c r="C1297" s="79" t="s">
        <v>2212</v>
      </c>
      <c r="D1297" s="79">
        <f t="shared" si="89"/>
        <v>4013452</v>
      </c>
      <c r="E1297" s="79" t="s">
        <v>2220</v>
      </c>
      <c r="F1297" s="79">
        <v>5</v>
      </c>
      <c r="G1297" s="79">
        <v>4</v>
      </c>
      <c r="H1297" s="80" t="s">
        <v>827</v>
      </c>
      <c r="I1297" s="80"/>
      <c r="J1297" s="80"/>
      <c r="K1297" s="79">
        <v>6</v>
      </c>
      <c r="L1297" s="79">
        <v>4</v>
      </c>
      <c r="M1297" s="127" t="s">
        <v>2221</v>
      </c>
      <c r="N1297" s="79">
        <v>1</v>
      </c>
      <c r="O1297" s="79">
        <v>0</v>
      </c>
      <c r="P1297" s="107"/>
      <c r="R1297" s="121"/>
    </row>
    <row r="1298" spans="1:21" s="108" customFormat="1">
      <c r="A1298" s="80">
        <v>401346</v>
      </c>
      <c r="B1298" s="79">
        <f t="shared" si="88"/>
        <v>4013461</v>
      </c>
      <c r="C1298" s="79" t="s">
        <v>2215</v>
      </c>
      <c r="D1298" s="79">
        <f t="shared" si="89"/>
        <v>4013462</v>
      </c>
      <c r="E1298" s="79" t="s">
        <v>2222</v>
      </c>
      <c r="F1298" s="79">
        <v>5</v>
      </c>
      <c r="G1298" s="79">
        <v>4</v>
      </c>
      <c r="H1298" s="80" t="s">
        <v>827</v>
      </c>
      <c r="I1298" s="80"/>
      <c r="J1298" s="80"/>
      <c r="K1298" s="79">
        <v>6</v>
      </c>
      <c r="L1298" s="79">
        <v>4</v>
      </c>
      <c r="M1298" s="127" t="s">
        <v>2223</v>
      </c>
      <c r="N1298" s="79">
        <v>1</v>
      </c>
      <c r="O1298" s="79">
        <v>0</v>
      </c>
      <c r="P1298" s="107"/>
      <c r="R1298" s="121"/>
    </row>
    <row r="1299" spans="1:21" s="108" customFormat="1">
      <c r="A1299" s="80">
        <v>401347</v>
      </c>
      <c r="B1299" s="79">
        <f t="shared" si="88"/>
        <v>4013471</v>
      </c>
      <c r="C1299" s="79" t="s">
        <v>2209</v>
      </c>
      <c r="D1299" s="79">
        <f t="shared" si="89"/>
        <v>4013472</v>
      </c>
      <c r="E1299" s="79" t="s">
        <v>2224</v>
      </c>
      <c r="F1299" s="79">
        <v>5</v>
      </c>
      <c r="G1299" s="79">
        <v>4</v>
      </c>
      <c r="H1299" s="80" t="s">
        <v>829</v>
      </c>
      <c r="I1299" s="80"/>
      <c r="J1299" s="80"/>
      <c r="K1299" s="79">
        <v>7</v>
      </c>
      <c r="L1299" s="79">
        <v>4</v>
      </c>
      <c r="M1299" s="127" t="s">
        <v>2225</v>
      </c>
      <c r="N1299" s="79">
        <v>1</v>
      </c>
      <c r="O1299" s="79">
        <v>0</v>
      </c>
      <c r="P1299" s="107"/>
      <c r="R1299" s="121"/>
    </row>
    <row r="1300" spans="1:21" s="108" customFormat="1">
      <c r="A1300" s="80">
        <v>401348</v>
      </c>
      <c r="B1300" s="79">
        <f t="shared" si="88"/>
        <v>4013481</v>
      </c>
      <c r="C1300" s="79" t="s">
        <v>2212</v>
      </c>
      <c r="D1300" s="79">
        <f t="shared" si="89"/>
        <v>4013482</v>
      </c>
      <c r="E1300" s="79" t="s">
        <v>2226</v>
      </c>
      <c r="F1300" s="79">
        <v>5</v>
      </c>
      <c r="G1300" s="79">
        <v>4</v>
      </c>
      <c r="H1300" s="80" t="s">
        <v>829</v>
      </c>
      <c r="I1300" s="80"/>
      <c r="J1300" s="80"/>
      <c r="K1300" s="79">
        <v>7</v>
      </c>
      <c r="L1300" s="79">
        <v>4</v>
      </c>
      <c r="M1300" s="127" t="s">
        <v>2227</v>
      </c>
      <c r="N1300" s="79">
        <v>1</v>
      </c>
      <c r="O1300" s="79">
        <v>0</v>
      </c>
      <c r="P1300" s="107"/>
      <c r="R1300" s="121"/>
    </row>
    <row r="1301" spans="1:21" s="108" customFormat="1">
      <c r="A1301" s="80">
        <v>401349</v>
      </c>
      <c r="B1301" s="79">
        <f t="shared" si="88"/>
        <v>4013491</v>
      </c>
      <c r="C1301" s="79" t="s">
        <v>2215</v>
      </c>
      <c r="D1301" s="79">
        <f t="shared" si="89"/>
        <v>4013492</v>
      </c>
      <c r="E1301" s="79" t="s">
        <v>2228</v>
      </c>
      <c r="F1301" s="79">
        <v>5</v>
      </c>
      <c r="G1301" s="79">
        <v>4</v>
      </c>
      <c r="H1301" s="80" t="s">
        <v>829</v>
      </c>
      <c r="I1301" s="80"/>
      <c r="J1301" s="80"/>
      <c r="K1301" s="79">
        <v>7</v>
      </c>
      <c r="L1301" s="79">
        <v>4</v>
      </c>
      <c r="M1301" s="127" t="s">
        <v>2229</v>
      </c>
      <c r="N1301" s="79">
        <v>1</v>
      </c>
      <c r="O1301" s="79">
        <v>0</v>
      </c>
      <c r="P1301" s="107"/>
      <c r="R1301" s="121"/>
    </row>
    <row r="1302" spans="1:21" s="178" customFormat="1">
      <c r="A1302" s="180">
        <v>401451</v>
      </c>
      <c r="B1302" s="175">
        <f t="shared" ref="B1302:B1311" si="90">A1302*10+1</f>
        <v>4014511</v>
      </c>
      <c r="C1302" s="175" t="s">
        <v>2230</v>
      </c>
      <c r="D1302" s="175">
        <f t="shared" ref="D1302:D1311" si="91">A1302*10+2</f>
        <v>4014512</v>
      </c>
      <c r="E1302" s="175" t="s">
        <v>2231</v>
      </c>
      <c r="F1302" s="175">
        <v>5</v>
      </c>
      <c r="G1302" s="175">
        <v>4</v>
      </c>
      <c r="H1302" s="180" t="s">
        <v>891</v>
      </c>
      <c r="I1302" s="180"/>
      <c r="J1302" s="180"/>
      <c r="K1302" s="175">
        <v>5</v>
      </c>
      <c r="L1302" s="175">
        <v>4</v>
      </c>
      <c r="M1302" s="179" t="s">
        <v>2232</v>
      </c>
      <c r="N1302" s="175">
        <v>1</v>
      </c>
      <c r="O1302" s="175">
        <v>0</v>
      </c>
      <c r="P1302" s="175"/>
      <c r="R1302" s="181"/>
    </row>
    <row r="1303" spans="1:21" s="178" customFormat="1">
      <c r="A1303" s="180">
        <v>401452</v>
      </c>
      <c r="B1303" s="175">
        <f t="shared" si="90"/>
        <v>4014521</v>
      </c>
      <c r="C1303" s="175" t="s">
        <v>2233</v>
      </c>
      <c r="D1303" s="175">
        <f t="shared" si="91"/>
        <v>4014522</v>
      </c>
      <c r="E1303" s="175" t="s">
        <v>2234</v>
      </c>
      <c r="F1303" s="175">
        <v>5</v>
      </c>
      <c r="G1303" s="175">
        <v>4</v>
      </c>
      <c r="H1303" s="180" t="s">
        <v>891</v>
      </c>
      <c r="I1303" s="180"/>
      <c r="J1303" s="180"/>
      <c r="K1303" s="175">
        <v>5</v>
      </c>
      <c r="L1303" s="175">
        <v>4</v>
      </c>
      <c r="M1303" s="179" t="s">
        <v>2235</v>
      </c>
      <c r="N1303" s="175">
        <v>1</v>
      </c>
      <c r="O1303" s="175">
        <v>0</v>
      </c>
      <c r="P1303" s="175"/>
      <c r="R1303" s="181"/>
    </row>
    <row r="1304" spans="1:21" s="178" customFormat="1">
      <c r="A1304" s="180">
        <v>401453</v>
      </c>
      <c r="B1304" s="175">
        <f t="shared" si="90"/>
        <v>4014531</v>
      </c>
      <c r="C1304" s="175" t="s">
        <v>2236</v>
      </c>
      <c r="D1304" s="175">
        <f t="shared" si="91"/>
        <v>4014532</v>
      </c>
      <c r="E1304" s="175" t="s">
        <v>2237</v>
      </c>
      <c r="F1304" s="175">
        <v>5</v>
      </c>
      <c r="G1304" s="175">
        <v>4</v>
      </c>
      <c r="H1304" s="180" t="s">
        <v>891</v>
      </c>
      <c r="I1304" s="180"/>
      <c r="J1304" s="180"/>
      <c r="K1304" s="175">
        <v>5</v>
      </c>
      <c r="L1304" s="175">
        <v>4</v>
      </c>
      <c r="M1304" s="179" t="s">
        <v>2238</v>
      </c>
      <c r="N1304" s="175">
        <v>1</v>
      </c>
      <c r="O1304" s="175">
        <v>0</v>
      </c>
      <c r="P1304" s="175"/>
      <c r="R1304" s="181"/>
    </row>
    <row r="1305" spans="1:21" s="178" customFormat="1">
      <c r="A1305" s="180">
        <v>401454</v>
      </c>
      <c r="B1305" s="175">
        <f t="shared" si="90"/>
        <v>4014541</v>
      </c>
      <c r="C1305" s="175" t="s">
        <v>2230</v>
      </c>
      <c r="D1305" s="175">
        <f t="shared" si="91"/>
        <v>4014542</v>
      </c>
      <c r="E1305" s="175" t="s">
        <v>2239</v>
      </c>
      <c r="F1305" s="175">
        <v>5</v>
      </c>
      <c r="G1305" s="175">
        <v>4</v>
      </c>
      <c r="H1305" s="180" t="s">
        <v>894</v>
      </c>
      <c r="I1305" s="180"/>
      <c r="J1305" s="180"/>
      <c r="K1305" s="175">
        <v>6</v>
      </c>
      <c r="L1305" s="175">
        <v>4</v>
      </c>
      <c r="M1305" s="179" t="s">
        <v>2240</v>
      </c>
      <c r="N1305" s="175">
        <v>1</v>
      </c>
      <c r="O1305" s="175">
        <v>0</v>
      </c>
      <c r="P1305" s="175"/>
      <c r="R1305" s="181"/>
    </row>
    <row r="1306" spans="1:21" s="178" customFormat="1">
      <c r="A1306" s="180">
        <v>401455</v>
      </c>
      <c r="B1306" s="175">
        <f t="shared" si="90"/>
        <v>4014551</v>
      </c>
      <c r="C1306" s="175" t="s">
        <v>2233</v>
      </c>
      <c r="D1306" s="175">
        <f t="shared" si="91"/>
        <v>4014552</v>
      </c>
      <c r="E1306" s="175" t="s">
        <v>2241</v>
      </c>
      <c r="F1306" s="175">
        <v>5</v>
      </c>
      <c r="G1306" s="175">
        <v>4</v>
      </c>
      <c r="H1306" s="180" t="s">
        <v>894</v>
      </c>
      <c r="I1306" s="180"/>
      <c r="J1306" s="180"/>
      <c r="K1306" s="175">
        <v>6</v>
      </c>
      <c r="L1306" s="175">
        <v>4</v>
      </c>
      <c r="M1306" s="179" t="s">
        <v>2242</v>
      </c>
      <c r="N1306" s="175">
        <v>1</v>
      </c>
      <c r="O1306" s="175">
        <v>0</v>
      </c>
      <c r="P1306" s="175"/>
      <c r="R1306" s="181"/>
    </row>
    <row r="1307" spans="1:21" s="178" customFormat="1">
      <c r="A1307" s="180">
        <v>401456</v>
      </c>
      <c r="B1307" s="175">
        <f t="shared" si="90"/>
        <v>4014561</v>
      </c>
      <c r="C1307" s="175" t="s">
        <v>2236</v>
      </c>
      <c r="D1307" s="175">
        <f t="shared" si="91"/>
        <v>4014562</v>
      </c>
      <c r="E1307" s="175" t="s">
        <v>2243</v>
      </c>
      <c r="F1307" s="175">
        <v>5</v>
      </c>
      <c r="G1307" s="175">
        <v>4</v>
      </c>
      <c r="H1307" s="180" t="s">
        <v>894</v>
      </c>
      <c r="I1307" s="180"/>
      <c r="J1307" s="180"/>
      <c r="K1307" s="175">
        <v>6</v>
      </c>
      <c r="L1307" s="175">
        <v>4</v>
      </c>
      <c r="M1307" s="179" t="s">
        <v>2244</v>
      </c>
      <c r="N1307" s="175">
        <v>1</v>
      </c>
      <c r="O1307" s="175">
        <v>0</v>
      </c>
      <c r="P1307" s="175"/>
      <c r="R1307" s="181"/>
    </row>
    <row r="1308" spans="1:21" s="178" customFormat="1">
      <c r="A1308" s="180">
        <v>401457</v>
      </c>
      <c r="B1308" s="175">
        <f t="shared" si="90"/>
        <v>4014571</v>
      </c>
      <c r="C1308" s="175" t="s">
        <v>2230</v>
      </c>
      <c r="D1308" s="175">
        <f t="shared" si="91"/>
        <v>4014572</v>
      </c>
      <c r="E1308" s="175" t="s">
        <v>2245</v>
      </c>
      <c r="F1308" s="175">
        <v>5</v>
      </c>
      <c r="G1308" s="175">
        <v>4</v>
      </c>
      <c r="H1308" s="180" t="s">
        <v>896</v>
      </c>
      <c r="I1308" s="180"/>
      <c r="J1308" s="180"/>
      <c r="K1308" s="175">
        <v>7</v>
      </c>
      <c r="L1308" s="175">
        <v>4</v>
      </c>
      <c r="M1308" s="179" t="s">
        <v>2246</v>
      </c>
      <c r="N1308" s="175">
        <v>1</v>
      </c>
      <c r="O1308" s="175">
        <v>0</v>
      </c>
      <c r="P1308" s="175"/>
      <c r="R1308" s="181"/>
    </row>
    <row r="1309" spans="1:21" s="178" customFormat="1">
      <c r="A1309" s="180">
        <v>401458</v>
      </c>
      <c r="B1309" s="175">
        <f t="shared" si="90"/>
        <v>4014581</v>
      </c>
      <c r="C1309" s="175" t="s">
        <v>2233</v>
      </c>
      <c r="D1309" s="175">
        <f t="shared" si="91"/>
        <v>4014582</v>
      </c>
      <c r="E1309" s="175" t="s">
        <v>2247</v>
      </c>
      <c r="F1309" s="175">
        <v>5</v>
      </c>
      <c r="G1309" s="175">
        <v>4</v>
      </c>
      <c r="H1309" s="180" t="s">
        <v>896</v>
      </c>
      <c r="I1309" s="180"/>
      <c r="J1309" s="180"/>
      <c r="K1309" s="175">
        <v>7</v>
      </c>
      <c r="L1309" s="175">
        <v>4</v>
      </c>
      <c r="M1309" s="179" t="s">
        <v>2248</v>
      </c>
      <c r="N1309" s="175">
        <v>1</v>
      </c>
      <c r="O1309" s="175">
        <v>0</v>
      </c>
      <c r="P1309" s="175"/>
      <c r="R1309" s="181"/>
    </row>
    <row r="1310" spans="1:21" s="178" customFormat="1">
      <c r="A1310" s="180">
        <v>401459</v>
      </c>
      <c r="B1310" s="175">
        <f t="shared" si="90"/>
        <v>4014591</v>
      </c>
      <c r="C1310" s="175" t="s">
        <v>2236</v>
      </c>
      <c r="D1310" s="175">
        <f t="shared" si="91"/>
        <v>4014592</v>
      </c>
      <c r="E1310" s="175" t="s">
        <v>2249</v>
      </c>
      <c r="F1310" s="175">
        <v>5</v>
      </c>
      <c r="G1310" s="175">
        <v>4</v>
      </c>
      <c r="H1310" s="180" t="s">
        <v>896</v>
      </c>
      <c r="I1310" s="180"/>
      <c r="J1310" s="180"/>
      <c r="K1310" s="175">
        <v>7</v>
      </c>
      <c r="L1310" s="175">
        <v>4</v>
      </c>
      <c r="M1310" s="179" t="s">
        <v>2250</v>
      </c>
      <c r="N1310" s="175">
        <v>1</v>
      </c>
      <c r="O1310" s="175">
        <v>0</v>
      </c>
      <c r="P1310" s="175"/>
      <c r="R1310" s="181"/>
    </row>
    <row r="1311" spans="1:21" s="178" customFormat="1">
      <c r="A1311" s="180">
        <v>401461</v>
      </c>
      <c r="B1311" s="175">
        <f t="shared" si="90"/>
        <v>4014611</v>
      </c>
      <c r="C1311" s="175" t="s">
        <v>5526</v>
      </c>
      <c r="D1311" s="175">
        <f t="shared" si="91"/>
        <v>4014612</v>
      </c>
      <c r="E1311" s="175" t="s">
        <v>5525</v>
      </c>
      <c r="F1311" s="175">
        <v>5</v>
      </c>
      <c r="G1311" s="175">
        <v>4</v>
      </c>
      <c r="H1311" s="180" t="s">
        <v>5524</v>
      </c>
      <c r="I1311" s="180"/>
      <c r="J1311" s="180"/>
      <c r="K1311" s="175">
        <v>5</v>
      </c>
      <c r="L1311" s="175">
        <v>4</v>
      </c>
      <c r="M1311" s="179" t="s">
        <v>5527</v>
      </c>
      <c r="N1311" s="175">
        <v>1</v>
      </c>
      <c r="O1311" s="175">
        <v>0</v>
      </c>
      <c r="P1311" s="175"/>
      <c r="R1311" s="181"/>
    </row>
    <row r="1312" spans="1:21" s="106" customFormat="1">
      <c r="A1312" s="79">
        <v>410011</v>
      </c>
      <c r="B1312" s="121">
        <v>4100111</v>
      </c>
      <c r="C1312" s="79" t="s">
        <v>2251</v>
      </c>
      <c r="D1312" s="121">
        <v>4100112</v>
      </c>
      <c r="E1312" s="79" t="s">
        <v>2252</v>
      </c>
      <c r="F1312" s="79">
        <v>5</v>
      </c>
      <c r="G1312" s="79">
        <v>4</v>
      </c>
      <c r="H1312" s="79" t="s">
        <v>1279</v>
      </c>
      <c r="I1312" s="127"/>
      <c r="J1312" s="127"/>
      <c r="K1312" s="79">
        <v>3</v>
      </c>
      <c r="L1312" s="79">
        <v>8</v>
      </c>
      <c r="M1312" s="127" t="s">
        <v>2253</v>
      </c>
      <c r="N1312" s="79">
        <v>0</v>
      </c>
      <c r="O1312" s="79">
        <v>0</v>
      </c>
      <c r="P1312" s="107"/>
      <c r="R1312" s="121">
        <v>4100111</v>
      </c>
      <c r="S1312" s="79" t="s">
        <v>2251</v>
      </c>
      <c r="T1312" s="121">
        <v>4100112</v>
      </c>
      <c r="U1312" s="79" t="s">
        <v>2252</v>
      </c>
    </row>
    <row r="1313" spans="1:21" s="106" customFormat="1">
      <c r="A1313" s="79">
        <v>410012</v>
      </c>
      <c r="B1313" s="121">
        <v>4100121</v>
      </c>
      <c r="C1313" s="79" t="s">
        <v>2254</v>
      </c>
      <c r="D1313" s="121">
        <v>4100122</v>
      </c>
      <c r="E1313" s="79" t="s">
        <v>2255</v>
      </c>
      <c r="F1313" s="79">
        <v>5</v>
      </c>
      <c r="G1313" s="79">
        <v>4</v>
      </c>
      <c r="H1313" s="79" t="s">
        <v>1279</v>
      </c>
      <c r="I1313" s="127"/>
      <c r="J1313" s="127"/>
      <c r="K1313" s="79">
        <v>3</v>
      </c>
      <c r="L1313" s="79">
        <v>8</v>
      </c>
      <c r="M1313" s="127" t="s">
        <v>2256</v>
      </c>
      <c r="N1313" s="79">
        <v>0</v>
      </c>
      <c r="O1313" s="79">
        <v>0</v>
      </c>
      <c r="P1313" s="107"/>
      <c r="R1313" s="121">
        <v>4100121</v>
      </c>
      <c r="S1313" s="79" t="s">
        <v>2254</v>
      </c>
      <c r="T1313" s="121">
        <v>4100122</v>
      </c>
      <c r="U1313" s="79" t="s">
        <v>2255</v>
      </c>
    </row>
    <row r="1314" spans="1:21" s="106" customFormat="1">
      <c r="A1314" s="79">
        <v>410013</v>
      </c>
      <c r="B1314" s="121">
        <v>4100131</v>
      </c>
      <c r="C1314" s="79" t="s">
        <v>2257</v>
      </c>
      <c r="D1314" s="121">
        <v>4100132</v>
      </c>
      <c r="E1314" s="79" t="s">
        <v>2258</v>
      </c>
      <c r="F1314" s="79">
        <v>5</v>
      </c>
      <c r="G1314" s="79">
        <v>4</v>
      </c>
      <c r="H1314" s="79" t="s">
        <v>1279</v>
      </c>
      <c r="I1314" s="127"/>
      <c r="J1314" s="127"/>
      <c r="K1314" s="79">
        <v>3</v>
      </c>
      <c r="L1314" s="79">
        <v>8</v>
      </c>
      <c r="M1314" s="127" t="s">
        <v>2259</v>
      </c>
      <c r="N1314" s="79">
        <v>0</v>
      </c>
      <c r="O1314" s="79">
        <v>0</v>
      </c>
      <c r="P1314" s="107"/>
      <c r="R1314" s="121">
        <v>4100131</v>
      </c>
      <c r="S1314" s="79" t="s">
        <v>2257</v>
      </c>
      <c r="T1314" s="121">
        <v>4100132</v>
      </c>
      <c r="U1314" s="79" t="s">
        <v>2258</v>
      </c>
    </row>
    <row r="1315" spans="1:21" s="106" customFormat="1">
      <c r="A1315" s="79">
        <v>410014</v>
      </c>
      <c r="B1315" s="121">
        <v>4100141</v>
      </c>
      <c r="C1315" s="79" t="s">
        <v>2260</v>
      </c>
      <c r="D1315" s="121">
        <v>4100142</v>
      </c>
      <c r="E1315" s="79" t="s">
        <v>2261</v>
      </c>
      <c r="F1315" s="79">
        <v>5</v>
      </c>
      <c r="G1315" s="79">
        <v>4</v>
      </c>
      <c r="H1315" s="79" t="s">
        <v>1279</v>
      </c>
      <c r="I1315" s="127"/>
      <c r="J1315" s="127"/>
      <c r="K1315" s="79">
        <v>3</v>
      </c>
      <c r="L1315" s="79">
        <v>8</v>
      </c>
      <c r="M1315" s="127" t="s">
        <v>2262</v>
      </c>
      <c r="N1315" s="79">
        <v>0</v>
      </c>
      <c r="O1315" s="79">
        <v>0</v>
      </c>
      <c r="P1315" s="107"/>
      <c r="R1315" s="121">
        <v>4100141</v>
      </c>
      <c r="S1315" s="79" t="s">
        <v>2260</v>
      </c>
      <c r="T1315" s="121">
        <v>4100142</v>
      </c>
      <c r="U1315" s="79" t="s">
        <v>2261</v>
      </c>
    </row>
    <row r="1316" spans="1:21" s="106" customFormat="1">
      <c r="A1316" s="79">
        <v>410021</v>
      </c>
      <c r="B1316" s="121">
        <v>4100211</v>
      </c>
      <c r="C1316" s="79" t="s">
        <v>1516</v>
      </c>
      <c r="D1316" s="121">
        <v>4100212</v>
      </c>
      <c r="E1316" s="79" t="s">
        <v>2263</v>
      </c>
      <c r="F1316" s="79">
        <v>5</v>
      </c>
      <c r="G1316" s="79">
        <v>4</v>
      </c>
      <c r="H1316" s="79" t="s">
        <v>1281</v>
      </c>
      <c r="I1316" s="127"/>
      <c r="J1316" s="127"/>
      <c r="K1316" s="79">
        <v>4</v>
      </c>
      <c r="L1316" s="79">
        <v>8</v>
      </c>
      <c r="M1316" s="127" t="s">
        <v>2264</v>
      </c>
      <c r="N1316" s="79">
        <v>0</v>
      </c>
      <c r="O1316" s="79">
        <v>0</v>
      </c>
      <c r="P1316" s="107"/>
      <c r="R1316" s="121">
        <v>4100211</v>
      </c>
      <c r="S1316" s="79" t="s">
        <v>1516</v>
      </c>
      <c r="T1316" s="121">
        <v>4100212</v>
      </c>
      <c r="U1316" s="79" t="s">
        <v>2263</v>
      </c>
    </row>
    <row r="1317" spans="1:21" s="106" customFormat="1">
      <c r="A1317" s="79">
        <v>410022</v>
      </c>
      <c r="B1317" s="121">
        <v>4100221</v>
      </c>
      <c r="C1317" s="79" t="s">
        <v>1519</v>
      </c>
      <c r="D1317" s="121">
        <v>4100222</v>
      </c>
      <c r="E1317" s="79" t="s">
        <v>2265</v>
      </c>
      <c r="F1317" s="79">
        <v>5</v>
      </c>
      <c r="G1317" s="79">
        <v>4</v>
      </c>
      <c r="H1317" s="79" t="s">
        <v>1281</v>
      </c>
      <c r="I1317" s="127"/>
      <c r="J1317" s="127"/>
      <c r="K1317" s="79">
        <v>4</v>
      </c>
      <c r="L1317" s="79">
        <v>8</v>
      </c>
      <c r="M1317" s="127" t="s">
        <v>2266</v>
      </c>
      <c r="N1317" s="79">
        <v>0</v>
      </c>
      <c r="O1317" s="79">
        <v>0</v>
      </c>
      <c r="P1317" s="107"/>
      <c r="R1317" s="121">
        <v>4100221</v>
      </c>
      <c r="S1317" s="79" t="s">
        <v>1519</v>
      </c>
      <c r="T1317" s="121">
        <v>4100222</v>
      </c>
      <c r="U1317" s="79" t="s">
        <v>2265</v>
      </c>
    </row>
    <row r="1318" spans="1:21" s="106" customFormat="1">
      <c r="A1318" s="79">
        <v>410023</v>
      </c>
      <c r="B1318" s="121">
        <v>4100231</v>
      </c>
      <c r="C1318" s="79" t="s">
        <v>1522</v>
      </c>
      <c r="D1318" s="121">
        <v>4100232</v>
      </c>
      <c r="E1318" s="79" t="s">
        <v>2267</v>
      </c>
      <c r="F1318" s="79">
        <v>5</v>
      </c>
      <c r="G1318" s="79">
        <v>4</v>
      </c>
      <c r="H1318" s="79" t="s">
        <v>1281</v>
      </c>
      <c r="I1318" s="127"/>
      <c r="J1318" s="127"/>
      <c r="K1318" s="79">
        <v>4</v>
      </c>
      <c r="L1318" s="79">
        <v>8</v>
      </c>
      <c r="M1318" s="127" t="s">
        <v>2268</v>
      </c>
      <c r="N1318" s="79">
        <v>0</v>
      </c>
      <c r="O1318" s="79">
        <v>0</v>
      </c>
      <c r="P1318" s="107"/>
      <c r="R1318" s="121">
        <v>4100231</v>
      </c>
      <c r="S1318" s="79" t="s">
        <v>1522</v>
      </c>
      <c r="T1318" s="121">
        <v>4100232</v>
      </c>
      <c r="U1318" s="79" t="s">
        <v>2267</v>
      </c>
    </row>
    <row r="1319" spans="1:21" s="106" customFormat="1">
      <c r="A1319" s="79">
        <v>410024</v>
      </c>
      <c r="B1319" s="121">
        <v>4100241</v>
      </c>
      <c r="C1319" s="79" t="s">
        <v>2269</v>
      </c>
      <c r="D1319" s="121">
        <v>4100242</v>
      </c>
      <c r="E1319" s="79" t="s">
        <v>2270</v>
      </c>
      <c r="F1319" s="79">
        <v>5</v>
      </c>
      <c r="G1319" s="79">
        <v>4</v>
      </c>
      <c r="H1319" s="79" t="s">
        <v>1281</v>
      </c>
      <c r="I1319" s="127"/>
      <c r="J1319" s="127"/>
      <c r="K1319" s="79">
        <v>4</v>
      </c>
      <c r="L1319" s="79">
        <v>8</v>
      </c>
      <c r="M1319" s="127" t="s">
        <v>2271</v>
      </c>
      <c r="N1319" s="79">
        <v>0</v>
      </c>
      <c r="O1319" s="79">
        <v>0</v>
      </c>
      <c r="P1319" s="107"/>
      <c r="R1319" s="121">
        <v>4100241</v>
      </c>
      <c r="S1319" s="79" t="s">
        <v>2269</v>
      </c>
      <c r="T1319" s="121">
        <v>4100242</v>
      </c>
      <c r="U1319" s="79" t="s">
        <v>2270</v>
      </c>
    </row>
    <row r="1320" spans="1:21" s="106" customFormat="1">
      <c r="A1320" s="79">
        <v>410031</v>
      </c>
      <c r="B1320" s="121">
        <v>4100311</v>
      </c>
      <c r="C1320" s="79" t="s">
        <v>2272</v>
      </c>
      <c r="D1320" s="121">
        <v>4100312</v>
      </c>
      <c r="E1320" s="79" t="s">
        <v>2273</v>
      </c>
      <c r="F1320" s="79">
        <v>5</v>
      </c>
      <c r="G1320" s="79">
        <v>4</v>
      </c>
      <c r="H1320" s="79" t="s">
        <v>1284</v>
      </c>
      <c r="I1320" s="127"/>
      <c r="J1320" s="127"/>
      <c r="K1320" s="79">
        <v>5</v>
      </c>
      <c r="L1320" s="79">
        <v>8</v>
      </c>
      <c r="M1320" s="127" t="s">
        <v>2274</v>
      </c>
      <c r="N1320" s="79">
        <v>0</v>
      </c>
      <c r="O1320" s="79">
        <v>0</v>
      </c>
      <c r="P1320" s="107"/>
      <c r="R1320" s="121">
        <v>4100311</v>
      </c>
      <c r="S1320" s="79" t="s">
        <v>2272</v>
      </c>
      <c r="T1320" s="121">
        <v>4100312</v>
      </c>
      <c r="U1320" s="79" t="s">
        <v>2273</v>
      </c>
    </row>
    <row r="1321" spans="1:21" s="106" customFormat="1">
      <c r="A1321" s="79">
        <v>410032</v>
      </c>
      <c r="B1321" s="121">
        <v>4100321</v>
      </c>
      <c r="C1321" s="79" t="s">
        <v>2275</v>
      </c>
      <c r="D1321" s="121">
        <v>4100322</v>
      </c>
      <c r="E1321" s="79" t="s">
        <v>2276</v>
      </c>
      <c r="F1321" s="79">
        <v>5</v>
      </c>
      <c r="G1321" s="79">
        <v>4</v>
      </c>
      <c r="H1321" s="79" t="s">
        <v>1284</v>
      </c>
      <c r="I1321" s="127"/>
      <c r="J1321" s="127"/>
      <c r="K1321" s="79">
        <v>5</v>
      </c>
      <c r="L1321" s="79">
        <v>8</v>
      </c>
      <c r="M1321" s="127" t="s">
        <v>2277</v>
      </c>
      <c r="N1321" s="79">
        <v>0</v>
      </c>
      <c r="O1321" s="79">
        <v>0</v>
      </c>
      <c r="P1321" s="107"/>
      <c r="R1321" s="121">
        <v>4100321</v>
      </c>
      <c r="S1321" s="79" t="s">
        <v>2275</v>
      </c>
      <c r="T1321" s="121">
        <v>4100322</v>
      </c>
      <c r="U1321" s="79" t="s">
        <v>2276</v>
      </c>
    </row>
    <row r="1322" spans="1:21" s="106" customFormat="1">
      <c r="A1322" s="79">
        <v>410033</v>
      </c>
      <c r="B1322" s="121">
        <v>4100331</v>
      </c>
      <c r="C1322" s="79" t="s">
        <v>2278</v>
      </c>
      <c r="D1322" s="121">
        <v>4100332</v>
      </c>
      <c r="E1322" s="79" t="s">
        <v>2279</v>
      </c>
      <c r="F1322" s="79">
        <v>5</v>
      </c>
      <c r="G1322" s="79">
        <v>4</v>
      </c>
      <c r="H1322" s="79" t="s">
        <v>1284</v>
      </c>
      <c r="I1322" s="127"/>
      <c r="J1322" s="127"/>
      <c r="K1322" s="79">
        <v>5</v>
      </c>
      <c r="L1322" s="79">
        <v>8</v>
      </c>
      <c r="M1322" s="127" t="s">
        <v>2280</v>
      </c>
      <c r="N1322" s="79">
        <v>0</v>
      </c>
      <c r="O1322" s="79">
        <v>0</v>
      </c>
      <c r="P1322" s="107"/>
      <c r="R1322" s="121">
        <v>4100331</v>
      </c>
      <c r="S1322" s="79" t="s">
        <v>2278</v>
      </c>
      <c r="T1322" s="121">
        <v>4100332</v>
      </c>
      <c r="U1322" s="79" t="s">
        <v>2279</v>
      </c>
    </row>
    <row r="1323" spans="1:21" s="106" customFormat="1">
      <c r="A1323" s="79">
        <v>410034</v>
      </c>
      <c r="B1323" s="121">
        <v>4100341</v>
      </c>
      <c r="C1323" s="79" t="s">
        <v>2281</v>
      </c>
      <c r="D1323" s="121">
        <v>4100342</v>
      </c>
      <c r="E1323" s="79" t="s">
        <v>2282</v>
      </c>
      <c r="F1323" s="79">
        <v>5</v>
      </c>
      <c r="G1323" s="79">
        <v>4</v>
      </c>
      <c r="H1323" s="79" t="s">
        <v>1284</v>
      </c>
      <c r="I1323" s="127"/>
      <c r="J1323" s="127"/>
      <c r="K1323" s="79">
        <v>5</v>
      </c>
      <c r="L1323" s="79">
        <v>8</v>
      </c>
      <c r="M1323" s="127" t="s">
        <v>2283</v>
      </c>
      <c r="N1323" s="79">
        <v>0</v>
      </c>
      <c r="O1323" s="79">
        <v>0</v>
      </c>
      <c r="P1323" s="107"/>
      <c r="R1323" s="121">
        <v>4100341</v>
      </c>
      <c r="S1323" s="79" t="s">
        <v>2281</v>
      </c>
      <c r="T1323" s="121">
        <v>4100342</v>
      </c>
      <c r="U1323" s="79" t="s">
        <v>2282</v>
      </c>
    </row>
    <row r="1324" spans="1:21" s="106" customFormat="1">
      <c r="A1324" s="79">
        <v>410041</v>
      </c>
      <c r="B1324" s="121">
        <v>4100411</v>
      </c>
      <c r="C1324" s="79" t="s">
        <v>2284</v>
      </c>
      <c r="D1324" s="121">
        <v>4100412</v>
      </c>
      <c r="E1324" s="79" t="s">
        <v>2285</v>
      </c>
      <c r="F1324" s="79">
        <v>5</v>
      </c>
      <c r="G1324" s="79">
        <v>4</v>
      </c>
      <c r="H1324" s="79" t="s">
        <v>1287</v>
      </c>
      <c r="I1324" s="127"/>
      <c r="J1324" s="127"/>
      <c r="K1324" s="79">
        <v>4</v>
      </c>
      <c r="L1324" s="79">
        <v>8</v>
      </c>
      <c r="M1324" s="127" t="s">
        <v>2286</v>
      </c>
      <c r="N1324" s="79">
        <v>0</v>
      </c>
      <c r="O1324" s="79">
        <v>0</v>
      </c>
      <c r="P1324" s="107"/>
      <c r="R1324" s="121">
        <v>4100411</v>
      </c>
      <c r="S1324" s="79" t="s">
        <v>2284</v>
      </c>
      <c r="T1324" s="121">
        <v>4100412</v>
      </c>
      <c r="U1324" s="79" t="s">
        <v>2285</v>
      </c>
    </row>
    <row r="1325" spans="1:21" s="106" customFormat="1">
      <c r="A1325" s="79">
        <v>410042</v>
      </c>
      <c r="B1325" s="121">
        <v>4100421</v>
      </c>
      <c r="C1325" s="79" t="s">
        <v>2287</v>
      </c>
      <c r="D1325" s="121">
        <v>4100422</v>
      </c>
      <c r="E1325" s="79" t="s">
        <v>2288</v>
      </c>
      <c r="F1325" s="79">
        <v>5</v>
      </c>
      <c r="G1325" s="79">
        <v>4</v>
      </c>
      <c r="H1325" s="79" t="s">
        <v>1287</v>
      </c>
      <c r="I1325" s="127"/>
      <c r="J1325" s="127"/>
      <c r="K1325" s="79">
        <v>4</v>
      </c>
      <c r="L1325" s="79">
        <v>8</v>
      </c>
      <c r="M1325" s="127" t="s">
        <v>2289</v>
      </c>
      <c r="N1325" s="79">
        <v>0</v>
      </c>
      <c r="O1325" s="79">
        <v>0</v>
      </c>
      <c r="P1325" s="107"/>
      <c r="R1325" s="121">
        <v>4100421</v>
      </c>
      <c r="S1325" s="79" t="s">
        <v>2287</v>
      </c>
      <c r="T1325" s="121">
        <v>4100422</v>
      </c>
      <c r="U1325" s="79" t="s">
        <v>2288</v>
      </c>
    </row>
    <row r="1326" spans="1:21" s="106" customFormat="1">
      <c r="A1326" s="79">
        <v>410043</v>
      </c>
      <c r="B1326" s="121">
        <v>4100431</v>
      </c>
      <c r="C1326" s="79" t="s">
        <v>2290</v>
      </c>
      <c r="D1326" s="121">
        <v>4100432</v>
      </c>
      <c r="E1326" s="79" t="s">
        <v>2291</v>
      </c>
      <c r="F1326" s="79">
        <v>5</v>
      </c>
      <c r="G1326" s="79">
        <v>4</v>
      </c>
      <c r="H1326" s="79" t="s">
        <v>1287</v>
      </c>
      <c r="I1326" s="127"/>
      <c r="J1326" s="127"/>
      <c r="K1326" s="79">
        <v>4</v>
      </c>
      <c r="L1326" s="79">
        <v>8</v>
      </c>
      <c r="M1326" s="127" t="s">
        <v>2292</v>
      </c>
      <c r="N1326" s="79">
        <v>0</v>
      </c>
      <c r="O1326" s="79">
        <v>0</v>
      </c>
      <c r="P1326" s="107"/>
      <c r="R1326" s="121">
        <v>4100431</v>
      </c>
      <c r="S1326" s="79" t="s">
        <v>2290</v>
      </c>
      <c r="T1326" s="121">
        <v>4100432</v>
      </c>
      <c r="U1326" s="79" t="s">
        <v>2291</v>
      </c>
    </row>
    <row r="1327" spans="1:21" s="106" customFormat="1">
      <c r="A1327" s="79">
        <v>410044</v>
      </c>
      <c r="B1327" s="121">
        <v>4100441</v>
      </c>
      <c r="C1327" s="79" t="s">
        <v>2293</v>
      </c>
      <c r="D1327" s="121">
        <v>4100442</v>
      </c>
      <c r="E1327" s="79" t="s">
        <v>2294</v>
      </c>
      <c r="F1327" s="79">
        <v>5</v>
      </c>
      <c r="G1327" s="79">
        <v>4</v>
      </c>
      <c r="H1327" s="79" t="s">
        <v>1287</v>
      </c>
      <c r="I1327" s="127"/>
      <c r="J1327" s="127"/>
      <c r="K1327" s="79">
        <v>4</v>
      </c>
      <c r="L1327" s="79">
        <v>8</v>
      </c>
      <c r="M1327" s="127" t="s">
        <v>2295</v>
      </c>
      <c r="N1327" s="79">
        <v>0</v>
      </c>
      <c r="O1327" s="79">
        <v>0</v>
      </c>
      <c r="P1327" s="107"/>
      <c r="R1327" s="121">
        <v>4100441</v>
      </c>
      <c r="S1327" s="79" t="s">
        <v>2293</v>
      </c>
      <c r="T1327" s="121">
        <v>4100442</v>
      </c>
      <c r="U1327" s="79" t="s">
        <v>2294</v>
      </c>
    </row>
    <row r="1328" spans="1:21" s="106" customFormat="1">
      <c r="A1328" s="79">
        <v>410045</v>
      </c>
      <c r="B1328" s="121">
        <v>4100451</v>
      </c>
      <c r="C1328" s="79" t="s">
        <v>2296</v>
      </c>
      <c r="D1328" s="121">
        <v>4100452</v>
      </c>
      <c r="E1328" s="79" t="s">
        <v>2297</v>
      </c>
      <c r="F1328" s="79">
        <v>5</v>
      </c>
      <c r="G1328" s="79">
        <v>4</v>
      </c>
      <c r="H1328" s="79" t="s">
        <v>1287</v>
      </c>
      <c r="I1328" s="127"/>
      <c r="J1328" s="127"/>
      <c r="K1328" s="79">
        <v>4</v>
      </c>
      <c r="L1328" s="79">
        <v>8</v>
      </c>
      <c r="M1328" s="127" t="s">
        <v>2298</v>
      </c>
      <c r="N1328" s="79">
        <v>0</v>
      </c>
      <c r="O1328" s="79">
        <v>0</v>
      </c>
      <c r="P1328" s="107"/>
      <c r="R1328" s="121">
        <v>4100451</v>
      </c>
      <c r="S1328" s="79" t="s">
        <v>2296</v>
      </c>
      <c r="T1328" s="121">
        <v>4100452</v>
      </c>
      <c r="U1328" s="79" t="s">
        <v>2297</v>
      </c>
    </row>
    <row r="1329" spans="1:21" s="106" customFormat="1">
      <c r="A1329" s="79">
        <v>410051</v>
      </c>
      <c r="B1329" s="121">
        <v>4100511</v>
      </c>
      <c r="C1329" s="79" t="s">
        <v>2299</v>
      </c>
      <c r="D1329" s="121">
        <v>4100512</v>
      </c>
      <c r="E1329" s="79" t="s">
        <v>2300</v>
      </c>
      <c r="F1329" s="79">
        <v>5</v>
      </c>
      <c r="G1329" s="79">
        <v>4</v>
      </c>
      <c r="H1329" s="79" t="s">
        <v>1290</v>
      </c>
      <c r="I1329" s="127"/>
      <c r="J1329" s="127"/>
      <c r="K1329" s="79">
        <v>5</v>
      </c>
      <c r="L1329" s="79">
        <v>8</v>
      </c>
      <c r="M1329" s="127" t="s">
        <v>2301</v>
      </c>
      <c r="N1329" s="79">
        <v>0</v>
      </c>
      <c r="O1329" s="79">
        <v>0</v>
      </c>
      <c r="P1329" s="107"/>
      <c r="R1329" s="121">
        <v>4100511</v>
      </c>
      <c r="S1329" s="79" t="s">
        <v>2299</v>
      </c>
      <c r="T1329" s="121">
        <v>4100512</v>
      </c>
      <c r="U1329" s="79" t="s">
        <v>2300</v>
      </c>
    </row>
    <row r="1330" spans="1:21" s="106" customFormat="1">
      <c r="A1330" s="79">
        <v>410052</v>
      </c>
      <c r="B1330" s="121">
        <v>4100521</v>
      </c>
      <c r="C1330" s="79" t="s">
        <v>2302</v>
      </c>
      <c r="D1330" s="121">
        <v>4100522</v>
      </c>
      <c r="E1330" s="79" t="s">
        <v>2303</v>
      </c>
      <c r="F1330" s="79">
        <v>5</v>
      </c>
      <c r="G1330" s="79">
        <v>4</v>
      </c>
      <c r="H1330" s="79" t="s">
        <v>1290</v>
      </c>
      <c r="I1330" s="127"/>
      <c r="J1330" s="127"/>
      <c r="K1330" s="79">
        <v>5</v>
      </c>
      <c r="L1330" s="79">
        <v>8</v>
      </c>
      <c r="M1330" s="127" t="s">
        <v>2304</v>
      </c>
      <c r="N1330" s="79">
        <v>0</v>
      </c>
      <c r="O1330" s="79">
        <v>0</v>
      </c>
      <c r="P1330" s="107"/>
      <c r="R1330" s="121">
        <v>4100521</v>
      </c>
      <c r="S1330" s="79" t="s">
        <v>2302</v>
      </c>
      <c r="T1330" s="121">
        <v>4100522</v>
      </c>
      <c r="U1330" s="79" t="s">
        <v>2303</v>
      </c>
    </row>
    <row r="1331" spans="1:21" s="106" customFormat="1">
      <c r="A1331" s="79">
        <v>410053</v>
      </c>
      <c r="B1331" s="121">
        <v>4100531</v>
      </c>
      <c r="C1331" s="79" t="s">
        <v>2305</v>
      </c>
      <c r="D1331" s="121">
        <v>4100532</v>
      </c>
      <c r="E1331" s="79" t="s">
        <v>2306</v>
      </c>
      <c r="F1331" s="79">
        <v>5</v>
      </c>
      <c r="G1331" s="79">
        <v>4</v>
      </c>
      <c r="H1331" s="79" t="s">
        <v>1290</v>
      </c>
      <c r="I1331" s="127"/>
      <c r="J1331" s="127"/>
      <c r="K1331" s="79">
        <v>5</v>
      </c>
      <c r="L1331" s="79">
        <v>8</v>
      </c>
      <c r="M1331" s="127" t="s">
        <v>2307</v>
      </c>
      <c r="N1331" s="79">
        <v>0</v>
      </c>
      <c r="O1331" s="79">
        <v>0</v>
      </c>
      <c r="P1331" s="107"/>
      <c r="R1331" s="121">
        <v>4100531</v>
      </c>
      <c r="S1331" s="79" t="s">
        <v>2305</v>
      </c>
      <c r="T1331" s="121">
        <v>4100532</v>
      </c>
      <c r="U1331" s="79" t="s">
        <v>2306</v>
      </c>
    </row>
    <row r="1332" spans="1:21" s="106" customFormat="1">
      <c r="A1332" s="79">
        <v>410054</v>
      </c>
      <c r="B1332" s="121">
        <v>4100541</v>
      </c>
      <c r="C1332" s="79" t="s">
        <v>2308</v>
      </c>
      <c r="D1332" s="121">
        <v>4100542</v>
      </c>
      <c r="E1332" s="79" t="s">
        <v>2309</v>
      </c>
      <c r="F1332" s="79">
        <v>5</v>
      </c>
      <c r="G1332" s="79">
        <v>4</v>
      </c>
      <c r="H1332" s="79" t="s">
        <v>1290</v>
      </c>
      <c r="I1332" s="127"/>
      <c r="J1332" s="127"/>
      <c r="K1332" s="79">
        <v>5</v>
      </c>
      <c r="L1332" s="79">
        <v>8</v>
      </c>
      <c r="M1332" s="127" t="s">
        <v>2310</v>
      </c>
      <c r="N1332" s="79">
        <v>0</v>
      </c>
      <c r="O1332" s="79">
        <v>0</v>
      </c>
      <c r="P1332" s="107"/>
      <c r="R1332" s="121">
        <v>4100541</v>
      </c>
      <c r="S1332" s="79" t="s">
        <v>2308</v>
      </c>
      <c r="T1332" s="121">
        <v>4100542</v>
      </c>
      <c r="U1332" s="79" t="s">
        <v>2309</v>
      </c>
    </row>
    <row r="1333" spans="1:21" s="106" customFormat="1">
      <c r="A1333" s="79">
        <v>410056</v>
      </c>
      <c r="B1333" s="121">
        <v>4100561</v>
      </c>
      <c r="C1333" s="79" t="s">
        <v>2311</v>
      </c>
      <c r="D1333" s="121">
        <v>4100562</v>
      </c>
      <c r="E1333" s="79" t="s">
        <v>2312</v>
      </c>
      <c r="F1333" s="79">
        <v>5</v>
      </c>
      <c r="G1333" s="79">
        <v>4</v>
      </c>
      <c r="H1333" s="79" t="s">
        <v>1290</v>
      </c>
      <c r="I1333" s="127"/>
      <c r="J1333" s="127"/>
      <c r="K1333" s="79">
        <v>5</v>
      </c>
      <c r="L1333" s="79">
        <v>8</v>
      </c>
      <c r="M1333" s="127" t="s">
        <v>2313</v>
      </c>
      <c r="N1333" s="79">
        <v>0</v>
      </c>
      <c r="O1333" s="79">
        <v>0</v>
      </c>
      <c r="P1333" s="107"/>
      <c r="R1333" s="121">
        <v>4100561</v>
      </c>
      <c r="S1333" s="79" t="s">
        <v>2311</v>
      </c>
      <c r="T1333" s="121">
        <v>4100562</v>
      </c>
      <c r="U1333" s="79" t="s">
        <v>2312</v>
      </c>
    </row>
    <row r="1334" spans="1:21" s="106" customFormat="1">
      <c r="A1334" s="79">
        <v>410061</v>
      </c>
      <c r="B1334" s="121">
        <v>4100611</v>
      </c>
      <c r="C1334" s="79" t="s">
        <v>2314</v>
      </c>
      <c r="D1334" s="121">
        <v>4100612</v>
      </c>
      <c r="E1334" s="79" t="s">
        <v>2315</v>
      </c>
      <c r="F1334" s="79">
        <v>5</v>
      </c>
      <c r="G1334" s="79">
        <v>4</v>
      </c>
      <c r="H1334" s="79" t="s">
        <v>1293</v>
      </c>
      <c r="I1334" s="127"/>
      <c r="J1334" s="127"/>
      <c r="K1334" s="79">
        <v>4</v>
      </c>
      <c r="L1334" s="79">
        <v>8</v>
      </c>
      <c r="M1334" s="127" t="s">
        <v>2316</v>
      </c>
      <c r="N1334" s="79">
        <v>0</v>
      </c>
      <c r="O1334" s="79">
        <v>0</v>
      </c>
      <c r="P1334" s="107"/>
      <c r="R1334" s="121">
        <v>4100611</v>
      </c>
      <c r="S1334" s="79" t="s">
        <v>2314</v>
      </c>
      <c r="T1334" s="121">
        <v>4100612</v>
      </c>
      <c r="U1334" s="79" t="s">
        <v>2315</v>
      </c>
    </row>
    <row r="1335" spans="1:21" s="106" customFormat="1">
      <c r="A1335" s="79">
        <v>410062</v>
      </c>
      <c r="B1335" s="121">
        <v>4100621</v>
      </c>
      <c r="C1335" s="79" t="s">
        <v>2317</v>
      </c>
      <c r="D1335" s="121">
        <v>4100622</v>
      </c>
      <c r="E1335" s="79" t="s">
        <v>2318</v>
      </c>
      <c r="F1335" s="79">
        <v>5</v>
      </c>
      <c r="G1335" s="79">
        <v>4</v>
      </c>
      <c r="H1335" s="79" t="s">
        <v>1293</v>
      </c>
      <c r="I1335" s="127"/>
      <c r="J1335" s="127"/>
      <c r="K1335" s="79">
        <v>4</v>
      </c>
      <c r="L1335" s="79">
        <v>8</v>
      </c>
      <c r="M1335" s="127" t="s">
        <v>2319</v>
      </c>
      <c r="N1335" s="79">
        <v>0</v>
      </c>
      <c r="O1335" s="79">
        <v>0</v>
      </c>
      <c r="P1335" s="107"/>
      <c r="R1335" s="121">
        <v>4100621</v>
      </c>
      <c r="S1335" s="79" t="s">
        <v>2317</v>
      </c>
      <c r="T1335" s="121">
        <v>4100622</v>
      </c>
      <c r="U1335" s="79" t="s">
        <v>2318</v>
      </c>
    </row>
    <row r="1336" spans="1:21" s="106" customFormat="1">
      <c r="A1336" s="79">
        <v>410063</v>
      </c>
      <c r="B1336" s="121">
        <v>4100631</v>
      </c>
      <c r="C1336" s="79" t="s">
        <v>2320</v>
      </c>
      <c r="D1336" s="121">
        <v>4100632</v>
      </c>
      <c r="E1336" s="79" t="s">
        <v>2321</v>
      </c>
      <c r="F1336" s="79">
        <v>5</v>
      </c>
      <c r="G1336" s="79">
        <v>4</v>
      </c>
      <c r="H1336" s="79" t="s">
        <v>1293</v>
      </c>
      <c r="I1336" s="127"/>
      <c r="J1336" s="127"/>
      <c r="K1336" s="79">
        <v>4</v>
      </c>
      <c r="L1336" s="79">
        <v>8</v>
      </c>
      <c r="M1336" s="127" t="s">
        <v>2322</v>
      </c>
      <c r="N1336" s="79">
        <v>0</v>
      </c>
      <c r="O1336" s="79">
        <v>0</v>
      </c>
      <c r="P1336" s="107"/>
      <c r="R1336" s="121">
        <v>4100631</v>
      </c>
      <c r="S1336" s="79" t="s">
        <v>2320</v>
      </c>
      <c r="T1336" s="121">
        <v>4100632</v>
      </c>
      <c r="U1336" s="79" t="s">
        <v>2321</v>
      </c>
    </row>
    <row r="1337" spans="1:21" s="106" customFormat="1">
      <c r="A1337" s="79">
        <v>410064</v>
      </c>
      <c r="B1337" s="121">
        <v>4100641</v>
      </c>
      <c r="C1337" s="79" t="s">
        <v>2323</v>
      </c>
      <c r="D1337" s="121">
        <v>4100642</v>
      </c>
      <c r="E1337" s="79" t="s">
        <v>2324</v>
      </c>
      <c r="F1337" s="79">
        <v>5</v>
      </c>
      <c r="G1337" s="79">
        <v>4</v>
      </c>
      <c r="H1337" s="79" t="s">
        <v>1293</v>
      </c>
      <c r="I1337" s="127"/>
      <c r="J1337" s="127"/>
      <c r="K1337" s="79">
        <v>4</v>
      </c>
      <c r="L1337" s="79">
        <v>8</v>
      </c>
      <c r="M1337" s="127" t="s">
        <v>2325</v>
      </c>
      <c r="N1337" s="79">
        <v>0</v>
      </c>
      <c r="O1337" s="79">
        <v>0</v>
      </c>
      <c r="P1337" s="107"/>
      <c r="R1337" s="121">
        <v>4100641</v>
      </c>
      <c r="S1337" s="79" t="s">
        <v>2323</v>
      </c>
      <c r="T1337" s="121">
        <v>4100642</v>
      </c>
      <c r="U1337" s="79" t="s">
        <v>2324</v>
      </c>
    </row>
    <row r="1338" spans="1:21" s="106" customFormat="1">
      <c r="A1338" s="79">
        <v>410065</v>
      </c>
      <c r="B1338" s="121">
        <v>4100651</v>
      </c>
      <c r="C1338" s="79" t="s">
        <v>2326</v>
      </c>
      <c r="D1338" s="121">
        <v>4100652</v>
      </c>
      <c r="E1338" s="79" t="s">
        <v>2327</v>
      </c>
      <c r="F1338" s="79">
        <v>5</v>
      </c>
      <c r="G1338" s="79">
        <v>4</v>
      </c>
      <c r="H1338" s="79" t="s">
        <v>1293</v>
      </c>
      <c r="I1338" s="127"/>
      <c r="J1338" s="127"/>
      <c r="K1338" s="79">
        <v>4</v>
      </c>
      <c r="L1338" s="79">
        <v>8</v>
      </c>
      <c r="M1338" s="127" t="s">
        <v>2328</v>
      </c>
      <c r="N1338" s="79">
        <v>0</v>
      </c>
      <c r="O1338" s="79">
        <v>0</v>
      </c>
      <c r="P1338" s="107"/>
      <c r="R1338" s="121">
        <v>4100651</v>
      </c>
      <c r="S1338" s="79" t="s">
        <v>2326</v>
      </c>
      <c r="T1338" s="121">
        <v>4100652</v>
      </c>
      <c r="U1338" s="79" t="s">
        <v>2327</v>
      </c>
    </row>
    <row r="1339" spans="1:21" s="106" customFormat="1">
      <c r="A1339" s="79">
        <v>410071</v>
      </c>
      <c r="B1339" s="79">
        <v>4100711</v>
      </c>
      <c r="C1339" s="79" t="s">
        <v>2329</v>
      </c>
      <c r="D1339" s="121">
        <v>4100712</v>
      </c>
      <c r="E1339" s="79" t="s">
        <v>2330</v>
      </c>
      <c r="F1339" s="79">
        <v>5</v>
      </c>
      <c r="G1339" s="79">
        <v>4</v>
      </c>
      <c r="H1339" s="79" t="s">
        <v>1296</v>
      </c>
      <c r="I1339" s="127"/>
      <c r="J1339" s="127"/>
      <c r="K1339" s="79">
        <v>5</v>
      </c>
      <c r="L1339" s="79">
        <v>8</v>
      </c>
      <c r="M1339" s="127" t="s">
        <v>2331</v>
      </c>
      <c r="N1339" s="79">
        <v>0</v>
      </c>
      <c r="O1339" s="79">
        <v>0</v>
      </c>
      <c r="P1339" s="107"/>
      <c r="R1339" s="79">
        <v>4100711</v>
      </c>
      <c r="S1339" s="79" t="s">
        <v>2329</v>
      </c>
      <c r="T1339" s="121">
        <v>4100712</v>
      </c>
      <c r="U1339" s="79" t="s">
        <v>2330</v>
      </c>
    </row>
    <row r="1340" spans="1:21" s="106" customFormat="1">
      <c r="A1340" s="79">
        <v>410072</v>
      </c>
      <c r="B1340" s="121">
        <v>4100721</v>
      </c>
      <c r="C1340" s="79" t="s">
        <v>2332</v>
      </c>
      <c r="D1340" s="121">
        <v>4100722</v>
      </c>
      <c r="E1340" s="79" t="s">
        <v>2333</v>
      </c>
      <c r="F1340" s="79">
        <v>5</v>
      </c>
      <c r="G1340" s="79">
        <v>4</v>
      </c>
      <c r="H1340" s="79" t="s">
        <v>1296</v>
      </c>
      <c r="I1340" s="127"/>
      <c r="J1340" s="127"/>
      <c r="K1340" s="79">
        <v>5</v>
      </c>
      <c r="L1340" s="79">
        <v>8</v>
      </c>
      <c r="M1340" s="127" t="s">
        <v>2334</v>
      </c>
      <c r="N1340" s="79">
        <v>0</v>
      </c>
      <c r="O1340" s="79">
        <v>0</v>
      </c>
      <c r="P1340" s="107"/>
      <c r="R1340" s="121">
        <v>4100721</v>
      </c>
      <c r="S1340" s="79" t="s">
        <v>2332</v>
      </c>
      <c r="T1340" s="121">
        <v>4100722</v>
      </c>
      <c r="U1340" s="79" t="s">
        <v>2333</v>
      </c>
    </row>
    <row r="1341" spans="1:21" s="106" customFormat="1">
      <c r="A1341" s="79">
        <v>410073</v>
      </c>
      <c r="B1341" s="121">
        <v>4100731</v>
      </c>
      <c r="C1341" s="79" t="s">
        <v>2335</v>
      </c>
      <c r="D1341" s="121">
        <v>4100732</v>
      </c>
      <c r="E1341" s="79" t="s">
        <v>2336</v>
      </c>
      <c r="F1341" s="79">
        <v>5</v>
      </c>
      <c r="G1341" s="79">
        <v>4</v>
      </c>
      <c r="H1341" s="79" t="s">
        <v>1296</v>
      </c>
      <c r="I1341" s="127"/>
      <c r="J1341" s="127"/>
      <c r="K1341" s="79">
        <v>5</v>
      </c>
      <c r="L1341" s="79">
        <v>8</v>
      </c>
      <c r="M1341" s="127" t="s">
        <v>2337</v>
      </c>
      <c r="N1341" s="79">
        <v>0</v>
      </c>
      <c r="O1341" s="79">
        <v>0</v>
      </c>
      <c r="P1341" s="107"/>
      <c r="R1341" s="121">
        <v>4100731</v>
      </c>
      <c r="S1341" s="79" t="s">
        <v>2335</v>
      </c>
      <c r="T1341" s="121">
        <v>4100732</v>
      </c>
      <c r="U1341" s="79" t="s">
        <v>2336</v>
      </c>
    </row>
    <row r="1342" spans="1:21" s="106" customFormat="1">
      <c r="A1342" s="79">
        <v>410074</v>
      </c>
      <c r="B1342" s="121">
        <v>4100741</v>
      </c>
      <c r="C1342" s="79" t="s">
        <v>2338</v>
      </c>
      <c r="D1342" s="121">
        <v>4100742</v>
      </c>
      <c r="E1342" s="79" t="s">
        <v>2339</v>
      </c>
      <c r="F1342" s="79">
        <v>5</v>
      </c>
      <c r="G1342" s="79">
        <v>4</v>
      </c>
      <c r="H1342" s="79" t="s">
        <v>1296</v>
      </c>
      <c r="I1342" s="127"/>
      <c r="J1342" s="127"/>
      <c r="K1342" s="79">
        <v>5</v>
      </c>
      <c r="L1342" s="79">
        <v>8</v>
      </c>
      <c r="M1342" s="127" t="s">
        <v>2340</v>
      </c>
      <c r="N1342" s="79">
        <v>0</v>
      </c>
      <c r="O1342" s="79">
        <v>0</v>
      </c>
      <c r="P1342" s="107"/>
      <c r="R1342" s="121">
        <v>4100741</v>
      </c>
      <c r="S1342" s="79" t="s">
        <v>2338</v>
      </c>
      <c r="T1342" s="121">
        <v>4100742</v>
      </c>
      <c r="U1342" s="79" t="s">
        <v>2339</v>
      </c>
    </row>
    <row r="1343" spans="1:21" s="106" customFormat="1">
      <c r="A1343" s="79">
        <v>410132</v>
      </c>
      <c r="B1343" s="121">
        <v>4101321</v>
      </c>
      <c r="C1343" s="79" t="s">
        <v>2341</v>
      </c>
      <c r="D1343" s="121">
        <v>4101322</v>
      </c>
      <c r="E1343" s="79" t="s">
        <v>2342</v>
      </c>
      <c r="F1343" s="79">
        <v>5</v>
      </c>
      <c r="G1343" s="79">
        <v>4</v>
      </c>
      <c r="H1343" s="79" t="s">
        <v>1315</v>
      </c>
      <c r="I1343" s="127"/>
      <c r="J1343" s="127"/>
      <c r="K1343" s="79">
        <v>5</v>
      </c>
      <c r="L1343" s="79">
        <v>8</v>
      </c>
      <c r="M1343" s="127" t="s">
        <v>2343</v>
      </c>
      <c r="N1343" s="79">
        <v>0</v>
      </c>
      <c r="O1343" s="79">
        <v>0</v>
      </c>
      <c r="P1343" s="107"/>
      <c r="R1343" s="121">
        <v>4101321</v>
      </c>
      <c r="S1343" s="79" t="s">
        <v>2341</v>
      </c>
      <c r="T1343" s="121">
        <v>4101322</v>
      </c>
      <c r="U1343" s="79" t="s">
        <v>2342</v>
      </c>
    </row>
    <row r="1344" spans="1:21" s="106" customFormat="1">
      <c r="A1344" s="79">
        <v>410181</v>
      </c>
      <c r="B1344" s="121">
        <v>4101811</v>
      </c>
      <c r="C1344" s="79" t="s">
        <v>2344</v>
      </c>
      <c r="D1344" s="121">
        <v>4101812</v>
      </c>
      <c r="E1344" s="79" t="s">
        <v>2345</v>
      </c>
      <c r="F1344" s="79">
        <v>5</v>
      </c>
      <c r="G1344" s="79">
        <v>4</v>
      </c>
      <c r="H1344" s="79" t="s">
        <v>1327</v>
      </c>
      <c r="I1344" s="127"/>
      <c r="J1344" s="127"/>
      <c r="K1344" s="79">
        <v>8</v>
      </c>
      <c r="L1344" s="79">
        <v>8</v>
      </c>
      <c r="M1344" s="127" t="s">
        <v>2346</v>
      </c>
      <c r="N1344" s="79">
        <v>0</v>
      </c>
      <c r="O1344" s="79">
        <v>0</v>
      </c>
      <c r="P1344" s="107"/>
      <c r="R1344" s="121">
        <v>4101811</v>
      </c>
      <c r="S1344" s="79" t="s">
        <v>2344</v>
      </c>
      <c r="T1344" s="121">
        <v>4101812</v>
      </c>
      <c r="U1344" s="79" t="s">
        <v>2345</v>
      </c>
    </row>
    <row r="1345" spans="1:21" s="178" customFormat="1">
      <c r="A1345" s="175">
        <v>410201</v>
      </c>
      <c r="B1345" s="181">
        <v>4102011</v>
      </c>
      <c r="C1345" s="175" t="s">
        <v>2347</v>
      </c>
      <c r="D1345" s="181">
        <v>4102012</v>
      </c>
      <c r="E1345" s="175" t="s">
        <v>2348</v>
      </c>
      <c r="F1345" s="175">
        <v>5</v>
      </c>
      <c r="G1345" s="175">
        <v>4</v>
      </c>
      <c r="H1345" s="175" t="s">
        <v>1333</v>
      </c>
      <c r="I1345" s="179"/>
      <c r="J1345" s="179"/>
      <c r="K1345" s="175">
        <v>6</v>
      </c>
      <c r="L1345" s="175">
        <v>8</v>
      </c>
      <c r="M1345" s="179" t="s">
        <v>2349</v>
      </c>
      <c r="N1345" s="175">
        <v>0</v>
      </c>
      <c r="O1345" s="175">
        <v>0</v>
      </c>
      <c r="P1345" s="175"/>
      <c r="R1345" s="181">
        <v>4102011</v>
      </c>
      <c r="S1345" s="175" t="s">
        <v>2347</v>
      </c>
      <c r="T1345" s="181">
        <v>4102012</v>
      </c>
      <c r="U1345" s="175" t="s">
        <v>2348</v>
      </c>
    </row>
    <row r="1346" spans="1:21" s="178" customFormat="1">
      <c r="A1346" s="175">
        <v>410211</v>
      </c>
      <c r="B1346" s="181">
        <v>4102111</v>
      </c>
      <c r="C1346" s="175" t="s">
        <v>2350</v>
      </c>
      <c r="D1346" s="181">
        <v>4102112</v>
      </c>
      <c r="E1346" s="175" t="s">
        <v>2351</v>
      </c>
      <c r="F1346" s="175">
        <v>5</v>
      </c>
      <c r="G1346" s="175">
        <v>4</v>
      </c>
      <c r="H1346" s="175" t="s">
        <v>1335</v>
      </c>
      <c r="I1346" s="179"/>
      <c r="J1346" s="179"/>
      <c r="K1346" s="175">
        <v>6</v>
      </c>
      <c r="L1346" s="175">
        <v>8</v>
      </c>
      <c r="M1346" s="179" t="s">
        <v>2352</v>
      </c>
      <c r="N1346" s="175">
        <v>0</v>
      </c>
      <c r="O1346" s="175">
        <v>0</v>
      </c>
      <c r="P1346" s="175"/>
      <c r="R1346" s="175">
        <v>4102113</v>
      </c>
      <c r="S1346" s="178" t="s">
        <v>2353</v>
      </c>
      <c r="T1346" s="182">
        <v>4102114</v>
      </c>
      <c r="U1346" s="175" t="s">
        <v>2354</v>
      </c>
    </row>
    <row r="1347" spans="1:21" s="178" customFormat="1">
      <c r="A1347" s="175">
        <v>410221</v>
      </c>
      <c r="B1347" s="181">
        <v>4102211</v>
      </c>
      <c r="C1347" s="175" t="s">
        <v>5589</v>
      </c>
      <c r="D1347" s="181">
        <v>4102212</v>
      </c>
      <c r="E1347" s="175" t="s">
        <v>5590</v>
      </c>
      <c r="F1347" s="175">
        <v>5</v>
      </c>
      <c r="G1347" s="175">
        <v>4</v>
      </c>
      <c r="H1347" s="175" t="s">
        <v>1339</v>
      </c>
      <c r="I1347" s="179"/>
      <c r="J1347" s="179"/>
      <c r="K1347" s="175">
        <v>6</v>
      </c>
      <c r="L1347" s="175">
        <v>8</v>
      </c>
      <c r="M1347" s="179" t="s">
        <v>2355</v>
      </c>
      <c r="N1347" s="175">
        <v>0</v>
      </c>
      <c r="O1347" s="175">
        <v>0</v>
      </c>
      <c r="P1347" s="175"/>
      <c r="R1347" s="175">
        <v>4102211</v>
      </c>
      <c r="S1347" s="178" t="s">
        <v>2356</v>
      </c>
      <c r="T1347" s="182">
        <v>4102212</v>
      </c>
      <c r="U1347" s="175" t="s">
        <v>2357</v>
      </c>
    </row>
    <row r="1348" spans="1:21" s="178" customFormat="1">
      <c r="A1348" s="175">
        <v>410231</v>
      </c>
      <c r="B1348" s="181">
        <v>4102311</v>
      </c>
      <c r="C1348" s="175" t="s">
        <v>5642</v>
      </c>
      <c r="D1348" s="181">
        <v>4102312</v>
      </c>
      <c r="E1348" s="175" t="s">
        <v>5645</v>
      </c>
      <c r="F1348" s="175">
        <v>5</v>
      </c>
      <c r="G1348" s="175">
        <v>4</v>
      </c>
      <c r="H1348" s="175" t="s">
        <v>5634</v>
      </c>
      <c r="I1348" s="179"/>
      <c r="J1348" s="179"/>
      <c r="K1348" s="175">
        <v>6</v>
      </c>
      <c r="L1348" s="175">
        <v>8</v>
      </c>
      <c r="M1348" s="179" t="s">
        <v>5644</v>
      </c>
      <c r="N1348" s="175">
        <v>0</v>
      </c>
      <c r="O1348" s="175">
        <v>0</v>
      </c>
      <c r="P1348" s="175"/>
      <c r="R1348" s="175">
        <v>4102311</v>
      </c>
      <c r="S1348" s="178" t="s">
        <v>5641</v>
      </c>
      <c r="T1348" s="182">
        <v>4102312</v>
      </c>
      <c r="U1348" s="175" t="s">
        <v>5643</v>
      </c>
    </row>
    <row r="1349" spans="1:21" s="106" customFormat="1">
      <c r="A1349" s="79">
        <v>420011</v>
      </c>
      <c r="B1349" s="121">
        <v>4200111</v>
      </c>
      <c r="C1349" s="79" t="s">
        <v>2358</v>
      </c>
      <c r="D1349" s="121">
        <v>4200112</v>
      </c>
      <c r="E1349" s="79" t="s">
        <v>2359</v>
      </c>
      <c r="F1349" s="79">
        <v>5</v>
      </c>
      <c r="G1349" s="79">
        <v>4</v>
      </c>
      <c r="H1349" s="79" t="s">
        <v>1394</v>
      </c>
      <c r="I1349" s="127"/>
      <c r="J1349" s="127"/>
      <c r="K1349" s="79">
        <v>3</v>
      </c>
      <c r="L1349" s="79">
        <v>8</v>
      </c>
      <c r="M1349" s="127" t="s">
        <v>2360</v>
      </c>
      <c r="N1349" s="79">
        <v>0</v>
      </c>
      <c r="O1349" s="79">
        <v>0</v>
      </c>
      <c r="P1349" s="107"/>
      <c r="R1349" s="79"/>
    </row>
    <row r="1350" spans="1:21" s="106" customFormat="1">
      <c r="A1350" s="79">
        <v>420012</v>
      </c>
      <c r="B1350" s="121">
        <v>4200121</v>
      </c>
      <c r="C1350" s="79" t="s">
        <v>2361</v>
      </c>
      <c r="D1350" s="121">
        <v>4200122</v>
      </c>
      <c r="E1350" s="79" t="s">
        <v>2362</v>
      </c>
      <c r="F1350" s="79">
        <v>5</v>
      </c>
      <c r="G1350" s="79">
        <v>4</v>
      </c>
      <c r="H1350" s="79" t="s">
        <v>1394</v>
      </c>
      <c r="I1350" s="127"/>
      <c r="J1350" s="127"/>
      <c r="K1350" s="79">
        <v>3</v>
      </c>
      <c r="L1350" s="79">
        <v>8</v>
      </c>
      <c r="M1350" s="127" t="s">
        <v>2363</v>
      </c>
      <c r="N1350" s="79">
        <v>0</v>
      </c>
      <c r="O1350" s="79">
        <v>0</v>
      </c>
      <c r="P1350" s="107"/>
      <c r="R1350" s="79"/>
    </row>
    <row r="1351" spans="1:21" s="106" customFormat="1">
      <c r="A1351" s="79">
        <v>420013</v>
      </c>
      <c r="B1351" s="121">
        <v>4200131</v>
      </c>
      <c r="C1351" s="79" t="s">
        <v>2364</v>
      </c>
      <c r="D1351" s="121">
        <v>4200132</v>
      </c>
      <c r="E1351" s="79" t="s">
        <v>2365</v>
      </c>
      <c r="F1351" s="79">
        <v>5</v>
      </c>
      <c r="G1351" s="79">
        <v>4</v>
      </c>
      <c r="H1351" s="79" t="s">
        <v>1394</v>
      </c>
      <c r="I1351" s="127"/>
      <c r="J1351" s="127"/>
      <c r="K1351" s="79">
        <v>3</v>
      </c>
      <c r="L1351" s="79">
        <v>8</v>
      </c>
      <c r="M1351" s="127" t="s">
        <v>2366</v>
      </c>
      <c r="N1351" s="79">
        <v>0</v>
      </c>
      <c r="O1351" s="79">
        <v>0</v>
      </c>
      <c r="P1351" s="107"/>
      <c r="R1351" s="79"/>
    </row>
    <row r="1352" spans="1:21" s="106" customFormat="1">
      <c r="A1352" s="79">
        <v>420014</v>
      </c>
      <c r="B1352" s="121">
        <v>4200141</v>
      </c>
      <c r="C1352" s="79" t="s">
        <v>2367</v>
      </c>
      <c r="D1352" s="121">
        <v>4200142</v>
      </c>
      <c r="E1352" s="79" t="s">
        <v>2368</v>
      </c>
      <c r="F1352" s="79">
        <v>5</v>
      </c>
      <c r="G1352" s="79">
        <v>4</v>
      </c>
      <c r="H1352" s="79" t="s">
        <v>1394</v>
      </c>
      <c r="I1352" s="127"/>
      <c r="J1352" s="127"/>
      <c r="K1352" s="79">
        <v>3</v>
      </c>
      <c r="L1352" s="79">
        <v>8</v>
      </c>
      <c r="M1352" s="127" t="s">
        <v>2369</v>
      </c>
      <c r="N1352" s="79">
        <v>0</v>
      </c>
      <c r="O1352" s="79">
        <v>0</v>
      </c>
      <c r="P1352" s="107"/>
      <c r="R1352" s="79"/>
    </row>
    <row r="1353" spans="1:21" s="106" customFormat="1">
      <c r="A1353" s="79">
        <v>420021</v>
      </c>
      <c r="B1353" s="121">
        <v>4200211</v>
      </c>
      <c r="C1353" s="79" t="s">
        <v>2370</v>
      </c>
      <c r="D1353" s="121">
        <v>4200212</v>
      </c>
      <c r="E1353" s="79" t="s">
        <v>2371</v>
      </c>
      <c r="F1353" s="79">
        <v>5</v>
      </c>
      <c r="G1353" s="79">
        <v>4</v>
      </c>
      <c r="H1353" s="79" t="s">
        <v>1395</v>
      </c>
      <c r="I1353" s="127"/>
      <c r="J1353" s="127"/>
      <c r="K1353" s="79">
        <v>3</v>
      </c>
      <c r="L1353" s="79">
        <v>8</v>
      </c>
      <c r="M1353" s="127" t="s">
        <v>2372</v>
      </c>
      <c r="N1353" s="79">
        <v>0</v>
      </c>
      <c r="O1353" s="79">
        <v>0</v>
      </c>
      <c r="P1353" s="107"/>
      <c r="R1353" s="79"/>
    </row>
    <row r="1354" spans="1:21" s="106" customFormat="1">
      <c r="A1354" s="79">
        <v>420022</v>
      </c>
      <c r="B1354" s="121">
        <v>4200221</v>
      </c>
      <c r="C1354" s="79" t="s">
        <v>2373</v>
      </c>
      <c r="D1354" s="121">
        <v>4200222</v>
      </c>
      <c r="E1354" s="79" t="s">
        <v>2374</v>
      </c>
      <c r="F1354" s="79">
        <v>5</v>
      </c>
      <c r="G1354" s="79">
        <v>4</v>
      </c>
      <c r="H1354" s="79" t="s">
        <v>1395</v>
      </c>
      <c r="I1354" s="127"/>
      <c r="J1354" s="127"/>
      <c r="K1354" s="79">
        <v>3</v>
      </c>
      <c r="L1354" s="79">
        <v>8</v>
      </c>
      <c r="M1354" s="127" t="s">
        <v>2375</v>
      </c>
      <c r="N1354" s="79">
        <v>0</v>
      </c>
      <c r="O1354" s="79">
        <v>0</v>
      </c>
      <c r="P1354" s="107"/>
      <c r="R1354" s="79"/>
    </row>
    <row r="1355" spans="1:21" s="106" customFormat="1">
      <c r="A1355" s="79">
        <v>420023</v>
      </c>
      <c r="B1355" s="121">
        <v>4200231</v>
      </c>
      <c r="C1355" s="79" t="s">
        <v>2376</v>
      </c>
      <c r="D1355" s="121">
        <v>4200232</v>
      </c>
      <c r="E1355" s="79" t="s">
        <v>2377</v>
      </c>
      <c r="F1355" s="79">
        <v>5</v>
      </c>
      <c r="G1355" s="79">
        <v>4</v>
      </c>
      <c r="H1355" s="79" t="s">
        <v>1395</v>
      </c>
      <c r="I1355" s="127"/>
      <c r="J1355" s="127"/>
      <c r="K1355" s="79">
        <v>3</v>
      </c>
      <c r="L1355" s="79">
        <v>8</v>
      </c>
      <c r="M1355" s="127" t="s">
        <v>2378</v>
      </c>
      <c r="N1355" s="79">
        <v>0</v>
      </c>
      <c r="O1355" s="79">
        <v>0</v>
      </c>
      <c r="P1355" s="107"/>
      <c r="R1355" s="79"/>
    </row>
    <row r="1356" spans="1:21" s="106" customFormat="1">
      <c r="A1356" s="79">
        <v>420024</v>
      </c>
      <c r="B1356" s="121">
        <v>4200241</v>
      </c>
      <c r="C1356" s="79" t="s">
        <v>2379</v>
      </c>
      <c r="D1356" s="121">
        <v>4200242</v>
      </c>
      <c r="E1356" s="79" t="s">
        <v>2380</v>
      </c>
      <c r="F1356" s="79">
        <v>5</v>
      </c>
      <c r="G1356" s="79">
        <v>4</v>
      </c>
      <c r="H1356" s="79" t="s">
        <v>1395</v>
      </c>
      <c r="I1356" s="127"/>
      <c r="J1356" s="127"/>
      <c r="K1356" s="79">
        <v>3</v>
      </c>
      <c r="L1356" s="79">
        <v>8</v>
      </c>
      <c r="M1356" s="127" t="s">
        <v>2381</v>
      </c>
      <c r="N1356" s="79">
        <v>0</v>
      </c>
      <c r="O1356" s="79">
        <v>0</v>
      </c>
      <c r="P1356" s="107"/>
      <c r="R1356" s="79"/>
    </row>
    <row r="1357" spans="1:21" s="106" customFormat="1">
      <c r="A1357" s="79">
        <v>420031</v>
      </c>
      <c r="B1357" s="121">
        <v>4200311</v>
      </c>
      <c r="C1357" s="79" t="s">
        <v>2382</v>
      </c>
      <c r="D1357" s="121">
        <v>4200312</v>
      </c>
      <c r="E1357" s="79" t="s">
        <v>2383</v>
      </c>
      <c r="F1357" s="79">
        <v>5</v>
      </c>
      <c r="G1357" s="79">
        <v>4</v>
      </c>
      <c r="H1357" s="79" t="s">
        <v>1396</v>
      </c>
      <c r="I1357" s="127"/>
      <c r="J1357" s="127"/>
      <c r="K1357" s="79">
        <v>3</v>
      </c>
      <c r="L1357" s="79">
        <v>8</v>
      </c>
      <c r="M1357" s="127" t="s">
        <v>2384</v>
      </c>
      <c r="N1357" s="79">
        <v>0</v>
      </c>
      <c r="O1357" s="79">
        <v>0</v>
      </c>
      <c r="P1357" s="107"/>
      <c r="R1357" s="79"/>
    </row>
    <row r="1358" spans="1:21" s="106" customFormat="1">
      <c r="A1358" s="79">
        <v>420032</v>
      </c>
      <c r="B1358" s="121">
        <v>4200321</v>
      </c>
      <c r="C1358" s="79" t="s">
        <v>2385</v>
      </c>
      <c r="D1358" s="121">
        <v>4200322</v>
      </c>
      <c r="E1358" s="79" t="s">
        <v>2386</v>
      </c>
      <c r="F1358" s="79">
        <v>5</v>
      </c>
      <c r="G1358" s="79">
        <v>4</v>
      </c>
      <c r="H1358" s="79" t="s">
        <v>1396</v>
      </c>
      <c r="I1358" s="127"/>
      <c r="J1358" s="127"/>
      <c r="K1358" s="79">
        <v>3</v>
      </c>
      <c r="L1358" s="79">
        <v>8</v>
      </c>
      <c r="M1358" s="127" t="s">
        <v>2387</v>
      </c>
      <c r="N1358" s="79">
        <v>0</v>
      </c>
      <c r="O1358" s="79">
        <v>0</v>
      </c>
      <c r="P1358" s="107"/>
      <c r="R1358" s="79"/>
    </row>
    <row r="1359" spans="1:21" s="106" customFormat="1">
      <c r="A1359" s="79">
        <v>420033</v>
      </c>
      <c r="B1359" s="121">
        <v>4200331</v>
      </c>
      <c r="C1359" s="79" t="s">
        <v>2388</v>
      </c>
      <c r="D1359" s="121">
        <v>4200332</v>
      </c>
      <c r="E1359" s="79" t="s">
        <v>2389</v>
      </c>
      <c r="F1359" s="79">
        <v>5</v>
      </c>
      <c r="G1359" s="79">
        <v>4</v>
      </c>
      <c r="H1359" s="79" t="s">
        <v>1396</v>
      </c>
      <c r="I1359" s="127"/>
      <c r="J1359" s="127"/>
      <c r="K1359" s="79">
        <v>3</v>
      </c>
      <c r="L1359" s="79">
        <v>8</v>
      </c>
      <c r="M1359" s="127" t="s">
        <v>2390</v>
      </c>
      <c r="N1359" s="79">
        <v>0</v>
      </c>
      <c r="O1359" s="79">
        <v>0</v>
      </c>
      <c r="P1359" s="107"/>
      <c r="R1359" s="79"/>
    </row>
    <row r="1360" spans="1:21" s="106" customFormat="1">
      <c r="A1360" s="79">
        <v>420034</v>
      </c>
      <c r="B1360" s="121">
        <v>4200341</v>
      </c>
      <c r="C1360" s="79" t="s">
        <v>2391</v>
      </c>
      <c r="D1360" s="121">
        <v>4200342</v>
      </c>
      <c r="E1360" s="79" t="s">
        <v>2392</v>
      </c>
      <c r="F1360" s="79">
        <v>5</v>
      </c>
      <c r="G1360" s="79">
        <v>4</v>
      </c>
      <c r="H1360" s="79" t="s">
        <v>1396</v>
      </c>
      <c r="I1360" s="127"/>
      <c r="J1360" s="127"/>
      <c r="K1360" s="79">
        <v>3</v>
      </c>
      <c r="L1360" s="79">
        <v>8</v>
      </c>
      <c r="M1360" s="127" t="s">
        <v>2393</v>
      </c>
      <c r="N1360" s="79">
        <v>0</v>
      </c>
      <c r="O1360" s="79">
        <v>0</v>
      </c>
      <c r="P1360" s="107"/>
      <c r="R1360" s="79"/>
    </row>
    <row r="1361" spans="1:21" s="106" customFormat="1">
      <c r="A1361" s="79">
        <v>420041</v>
      </c>
      <c r="B1361" s="121">
        <v>4200411</v>
      </c>
      <c r="C1361" s="79" t="s">
        <v>2394</v>
      </c>
      <c r="D1361" s="121">
        <v>4200412</v>
      </c>
      <c r="E1361" s="79" t="s">
        <v>2395</v>
      </c>
      <c r="F1361" s="79">
        <v>5</v>
      </c>
      <c r="G1361" s="79">
        <v>4</v>
      </c>
      <c r="H1361" s="79" t="s">
        <v>1397</v>
      </c>
      <c r="I1361" s="127"/>
      <c r="J1361" s="127"/>
      <c r="K1361" s="79">
        <v>3</v>
      </c>
      <c r="L1361" s="79">
        <v>8</v>
      </c>
      <c r="M1361" s="127" t="s">
        <v>2396</v>
      </c>
      <c r="N1361" s="79">
        <v>0</v>
      </c>
      <c r="O1361" s="79">
        <v>0</v>
      </c>
      <c r="P1361" s="107"/>
      <c r="R1361" s="79"/>
    </row>
    <row r="1362" spans="1:21" s="106" customFormat="1">
      <c r="A1362" s="79">
        <v>420042</v>
      </c>
      <c r="B1362" s="121">
        <v>4200421</v>
      </c>
      <c r="C1362" s="79" t="s">
        <v>2397</v>
      </c>
      <c r="D1362" s="121">
        <v>4200422</v>
      </c>
      <c r="E1362" s="79" t="s">
        <v>2398</v>
      </c>
      <c r="F1362" s="79">
        <v>5</v>
      </c>
      <c r="G1362" s="79">
        <v>4</v>
      </c>
      <c r="H1362" s="79" t="s">
        <v>1397</v>
      </c>
      <c r="I1362" s="127"/>
      <c r="J1362" s="127"/>
      <c r="K1362" s="79">
        <v>3</v>
      </c>
      <c r="L1362" s="79">
        <v>8</v>
      </c>
      <c r="M1362" s="127" t="s">
        <v>2399</v>
      </c>
      <c r="N1362" s="79">
        <v>0</v>
      </c>
      <c r="O1362" s="79">
        <v>0</v>
      </c>
      <c r="P1362" s="107"/>
      <c r="R1362" s="79"/>
    </row>
    <row r="1363" spans="1:21" s="106" customFormat="1">
      <c r="A1363" s="79">
        <v>420043</v>
      </c>
      <c r="B1363" s="121">
        <v>4200431</v>
      </c>
      <c r="C1363" s="79" t="s">
        <v>2400</v>
      </c>
      <c r="D1363" s="121">
        <v>4200432</v>
      </c>
      <c r="E1363" s="79" t="s">
        <v>2401</v>
      </c>
      <c r="F1363" s="79">
        <v>5</v>
      </c>
      <c r="G1363" s="79">
        <v>4</v>
      </c>
      <c r="H1363" s="79" t="s">
        <v>1397</v>
      </c>
      <c r="I1363" s="127"/>
      <c r="J1363" s="127"/>
      <c r="K1363" s="79">
        <v>3</v>
      </c>
      <c r="L1363" s="79">
        <v>8</v>
      </c>
      <c r="M1363" s="127" t="s">
        <v>2402</v>
      </c>
      <c r="N1363" s="79">
        <v>0</v>
      </c>
      <c r="O1363" s="79">
        <v>0</v>
      </c>
      <c r="P1363" s="107"/>
      <c r="R1363" s="79"/>
    </row>
    <row r="1364" spans="1:21" s="111" customFormat="1">
      <c r="A1364" s="79">
        <v>420044</v>
      </c>
      <c r="B1364" s="121">
        <v>4200441</v>
      </c>
      <c r="C1364" s="79" t="s">
        <v>2403</v>
      </c>
      <c r="D1364" s="121">
        <v>4200442</v>
      </c>
      <c r="E1364" s="79" t="s">
        <v>2404</v>
      </c>
      <c r="F1364" s="79">
        <v>5</v>
      </c>
      <c r="G1364" s="79">
        <v>4</v>
      </c>
      <c r="H1364" s="79" t="s">
        <v>1397</v>
      </c>
      <c r="I1364" s="127"/>
      <c r="J1364" s="127"/>
      <c r="K1364" s="79">
        <v>3</v>
      </c>
      <c r="L1364" s="79">
        <v>8</v>
      </c>
      <c r="M1364" s="127" t="s">
        <v>2405</v>
      </c>
      <c r="N1364" s="79">
        <v>0</v>
      </c>
      <c r="O1364" s="79">
        <v>0</v>
      </c>
      <c r="P1364" s="107"/>
      <c r="Q1364" s="106"/>
      <c r="R1364" s="79"/>
    </row>
    <row r="1365" spans="1:21" s="111" customFormat="1">
      <c r="A1365" s="79">
        <v>420051</v>
      </c>
      <c r="B1365" s="121">
        <v>4200511</v>
      </c>
      <c r="C1365" s="79" t="s">
        <v>2406</v>
      </c>
      <c r="D1365" s="121">
        <v>4200512</v>
      </c>
      <c r="E1365" s="79" t="s">
        <v>2407</v>
      </c>
      <c r="F1365" s="79">
        <v>5</v>
      </c>
      <c r="G1365" s="79">
        <v>4</v>
      </c>
      <c r="H1365" s="79" t="s">
        <v>1398</v>
      </c>
      <c r="I1365" s="127"/>
      <c r="J1365" s="127"/>
      <c r="K1365" s="79">
        <v>3</v>
      </c>
      <c r="L1365" s="79">
        <v>8</v>
      </c>
      <c r="M1365" s="127" t="s">
        <v>2408</v>
      </c>
      <c r="N1365" s="79">
        <v>0</v>
      </c>
      <c r="O1365" s="79">
        <v>0</v>
      </c>
      <c r="P1365" s="107"/>
      <c r="Q1365" s="106"/>
      <c r="R1365" s="79"/>
    </row>
    <row r="1366" spans="1:21" s="111" customFormat="1">
      <c r="A1366" s="79">
        <v>420052</v>
      </c>
      <c r="B1366" s="121">
        <v>4200521</v>
      </c>
      <c r="C1366" s="79" t="s">
        <v>2409</v>
      </c>
      <c r="D1366" s="121">
        <v>4200522</v>
      </c>
      <c r="E1366" s="79" t="s">
        <v>2410</v>
      </c>
      <c r="F1366" s="79">
        <v>5</v>
      </c>
      <c r="G1366" s="79">
        <v>4</v>
      </c>
      <c r="H1366" s="79" t="s">
        <v>1398</v>
      </c>
      <c r="I1366" s="127"/>
      <c r="J1366" s="127"/>
      <c r="K1366" s="79">
        <v>3</v>
      </c>
      <c r="L1366" s="79">
        <v>8</v>
      </c>
      <c r="M1366" s="127" t="s">
        <v>2411</v>
      </c>
      <c r="N1366" s="79">
        <v>0</v>
      </c>
      <c r="O1366" s="79">
        <v>0</v>
      </c>
      <c r="P1366" s="107"/>
      <c r="Q1366" s="106"/>
      <c r="R1366" s="79"/>
      <c r="S1366" s="92"/>
      <c r="T1366" s="92"/>
      <c r="U1366" s="92"/>
    </row>
    <row r="1367" spans="1:21" s="111" customFormat="1">
      <c r="A1367" s="79">
        <v>420053</v>
      </c>
      <c r="B1367" s="121">
        <v>4200531</v>
      </c>
      <c r="C1367" s="79" t="s">
        <v>2412</v>
      </c>
      <c r="D1367" s="121">
        <v>4200532</v>
      </c>
      <c r="E1367" s="79" t="s">
        <v>2413</v>
      </c>
      <c r="F1367" s="79">
        <v>5</v>
      </c>
      <c r="G1367" s="79">
        <v>4</v>
      </c>
      <c r="H1367" s="79" t="s">
        <v>1398</v>
      </c>
      <c r="I1367" s="127"/>
      <c r="J1367" s="127"/>
      <c r="K1367" s="79">
        <v>3</v>
      </c>
      <c r="L1367" s="79">
        <v>8</v>
      </c>
      <c r="M1367" s="127" t="s">
        <v>2414</v>
      </c>
      <c r="N1367" s="79">
        <v>0</v>
      </c>
      <c r="O1367" s="79">
        <v>0</v>
      </c>
      <c r="P1367" s="107"/>
      <c r="Q1367" s="106"/>
      <c r="R1367" s="79"/>
      <c r="S1367" s="92"/>
      <c r="T1367" s="92"/>
      <c r="U1367" s="92"/>
    </row>
    <row r="1368" spans="1:21" s="111" customFormat="1">
      <c r="A1368" s="79">
        <v>420054</v>
      </c>
      <c r="B1368" s="121">
        <v>4200541</v>
      </c>
      <c r="C1368" s="79" t="s">
        <v>2415</v>
      </c>
      <c r="D1368" s="121">
        <v>4200542</v>
      </c>
      <c r="E1368" s="79" t="s">
        <v>2416</v>
      </c>
      <c r="F1368" s="79">
        <v>5</v>
      </c>
      <c r="G1368" s="79">
        <v>4</v>
      </c>
      <c r="H1368" s="79" t="s">
        <v>1398</v>
      </c>
      <c r="I1368" s="127"/>
      <c r="J1368" s="127"/>
      <c r="K1368" s="79">
        <v>3</v>
      </c>
      <c r="L1368" s="79">
        <v>8</v>
      </c>
      <c r="M1368" s="127" t="s">
        <v>2417</v>
      </c>
      <c r="N1368" s="79">
        <v>0</v>
      </c>
      <c r="O1368" s="79">
        <v>0</v>
      </c>
      <c r="P1368" s="107"/>
      <c r="Q1368" s="106"/>
      <c r="R1368" s="92"/>
      <c r="S1368" s="92"/>
      <c r="T1368" s="92"/>
      <c r="U1368" s="92"/>
    </row>
    <row r="1369" spans="1:21" s="111" customFormat="1">
      <c r="A1369" s="79">
        <v>420061</v>
      </c>
      <c r="B1369" s="121">
        <v>4200611</v>
      </c>
      <c r="C1369" s="79" t="s">
        <v>2418</v>
      </c>
      <c r="D1369" s="121">
        <v>4200612</v>
      </c>
      <c r="E1369" s="79" t="s">
        <v>2419</v>
      </c>
      <c r="F1369" s="79">
        <v>5</v>
      </c>
      <c r="G1369" s="79">
        <v>4</v>
      </c>
      <c r="H1369" s="79" t="s">
        <v>1399</v>
      </c>
      <c r="I1369" s="127"/>
      <c r="J1369" s="127"/>
      <c r="K1369" s="79">
        <v>4</v>
      </c>
      <c r="L1369" s="79">
        <v>8</v>
      </c>
      <c r="M1369" s="127" t="s">
        <v>2420</v>
      </c>
      <c r="N1369" s="79">
        <v>0</v>
      </c>
      <c r="O1369" s="79">
        <v>0</v>
      </c>
      <c r="P1369" s="107"/>
      <c r="Q1369" s="106"/>
      <c r="R1369" s="92"/>
      <c r="S1369" s="92"/>
      <c r="T1369" s="92"/>
      <c r="U1369" s="92"/>
    </row>
    <row r="1370" spans="1:21" s="111" customFormat="1">
      <c r="A1370" s="79">
        <v>420062</v>
      </c>
      <c r="B1370" s="121">
        <v>4200621</v>
      </c>
      <c r="C1370" s="79" t="s">
        <v>2421</v>
      </c>
      <c r="D1370" s="121">
        <v>4200622</v>
      </c>
      <c r="E1370" s="79" t="s">
        <v>2422</v>
      </c>
      <c r="F1370" s="79">
        <v>5</v>
      </c>
      <c r="G1370" s="79">
        <v>4</v>
      </c>
      <c r="H1370" s="79" t="s">
        <v>1399</v>
      </c>
      <c r="I1370" s="127"/>
      <c r="J1370" s="127"/>
      <c r="K1370" s="79">
        <v>4</v>
      </c>
      <c r="L1370" s="79">
        <v>8</v>
      </c>
      <c r="M1370" s="127" t="s">
        <v>2423</v>
      </c>
      <c r="N1370" s="79">
        <v>0</v>
      </c>
      <c r="O1370" s="79">
        <v>0</v>
      </c>
      <c r="P1370" s="107"/>
      <c r="Q1370" s="106"/>
      <c r="R1370" s="92"/>
      <c r="S1370" s="92"/>
      <c r="T1370" s="92"/>
      <c r="U1370" s="92"/>
    </row>
    <row r="1371" spans="1:21" s="111" customFormat="1">
      <c r="A1371" s="79">
        <v>420063</v>
      </c>
      <c r="B1371" s="121">
        <v>4200631</v>
      </c>
      <c r="C1371" s="79" t="s">
        <v>2424</v>
      </c>
      <c r="D1371" s="121">
        <v>4200632</v>
      </c>
      <c r="E1371" s="79" t="s">
        <v>2425</v>
      </c>
      <c r="F1371" s="79">
        <v>5</v>
      </c>
      <c r="G1371" s="79">
        <v>4</v>
      </c>
      <c r="H1371" s="79" t="s">
        <v>1399</v>
      </c>
      <c r="I1371" s="127"/>
      <c r="J1371" s="127"/>
      <c r="K1371" s="79">
        <v>4</v>
      </c>
      <c r="L1371" s="79">
        <v>8</v>
      </c>
      <c r="M1371" s="127" t="s">
        <v>2426</v>
      </c>
      <c r="N1371" s="79">
        <v>0</v>
      </c>
      <c r="O1371" s="79">
        <v>0</v>
      </c>
      <c r="P1371" s="107"/>
      <c r="Q1371" s="106"/>
      <c r="R1371" s="92"/>
      <c r="S1371" s="92"/>
      <c r="T1371" s="92"/>
      <c r="U1371" s="92"/>
    </row>
    <row r="1372" spans="1:21" s="111" customFormat="1">
      <c r="A1372" s="79">
        <v>420064</v>
      </c>
      <c r="B1372" s="121">
        <v>4200641</v>
      </c>
      <c r="C1372" s="79" t="s">
        <v>2427</v>
      </c>
      <c r="D1372" s="121">
        <v>4200642</v>
      </c>
      <c r="E1372" s="79" t="s">
        <v>2428</v>
      </c>
      <c r="F1372" s="79">
        <v>5</v>
      </c>
      <c r="G1372" s="79">
        <v>4</v>
      </c>
      <c r="H1372" s="79" t="s">
        <v>1399</v>
      </c>
      <c r="I1372" s="127"/>
      <c r="J1372" s="127"/>
      <c r="K1372" s="79">
        <v>4</v>
      </c>
      <c r="L1372" s="79">
        <v>8</v>
      </c>
      <c r="M1372" s="127" t="s">
        <v>2429</v>
      </c>
      <c r="N1372" s="79">
        <v>0</v>
      </c>
      <c r="O1372" s="79">
        <v>0</v>
      </c>
      <c r="P1372" s="107"/>
      <c r="Q1372" s="106"/>
      <c r="R1372" s="92"/>
      <c r="S1372" s="92"/>
      <c r="T1372" s="92"/>
      <c r="U1372" s="92"/>
    </row>
    <row r="1373" spans="1:21" s="111" customFormat="1">
      <c r="A1373" s="79">
        <v>420065</v>
      </c>
      <c r="B1373" s="121">
        <v>4200651</v>
      </c>
      <c r="C1373" s="79" t="s">
        <v>2430</v>
      </c>
      <c r="D1373" s="121">
        <v>4200652</v>
      </c>
      <c r="E1373" s="79" t="s">
        <v>2431</v>
      </c>
      <c r="F1373" s="79">
        <v>5</v>
      </c>
      <c r="G1373" s="79">
        <v>4</v>
      </c>
      <c r="H1373" s="79" t="s">
        <v>1399</v>
      </c>
      <c r="I1373" s="127"/>
      <c r="J1373" s="127"/>
      <c r="K1373" s="79">
        <v>4</v>
      </c>
      <c r="L1373" s="79">
        <v>8</v>
      </c>
      <c r="M1373" s="127" t="s">
        <v>2432</v>
      </c>
      <c r="N1373" s="79">
        <v>0</v>
      </c>
      <c r="O1373" s="79">
        <v>0</v>
      </c>
      <c r="P1373" s="107"/>
      <c r="Q1373" s="106"/>
      <c r="R1373" s="92"/>
      <c r="S1373" s="92"/>
      <c r="T1373" s="92"/>
      <c r="U1373" s="92"/>
    </row>
    <row r="1374" spans="1:21" s="111" customFormat="1">
      <c r="A1374" s="79">
        <v>420071</v>
      </c>
      <c r="B1374" s="121">
        <v>4200711</v>
      </c>
      <c r="C1374" s="79" t="s">
        <v>2433</v>
      </c>
      <c r="D1374" s="121">
        <v>4200712</v>
      </c>
      <c r="E1374" s="79" t="s">
        <v>2434</v>
      </c>
      <c r="F1374" s="79">
        <v>5</v>
      </c>
      <c r="G1374" s="79">
        <v>4</v>
      </c>
      <c r="H1374" s="79" t="s">
        <v>1400</v>
      </c>
      <c r="I1374" s="127"/>
      <c r="J1374" s="127"/>
      <c r="K1374" s="79">
        <v>5</v>
      </c>
      <c r="L1374" s="79">
        <v>8</v>
      </c>
      <c r="M1374" s="127" t="s">
        <v>2435</v>
      </c>
      <c r="N1374" s="79">
        <v>0</v>
      </c>
      <c r="O1374" s="79">
        <v>0</v>
      </c>
      <c r="P1374" s="107"/>
      <c r="Q1374" s="106"/>
      <c r="R1374" s="92"/>
    </row>
    <row r="1375" spans="1:21" s="111" customFormat="1">
      <c r="A1375" s="79">
        <v>420072</v>
      </c>
      <c r="B1375" s="121">
        <v>4200721</v>
      </c>
      <c r="C1375" s="79" t="s">
        <v>2436</v>
      </c>
      <c r="D1375" s="121">
        <v>4200722</v>
      </c>
      <c r="E1375" s="79" t="s">
        <v>2437</v>
      </c>
      <c r="F1375" s="79">
        <v>5</v>
      </c>
      <c r="G1375" s="79">
        <v>4</v>
      </c>
      <c r="H1375" s="79" t="s">
        <v>1400</v>
      </c>
      <c r="I1375" s="127"/>
      <c r="J1375" s="127"/>
      <c r="K1375" s="79">
        <v>5</v>
      </c>
      <c r="L1375" s="79">
        <v>8</v>
      </c>
      <c r="M1375" s="127" t="s">
        <v>2438</v>
      </c>
      <c r="N1375" s="79">
        <v>0</v>
      </c>
      <c r="O1375" s="79">
        <v>0</v>
      </c>
      <c r="P1375" s="107"/>
      <c r="Q1375" s="106"/>
      <c r="R1375" s="92"/>
    </row>
    <row r="1376" spans="1:21" s="111" customFormat="1">
      <c r="A1376" s="79">
        <v>420073</v>
      </c>
      <c r="B1376" s="121">
        <v>4200731</v>
      </c>
      <c r="C1376" s="79" t="s">
        <v>2439</v>
      </c>
      <c r="D1376" s="121">
        <v>4200732</v>
      </c>
      <c r="E1376" s="79" t="s">
        <v>2440</v>
      </c>
      <c r="F1376" s="79">
        <v>5</v>
      </c>
      <c r="G1376" s="79">
        <v>4</v>
      </c>
      <c r="H1376" s="79" t="s">
        <v>1400</v>
      </c>
      <c r="I1376" s="127"/>
      <c r="J1376" s="127"/>
      <c r="K1376" s="79">
        <v>5</v>
      </c>
      <c r="L1376" s="79">
        <v>8</v>
      </c>
      <c r="M1376" s="127" t="s">
        <v>2441</v>
      </c>
      <c r="N1376" s="79">
        <v>0</v>
      </c>
      <c r="O1376" s="79">
        <v>0</v>
      </c>
      <c r="P1376" s="107"/>
      <c r="Q1376" s="106"/>
      <c r="R1376" s="79"/>
    </row>
    <row r="1377" spans="1:18" s="111" customFormat="1">
      <c r="A1377" s="79">
        <v>420074</v>
      </c>
      <c r="B1377" s="121">
        <v>4200741</v>
      </c>
      <c r="C1377" s="79" t="s">
        <v>2442</v>
      </c>
      <c r="D1377" s="121">
        <v>4200742</v>
      </c>
      <c r="E1377" s="79" t="s">
        <v>2443</v>
      </c>
      <c r="F1377" s="79">
        <v>5</v>
      </c>
      <c r="G1377" s="79">
        <v>4</v>
      </c>
      <c r="H1377" s="79" t="s">
        <v>1400</v>
      </c>
      <c r="I1377" s="127"/>
      <c r="J1377" s="127"/>
      <c r="K1377" s="79">
        <v>5</v>
      </c>
      <c r="L1377" s="79">
        <v>8</v>
      </c>
      <c r="M1377" s="127" t="s">
        <v>2444</v>
      </c>
      <c r="N1377" s="79">
        <v>0</v>
      </c>
      <c r="O1377" s="79">
        <v>0</v>
      </c>
      <c r="P1377" s="107"/>
      <c r="Q1377" s="106"/>
      <c r="R1377" s="79"/>
    </row>
    <row r="1378" spans="1:18" s="111" customFormat="1">
      <c r="A1378" s="79">
        <v>420081</v>
      </c>
      <c r="B1378" s="121">
        <v>4200811</v>
      </c>
      <c r="C1378" s="79" t="s">
        <v>2445</v>
      </c>
      <c r="D1378" s="121">
        <v>4200812</v>
      </c>
      <c r="E1378" s="79" t="s">
        <v>2446</v>
      </c>
      <c r="F1378" s="79">
        <v>5</v>
      </c>
      <c r="G1378" s="79">
        <v>4</v>
      </c>
      <c r="H1378" s="79" t="s">
        <v>1401</v>
      </c>
      <c r="I1378" s="127"/>
      <c r="J1378" s="127"/>
      <c r="K1378" s="79">
        <v>4</v>
      </c>
      <c r="L1378" s="79">
        <v>8</v>
      </c>
      <c r="M1378" s="127" t="s">
        <v>2447</v>
      </c>
      <c r="N1378" s="79">
        <v>0</v>
      </c>
      <c r="O1378" s="79">
        <v>0</v>
      </c>
      <c r="P1378" s="107"/>
      <c r="Q1378" s="106"/>
      <c r="R1378" s="142"/>
    </row>
    <row r="1379" spans="1:18" s="111" customFormat="1">
      <c r="A1379" s="79">
        <v>420082</v>
      </c>
      <c r="B1379" s="121">
        <v>4200821</v>
      </c>
      <c r="C1379" s="79" t="s">
        <v>2448</v>
      </c>
      <c r="D1379" s="121">
        <v>4200822</v>
      </c>
      <c r="E1379" s="79" t="s">
        <v>2449</v>
      </c>
      <c r="F1379" s="79">
        <v>5</v>
      </c>
      <c r="G1379" s="79">
        <v>4</v>
      </c>
      <c r="H1379" s="79" t="s">
        <v>1401</v>
      </c>
      <c r="I1379" s="127"/>
      <c r="J1379" s="127"/>
      <c r="K1379" s="79">
        <v>4</v>
      </c>
      <c r="L1379" s="79">
        <v>8</v>
      </c>
      <c r="M1379" s="127" t="s">
        <v>2450</v>
      </c>
      <c r="N1379" s="79">
        <v>0</v>
      </c>
      <c r="O1379" s="79">
        <v>0</v>
      </c>
      <c r="P1379" s="107"/>
      <c r="Q1379" s="106"/>
      <c r="R1379" s="142"/>
    </row>
    <row r="1380" spans="1:18" s="111" customFormat="1">
      <c r="A1380" s="79">
        <v>420083</v>
      </c>
      <c r="B1380" s="121">
        <v>4200831</v>
      </c>
      <c r="C1380" s="79" t="s">
        <v>2451</v>
      </c>
      <c r="D1380" s="121">
        <v>4200832</v>
      </c>
      <c r="E1380" s="79" t="s">
        <v>2452</v>
      </c>
      <c r="F1380" s="79">
        <v>5</v>
      </c>
      <c r="G1380" s="79">
        <v>4</v>
      </c>
      <c r="H1380" s="79" t="s">
        <v>1401</v>
      </c>
      <c r="I1380" s="127"/>
      <c r="J1380" s="127"/>
      <c r="K1380" s="79">
        <v>4</v>
      </c>
      <c r="L1380" s="79">
        <v>8</v>
      </c>
      <c r="M1380" s="127" t="s">
        <v>2453</v>
      </c>
      <c r="N1380" s="79">
        <v>0</v>
      </c>
      <c r="O1380" s="79">
        <v>0</v>
      </c>
      <c r="P1380" s="107"/>
      <c r="Q1380" s="106"/>
      <c r="R1380" s="142"/>
    </row>
    <row r="1381" spans="1:18" s="111" customFormat="1">
      <c r="A1381" s="79">
        <v>420084</v>
      </c>
      <c r="B1381" s="121">
        <v>4200841</v>
      </c>
      <c r="C1381" s="79" t="s">
        <v>2454</v>
      </c>
      <c r="D1381" s="121">
        <v>4200842</v>
      </c>
      <c r="E1381" s="79" t="s">
        <v>2455</v>
      </c>
      <c r="F1381" s="79">
        <v>5</v>
      </c>
      <c r="G1381" s="79">
        <v>4</v>
      </c>
      <c r="H1381" s="79" t="s">
        <v>1401</v>
      </c>
      <c r="I1381" s="127"/>
      <c r="J1381" s="127"/>
      <c r="K1381" s="79">
        <v>4</v>
      </c>
      <c r="L1381" s="79">
        <v>8</v>
      </c>
      <c r="M1381" s="127" t="s">
        <v>2456</v>
      </c>
      <c r="N1381" s="79">
        <v>0</v>
      </c>
      <c r="O1381" s="79">
        <v>0</v>
      </c>
      <c r="P1381" s="107"/>
      <c r="Q1381" s="106"/>
      <c r="R1381" s="142"/>
    </row>
    <row r="1382" spans="1:18" s="111" customFormat="1">
      <c r="A1382" s="79">
        <v>420091</v>
      </c>
      <c r="B1382" s="121">
        <v>4200911</v>
      </c>
      <c r="C1382" s="79" t="s">
        <v>2457</v>
      </c>
      <c r="D1382" s="121">
        <v>4200912</v>
      </c>
      <c r="E1382" s="79" t="s">
        <v>2458</v>
      </c>
      <c r="F1382" s="79">
        <v>5</v>
      </c>
      <c r="G1382" s="79">
        <v>4</v>
      </c>
      <c r="H1382" s="79" t="s">
        <v>1402</v>
      </c>
      <c r="I1382" s="127"/>
      <c r="J1382" s="127"/>
      <c r="K1382" s="79">
        <v>5</v>
      </c>
      <c r="L1382" s="79">
        <v>8</v>
      </c>
      <c r="M1382" s="127" t="s">
        <v>2459</v>
      </c>
      <c r="N1382" s="79">
        <v>0</v>
      </c>
      <c r="O1382" s="79">
        <v>0</v>
      </c>
      <c r="P1382" s="107"/>
      <c r="Q1382" s="106"/>
      <c r="R1382" s="142"/>
    </row>
    <row r="1383" spans="1:18" s="111" customFormat="1">
      <c r="A1383" s="79">
        <v>420092</v>
      </c>
      <c r="B1383" s="121">
        <v>4200921</v>
      </c>
      <c r="C1383" s="79" t="s">
        <v>2460</v>
      </c>
      <c r="D1383" s="121">
        <v>4200922</v>
      </c>
      <c r="E1383" s="79" t="s">
        <v>2461</v>
      </c>
      <c r="F1383" s="79">
        <v>5</v>
      </c>
      <c r="G1383" s="79">
        <v>4</v>
      </c>
      <c r="H1383" s="79" t="s">
        <v>1402</v>
      </c>
      <c r="I1383" s="127"/>
      <c r="J1383" s="127"/>
      <c r="K1383" s="79">
        <v>5</v>
      </c>
      <c r="L1383" s="79">
        <v>8</v>
      </c>
      <c r="M1383" s="127" t="s">
        <v>2462</v>
      </c>
      <c r="N1383" s="79">
        <v>0</v>
      </c>
      <c r="O1383" s="79">
        <v>0</v>
      </c>
      <c r="P1383" s="107"/>
      <c r="Q1383" s="106"/>
      <c r="R1383" s="142"/>
    </row>
    <row r="1384" spans="1:18" s="111" customFormat="1">
      <c r="A1384" s="79">
        <v>420093</v>
      </c>
      <c r="B1384" s="121">
        <v>4200931</v>
      </c>
      <c r="C1384" s="79" t="s">
        <v>2463</v>
      </c>
      <c r="D1384" s="121">
        <v>4200932</v>
      </c>
      <c r="E1384" s="79" t="s">
        <v>2464</v>
      </c>
      <c r="F1384" s="79">
        <v>5</v>
      </c>
      <c r="G1384" s="79">
        <v>4</v>
      </c>
      <c r="H1384" s="79" t="s">
        <v>1402</v>
      </c>
      <c r="I1384" s="127"/>
      <c r="J1384" s="127"/>
      <c r="K1384" s="79">
        <v>5</v>
      </c>
      <c r="L1384" s="79">
        <v>8</v>
      </c>
      <c r="M1384" s="127" t="s">
        <v>2465</v>
      </c>
      <c r="N1384" s="79">
        <v>0</v>
      </c>
      <c r="O1384" s="79">
        <v>0</v>
      </c>
      <c r="P1384" s="107"/>
      <c r="Q1384" s="106"/>
      <c r="R1384" s="142"/>
    </row>
    <row r="1385" spans="1:18" s="111" customFormat="1">
      <c r="A1385" s="79">
        <v>420094</v>
      </c>
      <c r="B1385" s="121">
        <v>4200941</v>
      </c>
      <c r="C1385" s="79" t="s">
        <v>2466</v>
      </c>
      <c r="D1385" s="121">
        <v>4200942</v>
      </c>
      <c r="E1385" s="79" t="s">
        <v>2467</v>
      </c>
      <c r="F1385" s="79">
        <v>5</v>
      </c>
      <c r="G1385" s="79">
        <v>4</v>
      </c>
      <c r="H1385" s="79" t="s">
        <v>1402</v>
      </c>
      <c r="I1385" s="127"/>
      <c r="J1385" s="127"/>
      <c r="K1385" s="79">
        <v>5</v>
      </c>
      <c r="L1385" s="79">
        <v>8</v>
      </c>
      <c r="M1385" s="127" t="s">
        <v>2468</v>
      </c>
      <c r="N1385" s="79">
        <v>0</v>
      </c>
      <c r="O1385" s="79">
        <v>0</v>
      </c>
      <c r="P1385" s="107"/>
      <c r="Q1385" s="106"/>
      <c r="R1385" s="142"/>
    </row>
    <row r="1386" spans="1:18" s="111" customFormat="1">
      <c r="A1386" s="79">
        <v>420101</v>
      </c>
      <c r="B1386" s="121">
        <v>4201011</v>
      </c>
      <c r="C1386" s="79" t="s">
        <v>2469</v>
      </c>
      <c r="D1386" s="121">
        <v>4201012</v>
      </c>
      <c r="E1386" s="79" t="s">
        <v>2470</v>
      </c>
      <c r="F1386" s="79">
        <v>5</v>
      </c>
      <c r="G1386" s="79">
        <v>4</v>
      </c>
      <c r="H1386" s="79" t="s">
        <v>1403</v>
      </c>
      <c r="I1386" s="127"/>
      <c r="J1386" s="127"/>
      <c r="K1386" s="79">
        <v>5</v>
      </c>
      <c r="L1386" s="79">
        <v>8</v>
      </c>
      <c r="M1386" s="127" t="s">
        <v>2471</v>
      </c>
      <c r="N1386" s="79">
        <v>0</v>
      </c>
      <c r="O1386" s="79">
        <v>0</v>
      </c>
      <c r="P1386" s="107"/>
      <c r="Q1386" s="106"/>
      <c r="R1386" s="142"/>
    </row>
    <row r="1387" spans="1:18" s="111" customFormat="1">
      <c r="A1387" s="79">
        <v>420102</v>
      </c>
      <c r="B1387" s="121">
        <v>4201021</v>
      </c>
      <c r="C1387" s="79" t="s">
        <v>2472</v>
      </c>
      <c r="D1387" s="121">
        <v>4201022</v>
      </c>
      <c r="E1387" s="79" t="s">
        <v>2473</v>
      </c>
      <c r="F1387" s="79">
        <v>5</v>
      </c>
      <c r="G1387" s="79">
        <v>4</v>
      </c>
      <c r="H1387" s="79" t="s">
        <v>1403</v>
      </c>
      <c r="I1387" s="127"/>
      <c r="J1387" s="127"/>
      <c r="K1387" s="79">
        <v>5</v>
      </c>
      <c r="L1387" s="79">
        <v>8</v>
      </c>
      <c r="M1387" s="127" t="s">
        <v>2474</v>
      </c>
      <c r="N1387" s="79">
        <v>0</v>
      </c>
      <c r="O1387" s="79">
        <v>0</v>
      </c>
      <c r="P1387" s="107"/>
      <c r="Q1387" s="106"/>
      <c r="R1387" s="142"/>
    </row>
    <row r="1388" spans="1:18" s="111" customFormat="1">
      <c r="A1388" s="79">
        <v>420103</v>
      </c>
      <c r="B1388" s="121">
        <v>4201031</v>
      </c>
      <c r="C1388" s="79" t="s">
        <v>2475</v>
      </c>
      <c r="D1388" s="121">
        <v>4201032</v>
      </c>
      <c r="E1388" s="79" t="s">
        <v>2476</v>
      </c>
      <c r="F1388" s="79">
        <v>5</v>
      </c>
      <c r="G1388" s="79">
        <v>4</v>
      </c>
      <c r="H1388" s="79" t="s">
        <v>1403</v>
      </c>
      <c r="I1388" s="127"/>
      <c r="J1388" s="127"/>
      <c r="K1388" s="79">
        <v>5</v>
      </c>
      <c r="L1388" s="79">
        <v>8</v>
      </c>
      <c r="M1388" s="127" t="s">
        <v>2477</v>
      </c>
      <c r="N1388" s="79">
        <v>0</v>
      </c>
      <c r="O1388" s="79">
        <v>0</v>
      </c>
      <c r="P1388" s="107"/>
      <c r="Q1388" s="106"/>
      <c r="R1388" s="142"/>
    </row>
    <row r="1389" spans="1:18" s="111" customFormat="1">
      <c r="A1389" s="79">
        <v>420104</v>
      </c>
      <c r="B1389" s="121">
        <v>4201041</v>
      </c>
      <c r="C1389" s="79" t="s">
        <v>2478</v>
      </c>
      <c r="D1389" s="121">
        <v>4201042</v>
      </c>
      <c r="E1389" s="79" t="s">
        <v>2479</v>
      </c>
      <c r="F1389" s="79">
        <v>5</v>
      </c>
      <c r="G1389" s="79">
        <v>4</v>
      </c>
      <c r="H1389" s="79" t="s">
        <v>1403</v>
      </c>
      <c r="I1389" s="127"/>
      <c r="J1389" s="127"/>
      <c r="K1389" s="79">
        <v>5</v>
      </c>
      <c r="L1389" s="79">
        <v>8</v>
      </c>
      <c r="M1389" s="127" t="s">
        <v>2480</v>
      </c>
      <c r="N1389" s="79">
        <v>0</v>
      </c>
      <c r="O1389" s="79">
        <v>0</v>
      </c>
      <c r="P1389" s="107"/>
      <c r="Q1389" s="106"/>
      <c r="R1389" s="142"/>
    </row>
    <row r="1390" spans="1:18" s="111" customFormat="1">
      <c r="A1390" s="79">
        <v>420105</v>
      </c>
      <c r="B1390" s="121">
        <v>4201051</v>
      </c>
      <c r="C1390" s="79" t="s">
        <v>2481</v>
      </c>
      <c r="D1390" s="121">
        <v>4201052</v>
      </c>
      <c r="E1390" s="79" t="s">
        <v>2482</v>
      </c>
      <c r="F1390" s="79">
        <v>5</v>
      </c>
      <c r="G1390" s="79">
        <v>4</v>
      </c>
      <c r="H1390" s="79" t="s">
        <v>1403</v>
      </c>
      <c r="I1390" s="127"/>
      <c r="J1390" s="127"/>
      <c r="K1390" s="79">
        <v>5</v>
      </c>
      <c r="L1390" s="79">
        <v>8</v>
      </c>
      <c r="M1390" s="127" t="s">
        <v>2483</v>
      </c>
      <c r="N1390" s="79">
        <v>0</v>
      </c>
      <c r="O1390" s="79">
        <v>0</v>
      </c>
      <c r="P1390" s="107"/>
      <c r="Q1390" s="106"/>
      <c r="R1390" s="142"/>
    </row>
    <row r="1391" spans="1:18" s="111" customFormat="1">
      <c r="A1391" s="79">
        <v>420111</v>
      </c>
      <c r="B1391" s="121">
        <v>4201111</v>
      </c>
      <c r="C1391" s="79" t="s">
        <v>2484</v>
      </c>
      <c r="D1391" s="121">
        <v>4201112</v>
      </c>
      <c r="E1391" s="79" t="s">
        <v>2485</v>
      </c>
      <c r="F1391" s="79">
        <v>5</v>
      </c>
      <c r="G1391" s="79">
        <v>4</v>
      </c>
      <c r="H1391" s="79" t="s">
        <v>1404</v>
      </c>
      <c r="I1391" s="127"/>
      <c r="J1391" s="127"/>
      <c r="K1391" s="79">
        <v>5</v>
      </c>
      <c r="L1391" s="79">
        <v>8</v>
      </c>
      <c r="M1391" s="127" t="s">
        <v>2486</v>
      </c>
      <c r="N1391" s="79">
        <v>0</v>
      </c>
      <c r="O1391" s="79">
        <v>0</v>
      </c>
      <c r="P1391" s="107"/>
      <c r="Q1391" s="106"/>
      <c r="R1391" s="142"/>
    </row>
    <row r="1392" spans="1:18" s="111" customFormat="1">
      <c r="A1392" s="79">
        <v>420112</v>
      </c>
      <c r="B1392" s="121">
        <v>4201121</v>
      </c>
      <c r="C1392" s="79" t="s">
        <v>2487</v>
      </c>
      <c r="D1392" s="121">
        <v>4201122</v>
      </c>
      <c r="E1392" s="79" t="s">
        <v>2488</v>
      </c>
      <c r="F1392" s="79">
        <v>5</v>
      </c>
      <c r="G1392" s="79">
        <v>4</v>
      </c>
      <c r="H1392" s="79" t="s">
        <v>1404</v>
      </c>
      <c r="I1392" s="127"/>
      <c r="J1392" s="127"/>
      <c r="K1392" s="79">
        <v>5</v>
      </c>
      <c r="L1392" s="79">
        <v>8</v>
      </c>
      <c r="M1392" s="127" t="s">
        <v>2489</v>
      </c>
      <c r="N1392" s="79">
        <v>0</v>
      </c>
      <c r="O1392" s="79">
        <v>0</v>
      </c>
      <c r="P1392" s="107"/>
      <c r="Q1392" s="106"/>
      <c r="R1392" s="142"/>
    </row>
    <row r="1393" spans="1:18" s="111" customFormat="1">
      <c r="A1393" s="79">
        <v>420113</v>
      </c>
      <c r="B1393" s="121">
        <v>4201131</v>
      </c>
      <c r="C1393" s="79" t="s">
        <v>2490</v>
      </c>
      <c r="D1393" s="121">
        <v>4201132</v>
      </c>
      <c r="E1393" s="79" t="s">
        <v>2491</v>
      </c>
      <c r="F1393" s="79">
        <v>5</v>
      </c>
      <c r="G1393" s="79">
        <v>4</v>
      </c>
      <c r="H1393" s="79" t="s">
        <v>1404</v>
      </c>
      <c r="I1393" s="127"/>
      <c r="J1393" s="127"/>
      <c r="K1393" s="79">
        <v>5</v>
      </c>
      <c r="L1393" s="79">
        <v>8</v>
      </c>
      <c r="M1393" s="127" t="s">
        <v>2492</v>
      </c>
      <c r="N1393" s="79">
        <v>0</v>
      </c>
      <c r="O1393" s="79">
        <v>0</v>
      </c>
      <c r="P1393" s="107"/>
      <c r="Q1393" s="106"/>
      <c r="R1393" s="142"/>
    </row>
    <row r="1394" spans="1:18" s="111" customFormat="1">
      <c r="A1394" s="79">
        <v>420114</v>
      </c>
      <c r="B1394" s="121">
        <v>4201141</v>
      </c>
      <c r="C1394" s="79" t="s">
        <v>2493</v>
      </c>
      <c r="D1394" s="121">
        <v>4201142</v>
      </c>
      <c r="E1394" s="79" t="s">
        <v>2494</v>
      </c>
      <c r="F1394" s="79">
        <v>5</v>
      </c>
      <c r="G1394" s="79">
        <v>4</v>
      </c>
      <c r="H1394" s="79" t="s">
        <v>1404</v>
      </c>
      <c r="I1394" s="127"/>
      <c r="J1394" s="127"/>
      <c r="K1394" s="79">
        <v>5</v>
      </c>
      <c r="L1394" s="79">
        <v>8</v>
      </c>
      <c r="M1394" s="127" t="s">
        <v>2495</v>
      </c>
      <c r="N1394" s="79">
        <v>0</v>
      </c>
      <c r="O1394" s="79">
        <v>0</v>
      </c>
      <c r="P1394" s="107"/>
      <c r="Q1394" s="106"/>
      <c r="R1394" s="142"/>
    </row>
    <row r="1395" spans="1:18" s="111" customFormat="1">
      <c r="A1395" s="79">
        <v>420121</v>
      </c>
      <c r="B1395" s="121">
        <v>4201211</v>
      </c>
      <c r="C1395" s="79" t="s">
        <v>1622</v>
      </c>
      <c r="D1395" s="121">
        <v>4201212</v>
      </c>
      <c r="E1395" s="79" t="s">
        <v>2496</v>
      </c>
      <c r="F1395" s="79">
        <v>5</v>
      </c>
      <c r="G1395" s="79">
        <v>4</v>
      </c>
      <c r="H1395" s="79" t="s">
        <v>1405</v>
      </c>
      <c r="I1395" s="127"/>
      <c r="J1395" s="127"/>
      <c r="K1395" s="79">
        <v>5</v>
      </c>
      <c r="L1395" s="79">
        <v>8</v>
      </c>
      <c r="M1395" s="127" t="s">
        <v>2497</v>
      </c>
      <c r="N1395" s="79">
        <v>0</v>
      </c>
      <c r="O1395" s="79">
        <v>0</v>
      </c>
      <c r="P1395" s="107"/>
      <c r="Q1395" s="106"/>
      <c r="R1395" s="142"/>
    </row>
    <row r="1396" spans="1:18" s="111" customFormat="1">
      <c r="A1396" s="79">
        <v>420122</v>
      </c>
      <c r="B1396" s="121">
        <v>4201221</v>
      </c>
      <c r="C1396" s="79" t="s">
        <v>1625</v>
      </c>
      <c r="D1396" s="121">
        <v>4201222</v>
      </c>
      <c r="E1396" s="79" t="s">
        <v>2498</v>
      </c>
      <c r="F1396" s="79">
        <v>5</v>
      </c>
      <c r="G1396" s="79">
        <v>4</v>
      </c>
      <c r="H1396" s="79" t="s">
        <v>1405</v>
      </c>
      <c r="I1396" s="127"/>
      <c r="J1396" s="127"/>
      <c r="K1396" s="79">
        <v>5</v>
      </c>
      <c r="L1396" s="79">
        <v>8</v>
      </c>
      <c r="M1396" s="127" t="s">
        <v>2499</v>
      </c>
      <c r="N1396" s="79">
        <v>0</v>
      </c>
      <c r="O1396" s="79">
        <v>0</v>
      </c>
      <c r="P1396" s="107"/>
      <c r="Q1396" s="106"/>
      <c r="R1396" s="142"/>
    </row>
    <row r="1397" spans="1:18" s="111" customFormat="1">
      <c r="A1397" s="79">
        <v>420123</v>
      </c>
      <c r="B1397" s="121">
        <v>4201231</v>
      </c>
      <c r="C1397" s="79" t="s">
        <v>1628</v>
      </c>
      <c r="D1397" s="121">
        <v>4201232</v>
      </c>
      <c r="E1397" s="79" t="s">
        <v>2500</v>
      </c>
      <c r="F1397" s="79">
        <v>5</v>
      </c>
      <c r="G1397" s="79">
        <v>4</v>
      </c>
      <c r="H1397" s="79" t="s">
        <v>1405</v>
      </c>
      <c r="I1397" s="127"/>
      <c r="J1397" s="127"/>
      <c r="K1397" s="79">
        <v>5</v>
      </c>
      <c r="L1397" s="79">
        <v>8</v>
      </c>
      <c r="M1397" s="127" t="s">
        <v>2501</v>
      </c>
      <c r="N1397" s="79">
        <v>0</v>
      </c>
      <c r="O1397" s="79">
        <v>0</v>
      </c>
      <c r="P1397" s="107"/>
      <c r="Q1397" s="106"/>
      <c r="R1397" s="142"/>
    </row>
    <row r="1398" spans="1:18" s="111" customFormat="1">
      <c r="A1398" s="79">
        <v>420124</v>
      </c>
      <c r="B1398" s="121">
        <v>4201241</v>
      </c>
      <c r="C1398" s="79" t="s">
        <v>2502</v>
      </c>
      <c r="D1398" s="121">
        <v>4201242</v>
      </c>
      <c r="E1398" s="79" t="s">
        <v>2503</v>
      </c>
      <c r="F1398" s="79">
        <v>5</v>
      </c>
      <c r="G1398" s="79">
        <v>4</v>
      </c>
      <c r="H1398" s="79" t="s">
        <v>1405</v>
      </c>
      <c r="I1398" s="127"/>
      <c r="J1398" s="127"/>
      <c r="K1398" s="79">
        <v>5</v>
      </c>
      <c r="L1398" s="79">
        <v>8</v>
      </c>
      <c r="M1398" s="127" t="s">
        <v>2504</v>
      </c>
      <c r="N1398" s="79">
        <v>0</v>
      </c>
      <c r="O1398" s="79">
        <v>0</v>
      </c>
      <c r="P1398" s="107"/>
      <c r="Q1398" s="106"/>
      <c r="R1398" s="142"/>
    </row>
    <row r="1399" spans="1:18" s="111" customFormat="1">
      <c r="A1399" s="79">
        <v>420126</v>
      </c>
      <c r="B1399" s="121">
        <v>4201261</v>
      </c>
      <c r="C1399" s="79" t="s">
        <v>2505</v>
      </c>
      <c r="D1399" s="121">
        <v>4201262</v>
      </c>
      <c r="E1399" s="79" t="s">
        <v>2506</v>
      </c>
      <c r="F1399" s="79">
        <v>5</v>
      </c>
      <c r="G1399" s="79">
        <v>4</v>
      </c>
      <c r="H1399" s="79" t="s">
        <v>1405</v>
      </c>
      <c r="I1399" s="127"/>
      <c r="J1399" s="127"/>
      <c r="K1399" s="79">
        <v>5</v>
      </c>
      <c r="L1399" s="79">
        <v>8</v>
      </c>
      <c r="M1399" s="127" t="s">
        <v>2507</v>
      </c>
      <c r="N1399" s="79">
        <v>0</v>
      </c>
      <c r="O1399" s="79">
        <v>0</v>
      </c>
      <c r="P1399" s="107"/>
      <c r="Q1399" s="106"/>
      <c r="R1399" s="142"/>
    </row>
    <row r="1400" spans="1:18" s="111" customFormat="1">
      <c r="A1400" s="79">
        <v>420161</v>
      </c>
      <c r="B1400" s="121">
        <v>4201611</v>
      </c>
      <c r="C1400" s="79" t="s">
        <v>5692</v>
      </c>
      <c r="D1400" s="121">
        <v>4201612</v>
      </c>
      <c r="E1400" s="79" t="s">
        <v>5693</v>
      </c>
      <c r="F1400" s="79">
        <v>5</v>
      </c>
      <c r="G1400" s="79">
        <v>4</v>
      </c>
      <c r="H1400" s="79" t="s">
        <v>5694</v>
      </c>
      <c r="I1400" s="127"/>
      <c r="J1400" s="127"/>
      <c r="K1400" s="79">
        <v>5</v>
      </c>
      <c r="L1400" s="79">
        <v>8</v>
      </c>
      <c r="M1400" s="127" t="s">
        <v>5695</v>
      </c>
      <c r="N1400" s="79">
        <v>0</v>
      </c>
      <c r="O1400" s="79">
        <v>0</v>
      </c>
      <c r="P1400" s="107"/>
      <c r="Q1400" s="106"/>
      <c r="R1400" s="142"/>
    </row>
    <row r="1401" spans="1:18" s="111" customFormat="1">
      <c r="A1401" s="121">
        <v>420191</v>
      </c>
      <c r="B1401" s="121">
        <v>4201911</v>
      </c>
      <c r="C1401" s="79" t="s">
        <v>2508</v>
      </c>
      <c r="D1401" s="121">
        <v>4201912</v>
      </c>
      <c r="E1401" s="79" t="s">
        <v>2509</v>
      </c>
      <c r="F1401" s="79">
        <v>5</v>
      </c>
      <c r="G1401" s="79">
        <v>4</v>
      </c>
      <c r="H1401" s="79" t="s">
        <v>1407</v>
      </c>
      <c r="I1401" s="127"/>
      <c r="J1401" s="127"/>
      <c r="K1401" s="79">
        <v>5</v>
      </c>
      <c r="L1401" s="79">
        <v>8</v>
      </c>
      <c r="M1401" s="127" t="s">
        <v>2510</v>
      </c>
      <c r="N1401" s="79">
        <v>0</v>
      </c>
      <c r="O1401" s="79">
        <v>0</v>
      </c>
      <c r="P1401" s="107"/>
      <c r="Q1401" s="106"/>
      <c r="R1401" s="142"/>
    </row>
    <row r="1402" spans="1:18" s="111" customFormat="1">
      <c r="A1402" s="121">
        <v>420192</v>
      </c>
      <c r="B1402" s="121">
        <v>4201921</v>
      </c>
      <c r="C1402" s="79" t="s">
        <v>2511</v>
      </c>
      <c r="D1402" s="121">
        <v>4201922</v>
      </c>
      <c r="E1402" s="79" t="s">
        <v>2512</v>
      </c>
      <c r="F1402" s="79">
        <v>5</v>
      </c>
      <c r="G1402" s="79">
        <v>4</v>
      </c>
      <c r="H1402" s="79" t="s">
        <v>1407</v>
      </c>
      <c r="I1402" s="127"/>
      <c r="J1402" s="127"/>
      <c r="K1402" s="79">
        <v>5</v>
      </c>
      <c r="L1402" s="79">
        <v>8</v>
      </c>
      <c r="M1402" s="127" t="s">
        <v>2513</v>
      </c>
      <c r="N1402" s="79">
        <v>0</v>
      </c>
      <c r="O1402" s="79">
        <v>0</v>
      </c>
      <c r="P1402" s="107"/>
      <c r="Q1402" s="106"/>
      <c r="R1402" s="142"/>
    </row>
    <row r="1403" spans="1:18" s="111" customFormat="1">
      <c r="A1403" s="121">
        <v>420193</v>
      </c>
      <c r="B1403" s="121">
        <v>4201931</v>
      </c>
      <c r="C1403" s="79" t="s">
        <v>2514</v>
      </c>
      <c r="D1403" s="121">
        <v>4201932</v>
      </c>
      <c r="E1403" s="79" t="s">
        <v>2515</v>
      </c>
      <c r="F1403" s="79">
        <v>5</v>
      </c>
      <c r="G1403" s="79">
        <v>4</v>
      </c>
      <c r="H1403" s="79" t="s">
        <v>1407</v>
      </c>
      <c r="I1403" s="127"/>
      <c r="J1403" s="127"/>
      <c r="K1403" s="79">
        <v>5</v>
      </c>
      <c r="L1403" s="79">
        <v>8</v>
      </c>
      <c r="M1403" s="127" t="s">
        <v>2516</v>
      </c>
      <c r="N1403" s="79">
        <v>0</v>
      </c>
      <c r="O1403" s="79">
        <v>0</v>
      </c>
      <c r="P1403" s="107"/>
      <c r="Q1403" s="106"/>
      <c r="R1403" s="142"/>
    </row>
    <row r="1404" spans="1:18" s="111" customFormat="1">
      <c r="A1404" s="121">
        <v>420194</v>
      </c>
      <c r="B1404" s="121">
        <v>4201941</v>
      </c>
      <c r="C1404" s="79" t="s">
        <v>2517</v>
      </c>
      <c r="D1404" s="121">
        <v>4201942</v>
      </c>
      <c r="E1404" s="79" t="s">
        <v>2518</v>
      </c>
      <c r="F1404" s="79">
        <v>5</v>
      </c>
      <c r="G1404" s="79">
        <v>4</v>
      </c>
      <c r="H1404" s="79" t="s">
        <v>1407</v>
      </c>
      <c r="I1404" s="127"/>
      <c r="J1404" s="127"/>
      <c r="K1404" s="79">
        <v>5</v>
      </c>
      <c r="L1404" s="79">
        <v>8</v>
      </c>
      <c r="M1404" s="127" t="s">
        <v>2519</v>
      </c>
      <c r="N1404" s="79">
        <v>0</v>
      </c>
      <c r="O1404" s="79">
        <v>0</v>
      </c>
      <c r="P1404" s="107"/>
      <c r="Q1404" s="106"/>
      <c r="R1404" s="142"/>
    </row>
    <row r="1405" spans="1:18" s="111" customFormat="1">
      <c r="A1405" s="121">
        <v>420195</v>
      </c>
      <c r="B1405" s="121">
        <v>4201951</v>
      </c>
      <c r="C1405" s="79" t="s">
        <v>2520</v>
      </c>
      <c r="D1405" s="121">
        <v>4201952</v>
      </c>
      <c r="E1405" s="79" t="s">
        <v>2521</v>
      </c>
      <c r="F1405" s="79">
        <v>5</v>
      </c>
      <c r="G1405" s="79">
        <v>4</v>
      </c>
      <c r="H1405" s="79" t="s">
        <v>1407</v>
      </c>
      <c r="I1405" s="127"/>
      <c r="J1405" s="127"/>
      <c r="K1405" s="79">
        <v>5</v>
      </c>
      <c r="L1405" s="79">
        <v>8</v>
      </c>
      <c r="M1405" s="127" t="s">
        <v>2522</v>
      </c>
      <c r="N1405" s="79">
        <v>0</v>
      </c>
      <c r="O1405" s="79">
        <v>0</v>
      </c>
      <c r="P1405" s="107"/>
      <c r="Q1405" s="106"/>
      <c r="R1405" s="142"/>
    </row>
    <row r="1406" spans="1:18" s="111" customFormat="1">
      <c r="A1406" s="121">
        <v>420202</v>
      </c>
      <c r="B1406" s="121">
        <v>4202021</v>
      </c>
      <c r="C1406" s="79" t="s">
        <v>2523</v>
      </c>
      <c r="D1406" s="121">
        <v>4202022</v>
      </c>
      <c r="E1406" s="79" t="s">
        <v>2524</v>
      </c>
      <c r="F1406" s="79">
        <v>5</v>
      </c>
      <c r="G1406" s="79">
        <v>4</v>
      </c>
      <c r="H1406" s="79" t="s">
        <v>2525</v>
      </c>
      <c r="I1406" s="127"/>
      <c r="J1406" s="127"/>
      <c r="K1406" s="79">
        <v>7</v>
      </c>
      <c r="L1406" s="79">
        <v>8</v>
      </c>
      <c r="M1406" s="127" t="s">
        <v>2526</v>
      </c>
      <c r="N1406" s="79">
        <v>0</v>
      </c>
      <c r="O1406" s="79">
        <v>0</v>
      </c>
      <c r="P1406" s="107"/>
      <c r="Q1406" s="106"/>
      <c r="R1406" s="142"/>
    </row>
    <row r="1407" spans="1:18" s="111" customFormat="1">
      <c r="A1407" s="121">
        <v>420211</v>
      </c>
      <c r="B1407" s="121">
        <v>4202111</v>
      </c>
      <c r="C1407" s="79" t="s">
        <v>2527</v>
      </c>
      <c r="D1407" s="121">
        <v>4202112</v>
      </c>
      <c r="E1407" s="79" t="s">
        <v>2528</v>
      </c>
      <c r="F1407" s="79">
        <v>5</v>
      </c>
      <c r="G1407" s="79">
        <v>4</v>
      </c>
      <c r="H1407" s="79" t="s">
        <v>1377</v>
      </c>
      <c r="I1407" s="127"/>
      <c r="J1407" s="127"/>
      <c r="K1407" s="79">
        <v>6</v>
      </c>
      <c r="L1407" s="79">
        <v>8</v>
      </c>
      <c r="M1407" s="127" t="s">
        <v>2529</v>
      </c>
      <c r="N1407" s="79">
        <v>0</v>
      </c>
      <c r="O1407" s="79">
        <v>0</v>
      </c>
      <c r="P1407" s="107"/>
      <c r="Q1407" s="92"/>
      <c r="R1407" s="142"/>
    </row>
    <row r="1408" spans="1:18" s="111" customFormat="1">
      <c r="A1408" s="121">
        <v>420212</v>
      </c>
      <c r="B1408" s="121">
        <v>4202121</v>
      </c>
      <c r="C1408" s="79" t="s">
        <v>2530</v>
      </c>
      <c r="D1408" s="121">
        <v>4202122</v>
      </c>
      <c r="E1408" s="79" t="s">
        <v>2531</v>
      </c>
      <c r="F1408" s="79">
        <v>5</v>
      </c>
      <c r="G1408" s="79">
        <v>4</v>
      </c>
      <c r="H1408" s="79" t="s">
        <v>1377</v>
      </c>
      <c r="I1408" s="127"/>
      <c r="J1408" s="127"/>
      <c r="K1408" s="79">
        <v>6</v>
      </c>
      <c r="L1408" s="79">
        <v>8</v>
      </c>
      <c r="M1408" s="127" t="s">
        <v>2532</v>
      </c>
      <c r="N1408" s="79">
        <v>0</v>
      </c>
      <c r="O1408" s="79">
        <v>0</v>
      </c>
      <c r="P1408" s="107"/>
      <c r="Q1408" s="92"/>
      <c r="R1408" s="142"/>
    </row>
    <row r="1409" spans="1:18" s="111" customFormat="1">
      <c r="A1409" s="121">
        <v>420213</v>
      </c>
      <c r="B1409" s="121">
        <v>4202131</v>
      </c>
      <c r="C1409" s="79" t="s">
        <v>2533</v>
      </c>
      <c r="D1409" s="121">
        <v>4202132</v>
      </c>
      <c r="E1409" s="79" t="s">
        <v>2534</v>
      </c>
      <c r="F1409" s="79">
        <v>5</v>
      </c>
      <c r="G1409" s="79">
        <v>4</v>
      </c>
      <c r="H1409" s="79" t="s">
        <v>1377</v>
      </c>
      <c r="I1409" s="127"/>
      <c r="J1409" s="127"/>
      <c r="K1409" s="79">
        <v>6</v>
      </c>
      <c r="L1409" s="79">
        <v>8</v>
      </c>
      <c r="M1409" s="127" t="s">
        <v>2535</v>
      </c>
      <c r="N1409" s="79">
        <v>0</v>
      </c>
      <c r="O1409" s="79">
        <v>0</v>
      </c>
      <c r="P1409" s="107"/>
      <c r="Q1409" s="92"/>
      <c r="R1409" s="142"/>
    </row>
    <row r="1410" spans="1:18" s="111" customFormat="1">
      <c r="A1410" s="121">
        <v>420214</v>
      </c>
      <c r="B1410" s="121">
        <v>4202141</v>
      </c>
      <c r="C1410" s="79" t="s">
        <v>2536</v>
      </c>
      <c r="D1410" s="121">
        <v>4202142</v>
      </c>
      <c r="E1410" s="79" t="s">
        <v>2537</v>
      </c>
      <c r="F1410" s="79">
        <v>5</v>
      </c>
      <c r="G1410" s="79">
        <v>4</v>
      </c>
      <c r="H1410" s="79" t="s">
        <v>1377</v>
      </c>
      <c r="I1410" s="127"/>
      <c r="J1410" s="127"/>
      <c r="K1410" s="79">
        <v>6</v>
      </c>
      <c r="L1410" s="79">
        <v>8</v>
      </c>
      <c r="M1410" s="127" t="s">
        <v>2538</v>
      </c>
      <c r="N1410" s="79">
        <v>0</v>
      </c>
      <c r="O1410" s="79">
        <v>0</v>
      </c>
      <c r="P1410" s="107"/>
      <c r="Q1410" s="92"/>
      <c r="R1410" s="142"/>
    </row>
    <row r="1411" spans="1:18" s="111" customFormat="1">
      <c r="A1411" s="121">
        <v>420221</v>
      </c>
      <c r="B1411" s="121">
        <v>4202211</v>
      </c>
      <c r="C1411" s="79" t="s">
        <v>2539</v>
      </c>
      <c r="D1411" s="121">
        <v>4202212</v>
      </c>
      <c r="E1411" s="79" t="s">
        <v>2540</v>
      </c>
      <c r="F1411" s="79">
        <v>5</v>
      </c>
      <c r="G1411" s="79">
        <v>4</v>
      </c>
      <c r="H1411" s="79" t="s">
        <v>2541</v>
      </c>
      <c r="I1411" s="127"/>
      <c r="J1411" s="127"/>
      <c r="K1411" s="79">
        <v>6</v>
      </c>
      <c r="L1411" s="79">
        <v>8</v>
      </c>
      <c r="M1411" s="127" t="s">
        <v>2542</v>
      </c>
      <c r="N1411" s="79">
        <v>0</v>
      </c>
      <c r="O1411" s="79">
        <v>0</v>
      </c>
      <c r="P1411" s="107"/>
      <c r="Q1411" s="92"/>
      <c r="R1411" s="142"/>
    </row>
    <row r="1412" spans="1:18" s="111" customFormat="1">
      <c r="A1412" s="121">
        <v>420222</v>
      </c>
      <c r="B1412" s="121">
        <v>4202221</v>
      </c>
      <c r="C1412" s="79" t="s">
        <v>2543</v>
      </c>
      <c r="D1412" s="121">
        <v>4202222</v>
      </c>
      <c r="E1412" s="79" t="s">
        <v>2544</v>
      </c>
      <c r="F1412" s="79">
        <v>5</v>
      </c>
      <c r="G1412" s="79">
        <v>4</v>
      </c>
      <c r="H1412" s="79" t="s">
        <v>2541</v>
      </c>
      <c r="I1412" s="127"/>
      <c r="J1412" s="127"/>
      <c r="K1412" s="79">
        <v>6</v>
      </c>
      <c r="L1412" s="79">
        <v>8</v>
      </c>
      <c r="M1412" s="127" t="s">
        <v>2545</v>
      </c>
      <c r="N1412" s="79">
        <v>0</v>
      </c>
      <c r="O1412" s="79">
        <v>0</v>
      </c>
      <c r="P1412" s="107"/>
      <c r="Q1412" s="92"/>
      <c r="R1412" s="142"/>
    </row>
    <row r="1413" spans="1:18" s="111" customFormat="1">
      <c r="A1413" s="121">
        <v>420223</v>
      </c>
      <c r="B1413" s="121">
        <v>4202231</v>
      </c>
      <c r="C1413" s="79" t="s">
        <v>2546</v>
      </c>
      <c r="D1413" s="121">
        <v>4202232</v>
      </c>
      <c r="E1413" s="79" t="s">
        <v>2547</v>
      </c>
      <c r="F1413" s="79">
        <v>5</v>
      </c>
      <c r="G1413" s="79">
        <v>4</v>
      </c>
      <c r="H1413" s="79" t="s">
        <v>2541</v>
      </c>
      <c r="I1413" s="127"/>
      <c r="J1413" s="127"/>
      <c r="K1413" s="79">
        <v>6</v>
      </c>
      <c r="L1413" s="79">
        <v>8</v>
      </c>
      <c r="M1413" s="127" t="s">
        <v>2548</v>
      </c>
      <c r="N1413" s="79">
        <v>0</v>
      </c>
      <c r="O1413" s="79">
        <v>0</v>
      </c>
      <c r="P1413" s="107"/>
      <c r="Q1413" s="92"/>
      <c r="R1413" s="142"/>
    </row>
    <row r="1414" spans="1:18" s="111" customFormat="1">
      <c r="A1414" s="121">
        <v>420224</v>
      </c>
      <c r="B1414" s="121">
        <v>4202241</v>
      </c>
      <c r="C1414" s="79" t="s">
        <v>2549</v>
      </c>
      <c r="D1414" s="121">
        <v>4202242</v>
      </c>
      <c r="E1414" s="79" t="s">
        <v>2550</v>
      </c>
      <c r="F1414" s="79">
        <v>5</v>
      </c>
      <c r="G1414" s="79">
        <v>4</v>
      </c>
      <c r="H1414" s="79" t="s">
        <v>2541</v>
      </c>
      <c r="I1414" s="127"/>
      <c r="J1414" s="127"/>
      <c r="K1414" s="79">
        <v>6</v>
      </c>
      <c r="L1414" s="79">
        <v>8</v>
      </c>
      <c r="M1414" s="127" t="s">
        <v>2551</v>
      </c>
      <c r="N1414" s="79">
        <v>0</v>
      </c>
      <c r="O1414" s="79">
        <v>0</v>
      </c>
      <c r="P1414" s="107"/>
      <c r="Q1414" s="92"/>
      <c r="R1414" s="142"/>
    </row>
    <row r="1415" spans="1:18" s="111" customFormat="1">
      <c r="A1415" s="121">
        <v>420231</v>
      </c>
      <c r="B1415" s="79">
        <f>A1415*10+1</f>
        <v>4202311</v>
      </c>
      <c r="C1415" s="79" t="s">
        <v>2552</v>
      </c>
      <c r="D1415" s="79">
        <f>A1415*10+2</f>
        <v>4202312</v>
      </c>
      <c r="E1415" s="79" t="s">
        <v>2553</v>
      </c>
      <c r="F1415" s="79">
        <v>5</v>
      </c>
      <c r="G1415" s="79">
        <v>4</v>
      </c>
      <c r="H1415" s="79" t="s">
        <v>2554</v>
      </c>
      <c r="I1415" s="127"/>
      <c r="J1415" s="127"/>
      <c r="K1415" s="79">
        <v>6</v>
      </c>
      <c r="L1415" s="79">
        <v>8</v>
      </c>
      <c r="M1415" s="127" t="s">
        <v>2555</v>
      </c>
      <c r="N1415" s="79">
        <v>0</v>
      </c>
      <c r="O1415" s="79">
        <v>0</v>
      </c>
      <c r="P1415" s="107"/>
      <c r="Q1415" s="93"/>
      <c r="R1415" s="142"/>
    </row>
    <row r="1416" spans="1:18" s="111" customFormat="1">
      <c r="A1416" s="121">
        <v>420232</v>
      </c>
      <c r="B1416" s="79">
        <f>A1416*10+1</f>
        <v>4202321</v>
      </c>
      <c r="C1416" s="79" t="s">
        <v>2556</v>
      </c>
      <c r="D1416" s="79">
        <f>A1416*10+2</f>
        <v>4202322</v>
      </c>
      <c r="E1416" s="79" t="s">
        <v>2557</v>
      </c>
      <c r="F1416" s="79">
        <v>5</v>
      </c>
      <c r="G1416" s="79">
        <v>4</v>
      </c>
      <c r="H1416" s="79" t="s">
        <v>2554</v>
      </c>
      <c r="I1416" s="127"/>
      <c r="J1416" s="127"/>
      <c r="K1416" s="79">
        <v>6</v>
      </c>
      <c r="L1416" s="79">
        <v>8</v>
      </c>
      <c r="M1416" s="127" t="s">
        <v>2545</v>
      </c>
      <c r="N1416" s="79">
        <v>0</v>
      </c>
      <c r="O1416" s="79">
        <v>0</v>
      </c>
      <c r="P1416" s="107"/>
      <c r="Q1416" s="93"/>
      <c r="R1416" s="142"/>
    </row>
    <row r="1417" spans="1:18" s="111" customFormat="1">
      <c r="A1417" s="121">
        <v>420233</v>
      </c>
      <c r="B1417" s="79">
        <f>A1417*10+1</f>
        <v>4202331</v>
      </c>
      <c r="C1417" s="79" t="s">
        <v>2558</v>
      </c>
      <c r="D1417" s="79">
        <f>A1417*10+2</f>
        <v>4202332</v>
      </c>
      <c r="E1417" s="79" t="s">
        <v>2559</v>
      </c>
      <c r="F1417" s="79">
        <v>5</v>
      </c>
      <c r="G1417" s="79">
        <v>4</v>
      </c>
      <c r="H1417" s="79" t="s">
        <v>2554</v>
      </c>
      <c r="I1417" s="127"/>
      <c r="J1417" s="127"/>
      <c r="K1417" s="79">
        <v>6</v>
      </c>
      <c r="L1417" s="79">
        <v>8</v>
      </c>
      <c r="M1417" s="127" t="s">
        <v>2560</v>
      </c>
      <c r="N1417" s="79">
        <v>0</v>
      </c>
      <c r="O1417" s="79">
        <v>0</v>
      </c>
      <c r="P1417" s="107"/>
      <c r="Q1417" s="93"/>
      <c r="R1417" s="142"/>
    </row>
    <row r="1418" spans="1:18" s="111" customFormat="1">
      <c r="A1418" s="121">
        <v>420234</v>
      </c>
      <c r="B1418" s="79">
        <f>A1418*10+1</f>
        <v>4202341</v>
      </c>
      <c r="C1418" s="79" t="s">
        <v>2561</v>
      </c>
      <c r="D1418" s="79">
        <f>A1418*10+2</f>
        <v>4202342</v>
      </c>
      <c r="E1418" s="79" t="s">
        <v>2562</v>
      </c>
      <c r="F1418" s="79">
        <v>5</v>
      </c>
      <c r="G1418" s="79">
        <v>4</v>
      </c>
      <c r="H1418" s="79" t="s">
        <v>2554</v>
      </c>
      <c r="I1418" s="127"/>
      <c r="J1418" s="127"/>
      <c r="K1418" s="79">
        <v>6</v>
      </c>
      <c r="L1418" s="79">
        <v>8</v>
      </c>
      <c r="M1418" s="127" t="s">
        <v>2563</v>
      </c>
      <c r="N1418" s="79">
        <v>0</v>
      </c>
      <c r="O1418" s="79">
        <v>0</v>
      </c>
      <c r="P1418" s="107"/>
      <c r="Q1418" s="93"/>
      <c r="R1418" s="142"/>
    </row>
    <row r="1419" spans="1:18" s="112" customFormat="1">
      <c r="A1419" s="93">
        <v>420241</v>
      </c>
      <c r="B1419" s="93">
        <v>4202411</v>
      </c>
      <c r="C1419" s="93" t="s">
        <v>2564</v>
      </c>
      <c r="D1419" s="93">
        <v>4202412</v>
      </c>
      <c r="E1419" s="93" t="s">
        <v>2565</v>
      </c>
      <c r="F1419" s="93">
        <v>5</v>
      </c>
      <c r="G1419" s="93">
        <v>4</v>
      </c>
      <c r="H1419" s="93" t="s">
        <v>1406</v>
      </c>
      <c r="I1419" s="93"/>
      <c r="J1419" s="117"/>
      <c r="K1419" s="93">
        <v>6</v>
      </c>
      <c r="L1419" s="93">
        <v>8</v>
      </c>
      <c r="M1419" s="117" t="s">
        <v>2566</v>
      </c>
      <c r="N1419" s="93">
        <v>0</v>
      </c>
      <c r="O1419" s="93">
        <v>0</v>
      </c>
      <c r="P1419" s="98"/>
      <c r="Q1419" s="93"/>
      <c r="R1419" s="143"/>
    </row>
    <row r="1420" spans="1:18" s="112" customFormat="1">
      <c r="A1420" s="141">
        <v>420242</v>
      </c>
      <c r="B1420" s="141">
        <v>4202421</v>
      </c>
      <c r="C1420" s="93" t="s">
        <v>2567</v>
      </c>
      <c r="D1420" s="141">
        <v>4202422</v>
      </c>
      <c r="E1420" s="93" t="s">
        <v>2568</v>
      </c>
      <c r="F1420" s="93">
        <v>5</v>
      </c>
      <c r="G1420" s="93">
        <v>4</v>
      </c>
      <c r="H1420" s="93" t="s">
        <v>1406</v>
      </c>
      <c r="I1420" s="117"/>
      <c r="J1420" s="117"/>
      <c r="K1420" s="93">
        <v>6</v>
      </c>
      <c r="L1420" s="93">
        <v>8</v>
      </c>
      <c r="M1420" s="117" t="s">
        <v>2569</v>
      </c>
      <c r="N1420" s="93">
        <v>0</v>
      </c>
      <c r="O1420" s="93">
        <v>0</v>
      </c>
      <c r="P1420" s="98"/>
      <c r="Q1420" s="93"/>
      <c r="R1420" s="143"/>
    </row>
    <row r="1421" spans="1:18" s="112" customFormat="1">
      <c r="A1421" s="141">
        <v>420243</v>
      </c>
      <c r="B1421" s="141">
        <v>4202431</v>
      </c>
      <c r="C1421" s="93" t="s">
        <v>2570</v>
      </c>
      <c r="D1421" s="141">
        <v>4202432</v>
      </c>
      <c r="E1421" s="93" t="s">
        <v>2571</v>
      </c>
      <c r="F1421" s="93">
        <v>5</v>
      </c>
      <c r="G1421" s="93">
        <v>4</v>
      </c>
      <c r="H1421" s="93" t="s">
        <v>1406</v>
      </c>
      <c r="I1421" s="117"/>
      <c r="J1421" s="117"/>
      <c r="K1421" s="93">
        <v>6</v>
      </c>
      <c r="L1421" s="93">
        <v>8</v>
      </c>
      <c r="M1421" s="117" t="s">
        <v>2572</v>
      </c>
      <c r="N1421" s="93">
        <v>0</v>
      </c>
      <c r="O1421" s="93">
        <v>0</v>
      </c>
      <c r="P1421" s="98"/>
      <c r="Q1421" s="93"/>
      <c r="R1421" s="143"/>
    </row>
    <row r="1422" spans="1:18" s="112" customFormat="1">
      <c r="A1422" s="141">
        <v>420244</v>
      </c>
      <c r="B1422" s="141">
        <v>4202441</v>
      </c>
      <c r="C1422" s="93" t="s">
        <v>2573</v>
      </c>
      <c r="D1422" s="141">
        <v>4202442</v>
      </c>
      <c r="E1422" s="93" t="s">
        <v>2574</v>
      </c>
      <c r="F1422" s="93">
        <v>5</v>
      </c>
      <c r="G1422" s="93">
        <v>4</v>
      </c>
      <c r="H1422" s="93" t="s">
        <v>1406</v>
      </c>
      <c r="I1422" s="117"/>
      <c r="J1422" s="117"/>
      <c r="K1422" s="93">
        <v>6</v>
      </c>
      <c r="L1422" s="93">
        <v>8</v>
      </c>
      <c r="M1422" s="117" t="s">
        <v>2575</v>
      </c>
      <c r="N1422" s="93">
        <v>0</v>
      </c>
      <c r="O1422" s="93">
        <v>0</v>
      </c>
      <c r="P1422" s="98"/>
      <c r="Q1422" s="93"/>
      <c r="R1422" s="143"/>
    </row>
    <row r="1423" spans="1:18" s="111" customFormat="1">
      <c r="A1423" s="79">
        <v>430011</v>
      </c>
      <c r="B1423" s="121">
        <v>4300111</v>
      </c>
      <c r="C1423" s="79" t="s">
        <v>2576</v>
      </c>
      <c r="D1423" s="121">
        <v>4300112</v>
      </c>
      <c r="E1423" s="79" t="s">
        <v>2577</v>
      </c>
      <c r="F1423" s="79">
        <v>5</v>
      </c>
      <c r="G1423" s="79">
        <v>4</v>
      </c>
      <c r="H1423" s="79" t="s">
        <v>2578</v>
      </c>
      <c r="I1423" s="127"/>
      <c r="J1423" s="127"/>
      <c r="K1423" s="79">
        <v>3</v>
      </c>
      <c r="L1423" s="79">
        <v>8</v>
      </c>
      <c r="M1423" s="127" t="s">
        <v>2579</v>
      </c>
      <c r="N1423" s="79">
        <v>0</v>
      </c>
      <c r="O1423" s="79">
        <v>0</v>
      </c>
      <c r="P1423" s="107"/>
      <c r="Q1423" s="106"/>
      <c r="R1423" s="142"/>
    </row>
    <row r="1424" spans="1:18" s="111" customFormat="1">
      <c r="A1424" s="79">
        <v>430012</v>
      </c>
      <c r="B1424" s="121">
        <v>4300121</v>
      </c>
      <c r="C1424" s="79" t="s">
        <v>2580</v>
      </c>
      <c r="D1424" s="121">
        <v>4300122</v>
      </c>
      <c r="E1424" s="79" t="s">
        <v>2581</v>
      </c>
      <c r="F1424" s="79">
        <v>5</v>
      </c>
      <c r="G1424" s="79">
        <v>4</v>
      </c>
      <c r="H1424" s="79" t="s">
        <v>2578</v>
      </c>
      <c r="I1424" s="127"/>
      <c r="J1424" s="127"/>
      <c r="K1424" s="79">
        <v>3</v>
      </c>
      <c r="L1424" s="79">
        <v>8</v>
      </c>
      <c r="M1424" s="127" t="s">
        <v>2582</v>
      </c>
      <c r="N1424" s="79">
        <v>0</v>
      </c>
      <c r="O1424" s="79">
        <v>0</v>
      </c>
      <c r="P1424" s="107"/>
      <c r="Q1424" s="106"/>
      <c r="R1424" s="142"/>
    </row>
    <row r="1425" spans="1:18" s="111" customFormat="1">
      <c r="A1425" s="79">
        <v>440011</v>
      </c>
      <c r="B1425" s="121">
        <v>4400111</v>
      </c>
      <c r="C1425" s="79" t="s">
        <v>2583</v>
      </c>
      <c r="D1425" s="121">
        <v>4400112</v>
      </c>
      <c r="E1425" s="79" t="s">
        <v>2584</v>
      </c>
      <c r="F1425" s="79">
        <v>5</v>
      </c>
      <c r="G1425" s="79">
        <v>4</v>
      </c>
      <c r="H1425" s="79" t="s">
        <v>2585</v>
      </c>
      <c r="I1425" s="127"/>
      <c r="J1425" s="127"/>
      <c r="K1425" s="79">
        <v>4</v>
      </c>
      <c r="L1425" s="79">
        <v>8</v>
      </c>
      <c r="M1425" s="127" t="s">
        <v>2586</v>
      </c>
      <c r="N1425" s="79">
        <v>0</v>
      </c>
      <c r="O1425" s="79">
        <v>0</v>
      </c>
      <c r="P1425" s="107"/>
      <c r="Q1425" s="106"/>
      <c r="R1425" s="142"/>
    </row>
    <row r="1426" spans="1:18" s="107" customFormat="1">
      <c r="A1426" s="79">
        <v>440012</v>
      </c>
      <c r="B1426" s="121">
        <v>4400121</v>
      </c>
      <c r="C1426" s="79" t="s">
        <v>2587</v>
      </c>
      <c r="D1426" s="121">
        <v>4400122</v>
      </c>
      <c r="E1426" s="79" t="s">
        <v>2588</v>
      </c>
      <c r="F1426" s="79">
        <v>5</v>
      </c>
      <c r="G1426" s="79">
        <v>4</v>
      </c>
      <c r="H1426" s="79" t="s">
        <v>2585</v>
      </c>
      <c r="I1426" s="127"/>
      <c r="J1426" s="127"/>
      <c r="K1426" s="79">
        <v>4</v>
      </c>
      <c r="L1426" s="79">
        <v>8</v>
      </c>
      <c r="M1426" s="127" t="s">
        <v>2589</v>
      </c>
      <c r="N1426" s="79">
        <v>0</v>
      </c>
      <c r="O1426" s="79">
        <v>0</v>
      </c>
      <c r="Q1426" s="106"/>
      <c r="R1426" s="142"/>
    </row>
    <row r="1427" spans="1:18" s="107" customFormat="1">
      <c r="A1427" s="79">
        <v>440013</v>
      </c>
      <c r="B1427" s="121">
        <v>4400131</v>
      </c>
      <c r="C1427" s="79" t="s">
        <v>2590</v>
      </c>
      <c r="D1427" s="121">
        <v>4400132</v>
      </c>
      <c r="E1427" s="79" t="s">
        <v>2591</v>
      </c>
      <c r="F1427" s="79">
        <v>5</v>
      </c>
      <c r="G1427" s="79">
        <v>4</v>
      </c>
      <c r="H1427" s="79" t="s">
        <v>2592</v>
      </c>
      <c r="I1427" s="127"/>
      <c r="J1427" s="127"/>
      <c r="K1427" s="79">
        <v>6</v>
      </c>
      <c r="L1427" s="79">
        <v>8</v>
      </c>
      <c r="M1427" s="127" t="s">
        <v>2593</v>
      </c>
      <c r="N1427" s="79">
        <v>0</v>
      </c>
      <c r="O1427" s="79">
        <v>0</v>
      </c>
      <c r="Q1427" s="106"/>
      <c r="R1427" s="142"/>
    </row>
    <row r="1428" spans="1:18" s="111" customFormat="1">
      <c r="A1428" s="79">
        <v>440021</v>
      </c>
      <c r="B1428" s="121">
        <v>4400211</v>
      </c>
      <c r="C1428" s="79" t="s">
        <v>2594</v>
      </c>
      <c r="D1428" s="121">
        <v>4400212</v>
      </c>
      <c r="E1428" s="79" t="s">
        <v>2595</v>
      </c>
      <c r="F1428" s="79">
        <v>5</v>
      </c>
      <c r="G1428" s="79">
        <v>4</v>
      </c>
      <c r="H1428" s="79" t="s">
        <v>2596</v>
      </c>
      <c r="I1428" s="127"/>
      <c r="J1428" s="127"/>
      <c r="K1428" s="79">
        <v>4</v>
      </c>
      <c r="L1428" s="79">
        <v>8</v>
      </c>
      <c r="M1428" s="127" t="s">
        <v>2597</v>
      </c>
      <c r="N1428" s="79">
        <v>0</v>
      </c>
      <c r="O1428" s="79">
        <v>0</v>
      </c>
      <c r="P1428" s="107"/>
      <c r="Q1428" s="106"/>
      <c r="R1428" s="142"/>
    </row>
    <row r="1429" spans="1:18" s="111" customFormat="1">
      <c r="A1429" s="79">
        <v>440031</v>
      </c>
      <c r="B1429" s="121">
        <v>4400311</v>
      </c>
      <c r="C1429" s="79" t="s">
        <v>2598</v>
      </c>
      <c r="D1429" s="121">
        <v>4400312</v>
      </c>
      <c r="E1429" s="79" t="s">
        <v>2599</v>
      </c>
      <c r="F1429" s="79">
        <v>5</v>
      </c>
      <c r="G1429" s="79">
        <v>4</v>
      </c>
      <c r="H1429" s="79" t="s">
        <v>2600</v>
      </c>
      <c r="I1429" s="127"/>
      <c r="J1429" s="127"/>
      <c r="K1429" s="79">
        <v>4</v>
      </c>
      <c r="L1429" s="79">
        <v>8</v>
      </c>
      <c r="M1429" s="127" t="s">
        <v>2601</v>
      </c>
      <c r="N1429" s="79">
        <v>0</v>
      </c>
      <c r="O1429" s="79">
        <v>0</v>
      </c>
      <c r="P1429" s="107"/>
      <c r="Q1429" s="106"/>
      <c r="R1429" s="142"/>
    </row>
    <row r="1430" spans="1:18" s="111" customFormat="1">
      <c r="A1430" s="79">
        <v>440041</v>
      </c>
      <c r="B1430" s="121">
        <v>4400411</v>
      </c>
      <c r="C1430" s="79" t="s">
        <v>2602</v>
      </c>
      <c r="D1430" s="121">
        <v>4400412</v>
      </c>
      <c r="E1430" s="79" t="s">
        <v>2603</v>
      </c>
      <c r="F1430" s="79">
        <v>5</v>
      </c>
      <c r="G1430" s="79">
        <v>4</v>
      </c>
      <c r="H1430" s="79" t="s">
        <v>2604</v>
      </c>
      <c r="I1430" s="127"/>
      <c r="J1430" s="127"/>
      <c r="K1430" s="79">
        <v>4</v>
      </c>
      <c r="L1430" s="79">
        <v>8</v>
      </c>
      <c r="M1430" s="127" t="s">
        <v>2605</v>
      </c>
      <c r="N1430" s="79">
        <v>0</v>
      </c>
      <c r="O1430" s="79">
        <v>0</v>
      </c>
      <c r="P1430" s="107"/>
      <c r="Q1430" s="106"/>
      <c r="R1430" s="142"/>
    </row>
    <row r="1431" spans="1:18" s="111" customFormat="1">
      <c r="A1431" s="79">
        <v>440051</v>
      </c>
      <c r="B1431" s="121">
        <v>4400511</v>
      </c>
      <c r="C1431" s="79" t="s">
        <v>2606</v>
      </c>
      <c r="D1431" s="121">
        <v>4400512</v>
      </c>
      <c r="E1431" s="79" t="s">
        <v>2607</v>
      </c>
      <c r="F1431" s="79">
        <v>5</v>
      </c>
      <c r="G1431" s="79">
        <v>4</v>
      </c>
      <c r="H1431" s="79" t="s">
        <v>2608</v>
      </c>
      <c r="I1431" s="127" t="s">
        <v>2609</v>
      </c>
      <c r="J1431" s="127"/>
      <c r="K1431" s="79">
        <v>4</v>
      </c>
      <c r="L1431" s="79">
        <v>8</v>
      </c>
      <c r="M1431" s="127" t="s">
        <v>2610</v>
      </c>
      <c r="N1431" s="79">
        <v>0</v>
      </c>
      <c r="O1431" s="79">
        <v>0</v>
      </c>
      <c r="P1431" s="107"/>
      <c r="Q1431" s="106"/>
      <c r="R1431" s="142"/>
    </row>
    <row r="1432" spans="1:18" s="111" customFormat="1">
      <c r="A1432" s="79">
        <v>440052</v>
      </c>
      <c r="B1432" s="121">
        <v>4400521</v>
      </c>
      <c r="C1432" s="79" t="s">
        <v>2611</v>
      </c>
      <c r="D1432" s="121">
        <v>4400522</v>
      </c>
      <c r="E1432" s="79" t="s">
        <v>2612</v>
      </c>
      <c r="F1432" s="79">
        <v>5</v>
      </c>
      <c r="G1432" s="79">
        <v>4</v>
      </c>
      <c r="H1432" s="79" t="s">
        <v>2608</v>
      </c>
      <c r="I1432" s="127" t="s">
        <v>2609</v>
      </c>
      <c r="J1432" s="127"/>
      <c r="K1432" s="79">
        <v>4</v>
      </c>
      <c r="L1432" s="79">
        <v>8</v>
      </c>
      <c r="M1432" s="127" t="s">
        <v>2613</v>
      </c>
      <c r="N1432" s="79">
        <v>0</v>
      </c>
      <c r="O1432" s="79">
        <v>0</v>
      </c>
      <c r="P1432" s="107"/>
      <c r="Q1432" s="106"/>
      <c r="R1432" s="107"/>
    </row>
    <row r="1433" spans="1:18" s="111" customFormat="1">
      <c r="A1433" s="79">
        <v>440053</v>
      </c>
      <c r="B1433" s="121">
        <v>4400531</v>
      </c>
      <c r="C1433" s="79" t="s">
        <v>2614</v>
      </c>
      <c r="D1433" s="121">
        <v>4400532</v>
      </c>
      <c r="E1433" s="79" t="s">
        <v>2615</v>
      </c>
      <c r="F1433" s="79">
        <v>5</v>
      </c>
      <c r="G1433" s="79">
        <v>4</v>
      </c>
      <c r="H1433" s="79" t="s">
        <v>2608</v>
      </c>
      <c r="I1433" s="127" t="s">
        <v>2609</v>
      </c>
      <c r="J1433" s="127"/>
      <c r="K1433" s="79">
        <v>4</v>
      </c>
      <c r="L1433" s="79">
        <v>8</v>
      </c>
      <c r="M1433" s="127" t="s">
        <v>2616</v>
      </c>
      <c r="N1433" s="79">
        <v>0</v>
      </c>
      <c r="O1433" s="79"/>
      <c r="P1433" s="107"/>
      <c r="Q1433" s="106"/>
      <c r="R1433" s="107"/>
    </row>
    <row r="1434" spans="1:18" s="111" customFormat="1">
      <c r="A1434" s="79">
        <v>440061</v>
      </c>
      <c r="B1434" s="121">
        <v>4400611</v>
      </c>
      <c r="C1434" s="79" t="s">
        <v>2617</v>
      </c>
      <c r="D1434" s="121">
        <v>4400612</v>
      </c>
      <c r="E1434" s="79" t="s">
        <v>2618</v>
      </c>
      <c r="F1434" s="79">
        <v>5</v>
      </c>
      <c r="G1434" s="79">
        <v>4</v>
      </c>
      <c r="H1434" s="79" t="s">
        <v>2619</v>
      </c>
      <c r="I1434" s="127" t="s">
        <v>2620</v>
      </c>
      <c r="J1434" s="127"/>
      <c r="K1434" s="79">
        <v>4</v>
      </c>
      <c r="L1434" s="79">
        <v>8</v>
      </c>
      <c r="M1434" s="127" t="s">
        <v>2621</v>
      </c>
      <c r="N1434" s="79">
        <v>0</v>
      </c>
      <c r="O1434" s="79">
        <v>0</v>
      </c>
      <c r="P1434" s="107"/>
      <c r="Q1434" s="106"/>
      <c r="R1434" s="107"/>
    </row>
    <row r="1435" spans="1:18" s="183" customFormat="1">
      <c r="A1435" s="175">
        <v>440062</v>
      </c>
      <c r="B1435" s="181">
        <v>4400621</v>
      </c>
      <c r="C1435" s="175" t="s">
        <v>2622</v>
      </c>
      <c r="D1435" s="181">
        <v>4400622</v>
      </c>
      <c r="E1435" s="175" t="s">
        <v>2623</v>
      </c>
      <c r="F1435" s="175">
        <v>5</v>
      </c>
      <c r="G1435" s="175">
        <v>4</v>
      </c>
      <c r="H1435" s="175" t="s">
        <v>2619</v>
      </c>
      <c r="I1435" s="179" t="s">
        <v>2620</v>
      </c>
      <c r="J1435" s="179"/>
      <c r="K1435" s="175">
        <v>4</v>
      </c>
      <c r="L1435" s="175">
        <v>8</v>
      </c>
      <c r="M1435" s="179" t="s">
        <v>2624</v>
      </c>
      <c r="N1435" s="175"/>
      <c r="O1435" s="175"/>
      <c r="P1435" s="175"/>
      <c r="Q1435" s="178"/>
      <c r="R1435" s="175"/>
    </row>
    <row r="1436" spans="1:18" s="183" customFormat="1">
      <c r="A1436" s="175">
        <v>440063</v>
      </c>
      <c r="B1436" s="181">
        <v>4400631</v>
      </c>
      <c r="C1436" s="175" t="s">
        <v>2625</v>
      </c>
      <c r="D1436" s="181">
        <v>4400632</v>
      </c>
      <c r="E1436" s="175" t="s">
        <v>2626</v>
      </c>
      <c r="F1436" s="175">
        <v>5</v>
      </c>
      <c r="G1436" s="175">
        <v>4</v>
      </c>
      <c r="H1436" s="175" t="s">
        <v>2619</v>
      </c>
      <c r="I1436" s="179" t="s">
        <v>2620</v>
      </c>
      <c r="J1436" s="179"/>
      <c r="K1436" s="175">
        <v>4</v>
      </c>
      <c r="L1436" s="175">
        <v>8</v>
      </c>
      <c r="M1436" s="179" t="s">
        <v>2627</v>
      </c>
      <c r="N1436" s="175"/>
      <c r="O1436" s="175"/>
      <c r="P1436" s="175"/>
      <c r="Q1436" s="178"/>
      <c r="R1436" s="175"/>
    </row>
    <row r="1437" spans="1:18" s="111" customFormat="1">
      <c r="A1437" s="79">
        <v>440062</v>
      </c>
      <c r="B1437" s="121">
        <v>4400621</v>
      </c>
      <c r="C1437" s="79" t="s">
        <v>2628</v>
      </c>
      <c r="D1437" s="121">
        <v>4400622</v>
      </c>
      <c r="E1437" s="79" t="s">
        <v>2629</v>
      </c>
      <c r="F1437" s="79">
        <v>5</v>
      </c>
      <c r="G1437" s="79">
        <v>4</v>
      </c>
      <c r="H1437" s="79" t="s">
        <v>2630</v>
      </c>
      <c r="I1437" s="127"/>
      <c r="J1437" s="127"/>
      <c r="K1437" s="79">
        <v>4</v>
      </c>
      <c r="L1437" s="79">
        <v>8</v>
      </c>
      <c r="M1437" s="127" t="s">
        <v>2631</v>
      </c>
      <c r="N1437" s="79">
        <v>0</v>
      </c>
      <c r="O1437" s="79">
        <v>0</v>
      </c>
      <c r="P1437" s="107"/>
      <c r="Q1437" s="106"/>
      <c r="R1437" s="142"/>
    </row>
    <row r="1438" spans="1:18" s="111" customFormat="1">
      <c r="A1438" s="79">
        <v>440063</v>
      </c>
      <c r="B1438" s="121">
        <v>4400631</v>
      </c>
      <c r="C1438" s="79" t="s">
        <v>2632</v>
      </c>
      <c r="D1438" s="121">
        <v>4400632</v>
      </c>
      <c r="E1438" s="79" t="s">
        <v>2633</v>
      </c>
      <c r="F1438" s="79">
        <v>5</v>
      </c>
      <c r="G1438" s="79">
        <v>4</v>
      </c>
      <c r="H1438" s="79" t="s">
        <v>2634</v>
      </c>
      <c r="I1438" s="127"/>
      <c r="J1438" s="127"/>
      <c r="K1438" s="79">
        <v>4</v>
      </c>
      <c r="L1438" s="79">
        <v>8</v>
      </c>
      <c r="M1438" s="127" t="s">
        <v>2635</v>
      </c>
      <c r="N1438" s="79">
        <v>0</v>
      </c>
      <c r="O1438" s="79">
        <v>0</v>
      </c>
      <c r="P1438" s="107"/>
      <c r="Q1438" s="106"/>
      <c r="R1438" s="142"/>
    </row>
    <row r="1439" spans="1:18" s="111" customFormat="1">
      <c r="A1439" s="79">
        <v>440071</v>
      </c>
      <c r="B1439" s="121">
        <v>4400711</v>
      </c>
      <c r="C1439" s="79" t="s">
        <v>2636</v>
      </c>
      <c r="D1439" s="121">
        <v>4400712</v>
      </c>
      <c r="E1439" s="79" t="s">
        <v>2637</v>
      </c>
      <c r="F1439" s="79">
        <v>5</v>
      </c>
      <c r="G1439" s="79">
        <v>4</v>
      </c>
      <c r="H1439" s="79" t="s">
        <v>2638</v>
      </c>
      <c r="I1439" s="127"/>
      <c r="J1439" s="127"/>
      <c r="K1439" s="79">
        <v>5</v>
      </c>
      <c r="L1439" s="79">
        <v>8</v>
      </c>
      <c r="M1439" s="127" t="s">
        <v>2639</v>
      </c>
      <c r="N1439" s="79">
        <v>0</v>
      </c>
      <c r="O1439" s="79">
        <v>0</v>
      </c>
      <c r="P1439" s="107"/>
      <c r="Q1439" s="106"/>
      <c r="R1439" s="142"/>
    </row>
    <row r="1440" spans="1:18" s="79" customFormat="1">
      <c r="A1440" s="79">
        <v>440072</v>
      </c>
      <c r="B1440" s="121">
        <v>4400721</v>
      </c>
      <c r="C1440" s="79" t="s">
        <v>2640</v>
      </c>
      <c r="D1440" s="121">
        <v>4400722</v>
      </c>
      <c r="E1440" s="79" t="s">
        <v>2641</v>
      </c>
      <c r="F1440" s="79">
        <v>5</v>
      </c>
      <c r="G1440" s="79">
        <v>4</v>
      </c>
      <c r="H1440" s="79" t="s">
        <v>2642</v>
      </c>
      <c r="I1440" s="127"/>
      <c r="J1440" s="127"/>
      <c r="K1440" s="79">
        <v>5</v>
      </c>
      <c r="L1440" s="79">
        <v>8</v>
      </c>
      <c r="M1440" s="127" t="s">
        <v>2643</v>
      </c>
      <c r="N1440" s="79">
        <v>0</v>
      </c>
      <c r="O1440" s="79">
        <v>0</v>
      </c>
      <c r="P1440" s="107"/>
      <c r="Q1440" s="106"/>
      <c r="R1440" s="142"/>
    </row>
    <row r="1441" spans="1:21" s="79" customFormat="1">
      <c r="A1441" s="79">
        <v>440073</v>
      </c>
      <c r="B1441" s="121">
        <v>4400731</v>
      </c>
      <c r="C1441" s="79" t="s">
        <v>2644</v>
      </c>
      <c r="D1441" s="121">
        <v>4400732</v>
      </c>
      <c r="E1441" s="79" t="s">
        <v>2645</v>
      </c>
      <c r="F1441" s="79">
        <v>5</v>
      </c>
      <c r="G1441" s="79">
        <v>4</v>
      </c>
      <c r="H1441" s="79" t="s">
        <v>2646</v>
      </c>
      <c r="I1441" s="127"/>
      <c r="J1441" s="127"/>
      <c r="K1441" s="79">
        <v>5</v>
      </c>
      <c r="L1441" s="79">
        <v>8</v>
      </c>
      <c r="M1441" s="127" t="s">
        <v>2647</v>
      </c>
      <c r="N1441" s="79">
        <v>0</v>
      </c>
      <c r="O1441" s="79">
        <v>0</v>
      </c>
      <c r="P1441" s="107"/>
      <c r="Q1441" s="106"/>
      <c r="R1441" s="142"/>
    </row>
    <row r="1442" spans="1:21" s="79" customFormat="1">
      <c r="A1442" s="79">
        <v>440081</v>
      </c>
      <c r="B1442" s="121">
        <f t="shared" ref="B1442:B1453" si="92">A1442*10+1</f>
        <v>4400811</v>
      </c>
      <c r="C1442" s="79" t="s">
        <v>2648</v>
      </c>
      <c r="D1442" s="121">
        <f t="shared" ref="D1442:D1453" si="93">A1442*10+2</f>
        <v>4400812</v>
      </c>
      <c r="E1442" s="79" t="s">
        <v>2649</v>
      </c>
      <c r="F1442" s="79">
        <v>5</v>
      </c>
      <c r="G1442" s="79">
        <v>4</v>
      </c>
      <c r="H1442" s="79" t="s">
        <v>2650</v>
      </c>
      <c r="I1442" s="127"/>
      <c r="J1442" s="127"/>
      <c r="K1442" s="79">
        <v>5</v>
      </c>
      <c r="L1442" s="79">
        <v>8</v>
      </c>
      <c r="M1442" s="127" t="s">
        <v>2651</v>
      </c>
      <c r="N1442" s="79">
        <v>0</v>
      </c>
      <c r="O1442" s="79">
        <v>0</v>
      </c>
      <c r="P1442" s="107"/>
      <c r="Q1442" s="106"/>
    </row>
    <row r="1443" spans="1:21" s="79" customFormat="1">
      <c r="A1443" s="79">
        <v>440082</v>
      </c>
      <c r="B1443" s="121">
        <f t="shared" si="92"/>
        <v>4400821</v>
      </c>
      <c r="C1443" s="79" t="s">
        <v>2652</v>
      </c>
      <c r="D1443" s="121">
        <f t="shared" si="93"/>
        <v>4400822</v>
      </c>
      <c r="E1443" s="79" t="s">
        <v>2653</v>
      </c>
      <c r="F1443" s="79">
        <v>5</v>
      </c>
      <c r="G1443" s="79">
        <v>4</v>
      </c>
      <c r="H1443" s="79" t="s">
        <v>2650</v>
      </c>
      <c r="I1443" s="127"/>
      <c r="J1443" s="127"/>
      <c r="K1443" s="79">
        <v>5</v>
      </c>
      <c r="L1443" s="79">
        <v>8</v>
      </c>
      <c r="M1443" s="127" t="s">
        <v>2654</v>
      </c>
      <c r="N1443" s="79">
        <v>0</v>
      </c>
      <c r="O1443" s="79">
        <v>0</v>
      </c>
      <c r="P1443" s="107"/>
      <c r="Q1443" s="106"/>
    </row>
    <row r="1444" spans="1:21" s="79" customFormat="1">
      <c r="A1444" s="79">
        <v>440083</v>
      </c>
      <c r="B1444" s="121">
        <f t="shared" si="92"/>
        <v>4400831</v>
      </c>
      <c r="C1444" s="79" t="s">
        <v>2655</v>
      </c>
      <c r="D1444" s="121">
        <f t="shared" si="93"/>
        <v>4400832</v>
      </c>
      <c r="E1444" s="79" t="s">
        <v>2656</v>
      </c>
      <c r="F1444" s="79">
        <v>5</v>
      </c>
      <c r="G1444" s="79">
        <v>4</v>
      </c>
      <c r="H1444" s="79" t="s">
        <v>2650</v>
      </c>
      <c r="I1444" s="92"/>
      <c r="J1444" s="92"/>
      <c r="K1444" s="79">
        <v>5</v>
      </c>
      <c r="L1444" s="79">
        <v>8</v>
      </c>
      <c r="M1444" s="127" t="s">
        <v>2657</v>
      </c>
      <c r="N1444" s="79">
        <v>0</v>
      </c>
      <c r="O1444" s="79">
        <v>0</v>
      </c>
      <c r="P1444" s="92"/>
      <c r="Q1444" s="106"/>
    </row>
    <row r="1445" spans="1:21" s="111" customFormat="1">
      <c r="A1445" s="79">
        <v>440084</v>
      </c>
      <c r="B1445" s="121">
        <f t="shared" si="92"/>
        <v>4400841</v>
      </c>
      <c r="C1445" s="79" t="s">
        <v>2658</v>
      </c>
      <c r="D1445" s="121">
        <f t="shared" si="93"/>
        <v>4400842</v>
      </c>
      <c r="E1445" s="79" t="s">
        <v>2659</v>
      </c>
      <c r="F1445" s="79">
        <v>5</v>
      </c>
      <c r="G1445" s="79">
        <v>4</v>
      </c>
      <c r="H1445" s="79" t="s">
        <v>2650</v>
      </c>
      <c r="I1445" s="92"/>
      <c r="J1445" s="92"/>
      <c r="K1445" s="79">
        <v>5</v>
      </c>
      <c r="L1445" s="79">
        <v>8</v>
      </c>
      <c r="M1445" s="127" t="s">
        <v>2660</v>
      </c>
      <c r="N1445" s="79">
        <v>0</v>
      </c>
      <c r="O1445" s="79">
        <v>0</v>
      </c>
      <c r="P1445" s="92"/>
      <c r="Q1445" s="106"/>
      <c r="R1445" s="79"/>
    </row>
    <row r="1446" spans="1:21" s="111" customFormat="1">
      <c r="A1446" s="79">
        <v>440091</v>
      </c>
      <c r="B1446" s="121">
        <f t="shared" si="92"/>
        <v>4400911</v>
      </c>
      <c r="C1446" s="79" t="s">
        <v>2661</v>
      </c>
      <c r="D1446" s="121">
        <f t="shared" si="93"/>
        <v>4400912</v>
      </c>
      <c r="E1446" s="79" t="s">
        <v>2662</v>
      </c>
      <c r="F1446" s="79">
        <v>5</v>
      </c>
      <c r="G1446" s="79">
        <v>4</v>
      </c>
      <c r="H1446" s="79" t="s">
        <v>2663</v>
      </c>
      <c r="I1446" s="127"/>
      <c r="J1446" s="127"/>
      <c r="K1446" s="79">
        <v>5</v>
      </c>
      <c r="L1446" s="79">
        <v>8</v>
      </c>
      <c r="M1446" s="127" t="s">
        <v>2664</v>
      </c>
      <c r="N1446" s="79">
        <v>0</v>
      </c>
      <c r="O1446" s="79">
        <v>0</v>
      </c>
      <c r="P1446" s="107"/>
      <c r="Q1446" s="106"/>
      <c r="R1446" s="79"/>
    </row>
    <row r="1447" spans="1:21" s="111" customFormat="1">
      <c r="A1447" s="79">
        <v>440092</v>
      </c>
      <c r="B1447" s="121">
        <f t="shared" si="92"/>
        <v>4400921</v>
      </c>
      <c r="C1447" s="79" t="s">
        <v>2665</v>
      </c>
      <c r="D1447" s="121">
        <f t="shared" si="93"/>
        <v>4400922</v>
      </c>
      <c r="E1447" s="79" t="s">
        <v>2666</v>
      </c>
      <c r="F1447" s="79">
        <v>5</v>
      </c>
      <c r="G1447" s="79">
        <v>4</v>
      </c>
      <c r="H1447" s="79" t="s">
        <v>2663</v>
      </c>
      <c r="I1447" s="127"/>
      <c r="J1447" s="127"/>
      <c r="K1447" s="79">
        <v>5</v>
      </c>
      <c r="L1447" s="79">
        <v>8</v>
      </c>
      <c r="M1447" s="127" t="s">
        <v>2667</v>
      </c>
      <c r="N1447" s="79">
        <v>0</v>
      </c>
      <c r="O1447" s="79">
        <v>0</v>
      </c>
      <c r="P1447" s="107"/>
      <c r="Q1447" s="106"/>
      <c r="R1447" s="142"/>
    </row>
    <row r="1448" spans="1:21" s="111" customFormat="1">
      <c r="A1448" s="79">
        <v>440093</v>
      </c>
      <c r="B1448" s="121">
        <f t="shared" si="92"/>
        <v>4400931</v>
      </c>
      <c r="C1448" s="79" t="s">
        <v>2668</v>
      </c>
      <c r="D1448" s="121">
        <f t="shared" si="93"/>
        <v>4400932</v>
      </c>
      <c r="E1448" s="79" t="s">
        <v>2669</v>
      </c>
      <c r="F1448" s="79">
        <v>5</v>
      </c>
      <c r="G1448" s="79">
        <v>4</v>
      </c>
      <c r="H1448" s="79" t="s">
        <v>2663</v>
      </c>
      <c r="I1448" s="92"/>
      <c r="J1448" s="92"/>
      <c r="K1448" s="79">
        <v>5</v>
      </c>
      <c r="L1448" s="79">
        <v>8</v>
      </c>
      <c r="M1448" s="127" t="s">
        <v>2670</v>
      </c>
      <c r="N1448" s="79">
        <v>0</v>
      </c>
      <c r="O1448" s="79">
        <v>0</v>
      </c>
      <c r="P1448" s="92"/>
      <c r="Q1448" s="106"/>
      <c r="R1448" s="142"/>
      <c r="S1448" s="79"/>
      <c r="T1448" s="79"/>
      <c r="U1448" s="79"/>
    </row>
    <row r="1449" spans="1:21" s="111" customFormat="1">
      <c r="A1449" s="79">
        <v>440094</v>
      </c>
      <c r="B1449" s="121">
        <f t="shared" si="92"/>
        <v>4400941</v>
      </c>
      <c r="C1449" s="79" t="s">
        <v>2671</v>
      </c>
      <c r="D1449" s="121">
        <f t="shared" si="93"/>
        <v>4400942</v>
      </c>
      <c r="E1449" s="79" t="s">
        <v>2672</v>
      </c>
      <c r="F1449" s="79">
        <v>5</v>
      </c>
      <c r="G1449" s="79">
        <v>4</v>
      </c>
      <c r="H1449" s="79" t="s">
        <v>2663</v>
      </c>
      <c r="I1449" s="92"/>
      <c r="J1449" s="92"/>
      <c r="K1449" s="79">
        <v>5</v>
      </c>
      <c r="L1449" s="79">
        <v>8</v>
      </c>
      <c r="M1449" s="127" t="s">
        <v>2673</v>
      </c>
      <c r="N1449" s="79">
        <v>0</v>
      </c>
      <c r="O1449" s="79">
        <v>0</v>
      </c>
      <c r="P1449" s="92"/>
      <c r="Q1449" s="106"/>
      <c r="R1449" s="142"/>
    </row>
    <row r="1450" spans="1:21" s="111" customFormat="1">
      <c r="A1450" s="79">
        <v>440101</v>
      </c>
      <c r="B1450" s="121">
        <f t="shared" si="92"/>
        <v>4401011</v>
      </c>
      <c r="C1450" s="79" t="s">
        <v>2674</v>
      </c>
      <c r="D1450" s="121">
        <f t="shared" si="93"/>
        <v>4401012</v>
      </c>
      <c r="E1450" s="79" t="s">
        <v>2675</v>
      </c>
      <c r="F1450" s="79">
        <v>5</v>
      </c>
      <c r="G1450" s="79">
        <v>4</v>
      </c>
      <c r="H1450" s="79" t="s">
        <v>2676</v>
      </c>
      <c r="I1450" s="127"/>
      <c r="J1450" s="127"/>
      <c r="K1450" s="79">
        <v>5</v>
      </c>
      <c r="L1450" s="79">
        <v>8</v>
      </c>
      <c r="M1450" s="127" t="s">
        <v>2677</v>
      </c>
      <c r="N1450" s="79">
        <v>0</v>
      </c>
      <c r="O1450" s="79">
        <v>0</v>
      </c>
      <c r="P1450" s="107"/>
      <c r="Q1450" s="106"/>
      <c r="R1450" s="79"/>
    </row>
    <row r="1451" spans="1:21" s="111" customFormat="1">
      <c r="A1451" s="79">
        <v>440102</v>
      </c>
      <c r="B1451" s="121">
        <f t="shared" si="92"/>
        <v>4401021</v>
      </c>
      <c r="C1451" s="79" t="s">
        <v>2678</v>
      </c>
      <c r="D1451" s="121">
        <f t="shared" si="93"/>
        <v>4401022</v>
      </c>
      <c r="E1451" s="79" t="s">
        <v>2679</v>
      </c>
      <c r="F1451" s="79">
        <v>5</v>
      </c>
      <c r="G1451" s="79">
        <v>4</v>
      </c>
      <c r="H1451" s="79" t="s">
        <v>2676</v>
      </c>
      <c r="I1451" s="127"/>
      <c r="J1451" s="127"/>
      <c r="K1451" s="79">
        <v>5</v>
      </c>
      <c r="L1451" s="79">
        <v>8</v>
      </c>
      <c r="M1451" s="127" t="s">
        <v>2680</v>
      </c>
      <c r="N1451" s="79">
        <v>0</v>
      </c>
      <c r="O1451" s="79">
        <v>0</v>
      </c>
      <c r="P1451" s="107"/>
      <c r="Q1451" s="106"/>
      <c r="R1451" s="142"/>
    </row>
    <row r="1452" spans="1:21" s="111" customFormat="1">
      <c r="A1452" s="79">
        <v>440103</v>
      </c>
      <c r="B1452" s="121">
        <f t="shared" si="92"/>
        <v>4401031</v>
      </c>
      <c r="C1452" s="79" t="s">
        <v>2681</v>
      </c>
      <c r="D1452" s="121">
        <f t="shared" si="93"/>
        <v>4401032</v>
      </c>
      <c r="E1452" s="79" t="s">
        <v>2682</v>
      </c>
      <c r="F1452" s="79">
        <v>5</v>
      </c>
      <c r="G1452" s="79">
        <v>4</v>
      </c>
      <c r="H1452" s="79" t="s">
        <v>2676</v>
      </c>
      <c r="I1452" s="92"/>
      <c r="J1452" s="92"/>
      <c r="K1452" s="79">
        <v>5</v>
      </c>
      <c r="L1452" s="79">
        <v>8</v>
      </c>
      <c r="M1452" s="127" t="s">
        <v>2683</v>
      </c>
      <c r="N1452" s="79">
        <v>0</v>
      </c>
      <c r="O1452" s="79">
        <v>0</v>
      </c>
      <c r="P1452" s="92"/>
      <c r="Q1452" s="106"/>
      <c r="R1452" s="142"/>
    </row>
    <row r="1453" spans="1:21" s="111" customFormat="1">
      <c r="A1453" s="79">
        <v>440104</v>
      </c>
      <c r="B1453" s="121">
        <f t="shared" si="92"/>
        <v>4401041</v>
      </c>
      <c r="C1453" s="79" t="s">
        <v>2684</v>
      </c>
      <c r="D1453" s="121">
        <f t="shared" si="93"/>
        <v>4401042</v>
      </c>
      <c r="E1453" s="79" t="s">
        <v>2685</v>
      </c>
      <c r="F1453" s="79">
        <v>5</v>
      </c>
      <c r="G1453" s="79">
        <v>4</v>
      </c>
      <c r="H1453" s="79" t="s">
        <v>2676</v>
      </c>
      <c r="I1453" s="92"/>
      <c r="J1453" s="92"/>
      <c r="K1453" s="79">
        <v>5</v>
      </c>
      <c r="L1453" s="79">
        <v>8</v>
      </c>
      <c r="M1453" s="127" t="s">
        <v>2686</v>
      </c>
      <c r="N1453" s="79">
        <v>0</v>
      </c>
      <c r="O1453" s="79">
        <v>0</v>
      </c>
      <c r="P1453" s="92"/>
      <c r="Q1453" s="106"/>
      <c r="R1453" s="142"/>
    </row>
    <row r="1454" spans="1:21" s="111" customFormat="1">
      <c r="A1454" s="79">
        <v>440105</v>
      </c>
      <c r="B1454" s="121">
        <v>4401051</v>
      </c>
      <c r="C1454" s="79" t="s">
        <v>2687</v>
      </c>
      <c r="D1454" s="121">
        <v>4401052</v>
      </c>
      <c r="E1454" s="79" t="s">
        <v>2688</v>
      </c>
      <c r="F1454" s="79">
        <v>5</v>
      </c>
      <c r="G1454" s="79">
        <v>4</v>
      </c>
      <c r="H1454" s="79" t="s">
        <v>2689</v>
      </c>
      <c r="I1454" s="92"/>
      <c r="J1454" s="92"/>
      <c r="K1454" s="79">
        <v>4</v>
      </c>
      <c r="L1454" s="79">
        <v>8</v>
      </c>
      <c r="M1454" s="127" t="s">
        <v>2690</v>
      </c>
      <c r="N1454" s="79">
        <v>0</v>
      </c>
      <c r="O1454" s="79">
        <v>0</v>
      </c>
      <c r="P1454" s="92"/>
      <c r="Q1454" s="106"/>
      <c r="R1454" s="142"/>
    </row>
    <row r="1455" spans="1:21" s="111" customFormat="1">
      <c r="A1455" s="79">
        <v>440106</v>
      </c>
      <c r="B1455" s="121">
        <v>4401061</v>
      </c>
      <c r="C1455" s="79" t="s">
        <v>2691</v>
      </c>
      <c r="D1455" s="121">
        <v>4401062</v>
      </c>
      <c r="E1455" s="79" t="s">
        <v>2692</v>
      </c>
      <c r="F1455" s="79">
        <v>5</v>
      </c>
      <c r="G1455" s="79">
        <v>4</v>
      </c>
      <c r="H1455" s="79" t="s">
        <v>2693</v>
      </c>
      <c r="I1455" s="92"/>
      <c r="J1455" s="92"/>
      <c r="K1455" s="79">
        <v>5</v>
      </c>
      <c r="L1455" s="79">
        <v>8</v>
      </c>
      <c r="M1455" s="127" t="s">
        <v>2694</v>
      </c>
      <c r="N1455" s="79">
        <v>0</v>
      </c>
      <c r="O1455" s="79">
        <v>0</v>
      </c>
      <c r="P1455" s="92"/>
      <c r="Q1455" s="106"/>
      <c r="R1455" s="142"/>
    </row>
    <row r="1456" spans="1:21" s="111" customFormat="1">
      <c r="A1456" s="79">
        <v>440107</v>
      </c>
      <c r="B1456" s="121">
        <v>4401071</v>
      </c>
      <c r="C1456" s="79" t="s">
        <v>2695</v>
      </c>
      <c r="D1456" s="121">
        <v>4401072</v>
      </c>
      <c r="E1456" s="79" t="s">
        <v>2696</v>
      </c>
      <c r="F1456" s="79">
        <v>5</v>
      </c>
      <c r="G1456" s="79">
        <v>4</v>
      </c>
      <c r="H1456" s="79" t="s">
        <v>2697</v>
      </c>
      <c r="I1456" s="92"/>
      <c r="J1456" s="92"/>
      <c r="K1456" s="79">
        <v>6</v>
      </c>
      <c r="L1456" s="79">
        <v>8</v>
      </c>
      <c r="M1456" s="127" t="s">
        <v>2698</v>
      </c>
      <c r="N1456" s="79">
        <v>0</v>
      </c>
      <c r="O1456" s="79">
        <v>0</v>
      </c>
      <c r="P1456" s="92"/>
      <c r="Q1456" s="106"/>
      <c r="R1456" s="142"/>
    </row>
    <row r="1457" spans="1:21" s="111" customFormat="1">
      <c r="A1457" s="79">
        <v>440111</v>
      </c>
      <c r="B1457" s="121">
        <v>4401111</v>
      </c>
      <c r="C1457" s="79" t="s">
        <v>2699</v>
      </c>
      <c r="D1457" s="121">
        <v>4401112</v>
      </c>
      <c r="E1457" s="79" t="s">
        <v>2700</v>
      </c>
      <c r="F1457" s="79">
        <v>5</v>
      </c>
      <c r="G1457" s="79">
        <v>4</v>
      </c>
      <c r="H1457" s="79" t="s">
        <v>2701</v>
      </c>
      <c r="I1457" s="92"/>
      <c r="J1457" s="92"/>
      <c r="K1457" s="79">
        <v>4</v>
      </c>
      <c r="L1457" s="79">
        <v>8</v>
      </c>
      <c r="M1457" s="127" t="s">
        <v>2702</v>
      </c>
      <c r="N1457" s="79">
        <v>0</v>
      </c>
      <c r="O1457" s="79">
        <v>0</v>
      </c>
      <c r="P1457" s="92"/>
      <c r="Q1457" s="106"/>
      <c r="R1457" s="142"/>
    </row>
    <row r="1458" spans="1:21" s="112" customFormat="1">
      <c r="A1458" s="93">
        <v>440121</v>
      </c>
      <c r="B1458" s="141">
        <f t="shared" ref="B1458:B1461" si="94">A1458*10+1</f>
        <v>4401211</v>
      </c>
      <c r="C1458" s="93" t="s">
        <v>2703</v>
      </c>
      <c r="D1458" s="141">
        <f t="shared" ref="D1458:D1461" si="95">A1458*10+2</f>
        <v>4401212</v>
      </c>
      <c r="E1458" s="93" t="s">
        <v>2704</v>
      </c>
      <c r="F1458" s="93">
        <v>5</v>
      </c>
      <c r="G1458" s="93">
        <v>4</v>
      </c>
      <c r="H1458" s="93" t="s">
        <v>2705</v>
      </c>
      <c r="I1458" s="117"/>
      <c r="J1458" s="117"/>
      <c r="K1458" s="93">
        <v>5</v>
      </c>
      <c r="L1458" s="93">
        <v>8</v>
      </c>
      <c r="M1458" s="117" t="s">
        <v>2706</v>
      </c>
      <c r="N1458" s="93">
        <v>0</v>
      </c>
      <c r="O1458" s="93">
        <v>0</v>
      </c>
      <c r="P1458" s="98"/>
      <c r="Q1458" s="94"/>
      <c r="R1458" s="93"/>
    </row>
    <row r="1459" spans="1:21" s="112" customFormat="1">
      <c r="A1459" s="93">
        <v>440122</v>
      </c>
      <c r="B1459" s="141">
        <f t="shared" si="94"/>
        <v>4401221</v>
      </c>
      <c r="C1459" s="93" t="s">
        <v>2707</v>
      </c>
      <c r="D1459" s="141">
        <f t="shared" si="95"/>
        <v>4401222</v>
      </c>
      <c r="E1459" s="93" t="s">
        <v>2708</v>
      </c>
      <c r="F1459" s="93">
        <v>5</v>
      </c>
      <c r="G1459" s="93">
        <v>4</v>
      </c>
      <c r="H1459" s="93" t="s">
        <v>2705</v>
      </c>
      <c r="I1459" s="117"/>
      <c r="J1459" s="117"/>
      <c r="K1459" s="93">
        <v>5</v>
      </c>
      <c r="L1459" s="93">
        <v>8</v>
      </c>
      <c r="M1459" s="117" t="s">
        <v>2709</v>
      </c>
      <c r="N1459" s="93">
        <v>0</v>
      </c>
      <c r="O1459" s="93">
        <v>0</v>
      </c>
      <c r="P1459" s="98"/>
      <c r="Q1459" s="94"/>
      <c r="R1459" s="143"/>
    </row>
    <row r="1460" spans="1:21" s="112" customFormat="1">
      <c r="A1460" s="93">
        <v>440123</v>
      </c>
      <c r="B1460" s="141">
        <f t="shared" si="94"/>
        <v>4401231</v>
      </c>
      <c r="C1460" s="93" t="s">
        <v>2710</v>
      </c>
      <c r="D1460" s="141">
        <f t="shared" si="95"/>
        <v>4401232</v>
      </c>
      <c r="E1460" s="93" t="s">
        <v>2711</v>
      </c>
      <c r="F1460" s="93">
        <v>5</v>
      </c>
      <c r="G1460" s="93">
        <v>4</v>
      </c>
      <c r="H1460" s="93" t="s">
        <v>2705</v>
      </c>
      <c r="I1460" s="92"/>
      <c r="J1460" s="92"/>
      <c r="K1460" s="93">
        <v>5</v>
      </c>
      <c r="L1460" s="93">
        <v>8</v>
      </c>
      <c r="M1460" s="117" t="s">
        <v>2712</v>
      </c>
      <c r="N1460" s="93">
        <v>0</v>
      </c>
      <c r="O1460" s="93">
        <v>0</v>
      </c>
      <c r="P1460" s="92"/>
      <c r="Q1460" s="94"/>
      <c r="R1460" s="143"/>
      <c r="S1460" s="93"/>
      <c r="T1460" s="93"/>
      <c r="U1460" s="93"/>
    </row>
    <row r="1461" spans="1:21" s="112" customFormat="1">
      <c r="A1461" s="93">
        <v>440124</v>
      </c>
      <c r="B1461" s="141">
        <f t="shared" si="94"/>
        <v>4401241</v>
      </c>
      <c r="C1461" s="93" t="s">
        <v>2713</v>
      </c>
      <c r="D1461" s="141">
        <f t="shared" si="95"/>
        <v>4401242</v>
      </c>
      <c r="E1461" s="93" t="s">
        <v>2714</v>
      </c>
      <c r="F1461" s="93">
        <v>5</v>
      </c>
      <c r="G1461" s="93">
        <v>4</v>
      </c>
      <c r="H1461" s="93" t="s">
        <v>2705</v>
      </c>
      <c r="I1461" s="92"/>
      <c r="J1461" s="92"/>
      <c r="K1461" s="93">
        <v>5</v>
      </c>
      <c r="L1461" s="93">
        <v>8</v>
      </c>
      <c r="M1461" s="117" t="s">
        <v>2715</v>
      </c>
      <c r="N1461" s="93">
        <v>0</v>
      </c>
      <c r="O1461" s="93">
        <v>0</v>
      </c>
      <c r="P1461" s="92"/>
      <c r="Q1461" s="94"/>
      <c r="R1461" s="143"/>
    </row>
    <row r="1462" spans="1:21" s="113" customFormat="1">
      <c r="A1462" s="79">
        <v>440131</v>
      </c>
      <c r="B1462" s="79">
        <v>4401311</v>
      </c>
      <c r="C1462" s="79" t="s">
        <v>2716</v>
      </c>
      <c r="D1462" s="79">
        <v>4401312</v>
      </c>
      <c r="E1462" s="79" t="s">
        <v>2717</v>
      </c>
      <c r="F1462" s="79">
        <v>5</v>
      </c>
      <c r="G1462" s="79">
        <v>4</v>
      </c>
      <c r="H1462" s="79" t="s">
        <v>2718</v>
      </c>
      <c r="I1462" s="101"/>
      <c r="J1462" s="101"/>
      <c r="K1462" s="79">
        <v>5</v>
      </c>
      <c r="L1462" s="79">
        <v>8</v>
      </c>
      <c r="M1462" s="127" t="s">
        <v>2719</v>
      </c>
      <c r="N1462" s="79">
        <v>0</v>
      </c>
      <c r="O1462" s="79">
        <v>0</v>
      </c>
      <c r="P1462" s="101"/>
      <c r="Q1462" s="108"/>
      <c r="R1462" s="144"/>
    </row>
    <row r="1463" spans="1:21" s="113" customFormat="1">
      <c r="A1463" s="79">
        <v>440132</v>
      </c>
      <c r="B1463" s="79">
        <v>4401321</v>
      </c>
      <c r="C1463" s="79" t="s">
        <v>2720</v>
      </c>
      <c r="D1463" s="79">
        <v>4401322</v>
      </c>
      <c r="E1463" s="79" t="s">
        <v>2721</v>
      </c>
      <c r="F1463" s="79">
        <v>5</v>
      </c>
      <c r="G1463" s="79">
        <v>4</v>
      </c>
      <c r="H1463" s="79" t="s">
        <v>2718</v>
      </c>
      <c r="I1463" s="101"/>
      <c r="J1463" s="101"/>
      <c r="K1463" s="79">
        <v>5</v>
      </c>
      <c r="L1463" s="79">
        <v>8</v>
      </c>
      <c r="M1463" s="127" t="s">
        <v>2722</v>
      </c>
      <c r="N1463" s="79">
        <v>0</v>
      </c>
      <c r="O1463" s="79">
        <v>0</v>
      </c>
      <c r="P1463" s="101"/>
      <c r="Q1463" s="108"/>
      <c r="R1463" s="144"/>
    </row>
    <row r="1464" spans="1:21" s="113" customFormat="1">
      <c r="A1464" s="79">
        <v>440133</v>
      </c>
      <c r="B1464" s="79">
        <v>4401331</v>
      </c>
      <c r="C1464" s="79" t="s">
        <v>2723</v>
      </c>
      <c r="D1464" s="79">
        <v>4401332</v>
      </c>
      <c r="E1464" s="79" t="s">
        <v>2724</v>
      </c>
      <c r="F1464" s="79">
        <v>5</v>
      </c>
      <c r="G1464" s="79">
        <v>4</v>
      </c>
      <c r="H1464" s="79" t="s">
        <v>2718</v>
      </c>
      <c r="I1464" s="101"/>
      <c r="J1464" s="101"/>
      <c r="K1464" s="79">
        <v>5</v>
      </c>
      <c r="L1464" s="79">
        <v>8</v>
      </c>
      <c r="M1464" s="127" t="s">
        <v>2725</v>
      </c>
      <c r="N1464" s="79">
        <v>0</v>
      </c>
      <c r="O1464" s="79">
        <v>0</v>
      </c>
      <c r="P1464" s="101"/>
      <c r="Q1464" s="108"/>
      <c r="R1464" s="144"/>
    </row>
    <row r="1465" spans="1:21" s="113" customFormat="1">
      <c r="A1465" s="79">
        <v>440134</v>
      </c>
      <c r="B1465" s="79">
        <v>4401341</v>
      </c>
      <c r="C1465" s="79" t="s">
        <v>2726</v>
      </c>
      <c r="D1465" s="79">
        <v>4401342</v>
      </c>
      <c r="E1465" s="79" t="s">
        <v>2727</v>
      </c>
      <c r="F1465" s="79">
        <v>5</v>
      </c>
      <c r="G1465" s="79">
        <v>4</v>
      </c>
      <c r="H1465" s="79" t="s">
        <v>2718</v>
      </c>
      <c r="I1465" s="101"/>
      <c r="J1465" s="101"/>
      <c r="K1465" s="79">
        <v>5</v>
      </c>
      <c r="L1465" s="79">
        <v>8</v>
      </c>
      <c r="M1465" s="127" t="s">
        <v>2728</v>
      </c>
      <c r="N1465" s="79">
        <v>0</v>
      </c>
      <c r="O1465" s="79">
        <v>0</v>
      </c>
      <c r="P1465" s="101"/>
      <c r="Q1465" s="108"/>
      <c r="R1465" s="144"/>
    </row>
    <row r="1466" spans="1:21" s="113" customFormat="1">
      <c r="A1466" s="79">
        <v>440141</v>
      </c>
      <c r="B1466" s="79">
        <v>4401411</v>
      </c>
      <c r="C1466" s="79" t="s">
        <v>2729</v>
      </c>
      <c r="D1466" s="79">
        <v>4401412</v>
      </c>
      <c r="E1466" s="79" t="s">
        <v>2730</v>
      </c>
      <c r="F1466" s="79">
        <v>5</v>
      </c>
      <c r="G1466" s="79">
        <v>4</v>
      </c>
      <c r="H1466" s="79" t="s">
        <v>2731</v>
      </c>
      <c r="I1466" s="101"/>
      <c r="J1466" s="101"/>
      <c r="K1466" s="79">
        <v>5</v>
      </c>
      <c r="L1466" s="79">
        <v>8</v>
      </c>
      <c r="M1466" s="127" t="s">
        <v>2732</v>
      </c>
      <c r="N1466" s="79">
        <v>0</v>
      </c>
      <c r="O1466" s="79">
        <v>0</v>
      </c>
      <c r="P1466" s="101"/>
      <c r="Q1466" s="108"/>
      <c r="R1466" s="144"/>
    </row>
    <row r="1467" spans="1:21" s="113" customFormat="1">
      <c r="A1467" s="79">
        <v>440142</v>
      </c>
      <c r="B1467" s="79">
        <v>4401421</v>
      </c>
      <c r="C1467" s="79" t="s">
        <v>2733</v>
      </c>
      <c r="D1467" s="79">
        <v>4401422</v>
      </c>
      <c r="E1467" s="79" t="s">
        <v>2734</v>
      </c>
      <c r="F1467" s="79">
        <v>5</v>
      </c>
      <c r="G1467" s="79">
        <v>4</v>
      </c>
      <c r="H1467" s="79" t="s">
        <v>2731</v>
      </c>
      <c r="I1467" s="101"/>
      <c r="J1467" s="101"/>
      <c r="K1467" s="79">
        <v>5</v>
      </c>
      <c r="L1467" s="79">
        <v>8</v>
      </c>
      <c r="M1467" s="127" t="s">
        <v>2735</v>
      </c>
      <c r="N1467" s="79">
        <v>0</v>
      </c>
      <c r="O1467" s="79">
        <v>0</v>
      </c>
      <c r="P1467" s="101"/>
      <c r="Q1467" s="108"/>
      <c r="R1467" s="144"/>
    </row>
    <row r="1468" spans="1:21" s="113" customFormat="1">
      <c r="A1468" s="79">
        <v>440143</v>
      </c>
      <c r="B1468" s="79">
        <v>4401431</v>
      </c>
      <c r="C1468" s="79" t="s">
        <v>2736</v>
      </c>
      <c r="D1468" s="79">
        <v>4401432</v>
      </c>
      <c r="E1468" s="79" t="s">
        <v>2737</v>
      </c>
      <c r="F1468" s="79">
        <v>5</v>
      </c>
      <c r="G1468" s="79">
        <v>4</v>
      </c>
      <c r="H1468" s="79" t="s">
        <v>2731</v>
      </c>
      <c r="I1468" s="101"/>
      <c r="J1468" s="101"/>
      <c r="K1468" s="79">
        <v>5</v>
      </c>
      <c r="L1468" s="79">
        <v>8</v>
      </c>
      <c r="M1468" s="127" t="s">
        <v>2738</v>
      </c>
      <c r="N1468" s="79">
        <v>0</v>
      </c>
      <c r="O1468" s="79">
        <v>0</v>
      </c>
      <c r="P1468" s="101"/>
      <c r="Q1468" s="108"/>
      <c r="R1468" s="144"/>
    </row>
    <row r="1469" spans="1:21" s="113" customFormat="1">
      <c r="A1469" s="79">
        <v>440144</v>
      </c>
      <c r="B1469" s="79">
        <v>4401441</v>
      </c>
      <c r="C1469" s="79" t="s">
        <v>2739</v>
      </c>
      <c r="D1469" s="79">
        <v>4401442</v>
      </c>
      <c r="E1469" s="79" t="s">
        <v>2740</v>
      </c>
      <c r="F1469" s="79">
        <v>5</v>
      </c>
      <c r="G1469" s="79">
        <v>4</v>
      </c>
      <c r="H1469" s="79" t="s">
        <v>2731</v>
      </c>
      <c r="I1469" s="101"/>
      <c r="J1469" s="101"/>
      <c r="K1469" s="79">
        <v>5</v>
      </c>
      <c r="L1469" s="79">
        <v>8</v>
      </c>
      <c r="M1469" s="127" t="s">
        <v>2741</v>
      </c>
      <c r="N1469" s="79">
        <v>0</v>
      </c>
      <c r="O1469" s="79">
        <v>0</v>
      </c>
      <c r="P1469" s="101"/>
      <c r="Q1469" s="108"/>
      <c r="R1469" s="144"/>
    </row>
    <row r="1470" spans="1:21" s="113" customFormat="1">
      <c r="A1470" s="79">
        <v>440151</v>
      </c>
      <c r="B1470" s="79">
        <v>4401511</v>
      </c>
      <c r="C1470" s="79" t="s">
        <v>2742</v>
      </c>
      <c r="D1470" s="79">
        <v>4401512</v>
      </c>
      <c r="E1470" s="79" t="s">
        <v>2743</v>
      </c>
      <c r="F1470" s="79">
        <v>5</v>
      </c>
      <c r="G1470" s="79">
        <v>4</v>
      </c>
      <c r="H1470" s="79" t="s">
        <v>2744</v>
      </c>
      <c r="I1470" s="101"/>
      <c r="J1470" s="101"/>
      <c r="K1470" s="79">
        <v>5</v>
      </c>
      <c r="L1470" s="79">
        <v>8</v>
      </c>
      <c r="M1470" s="127" t="s">
        <v>2745</v>
      </c>
      <c r="N1470" s="79">
        <v>0</v>
      </c>
      <c r="O1470" s="79">
        <v>0</v>
      </c>
      <c r="P1470" s="101"/>
      <c r="Q1470" s="108"/>
      <c r="R1470" s="144"/>
    </row>
    <row r="1471" spans="1:21" s="113" customFormat="1">
      <c r="A1471" s="79">
        <v>440152</v>
      </c>
      <c r="B1471" s="79">
        <v>4401521</v>
      </c>
      <c r="C1471" s="79" t="s">
        <v>2746</v>
      </c>
      <c r="D1471" s="79">
        <v>4401522</v>
      </c>
      <c r="E1471" s="79" t="s">
        <v>2747</v>
      </c>
      <c r="F1471" s="79">
        <v>5</v>
      </c>
      <c r="G1471" s="79">
        <v>4</v>
      </c>
      <c r="H1471" s="79" t="s">
        <v>2744</v>
      </c>
      <c r="I1471" s="101"/>
      <c r="J1471" s="101"/>
      <c r="K1471" s="79">
        <v>5</v>
      </c>
      <c r="L1471" s="79">
        <v>8</v>
      </c>
      <c r="M1471" s="127" t="s">
        <v>2748</v>
      </c>
      <c r="N1471" s="79">
        <v>0</v>
      </c>
      <c r="O1471" s="79">
        <v>0</v>
      </c>
      <c r="P1471" s="101"/>
      <c r="Q1471" s="108"/>
      <c r="R1471" s="144"/>
    </row>
    <row r="1472" spans="1:21" s="113" customFormat="1">
      <c r="A1472" s="79">
        <v>440153</v>
      </c>
      <c r="B1472" s="79">
        <v>4401531</v>
      </c>
      <c r="C1472" s="79" t="s">
        <v>2749</v>
      </c>
      <c r="D1472" s="79">
        <v>4401532</v>
      </c>
      <c r="E1472" s="79" t="s">
        <v>2750</v>
      </c>
      <c r="F1472" s="79">
        <v>5</v>
      </c>
      <c r="G1472" s="79">
        <v>4</v>
      </c>
      <c r="H1472" s="79" t="s">
        <v>2744</v>
      </c>
      <c r="I1472" s="101"/>
      <c r="J1472" s="101"/>
      <c r="K1472" s="79">
        <v>5</v>
      </c>
      <c r="L1472" s="79">
        <v>8</v>
      </c>
      <c r="M1472" s="127" t="s">
        <v>2751</v>
      </c>
      <c r="N1472" s="79">
        <v>0</v>
      </c>
      <c r="O1472" s="79">
        <v>0</v>
      </c>
      <c r="P1472" s="101"/>
      <c r="Q1472" s="108"/>
      <c r="R1472" s="144"/>
    </row>
    <row r="1473" spans="1:18" s="113" customFormat="1">
      <c r="A1473" s="79">
        <v>440154</v>
      </c>
      <c r="B1473" s="79">
        <v>4401541</v>
      </c>
      <c r="C1473" s="79" t="s">
        <v>2752</v>
      </c>
      <c r="D1473" s="79">
        <v>4401542</v>
      </c>
      <c r="E1473" s="79" t="s">
        <v>2753</v>
      </c>
      <c r="F1473" s="79">
        <v>5</v>
      </c>
      <c r="G1473" s="79">
        <v>4</v>
      </c>
      <c r="H1473" s="79" t="s">
        <v>2744</v>
      </c>
      <c r="I1473" s="101"/>
      <c r="J1473" s="101"/>
      <c r="K1473" s="79">
        <v>5</v>
      </c>
      <c r="L1473" s="79">
        <v>8</v>
      </c>
      <c r="M1473" s="127" t="s">
        <v>2754</v>
      </c>
      <c r="N1473" s="79">
        <v>0</v>
      </c>
      <c r="O1473" s="79">
        <v>0</v>
      </c>
      <c r="P1473" s="101"/>
      <c r="Q1473" s="108"/>
      <c r="R1473" s="144"/>
    </row>
    <row r="1474" spans="1:18" s="113" customFormat="1">
      <c r="A1474" s="79">
        <v>440161</v>
      </c>
      <c r="B1474" s="79">
        <v>4401611</v>
      </c>
      <c r="C1474" s="79" t="s">
        <v>2755</v>
      </c>
      <c r="D1474" s="79">
        <v>4401612</v>
      </c>
      <c r="E1474" s="79" t="s">
        <v>2756</v>
      </c>
      <c r="F1474" s="79">
        <v>5</v>
      </c>
      <c r="G1474" s="79">
        <v>4</v>
      </c>
      <c r="H1474" s="79" t="s">
        <v>2757</v>
      </c>
      <c r="I1474" s="101"/>
      <c r="J1474" s="101"/>
      <c r="K1474" s="79">
        <v>5</v>
      </c>
      <c r="L1474" s="79">
        <v>8</v>
      </c>
      <c r="M1474" s="127" t="s">
        <v>2758</v>
      </c>
      <c r="N1474" s="79">
        <v>0</v>
      </c>
      <c r="O1474" s="79">
        <v>0</v>
      </c>
      <c r="P1474" s="101"/>
      <c r="Q1474" s="108"/>
      <c r="R1474" s="144"/>
    </row>
    <row r="1475" spans="1:18" s="113" customFormat="1">
      <c r="A1475" s="79">
        <v>440162</v>
      </c>
      <c r="B1475" s="79">
        <v>4401621</v>
      </c>
      <c r="C1475" s="79" t="s">
        <v>2759</v>
      </c>
      <c r="D1475" s="79">
        <v>4401622</v>
      </c>
      <c r="E1475" s="79" t="s">
        <v>2760</v>
      </c>
      <c r="F1475" s="79">
        <v>5</v>
      </c>
      <c r="G1475" s="79">
        <v>4</v>
      </c>
      <c r="H1475" s="79" t="s">
        <v>2757</v>
      </c>
      <c r="I1475" s="101"/>
      <c r="J1475" s="101"/>
      <c r="K1475" s="79">
        <v>5</v>
      </c>
      <c r="L1475" s="79">
        <v>8</v>
      </c>
      <c r="M1475" s="127" t="s">
        <v>2761</v>
      </c>
      <c r="N1475" s="79">
        <v>0</v>
      </c>
      <c r="O1475" s="79">
        <v>0</v>
      </c>
      <c r="P1475" s="101"/>
      <c r="Q1475" s="108"/>
      <c r="R1475" s="144"/>
    </row>
    <row r="1476" spans="1:18" s="113" customFormat="1">
      <c r="A1476" s="79">
        <v>440163</v>
      </c>
      <c r="B1476" s="79">
        <v>4401631</v>
      </c>
      <c r="C1476" s="79" t="s">
        <v>2762</v>
      </c>
      <c r="D1476" s="79">
        <v>4401632</v>
      </c>
      <c r="E1476" s="79" t="s">
        <v>2763</v>
      </c>
      <c r="F1476" s="79">
        <v>5</v>
      </c>
      <c r="G1476" s="79">
        <v>4</v>
      </c>
      <c r="H1476" s="79" t="s">
        <v>2757</v>
      </c>
      <c r="I1476" s="101"/>
      <c r="J1476" s="101"/>
      <c r="K1476" s="79">
        <v>5</v>
      </c>
      <c r="L1476" s="79">
        <v>8</v>
      </c>
      <c r="M1476" s="127" t="s">
        <v>2764</v>
      </c>
      <c r="N1476" s="79">
        <v>0</v>
      </c>
      <c r="O1476" s="79">
        <v>0</v>
      </c>
      <c r="P1476" s="101"/>
      <c r="Q1476" s="108"/>
      <c r="R1476" s="144"/>
    </row>
    <row r="1477" spans="1:18" s="113" customFormat="1">
      <c r="A1477" s="79">
        <v>440164</v>
      </c>
      <c r="B1477" s="79">
        <v>4401641</v>
      </c>
      <c r="C1477" s="79" t="s">
        <v>2765</v>
      </c>
      <c r="D1477" s="79">
        <v>4401642</v>
      </c>
      <c r="E1477" s="79" t="s">
        <v>2766</v>
      </c>
      <c r="F1477" s="79">
        <v>5</v>
      </c>
      <c r="G1477" s="79">
        <v>4</v>
      </c>
      <c r="H1477" s="79" t="s">
        <v>2757</v>
      </c>
      <c r="I1477" s="101"/>
      <c r="J1477" s="101"/>
      <c r="K1477" s="79">
        <v>5</v>
      </c>
      <c r="L1477" s="79">
        <v>8</v>
      </c>
      <c r="M1477" s="127" t="s">
        <v>2767</v>
      </c>
      <c r="N1477" s="79">
        <v>0</v>
      </c>
      <c r="O1477" s="79">
        <v>0</v>
      </c>
      <c r="P1477" s="101"/>
      <c r="Q1477" s="108"/>
      <c r="R1477" s="144"/>
    </row>
    <row r="1478" spans="1:18" s="113" customFormat="1">
      <c r="A1478" s="79">
        <v>440171</v>
      </c>
      <c r="B1478" s="79">
        <v>4401711</v>
      </c>
      <c r="C1478" s="79" t="s">
        <v>2768</v>
      </c>
      <c r="D1478" s="79">
        <v>4401712</v>
      </c>
      <c r="E1478" s="79" t="s">
        <v>2769</v>
      </c>
      <c r="F1478" s="79">
        <v>5</v>
      </c>
      <c r="G1478" s="79">
        <v>4</v>
      </c>
      <c r="H1478" s="79" t="s">
        <v>2770</v>
      </c>
      <c r="I1478" s="101"/>
      <c r="J1478" s="101"/>
      <c r="K1478" s="79">
        <v>5</v>
      </c>
      <c r="L1478" s="79">
        <v>8</v>
      </c>
      <c r="M1478" s="127" t="s">
        <v>2771</v>
      </c>
      <c r="N1478" s="79">
        <v>0</v>
      </c>
      <c r="O1478" s="79">
        <v>0</v>
      </c>
      <c r="P1478" s="101"/>
      <c r="Q1478" s="108"/>
      <c r="R1478" s="144"/>
    </row>
    <row r="1479" spans="1:18" s="113" customFormat="1">
      <c r="A1479" s="79">
        <v>440172</v>
      </c>
      <c r="B1479" s="79">
        <v>4401721</v>
      </c>
      <c r="C1479" s="79" t="s">
        <v>2772</v>
      </c>
      <c r="D1479" s="79">
        <v>4401722</v>
      </c>
      <c r="E1479" s="79" t="s">
        <v>2773</v>
      </c>
      <c r="F1479" s="79">
        <v>5</v>
      </c>
      <c r="G1479" s="79">
        <v>4</v>
      </c>
      <c r="H1479" s="79" t="s">
        <v>2770</v>
      </c>
      <c r="I1479" s="101"/>
      <c r="J1479" s="101"/>
      <c r="K1479" s="79">
        <v>5</v>
      </c>
      <c r="L1479" s="79">
        <v>8</v>
      </c>
      <c r="M1479" s="127" t="s">
        <v>2774</v>
      </c>
      <c r="N1479" s="79">
        <v>0</v>
      </c>
      <c r="O1479" s="79">
        <v>0</v>
      </c>
      <c r="P1479" s="101"/>
      <c r="Q1479" s="108"/>
      <c r="R1479" s="144"/>
    </row>
    <row r="1480" spans="1:18" s="113" customFormat="1">
      <c r="A1480" s="79">
        <v>440173</v>
      </c>
      <c r="B1480" s="79">
        <v>4401731</v>
      </c>
      <c r="C1480" s="79" t="s">
        <v>2775</v>
      </c>
      <c r="D1480" s="79">
        <v>4401732</v>
      </c>
      <c r="E1480" s="79" t="s">
        <v>2776</v>
      </c>
      <c r="F1480" s="79">
        <v>5</v>
      </c>
      <c r="G1480" s="79">
        <v>4</v>
      </c>
      <c r="H1480" s="79" t="s">
        <v>2770</v>
      </c>
      <c r="I1480" s="101"/>
      <c r="J1480" s="101"/>
      <c r="K1480" s="79">
        <v>5</v>
      </c>
      <c r="L1480" s="79">
        <v>8</v>
      </c>
      <c r="M1480" s="127" t="s">
        <v>2777</v>
      </c>
      <c r="N1480" s="79">
        <v>0</v>
      </c>
      <c r="O1480" s="79">
        <v>0</v>
      </c>
      <c r="P1480" s="101"/>
      <c r="Q1480" s="108"/>
      <c r="R1480" s="144"/>
    </row>
    <row r="1481" spans="1:18" s="113" customFormat="1">
      <c r="A1481" s="79">
        <v>440174</v>
      </c>
      <c r="B1481" s="79">
        <v>4401741</v>
      </c>
      <c r="C1481" s="79" t="s">
        <v>2778</v>
      </c>
      <c r="D1481" s="79">
        <v>4401742</v>
      </c>
      <c r="E1481" s="79" t="s">
        <v>2779</v>
      </c>
      <c r="F1481" s="79">
        <v>5</v>
      </c>
      <c r="G1481" s="79">
        <v>4</v>
      </c>
      <c r="H1481" s="79" t="s">
        <v>2770</v>
      </c>
      <c r="I1481" s="101"/>
      <c r="J1481" s="101"/>
      <c r="K1481" s="79">
        <v>5</v>
      </c>
      <c r="L1481" s="79">
        <v>8</v>
      </c>
      <c r="M1481" s="127" t="s">
        <v>2780</v>
      </c>
      <c r="N1481" s="79">
        <v>0</v>
      </c>
      <c r="O1481" s="79">
        <v>0</v>
      </c>
      <c r="P1481" s="101"/>
      <c r="Q1481" s="108"/>
      <c r="R1481" s="144"/>
    </row>
    <row r="1482" spans="1:18" s="113" customFormat="1">
      <c r="A1482" s="79">
        <v>440181</v>
      </c>
      <c r="B1482" s="79">
        <v>4401811</v>
      </c>
      <c r="C1482" s="79" t="s">
        <v>2781</v>
      </c>
      <c r="D1482" s="79">
        <v>4401812</v>
      </c>
      <c r="E1482" s="79" t="s">
        <v>2782</v>
      </c>
      <c r="F1482" s="79">
        <v>5</v>
      </c>
      <c r="G1482" s="79">
        <v>4</v>
      </c>
      <c r="H1482" s="79" t="s">
        <v>2783</v>
      </c>
      <c r="I1482" s="101"/>
      <c r="J1482" s="101"/>
      <c r="K1482" s="79">
        <v>5</v>
      </c>
      <c r="L1482" s="79">
        <v>8</v>
      </c>
      <c r="M1482" s="127" t="s">
        <v>2784</v>
      </c>
      <c r="N1482" s="79">
        <v>0</v>
      </c>
      <c r="O1482" s="79">
        <v>0</v>
      </c>
      <c r="P1482" s="101"/>
      <c r="Q1482" s="108"/>
      <c r="R1482" s="144"/>
    </row>
    <row r="1483" spans="1:18" s="113" customFormat="1">
      <c r="A1483" s="79">
        <v>440182</v>
      </c>
      <c r="B1483" s="79">
        <v>4401821</v>
      </c>
      <c r="C1483" s="79" t="s">
        <v>2785</v>
      </c>
      <c r="D1483" s="79">
        <v>4401822</v>
      </c>
      <c r="E1483" s="79" t="s">
        <v>2786</v>
      </c>
      <c r="F1483" s="79">
        <v>5</v>
      </c>
      <c r="G1483" s="79">
        <v>4</v>
      </c>
      <c r="H1483" s="79" t="s">
        <v>2783</v>
      </c>
      <c r="I1483" s="101"/>
      <c r="J1483" s="101"/>
      <c r="K1483" s="79">
        <v>5</v>
      </c>
      <c r="L1483" s="79">
        <v>8</v>
      </c>
      <c r="M1483" s="127" t="s">
        <v>2787</v>
      </c>
      <c r="N1483" s="79">
        <v>0</v>
      </c>
      <c r="O1483" s="79">
        <v>0</v>
      </c>
      <c r="P1483" s="101"/>
      <c r="Q1483" s="108"/>
      <c r="R1483" s="144"/>
    </row>
    <row r="1484" spans="1:18" s="113" customFormat="1">
      <c r="A1484" s="79">
        <v>440183</v>
      </c>
      <c r="B1484" s="79">
        <v>4401831</v>
      </c>
      <c r="C1484" s="79" t="s">
        <v>2788</v>
      </c>
      <c r="D1484" s="79">
        <v>4401832</v>
      </c>
      <c r="E1484" s="79" t="s">
        <v>2789</v>
      </c>
      <c r="F1484" s="79">
        <v>5</v>
      </c>
      <c r="G1484" s="79">
        <v>4</v>
      </c>
      <c r="H1484" s="79" t="s">
        <v>2783</v>
      </c>
      <c r="I1484" s="101"/>
      <c r="J1484" s="101"/>
      <c r="K1484" s="79">
        <v>5</v>
      </c>
      <c r="L1484" s="79">
        <v>8</v>
      </c>
      <c r="M1484" s="127" t="s">
        <v>2790</v>
      </c>
      <c r="N1484" s="79">
        <v>0</v>
      </c>
      <c r="O1484" s="79">
        <v>0</v>
      </c>
      <c r="P1484" s="101"/>
      <c r="Q1484" s="108"/>
      <c r="R1484" s="144"/>
    </row>
    <row r="1485" spans="1:18" s="113" customFormat="1">
      <c r="A1485" s="79">
        <v>440184</v>
      </c>
      <c r="B1485" s="79">
        <v>4401841</v>
      </c>
      <c r="C1485" s="79" t="s">
        <v>2791</v>
      </c>
      <c r="D1485" s="79">
        <v>4401842</v>
      </c>
      <c r="E1485" s="79" t="s">
        <v>2792</v>
      </c>
      <c r="F1485" s="79">
        <v>5</v>
      </c>
      <c r="G1485" s="79">
        <v>4</v>
      </c>
      <c r="H1485" s="79" t="s">
        <v>2783</v>
      </c>
      <c r="I1485" s="101"/>
      <c r="J1485" s="101"/>
      <c r="K1485" s="79">
        <v>5</v>
      </c>
      <c r="L1485" s="79">
        <v>8</v>
      </c>
      <c r="M1485" s="127" t="s">
        <v>2793</v>
      </c>
      <c r="N1485" s="79">
        <v>0</v>
      </c>
      <c r="O1485" s="79">
        <v>0</v>
      </c>
      <c r="P1485" s="101"/>
      <c r="Q1485" s="108"/>
      <c r="R1485" s="144"/>
    </row>
    <row r="1486" spans="1:18" s="113" customFormat="1">
      <c r="A1486" s="79">
        <v>440191</v>
      </c>
      <c r="B1486" s="79">
        <v>4401911</v>
      </c>
      <c r="C1486" s="79" t="s">
        <v>2794</v>
      </c>
      <c r="D1486" s="79">
        <v>4401912</v>
      </c>
      <c r="E1486" s="79" t="s">
        <v>2795</v>
      </c>
      <c r="F1486" s="79">
        <v>5</v>
      </c>
      <c r="G1486" s="79">
        <v>4</v>
      </c>
      <c r="H1486" s="79" t="s">
        <v>2796</v>
      </c>
      <c r="I1486" s="101"/>
      <c r="J1486" s="101"/>
      <c r="K1486" s="79">
        <v>5</v>
      </c>
      <c r="L1486" s="79">
        <v>8</v>
      </c>
      <c r="M1486" s="127" t="s">
        <v>2797</v>
      </c>
      <c r="N1486" s="79">
        <v>0</v>
      </c>
      <c r="O1486" s="79">
        <v>0</v>
      </c>
      <c r="P1486" s="101"/>
      <c r="Q1486" s="108"/>
      <c r="R1486" s="144"/>
    </row>
    <row r="1487" spans="1:18" s="113" customFormat="1">
      <c r="A1487" s="79">
        <v>440192</v>
      </c>
      <c r="B1487" s="79">
        <v>4401921</v>
      </c>
      <c r="C1487" s="79" t="s">
        <v>2798</v>
      </c>
      <c r="D1487" s="79">
        <v>4401922</v>
      </c>
      <c r="E1487" s="79" t="s">
        <v>2799</v>
      </c>
      <c r="F1487" s="79">
        <v>5</v>
      </c>
      <c r="G1487" s="79">
        <v>4</v>
      </c>
      <c r="H1487" s="79" t="s">
        <v>2796</v>
      </c>
      <c r="I1487" s="101"/>
      <c r="J1487" s="101"/>
      <c r="K1487" s="79">
        <v>5</v>
      </c>
      <c r="L1487" s="79">
        <v>8</v>
      </c>
      <c r="M1487" s="127" t="s">
        <v>2800</v>
      </c>
      <c r="N1487" s="79">
        <v>0</v>
      </c>
      <c r="O1487" s="79">
        <v>0</v>
      </c>
      <c r="P1487" s="101"/>
      <c r="Q1487" s="108"/>
      <c r="R1487" s="144"/>
    </row>
    <row r="1488" spans="1:18" s="113" customFormat="1">
      <c r="A1488" s="79">
        <v>440193</v>
      </c>
      <c r="B1488" s="79">
        <v>4401931</v>
      </c>
      <c r="C1488" s="79" t="s">
        <v>2801</v>
      </c>
      <c r="D1488" s="79">
        <v>4401932</v>
      </c>
      <c r="E1488" s="79" t="s">
        <v>2802</v>
      </c>
      <c r="F1488" s="79">
        <v>5</v>
      </c>
      <c r="G1488" s="79">
        <v>4</v>
      </c>
      <c r="H1488" s="79" t="s">
        <v>2796</v>
      </c>
      <c r="I1488" s="101"/>
      <c r="J1488" s="101"/>
      <c r="K1488" s="79">
        <v>5</v>
      </c>
      <c r="L1488" s="79">
        <v>8</v>
      </c>
      <c r="M1488" s="127" t="s">
        <v>2803</v>
      </c>
      <c r="N1488" s="79">
        <v>0</v>
      </c>
      <c r="O1488" s="79">
        <v>0</v>
      </c>
      <c r="P1488" s="101"/>
      <c r="Q1488" s="108"/>
      <c r="R1488" s="144"/>
    </row>
    <row r="1489" spans="1:18" s="113" customFormat="1">
      <c r="A1489" s="79">
        <v>440194</v>
      </c>
      <c r="B1489" s="79">
        <v>4401941</v>
      </c>
      <c r="C1489" s="79" t="s">
        <v>2804</v>
      </c>
      <c r="D1489" s="79">
        <v>4401942</v>
      </c>
      <c r="E1489" s="79" t="s">
        <v>2805</v>
      </c>
      <c r="F1489" s="79">
        <v>5</v>
      </c>
      <c r="G1489" s="79">
        <v>4</v>
      </c>
      <c r="H1489" s="79" t="s">
        <v>2796</v>
      </c>
      <c r="I1489" s="101"/>
      <c r="J1489" s="101"/>
      <c r="K1489" s="79">
        <v>5</v>
      </c>
      <c r="L1489" s="79">
        <v>8</v>
      </c>
      <c r="M1489" s="127" t="s">
        <v>2806</v>
      </c>
      <c r="N1489" s="79">
        <v>0</v>
      </c>
      <c r="O1489" s="79">
        <v>0</v>
      </c>
      <c r="P1489" s="101"/>
      <c r="Q1489" s="108"/>
      <c r="R1489" s="144"/>
    </row>
    <row r="1490" spans="1:18" s="113" customFormat="1">
      <c r="A1490" s="79">
        <v>440311</v>
      </c>
      <c r="B1490" s="79">
        <v>4403111</v>
      </c>
      <c r="C1490" s="79" t="s">
        <v>2807</v>
      </c>
      <c r="D1490" s="79">
        <v>4403112</v>
      </c>
      <c r="E1490" s="79" t="s">
        <v>2808</v>
      </c>
      <c r="F1490" s="79">
        <v>5</v>
      </c>
      <c r="G1490" s="79">
        <v>4</v>
      </c>
      <c r="H1490" s="79" t="s">
        <v>2619</v>
      </c>
      <c r="I1490" s="101"/>
      <c r="J1490" s="101"/>
      <c r="K1490" s="79">
        <v>5</v>
      </c>
      <c r="L1490" s="79">
        <v>8</v>
      </c>
      <c r="M1490" s="127" t="s">
        <v>2809</v>
      </c>
      <c r="N1490" s="79">
        <v>0</v>
      </c>
      <c r="O1490" s="79">
        <v>0</v>
      </c>
      <c r="P1490" s="101"/>
      <c r="Q1490" s="108"/>
      <c r="R1490" s="144"/>
    </row>
    <row r="1491" spans="1:18" s="113" customFormat="1">
      <c r="A1491" s="79">
        <v>440312</v>
      </c>
      <c r="B1491" s="79">
        <v>4403121</v>
      </c>
      <c r="C1491" s="79" t="s">
        <v>2810</v>
      </c>
      <c r="D1491" s="79">
        <v>4403122</v>
      </c>
      <c r="E1491" s="79" t="s">
        <v>2623</v>
      </c>
      <c r="F1491" s="79">
        <v>5</v>
      </c>
      <c r="G1491" s="79">
        <v>4</v>
      </c>
      <c r="H1491" s="79" t="s">
        <v>2619</v>
      </c>
      <c r="I1491" s="101"/>
      <c r="J1491" s="101"/>
      <c r="K1491" s="79">
        <v>5</v>
      </c>
      <c r="L1491" s="79">
        <v>8</v>
      </c>
      <c r="M1491" s="127" t="s">
        <v>2624</v>
      </c>
      <c r="N1491" s="79">
        <v>0</v>
      </c>
      <c r="O1491" s="79">
        <v>0</v>
      </c>
      <c r="P1491" s="101"/>
      <c r="Q1491" s="108"/>
      <c r="R1491" s="144"/>
    </row>
    <row r="1492" spans="1:18" s="113" customFormat="1">
      <c r="A1492" s="79">
        <v>440313</v>
      </c>
      <c r="B1492" s="79">
        <v>4403131</v>
      </c>
      <c r="C1492" s="79" t="s">
        <v>2811</v>
      </c>
      <c r="D1492" s="79">
        <v>4403132</v>
      </c>
      <c r="E1492" s="79" t="s">
        <v>2626</v>
      </c>
      <c r="F1492" s="79">
        <v>5</v>
      </c>
      <c r="G1492" s="79">
        <v>4</v>
      </c>
      <c r="H1492" s="79" t="s">
        <v>2619</v>
      </c>
      <c r="I1492" s="101"/>
      <c r="J1492" s="101"/>
      <c r="K1492" s="79">
        <v>5</v>
      </c>
      <c r="L1492" s="79">
        <v>8</v>
      </c>
      <c r="M1492" s="127" t="s">
        <v>2627</v>
      </c>
      <c r="N1492" s="79">
        <v>0</v>
      </c>
      <c r="O1492" s="79">
        <v>0</v>
      </c>
      <c r="P1492" s="101"/>
      <c r="Q1492" s="108"/>
      <c r="R1492" s="144"/>
    </row>
    <row r="1493" spans="1:18" s="113" customFormat="1">
      <c r="A1493" s="79">
        <v>440314</v>
      </c>
      <c r="B1493" s="79">
        <v>4403141</v>
      </c>
      <c r="C1493" s="79" t="s">
        <v>2812</v>
      </c>
      <c r="D1493" s="79">
        <v>4403142</v>
      </c>
      <c r="E1493" s="79" t="s">
        <v>2813</v>
      </c>
      <c r="F1493" s="79">
        <v>5</v>
      </c>
      <c r="G1493" s="79">
        <v>4</v>
      </c>
      <c r="H1493" s="79" t="s">
        <v>2619</v>
      </c>
      <c r="I1493" s="101"/>
      <c r="J1493" s="101"/>
      <c r="K1493" s="79">
        <v>5</v>
      </c>
      <c r="L1493" s="79">
        <v>8</v>
      </c>
      <c r="M1493" s="127" t="s">
        <v>2621</v>
      </c>
      <c r="N1493" s="79">
        <v>0</v>
      </c>
      <c r="O1493" s="79">
        <v>0</v>
      </c>
      <c r="P1493" s="101"/>
      <c r="Q1493" s="108"/>
      <c r="R1493" s="144"/>
    </row>
    <row r="1494" spans="1:18" s="113" customFormat="1">
      <c r="A1494" s="79">
        <v>440601</v>
      </c>
      <c r="B1494" s="79">
        <v>4406011</v>
      </c>
      <c r="C1494" s="79" t="s">
        <v>2814</v>
      </c>
      <c r="D1494" s="79">
        <v>4406012</v>
      </c>
      <c r="E1494" s="79" t="s">
        <v>2815</v>
      </c>
      <c r="F1494" s="79">
        <v>5</v>
      </c>
      <c r="G1494" s="79">
        <v>4</v>
      </c>
      <c r="H1494" s="79" t="s">
        <v>2816</v>
      </c>
      <c r="I1494" s="101"/>
      <c r="J1494" s="101"/>
      <c r="K1494" s="79">
        <v>5</v>
      </c>
      <c r="L1494" s="79">
        <v>8</v>
      </c>
      <c r="M1494" s="127" t="s">
        <v>2817</v>
      </c>
      <c r="N1494" s="79">
        <v>0</v>
      </c>
      <c r="O1494" s="79">
        <v>0</v>
      </c>
      <c r="P1494" s="101"/>
      <c r="Q1494" s="108"/>
      <c r="R1494" s="144"/>
    </row>
    <row r="1495" spans="1:18" s="113" customFormat="1">
      <c r="A1495" s="79">
        <v>440602</v>
      </c>
      <c r="B1495" s="79">
        <v>4406021</v>
      </c>
      <c r="C1495" s="79" t="s">
        <v>2818</v>
      </c>
      <c r="D1495" s="79">
        <v>4406022</v>
      </c>
      <c r="E1495" s="79" t="s">
        <v>2819</v>
      </c>
      <c r="F1495" s="79">
        <v>5</v>
      </c>
      <c r="G1495" s="79">
        <v>4</v>
      </c>
      <c r="H1495" s="79" t="s">
        <v>2816</v>
      </c>
      <c r="I1495" s="101"/>
      <c r="J1495" s="101"/>
      <c r="K1495" s="79">
        <v>5</v>
      </c>
      <c r="L1495" s="79">
        <v>8</v>
      </c>
      <c r="M1495" s="127" t="s">
        <v>2820</v>
      </c>
      <c r="N1495" s="79">
        <v>0</v>
      </c>
      <c r="O1495" s="79">
        <v>0</v>
      </c>
      <c r="P1495" s="101"/>
      <c r="Q1495" s="108"/>
      <c r="R1495" s="144"/>
    </row>
    <row r="1496" spans="1:18" s="113" customFormat="1">
      <c r="A1496" s="79">
        <v>440603</v>
      </c>
      <c r="B1496" s="79">
        <v>4406031</v>
      </c>
      <c r="C1496" s="79" t="s">
        <v>2821</v>
      </c>
      <c r="D1496" s="79">
        <v>4406032</v>
      </c>
      <c r="E1496" s="79" t="s">
        <v>2822</v>
      </c>
      <c r="F1496" s="79">
        <v>5</v>
      </c>
      <c r="G1496" s="79">
        <v>4</v>
      </c>
      <c r="H1496" s="79" t="s">
        <v>2816</v>
      </c>
      <c r="I1496" s="101"/>
      <c r="J1496" s="101"/>
      <c r="K1496" s="79">
        <v>5</v>
      </c>
      <c r="L1496" s="79">
        <v>8</v>
      </c>
      <c r="M1496" s="127" t="s">
        <v>2823</v>
      </c>
      <c r="N1496" s="79">
        <v>0</v>
      </c>
      <c r="O1496" s="79">
        <v>0</v>
      </c>
      <c r="P1496" s="101"/>
      <c r="Q1496" s="108"/>
      <c r="R1496" s="144"/>
    </row>
    <row r="1497" spans="1:18" s="113" customFormat="1">
      <c r="A1497" s="79">
        <v>440604</v>
      </c>
      <c r="B1497" s="79">
        <v>4406041</v>
      </c>
      <c r="C1497" s="79" t="s">
        <v>2824</v>
      </c>
      <c r="D1497" s="79">
        <v>4406042</v>
      </c>
      <c r="E1497" s="79" t="s">
        <v>2825</v>
      </c>
      <c r="F1497" s="79">
        <v>5</v>
      </c>
      <c r="G1497" s="79">
        <v>4</v>
      </c>
      <c r="H1497" s="79" t="s">
        <v>2816</v>
      </c>
      <c r="I1497" s="101"/>
      <c r="J1497" s="101"/>
      <c r="K1497" s="79">
        <v>5</v>
      </c>
      <c r="L1497" s="79">
        <v>8</v>
      </c>
      <c r="M1497" s="127" t="s">
        <v>2826</v>
      </c>
      <c r="N1497" s="79">
        <v>0</v>
      </c>
      <c r="O1497" s="79">
        <v>0</v>
      </c>
      <c r="P1497" s="101"/>
      <c r="Q1497" s="108"/>
      <c r="R1497" s="144"/>
    </row>
    <row r="1498" spans="1:18" s="113" customFormat="1">
      <c r="A1498" s="79">
        <v>440631</v>
      </c>
      <c r="B1498" s="79">
        <v>4406311</v>
      </c>
      <c r="C1498" s="79" t="s">
        <v>2827</v>
      </c>
      <c r="D1498" s="79">
        <v>4406312</v>
      </c>
      <c r="E1498" s="79" t="s">
        <v>2828</v>
      </c>
      <c r="F1498" s="79">
        <v>5</v>
      </c>
      <c r="G1498" s="79">
        <v>4</v>
      </c>
      <c r="H1498" s="79" t="s">
        <v>2829</v>
      </c>
      <c r="I1498" s="101"/>
      <c r="J1498" s="101"/>
      <c r="K1498" s="79">
        <v>5</v>
      </c>
      <c r="L1498" s="79">
        <v>8</v>
      </c>
      <c r="M1498" s="127" t="s">
        <v>2830</v>
      </c>
      <c r="N1498" s="79">
        <v>0</v>
      </c>
      <c r="O1498" s="79">
        <v>0</v>
      </c>
      <c r="P1498" s="101"/>
      <c r="Q1498" s="108"/>
      <c r="R1498" s="144"/>
    </row>
    <row r="1499" spans="1:18" s="113" customFormat="1">
      <c r="A1499" s="79">
        <v>440632</v>
      </c>
      <c r="B1499" s="79">
        <v>4406321</v>
      </c>
      <c r="C1499" s="79" t="s">
        <v>2831</v>
      </c>
      <c r="D1499" s="79">
        <v>4406322</v>
      </c>
      <c r="E1499" s="79" t="s">
        <v>2832</v>
      </c>
      <c r="F1499" s="79">
        <v>5</v>
      </c>
      <c r="G1499" s="79">
        <v>4</v>
      </c>
      <c r="H1499" s="79" t="s">
        <v>2829</v>
      </c>
      <c r="I1499" s="101"/>
      <c r="J1499" s="101"/>
      <c r="K1499" s="79">
        <v>5</v>
      </c>
      <c r="L1499" s="79">
        <v>8</v>
      </c>
      <c r="M1499" s="127" t="s">
        <v>2833</v>
      </c>
      <c r="N1499" s="79">
        <v>0</v>
      </c>
      <c r="O1499" s="79">
        <v>0</v>
      </c>
      <c r="P1499" s="101"/>
      <c r="Q1499" s="108"/>
      <c r="R1499" s="144"/>
    </row>
    <row r="1500" spans="1:18" s="113" customFormat="1">
      <c r="A1500" s="79">
        <v>440633</v>
      </c>
      <c r="B1500" s="79">
        <v>4406331</v>
      </c>
      <c r="C1500" s="79" t="s">
        <v>2834</v>
      </c>
      <c r="D1500" s="79">
        <v>4406332</v>
      </c>
      <c r="E1500" s="79" t="s">
        <v>2835</v>
      </c>
      <c r="F1500" s="79">
        <v>5</v>
      </c>
      <c r="G1500" s="79">
        <v>4</v>
      </c>
      <c r="H1500" s="79" t="s">
        <v>2829</v>
      </c>
      <c r="I1500" s="101"/>
      <c r="J1500" s="101"/>
      <c r="K1500" s="79">
        <v>5</v>
      </c>
      <c r="L1500" s="79">
        <v>8</v>
      </c>
      <c r="M1500" s="127" t="s">
        <v>2836</v>
      </c>
      <c r="N1500" s="79">
        <v>0</v>
      </c>
      <c r="O1500" s="79">
        <v>0</v>
      </c>
      <c r="P1500" s="101"/>
      <c r="Q1500" s="108"/>
      <c r="R1500" s="144"/>
    </row>
    <row r="1501" spans="1:18" s="113" customFormat="1">
      <c r="A1501" s="79">
        <v>440634</v>
      </c>
      <c r="B1501" s="79">
        <v>4406341</v>
      </c>
      <c r="C1501" s="79" t="s">
        <v>2837</v>
      </c>
      <c r="D1501" s="79">
        <v>4406342</v>
      </c>
      <c r="E1501" s="79" t="s">
        <v>2838</v>
      </c>
      <c r="F1501" s="79">
        <v>5</v>
      </c>
      <c r="G1501" s="79">
        <v>4</v>
      </c>
      <c r="H1501" s="79" t="s">
        <v>2829</v>
      </c>
      <c r="I1501" s="101"/>
      <c r="J1501" s="101"/>
      <c r="K1501" s="79">
        <v>5</v>
      </c>
      <c r="L1501" s="79">
        <v>8</v>
      </c>
      <c r="M1501" s="127" t="s">
        <v>2839</v>
      </c>
      <c r="N1501" s="79">
        <v>0</v>
      </c>
      <c r="O1501" s="79">
        <v>0</v>
      </c>
      <c r="P1501" s="101"/>
      <c r="Q1501" s="108"/>
      <c r="R1501" s="144"/>
    </row>
    <row r="1502" spans="1:18" s="113" customFormat="1">
      <c r="A1502" s="79">
        <v>440641</v>
      </c>
      <c r="B1502" s="79">
        <v>4406411</v>
      </c>
      <c r="C1502" s="79" t="s">
        <v>2840</v>
      </c>
      <c r="D1502" s="79">
        <v>4406412</v>
      </c>
      <c r="E1502" s="79" t="s">
        <v>2841</v>
      </c>
      <c r="F1502" s="79">
        <v>5</v>
      </c>
      <c r="G1502" s="79">
        <v>4</v>
      </c>
      <c r="H1502" s="79" t="s">
        <v>2842</v>
      </c>
      <c r="I1502" s="101"/>
      <c r="J1502" s="101"/>
      <c r="K1502" s="79">
        <v>5</v>
      </c>
      <c r="L1502" s="79">
        <v>8</v>
      </c>
      <c r="M1502" s="127" t="s">
        <v>2843</v>
      </c>
      <c r="N1502" s="79">
        <v>0</v>
      </c>
      <c r="O1502" s="79">
        <v>0</v>
      </c>
      <c r="P1502" s="101"/>
      <c r="Q1502" s="108"/>
      <c r="R1502" s="144"/>
    </row>
    <row r="1503" spans="1:18" s="113" customFormat="1">
      <c r="A1503" s="79">
        <v>440642</v>
      </c>
      <c r="B1503" s="79">
        <v>4406421</v>
      </c>
      <c r="C1503" s="79" t="s">
        <v>2844</v>
      </c>
      <c r="D1503" s="79">
        <v>4406422</v>
      </c>
      <c r="E1503" s="79" t="s">
        <v>2845</v>
      </c>
      <c r="F1503" s="79">
        <v>5</v>
      </c>
      <c r="G1503" s="79">
        <v>4</v>
      </c>
      <c r="H1503" s="79" t="s">
        <v>2842</v>
      </c>
      <c r="I1503" s="101"/>
      <c r="J1503" s="101"/>
      <c r="K1503" s="79">
        <v>5</v>
      </c>
      <c r="L1503" s="79">
        <v>8</v>
      </c>
      <c r="M1503" s="127" t="s">
        <v>2846</v>
      </c>
      <c r="N1503" s="79">
        <v>0</v>
      </c>
      <c r="O1503" s="79">
        <v>0</v>
      </c>
      <c r="P1503" s="101"/>
      <c r="Q1503" s="108"/>
      <c r="R1503" s="144"/>
    </row>
    <row r="1504" spans="1:18" s="113" customFormat="1">
      <c r="A1504" s="79">
        <v>440643</v>
      </c>
      <c r="B1504" s="79">
        <v>4406431</v>
      </c>
      <c r="C1504" s="79" t="s">
        <v>2847</v>
      </c>
      <c r="D1504" s="79">
        <v>4406432</v>
      </c>
      <c r="E1504" s="79" t="s">
        <v>2848</v>
      </c>
      <c r="F1504" s="79">
        <v>5</v>
      </c>
      <c r="G1504" s="79">
        <v>4</v>
      </c>
      <c r="H1504" s="79" t="s">
        <v>2842</v>
      </c>
      <c r="I1504" s="101"/>
      <c r="J1504" s="101"/>
      <c r="K1504" s="79">
        <v>5</v>
      </c>
      <c r="L1504" s="79">
        <v>8</v>
      </c>
      <c r="M1504" s="127" t="s">
        <v>2849</v>
      </c>
      <c r="N1504" s="79">
        <v>0</v>
      </c>
      <c r="O1504" s="79">
        <v>0</v>
      </c>
      <c r="P1504" s="101"/>
      <c r="Q1504" s="108"/>
      <c r="R1504" s="144"/>
    </row>
    <row r="1505" spans="1:18" s="113" customFormat="1">
      <c r="A1505" s="79">
        <v>440644</v>
      </c>
      <c r="B1505" s="79">
        <v>4406441</v>
      </c>
      <c r="C1505" s="79" t="s">
        <v>2850</v>
      </c>
      <c r="D1505" s="79">
        <v>4406442</v>
      </c>
      <c r="E1505" s="79" t="s">
        <v>2851</v>
      </c>
      <c r="F1505" s="79">
        <v>5</v>
      </c>
      <c r="G1505" s="79">
        <v>4</v>
      </c>
      <c r="H1505" s="79" t="s">
        <v>2842</v>
      </c>
      <c r="I1505" s="101"/>
      <c r="J1505" s="101"/>
      <c r="K1505" s="79">
        <v>5</v>
      </c>
      <c r="L1505" s="79">
        <v>8</v>
      </c>
      <c r="M1505" s="127" t="s">
        <v>2852</v>
      </c>
      <c r="N1505" s="79">
        <v>0</v>
      </c>
      <c r="O1505" s="79">
        <v>0</v>
      </c>
      <c r="P1505" s="101"/>
      <c r="Q1505" s="108"/>
      <c r="R1505" s="144"/>
    </row>
    <row r="1506" spans="1:18" s="113" customFormat="1">
      <c r="A1506" s="79">
        <v>440651</v>
      </c>
      <c r="B1506" s="79">
        <v>4406511</v>
      </c>
      <c r="C1506" s="79" t="s">
        <v>2853</v>
      </c>
      <c r="D1506" s="79">
        <v>4406512</v>
      </c>
      <c r="E1506" s="79" t="s">
        <v>2854</v>
      </c>
      <c r="F1506" s="79">
        <v>5</v>
      </c>
      <c r="G1506" s="79">
        <v>4</v>
      </c>
      <c r="H1506" s="79" t="s">
        <v>2855</v>
      </c>
      <c r="I1506" s="101"/>
      <c r="J1506" s="101"/>
      <c r="K1506" s="79">
        <v>5</v>
      </c>
      <c r="L1506" s="79">
        <v>8</v>
      </c>
      <c r="M1506" s="127" t="s">
        <v>2856</v>
      </c>
      <c r="N1506" s="79">
        <v>0</v>
      </c>
      <c r="O1506" s="79">
        <v>0</v>
      </c>
      <c r="P1506" s="101"/>
      <c r="Q1506" s="108"/>
      <c r="R1506" s="144"/>
    </row>
    <row r="1507" spans="1:18" s="113" customFormat="1">
      <c r="A1507" s="79">
        <v>440652</v>
      </c>
      <c r="B1507" s="79">
        <v>4406521</v>
      </c>
      <c r="C1507" s="79" t="s">
        <v>2857</v>
      </c>
      <c r="D1507" s="79">
        <v>4406522</v>
      </c>
      <c r="E1507" s="79" t="s">
        <v>2858</v>
      </c>
      <c r="F1507" s="79">
        <v>5</v>
      </c>
      <c r="G1507" s="79">
        <v>4</v>
      </c>
      <c r="H1507" s="79" t="s">
        <v>2855</v>
      </c>
      <c r="I1507" s="101"/>
      <c r="J1507" s="101"/>
      <c r="K1507" s="79">
        <v>5</v>
      </c>
      <c r="L1507" s="79">
        <v>8</v>
      </c>
      <c r="M1507" s="127" t="s">
        <v>2859</v>
      </c>
      <c r="N1507" s="79">
        <v>0</v>
      </c>
      <c r="O1507" s="79">
        <v>0</v>
      </c>
      <c r="P1507" s="101"/>
      <c r="Q1507" s="108"/>
      <c r="R1507" s="144"/>
    </row>
    <row r="1508" spans="1:18" s="113" customFormat="1">
      <c r="A1508" s="79">
        <v>440653</v>
      </c>
      <c r="B1508" s="79">
        <v>4406531</v>
      </c>
      <c r="C1508" s="79" t="s">
        <v>2860</v>
      </c>
      <c r="D1508" s="79">
        <v>4406532</v>
      </c>
      <c r="E1508" s="79" t="s">
        <v>2861</v>
      </c>
      <c r="F1508" s="79">
        <v>5</v>
      </c>
      <c r="G1508" s="79">
        <v>4</v>
      </c>
      <c r="H1508" s="79" t="s">
        <v>2855</v>
      </c>
      <c r="I1508" s="101"/>
      <c r="J1508" s="101"/>
      <c r="K1508" s="79">
        <v>5</v>
      </c>
      <c r="L1508" s="79">
        <v>8</v>
      </c>
      <c r="M1508" s="127" t="s">
        <v>2862</v>
      </c>
      <c r="N1508" s="79">
        <v>0</v>
      </c>
      <c r="O1508" s="79">
        <v>0</v>
      </c>
      <c r="P1508" s="101"/>
      <c r="Q1508" s="108"/>
      <c r="R1508" s="144"/>
    </row>
    <row r="1509" spans="1:18" s="113" customFormat="1">
      <c r="A1509" s="79">
        <v>440654</v>
      </c>
      <c r="B1509" s="79">
        <v>4406541</v>
      </c>
      <c r="C1509" s="79" t="s">
        <v>2863</v>
      </c>
      <c r="D1509" s="79">
        <v>4406542</v>
      </c>
      <c r="E1509" s="79" t="s">
        <v>2864</v>
      </c>
      <c r="F1509" s="79">
        <v>5</v>
      </c>
      <c r="G1509" s="79">
        <v>4</v>
      </c>
      <c r="H1509" s="79" t="s">
        <v>2855</v>
      </c>
      <c r="I1509" s="101"/>
      <c r="J1509" s="101"/>
      <c r="K1509" s="79">
        <v>5</v>
      </c>
      <c r="L1509" s="79">
        <v>8</v>
      </c>
      <c r="M1509" s="127" t="s">
        <v>2865</v>
      </c>
      <c r="N1509" s="79">
        <v>0</v>
      </c>
      <c r="O1509" s="79">
        <v>0</v>
      </c>
      <c r="P1509" s="101"/>
      <c r="Q1509" s="108"/>
      <c r="R1509" s="144"/>
    </row>
    <row r="1510" spans="1:18" s="113" customFormat="1">
      <c r="A1510" s="79">
        <v>440661</v>
      </c>
      <c r="B1510" s="79">
        <v>4406611</v>
      </c>
      <c r="C1510" s="79" t="s">
        <v>2866</v>
      </c>
      <c r="D1510" s="79">
        <v>4406612</v>
      </c>
      <c r="E1510" s="79" t="s">
        <v>2867</v>
      </c>
      <c r="F1510" s="79">
        <v>5</v>
      </c>
      <c r="G1510" s="79">
        <v>4</v>
      </c>
      <c r="H1510" s="79" t="s">
        <v>2868</v>
      </c>
      <c r="I1510" s="101"/>
      <c r="J1510" s="101"/>
      <c r="K1510" s="79">
        <v>5</v>
      </c>
      <c r="L1510" s="79">
        <v>8</v>
      </c>
      <c r="M1510" s="127" t="s">
        <v>2869</v>
      </c>
      <c r="N1510" s="79">
        <v>0</v>
      </c>
      <c r="O1510" s="79">
        <v>0</v>
      </c>
      <c r="P1510" s="101"/>
      <c r="Q1510" s="108"/>
      <c r="R1510" s="144"/>
    </row>
    <row r="1511" spans="1:18" s="113" customFormat="1">
      <c r="A1511" s="79">
        <v>440662</v>
      </c>
      <c r="B1511" s="79">
        <v>4406621</v>
      </c>
      <c r="C1511" s="79" t="s">
        <v>2870</v>
      </c>
      <c r="D1511" s="79">
        <v>4406622</v>
      </c>
      <c r="E1511" s="79" t="s">
        <v>2871</v>
      </c>
      <c r="F1511" s="79">
        <v>5</v>
      </c>
      <c r="G1511" s="79">
        <v>4</v>
      </c>
      <c r="H1511" s="79" t="s">
        <v>2868</v>
      </c>
      <c r="I1511" s="101"/>
      <c r="J1511" s="101"/>
      <c r="K1511" s="79">
        <v>5</v>
      </c>
      <c r="L1511" s="79">
        <v>8</v>
      </c>
      <c r="M1511" s="127" t="s">
        <v>2872</v>
      </c>
      <c r="N1511" s="79">
        <v>0</v>
      </c>
      <c r="O1511" s="79">
        <v>0</v>
      </c>
      <c r="P1511" s="101"/>
      <c r="Q1511" s="108"/>
      <c r="R1511" s="144"/>
    </row>
    <row r="1512" spans="1:18" s="113" customFormat="1">
      <c r="A1512" s="79">
        <v>440663</v>
      </c>
      <c r="B1512" s="79">
        <v>4406631</v>
      </c>
      <c r="C1512" s="79" t="s">
        <v>2873</v>
      </c>
      <c r="D1512" s="79">
        <v>4406632</v>
      </c>
      <c r="E1512" s="79" t="s">
        <v>2874</v>
      </c>
      <c r="F1512" s="79">
        <v>5</v>
      </c>
      <c r="G1512" s="79">
        <v>4</v>
      </c>
      <c r="H1512" s="79" t="s">
        <v>2868</v>
      </c>
      <c r="I1512" s="101"/>
      <c r="J1512" s="101"/>
      <c r="K1512" s="79">
        <v>5</v>
      </c>
      <c r="L1512" s="79">
        <v>8</v>
      </c>
      <c r="M1512" s="127" t="s">
        <v>2875</v>
      </c>
      <c r="N1512" s="79">
        <v>0</v>
      </c>
      <c r="O1512" s="79">
        <v>0</v>
      </c>
      <c r="P1512" s="101"/>
      <c r="Q1512" s="108"/>
      <c r="R1512" s="144"/>
    </row>
    <row r="1513" spans="1:18" s="113" customFormat="1">
      <c r="A1513" s="79">
        <v>440664</v>
      </c>
      <c r="B1513" s="79">
        <v>4406641</v>
      </c>
      <c r="C1513" s="79" t="s">
        <v>2876</v>
      </c>
      <c r="D1513" s="79">
        <v>4406642</v>
      </c>
      <c r="E1513" s="79" t="s">
        <v>2877</v>
      </c>
      <c r="F1513" s="79">
        <v>5</v>
      </c>
      <c r="G1513" s="79">
        <v>4</v>
      </c>
      <c r="H1513" s="79" t="s">
        <v>2868</v>
      </c>
      <c r="I1513" s="101"/>
      <c r="J1513" s="101"/>
      <c r="K1513" s="79">
        <v>5</v>
      </c>
      <c r="L1513" s="79">
        <v>8</v>
      </c>
      <c r="M1513" s="127" t="s">
        <v>2878</v>
      </c>
      <c r="N1513" s="79">
        <v>0</v>
      </c>
      <c r="O1513" s="79">
        <v>0</v>
      </c>
      <c r="P1513" s="101"/>
      <c r="Q1513" s="108"/>
      <c r="R1513" s="144"/>
    </row>
    <row r="1514" spans="1:18" s="113" customFormat="1">
      <c r="A1514" s="79">
        <v>440671</v>
      </c>
      <c r="B1514" s="79">
        <v>4406711</v>
      </c>
      <c r="C1514" s="79" t="s">
        <v>2879</v>
      </c>
      <c r="D1514" s="79">
        <v>4406712</v>
      </c>
      <c r="E1514" s="79" t="s">
        <v>2880</v>
      </c>
      <c r="F1514" s="79">
        <v>5</v>
      </c>
      <c r="G1514" s="79">
        <v>4</v>
      </c>
      <c r="H1514" s="79" t="s">
        <v>2881</v>
      </c>
      <c r="I1514" s="101"/>
      <c r="J1514" s="101"/>
      <c r="K1514" s="79">
        <v>5</v>
      </c>
      <c r="L1514" s="79">
        <v>8</v>
      </c>
      <c r="M1514" s="127" t="s">
        <v>2882</v>
      </c>
      <c r="N1514" s="79">
        <v>0</v>
      </c>
      <c r="O1514" s="79">
        <v>0</v>
      </c>
      <c r="P1514" s="101"/>
      <c r="Q1514" s="108"/>
      <c r="R1514" s="144"/>
    </row>
    <row r="1515" spans="1:18" s="113" customFormat="1">
      <c r="A1515" s="79">
        <v>440672</v>
      </c>
      <c r="B1515" s="79">
        <v>4406721</v>
      </c>
      <c r="C1515" s="79" t="s">
        <v>2883</v>
      </c>
      <c r="D1515" s="79">
        <v>4406722</v>
      </c>
      <c r="E1515" s="79" t="s">
        <v>2884</v>
      </c>
      <c r="F1515" s="79">
        <v>5</v>
      </c>
      <c r="G1515" s="79">
        <v>4</v>
      </c>
      <c r="H1515" s="79" t="s">
        <v>2881</v>
      </c>
      <c r="I1515" s="101"/>
      <c r="J1515" s="101"/>
      <c r="K1515" s="79">
        <v>5</v>
      </c>
      <c r="L1515" s="79">
        <v>8</v>
      </c>
      <c r="M1515" s="127" t="s">
        <v>2885</v>
      </c>
      <c r="N1515" s="79">
        <v>0</v>
      </c>
      <c r="O1515" s="79">
        <v>0</v>
      </c>
      <c r="P1515" s="101"/>
      <c r="Q1515" s="108"/>
      <c r="R1515" s="144"/>
    </row>
    <row r="1516" spans="1:18" s="113" customFormat="1">
      <c r="A1516" s="79">
        <v>440673</v>
      </c>
      <c r="B1516" s="79">
        <v>4406731</v>
      </c>
      <c r="C1516" s="79" t="s">
        <v>2886</v>
      </c>
      <c r="D1516" s="79">
        <v>4406732</v>
      </c>
      <c r="E1516" s="79" t="s">
        <v>2887</v>
      </c>
      <c r="F1516" s="79">
        <v>5</v>
      </c>
      <c r="G1516" s="79">
        <v>4</v>
      </c>
      <c r="H1516" s="79" t="s">
        <v>2881</v>
      </c>
      <c r="I1516" s="101"/>
      <c r="J1516" s="101"/>
      <c r="K1516" s="79">
        <v>5</v>
      </c>
      <c r="L1516" s="79">
        <v>8</v>
      </c>
      <c r="M1516" s="127" t="s">
        <v>2888</v>
      </c>
      <c r="N1516" s="79">
        <v>0</v>
      </c>
      <c r="O1516" s="79">
        <v>0</v>
      </c>
      <c r="P1516" s="101"/>
      <c r="Q1516" s="108"/>
      <c r="R1516" s="144"/>
    </row>
    <row r="1517" spans="1:18" s="113" customFormat="1">
      <c r="A1517" s="79">
        <v>440674</v>
      </c>
      <c r="B1517" s="79">
        <v>4406741</v>
      </c>
      <c r="C1517" s="79" t="s">
        <v>2889</v>
      </c>
      <c r="D1517" s="79">
        <v>4406742</v>
      </c>
      <c r="E1517" s="79" t="s">
        <v>2890</v>
      </c>
      <c r="F1517" s="79">
        <v>5</v>
      </c>
      <c r="G1517" s="79">
        <v>4</v>
      </c>
      <c r="H1517" s="79" t="s">
        <v>2881</v>
      </c>
      <c r="I1517" s="101"/>
      <c r="J1517" s="101"/>
      <c r="K1517" s="79">
        <v>5</v>
      </c>
      <c r="L1517" s="79">
        <v>8</v>
      </c>
      <c r="M1517" s="127" t="s">
        <v>2891</v>
      </c>
      <c r="N1517" s="79">
        <v>0</v>
      </c>
      <c r="O1517" s="79">
        <v>0</v>
      </c>
      <c r="P1517" s="101"/>
      <c r="Q1517" s="108"/>
      <c r="R1517" s="144"/>
    </row>
    <row r="1518" spans="1:18" s="113" customFormat="1">
      <c r="A1518" s="79">
        <v>440681</v>
      </c>
      <c r="B1518" s="79">
        <v>4406811</v>
      </c>
      <c r="C1518" s="79" t="s">
        <v>2892</v>
      </c>
      <c r="D1518" s="79">
        <v>4406812</v>
      </c>
      <c r="E1518" s="79" t="s">
        <v>2893</v>
      </c>
      <c r="F1518" s="79">
        <v>5</v>
      </c>
      <c r="G1518" s="79">
        <v>4</v>
      </c>
      <c r="H1518" s="79" t="s">
        <v>2894</v>
      </c>
      <c r="I1518" s="101"/>
      <c r="J1518" s="101"/>
      <c r="K1518" s="79">
        <v>5</v>
      </c>
      <c r="L1518" s="79">
        <v>8</v>
      </c>
      <c r="M1518" s="127" t="s">
        <v>2895</v>
      </c>
      <c r="N1518" s="79">
        <v>0</v>
      </c>
      <c r="O1518" s="79">
        <v>0</v>
      </c>
      <c r="P1518" s="101"/>
      <c r="Q1518" s="108"/>
      <c r="R1518" s="144"/>
    </row>
    <row r="1519" spans="1:18" s="113" customFormat="1">
      <c r="A1519" s="79">
        <v>440682</v>
      </c>
      <c r="B1519" s="79">
        <v>4406821</v>
      </c>
      <c r="C1519" s="79" t="s">
        <v>2896</v>
      </c>
      <c r="D1519" s="79">
        <v>4406822</v>
      </c>
      <c r="E1519" s="79" t="s">
        <v>2897</v>
      </c>
      <c r="F1519" s="79">
        <v>5</v>
      </c>
      <c r="G1519" s="79">
        <v>4</v>
      </c>
      <c r="H1519" s="79" t="s">
        <v>2894</v>
      </c>
      <c r="I1519" s="101"/>
      <c r="J1519" s="101"/>
      <c r="K1519" s="79">
        <v>5</v>
      </c>
      <c r="L1519" s="79">
        <v>8</v>
      </c>
      <c r="M1519" s="127" t="s">
        <v>2898</v>
      </c>
      <c r="N1519" s="79">
        <v>0</v>
      </c>
      <c r="O1519" s="79">
        <v>0</v>
      </c>
      <c r="P1519" s="101"/>
      <c r="Q1519" s="108"/>
      <c r="R1519" s="144"/>
    </row>
    <row r="1520" spans="1:18" s="113" customFormat="1">
      <c r="A1520" s="79">
        <v>440683</v>
      </c>
      <c r="B1520" s="79">
        <v>4406831</v>
      </c>
      <c r="C1520" s="79" t="s">
        <v>2899</v>
      </c>
      <c r="D1520" s="79">
        <v>4406832</v>
      </c>
      <c r="E1520" s="79" t="s">
        <v>2900</v>
      </c>
      <c r="F1520" s="79">
        <v>5</v>
      </c>
      <c r="G1520" s="79">
        <v>4</v>
      </c>
      <c r="H1520" s="79" t="s">
        <v>2894</v>
      </c>
      <c r="I1520" s="101"/>
      <c r="J1520" s="101"/>
      <c r="K1520" s="79">
        <v>5</v>
      </c>
      <c r="L1520" s="79">
        <v>8</v>
      </c>
      <c r="M1520" s="127" t="s">
        <v>2901</v>
      </c>
      <c r="N1520" s="79">
        <v>0</v>
      </c>
      <c r="O1520" s="79">
        <v>0</v>
      </c>
      <c r="P1520" s="101"/>
      <c r="Q1520" s="108"/>
      <c r="R1520" s="144"/>
    </row>
    <row r="1521" spans="1:18" s="113" customFormat="1">
      <c r="A1521" s="79">
        <v>440684</v>
      </c>
      <c r="B1521" s="79">
        <v>4406841</v>
      </c>
      <c r="C1521" s="79" t="s">
        <v>2902</v>
      </c>
      <c r="D1521" s="79">
        <v>4406842</v>
      </c>
      <c r="E1521" s="79" t="s">
        <v>2903</v>
      </c>
      <c r="F1521" s="79">
        <v>5</v>
      </c>
      <c r="G1521" s="79">
        <v>4</v>
      </c>
      <c r="H1521" s="79" t="s">
        <v>2894</v>
      </c>
      <c r="I1521" s="101"/>
      <c r="J1521" s="101"/>
      <c r="K1521" s="79">
        <v>5</v>
      </c>
      <c r="L1521" s="79">
        <v>8</v>
      </c>
      <c r="M1521" s="127" t="s">
        <v>2904</v>
      </c>
      <c r="N1521" s="79">
        <v>0</v>
      </c>
      <c r="O1521" s="79">
        <v>0</v>
      </c>
      <c r="P1521" s="101"/>
      <c r="Q1521" s="108"/>
      <c r="R1521" s="144"/>
    </row>
    <row r="1522" spans="1:18" s="113" customFormat="1">
      <c r="A1522" s="79">
        <v>440691</v>
      </c>
      <c r="B1522" s="79">
        <v>4406911</v>
      </c>
      <c r="C1522" s="79" t="s">
        <v>2905</v>
      </c>
      <c r="D1522" s="79">
        <v>4406912</v>
      </c>
      <c r="E1522" s="79" t="s">
        <v>2906</v>
      </c>
      <c r="F1522" s="79">
        <v>5</v>
      </c>
      <c r="G1522" s="79">
        <v>4</v>
      </c>
      <c r="H1522" s="79" t="s">
        <v>2907</v>
      </c>
      <c r="I1522" s="101"/>
      <c r="J1522" s="101"/>
      <c r="K1522" s="79">
        <v>5</v>
      </c>
      <c r="L1522" s="79">
        <v>8</v>
      </c>
      <c r="M1522" s="127" t="s">
        <v>2908</v>
      </c>
      <c r="N1522" s="79">
        <v>0</v>
      </c>
      <c r="O1522" s="79">
        <v>0</v>
      </c>
      <c r="P1522" s="101"/>
      <c r="Q1522" s="108"/>
      <c r="R1522" s="144"/>
    </row>
    <row r="1523" spans="1:18" s="113" customFormat="1">
      <c r="A1523" s="79">
        <v>440692</v>
      </c>
      <c r="B1523" s="79">
        <v>4406921</v>
      </c>
      <c r="C1523" s="79" t="s">
        <v>2909</v>
      </c>
      <c r="D1523" s="79">
        <v>4406922</v>
      </c>
      <c r="E1523" s="79" t="s">
        <v>2910</v>
      </c>
      <c r="F1523" s="79">
        <v>5</v>
      </c>
      <c r="G1523" s="79">
        <v>4</v>
      </c>
      <c r="H1523" s="79" t="s">
        <v>2907</v>
      </c>
      <c r="I1523" s="101"/>
      <c r="J1523" s="101"/>
      <c r="K1523" s="79">
        <v>5</v>
      </c>
      <c r="L1523" s="79">
        <v>8</v>
      </c>
      <c r="M1523" s="127" t="s">
        <v>2911</v>
      </c>
      <c r="N1523" s="79">
        <v>0</v>
      </c>
      <c r="O1523" s="79">
        <v>0</v>
      </c>
      <c r="P1523" s="101"/>
      <c r="Q1523" s="108"/>
      <c r="R1523" s="144"/>
    </row>
    <row r="1524" spans="1:18" s="113" customFormat="1">
      <c r="A1524" s="79">
        <v>440693</v>
      </c>
      <c r="B1524" s="79">
        <v>4406931</v>
      </c>
      <c r="C1524" s="79" t="s">
        <v>2912</v>
      </c>
      <c r="D1524" s="79">
        <v>4406932</v>
      </c>
      <c r="E1524" s="79" t="s">
        <v>2913</v>
      </c>
      <c r="F1524" s="79">
        <v>5</v>
      </c>
      <c r="G1524" s="79">
        <v>4</v>
      </c>
      <c r="H1524" s="79" t="s">
        <v>2907</v>
      </c>
      <c r="I1524" s="101"/>
      <c r="J1524" s="101"/>
      <c r="K1524" s="79">
        <v>5</v>
      </c>
      <c r="L1524" s="79">
        <v>8</v>
      </c>
      <c r="M1524" s="127" t="s">
        <v>2914</v>
      </c>
      <c r="N1524" s="79">
        <v>0</v>
      </c>
      <c r="O1524" s="79">
        <v>0</v>
      </c>
      <c r="P1524" s="101"/>
      <c r="Q1524" s="108"/>
      <c r="R1524" s="144"/>
    </row>
    <row r="1525" spans="1:18" s="113" customFormat="1">
      <c r="A1525" s="79">
        <v>440694</v>
      </c>
      <c r="B1525" s="79">
        <v>4406941</v>
      </c>
      <c r="C1525" s="79" t="s">
        <v>2915</v>
      </c>
      <c r="D1525" s="79">
        <v>4406942</v>
      </c>
      <c r="E1525" s="79" t="s">
        <v>2916</v>
      </c>
      <c r="F1525" s="79">
        <v>5</v>
      </c>
      <c r="G1525" s="79">
        <v>4</v>
      </c>
      <c r="H1525" s="79" t="s">
        <v>2907</v>
      </c>
      <c r="I1525" s="101"/>
      <c r="J1525" s="101"/>
      <c r="K1525" s="79">
        <v>5</v>
      </c>
      <c r="L1525" s="79">
        <v>8</v>
      </c>
      <c r="M1525" s="127" t="s">
        <v>2917</v>
      </c>
      <c r="N1525" s="79">
        <v>0</v>
      </c>
      <c r="O1525" s="79">
        <v>0</v>
      </c>
      <c r="P1525" s="101"/>
      <c r="Q1525" s="108"/>
      <c r="R1525" s="144"/>
    </row>
    <row r="1526" spans="1:18" s="183" customFormat="1">
      <c r="A1526" s="175">
        <v>440701</v>
      </c>
      <c r="B1526" s="175">
        <v>4407011</v>
      </c>
      <c r="C1526" s="175" t="s">
        <v>2918</v>
      </c>
      <c r="D1526" s="175">
        <v>4407012</v>
      </c>
      <c r="E1526" s="175" t="s">
        <v>2919</v>
      </c>
      <c r="F1526" s="175">
        <v>5</v>
      </c>
      <c r="G1526" s="175">
        <v>4</v>
      </c>
      <c r="H1526" s="175" t="s">
        <v>2920</v>
      </c>
      <c r="I1526" s="184"/>
      <c r="J1526" s="184"/>
      <c r="K1526" s="175">
        <v>5</v>
      </c>
      <c r="L1526" s="175">
        <v>8</v>
      </c>
      <c r="M1526" s="179" t="s">
        <v>2921</v>
      </c>
      <c r="N1526" s="175">
        <v>0</v>
      </c>
      <c r="O1526" s="175">
        <v>0</v>
      </c>
      <c r="P1526" s="184"/>
      <c r="Q1526" s="178"/>
      <c r="R1526" s="151"/>
    </row>
    <row r="1527" spans="1:18" s="183" customFormat="1">
      <c r="A1527" s="175">
        <v>440702</v>
      </c>
      <c r="B1527" s="175">
        <v>4407021</v>
      </c>
      <c r="C1527" s="175" t="s">
        <v>2922</v>
      </c>
      <c r="D1527" s="175">
        <v>4407022</v>
      </c>
      <c r="E1527" s="175" t="s">
        <v>2923</v>
      </c>
      <c r="F1527" s="175">
        <v>5</v>
      </c>
      <c r="G1527" s="175">
        <v>4</v>
      </c>
      <c r="H1527" s="175" t="s">
        <v>2920</v>
      </c>
      <c r="I1527" s="184"/>
      <c r="J1527" s="184"/>
      <c r="K1527" s="175">
        <v>5</v>
      </c>
      <c r="L1527" s="175">
        <v>8</v>
      </c>
      <c r="M1527" s="179" t="s">
        <v>2924</v>
      </c>
      <c r="N1527" s="175">
        <v>0</v>
      </c>
      <c r="O1527" s="175">
        <v>0</v>
      </c>
      <c r="P1527" s="184"/>
      <c r="Q1527" s="178"/>
      <c r="R1527" s="151"/>
    </row>
    <row r="1528" spans="1:18" s="183" customFormat="1">
      <c r="A1528" s="175">
        <v>440703</v>
      </c>
      <c r="B1528" s="175">
        <v>4407031</v>
      </c>
      <c r="C1528" s="175" t="s">
        <v>2925</v>
      </c>
      <c r="D1528" s="175">
        <v>4407032</v>
      </c>
      <c r="E1528" s="175" t="s">
        <v>2926</v>
      </c>
      <c r="F1528" s="175">
        <v>5</v>
      </c>
      <c r="G1528" s="175">
        <v>4</v>
      </c>
      <c r="H1528" s="175" t="s">
        <v>2920</v>
      </c>
      <c r="I1528" s="184"/>
      <c r="J1528" s="184"/>
      <c r="K1528" s="175">
        <v>5</v>
      </c>
      <c r="L1528" s="175">
        <v>8</v>
      </c>
      <c r="M1528" s="179" t="s">
        <v>2927</v>
      </c>
      <c r="N1528" s="175">
        <v>0</v>
      </c>
      <c r="O1528" s="175">
        <v>0</v>
      </c>
      <c r="P1528" s="184"/>
      <c r="Q1528" s="178"/>
      <c r="R1528" s="151"/>
    </row>
    <row r="1529" spans="1:18" s="183" customFormat="1">
      <c r="A1529" s="175">
        <v>440704</v>
      </c>
      <c r="B1529" s="175">
        <v>4407041</v>
      </c>
      <c r="C1529" s="175" t="s">
        <v>2928</v>
      </c>
      <c r="D1529" s="175">
        <v>4407042</v>
      </c>
      <c r="E1529" s="175" t="s">
        <v>2929</v>
      </c>
      <c r="F1529" s="175">
        <v>5</v>
      </c>
      <c r="G1529" s="175">
        <v>4</v>
      </c>
      <c r="H1529" s="175" t="s">
        <v>2920</v>
      </c>
      <c r="I1529" s="184"/>
      <c r="J1529" s="184"/>
      <c r="K1529" s="175">
        <v>5</v>
      </c>
      <c r="L1529" s="175">
        <v>8</v>
      </c>
      <c r="M1529" s="179" t="s">
        <v>2930</v>
      </c>
      <c r="N1529" s="175">
        <v>0</v>
      </c>
      <c r="O1529" s="175">
        <v>0</v>
      </c>
      <c r="P1529" s="184"/>
      <c r="Q1529" s="178"/>
      <c r="R1529" s="151"/>
    </row>
    <row r="1530" spans="1:18" s="183" customFormat="1">
      <c r="A1530" s="175">
        <v>440711</v>
      </c>
      <c r="B1530" s="175">
        <v>4407111</v>
      </c>
      <c r="C1530" s="175" t="s">
        <v>2931</v>
      </c>
      <c r="D1530" s="175">
        <v>4407112</v>
      </c>
      <c r="E1530" s="175" t="s">
        <v>2932</v>
      </c>
      <c r="F1530" s="175">
        <v>5</v>
      </c>
      <c r="G1530" s="175">
        <v>4</v>
      </c>
      <c r="H1530" s="175" t="s">
        <v>2933</v>
      </c>
      <c r="I1530" s="184"/>
      <c r="J1530" s="184"/>
      <c r="K1530" s="175">
        <v>5</v>
      </c>
      <c r="L1530" s="175">
        <v>8</v>
      </c>
      <c r="M1530" s="179" t="s">
        <v>2934</v>
      </c>
      <c r="N1530" s="175">
        <v>0</v>
      </c>
      <c r="O1530" s="175">
        <v>0</v>
      </c>
      <c r="P1530" s="184"/>
      <c r="Q1530" s="178"/>
      <c r="R1530" s="151"/>
    </row>
    <row r="1531" spans="1:18" s="183" customFormat="1">
      <c r="A1531" s="175">
        <v>440712</v>
      </c>
      <c r="B1531" s="175">
        <v>4407121</v>
      </c>
      <c r="C1531" s="175" t="s">
        <v>2935</v>
      </c>
      <c r="D1531" s="175">
        <v>4407122</v>
      </c>
      <c r="E1531" s="175" t="s">
        <v>2936</v>
      </c>
      <c r="F1531" s="175">
        <v>5</v>
      </c>
      <c r="G1531" s="175">
        <v>4</v>
      </c>
      <c r="H1531" s="175" t="s">
        <v>2933</v>
      </c>
      <c r="I1531" s="184"/>
      <c r="J1531" s="184"/>
      <c r="K1531" s="175">
        <v>5</v>
      </c>
      <c r="L1531" s="175">
        <v>8</v>
      </c>
      <c r="M1531" s="179" t="s">
        <v>2937</v>
      </c>
      <c r="N1531" s="175">
        <v>0</v>
      </c>
      <c r="O1531" s="175">
        <v>0</v>
      </c>
      <c r="P1531" s="184"/>
      <c r="Q1531" s="178"/>
      <c r="R1531" s="151"/>
    </row>
    <row r="1532" spans="1:18" s="183" customFormat="1">
      <c r="A1532" s="175">
        <v>440713</v>
      </c>
      <c r="B1532" s="175">
        <v>4407131</v>
      </c>
      <c r="C1532" s="175" t="s">
        <v>2938</v>
      </c>
      <c r="D1532" s="175">
        <v>4407132</v>
      </c>
      <c r="E1532" s="175" t="s">
        <v>2939</v>
      </c>
      <c r="F1532" s="175">
        <v>5</v>
      </c>
      <c r="G1532" s="175">
        <v>4</v>
      </c>
      <c r="H1532" s="175" t="s">
        <v>2933</v>
      </c>
      <c r="I1532" s="184"/>
      <c r="J1532" s="184"/>
      <c r="K1532" s="175">
        <v>5</v>
      </c>
      <c r="L1532" s="175">
        <v>8</v>
      </c>
      <c r="M1532" s="179" t="s">
        <v>2940</v>
      </c>
      <c r="N1532" s="175">
        <v>0</v>
      </c>
      <c r="O1532" s="175">
        <v>0</v>
      </c>
      <c r="P1532" s="184"/>
      <c r="Q1532" s="178"/>
      <c r="R1532" s="151"/>
    </row>
    <row r="1533" spans="1:18" s="183" customFormat="1">
      <c r="A1533" s="175">
        <v>440714</v>
      </c>
      <c r="B1533" s="175">
        <v>4407141</v>
      </c>
      <c r="C1533" s="175" t="s">
        <v>2941</v>
      </c>
      <c r="D1533" s="175">
        <v>4407142</v>
      </c>
      <c r="E1533" s="175" t="s">
        <v>2942</v>
      </c>
      <c r="F1533" s="175">
        <v>5</v>
      </c>
      <c r="G1533" s="175">
        <v>4</v>
      </c>
      <c r="H1533" s="175" t="s">
        <v>2933</v>
      </c>
      <c r="I1533" s="184"/>
      <c r="J1533" s="184"/>
      <c r="K1533" s="175">
        <v>5</v>
      </c>
      <c r="L1533" s="175">
        <v>8</v>
      </c>
      <c r="M1533" s="179" t="s">
        <v>2943</v>
      </c>
      <c r="N1533" s="175">
        <v>0</v>
      </c>
      <c r="O1533" s="175">
        <v>0</v>
      </c>
      <c r="P1533" s="184"/>
      <c r="Q1533" s="178"/>
      <c r="R1533" s="151"/>
    </row>
    <row r="1534" spans="1:18" s="183" customFormat="1">
      <c r="A1534" s="175">
        <v>440721</v>
      </c>
      <c r="B1534" s="175">
        <v>4407211</v>
      </c>
      <c r="C1534" s="175" t="s">
        <v>2944</v>
      </c>
      <c r="D1534" s="175">
        <v>4407212</v>
      </c>
      <c r="E1534" s="175" t="s">
        <v>2945</v>
      </c>
      <c r="F1534" s="175">
        <v>5</v>
      </c>
      <c r="G1534" s="175">
        <v>4</v>
      </c>
      <c r="H1534" s="175" t="s">
        <v>2946</v>
      </c>
      <c r="I1534" s="184"/>
      <c r="J1534" s="184"/>
      <c r="K1534" s="175">
        <v>5</v>
      </c>
      <c r="L1534" s="175">
        <v>8</v>
      </c>
      <c r="M1534" s="179" t="s">
        <v>2947</v>
      </c>
      <c r="N1534" s="175">
        <v>0</v>
      </c>
      <c r="O1534" s="175">
        <v>0</v>
      </c>
      <c r="P1534" s="184"/>
      <c r="Q1534" s="178"/>
      <c r="R1534" s="151"/>
    </row>
    <row r="1535" spans="1:18" s="183" customFormat="1">
      <c r="A1535" s="175">
        <v>440722</v>
      </c>
      <c r="B1535" s="175">
        <v>4407221</v>
      </c>
      <c r="C1535" s="175" t="s">
        <v>2948</v>
      </c>
      <c r="D1535" s="175">
        <v>4407222</v>
      </c>
      <c r="E1535" s="175" t="s">
        <v>2949</v>
      </c>
      <c r="F1535" s="175">
        <v>5</v>
      </c>
      <c r="G1535" s="175">
        <v>4</v>
      </c>
      <c r="H1535" s="175" t="s">
        <v>2946</v>
      </c>
      <c r="I1535" s="184"/>
      <c r="J1535" s="184"/>
      <c r="K1535" s="175">
        <v>5</v>
      </c>
      <c r="L1535" s="175">
        <v>8</v>
      </c>
      <c r="M1535" s="179" t="s">
        <v>2950</v>
      </c>
      <c r="N1535" s="175">
        <v>0</v>
      </c>
      <c r="O1535" s="175">
        <v>0</v>
      </c>
      <c r="P1535" s="184"/>
      <c r="Q1535" s="178"/>
      <c r="R1535" s="151"/>
    </row>
    <row r="1536" spans="1:18" s="183" customFormat="1">
      <c r="A1536" s="175">
        <v>440723</v>
      </c>
      <c r="B1536" s="175">
        <v>4407231</v>
      </c>
      <c r="C1536" s="175" t="s">
        <v>2951</v>
      </c>
      <c r="D1536" s="175">
        <v>4407232</v>
      </c>
      <c r="E1536" s="175" t="s">
        <v>2952</v>
      </c>
      <c r="F1536" s="175">
        <v>5</v>
      </c>
      <c r="G1536" s="175">
        <v>4</v>
      </c>
      <c r="H1536" s="175" t="s">
        <v>2946</v>
      </c>
      <c r="I1536" s="184"/>
      <c r="J1536" s="184"/>
      <c r="K1536" s="175">
        <v>5</v>
      </c>
      <c r="L1536" s="175">
        <v>8</v>
      </c>
      <c r="M1536" s="179" t="s">
        <v>2953</v>
      </c>
      <c r="N1536" s="175">
        <v>0</v>
      </c>
      <c r="O1536" s="175">
        <v>0</v>
      </c>
      <c r="P1536" s="184"/>
      <c r="Q1536" s="178"/>
      <c r="R1536" s="151"/>
    </row>
    <row r="1537" spans="1:21" s="183" customFormat="1">
      <c r="A1537" s="175">
        <v>440724</v>
      </c>
      <c r="B1537" s="175">
        <v>4407241</v>
      </c>
      <c r="C1537" s="175" t="s">
        <v>2954</v>
      </c>
      <c r="D1537" s="175">
        <v>4407242</v>
      </c>
      <c r="E1537" s="175" t="s">
        <v>2955</v>
      </c>
      <c r="F1537" s="175">
        <v>5</v>
      </c>
      <c r="G1537" s="175">
        <v>4</v>
      </c>
      <c r="H1537" s="175" t="s">
        <v>2946</v>
      </c>
      <c r="I1537" s="184"/>
      <c r="J1537" s="184"/>
      <c r="K1537" s="175">
        <v>5</v>
      </c>
      <c r="L1537" s="175">
        <v>8</v>
      </c>
      <c r="M1537" s="179" t="s">
        <v>2956</v>
      </c>
      <c r="N1537" s="175">
        <v>0</v>
      </c>
      <c r="O1537" s="175">
        <v>0</v>
      </c>
      <c r="P1537" s="184"/>
      <c r="Q1537" s="178"/>
      <c r="R1537" s="151"/>
    </row>
    <row r="1538" spans="1:21" s="111" customFormat="1">
      <c r="A1538" s="79">
        <v>450011</v>
      </c>
      <c r="B1538" s="121">
        <v>4500111</v>
      </c>
      <c r="C1538" s="79" t="s">
        <v>2957</v>
      </c>
      <c r="D1538" s="121">
        <v>4500112</v>
      </c>
      <c r="E1538" s="79" t="s">
        <v>2958</v>
      </c>
      <c r="F1538" s="79">
        <v>5</v>
      </c>
      <c r="G1538" s="79">
        <v>4</v>
      </c>
      <c r="H1538" s="79" t="s">
        <v>2959</v>
      </c>
      <c r="I1538" s="127"/>
      <c r="J1538" s="127"/>
      <c r="K1538" s="79">
        <v>4</v>
      </c>
      <c r="L1538" s="79">
        <v>8</v>
      </c>
      <c r="M1538" s="127" t="s">
        <v>2960</v>
      </c>
      <c r="N1538" s="79">
        <v>0</v>
      </c>
      <c r="O1538" s="79">
        <v>0</v>
      </c>
      <c r="P1538" s="107"/>
      <c r="Q1538" s="106"/>
      <c r="R1538" s="142"/>
    </row>
    <row r="1539" spans="1:21" s="111" customFormat="1">
      <c r="A1539" s="79">
        <v>450012</v>
      </c>
      <c r="B1539" s="121">
        <v>4500121</v>
      </c>
      <c r="C1539" s="79" t="s">
        <v>2961</v>
      </c>
      <c r="D1539" s="121">
        <v>4500122</v>
      </c>
      <c r="E1539" s="79" t="s">
        <v>2962</v>
      </c>
      <c r="F1539" s="79">
        <v>5</v>
      </c>
      <c r="G1539" s="79">
        <v>4</v>
      </c>
      <c r="H1539" s="79" t="s">
        <v>2959</v>
      </c>
      <c r="I1539" s="127"/>
      <c r="J1539" s="127"/>
      <c r="K1539" s="79">
        <v>4</v>
      </c>
      <c r="L1539" s="79">
        <v>8</v>
      </c>
      <c r="M1539" s="127" t="s">
        <v>2963</v>
      </c>
      <c r="N1539" s="79">
        <v>0</v>
      </c>
      <c r="O1539" s="79">
        <v>0</v>
      </c>
      <c r="P1539" s="107"/>
      <c r="Q1539" s="106"/>
      <c r="R1539" s="142"/>
    </row>
    <row r="1540" spans="1:21" s="111" customFormat="1">
      <c r="A1540" s="79">
        <v>460011</v>
      </c>
      <c r="B1540" s="121">
        <v>4600111</v>
      </c>
      <c r="C1540" s="79" t="s">
        <v>2964</v>
      </c>
      <c r="D1540" s="121">
        <v>4600112</v>
      </c>
      <c r="E1540" s="79" t="s">
        <v>2965</v>
      </c>
      <c r="F1540" s="79">
        <v>5</v>
      </c>
      <c r="G1540" s="79">
        <v>4</v>
      </c>
      <c r="H1540" s="79" t="s">
        <v>2966</v>
      </c>
      <c r="I1540" s="127"/>
      <c r="J1540" s="127"/>
      <c r="K1540" s="79">
        <v>4</v>
      </c>
      <c r="L1540" s="79">
        <v>8</v>
      </c>
      <c r="M1540" s="127" t="s">
        <v>2967</v>
      </c>
      <c r="N1540" s="79">
        <v>0</v>
      </c>
      <c r="O1540" s="79">
        <v>0</v>
      </c>
      <c r="P1540" s="107"/>
      <c r="Q1540" s="106"/>
      <c r="R1540" s="142"/>
    </row>
    <row r="1541" spans="1:21" s="111" customFormat="1">
      <c r="A1541" s="79">
        <v>460012</v>
      </c>
      <c r="B1541" s="121">
        <v>4600121</v>
      </c>
      <c r="C1541" s="79" t="s">
        <v>2968</v>
      </c>
      <c r="D1541" s="121">
        <v>4600122</v>
      </c>
      <c r="E1541" s="79" t="s">
        <v>2969</v>
      </c>
      <c r="F1541" s="79">
        <v>5</v>
      </c>
      <c r="G1541" s="79">
        <v>4</v>
      </c>
      <c r="H1541" s="79" t="s">
        <v>2966</v>
      </c>
      <c r="I1541" s="127"/>
      <c r="J1541" s="127"/>
      <c r="K1541" s="79">
        <v>4</v>
      </c>
      <c r="L1541" s="79">
        <v>8</v>
      </c>
      <c r="M1541" s="127" t="s">
        <v>2970</v>
      </c>
      <c r="N1541" s="79">
        <v>0</v>
      </c>
      <c r="O1541" s="79">
        <v>0</v>
      </c>
      <c r="P1541" s="107"/>
      <c r="Q1541" s="106"/>
      <c r="R1541" s="142"/>
    </row>
    <row r="1542" spans="1:21" s="111" customFormat="1">
      <c r="A1542" s="79">
        <v>460013</v>
      </c>
      <c r="B1542" s="121">
        <v>4600131</v>
      </c>
      <c r="C1542" s="79" t="s">
        <v>2971</v>
      </c>
      <c r="D1542" s="121">
        <v>4600132</v>
      </c>
      <c r="E1542" s="79" t="s">
        <v>2972</v>
      </c>
      <c r="F1542" s="79">
        <v>5</v>
      </c>
      <c r="G1542" s="79">
        <v>4</v>
      </c>
      <c r="H1542" s="79" t="s">
        <v>2966</v>
      </c>
      <c r="I1542" s="127"/>
      <c r="J1542" s="127"/>
      <c r="K1542" s="79">
        <v>4</v>
      </c>
      <c r="L1542" s="79">
        <v>8</v>
      </c>
      <c r="M1542" s="127" t="s">
        <v>2973</v>
      </c>
      <c r="N1542" s="79">
        <v>0</v>
      </c>
      <c r="O1542" s="79">
        <v>0</v>
      </c>
      <c r="P1542" s="107"/>
      <c r="Q1542" s="106"/>
      <c r="R1542" s="142"/>
    </row>
    <row r="1543" spans="1:21" s="111" customFormat="1">
      <c r="A1543" s="79">
        <v>460014</v>
      </c>
      <c r="B1543" s="121">
        <v>4600141</v>
      </c>
      <c r="C1543" s="79" t="s">
        <v>2974</v>
      </c>
      <c r="D1543" s="121">
        <v>4600142</v>
      </c>
      <c r="E1543" s="79" t="s">
        <v>2975</v>
      </c>
      <c r="F1543" s="79">
        <v>5</v>
      </c>
      <c r="G1543" s="79">
        <v>4</v>
      </c>
      <c r="H1543" s="79" t="s">
        <v>2966</v>
      </c>
      <c r="I1543" s="127"/>
      <c r="J1543" s="127"/>
      <c r="K1543" s="79">
        <v>4</v>
      </c>
      <c r="L1543" s="79">
        <v>8</v>
      </c>
      <c r="M1543" s="127" t="s">
        <v>2976</v>
      </c>
      <c r="N1543" s="79">
        <v>0</v>
      </c>
      <c r="O1543" s="79">
        <v>0</v>
      </c>
      <c r="P1543" s="107"/>
      <c r="Q1543" s="106"/>
      <c r="R1543" s="142"/>
    </row>
    <row r="1544" spans="1:21" s="111" customFormat="1">
      <c r="A1544" s="79">
        <v>460021</v>
      </c>
      <c r="B1544" s="121">
        <v>4600211</v>
      </c>
      <c r="C1544" s="79" t="s">
        <v>2977</v>
      </c>
      <c r="D1544" s="121">
        <v>4600212</v>
      </c>
      <c r="E1544" s="79" t="s">
        <v>2978</v>
      </c>
      <c r="F1544" s="79">
        <v>5</v>
      </c>
      <c r="G1544" s="79">
        <v>4</v>
      </c>
      <c r="H1544" s="79" t="s">
        <v>2979</v>
      </c>
      <c r="I1544" s="127"/>
      <c r="J1544" s="127"/>
      <c r="K1544" s="79">
        <v>4</v>
      </c>
      <c r="L1544" s="79">
        <v>8</v>
      </c>
      <c r="M1544" s="127" t="s">
        <v>2980</v>
      </c>
      <c r="N1544" s="79">
        <v>0</v>
      </c>
      <c r="O1544" s="79">
        <v>0</v>
      </c>
      <c r="P1544" s="107"/>
      <c r="Q1544" s="106"/>
      <c r="R1544" s="142"/>
    </row>
    <row r="1545" spans="1:21" s="111" customFormat="1">
      <c r="A1545" s="79">
        <v>460022</v>
      </c>
      <c r="B1545" s="121">
        <v>4600221</v>
      </c>
      <c r="C1545" s="79" t="s">
        <v>2981</v>
      </c>
      <c r="D1545" s="121">
        <v>4600222</v>
      </c>
      <c r="E1545" s="79" t="s">
        <v>2982</v>
      </c>
      <c r="F1545" s="79">
        <v>5</v>
      </c>
      <c r="G1545" s="79">
        <v>4</v>
      </c>
      <c r="H1545" s="79" t="s">
        <v>2979</v>
      </c>
      <c r="I1545" s="127"/>
      <c r="J1545" s="127"/>
      <c r="K1545" s="79">
        <v>4</v>
      </c>
      <c r="L1545" s="79">
        <v>8</v>
      </c>
      <c r="M1545" s="127" t="s">
        <v>2983</v>
      </c>
      <c r="N1545" s="79">
        <v>0</v>
      </c>
      <c r="O1545" s="79">
        <v>0</v>
      </c>
      <c r="P1545" s="107"/>
      <c r="Q1545" s="106"/>
      <c r="R1545" s="142"/>
    </row>
    <row r="1546" spans="1:21" s="111" customFormat="1">
      <c r="A1546" s="79">
        <v>460023</v>
      </c>
      <c r="B1546" s="121">
        <v>4600231</v>
      </c>
      <c r="C1546" s="79" t="s">
        <v>2984</v>
      </c>
      <c r="D1546" s="121">
        <v>4600232</v>
      </c>
      <c r="E1546" s="79" t="s">
        <v>2985</v>
      </c>
      <c r="F1546" s="79">
        <v>5</v>
      </c>
      <c r="G1546" s="79">
        <v>4</v>
      </c>
      <c r="H1546" s="79" t="s">
        <v>2979</v>
      </c>
      <c r="I1546" s="127"/>
      <c r="J1546" s="127"/>
      <c r="K1546" s="79">
        <v>4</v>
      </c>
      <c r="L1546" s="79">
        <v>8</v>
      </c>
      <c r="M1546" s="127" t="s">
        <v>2986</v>
      </c>
      <c r="N1546" s="79">
        <v>0</v>
      </c>
      <c r="O1546" s="79">
        <v>0</v>
      </c>
      <c r="P1546" s="107"/>
      <c r="Q1546" s="106"/>
      <c r="R1546" s="142"/>
    </row>
    <row r="1547" spans="1:21" s="111" customFormat="1">
      <c r="A1547" s="79">
        <v>460024</v>
      </c>
      <c r="B1547" s="121">
        <v>4600241</v>
      </c>
      <c r="C1547" s="79" t="s">
        <v>2987</v>
      </c>
      <c r="D1547" s="121">
        <v>4600242</v>
      </c>
      <c r="E1547" s="79" t="s">
        <v>2988</v>
      </c>
      <c r="F1547" s="79">
        <v>5</v>
      </c>
      <c r="G1547" s="79">
        <v>4</v>
      </c>
      <c r="H1547" s="79" t="s">
        <v>2979</v>
      </c>
      <c r="I1547" s="127"/>
      <c r="J1547" s="127"/>
      <c r="K1547" s="79">
        <v>4</v>
      </c>
      <c r="L1547" s="79">
        <v>8</v>
      </c>
      <c r="M1547" s="127" t="s">
        <v>2989</v>
      </c>
      <c r="N1547" s="79">
        <v>0</v>
      </c>
      <c r="O1547" s="79">
        <v>0</v>
      </c>
      <c r="P1547" s="107"/>
      <c r="Q1547" s="106"/>
      <c r="R1547" s="142"/>
    </row>
    <row r="1548" spans="1:21" s="111" customFormat="1">
      <c r="A1548" s="79">
        <v>460031</v>
      </c>
      <c r="B1548" s="121">
        <v>4600311</v>
      </c>
      <c r="C1548" s="79" t="s">
        <v>2990</v>
      </c>
      <c r="D1548" s="121">
        <v>4600312</v>
      </c>
      <c r="E1548" s="79" t="s">
        <v>2991</v>
      </c>
      <c r="F1548" s="79">
        <v>5</v>
      </c>
      <c r="G1548" s="79">
        <v>4</v>
      </c>
      <c r="H1548" s="79" t="s">
        <v>2992</v>
      </c>
      <c r="I1548" s="127"/>
      <c r="J1548" s="127"/>
      <c r="K1548" s="79">
        <v>4</v>
      </c>
      <c r="L1548" s="79">
        <v>8</v>
      </c>
      <c r="M1548" s="127" t="s">
        <v>2993</v>
      </c>
      <c r="N1548" s="79">
        <v>0</v>
      </c>
      <c r="O1548" s="79">
        <v>0</v>
      </c>
      <c r="P1548" s="107"/>
      <c r="Q1548" s="106"/>
      <c r="R1548" s="142"/>
    </row>
    <row r="1549" spans="1:21" s="111" customFormat="1">
      <c r="A1549" s="79">
        <v>460032</v>
      </c>
      <c r="B1549" s="121">
        <v>4600321</v>
      </c>
      <c r="C1549" s="79" t="s">
        <v>2994</v>
      </c>
      <c r="D1549" s="121">
        <v>4600322</v>
      </c>
      <c r="E1549" s="79" t="s">
        <v>2995</v>
      </c>
      <c r="F1549" s="79">
        <v>5</v>
      </c>
      <c r="G1549" s="79">
        <v>4</v>
      </c>
      <c r="H1549" s="79" t="s">
        <v>2992</v>
      </c>
      <c r="I1549" s="127"/>
      <c r="J1549" s="127"/>
      <c r="K1549" s="79">
        <v>4</v>
      </c>
      <c r="L1549" s="79">
        <v>8</v>
      </c>
      <c r="M1549" s="127" t="s">
        <v>2996</v>
      </c>
      <c r="N1549" s="79">
        <v>0</v>
      </c>
      <c r="O1549" s="79">
        <v>0</v>
      </c>
      <c r="P1549" s="107"/>
      <c r="Q1549" s="106"/>
      <c r="R1549" s="142"/>
    </row>
    <row r="1550" spans="1:21" s="106" customFormat="1">
      <c r="A1550" s="79">
        <v>460033</v>
      </c>
      <c r="B1550" s="121">
        <v>4600331</v>
      </c>
      <c r="C1550" s="79" t="s">
        <v>2997</v>
      </c>
      <c r="D1550" s="121">
        <v>4600332</v>
      </c>
      <c r="E1550" s="79" t="s">
        <v>2998</v>
      </c>
      <c r="F1550" s="79">
        <v>5</v>
      </c>
      <c r="G1550" s="79">
        <v>4</v>
      </c>
      <c r="H1550" s="79" t="s">
        <v>2992</v>
      </c>
      <c r="I1550" s="127"/>
      <c r="J1550" s="127"/>
      <c r="K1550" s="79">
        <v>4</v>
      </c>
      <c r="L1550" s="79">
        <v>8</v>
      </c>
      <c r="M1550" s="127" t="s">
        <v>2999</v>
      </c>
      <c r="N1550" s="79">
        <v>0</v>
      </c>
      <c r="O1550" s="79">
        <v>0</v>
      </c>
      <c r="P1550" s="107"/>
      <c r="R1550" s="92"/>
      <c r="S1550" s="111"/>
      <c r="T1550" s="111"/>
      <c r="U1550" s="111"/>
    </row>
    <row r="1551" spans="1:21" s="106" customFormat="1">
      <c r="A1551" s="79">
        <v>460034</v>
      </c>
      <c r="B1551" s="121">
        <v>4600341</v>
      </c>
      <c r="C1551" s="79" t="s">
        <v>3000</v>
      </c>
      <c r="D1551" s="121">
        <v>4600342</v>
      </c>
      <c r="E1551" s="79" t="s">
        <v>3001</v>
      </c>
      <c r="F1551" s="79">
        <v>5</v>
      </c>
      <c r="G1551" s="79">
        <v>4</v>
      </c>
      <c r="H1551" s="79" t="s">
        <v>2992</v>
      </c>
      <c r="I1551" s="127"/>
      <c r="J1551" s="127"/>
      <c r="K1551" s="79">
        <v>4</v>
      </c>
      <c r="L1551" s="79">
        <v>8</v>
      </c>
      <c r="M1551" s="127" t="s">
        <v>3002</v>
      </c>
      <c r="N1551" s="79">
        <v>0</v>
      </c>
      <c r="O1551" s="79">
        <v>0</v>
      </c>
      <c r="P1551" s="107"/>
      <c r="R1551" s="92"/>
      <c r="S1551" s="111"/>
      <c r="T1551" s="111"/>
      <c r="U1551" s="111"/>
    </row>
    <row r="1552" spans="1:21" s="106" customFormat="1">
      <c r="A1552" s="79">
        <v>460041</v>
      </c>
      <c r="B1552" s="121">
        <v>4600411</v>
      </c>
      <c r="C1552" s="79" t="s">
        <v>3003</v>
      </c>
      <c r="D1552" s="121">
        <v>4600412</v>
      </c>
      <c r="E1552" s="79" t="s">
        <v>3004</v>
      </c>
      <c r="F1552" s="79">
        <v>5</v>
      </c>
      <c r="G1552" s="79">
        <v>4</v>
      </c>
      <c r="H1552" s="79" t="s">
        <v>3005</v>
      </c>
      <c r="I1552" s="127"/>
      <c r="J1552" s="127"/>
      <c r="K1552" s="79">
        <v>4</v>
      </c>
      <c r="L1552" s="79">
        <v>8</v>
      </c>
      <c r="M1552" s="127" t="s">
        <v>3006</v>
      </c>
      <c r="N1552" s="79">
        <v>0</v>
      </c>
      <c r="O1552" s="79">
        <v>0</v>
      </c>
      <c r="P1552" s="107"/>
      <c r="R1552" s="92"/>
      <c r="S1552" s="111"/>
      <c r="T1552" s="111"/>
      <c r="U1552" s="111"/>
    </row>
    <row r="1553" spans="1:21" s="106" customFormat="1">
      <c r="A1553" s="79">
        <v>460042</v>
      </c>
      <c r="B1553" s="121">
        <v>4600421</v>
      </c>
      <c r="C1553" s="79" t="s">
        <v>3007</v>
      </c>
      <c r="D1553" s="121">
        <v>4600422</v>
      </c>
      <c r="E1553" s="79" t="s">
        <v>3008</v>
      </c>
      <c r="F1553" s="79">
        <v>5</v>
      </c>
      <c r="G1553" s="79">
        <v>4</v>
      </c>
      <c r="H1553" s="79" t="s">
        <v>3005</v>
      </c>
      <c r="I1553" s="127"/>
      <c r="J1553" s="127"/>
      <c r="K1553" s="79">
        <v>4</v>
      </c>
      <c r="L1553" s="79">
        <v>8</v>
      </c>
      <c r="M1553" s="127" t="s">
        <v>3009</v>
      </c>
      <c r="N1553" s="79">
        <v>0</v>
      </c>
      <c r="O1553" s="79">
        <v>0</v>
      </c>
      <c r="P1553" s="107"/>
      <c r="R1553" s="92"/>
      <c r="S1553" s="111"/>
      <c r="T1553" s="111"/>
      <c r="U1553" s="111"/>
    </row>
    <row r="1554" spans="1:21" s="106" customFormat="1">
      <c r="A1554" s="79">
        <v>460043</v>
      </c>
      <c r="B1554" s="121">
        <v>4600431</v>
      </c>
      <c r="C1554" s="79" t="s">
        <v>3010</v>
      </c>
      <c r="D1554" s="121">
        <v>4600432</v>
      </c>
      <c r="E1554" s="79" t="s">
        <v>3011</v>
      </c>
      <c r="F1554" s="79">
        <v>5</v>
      </c>
      <c r="G1554" s="79">
        <v>4</v>
      </c>
      <c r="H1554" s="79" t="s">
        <v>3005</v>
      </c>
      <c r="I1554" s="127"/>
      <c r="J1554" s="127"/>
      <c r="K1554" s="79">
        <v>4</v>
      </c>
      <c r="L1554" s="79">
        <v>8</v>
      </c>
      <c r="M1554" s="127" t="s">
        <v>3012</v>
      </c>
      <c r="N1554" s="79">
        <v>0</v>
      </c>
      <c r="O1554" s="79">
        <v>0</v>
      </c>
      <c r="P1554" s="107"/>
      <c r="R1554" s="142"/>
    </row>
    <row r="1555" spans="1:21" s="106" customFormat="1">
      <c r="A1555" s="79">
        <v>460044</v>
      </c>
      <c r="B1555" s="121">
        <v>4600441</v>
      </c>
      <c r="C1555" s="79" t="s">
        <v>3013</v>
      </c>
      <c r="D1555" s="121">
        <v>4600442</v>
      </c>
      <c r="E1555" s="79" t="s">
        <v>3014</v>
      </c>
      <c r="F1555" s="79">
        <v>5</v>
      </c>
      <c r="G1555" s="79">
        <v>4</v>
      </c>
      <c r="H1555" s="79" t="s">
        <v>3005</v>
      </c>
      <c r="I1555" s="127"/>
      <c r="J1555" s="127"/>
      <c r="K1555" s="79">
        <v>4</v>
      </c>
      <c r="L1555" s="79">
        <v>8</v>
      </c>
      <c r="M1555" s="127" t="s">
        <v>3015</v>
      </c>
      <c r="N1555" s="79">
        <v>0</v>
      </c>
      <c r="O1555" s="79">
        <v>0</v>
      </c>
      <c r="P1555" s="107"/>
      <c r="R1555" s="142"/>
    </row>
    <row r="1556" spans="1:21" s="106" customFormat="1">
      <c r="A1556" s="79">
        <v>460051</v>
      </c>
      <c r="B1556" s="121">
        <v>4600511</v>
      </c>
      <c r="C1556" s="79" t="s">
        <v>3016</v>
      </c>
      <c r="D1556" s="121">
        <v>4600512</v>
      </c>
      <c r="E1556" s="79" t="s">
        <v>3017</v>
      </c>
      <c r="F1556" s="79">
        <v>5</v>
      </c>
      <c r="G1556" s="79">
        <v>4</v>
      </c>
      <c r="H1556" s="79" t="s">
        <v>3018</v>
      </c>
      <c r="I1556" s="127"/>
      <c r="J1556" s="127"/>
      <c r="K1556" s="79">
        <v>4</v>
      </c>
      <c r="L1556" s="79">
        <v>8</v>
      </c>
      <c r="M1556" s="127" t="s">
        <v>3019</v>
      </c>
      <c r="N1556" s="79">
        <v>0</v>
      </c>
      <c r="O1556" s="79">
        <v>0</v>
      </c>
      <c r="P1556" s="107"/>
      <c r="R1556" s="142"/>
    </row>
    <row r="1557" spans="1:21" s="106" customFormat="1">
      <c r="A1557" s="79">
        <v>460052</v>
      </c>
      <c r="B1557" s="121">
        <v>4600521</v>
      </c>
      <c r="C1557" s="79" t="s">
        <v>3020</v>
      </c>
      <c r="D1557" s="121">
        <v>4600522</v>
      </c>
      <c r="E1557" s="79" t="s">
        <v>3021</v>
      </c>
      <c r="F1557" s="79">
        <v>5</v>
      </c>
      <c r="G1557" s="79">
        <v>4</v>
      </c>
      <c r="H1557" s="79" t="s">
        <v>3018</v>
      </c>
      <c r="I1557" s="127"/>
      <c r="J1557" s="127"/>
      <c r="K1557" s="79">
        <v>4</v>
      </c>
      <c r="L1557" s="79">
        <v>8</v>
      </c>
      <c r="M1557" s="127" t="s">
        <v>3022</v>
      </c>
      <c r="N1557" s="79">
        <v>0</v>
      </c>
      <c r="O1557" s="79">
        <v>0</v>
      </c>
      <c r="P1557" s="107"/>
      <c r="R1557" s="142"/>
    </row>
    <row r="1558" spans="1:21" s="106" customFormat="1">
      <c r="A1558" s="79">
        <v>460053</v>
      </c>
      <c r="B1558" s="121">
        <v>4600531</v>
      </c>
      <c r="C1558" s="79" t="s">
        <v>3023</v>
      </c>
      <c r="D1558" s="121">
        <v>4600532</v>
      </c>
      <c r="E1558" s="79" t="s">
        <v>3024</v>
      </c>
      <c r="F1558" s="79">
        <v>5</v>
      </c>
      <c r="G1558" s="79">
        <v>4</v>
      </c>
      <c r="H1558" s="79" t="s">
        <v>3018</v>
      </c>
      <c r="I1558" s="127"/>
      <c r="J1558" s="127"/>
      <c r="K1558" s="79">
        <v>4</v>
      </c>
      <c r="L1558" s="79">
        <v>8</v>
      </c>
      <c r="M1558" s="127" t="s">
        <v>3025</v>
      </c>
      <c r="N1558" s="79">
        <v>0</v>
      </c>
      <c r="O1558" s="79">
        <v>0</v>
      </c>
      <c r="P1558" s="107"/>
      <c r="R1558" s="142"/>
    </row>
    <row r="1559" spans="1:21" s="106" customFormat="1">
      <c r="A1559" s="79">
        <v>460054</v>
      </c>
      <c r="B1559" s="121">
        <v>4600541</v>
      </c>
      <c r="C1559" s="79" t="s">
        <v>3026</v>
      </c>
      <c r="D1559" s="121">
        <v>4600542</v>
      </c>
      <c r="E1559" s="79" t="s">
        <v>3027</v>
      </c>
      <c r="F1559" s="79">
        <v>5</v>
      </c>
      <c r="G1559" s="79">
        <v>4</v>
      </c>
      <c r="H1559" s="79" t="s">
        <v>3018</v>
      </c>
      <c r="I1559" s="127"/>
      <c r="J1559" s="127"/>
      <c r="K1559" s="79">
        <v>4</v>
      </c>
      <c r="L1559" s="79">
        <v>8</v>
      </c>
      <c r="M1559" s="127" t="s">
        <v>3028</v>
      </c>
      <c r="N1559" s="79">
        <v>0</v>
      </c>
      <c r="O1559" s="79">
        <v>0</v>
      </c>
      <c r="P1559" s="107"/>
      <c r="R1559" s="142"/>
    </row>
    <row r="1560" spans="1:21" s="106" customFormat="1">
      <c r="A1560" s="79">
        <v>460061</v>
      </c>
      <c r="B1560" s="121">
        <v>4600611</v>
      </c>
      <c r="C1560" s="79" t="s">
        <v>3029</v>
      </c>
      <c r="D1560" s="121">
        <v>4600612</v>
      </c>
      <c r="E1560" s="79" t="s">
        <v>3030</v>
      </c>
      <c r="F1560" s="79">
        <v>5</v>
      </c>
      <c r="G1560" s="79">
        <v>4</v>
      </c>
      <c r="H1560" s="79" t="s">
        <v>3031</v>
      </c>
      <c r="I1560" s="127"/>
      <c r="J1560" s="127"/>
      <c r="K1560" s="79">
        <v>4</v>
      </c>
      <c r="L1560" s="79">
        <v>8</v>
      </c>
      <c r="M1560" s="127" t="s">
        <v>3032</v>
      </c>
      <c r="N1560" s="79">
        <v>0</v>
      </c>
      <c r="O1560" s="79">
        <v>0</v>
      </c>
      <c r="P1560" s="107"/>
      <c r="R1560" s="79"/>
    </row>
    <row r="1561" spans="1:21" s="106" customFormat="1">
      <c r="A1561" s="79">
        <v>460062</v>
      </c>
      <c r="B1561" s="121">
        <v>4600621</v>
      </c>
      <c r="C1561" s="79" t="s">
        <v>3033</v>
      </c>
      <c r="D1561" s="121">
        <v>4600622</v>
      </c>
      <c r="E1561" s="79" t="s">
        <v>3034</v>
      </c>
      <c r="F1561" s="79">
        <v>5</v>
      </c>
      <c r="G1561" s="79">
        <v>4</v>
      </c>
      <c r="H1561" s="79" t="s">
        <v>3031</v>
      </c>
      <c r="I1561" s="127"/>
      <c r="J1561" s="127"/>
      <c r="K1561" s="79">
        <v>4</v>
      </c>
      <c r="L1561" s="79">
        <v>8</v>
      </c>
      <c r="M1561" s="127" t="s">
        <v>3035</v>
      </c>
      <c r="N1561" s="79">
        <v>0</v>
      </c>
      <c r="O1561" s="79">
        <v>0</v>
      </c>
      <c r="P1561" s="107"/>
      <c r="R1561" s="79"/>
    </row>
    <row r="1562" spans="1:21" s="106" customFormat="1">
      <c r="A1562" s="79">
        <v>460063</v>
      </c>
      <c r="B1562" s="121">
        <v>4600631</v>
      </c>
      <c r="C1562" s="79" t="s">
        <v>3036</v>
      </c>
      <c r="D1562" s="121">
        <v>4600632</v>
      </c>
      <c r="E1562" s="79" t="s">
        <v>3037</v>
      </c>
      <c r="F1562" s="79">
        <v>5</v>
      </c>
      <c r="G1562" s="79">
        <v>4</v>
      </c>
      <c r="H1562" s="79" t="s">
        <v>3031</v>
      </c>
      <c r="I1562" s="127"/>
      <c r="J1562" s="127"/>
      <c r="K1562" s="79">
        <v>4</v>
      </c>
      <c r="L1562" s="79">
        <v>8</v>
      </c>
      <c r="M1562" s="127" t="s">
        <v>3038</v>
      </c>
      <c r="N1562" s="79">
        <v>0</v>
      </c>
      <c r="O1562" s="79">
        <v>0</v>
      </c>
      <c r="P1562" s="107"/>
      <c r="R1562" s="79"/>
    </row>
    <row r="1563" spans="1:21" s="106" customFormat="1">
      <c r="A1563" s="79">
        <v>460064</v>
      </c>
      <c r="B1563" s="121">
        <v>4600641</v>
      </c>
      <c r="C1563" s="79" t="s">
        <v>3039</v>
      </c>
      <c r="D1563" s="121">
        <v>4600642</v>
      </c>
      <c r="E1563" s="79" t="s">
        <v>3040</v>
      </c>
      <c r="F1563" s="79">
        <v>5</v>
      </c>
      <c r="G1563" s="79">
        <v>4</v>
      </c>
      <c r="H1563" s="79" t="s">
        <v>3031</v>
      </c>
      <c r="I1563" s="127"/>
      <c r="J1563" s="127"/>
      <c r="K1563" s="79">
        <v>4</v>
      </c>
      <c r="L1563" s="79">
        <v>8</v>
      </c>
      <c r="M1563" s="127" t="s">
        <v>3041</v>
      </c>
      <c r="N1563" s="79">
        <v>0</v>
      </c>
      <c r="O1563" s="79">
        <v>0</v>
      </c>
      <c r="P1563" s="107"/>
      <c r="R1563" s="79"/>
    </row>
    <row r="1564" spans="1:21">
      <c r="A1564" s="79">
        <v>460071</v>
      </c>
      <c r="B1564" s="121">
        <v>4600711</v>
      </c>
      <c r="C1564" s="79" t="s">
        <v>3042</v>
      </c>
      <c r="D1564" s="121">
        <v>4600712</v>
      </c>
      <c r="E1564" s="79" t="s">
        <v>3043</v>
      </c>
      <c r="F1564" s="79">
        <v>5</v>
      </c>
      <c r="G1564" s="79">
        <v>4</v>
      </c>
      <c r="H1564" s="79" t="s">
        <v>3044</v>
      </c>
      <c r="I1564" s="127"/>
      <c r="J1564" s="127"/>
      <c r="K1564" s="79">
        <v>4</v>
      </c>
      <c r="L1564" s="79">
        <v>8</v>
      </c>
      <c r="M1564" s="127" t="s">
        <v>3045</v>
      </c>
      <c r="N1564" s="79">
        <v>0</v>
      </c>
      <c r="O1564" s="79">
        <v>0</v>
      </c>
      <c r="P1564" s="107"/>
      <c r="Q1564" s="106"/>
      <c r="R1564" s="79"/>
      <c r="S1564" s="106"/>
      <c r="T1564" s="106"/>
      <c r="U1564" s="106"/>
    </row>
    <row r="1565" spans="1:21" s="106" customFormat="1">
      <c r="A1565" s="79">
        <v>460072</v>
      </c>
      <c r="B1565" s="121">
        <v>4600721</v>
      </c>
      <c r="C1565" s="79" t="s">
        <v>3046</v>
      </c>
      <c r="D1565" s="121">
        <v>4600722</v>
      </c>
      <c r="E1565" s="79" t="s">
        <v>3047</v>
      </c>
      <c r="F1565" s="79">
        <v>5</v>
      </c>
      <c r="G1565" s="79">
        <v>4</v>
      </c>
      <c r="H1565" s="79" t="s">
        <v>3044</v>
      </c>
      <c r="I1565" s="127"/>
      <c r="J1565" s="127"/>
      <c r="K1565" s="79">
        <v>4</v>
      </c>
      <c r="L1565" s="79">
        <v>8</v>
      </c>
      <c r="M1565" s="127" t="s">
        <v>3048</v>
      </c>
      <c r="N1565" s="79">
        <v>0</v>
      </c>
      <c r="O1565" s="79">
        <v>0</v>
      </c>
      <c r="P1565" s="107"/>
      <c r="R1565" s="79"/>
    </row>
    <row r="1566" spans="1:21" s="106" customFormat="1">
      <c r="A1566" s="79">
        <v>460073</v>
      </c>
      <c r="B1566" s="121">
        <v>4600731</v>
      </c>
      <c r="C1566" s="79" t="s">
        <v>3049</v>
      </c>
      <c r="D1566" s="121">
        <v>4600732</v>
      </c>
      <c r="E1566" s="79" t="s">
        <v>3050</v>
      </c>
      <c r="F1566" s="79">
        <v>5</v>
      </c>
      <c r="G1566" s="79">
        <v>4</v>
      </c>
      <c r="H1566" s="79" t="s">
        <v>3044</v>
      </c>
      <c r="I1566" s="127"/>
      <c r="J1566" s="127"/>
      <c r="K1566" s="79">
        <v>4</v>
      </c>
      <c r="L1566" s="79">
        <v>8</v>
      </c>
      <c r="M1566" s="127" t="s">
        <v>3051</v>
      </c>
      <c r="N1566" s="79">
        <v>0</v>
      </c>
      <c r="O1566" s="79">
        <v>0</v>
      </c>
      <c r="P1566" s="107"/>
      <c r="R1566" s="79"/>
    </row>
    <row r="1567" spans="1:21" s="106" customFormat="1" ht="16.5" customHeight="1">
      <c r="A1567" s="79">
        <v>460074</v>
      </c>
      <c r="B1567" s="121">
        <v>4600741</v>
      </c>
      <c r="C1567" s="79" t="s">
        <v>3052</v>
      </c>
      <c r="D1567" s="121">
        <v>4600742</v>
      </c>
      <c r="E1567" s="79" t="s">
        <v>3053</v>
      </c>
      <c r="F1567" s="79">
        <v>5</v>
      </c>
      <c r="G1567" s="79">
        <v>4</v>
      </c>
      <c r="H1567" s="79" t="s">
        <v>3044</v>
      </c>
      <c r="I1567" s="127"/>
      <c r="J1567" s="127"/>
      <c r="K1567" s="79">
        <v>4</v>
      </c>
      <c r="L1567" s="79">
        <v>8</v>
      </c>
      <c r="M1567" s="127" t="s">
        <v>3054</v>
      </c>
      <c r="N1567" s="79">
        <v>0</v>
      </c>
      <c r="O1567" s="79">
        <v>0</v>
      </c>
      <c r="P1567" s="107"/>
      <c r="R1567" s="79"/>
    </row>
    <row r="1568" spans="1:21" s="106" customFormat="1">
      <c r="A1568" s="79">
        <v>460081</v>
      </c>
      <c r="B1568" s="121">
        <v>4600811</v>
      </c>
      <c r="C1568" s="79" t="s">
        <v>3055</v>
      </c>
      <c r="D1568" s="121">
        <v>4600812</v>
      </c>
      <c r="E1568" s="79" t="s">
        <v>3056</v>
      </c>
      <c r="F1568" s="79">
        <v>5</v>
      </c>
      <c r="G1568" s="79">
        <v>4</v>
      </c>
      <c r="H1568" s="79" t="s">
        <v>3057</v>
      </c>
      <c r="I1568" s="127"/>
      <c r="J1568" s="127"/>
      <c r="K1568" s="79">
        <v>4</v>
      </c>
      <c r="L1568" s="79">
        <v>8</v>
      </c>
      <c r="M1568" s="127" t="s">
        <v>3058</v>
      </c>
      <c r="N1568" s="79">
        <v>0</v>
      </c>
      <c r="O1568" s="79">
        <v>0</v>
      </c>
      <c r="P1568" s="107"/>
      <c r="R1568" s="79"/>
      <c r="S1568" s="93"/>
      <c r="T1568" s="93"/>
      <c r="U1568" s="93"/>
    </row>
    <row r="1569" spans="1:21" s="106" customFormat="1">
      <c r="A1569" s="79">
        <v>460082</v>
      </c>
      <c r="B1569" s="121">
        <v>4600821</v>
      </c>
      <c r="C1569" s="79" t="s">
        <v>3059</v>
      </c>
      <c r="D1569" s="121">
        <v>4600822</v>
      </c>
      <c r="E1569" s="79" t="s">
        <v>3060</v>
      </c>
      <c r="F1569" s="79">
        <v>5</v>
      </c>
      <c r="G1569" s="79">
        <v>4</v>
      </c>
      <c r="H1569" s="79" t="s">
        <v>3057</v>
      </c>
      <c r="I1569" s="127"/>
      <c r="J1569" s="127"/>
      <c r="K1569" s="79">
        <v>4</v>
      </c>
      <c r="L1569" s="79">
        <v>8</v>
      </c>
      <c r="M1569" s="127" t="s">
        <v>3061</v>
      </c>
      <c r="N1569" s="79">
        <v>0</v>
      </c>
      <c r="O1569" s="79">
        <v>0</v>
      </c>
      <c r="P1569" s="107"/>
      <c r="R1569" s="79"/>
    </row>
    <row r="1570" spans="1:21" s="106" customFormat="1">
      <c r="A1570" s="79">
        <v>460083</v>
      </c>
      <c r="B1570" s="121">
        <v>4600831</v>
      </c>
      <c r="C1570" s="79" t="s">
        <v>3062</v>
      </c>
      <c r="D1570" s="121">
        <v>4600832</v>
      </c>
      <c r="E1570" s="79" t="s">
        <v>3063</v>
      </c>
      <c r="F1570" s="79">
        <v>5</v>
      </c>
      <c r="G1570" s="79">
        <v>4</v>
      </c>
      <c r="H1570" s="79" t="s">
        <v>3057</v>
      </c>
      <c r="I1570" s="127"/>
      <c r="J1570" s="127"/>
      <c r="K1570" s="79">
        <v>4</v>
      </c>
      <c r="L1570" s="79">
        <v>8</v>
      </c>
      <c r="M1570" s="127" t="s">
        <v>3064</v>
      </c>
      <c r="N1570" s="79">
        <v>0</v>
      </c>
      <c r="O1570" s="79">
        <v>0</v>
      </c>
      <c r="P1570" s="107"/>
      <c r="R1570" s="79"/>
    </row>
    <row r="1571" spans="1:21" s="106" customFormat="1">
      <c r="A1571" s="79">
        <v>460084</v>
      </c>
      <c r="B1571" s="121">
        <v>4600841</v>
      </c>
      <c r="C1571" s="79" t="s">
        <v>3065</v>
      </c>
      <c r="D1571" s="121">
        <v>4600842</v>
      </c>
      <c r="E1571" s="79" t="s">
        <v>3066</v>
      </c>
      <c r="F1571" s="79">
        <v>5</v>
      </c>
      <c r="G1571" s="79">
        <v>4</v>
      </c>
      <c r="H1571" s="79" t="s">
        <v>3057</v>
      </c>
      <c r="I1571" s="127"/>
      <c r="J1571" s="127"/>
      <c r="K1571" s="79">
        <v>4</v>
      </c>
      <c r="L1571" s="79">
        <v>8</v>
      </c>
      <c r="M1571" s="127" t="s">
        <v>3067</v>
      </c>
      <c r="N1571" s="79">
        <v>0</v>
      </c>
      <c r="O1571" s="79">
        <v>0</v>
      </c>
      <c r="P1571" s="111"/>
      <c r="Q1571" s="111"/>
      <c r="R1571" s="79"/>
    </row>
    <row r="1572" spans="1:21" s="106" customFormat="1">
      <c r="A1572" s="79">
        <v>460085</v>
      </c>
      <c r="B1572" s="121">
        <v>4600851</v>
      </c>
      <c r="C1572" s="79" t="s">
        <v>3068</v>
      </c>
      <c r="D1572" s="121">
        <v>4600852</v>
      </c>
      <c r="E1572" s="95" t="s">
        <v>3069</v>
      </c>
      <c r="F1572" s="79">
        <v>5</v>
      </c>
      <c r="G1572" s="79">
        <v>4</v>
      </c>
      <c r="H1572" s="79" t="s">
        <v>3070</v>
      </c>
      <c r="I1572" s="127"/>
      <c r="J1572" s="127"/>
      <c r="K1572" s="79">
        <v>4</v>
      </c>
      <c r="L1572" s="79">
        <v>8</v>
      </c>
      <c r="M1572" s="127" t="s">
        <v>3071</v>
      </c>
      <c r="N1572" s="79">
        <v>0</v>
      </c>
      <c r="O1572" s="79">
        <v>0</v>
      </c>
      <c r="P1572" s="111"/>
      <c r="Q1572" s="111"/>
      <c r="R1572" s="79"/>
    </row>
    <row r="1573" spans="1:21" s="106" customFormat="1">
      <c r="A1573" s="79">
        <v>460086</v>
      </c>
      <c r="B1573" s="121">
        <v>4600861</v>
      </c>
      <c r="C1573" s="79" t="s">
        <v>3072</v>
      </c>
      <c r="D1573" s="121">
        <v>4600862</v>
      </c>
      <c r="E1573" s="95" t="s">
        <v>3073</v>
      </c>
      <c r="F1573" s="79">
        <v>5</v>
      </c>
      <c r="G1573" s="79">
        <v>4</v>
      </c>
      <c r="H1573" s="79" t="s">
        <v>3070</v>
      </c>
      <c r="I1573" s="127"/>
      <c r="J1573" s="127"/>
      <c r="K1573" s="79">
        <v>4</v>
      </c>
      <c r="L1573" s="79">
        <v>8</v>
      </c>
      <c r="M1573" s="127" t="s">
        <v>3074</v>
      </c>
      <c r="N1573" s="79">
        <v>0</v>
      </c>
      <c r="O1573" s="79">
        <v>0</v>
      </c>
      <c r="P1573" s="111"/>
      <c r="Q1573" s="111"/>
      <c r="R1573" s="79"/>
    </row>
    <row r="1574" spans="1:21" s="106" customFormat="1">
      <c r="A1574" s="79">
        <v>460087</v>
      </c>
      <c r="B1574" s="121">
        <v>4600871</v>
      </c>
      <c r="C1574" s="79" t="s">
        <v>3075</v>
      </c>
      <c r="D1574" s="121">
        <v>4600872</v>
      </c>
      <c r="E1574" s="95" t="s">
        <v>3076</v>
      </c>
      <c r="F1574" s="79">
        <v>5</v>
      </c>
      <c r="G1574" s="79">
        <v>4</v>
      </c>
      <c r="H1574" s="79" t="s">
        <v>3070</v>
      </c>
      <c r="I1574" s="127"/>
      <c r="J1574" s="127"/>
      <c r="K1574" s="79">
        <v>4</v>
      </c>
      <c r="L1574" s="79">
        <v>8</v>
      </c>
      <c r="M1574" s="127" t="s">
        <v>3077</v>
      </c>
      <c r="N1574" s="79">
        <v>0</v>
      </c>
      <c r="O1574" s="79">
        <v>0</v>
      </c>
      <c r="P1574" s="111"/>
      <c r="Q1574" s="111"/>
      <c r="R1574" s="79"/>
    </row>
    <row r="1575" spans="1:21" s="106" customFormat="1">
      <c r="A1575" s="79">
        <v>460088</v>
      </c>
      <c r="B1575" s="121">
        <v>4600881</v>
      </c>
      <c r="C1575" s="79" t="s">
        <v>3078</v>
      </c>
      <c r="D1575" s="121">
        <v>4600882</v>
      </c>
      <c r="E1575" s="95" t="s">
        <v>3079</v>
      </c>
      <c r="F1575" s="79">
        <v>5</v>
      </c>
      <c r="G1575" s="79">
        <v>4</v>
      </c>
      <c r="H1575" s="79" t="s">
        <v>3070</v>
      </c>
      <c r="I1575" s="79"/>
      <c r="J1575" s="79"/>
      <c r="K1575" s="79">
        <v>4</v>
      </c>
      <c r="L1575" s="79">
        <v>8</v>
      </c>
      <c r="M1575" s="127" t="s">
        <v>3080</v>
      </c>
      <c r="N1575" s="79">
        <v>0</v>
      </c>
      <c r="O1575" s="79">
        <v>0</v>
      </c>
      <c r="P1575" s="79"/>
      <c r="Q1575" s="79"/>
      <c r="R1575" s="79"/>
    </row>
    <row r="1576" spans="1:21" s="106" customFormat="1">
      <c r="A1576" s="79">
        <v>460089</v>
      </c>
      <c r="B1576" s="121">
        <v>4600891</v>
      </c>
      <c r="C1576" s="79" t="s">
        <v>3081</v>
      </c>
      <c r="D1576" s="121">
        <v>4600892</v>
      </c>
      <c r="E1576" s="95" t="s">
        <v>3082</v>
      </c>
      <c r="F1576" s="79">
        <v>5</v>
      </c>
      <c r="G1576" s="79">
        <v>4</v>
      </c>
      <c r="H1576" s="79" t="s">
        <v>3083</v>
      </c>
      <c r="I1576" s="127"/>
      <c r="J1576" s="127"/>
      <c r="K1576" s="79">
        <v>4</v>
      </c>
      <c r="L1576" s="79">
        <v>8</v>
      </c>
      <c r="M1576" s="127" t="s">
        <v>3084</v>
      </c>
      <c r="N1576" s="79">
        <v>0</v>
      </c>
      <c r="O1576" s="79">
        <v>0</v>
      </c>
      <c r="P1576" s="111"/>
      <c r="Q1576" s="111"/>
      <c r="R1576" s="79"/>
    </row>
    <row r="1577" spans="1:21" s="106" customFormat="1">
      <c r="A1577" s="79">
        <v>460090</v>
      </c>
      <c r="B1577" s="121">
        <v>4600901</v>
      </c>
      <c r="C1577" s="79" t="s">
        <v>3085</v>
      </c>
      <c r="D1577" s="121">
        <v>4600902</v>
      </c>
      <c r="E1577" s="95" t="s">
        <v>3086</v>
      </c>
      <c r="F1577" s="79">
        <v>5</v>
      </c>
      <c r="G1577" s="79">
        <v>4</v>
      </c>
      <c r="H1577" s="79" t="s">
        <v>3083</v>
      </c>
      <c r="I1577" s="127"/>
      <c r="J1577" s="127"/>
      <c r="K1577" s="79">
        <v>4</v>
      </c>
      <c r="L1577" s="79">
        <v>8</v>
      </c>
      <c r="M1577" s="127" t="s">
        <v>3087</v>
      </c>
      <c r="N1577" s="79">
        <v>0</v>
      </c>
      <c r="O1577" s="79">
        <v>0</v>
      </c>
      <c r="P1577" s="111"/>
      <c r="Q1577" s="111"/>
      <c r="R1577" s="79"/>
    </row>
    <row r="1578" spans="1:21" s="106" customFormat="1">
      <c r="A1578" s="79">
        <v>460091</v>
      </c>
      <c r="B1578" s="121">
        <v>4600911</v>
      </c>
      <c r="C1578" s="79" t="s">
        <v>3088</v>
      </c>
      <c r="D1578" s="121">
        <v>4600912</v>
      </c>
      <c r="E1578" s="95" t="s">
        <v>3089</v>
      </c>
      <c r="F1578" s="79">
        <v>5</v>
      </c>
      <c r="G1578" s="79">
        <v>4</v>
      </c>
      <c r="H1578" s="79" t="s">
        <v>3083</v>
      </c>
      <c r="I1578" s="127"/>
      <c r="J1578" s="127"/>
      <c r="K1578" s="79">
        <v>4</v>
      </c>
      <c r="L1578" s="79">
        <v>8</v>
      </c>
      <c r="M1578" s="127" t="s">
        <v>3090</v>
      </c>
      <c r="N1578" s="79">
        <v>0</v>
      </c>
      <c r="O1578" s="79">
        <v>0</v>
      </c>
      <c r="P1578" s="111"/>
      <c r="Q1578" s="111"/>
      <c r="R1578" s="79"/>
    </row>
    <row r="1579" spans="1:21" s="106" customFormat="1">
      <c r="A1579" s="79">
        <v>460092</v>
      </c>
      <c r="B1579" s="121">
        <v>4600921</v>
      </c>
      <c r="C1579" s="79" t="s">
        <v>3091</v>
      </c>
      <c r="D1579" s="121">
        <v>4600922</v>
      </c>
      <c r="E1579" s="95" t="s">
        <v>3092</v>
      </c>
      <c r="F1579" s="79">
        <v>5</v>
      </c>
      <c r="G1579" s="79">
        <v>4</v>
      </c>
      <c r="H1579" s="79" t="s">
        <v>3083</v>
      </c>
      <c r="I1579" s="79"/>
      <c r="J1579" s="79"/>
      <c r="K1579" s="79">
        <v>4</v>
      </c>
      <c r="L1579" s="79">
        <v>8</v>
      </c>
      <c r="M1579" s="127" t="s">
        <v>3093</v>
      </c>
      <c r="N1579" s="79">
        <v>0</v>
      </c>
      <c r="O1579" s="79">
        <v>0</v>
      </c>
      <c r="P1579" s="79"/>
      <c r="Q1579" s="79"/>
      <c r="R1579" s="79"/>
    </row>
    <row r="1580" spans="1:21" s="106" customFormat="1">
      <c r="A1580" s="79">
        <v>460093</v>
      </c>
      <c r="B1580" s="121">
        <v>4600931</v>
      </c>
      <c r="C1580" s="79" t="s">
        <v>3094</v>
      </c>
      <c r="D1580" s="121">
        <v>4600932</v>
      </c>
      <c r="E1580" s="95" t="s">
        <v>3095</v>
      </c>
      <c r="F1580" s="79">
        <v>5</v>
      </c>
      <c r="G1580" s="79">
        <v>4</v>
      </c>
      <c r="H1580" s="79" t="s">
        <v>3096</v>
      </c>
      <c r="I1580" s="127"/>
      <c r="J1580" s="127"/>
      <c r="K1580" s="79">
        <v>4</v>
      </c>
      <c r="L1580" s="79">
        <v>8</v>
      </c>
      <c r="M1580" s="127" t="s">
        <v>3097</v>
      </c>
      <c r="N1580" s="79">
        <v>0</v>
      </c>
      <c r="O1580" s="79">
        <v>0</v>
      </c>
      <c r="P1580" s="111"/>
      <c r="Q1580" s="111"/>
      <c r="R1580" s="79"/>
    </row>
    <row r="1581" spans="1:21">
      <c r="A1581" s="79">
        <v>460094</v>
      </c>
      <c r="B1581" s="121">
        <v>4600941</v>
      </c>
      <c r="C1581" s="79" t="s">
        <v>3098</v>
      </c>
      <c r="D1581" s="121">
        <v>4600942</v>
      </c>
      <c r="E1581" s="95" t="s">
        <v>3099</v>
      </c>
      <c r="F1581" s="79">
        <v>5</v>
      </c>
      <c r="G1581" s="79">
        <v>4</v>
      </c>
      <c r="H1581" s="79" t="s">
        <v>3096</v>
      </c>
      <c r="I1581" s="127"/>
      <c r="J1581" s="127"/>
      <c r="K1581" s="79">
        <v>4</v>
      </c>
      <c r="L1581" s="79">
        <v>8</v>
      </c>
      <c r="M1581" s="127" t="s">
        <v>3100</v>
      </c>
      <c r="N1581" s="79">
        <v>0</v>
      </c>
      <c r="O1581" s="79">
        <v>0</v>
      </c>
      <c r="P1581" s="111"/>
      <c r="Q1581" s="111"/>
      <c r="R1581" s="79"/>
      <c r="S1581" s="106"/>
      <c r="T1581" s="106"/>
      <c r="U1581" s="106"/>
    </row>
    <row r="1582" spans="1:21">
      <c r="A1582" s="79">
        <v>460095</v>
      </c>
      <c r="B1582" s="121">
        <v>4600951</v>
      </c>
      <c r="C1582" s="79" t="s">
        <v>3101</v>
      </c>
      <c r="D1582" s="121">
        <v>4600952</v>
      </c>
      <c r="E1582" s="95" t="s">
        <v>3102</v>
      </c>
      <c r="F1582" s="79">
        <v>5</v>
      </c>
      <c r="G1582" s="79">
        <v>4</v>
      </c>
      <c r="H1582" s="79" t="s">
        <v>3096</v>
      </c>
      <c r="I1582" s="127"/>
      <c r="J1582" s="127"/>
      <c r="K1582" s="79">
        <v>4</v>
      </c>
      <c r="L1582" s="79">
        <v>8</v>
      </c>
      <c r="M1582" s="127" t="s">
        <v>3103</v>
      </c>
      <c r="N1582" s="79">
        <v>0</v>
      </c>
      <c r="O1582" s="79">
        <v>0</v>
      </c>
      <c r="P1582" s="111"/>
      <c r="Q1582" s="111"/>
      <c r="R1582" s="79"/>
      <c r="S1582" s="106"/>
      <c r="T1582" s="106"/>
      <c r="U1582" s="106"/>
    </row>
    <row r="1583" spans="1:21">
      <c r="A1583" s="79">
        <v>460096</v>
      </c>
      <c r="B1583" s="121">
        <v>4600961</v>
      </c>
      <c r="C1583" s="79" t="s">
        <v>3104</v>
      </c>
      <c r="D1583" s="121">
        <v>4600962</v>
      </c>
      <c r="E1583" s="95" t="s">
        <v>3105</v>
      </c>
      <c r="F1583" s="79">
        <v>5</v>
      </c>
      <c r="G1583" s="79">
        <v>4</v>
      </c>
      <c r="H1583" s="79" t="s">
        <v>3096</v>
      </c>
      <c r="I1583" s="79"/>
      <c r="J1583" s="79"/>
      <c r="K1583" s="79">
        <v>4</v>
      </c>
      <c r="L1583" s="79">
        <v>8</v>
      </c>
      <c r="M1583" s="127" t="s">
        <v>3106</v>
      </c>
      <c r="N1583" s="79">
        <v>0</v>
      </c>
      <c r="O1583" s="79">
        <v>0</v>
      </c>
      <c r="P1583" s="79"/>
      <c r="Q1583" s="79"/>
      <c r="R1583" s="79"/>
      <c r="S1583" s="106"/>
      <c r="T1583" s="106"/>
      <c r="U1583" s="106"/>
    </row>
    <row r="1584" spans="1:21">
      <c r="A1584" s="79">
        <v>460097</v>
      </c>
      <c r="B1584" s="121">
        <v>4600971</v>
      </c>
      <c r="C1584" s="79" t="s">
        <v>3107</v>
      </c>
      <c r="D1584" s="121">
        <v>4600972</v>
      </c>
      <c r="E1584" s="95" t="s">
        <v>3108</v>
      </c>
      <c r="F1584" s="79">
        <v>5</v>
      </c>
      <c r="G1584" s="79">
        <v>4</v>
      </c>
      <c r="H1584" s="79" t="s">
        <v>3109</v>
      </c>
      <c r="I1584" s="79"/>
      <c r="J1584" s="79"/>
      <c r="K1584" s="79">
        <v>4</v>
      </c>
      <c r="L1584" s="79">
        <v>8</v>
      </c>
      <c r="M1584" s="127" t="s">
        <v>3110</v>
      </c>
      <c r="N1584" s="79">
        <v>0</v>
      </c>
      <c r="O1584" s="79">
        <v>0</v>
      </c>
      <c r="P1584" s="79"/>
      <c r="Q1584" s="79"/>
      <c r="R1584" s="79"/>
      <c r="S1584" s="106"/>
      <c r="T1584" s="106"/>
      <c r="U1584" s="106"/>
    </row>
    <row r="1585" spans="1:18">
      <c r="A1585" s="79">
        <v>460098</v>
      </c>
      <c r="B1585" s="121">
        <v>4600981</v>
      </c>
      <c r="C1585" s="79" t="s">
        <v>3111</v>
      </c>
      <c r="D1585" s="121">
        <v>4600982</v>
      </c>
      <c r="E1585" s="95" t="s">
        <v>3112</v>
      </c>
      <c r="F1585" s="79">
        <v>5</v>
      </c>
      <c r="G1585" s="79">
        <v>4</v>
      </c>
      <c r="H1585" s="79" t="s">
        <v>3109</v>
      </c>
      <c r="I1585" s="79"/>
      <c r="J1585" s="79"/>
      <c r="K1585" s="79">
        <v>4</v>
      </c>
      <c r="L1585" s="79">
        <v>8</v>
      </c>
      <c r="M1585" s="127" t="s">
        <v>3113</v>
      </c>
      <c r="N1585" s="79">
        <v>0</v>
      </c>
      <c r="O1585" s="79">
        <v>0</v>
      </c>
      <c r="P1585" s="79"/>
      <c r="Q1585" s="79"/>
      <c r="R1585" s="79"/>
    </row>
    <row r="1586" spans="1:18">
      <c r="A1586" s="79">
        <v>460099</v>
      </c>
      <c r="B1586" s="121">
        <v>4600991</v>
      </c>
      <c r="C1586" s="79" t="s">
        <v>3114</v>
      </c>
      <c r="D1586" s="121">
        <v>4600992</v>
      </c>
      <c r="E1586" s="95" t="s">
        <v>3115</v>
      </c>
      <c r="F1586" s="79">
        <v>5</v>
      </c>
      <c r="G1586" s="79">
        <v>4</v>
      </c>
      <c r="H1586" s="79" t="s">
        <v>3109</v>
      </c>
      <c r="I1586" s="79"/>
      <c r="J1586" s="79"/>
      <c r="K1586" s="79">
        <v>4</v>
      </c>
      <c r="L1586" s="79">
        <v>8</v>
      </c>
      <c r="M1586" s="127" t="s">
        <v>3116</v>
      </c>
      <c r="N1586" s="79">
        <v>0</v>
      </c>
      <c r="O1586" s="79">
        <v>0</v>
      </c>
      <c r="P1586" s="79"/>
      <c r="Q1586" s="79"/>
      <c r="R1586" s="79"/>
    </row>
    <row r="1587" spans="1:18">
      <c r="A1587" s="79">
        <v>460100</v>
      </c>
      <c r="B1587" s="121">
        <v>4601001</v>
      </c>
      <c r="C1587" s="79" t="s">
        <v>3117</v>
      </c>
      <c r="D1587" s="121">
        <v>4601002</v>
      </c>
      <c r="E1587" s="95" t="s">
        <v>3118</v>
      </c>
      <c r="F1587" s="79">
        <v>5</v>
      </c>
      <c r="G1587" s="79">
        <v>4</v>
      </c>
      <c r="H1587" s="79" t="s">
        <v>3109</v>
      </c>
      <c r="I1587" s="79"/>
      <c r="J1587" s="79"/>
      <c r="K1587" s="79">
        <v>4</v>
      </c>
      <c r="L1587" s="79">
        <v>8</v>
      </c>
      <c r="M1587" s="127" t="s">
        <v>3119</v>
      </c>
      <c r="N1587" s="79">
        <v>0</v>
      </c>
      <c r="O1587" s="79">
        <v>0</v>
      </c>
      <c r="P1587" s="79"/>
      <c r="Q1587" s="79"/>
      <c r="R1587" s="79"/>
    </row>
    <row r="1588" spans="1:18">
      <c r="A1588" s="79">
        <v>460101</v>
      </c>
      <c r="B1588" s="121">
        <v>4601011</v>
      </c>
      <c r="C1588" s="79" t="s">
        <v>3120</v>
      </c>
      <c r="D1588" s="121">
        <v>4601012</v>
      </c>
      <c r="E1588" s="95" t="s">
        <v>3121</v>
      </c>
      <c r="F1588" s="79">
        <v>5</v>
      </c>
      <c r="G1588" s="79">
        <v>4</v>
      </c>
      <c r="H1588" s="79" t="s">
        <v>3122</v>
      </c>
      <c r="I1588" s="79"/>
      <c r="J1588" s="79"/>
      <c r="K1588" s="79">
        <v>4</v>
      </c>
      <c r="L1588" s="79">
        <v>8</v>
      </c>
      <c r="M1588" s="127" t="s">
        <v>3123</v>
      </c>
      <c r="N1588" s="79">
        <v>0</v>
      </c>
      <c r="O1588" s="79">
        <v>0</v>
      </c>
      <c r="P1588" s="79"/>
      <c r="Q1588" s="79"/>
      <c r="R1588" s="79"/>
    </row>
    <row r="1589" spans="1:18">
      <c r="A1589" s="79">
        <v>460102</v>
      </c>
      <c r="B1589" s="121">
        <v>4601021</v>
      </c>
      <c r="C1589" s="79" t="s">
        <v>3124</v>
      </c>
      <c r="D1589" s="121">
        <v>4601022</v>
      </c>
      <c r="E1589" s="95" t="s">
        <v>3125</v>
      </c>
      <c r="F1589" s="79">
        <v>5</v>
      </c>
      <c r="G1589" s="79">
        <v>4</v>
      </c>
      <c r="H1589" s="79" t="s">
        <v>3122</v>
      </c>
      <c r="I1589" s="79"/>
      <c r="J1589" s="79"/>
      <c r="K1589" s="79">
        <v>4</v>
      </c>
      <c r="L1589" s="79">
        <v>8</v>
      </c>
      <c r="M1589" s="127" t="s">
        <v>3126</v>
      </c>
      <c r="N1589" s="79">
        <v>0</v>
      </c>
      <c r="O1589" s="79">
        <v>0</v>
      </c>
      <c r="P1589" s="79"/>
      <c r="Q1589" s="79"/>
      <c r="R1589" s="79"/>
    </row>
    <row r="1590" spans="1:18">
      <c r="A1590" s="79">
        <v>460103</v>
      </c>
      <c r="B1590" s="121">
        <v>4601031</v>
      </c>
      <c r="C1590" s="79" t="s">
        <v>3127</v>
      </c>
      <c r="D1590" s="121">
        <v>4601032</v>
      </c>
      <c r="E1590" s="95" t="s">
        <v>3128</v>
      </c>
      <c r="F1590" s="79">
        <v>5</v>
      </c>
      <c r="G1590" s="79">
        <v>4</v>
      </c>
      <c r="H1590" s="79" t="s">
        <v>3122</v>
      </c>
      <c r="I1590" s="79"/>
      <c r="J1590" s="79"/>
      <c r="K1590" s="79">
        <v>4</v>
      </c>
      <c r="L1590" s="79">
        <v>8</v>
      </c>
      <c r="M1590" s="127" t="s">
        <v>3129</v>
      </c>
      <c r="N1590" s="79">
        <v>0</v>
      </c>
      <c r="O1590" s="79">
        <v>0</v>
      </c>
      <c r="P1590" s="79"/>
      <c r="Q1590" s="79"/>
      <c r="R1590" s="79"/>
    </row>
    <row r="1591" spans="1:18">
      <c r="A1591" s="79">
        <v>460104</v>
      </c>
      <c r="B1591" s="121">
        <v>4601041</v>
      </c>
      <c r="C1591" s="79" t="s">
        <v>3130</v>
      </c>
      <c r="D1591" s="121">
        <v>4601042</v>
      </c>
      <c r="E1591" s="95" t="s">
        <v>3131</v>
      </c>
      <c r="F1591" s="79">
        <v>5</v>
      </c>
      <c r="G1591" s="79">
        <v>4</v>
      </c>
      <c r="H1591" s="79" t="s">
        <v>3122</v>
      </c>
      <c r="I1591" s="79"/>
      <c r="J1591" s="79"/>
      <c r="K1591" s="79">
        <v>4</v>
      </c>
      <c r="L1591" s="79">
        <v>8</v>
      </c>
      <c r="M1591" s="127" t="s">
        <v>3132</v>
      </c>
      <c r="N1591" s="79">
        <v>0</v>
      </c>
      <c r="O1591" s="79">
        <v>0</v>
      </c>
      <c r="P1591" s="79"/>
      <c r="Q1591" s="79"/>
      <c r="R1591" s="79"/>
    </row>
    <row r="1592" spans="1:18">
      <c r="A1592" s="79">
        <v>460105</v>
      </c>
      <c r="B1592" s="121">
        <v>4601051</v>
      </c>
      <c r="C1592" s="79" t="s">
        <v>3133</v>
      </c>
      <c r="D1592" s="121">
        <v>4601052</v>
      </c>
      <c r="E1592" s="95" t="s">
        <v>3134</v>
      </c>
      <c r="F1592" s="79">
        <v>5</v>
      </c>
      <c r="G1592" s="79">
        <v>4</v>
      </c>
      <c r="H1592" s="79" t="s">
        <v>3135</v>
      </c>
      <c r="I1592" s="79"/>
      <c r="J1592" s="79"/>
      <c r="K1592" s="79">
        <v>4</v>
      </c>
      <c r="L1592" s="79">
        <v>8</v>
      </c>
      <c r="M1592" s="127" t="s">
        <v>3136</v>
      </c>
      <c r="N1592" s="79">
        <v>0</v>
      </c>
      <c r="O1592" s="79">
        <v>0</v>
      </c>
      <c r="P1592" s="79"/>
      <c r="Q1592" s="79"/>
      <c r="R1592" s="79"/>
    </row>
    <row r="1593" spans="1:18">
      <c r="A1593" s="79">
        <v>460106</v>
      </c>
      <c r="B1593" s="121">
        <v>4601061</v>
      </c>
      <c r="C1593" s="79" t="s">
        <v>3137</v>
      </c>
      <c r="D1593" s="121">
        <v>4601062</v>
      </c>
      <c r="E1593" s="95" t="s">
        <v>3138</v>
      </c>
      <c r="F1593" s="79">
        <v>5</v>
      </c>
      <c r="G1593" s="79">
        <v>4</v>
      </c>
      <c r="H1593" s="79" t="s">
        <v>3135</v>
      </c>
      <c r="I1593" s="79"/>
      <c r="J1593" s="79"/>
      <c r="K1593" s="79">
        <v>4</v>
      </c>
      <c r="L1593" s="79">
        <v>8</v>
      </c>
      <c r="M1593" s="127" t="s">
        <v>3139</v>
      </c>
      <c r="N1593" s="79">
        <v>0</v>
      </c>
      <c r="O1593" s="79">
        <v>0</v>
      </c>
      <c r="P1593" s="79"/>
      <c r="Q1593" s="79"/>
      <c r="R1593" s="79"/>
    </row>
    <row r="1594" spans="1:18">
      <c r="A1594" s="79">
        <v>460107</v>
      </c>
      <c r="B1594" s="121">
        <v>4601071</v>
      </c>
      <c r="C1594" s="79" t="s">
        <v>3140</v>
      </c>
      <c r="D1594" s="121">
        <v>4601072</v>
      </c>
      <c r="E1594" s="95" t="s">
        <v>3141</v>
      </c>
      <c r="F1594" s="79">
        <v>5</v>
      </c>
      <c r="G1594" s="79">
        <v>4</v>
      </c>
      <c r="H1594" s="79" t="s">
        <v>3135</v>
      </c>
      <c r="I1594" s="79"/>
      <c r="J1594" s="79"/>
      <c r="K1594" s="79">
        <v>4</v>
      </c>
      <c r="L1594" s="79">
        <v>8</v>
      </c>
      <c r="M1594" s="127" t="s">
        <v>3142</v>
      </c>
      <c r="N1594" s="79">
        <v>0</v>
      </c>
      <c r="O1594" s="79">
        <v>0</v>
      </c>
      <c r="P1594" s="79"/>
      <c r="Q1594" s="79"/>
      <c r="R1594" s="79"/>
    </row>
    <row r="1595" spans="1:18">
      <c r="A1595" s="79">
        <v>460108</v>
      </c>
      <c r="B1595" s="121">
        <v>4601081</v>
      </c>
      <c r="C1595" s="79" t="s">
        <v>3143</v>
      </c>
      <c r="D1595" s="121">
        <v>4601082</v>
      </c>
      <c r="E1595" s="95" t="s">
        <v>3144</v>
      </c>
      <c r="F1595" s="79">
        <v>5</v>
      </c>
      <c r="G1595" s="79">
        <v>4</v>
      </c>
      <c r="H1595" s="79" t="s">
        <v>3135</v>
      </c>
      <c r="I1595" s="79"/>
      <c r="J1595" s="79"/>
      <c r="K1595" s="79">
        <v>4</v>
      </c>
      <c r="L1595" s="79">
        <v>8</v>
      </c>
      <c r="M1595" s="127" t="s">
        <v>3145</v>
      </c>
      <c r="N1595" s="79">
        <v>0</v>
      </c>
      <c r="O1595" s="79">
        <v>0</v>
      </c>
      <c r="P1595" s="79"/>
      <c r="Q1595" s="79"/>
      <c r="R1595" s="79"/>
    </row>
    <row r="1596" spans="1:18">
      <c r="A1596" s="79">
        <v>460191</v>
      </c>
      <c r="B1596" s="121">
        <f t="shared" ref="B1596:B1615" si="96">A1596*10+1</f>
        <v>4601911</v>
      </c>
      <c r="C1596" s="79" t="s">
        <v>3146</v>
      </c>
      <c r="D1596" s="121">
        <f t="shared" ref="D1596:D1615" si="97">A1596*10+2</f>
        <v>4601912</v>
      </c>
      <c r="E1596" s="95" t="s">
        <v>3147</v>
      </c>
      <c r="F1596" s="79">
        <v>5</v>
      </c>
      <c r="G1596" s="79">
        <v>4</v>
      </c>
      <c r="H1596" s="79" t="s">
        <v>3148</v>
      </c>
      <c r="I1596" s="127"/>
      <c r="J1596" s="127"/>
      <c r="K1596" s="79">
        <v>4</v>
      </c>
      <c r="L1596" s="79">
        <v>8</v>
      </c>
      <c r="M1596" s="127" t="s">
        <v>3149</v>
      </c>
      <c r="N1596" s="79">
        <v>0</v>
      </c>
      <c r="O1596" s="79">
        <v>0</v>
      </c>
      <c r="P1596" s="111"/>
      <c r="Q1596" s="111"/>
      <c r="R1596" s="79"/>
    </row>
    <row r="1597" spans="1:18">
      <c r="A1597" s="79">
        <v>460192</v>
      </c>
      <c r="B1597" s="121">
        <f t="shared" si="96"/>
        <v>4601921</v>
      </c>
      <c r="C1597" s="79" t="s">
        <v>3150</v>
      </c>
      <c r="D1597" s="121">
        <f t="shared" si="97"/>
        <v>4601922</v>
      </c>
      <c r="E1597" s="95" t="s">
        <v>3151</v>
      </c>
      <c r="F1597" s="79">
        <v>5</v>
      </c>
      <c r="G1597" s="79">
        <v>4</v>
      </c>
      <c r="H1597" s="79" t="s">
        <v>3148</v>
      </c>
      <c r="I1597" s="127"/>
      <c r="J1597" s="127"/>
      <c r="K1597" s="79">
        <v>4</v>
      </c>
      <c r="L1597" s="79">
        <v>8</v>
      </c>
      <c r="M1597" s="127" t="s">
        <v>3152</v>
      </c>
      <c r="N1597" s="79">
        <v>0</v>
      </c>
      <c r="O1597" s="79">
        <v>0</v>
      </c>
      <c r="P1597" s="111"/>
      <c r="Q1597" s="111"/>
      <c r="R1597" s="79"/>
    </row>
    <row r="1598" spans="1:18">
      <c r="A1598" s="79">
        <v>460193</v>
      </c>
      <c r="B1598" s="121">
        <f t="shared" si="96"/>
        <v>4601931</v>
      </c>
      <c r="C1598" s="79" t="s">
        <v>3153</v>
      </c>
      <c r="D1598" s="121">
        <f t="shared" si="97"/>
        <v>4601932</v>
      </c>
      <c r="E1598" s="95" t="s">
        <v>3154</v>
      </c>
      <c r="F1598" s="79">
        <v>5</v>
      </c>
      <c r="G1598" s="79">
        <v>4</v>
      </c>
      <c r="H1598" s="79" t="s">
        <v>3148</v>
      </c>
      <c r="I1598" s="127"/>
      <c r="J1598" s="127"/>
      <c r="K1598" s="79">
        <v>4</v>
      </c>
      <c r="L1598" s="79">
        <v>8</v>
      </c>
      <c r="M1598" s="127" t="s">
        <v>3155</v>
      </c>
      <c r="N1598" s="79">
        <v>0</v>
      </c>
      <c r="O1598" s="79">
        <v>0</v>
      </c>
      <c r="P1598" s="111"/>
      <c r="Q1598" s="111"/>
      <c r="R1598" s="79"/>
    </row>
    <row r="1599" spans="1:18">
      <c r="A1599" s="79">
        <v>460194</v>
      </c>
      <c r="B1599" s="121">
        <f t="shared" si="96"/>
        <v>4601941</v>
      </c>
      <c r="C1599" s="79" t="s">
        <v>3156</v>
      </c>
      <c r="D1599" s="121">
        <f t="shared" si="97"/>
        <v>4601942</v>
      </c>
      <c r="E1599" s="95" t="s">
        <v>3157</v>
      </c>
      <c r="F1599" s="79">
        <v>5</v>
      </c>
      <c r="G1599" s="79">
        <v>4</v>
      </c>
      <c r="H1599" s="79" t="s">
        <v>3148</v>
      </c>
      <c r="I1599" s="79"/>
      <c r="J1599" s="79"/>
      <c r="K1599" s="79">
        <v>4</v>
      </c>
      <c r="L1599" s="79">
        <v>8</v>
      </c>
      <c r="M1599" s="127" t="s">
        <v>3158</v>
      </c>
      <c r="N1599" s="79">
        <v>0</v>
      </c>
      <c r="O1599" s="79">
        <v>0</v>
      </c>
      <c r="P1599" s="79"/>
      <c r="Q1599" s="79"/>
      <c r="R1599" s="79"/>
    </row>
    <row r="1600" spans="1:18">
      <c r="A1600" s="93">
        <v>460201</v>
      </c>
      <c r="B1600" s="141">
        <f t="shared" si="96"/>
        <v>4602011</v>
      </c>
      <c r="C1600" s="93" t="s">
        <v>3159</v>
      </c>
      <c r="D1600" s="141">
        <f t="shared" si="97"/>
        <v>4602012</v>
      </c>
      <c r="E1600" s="95" t="s">
        <v>3160</v>
      </c>
      <c r="F1600" s="93">
        <v>5</v>
      </c>
      <c r="G1600" s="93">
        <v>4</v>
      </c>
      <c r="H1600" s="93" t="s">
        <v>3161</v>
      </c>
      <c r="K1600" s="93">
        <v>4</v>
      </c>
      <c r="L1600" s="93">
        <v>8</v>
      </c>
      <c r="M1600" s="117" t="s">
        <v>3162</v>
      </c>
      <c r="N1600" s="93">
        <v>0</v>
      </c>
      <c r="O1600" s="93">
        <v>0</v>
      </c>
    </row>
    <row r="1601" spans="1:18">
      <c r="A1601" s="93">
        <v>460202</v>
      </c>
      <c r="B1601" s="141">
        <f t="shared" si="96"/>
        <v>4602021</v>
      </c>
      <c r="C1601" s="93" t="s">
        <v>3163</v>
      </c>
      <c r="D1601" s="141">
        <f t="shared" si="97"/>
        <v>4602022</v>
      </c>
      <c r="E1601" s="95" t="s">
        <v>3164</v>
      </c>
      <c r="F1601" s="93">
        <v>5</v>
      </c>
      <c r="G1601" s="93">
        <v>4</v>
      </c>
      <c r="H1601" s="93" t="s">
        <v>3161</v>
      </c>
      <c r="K1601" s="93">
        <v>4</v>
      </c>
      <c r="L1601" s="93">
        <v>8</v>
      </c>
      <c r="M1601" s="117" t="s">
        <v>3165</v>
      </c>
      <c r="N1601" s="93">
        <v>0</v>
      </c>
      <c r="O1601" s="93">
        <v>0</v>
      </c>
    </row>
    <row r="1602" spans="1:18">
      <c r="A1602" s="93">
        <v>460203</v>
      </c>
      <c r="B1602" s="141">
        <f t="shared" si="96"/>
        <v>4602031</v>
      </c>
      <c r="C1602" s="93" t="s">
        <v>3166</v>
      </c>
      <c r="D1602" s="141">
        <f t="shared" si="97"/>
        <v>4602032</v>
      </c>
      <c r="E1602" s="95" t="s">
        <v>3167</v>
      </c>
      <c r="F1602" s="93">
        <v>5</v>
      </c>
      <c r="G1602" s="93">
        <v>4</v>
      </c>
      <c r="H1602" s="93" t="s">
        <v>3161</v>
      </c>
      <c r="K1602" s="93">
        <v>4</v>
      </c>
      <c r="L1602" s="93">
        <v>8</v>
      </c>
      <c r="M1602" s="117" t="s">
        <v>3168</v>
      </c>
      <c r="N1602" s="93">
        <v>0</v>
      </c>
      <c r="O1602" s="93">
        <v>0</v>
      </c>
    </row>
    <row r="1603" spans="1:18">
      <c r="A1603" s="93">
        <v>460204</v>
      </c>
      <c r="B1603" s="141">
        <f t="shared" si="96"/>
        <v>4602041</v>
      </c>
      <c r="C1603" s="93" t="s">
        <v>3169</v>
      </c>
      <c r="D1603" s="141">
        <f t="shared" si="97"/>
        <v>4602042</v>
      </c>
      <c r="E1603" s="95" t="s">
        <v>3170</v>
      </c>
      <c r="F1603" s="93">
        <v>5</v>
      </c>
      <c r="G1603" s="93">
        <v>4</v>
      </c>
      <c r="H1603" s="93" t="s">
        <v>3161</v>
      </c>
      <c r="K1603" s="93">
        <v>4</v>
      </c>
      <c r="L1603" s="93">
        <v>8</v>
      </c>
      <c r="M1603" s="117" t="s">
        <v>3171</v>
      </c>
      <c r="N1603" s="93">
        <v>0</v>
      </c>
      <c r="O1603" s="93">
        <v>0</v>
      </c>
    </row>
    <row r="1604" spans="1:18">
      <c r="A1604" s="93">
        <v>460211</v>
      </c>
      <c r="B1604" s="141">
        <f t="shared" si="96"/>
        <v>4602111</v>
      </c>
      <c r="C1604" s="93" t="s">
        <v>3172</v>
      </c>
      <c r="D1604" s="141">
        <f t="shared" si="97"/>
        <v>4602112</v>
      </c>
      <c r="E1604" s="95" t="s">
        <v>3173</v>
      </c>
      <c r="F1604" s="93">
        <v>5</v>
      </c>
      <c r="G1604" s="93">
        <v>4</v>
      </c>
      <c r="H1604" s="93" t="s">
        <v>3174</v>
      </c>
      <c r="K1604" s="93">
        <v>4</v>
      </c>
      <c r="L1604" s="93">
        <v>8</v>
      </c>
      <c r="M1604" s="117" t="s">
        <v>3175</v>
      </c>
      <c r="N1604" s="93">
        <v>0</v>
      </c>
      <c r="O1604" s="93">
        <v>0</v>
      </c>
    </row>
    <row r="1605" spans="1:18">
      <c r="A1605" s="93">
        <v>460212</v>
      </c>
      <c r="B1605" s="141">
        <f t="shared" si="96"/>
        <v>4602121</v>
      </c>
      <c r="C1605" s="93" t="s">
        <v>3176</v>
      </c>
      <c r="D1605" s="141">
        <f t="shared" si="97"/>
        <v>4602122</v>
      </c>
      <c r="E1605" s="95" t="s">
        <v>3177</v>
      </c>
      <c r="F1605" s="93">
        <v>5</v>
      </c>
      <c r="G1605" s="93">
        <v>4</v>
      </c>
      <c r="H1605" s="93" t="s">
        <v>3174</v>
      </c>
      <c r="K1605" s="93">
        <v>4</v>
      </c>
      <c r="L1605" s="93">
        <v>8</v>
      </c>
      <c r="M1605" s="117" t="s">
        <v>3178</v>
      </c>
      <c r="N1605" s="93">
        <v>0</v>
      </c>
      <c r="O1605" s="93">
        <v>0</v>
      </c>
    </row>
    <row r="1606" spans="1:18">
      <c r="A1606" s="93">
        <v>460213</v>
      </c>
      <c r="B1606" s="141">
        <f t="shared" si="96"/>
        <v>4602131</v>
      </c>
      <c r="C1606" s="93" t="s">
        <v>3179</v>
      </c>
      <c r="D1606" s="141">
        <f t="shared" si="97"/>
        <v>4602132</v>
      </c>
      <c r="E1606" s="95" t="s">
        <v>3180</v>
      </c>
      <c r="F1606" s="93">
        <v>5</v>
      </c>
      <c r="G1606" s="93">
        <v>4</v>
      </c>
      <c r="H1606" s="93" t="s">
        <v>3174</v>
      </c>
      <c r="K1606" s="93">
        <v>4</v>
      </c>
      <c r="L1606" s="93">
        <v>8</v>
      </c>
      <c r="M1606" s="117" t="s">
        <v>3181</v>
      </c>
      <c r="N1606" s="93">
        <v>0</v>
      </c>
      <c r="O1606" s="93">
        <v>0</v>
      </c>
    </row>
    <row r="1607" spans="1:18">
      <c r="A1607" s="93">
        <v>460214</v>
      </c>
      <c r="B1607" s="141">
        <f t="shared" si="96"/>
        <v>4602141</v>
      </c>
      <c r="C1607" s="93" t="s">
        <v>3182</v>
      </c>
      <c r="D1607" s="141">
        <f t="shared" si="97"/>
        <v>4602142</v>
      </c>
      <c r="E1607" s="95" t="s">
        <v>3183</v>
      </c>
      <c r="F1607" s="93">
        <v>5</v>
      </c>
      <c r="G1607" s="93">
        <v>4</v>
      </c>
      <c r="H1607" s="93" t="s">
        <v>3174</v>
      </c>
      <c r="K1607" s="93">
        <v>4</v>
      </c>
      <c r="L1607" s="93">
        <v>8</v>
      </c>
      <c r="M1607" s="117" t="s">
        <v>3184</v>
      </c>
      <c r="N1607" s="93">
        <v>0</v>
      </c>
      <c r="O1607" s="93">
        <v>0</v>
      </c>
    </row>
    <row r="1608" spans="1:18" s="114" customFormat="1" ht="15.75">
      <c r="A1608" s="103">
        <v>460221</v>
      </c>
      <c r="B1608" s="103">
        <f t="shared" si="96"/>
        <v>4602211</v>
      </c>
      <c r="C1608" s="103" t="s">
        <v>3185</v>
      </c>
      <c r="D1608" s="103">
        <f t="shared" si="97"/>
        <v>4602212</v>
      </c>
      <c r="E1608" s="145" t="s">
        <v>3186</v>
      </c>
      <c r="F1608" s="103">
        <v>5</v>
      </c>
      <c r="G1608" s="103">
        <v>4</v>
      </c>
      <c r="H1608" s="103" t="s">
        <v>3187</v>
      </c>
      <c r="I1608" s="103"/>
      <c r="J1608" s="103"/>
      <c r="K1608" s="103">
        <v>4</v>
      </c>
      <c r="L1608" s="103">
        <v>8</v>
      </c>
      <c r="M1608" s="147" t="s">
        <v>3188</v>
      </c>
      <c r="N1608" s="103">
        <v>0</v>
      </c>
      <c r="O1608" s="103">
        <v>0</v>
      </c>
      <c r="P1608" s="103"/>
      <c r="Q1608" s="103"/>
      <c r="R1608" s="103"/>
    </row>
    <row r="1609" spans="1:18" s="114" customFormat="1" ht="15.75">
      <c r="A1609" s="103">
        <v>460222</v>
      </c>
      <c r="B1609" s="103">
        <f t="shared" si="96"/>
        <v>4602221</v>
      </c>
      <c r="C1609" s="103" t="s">
        <v>3189</v>
      </c>
      <c r="D1609" s="103">
        <f t="shared" si="97"/>
        <v>4602222</v>
      </c>
      <c r="E1609" s="145" t="s">
        <v>3190</v>
      </c>
      <c r="F1609" s="103">
        <v>5</v>
      </c>
      <c r="G1609" s="103">
        <v>4</v>
      </c>
      <c r="H1609" s="103" t="s">
        <v>3187</v>
      </c>
      <c r="I1609" s="103"/>
      <c r="J1609" s="103"/>
      <c r="K1609" s="103">
        <v>4</v>
      </c>
      <c r="L1609" s="103">
        <v>8</v>
      </c>
      <c r="M1609" s="147" t="s">
        <v>3191</v>
      </c>
      <c r="N1609" s="103">
        <v>0</v>
      </c>
      <c r="O1609" s="103">
        <v>0</v>
      </c>
      <c r="P1609" s="103"/>
      <c r="Q1609" s="103"/>
      <c r="R1609" s="103"/>
    </row>
    <row r="1610" spans="1:18" s="114" customFormat="1" ht="15.75">
      <c r="A1610" s="103">
        <v>460223</v>
      </c>
      <c r="B1610" s="103">
        <f t="shared" si="96"/>
        <v>4602231</v>
      </c>
      <c r="C1610" s="103" t="s">
        <v>3192</v>
      </c>
      <c r="D1610" s="103">
        <f t="shared" si="97"/>
        <v>4602232</v>
      </c>
      <c r="E1610" s="145" t="s">
        <v>3193</v>
      </c>
      <c r="F1610" s="103">
        <v>5</v>
      </c>
      <c r="G1610" s="103">
        <v>4</v>
      </c>
      <c r="H1610" s="103" t="s">
        <v>3187</v>
      </c>
      <c r="I1610" s="103"/>
      <c r="J1610" s="103"/>
      <c r="K1610" s="103">
        <v>4</v>
      </c>
      <c r="L1610" s="103">
        <v>8</v>
      </c>
      <c r="M1610" s="147" t="s">
        <v>3194</v>
      </c>
      <c r="N1610" s="103">
        <v>0</v>
      </c>
      <c r="O1610" s="103">
        <v>0</v>
      </c>
      <c r="P1610" s="103"/>
      <c r="Q1610" s="103"/>
      <c r="R1610" s="103"/>
    </row>
    <row r="1611" spans="1:18" s="114" customFormat="1" ht="15.75">
      <c r="A1611" s="103">
        <v>460224</v>
      </c>
      <c r="B1611" s="103">
        <f t="shared" si="96"/>
        <v>4602241</v>
      </c>
      <c r="C1611" s="103" t="s">
        <v>3195</v>
      </c>
      <c r="D1611" s="103">
        <f t="shared" si="97"/>
        <v>4602242</v>
      </c>
      <c r="E1611" s="145" t="s">
        <v>3196</v>
      </c>
      <c r="F1611" s="103">
        <v>5</v>
      </c>
      <c r="G1611" s="103">
        <v>4</v>
      </c>
      <c r="H1611" s="103" t="s">
        <v>3187</v>
      </c>
      <c r="I1611" s="103"/>
      <c r="J1611" s="103"/>
      <c r="K1611" s="103">
        <v>4</v>
      </c>
      <c r="L1611" s="103">
        <v>8</v>
      </c>
      <c r="M1611" s="147" t="s">
        <v>3197</v>
      </c>
      <c r="N1611" s="103">
        <v>0</v>
      </c>
      <c r="O1611" s="103">
        <v>0</v>
      </c>
      <c r="P1611" s="103"/>
      <c r="Q1611" s="103"/>
      <c r="R1611" s="103"/>
    </row>
    <row r="1612" spans="1:18" s="114" customFormat="1" ht="15.75">
      <c r="A1612" s="103">
        <v>460231</v>
      </c>
      <c r="B1612" s="103">
        <f t="shared" si="96"/>
        <v>4602311</v>
      </c>
      <c r="C1612" s="103" t="s">
        <v>3198</v>
      </c>
      <c r="D1612" s="103">
        <f t="shared" si="97"/>
        <v>4602312</v>
      </c>
      <c r="E1612" s="145" t="s">
        <v>3199</v>
      </c>
      <c r="F1612" s="103">
        <v>5</v>
      </c>
      <c r="G1612" s="103">
        <v>4</v>
      </c>
      <c r="H1612" s="103" t="s">
        <v>3200</v>
      </c>
      <c r="I1612" s="103"/>
      <c r="J1612" s="103"/>
      <c r="K1612" s="103">
        <v>4</v>
      </c>
      <c r="L1612" s="103">
        <v>8</v>
      </c>
      <c r="M1612" s="147" t="s">
        <v>3201</v>
      </c>
      <c r="N1612" s="103">
        <v>0</v>
      </c>
      <c r="O1612" s="103">
        <v>0</v>
      </c>
      <c r="P1612" s="103"/>
      <c r="Q1612" s="103"/>
      <c r="R1612" s="103"/>
    </row>
    <row r="1613" spans="1:18" s="114" customFormat="1" ht="15.75">
      <c r="A1613" s="103">
        <v>460232</v>
      </c>
      <c r="B1613" s="103">
        <f t="shared" si="96"/>
        <v>4602321</v>
      </c>
      <c r="C1613" s="103" t="s">
        <v>3202</v>
      </c>
      <c r="D1613" s="103">
        <f t="shared" si="97"/>
        <v>4602322</v>
      </c>
      <c r="E1613" s="145" t="s">
        <v>3203</v>
      </c>
      <c r="F1613" s="103">
        <v>5</v>
      </c>
      <c r="G1613" s="103">
        <v>4</v>
      </c>
      <c r="H1613" s="103" t="s">
        <v>3200</v>
      </c>
      <c r="I1613" s="103"/>
      <c r="J1613" s="103"/>
      <c r="K1613" s="103">
        <v>4</v>
      </c>
      <c r="L1613" s="103">
        <v>8</v>
      </c>
      <c r="M1613" s="147" t="s">
        <v>3204</v>
      </c>
      <c r="N1613" s="103">
        <v>0</v>
      </c>
      <c r="O1613" s="103">
        <v>0</v>
      </c>
      <c r="P1613" s="103"/>
      <c r="Q1613" s="103"/>
      <c r="R1613" s="103"/>
    </row>
    <row r="1614" spans="1:18" s="114" customFormat="1" ht="15.75">
      <c r="A1614" s="103">
        <v>460233</v>
      </c>
      <c r="B1614" s="103">
        <f t="shared" si="96"/>
        <v>4602331</v>
      </c>
      <c r="C1614" s="103" t="s">
        <v>3205</v>
      </c>
      <c r="D1614" s="103">
        <f t="shared" si="97"/>
        <v>4602332</v>
      </c>
      <c r="E1614" s="145" t="s">
        <v>3206</v>
      </c>
      <c r="F1614" s="103">
        <v>5</v>
      </c>
      <c r="G1614" s="103">
        <v>4</v>
      </c>
      <c r="H1614" s="103" t="s">
        <v>3200</v>
      </c>
      <c r="I1614" s="103"/>
      <c r="J1614" s="103"/>
      <c r="K1614" s="103">
        <v>4</v>
      </c>
      <c r="L1614" s="103">
        <v>8</v>
      </c>
      <c r="M1614" s="147" t="s">
        <v>3207</v>
      </c>
      <c r="N1614" s="103">
        <v>0</v>
      </c>
      <c r="O1614" s="103">
        <v>0</v>
      </c>
      <c r="P1614" s="103"/>
      <c r="Q1614" s="103"/>
      <c r="R1614" s="103"/>
    </row>
    <row r="1615" spans="1:18" s="114" customFormat="1" ht="15.75">
      <c r="A1615" s="103">
        <v>460234</v>
      </c>
      <c r="B1615" s="103">
        <f t="shared" si="96"/>
        <v>4602341</v>
      </c>
      <c r="C1615" s="103" t="s">
        <v>3208</v>
      </c>
      <c r="D1615" s="103">
        <f t="shared" si="97"/>
        <v>4602342</v>
      </c>
      <c r="E1615" s="145" t="s">
        <v>3209</v>
      </c>
      <c r="F1615" s="103">
        <v>5</v>
      </c>
      <c r="G1615" s="103">
        <v>4</v>
      </c>
      <c r="H1615" s="103" t="s">
        <v>3200</v>
      </c>
      <c r="I1615" s="103"/>
      <c r="J1615" s="103"/>
      <c r="K1615" s="103">
        <v>4</v>
      </c>
      <c r="L1615" s="103">
        <v>8</v>
      </c>
      <c r="M1615" s="147" t="s">
        <v>3210</v>
      </c>
      <c r="N1615" s="103">
        <v>0</v>
      </c>
      <c r="O1615" s="103">
        <v>0</v>
      </c>
      <c r="P1615" s="103"/>
      <c r="Q1615" s="103"/>
      <c r="R1615" s="103"/>
    </row>
    <row r="1616" spans="1:18">
      <c r="A1616" s="141">
        <v>460241</v>
      </c>
      <c r="B1616" s="141">
        <v>4602411</v>
      </c>
      <c r="C1616" s="93" t="s">
        <v>3211</v>
      </c>
      <c r="D1616" s="141">
        <v>4602412</v>
      </c>
      <c r="E1616" s="95" t="s">
        <v>3212</v>
      </c>
      <c r="F1616" s="93">
        <v>5</v>
      </c>
      <c r="G1616" s="93">
        <v>4</v>
      </c>
      <c r="H1616" s="93" t="s">
        <v>3213</v>
      </c>
      <c r="I1616" s="93">
        <v>870028</v>
      </c>
      <c r="K1616" s="93">
        <v>4</v>
      </c>
      <c r="L1616" s="93">
        <v>8</v>
      </c>
      <c r="M1616" s="117" t="s">
        <v>3175</v>
      </c>
      <c r="N1616" s="93">
        <v>0</v>
      </c>
      <c r="O1616" s="93">
        <v>0</v>
      </c>
    </row>
    <row r="1617" spans="1:15">
      <c r="A1617" s="141">
        <v>460242</v>
      </c>
      <c r="B1617" s="141">
        <v>4602421</v>
      </c>
      <c r="C1617" s="93" t="s">
        <v>3214</v>
      </c>
      <c r="D1617" s="141">
        <v>4602422</v>
      </c>
      <c r="E1617" s="95" t="s">
        <v>3215</v>
      </c>
      <c r="F1617" s="93">
        <v>5</v>
      </c>
      <c r="G1617" s="93">
        <v>4</v>
      </c>
      <c r="H1617" s="93" t="s">
        <v>3213</v>
      </c>
      <c r="I1617" s="93">
        <v>870028</v>
      </c>
      <c r="K1617" s="93">
        <v>4</v>
      </c>
      <c r="L1617" s="93">
        <v>8</v>
      </c>
      <c r="M1617" s="117" t="s">
        <v>3178</v>
      </c>
      <c r="N1617" s="93">
        <v>0</v>
      </c>
      <c r="O1617" s="93">
        <v>0</v>
      </c>
    </row>
    <row r="1618" spans="1:15">
      <c r="A1618" s="141">
        <v>460243</v>
      </c>
      <c r="B1618" s="141">
        <v>4602431</v>
      </c>
      <c r="C1618" s="93" t="s">
        <v>3216</v>
      </c>
      <c r="D1618" s="141">
        <v>4602432</v>
      </c>
      <c r="E1618" s="95" t="s">
        <v>3217</v>
      </c>
      <c r="F1618" s="93">
        <v>5</v>
      </c>
      <c r="G1618" s="93">
        <v>4</v>
      </c>
      <c r="H1618" s="93" t="s">
        <v>3213</v>
      </c>
      <c r="I1618" s="93">
        <v>870028</v>
      </c>
      <c r="K1618" s="93">
        <v>4</v>
      </c>
      <c r="L1618" s="93">
        <v>8</v>
      </c>
      <c r="M1618" s="117" t="s">
        <v>3181</v>
      </c>
      <c r="N1618" s="93">
        <v>0</v>
      </c>
      <c r="O1618" s="93">
        <v>0</v>
      </c>
    </row>
    <row r="1619" spans="1:15">
      <c r="A1619" s="141">
        <v>460244</v>
      </c>
      <c r="B1619" s="141">
        <v>4602441</v>
      </c>
      <c r="C1619" s="93" t="s">
        <v>3218</v>
      </c>
      <c r="D1619" s="141">
        <v>4602442</v>
      </c>
      <c r="E1619" s="95" t="s">
        <v>3219</v>
      </c>
      <c r="F1619" s="93">
        <v>5</v>
      </c>
      <c r="G1619" s="93">
        <v>4</v>
      </c>
      <c r="H1619" s="93" t="s">
        <v>3213</v>
      </c>
      <c r="I1619" s="93">
        <v>870028</v>
      </c>
      <c r="K1619" s="93">
        <v>4</v>
      </c>
      <c r="L1619" s="93">
        <v>8</v>
      </c>
      <c r="M1619" s="117" t="s">
        <v>3184</v>
      </c>
      <c r="N1619" s="93">
        <v>0</v>
      </c>
      <c r="O1619" s="93">
        <v>0</v>
      </c>
    </row>
    <row r="1620" spans="1:15" s="79" customFormat="1">
      <c r="A1620" s="121">
        <v>460251</v>
      </c>
      <c r="B1620" s="121">
        <v>4602511</v>
      </c>
      <c r="C1620" s="79" t="s">
        <v>3220</v>
      </c>
      <c r="D1620" s="121">
        <v>4602512</v>
      </c>
      <c r="E1620" s="146" t="s">
        <v>3221</v>
      </c>
      <c r="F1620" s="79">
        <v>5</v>
      </c>
      <c r="G1620" s="79">
        <v>4</v>
      </c>
      <c r="H1620" s="79" t="s">
        <v>3222</v>
      </c>
      <c r="K1620" s="79">
        <v>4</v>
      </c>
      <c r="L1620" s="79">
        <v>8</v>
      </c>
      <c r="M1620" s="127" t="s">
        <v>3223</v>
      </c>
      <c r="N1620" s="79">
        <v>0</v>
      </c>
      <c r="O1620" s="79">
        <v>0</v>
      </c>
    </row>
    <row r="1621" spans="1:15" s="79" customFormat="1">
      <c r="A1621" s="121">
        <v>460252</v>
      </c>
      <c r="B1621" s="121">
        <v>4602521</v>
      </c>
      <c r="C1621" s="79" t="s">
        <v>3224</v>
      </c>
      <c r="D1621" s="121">
        <v>4602522</v>
      </c>
      <c r="E1621" s="146" t="s">
        <v>3225</v>
      </c>
      <c r="F1621" s="79">
        <v>5</v>
      </c>
      <c r="G1621" s="79">
        <v>4</v>
      </c>
      <c r="H1621" s="79" t="s">
        <v>3222</v>
      </c>
      <c r="K1621" s="79">
        <v>4</v>
      </c>
      <c r="L1621" s="79">
        <v>8</v>
      </c>
      <c r="M1621" s="127" t="s">
        <v>3226</v>
      </c>
      <c r="N1621" s="79">
        <v>0</v>
      </c>
      <c r="O1621" s="79">
        <v>0</v>
      </c>
    </row>
    <row r="1622" spans="1:15" s="79" customFormat="1">
      <c r="A1622" s="121">
        <v>460253</v>
      </c>
      <c r="B1622" s="121">
        <v>4602531</v>
      </c>
      <c r="C1622" s="79" t="s">
        <v>3227</v>
      </c>
      <c r="D1622" s="121">
        <v>4602532</v>
      </c>
      <c r="E1622" s="146" t="s">
        <v>3228</v>
      </c>
      <c r="F1622" s="79">
        <v>5</v>
      </c>
      <c r="G1622" s="79">
        <v>4</v>
      </c>
      <c r="H1622" s="79" t="s">
        <v>3222</v>
      </c>
      <c r="K1622" s="79">
        <v>4</v>
      </c>
      <c r="L1622" s="79">
        <v>8</v>
      </c>
      <c r="M1622" s="127" t="s">
        <v>3229</v>
      </c>
      <c r="N1622" s="79">
        <v>0</v>
      </c>
      <c r="O1622" s="79">
        <v>0</v>
      </c>
    </row>
    <row r="1623" spans="1:15" s="79" customFormat="1">
      <c r="A1623" s="121">
        <v>460254</v>
      </c>
      <c r="B1623" s="121">
        <v>4602541</v>
      </c>
      <c r="C1623" s="79" t="s">
        <v>3230</v>
      </c>
      <c r="D1623" s="121">
        <v>4602542</v>
      </c>
      <c r="E1623" s="146" t="s">
        <v>3231</v>
      </c>
      <c r="F1623" s="79">
        <v>5</v>
      </c>
      <c r="G1623" s="79">
        <v>4</v>
      </c>
      <c r="H1623" s="79" t="s">
        <v>3222</v>
      </c>
      <c r="K1623" s="79">
        <v>4</v>
      </c>
      <c r="L1623" s="79">
        <v>8</v>
      </c>
      <c r="M1623" s="127" t="s">
        <v>3232</v>
      </c>
      <c r="N1623" s="79">
        <v>0</v>
      </c>
      <c r="O1623" s="79">
        <v>0</v>
      </c>
    </row>
    <row r="1624" spans="1:15" s="79" customFormat="1">
      <c r="A1624" s="121">
        <v>460263</v>
      </c>
      <c r="B1624" s="121">
        <v>4602631</v>
      </c>
      <c r="C1624" s="79" t="s">
        <v>5618</v>
      </c>
      <c r="D1624" s="121">
        <v>4602632</v>
      </c>
      <c r="E1624" s="146" t="s">
        <v>5619</v>
      </c>
      <c r="F1624" s="79">
        <v>5</v>
      </c>
      <c r="G1624" s="79">
        <v>4</v>
      </c>
      <c r="H1624" s="79" t="s">
        <v>5617</v>
      </c>
      <c r="K1624" s="79">
        <v>4</v>
      </c>
      <c r="L1624" s="79">
        <v>8</v>
      </c>
      <c r="M1624" s="127" t="s">
        <v>5620</v>
      </c>
      <c r="N1624" s="79">
        <v>0</v>
      </c>
      <c r="O1624" s="79">
        <v>0</v>
      </c>
    </row>
    <row r="1625" spans="1:15" s="79" customFormat="1">
      <c r="A1625" s="121">
        <v>460321</v>
      </c>
      <c r="B1625" s="121">
        <v>4603211</v>
      </c>
      <c r="C1625" s="79" t="s">
        <v>3233</v>
      </c>
      <c r="D1625" s="121">
        <v>4603212</v>
      </c>
      <c r="E1625" s="146" t="s">
        <v>3234</v>
      </c>
      <c r="F1625" s="79">
        <v>5</v>
      </c>
      <c r="G1625" s="79">
        <v>4</v>
      </c>
      <c r="H1625" s="79" t="s">
        <v>3235</v>
      </c>
      <c r="K1625" s="79">
        <v>4</v>
      </c>
      <c r="L1625" s="79">
        <v>8</v>
      </c>
      <c r="M1625" s="127" t="s">
        <v>3236</v>
      </c>
      <c r="N1625" s="79">
        <v>0</v>
      </c>
      <c r="O1625" s="79">
        <v>0</v>
      </c>
    </row>
    <row r="1626" spans="1:15" s="79" customFormat="1">
      <c r="A1626" s="121">
        <v>460322</v>
      </c>
      <c r="B1626" s="121">
        <v>4603221</v>
      </c>
      <c r="C1626" s="79" t="s">
        <v>3237</v>
      </c>
      <c r="D1626" s="121">
        <v>4603222</v>
      </c>
      <c r="E1626" s="146" t="s">
        <v>3238</v>
      </c>
      <c r="F1626" s="79">
        <v>5</v>
      </c>
      <c r="G1626" s="79">
        <v>4</v>
      </c>
      <c r="H1626" s="79" t="s">
        <v>3235</v>
      </c>
      <c r="K1626" s="79">
        <v>4</v>
      </c>
      <c r="L1626" s="79">
        <v>8</v>
      </c>
      <c r="M1626" s="127" t="s">
        <v>3239</v>
      </c>
      <c r="N1626" s="79">
        <v>0</v>
      </c>
      <c r="O1626" s="79">
        <v>0</v>
      </c>
    </row>
    <row r="1627" spans="1:15" s="79" customFormat="1">
      <c r="A1627" s="121">
        <v>460323</v>
      </c>
      <c r="B1627" s="121">
        <v>4603231</v>
      </c>
      <c r="C1627" s="79" t="s">
        <v>3240</v>
      </c>
      <c r="D1627" s="121">
        <v>4603232</v>
      </c>
      <c r="E1627" s="146" t="s">
        <v>3241</v>
      </c>
      <c r="F1627" s="79">
        <v>5</v>
      </c>
      <c r="G1627" s="79">
        <v>4</v>
      </c>
      <c r="H1627" s="79" t="s">
        <v>3235</v>
      </c>
      <c r="K1627" s="79">
        <v>4</v>
      </c>
      <c r="L1627" s="79">
        <v>8</v>
      </c>
      <c r="M1627" s="127" t="s">
        <v>3242</v>
      </c>
      <c r="N1627" s="79">
        <v>0</v>
      </c>
      <c r="O1627" s="79">
        <v>0</v>
      </c>
    </row>
    <row r="1628" spans="1:15" s="79" customFormat="1">
      <c r="A1628" s="121">
        <v>460324</v>
      </c>
      <c r="B1628" s="121">
        <v>4603241</v>
      </c>
      <c r="C1628" s="79" t="s">
        <v>3243</v>
      </c>
      <c r="D1628" s="121">
        <v>4603242</v>
      </c>
      <c r="E1628" s="146" t="s">
        <v>3244</v>
      </c>
      <c r="F1628" s="79">
        <v>5</v>
      </c>
      <c r="G1628" s="79">
        <v>4</v>
      </c>
      <c r="H1628" s="79" t="s">
        <v>3235</v>
      </c>
      <c r="K1628" s="79">
        <v>4</v>
      </c>
      <c r="L1628" s="79">
        <v>8</v>
      </c>
      <c r="M1628" s="127" t="s">
        <v>3245</v>
      </c>
      <c r="N1628" s="79">
        <v>0</v>
      </c>
      <c r="O1628" s="79">
        <v>0</v>
      </c>
    </row>
    <row r="1629" spans="1:15" s="79" customFormat="1">
      <c r="A1629" s="121">
        <v>460331</v>
      </c>
      <c r="B1629" s="121">
        <v>4603311</v>
      </c>
      <c r="C1629" s="79" t="s">
        <v>3246</v>
      </c>
      <c r="D1629" s="121">
        <v>4603312</v>
      </c>
      <c r="E1629" s="146" t="s">
        <v>3247</v>
      </c>
      <c r="F1629" s="79">
        <v>5</v>
      </c>
      <c r="G1629" s="79">
        <v>4</v>
      </c>
      <c r="H1629" s="79" t="s">
        <v>3248</v>
      </c>
      <c r="K1629" s="79">
        <v>4</v>
      </c>
      <c r="L1629" s="79">
        <v>8</v>
      </c>
      <c r="M1629" s="127" t="s">
        <v>3249</v>
      </c>
      <c r="N1629" s="79">
        <v>0</v>
      </c>
      <c r="O1629" s="79">
        <v>0</v>
      </c>
    </row>
    <row r="1630" spans="1:15" s="79" customFormat="1">
      <c r="A1630" s="121">
        <v>460332</v>
      </c>
      <c r="B1630" s="121">
        <v>4603321</v>
      </c>
      <c r="C1630" s="79" t="s">
        <v>3250</v>
      </c>
      <c r="D1630" s="121">
        <v>4603322</v>
      </c>
      <c r="E1630" s="146" t="s">
        <v>3251</v>
      </c>
      <c r="F1630" s="79">
        <v>5</v>
      </c>
      <c r="G1630" s="79">
        <v>4</v>
      </c>
      <c r="H1630" s="79" t="s">
        <v>3248</v>
      </c>
      <c r="K1630" s="79">
        <v>4</v>
      </c>
      <c r="L1630" s="79">
        <v>8</v>
      </c>
      <c r="M1630" s="127" t="s">
        <v>3252</v>
      </c>
      <c r="N1630" s="79">
        <v>0</v>
      </c>
      <c r="O1630" s="79">
        <v>0</v>
      </c>
    </row>
    <row r="1631" spans="1:15" s="79" customFormat="1">
      <c r="A1631" s="121">
        <v>460333</v>
      </c>
      <c r="B1631" s="121">
        <v>4603331</v>
      </c>
      <c r="C1631" s="79" t="s">
        <v>3253</v>
      </c>
      <c r="D1631" s="121">
        <v>4603332</v>
      </c>
      <c r="E1631" s="146" t="s">
        <v>3254</v>
      </c>
      <c r="F1631" s="79">
        <v>5</v>
      </c>
      <c r="G1631" s="79">
        <v>4</v>
      </c>
      <c r="H1631" s="79" t="s">
        <v>3248</v>
      </c>
      <c r="K1631" s="79">
        <v>4</v>
      </c>
      <c r="L1631" s="79">
        <v>8</v>
      </c>
      <c r="M1631" s="127" t="s">
        <v>3255</v>
      </c>
      <c r="N1631" s="79">
        <v>0</v>
      </c>
      <c r="O1631" s="79">
        <v>0</v>
      </c>
    </row>
    <row r="1632" spans="1:15" s="79" customFormat="1">
      <c r="A1632" s="121">
        <v>460334</v>
      </c>
      <c r="B1632" s="121">
        <v>4603341</v>
      </c>
      <c r="C1632" s="79" t="s">
        <v>3256</v>
      </c>
      <c r="D1632" s="121">
        <v>4603342</v>
      </c>
      <c r="E1632" s="146" t="s">
        <v>3257</v>
      </c>
      <c r="F1632" s="79">
        <v>5</v>
      </c>
      <c r="G1632" s="79">
        <v>4</v>
      </c>
      <c r="H1632" s="79" t="s">
        <v>3248</v>
      </c>
      <c r="K1632" s="79">
        <v>4</v>
      </c>
      <c r="L1632" s="79">
        <v>8</v>
      </c>
      <c r="M1632" s="127" t="s">
        <v>3258</v>
      </c>
      <c r="N1632" s="79">
        <v>0</v>
      </c>
      <c r="O1632" s="79">
        <v>0</v>
      </c>
    </row>
    <row r="1633" spans="1:15" s="79" customFormat="1">
      <c r="A1633" s="121">
        <v>460341</v>
      </c>
      <c r="B1633" s="121">
        <v>4603411</v>
      </c>
      <c r="C1633" s="79" t="s">
        <v>3259</v>
      </c>
      <c r="D1633" s="121">
        <v>4603412</v>
      </c>
      <c r="E1633" s="146" t="s">
        <v>3260</v>
      </c>
      <c r="F1633" s="79">
        <v>5</v>
      </c>
      <c r="G1633" s="79">
        <v>4</v>
      </c>
      <c r="H1633" s="79" t="s">
        <v>3261</v>
      </c>
      <c r="K1633" s="79">
        <v>4</v>
      </c>
      <c r="L1633" s="79">
        <v>8</v>
      </c>
      <c r="M1633" s="127" t="s">
        <v>3262</v>
      </c>
      <c r="N1633" s="79">
        <v>0</v>
      </c>
      <c r="O1633" s="79">
        <v>0</v>
      </c>
    </row>
    <row r="1634" spans="1:15" s="79" customFormat="1">
      <c r="A1634" s="121">
        <v>460342</v>
      </c>
      <c r="B1634" s="121">
        <v>4603421</v>
      </c>
      <c r="C1634" s="79" t="s">
        <v>3263</v>
      </c>
      <c r="D1634" s="121">
        <v>4603422</v>
      </c>
      <c r="E1634" s="146" t="s">
        <v>3264</v>
      </c>
      <c r="F1634" s="79">
        <v>5</v>
      </c>
      <c r="G1634" s="79">
        <v>4</v>
      </c>
      <c r="H1634" s="79" t="s">
        <v>3261</v>
      </c>
      <c r="K1634" s="79">
        <v>4</v>
      </c>
      <c r="L1634" s="79">
        <v>8</v>
      </c>
      <c r="M1634" s="127" t="s">
        <v>3265</v>
      </c>
      <c r="N1634" s="79">
        <v>0</v>
      </c>
      <c r="O1634" s="79">
        <v>0</v>
      </c>
    </row>
    <row r="1635" spans="1:15" s="79" customFormat="1">
      <c r="A1635" s="121">
        <v>460343</v>
      </c>
      <c r="B1635" s="121">
        <v>4603431</v>
      </c>
      <c r="C1635" s="79" t="s">
        <v>3266</v>
      </c>
      <c r="D1635" s="121">
        <v>4603432</v>
      </c>
      <c r="E1635" s="146" t="s">
        <v>3267</v>
      </c>
      <c r="F1635" s="79">
        <v>5</v>
      </c>
      <c r="G1635" s="79">
        <v>4</v>
      </c>
      <c r="H1635" s="79" t="s">
        <v>3261</v>
      </c>
      <c r="K1635" s="79">
        <v>4</v>
      </c>
      <c r="L1635" s="79">
        <v>8</v>
      </c>
      <c r="M1635" s="127" t="s">
        <v>3268</v>
      </c>
      <c r="N1635" s="79">
        <v>0</v>
      </c>
      <c r="O1635" s="79">
        <v>0</v>
      </c>
    </row>
    <row r="1636" spans="1:15" s="79" customFormat="1">
      <c r="A1636" s="121">
        <v>460344</v>
      </c>
      <c r="B1636" s="121">
        <v>4603441</v>
      </c>
      <c r="C1636" s="79" t="s">
        <v>3269</v>
      </c>
      <c r="D1636" s="121">
        <v>4603442</v>
      </c>
      <c r="E1636" s="146" t="s">
        <v>3270</v>
      </c>
      <c r="F1636" s="79">
        <v>5</v>
      </c>
      <c r="G1636" s="79">
        <v>4</v>
      </c>
      <c r="H1636" s="79" t="s">
        <v>3261</v>
      </c>
      <c r="K1636" s="79">
        <v>4</v>
      </c>
      <c r="L1636" s="79">
        <v>8</v>
      </c>
      <c r="M1636" s="127" t="s">
        <v>3271</v>
      </c>
      <c r="N1636" s="79">
        <v>0</v>
      </c>
      <c r="O1636" s="79">
        <v>0</v>
      </c>
    </row>
    <row r="1637" spans="1:15" s="79" customFormat="1">
      <c r="A1637" s="121">
        <v>460351</v>
      </c>
      <c r="B1637" s="121">
        <v>4603511</v>
      </c>
      <c r="C1637" s="79" t="s">
        <v>3272</v>
      </c>
      <c r="D1637" s="121">
        <v>4603512</v>
      </c>
      <c r="E1637" s="146" t="s">
        <v>3273</v>
      </c>
      <c r="F1637" s="79">
        <v>5</v>
      </c>
      <c r="G1637" s="79">
        <v>4</v>
      </c>
      <c r="H1637" s="79" t="s">
        <v>3274</v>
      </c>
      <c r="K1637" s="79">
        <v>4</v>
      </c>
      <c r="L1637" s="79">
        <v>8</v>
      </c>
      <c r="M1637" s="127" t="s">
        <v>3275</v>
      </c>
      <c r="N1637" s="79">
        <v>0</v>
      </c>
      <c r="O1637" s="79">
        <v>0</v>
      </c>
    </row>
    <row r="1638" spans="1:15" s="79" customFormat="1">
      <c r="A1638" s="121">
        <v>460352</v>
      </c>
      <c r="B1638" s="121">
        <v>4603521</v>
      </c>
      <c r="C1638" s="79" t="s">
        <v>3276</v>
      </c>
      <c r="D1638" s="121">
        <v>4603522</v>
      </c>
      <c r="E1638" s="146" t="s">
        <v>3277</v>
      </c>
      <c r="F1638" s="79">
        <v>5</v>
      </c>
      <c r="G1638" s="79">
        <v>4</v>
      </c>
      <c r="H1638" s="79" t="s">
        <v>3274</v>
      </c>
      <c r="K1638" s="79">
        <v>4</v>
      </c>
      <c r="L1638" s="79">
        <v>8</v>
      </c>
      <c r="M1638" s="127" t="s">
        <v>3278</v>
      </c>
      <c r="N1638" s="79">
        <v>0</v>
      </c>
      <c r="O1638" s="79">
        <v>0</v>
      </c>
    </row>
    <row r="1639" spans="1:15" s="79" customFormat="1">
      <c r="A1639" s="121">
        <v>460353</v>
      </c>
      <c r="B1639" s="121">
        <v>4603531</v>
      </c>
      <c r="C1639" s="79" t="s">
        <v>3279</v>
      </c>
      <c r="D1639" s="121">
        <v>4603532</v>
      </c>
      <c r="E1639" s="146" t="s">
        <v>3280</v>
      </c>
      <c r="F1639" s="79">
        <v>5</v>
      </c>
      <c r="G1639" s="79">
        <v>4</v>
      </c>
      <c r="H1639" s="79" t="s">
        <v>3274</v>
      </c>
      <c r="K1639" s="79">
        <v>4</v>
      </c>
      <c r="L1639" s="79">
        <v>8</v>
      </c>
      <c r="M1639" s="127" t="s">
        <v>3281</v>
      </c>
      <c r="N1639" s="79">
        <v>0</v>
      </c>
      <c r="O1639" s="79">
        <v>0</v>
      </c>
    </row>
    <row r="1640" spans="1:15" s="79" customFormat="1">
      <c r="A1640" s="121">
        <v>460354</v>
      </c>
      <c r="B1640" s="121">
        <v>4603541</v>
      </c>
      <c r="C1640" s="79" t="s">
        <v>3282</v>
      </c>
      <c r="D1640" s="121">
        <v>4603542</v>
      </c>
      <c r="E1640" s="146" t="s">
        <v>3283</v>
      </c>
      <c r="F1640" s="79">
        <v>5</v>
      </c>
      <c r="G1640" s="79">
        <v>4</v>
      </c>
      <c r="H1640" s="79" t="s">
        <v>3274</v>
      </c>
      <c r="K1640" s="79">
        <v>4</v>
      </c>
      <c r="L1640" s="79">
        <v>8</v>
      </c>
      <c r="M1640" s="127" t="s">
        <v>3284</v>
      </c>
      <c r="N1640" s="79">
        <v>0</v>
      </c>
      <c r="O1640" s="79">
        <v>0</v>
      </c>
    </row>
    <row r="1641" spans="1:15" s="79" customFormat="1">
      <c r="A1641" s="121">
        <v>460361</v>
      </c>
      <c r="B1641" s="121">
        <v>4603611</v>
      </c>
      <c r="C1641" s="79" t="s">
        <v>3285</v>
      </c>
      <c r="D1641" s="121">
        <v>4603612</v>
      </c>
      <c r="E1641" s="146" t="s">
        <v>3286</v>
      </c>
      <c r="F1641" s="79">
        <v>5</v>
      </c>
      <c r="G1641" s="79">
        <v>4</v>
      </c>
      <c r="H1641" s="79" t="s">
        <v>3287</v>
      </c>
      <c r="K1641" s="79">
        <v>4</v>
      </c>
      <c r="L1641" s="79">
        <v>8</v>
      </c>
      <c r="M1641" s="127" t="s">
        <v>3288</v>
      </c>
      <c r="N1641" s="79">
        <v>0</v>
      </c>
      <c r="O1641" s="79">
        <v>0</v>
      </c>
    </row>
    <row r="1642" spans="1:15" s="79" customFormat="1">
      <c r="A1642" s="121">
        <v>460362</v>
      </c>
      <c r="B1642" s="121">
        <v>4603621</v>
      </c>
      <c r="C1642" s="79" t="s">
        <v>3289</v>
      </c>
      <c r="D1642" s="121">
        <v>4603622</v>
      </c>
      <c r="E1642" s="146" t="s">
        <v>3290</v>
      </c>
      <c r="F1642" s="79">
        <v>5</v>
      </c>
      <c r="G1642" s="79">
        <v>4</v>
      </c>
      <c r="H1642" s="79" t="s">
        <v>3287</v>
      </c>
      <c r="K1642" s="79">
        <v>4</v>
      </c>
      <c r="L1642" s="79">
        <v>8</v>
      </c>
      <c r="M1642" s="127" t="s">
        <v>3291</v>
      </c>
      <c r="N1642" s="79">
        <v>0</v>
      </c>
      <c r="O1642" s="79">
        <v>0</v>
      </c>
    </row>
    <row r="1643" spans="1:15" s="79" customFormat="1">
      <c r="A1643" s="121">
        <v>460363</v>
      </c>
      <c r="B1643" s="121">
        <v>4603631</v>
      </c>
      <c r="C1643" s="79" t="s">
        <v>3292</v>
      </c>
      <c r="D1643" s="121">
        <v>4603632</v>
      </c>
      <c r="E1643" s="146" t="s">
        <v>3293</v>
      </c>
      <c r="F1643" s="79">
        <v>5</v>
      </c>
      <c r="G1643" s="79">
        <v>4</v>
      </c>
      <c r="H1643" s="79" t="s">
        <v>3287</v>
      </c>
      <c r="K1643" s="79">
        <v>4</v>
      </c>
      <c r="L1643" s="79">
        <v>8</v>
      </c>
      <c r="M1643" s="127" t="s">
        <v>3294</v>
      </c>
      <c r="N1643" s="79">
        <v>0</v>
      </c>
      <c r="O1643" s="79">
        <v>0</v>
      </c>
    </row>
    <row r="1644" spans="1:15" s="79" customFormat="1">
      <c r="A1644" s="121">
        <v>460364</v>
      </c>
      <c r="B1644" s="121">
        <v>4603641</v>
      </c>
      <c r="C1644" s="79" t="s">
        <v>3295</v>
      </c>
      <c r="D1644" s="121">
        <v>4603642</v>
      </c>
      <c r="E1644" s="146" t="s">
        <v>3296</v>
      </c>
      <c r="F1644" s="79">
        <v>5</v>
      </c>
      <c r="G1644" s="79">
        <v>4</v>
      </c>
      <c r="H1644" s="79" t="s">
        <v>3287</v>
      </c>
      <c r="K1644" s="79">
        <v>4</v>
      </c>
      <c r="L1644" s="79">
        <v>8</v>
      </c>
      <c r="M1644" s="127" t="s">
        <v>3297</v>
      </c>
      <c r="N1644" s="79">
        <v>0</v>
      </c>
      <c r="O1644" s="79">
        <v>0</v>
      </c>
    </row>
    <row r="1645" spans="1:15" s="79" customFormat="1">
      <c r="A1645" s="121">
        <v>460371</v>
      </c>
      <c r="B1645" s="121">
        <v>4603711</v>
      </c>
      <c r="C1645" s="79" t="s">
        <v>3298</v>
      </c>
      <c r="D1645" s="121">
        <v>4603712</v>
      </c>
      <c r="E1645" s="146" t="s">
        <v>3299</v>
      </c>
      <c r="F1645" s="79">
        <v>5</v>
      </c>
      <c r="G1645" s="79">
        <v>4</v>
      </c>
      <c r="H1645" s="79" t="s">
        <v>3300</v>
      </c>
      <c r="K1645" s="79">
        <v>4</v>
      </c>
      <c r="L1645" s="79">
        <v>8</v>
      </c>
      <c r="M1645" s="127" t="s">
        <v>3301</v>
      </c>
      <c r="N1645" s="79">
        <v>0</v>
      </c>
      <c r="O1645" s="79">
        <v>0</v>
      </c>
    </row>
    <row r="1646" spans="1:15" s="79" customFormat="1">
      <c r="A1646" s="121">
        <v>460372</v>
      </c>
      <c r="B1646" s="121">
        <v>4603721</v>
      </c>
      <c r="C1646" s="79" t="s">
        <v>3302</v>
      </c>
      <c r="D1646" s="121">
        <v>4603722</v>
      </c>
      <c r="E1646" s="146" t="s">
        <v>3303</v>
      </c>
      <c r="F1646" s="79">
        <v>5</v>
      </c>
      <c r="G1646" s="79">
        <v>4</v>
      </c>
      <c r="H1646" s="79" t="s">
        <v>3300</v>
      </c>
      <c r="K1646" s="79">
        <v>4</v>
      </c>
      <c r="L1646" s="79">
        <v>8</v>
      </c>
      <c r="M1646" s="127" t="s">
        <v>3304</v>
      </c>
      <c r="N1646" s="79">
        <v>0</v>
      </c>
      <c r="O1646" s="79">
        <v>0</v>
      </c>
    </row>
    <row r="1647" spans="1:15" s="79" customFormat="1">
      <c r="A1647" s="121">
        <v>460373</v>
      </c>
      <c r="B1647" s="121">
        <v>4603731</v>
      </c>
      <c r="C1647" s="79" t="s">
        <v>3305</v>
      </c>
      <c r="D1647" s="121">
        <v>4603732</v>
      </c>
      <c r="E1647" s="146" t="s">
        <v>3306</v>
      </c>
      <c r="F1647" s="79">
        <v>5</v>
      </c>
      <c r="G1647" s="79">
        <v>4</v>
      </c>
      <c r="H1647" s="79" t="s">
        <v>3300</v>
      </c>
      <c r="K1647" s="79">
        <v>4</v>
      </c>
      <c r="L1647" s="79">
        <v>8</v>
      </c>
      <c r="M1647" s="127" t="s">
        <v>3307</v>
      </c>
      <c r="N1647" s="79">
        <v>0</v>
      </c>
      <c r="O1647" s="79">
        <v>0</v>
      </c>
    </row>
    <row r="1648" spans="1:15" s="79" customFormat="1">
      <c r="A1648" s="121">
        <v>460374</v>
      </c>
      <c r="B1648" s="121">
        <v>4603741</v>
      </c>
      <c r="C1648" s="79" t="s">
        <v>3308</v>
      </c>
      <c r="D1648" s="121">
        <v>4603742</v>
      </c>
      <c r="E1648" s="146" t="s">
        <v>3309</v>
      </c>
      <c r="F1648" s="79">
        <v>5</v>
      </c>
      <c r="G1648" s="79">
        <v>4</v>
      </c>
      <c r="H1648" s="79" t="s">
        <v>3300</v>
      </c>
      <c r="K1648" s="79">
        <v>4</v>
      </c>
      <c r="L1648" s="79">
        <v>8</v>
      </c>
      <c r="M1648" s="127" t="s">
        <v>3310</v>
      </c>
      <c r="N1648" s="79">
        <v>0</v>
      </c>
      <c r="O1648" s="79">
        <v>0</v>
      </c>
    </row>
    <row r="1649" spans="1:15" s="79" customFormat="1">
      <c r="A1649" s="121">
        <v>460381</v>
      </c>
      <c r="B1649" s="121">
        <v>4603811</v>
      </c>
      <c r="C1649" s="79" t="s">
        <v>3311</v>
      </c>
      <c r="D1649" s="121">
        <v>4603812</v>
      </c>
      <c r="E1649" s="146" t="s">
        <v>3312</v>
      </c>
      <c r="F1649" s="79">
        <v>5</v>
      </c>
      <c r="G1649" s="79">
        <v>4</v>
      </c>
      <c r="H1649" s="79" t="s">
        <v>3313</v>
      </c>
      <c r="K1649" s="79">
        <v>4</v>
      </c>
      <c r="L1649" s="79">
        <v>8</v>
      </c>
      <c r="M1649" s="127" t="s">
        <v>3314</v>
      </c>
      <c r="N1649" s="79">
        <v>0</v>
      </c>
      <c r="O1649" s="79">
        <v>0</v>
      </c>
    </row>
    <row r="1650" spans="1:15" s="79" customFormat="1">
      <c r="A1650" s="121">
        <v>460382</v>
      </c>
      <c r="B1650" s="121">
        <v>4603821</v>
      </c>
      <c r="C1650" s="79" t="s">
        <v>3315</v>
      </c>
      <c r="D1650" s="121">
        <v>4603822</v>
      </c>
      <c r="E1650" s="146" t="s">
        <v>3316</v>
      </c>
      <c r="F1650" s="79">
        <v>5</v>
      </c>
      <c r="G1650" s="79">
        <v>4</v>
      </c>
      <c r="H1650" s="79" t="s">
        <v>3313</v>
      </c>
      <c r="K1650" s="79">
        <v>4</v>
      </c>
      <c r="L1650" s="79">
        <v>8</v>
      </c>
      <c r="M1650" s="127" t="s">
        <v>3317</v>
      </c>
      <c r="N1650" s="79">
        <v>0</v>
      </c>
      <c r="O1650" s="79">
        <v>0</v>
      </c>
    </row>
    <row r="1651" spans="1:15" s="79" customFormat="1">
      <c r="A1651" s="121">
        <v>460383</v>
      </c>
      <c r="B1651" s="121">
        <v>4603831</v>
      </c>
      <c r="C1651" s="79" t="s">
        <v>3318</v>
      </c>
      <c r="D1651" s="121">
        <v>4603832</v>
      </c>
      <c r="E1651" s="146" t="s">
        <v>3319</v>
      </c>
      <c r="F1651" s="79">
        <v>5</v>
      </c>
      <c r="G1651" s="79">
        <v>4</v>
      </c>
      <c r="H1651" s="79" t="s">
        <v>3313</v>
      </c>
      <c r="K1651" s="79">
        <v>4</v>
      </c>
      <c r="L1651" s="79">
        <v>8</v>
      </c>
      <c r="M1651" s="127" t="s">
        <v>3320</v>
      </c>
      <c r="N1651" s="79">
        <v>0</v>
      </c>
      <c r="O1651" s="79">
        <v>0</v>
      </c>
    </row>
    <row r="1652" spans="1:15" s="79" customFormat="1">
      <c r="A1652" s="121">
        <v>460384</v>
      </c>
      <c r="B1652" s="121">
        <v>4603841</v>
      </c>
      <c r="C1652" s="79" t="s">
        <v>3321</v>
      </c>
      <c r="D1652" s="121">
        <v>4603842</v>
      </c>
      <c r="E1652" s="146" t="s">
        <v>3322</v>
      </c>
      <c r="F1652" s="79">
        <v>5</v>
      </c>
      <c r="G1652" s="79">
        <v>4</v>
      </c>
      <c r="H1652" s="79" t="s">
        <v>3313</v>
      </c>
      <c r="K1652" s="79">
        <v>4</v>
      </c>
      <c r="L1652" s="79">
        <v>8</v>
      </c>
      <c r="M1652" s="127" t="s">
        <v>3323</v>
      </c>
      <c r="N1652" s="79">
        <v>0</v>
      </c>
      <c r="O1652" s="79">
        <v>0</v>
      </c>
    </row>
    <row r="1653" spans="1:15" s="175" customFormat="1">
      <c r="A1653" s="181">
        <v>460401</v>
      </c>
      <c r="B1653" s="181">
        <v>4604011</v>
      </c>
      <c r="C1653" s="175" t="s">
        <v>3324</v>
      </c>
      <c r="D1653" s="181">
        <v>4604012</v>
      </c>
      <c r="E1653" s="182" t="s">
        <v>3325</v>
      </c>
      <c r="F1653" s="175">
        <v>5</v>
      </c>
      <c r="G1653" s="175">
        <v>4</v>
      </c>
      <c r="H1653" s="175" t="s">
        <v>3326</v>
      </c>
      <c r="K1653" s="175">
        <v>4</v>
      </c>
      <c r="L1653" s="175">
        <v>8</v>
      </c>
      <c r="M1653" s="179" t="s">
        <v>3327</v>
      </c>
      <c r="N1653" s="175">
        <v>0</v>
      </c>
      <c r="O1653" s="175">
        <v>0</v>
      </c>
    </row>
    <row r="1654" spans="1:15" s="175" customFormat="1">
      <c r="A1654" s="181">
        <v>460402</v>
      </c>
      <c r="B1654" s="181">
        <v>4604021</v>
      </c>
      <c r="C1654" s="175" t="s">
        <v>3328</v>
      </c>
      <c r="D1654" s="181">
        <v>4604022</v>
      </c>
      <c r="E1654" s="182" t="s">
        <v>3329</v>
      </c>
      <c r="F1654" s="175">
        <v>5</v>
      </c>
      <c r="G1654" s="175">
        <v>4</v>
      </c>
      <c r="H1654" s="175" t="s">
        <v>3326</v>
      </c>
      <c r="K1654" s="175">
        <v>4</v>
      </c>
      <c r="L1654" s="175">
        <v>8</v>
      </c>
      <c r="M1654" s="179" t="s">
        <v>3330</v>
      </c>
      <c r="N1654" s="175">
        <v>0</v>
      </c>
      <c r="O1654" s="175">
        <v>0</v>
      </c>
    </row>
    <row r="1655" spans="1:15" s="175" customFormat="1">
      <c r="A1655" s="181">
        <v>460403</v>
      </c>
      <c r="B1655" s="181">
        <v>4604031</v>
      </c>
      <c r="C1655" s="175" t="s">
        <v>3331</v>
      </c>
      <c r="D1655" s="181">
        <v>4604032</v>
      </c>
      <c r="E1655" s="182" t="s">
        <v>3332</v>
      </c>
      <c r="F1655" s="175">
        <v>5</v>
      </c>
      <c r="G1655" s="175">
        <v>4</v>
      </c>
      <c r="H1655" s="175" t="s">
        <v>3326</v>
      </c>
      <c r="K1655" s="175">
        <v>4</v>
      </c>
      <c r="L1655" s="175">
        <v>8</v>
      </c>
      <c r="M1655" s="179" t="s">
        <v>3333</v>
      </c>
      <c r="N1655" s="175">
        <v>0</v>
      </c>
      <c r="O1655" s="175">
        <v>0</v>
      </c>
    </row>
    <row r="1656" spans="1:15" s="175" customFormat="1">
      <c r="A1656" s="181">
        <v>460404</v>
      </c>
      <c r="B1656" s="181">
        <v>4604041</v>
      </c>
      <c r="C1656" s="175" t="s">
        <v>3334</v>
      </c>
      <c r="D1656" s="181">
        <v>4604042</v>
      </c>
      <c r="E1656" s="182" t="s">
        <v>3335</v>
      </c>
      <c r="F1656" s="175">
        <v>5</v>
      </c>
      <c r="G1656" s="175">
        <v>4</v>
      </c>
      <c r="H1656" s="175" t="s">
        <v>3326</v>
      </c>
      <c r="K1656" s="175">
        <v>4</v>
      </c>
      <c r="L1656" s="175">
        <v>8</v>
      </c>
      <c r="M1656" s="179" t="s">
        <v>3336</v>
      </c>
      <c r="N1656" s="175">
        <v>0</v>
      </c>
      <c r="O1656" s="175">
        <v>0</v>
      </c>
    </row>
    <row r="1657" spans="1:15" s="175" customFormat="1">
      <c r="A1657" s="181">
        <v>460411</v>
      </c>
      <c r="B1657" s="181">
        <v>4604111</v>
      </c>
      <c r="C1657" s="175" t="s">
        <v>3337</v>
      </c>
      <c r="D1657" s="181">
        <v>4604112</v>
      </c>
      <c r="E1657" s="182" t="s">
        <v>3338</v>
      </c>
      <c r="F1657" s="175">
        <v>5</v>
      </c>
      <c r="G1657" s="175">
        <v>4</v>
      </c>
      <c r="H1657" s="175" t="s">
        <v>3339</v>
      </c>
      <c r="K1657" s="175">
        <v>4</v>
      </c>
      <c r="L1657" s="175">
        <v>8</v>
      </c>
      <c r="M1657" s="179" t="s">
        <v>3340</v>
      </c>
      <c r="N1657" s="175">
        <v>0</v>
      </c>
      <c r="O1657" s="175">
        <v>0</v>
      </c>
    </row>
    <row r="1658" spans="1:15" s="175" customFormat="1">
      <c r="A1658" s="181">
        <v>460412</v>
      </c>
      <c r="B1658" s="181">
        <v>4604121</v>
      </c>
      <c r="C1658" s="175" t="s">
        <v>3341</v>
      </c>
      <c r="D1658" s="181">
        <v>4604122</v>
      </c>
      <c r="E1658" s="182" t="s">
        <v>3342</v>
      </c>
      <c r="F1658" s="175">
        <v>5</v>
      </c>
      <c r="G1658" s="175">
        <v>4</v>
      </c>
      <c r="H1658" s="175" t="s">
        <v>3339</v>
      </c>
      <c r="K1658" s="175">
        <v>4</v>
      </c>
      <c r="L1658" s="175">
        <v>8</v>
      </c>
      <c r="M1658" s="179" t="s">
        <v>3343</v>
      </c>
      <c r="N1658" s="175">
        <v>0</v>
      </c>
      <c r="O1658" s="175">
        <v>0</v>
      </c>
    </row>
    <row r="1659" spans="1:15" s="175" customFormat="1">
      <c r="A1659" s="181">
        <v>460413</v>
      </c>
      <c r="B1659" s="181">
        <v>4604131</v>
      </c>
      <c r="C1659" s="175" t="s">
        <v>3344</v>
      </c>
      <c r="D1659" s="181">
        <v>4604132</v>
      </c>
      <c r="E1659" s="182" t="s">
        <v>3345</v>
      </c>
      <c r="F1659" s="175">
        <v>5</v>
      </c>
      <c r="G1659" s="175">
        <v>4</v>
      </c>
      <c r="H1659" s="175" t="s">
        <v>3339</v>
      </c>
      <c r="K1659" s="175">
        <v>4</v>
      </c>
      <c r="L1659" s="175">
        <v>8</v>
      </c>
      <c r="M1659" s="179" t="s">
        <v>3346</v>
      </c>
      <c r="N1659" s="175">
        <v>0</v>
      </c>
      <c r="O1659" s="175">
        <v>0</v>
      </c>
    </row>
    <row r="1660" spans="1:15" s="175" customFormat="1">
      <c r="A1660" s="181">
        <v>460414</v>
      </c>
      <c r="B1660" s="181">
        <v>4604141</v>
      </c>
      <c r="C1660" s="175" t="s">
        <v>3347</v>
      </c>
      <c r="D1660" s="181">
        <v>4604142</v>
      </c>
      <c r="E1660" s="182" t="s">
        <v>3348</v>
      </c>
      <c r="F1660" s="175">
        <v>5</v>
      </c>
      <c r="G1660" s="175">
        <v>4</v>
      </c>
      <c r="H1660" s="175" t="s">
        <v>3339</v>
      </c>
      <c r="K1660" s="175">
        <v>4</v>
      </c>
      <c r="L1660" s="175">
        <v>8</v>
      </c>
      <c r="M1660" s="179" t="s">
        <v>3349</v>
      </c>
      <c r="N1660" s="175">
        <v>0</v>
      </c>
      <c r="O1660" s="175">
        <v>0</v>
      </c>
    </row>
    <row r="1661" spans="1:15" s="175" customFormat="1">
      <c r="A1661" s="181">
        <v>460421</v>
      </c>
      <c r="B1661" s="181">
        <v>4604211</v>
      </c>
      <c r="C1661" s="175" t="s">
        <v>3350</v>
      </c>
      <c r="D1661" s="181">
        <v>4604212</v>
      </c>
      <c r="E1661" s="182" t="s">
        <v>3351</v>
      </c>
      <c r="F1661" s="175">
        <v>5</v>
      </c>
      <c r="G1661" s="175">
        <v>4</v>
      </c>
      <c r="H1661" s="175" t="s">
        <v>3352</v>
      </c>
      <c r="K1661" s="175">
        <v>4</v>
      </c>
      <c r="L1661" s="175">
        <v>8</v>
      </c>
      <c r="M1661" s="179" t="s">
        <v>3353</v>
      </c>
      <c r="N1661" s="175">
        <v>0</v>
      </c>
      <c r="O1661" s="175">
        <v>0</v>
      </c>
    </row>
    <row r="1662" spans="1:15" s="175" customFormat="1">
      <c r="A1662" s="181">
        <v>460422</v>
      </c>
      <c r="B1662" s="181">
        <v>4604221</v>
      </c>
      <c r="C1662" s="175" t="s">
        <v>3354</v>
      </c>
      <c r="D1662" s="181">
        <v>4604222</v>
      </c>
      <c r="E1662" s="182" t="s">
        <v>3355</v>
      </c>
      <c r="F1662" s="175">
        <v>5</v>
      </c>
      <c r="G1662" s="175">
        <v>4</v>
      </c>
      <c r="H1662" s="175" t="s">
        <v>3352</v>
      </c>
      <c r="K1662" s="175">
        <v>4</v>
      </c>
      <c r="L1662" s="175">
        <v>8</v>
      </c>
      <c r="M1662" s="179" t="s">
        <v>3356</v>
      </c>
      <c r="N1662" s="175">
        <v>0</v>
      </c>
      <c r="O1662" s="175">
        <v>0</v>
      </c>
    </row>
    <row r="1663" spans="1:15" s="175" customFormat="1">
      <c r="A1663" s="181">
        <v>460423</v>
      </c>
      <c r="B1663" s="181">
        <v>4604231</v>
      </c>
      <c r="C1663" s="175" t="s">
        <v>3357</v>
      </c>
      <c r="D1663" s="181">
        <v>4604232</v>
      </c>
      <c r="E1663" s="182" t="s">
        <v>3358</v>
      </c>
      <c r="F1663" s="175">
        <v>5</v>
      </c>
      <c r="G1663" s="175">
        <v>4</v>
      </c>
      <c r="H1663" s="175" t="s">
        <v>3352</v>
      </c>
      <c r="K1663" s="175">
        <v>4</v>
      </c>
      <c r="L1663" s="175">
        <v>8</v>
      </c>
      <c r="M1663" s="179" t="s">
        <v>3359</v>
      </c>
      <c r="N1663" s="175">
        <v>0</v>
      </c>
      <c r="O1663" s="175">
        <v>0</v>
      </c>
    </row>
    <row r="1664" spans="1:15" s="175" customFormat="1">
      <c r="A1664" s="181">
        <v>460424</v>
      </c>
      <c r="B1664" s="181">
        <v>4604241</v>
      </c>
      <c r="C1664" s="175" t="s">
        <v>3360</v>
      </c>
      <c r="D1664" s="181">
        <v>4604242</v>
      </c>
      <c r="E1664" s="182" t="s">
        <v>3361</v>
      </c>
      <c r="F1664" s="175">
        <v>5</v>
      </c>
      <c r="G1664" s="175">
        <v>4</v>
      </c>
      <c r="H1664" s="175" t="s">
        <v>3352</v>
      </c>
      <c r="K1664" s="175">
        <v>4</v>
      </c>
      <c r="L1664" s="175">
        <v>8</v>
      </c>
      <c r="M1664" s="179" t="s">
        <v>3362</v>
      </c>
      <c r="N1664" s="175">
        <v>0</v>
      </c>
      <c r="O1664" s="175">
        <v>0</v>
      </c>
    </row>
    <row r="1665" spans="1:18">
      <c r="A1665" s="79">
        <v>480011</v>
      </c>
      <c r="B1665" s="79">
        <f t="shared" ref="B1665:B1667" si="98">A1665*10+1</f>
        <v>4800111</v>
      </c>
      <c r="C1665" s="79" t="s">
        <v>3363</v>
      </c>
      <c r="D1665" s="79">
        <f t="shared" ref="D1665:D1667" si="99">A1665*10+2</f>
        <v>4800112</v>
      </c>
      <c r="E1665" s="79" t="s">
        <v>3364</v>
      </c>
      <c r="F1665" s="79">
        <v>5</v>
      </c>
      <c r="G1665" s="79">
        <v>4</v>
      </c>
      <c r="H1665" s="79" t="s">
        <v>3365</v>
      </c>
      <c r="I1665" s="79"/>
      <c r="J1665" s="79"/>
      <c r="K1665" s="79">
        <v>7</v>
      </c>
      <c r="L1665" s="79">
        <v>8</v>
      </c>
      <c r="M1665" s="127" t="s">
        <v>3366</v>
      </c>
      <c r="N1665" s="79">
        <v>0</v>
      </c>
      <c r="O1665" s="79">
        <v>0</v>
      </c>
      <c r="P1665" s="107"/>
      <c r="Q1665" s="106"/>
      <c r="R1665" s="92"/>
    </row>
    <row r="1666" spans="1:18">
      <c r="A1666" s="79">
        <v>480021</v>
      </c>
      <c r="B1666" s="79">
        <f t="shared" si="98"/>
        <v>4800211</v>
      </c>
      <c r="C1666" s="79" t="s">
        <v>3367</v>
      </c>
      <c r="D1666" s="79">
        <f t="shared" si="99"/>
        <v>4800212</v>
      </c>
      <c r="E1666" s="79" t="s">
        <v>3368</v>
      </c>
      <c r="F1666" s="79">
        <v>5</v>
      </c>
      <c r="G1666" s="79">
        <v>4</v>
      </c>
      <c r="H1666" s="79" t="s">
        <v>3369</v>
      </c>
      <c r="I1666" s="79"/>
      <c r="J1666" s="79"/>
      <c r="K1666" s="79">
        <v>7</v>
      </c>
      <c r="L1666" s="79">
        <v>8</v>
      </c>
      <c r="M1666" s="127" t="s">
        <v>3370</v>
      </c>
      <c r="N1666" s="79">
        <v>0</v>
      </c>
      <c r="O1666" s="79">
        <v>0</v>
      </c>
      <c r="P1666" s="107"/>
      <c r="Q1666" s="106"/>
      <c r="R1666" s="92"/>
    </row>
    <row r="1667" spans="1:18">
      <c r="A1667" s="93">
        <v>481001</v>
      </c>
      <c r="B1667" s="93">
        <f t="shared" si="98"/>
        <v>4810011</v>
      </c>
      <c r="C1667" s="93" t="s">
        <v>3371</v>
      </c>
      <c r="D1667" s="93">
        <f t="shared" si="99"/>
        <v>4810012</v>
      </c>
      <c r="E1667" s="93" t="s">
        <v>3372</v>
      </c>
      <c r="F1667" s="93">
        <v>5</v>
      </c>
      <c r="G1667" s="93">
        <v>4</v>
      </c>
      <c r="H1667" s="93" t="s">
        <v>3373</v>
      </c>
      <c r="K1667" s="93">
        <v>5</v>
      </c>
      <c r="L1667" s="93">
        <v>8</v>
      </c>
      <c r="M1667" s="117" t="s">
        <v>3374</v>
      </c>
      <c r="N1667" s="93">
        <v>0</v>
      </c>
      <c r="O1667" s="93">
        <v>0</v>
      </c>
      <c r="P1667" s="98"/>
      <c r="Q1667" s="94"/>
      <c r="R1667" s="92"/>
    </row>
    <row r="1668" spans="1:18">
      <c r="A1668" s="93">
        <v>481002</v>
      </c>
      <c r="B1668" s="93">
        <v>4810021</v>
      </c>
      <c r="C1668" s="93" t="s">
        <v>3375</v>
      </c>
      <c r="D1668" s="93">
        <v>4810022</v>
      </c>
      <c r="E1668" s="93" t="s">
        <v>3376</v>
      </c>
      <c r="F1668" s="93">
        <v>5</v>
      </c>
      <c r="G1668" s="93">
        <v>4</v>
      </c>
      <c r="H1668" s="93" t="s">
        <v>3373</v>
      </c>
      <c r="K1668" s="93">
        <v>5</v>
      </c>
      <c r="L1668" s="93">
        <v>8</v>
      </c>
      <c r="M1668" s="117" t="s">
        <v>3377</v>
      </c>
      <c r="N1668" s="93">
        <v>0</v>
      </c>
      <c r="O1668" s="93">
        <v>0</v>
      </c>
      <c r="P1668" s="98"/>
      <c r="Q1668" s="94"/>
      <c r="R1668" s="92"/>
    </row>
    <row r="1669" spans="1:18">
      <c r="A1669" s="93">
        <v>481003</v>
      </c>
      <c r="B1669" s="93">
        <v>4810021</v>
      </c>
      <c r="C1669" s="93" t="s">
        <v>3378</v>
      </c>
      <c r="D1669" s="93">
        <v>4810022</v>
      </c>
      <c r="E1669" s="93" t="s">
        <v>3379</v>
      </c>
      <c r="F1669" s="93">
        <v>5</v>
      </c>
      <c r="G1669" s="93">
        <v>4</v>
      </c>
      <c r="H1669" s="93" t="s">
        <v>3373</v>
      </c>
      <c r="K1669" s="93">
        <v>5</v>
      </c>
      <c r="L1669" s="93">
        <v>8</v>
      </c>
      <c r="M1669" s="117" t="s">
        <v>3380</v>
      </c>
      <c r="N1669" s="93">
        <v>0</v>
      </c>
      <c r="O1669" s="93">
        <v>0</v>
      </c>
      <c r="P1669" s="98"/>
      <c r="Q1669" s="94"/>
      <c r="R1669" s="92"/>
    </row>
    <row r="1670" spans="1:18">
      <c r="A1670" s="93">
        <v>486001</v>
      </c>
      <c r="B1670" s="93">
        <v>4860011</v>
      </c>
      <c r="C1670" s="93" t="s">
        <v>3381</v>
      </c>
      <c r="D1670" s="93">
        <v>4860012</v>
      </c>
      <c r="E1670" s="93" t="s">
        <v>3382</v>
      </c>
      <c r="F1670" s="93">
        <v>5</v>
      </c>
      <c r="G1670" s="93">
        <v>4</v>
      </c>
      <c r="H1670" s="93" t="s">
        <v>3383</v>
      </c>
      <c r="K1670" s="93">
        <v>5</v>
      </c>
      <c r="L1670" s="93">
        <v>8</v>
      </c>
      <c r="M1670" s="117" t="s">
        <v>3384</v>
      </c>
      <c r="N1670" s="93">
        <v>0</v>
      </c>
      <c r="O1670" s="93">
        <v>0</v>
      </c>
      <c r="P1670" s="98"/>
      <c r="Q1670" s="94"/>
      <c r="R1670" s="92"/>
    </row>
    <row r="1671" spans="1:18">
      <c r="A1671" s="93">
        <v>486002</v>
      </c>
      <c r="B1671" s="93">
        <v>4860021</v>
      </c>
      <c r="C1671" s="93" t="s">
        <v>3385</v>
      </c>
      <c r="D1671" s="93">
        <v>4860022</v>
      </c>
      <c r="E1671" s="93" t="s">
        <v>3386</v>
      </c>
      <c r="F1671" s="93">
        <v>5</v>
      </c>
      <c r="G1671" s="93">
        <v>4</v>
      </c>
      <c r="H1671" s="93" t="s">
        <v>3383</v>
      </c>
      <c r="K1671" s="93">
        <v>5</v>
      </c>
      <c r="L1671" s="93">
        <v>8</v>
      </c>
      <c r="M1671" s="117" t="s">
        <v>3387</v>
      </c>
      <c r="N1671" s="93">
        <v>0</v>
      </c>
      <c r="O1671" s="93">
        <v>0</v>
      </c>
      <c r="P1671" s="98"/>
      <c r="Q1671" s="94"/>
      <c r="R1671" s="92"/>
    </row>
    <row r="1672" spans="1:18">
      <c r="A1672" s="93">
        <v>486003</v>
      </c>
      <c r="B1672" s="93">
        <v>4860031</v>
      </c>
      <c r="C1672" s="93" t="s">
        <v>3388</v>
      </c>
      <c r="D1672" s="93">
        <v>4860032</v>
      </c>
      <c r="E1672" s="93" t="s">
        <v>3389</v>
      </c>
      <c r="F1672" s="93">
        <v>5</v>
      </c>
      <c r="G1672" s="93">
        <v>4</v>
      </c>
      <c r="H1672" s="93" t="s">
        <v>3383</v>
      </c>
      <c r="K1672" s="93">
        <v>5</v>
      </c>
      <c r="L1672" s="93">
        <v>8</v>
      </c>
      <c r="M1672" s="117" t="s">
        <v>3390</v>
      </c>
      <c r="N1672" s="93">
        <v>0</v>
      </c>
      <c r="O1672" s="93">
        <v>0</v>
      </c>
      <c r="P1672" s="98"/>
      <c r="Q1672" s="94"/>
      <c r="R1672" s="92"/>
    </row>
    <row r="1673" spans="1:18">
      <c r="A1673" s="79">
        <v>510001</v>
      </c>
      <c r="B1673" s="79">
        <f t="shared" ref="B1673:B1704" si="100">A1673*10+1</f>
        <v>5100011</v>
      </c>
      <c r="C1673" s="79" t="s">
        <v>3391</v>
      </c>
      <c r="D1673" s="79">
        <f t="shared" ref="D1673:D1704" si="101">A1673*10+2</f>
        <v>5100012</v>
      </c>
      <c r="E1673" s="79" t="s">
        <v>3392</v>
      </c>
      <c r="F1673" s="79">
        <v>6</v>
      </c>
      <c r="G1673" s="79">
        <v>2</v>
      </c>
      <c r="H1673" s="79" t="s">
        <v>3393</v>
      </c>
      <c r="I1673" s="79"/>
      <c r="J1673" s="79"/>
      <c r="K1673" s="79">
        <v>2</v>
      </c>
      <c r="L1673" s="79">
        <v>0</v>
      </c>
      <c r="M1673" s="127">
        <v>0</v>
      </c>
      <c r="N1673" s="79">
        <v>1</v>
      </c>
      <c r="O1673" s="79">
        <v>0</v>
      </c>
      <c r="P1673" s="107"/>
      <c r="Q1673" s="106"/>
      <c r="R1673" s="79"/>
    </row>
    <row r="1674" spans="1:18">
      <c r="A1674" s="79">
        <v>510011</v>
      </c>
      <c r="B1674" s="121">
        <f t="shared" si="100"/>
        <v>5100111</v>
      </c>
      <c r="C1674" s="79" t="s">
        <v>3394</v>
      </c>
      <c r="D1674" s="121">
        <f t="shared" si="101"/>
        <v>5100112</v>
      </c>
      <c r="E1674" s="79" t="s">
        <v>3395</v>
      </c>
      <c r="F1674" s="79">
        <v>6</v>
      </c>
      <c r="G1674" s="79">
        <v>2</v>
      </c>
      <c r="H1674" s="79" t="s">
        <v>3396</v>
      </c>
      <c r="I1674" s="79"/>
      <c r="J1674" s="79"/>
      <c r="K1674" s="79">
        <v>5</v>
      </c>
      <c r="L1674" s="79">
        <v>0</v>
      </c>
      <c r="M1674" s="127">
        <v>0</v>
      </c>
      <c r="N1674" s="79">
        <v>1</v>
      </c>
      <c r="O1674" s="79">
        <v>0</v>
      </c>
      <c r="P1674" s="107"/>
      <c r="Q1674" s="106"/>
      <c r="R1674" s="79"/>
    </row>
    <row r="1675" spans="1:18">
      <c r="A1675" s="79">
        <v>510021</v>
      </c>
      <c r="B1675" s="121">
        <f t="shared" si="100"/>
        <v>5100211</v>
      </c>
      <c r="C1675" s="79" t="s">
        <v>3397</v>
      </c>
      <c r="D1675" s="121">
        <f t="shared" si="101"/>
        <v>5100212</v>
      </c>
      <c r="E1675" s="79" t="s">
        <v>3398</v>
      </c>
      <c r="F1675" s="79">
        <v>6</v>
      </c>
      <c r="G1675" s="79">
        <v>2</v>
      </c>
      <c r="H1675" s="79" t="s">
        <v>3399</v>
      </c>
      <c r="I1675" s="79"/>
      <c r="J1675" s="79"/>
      <c r="K1675" s="79">
        <v>4</v>
      </c>
      <c r="L1675" s="79">
        <v>0</v>
      </c>
      <c r="M1675" s="127">
        <v>0</v>
      </c>
      <c r="N1675" s="79">
        <v>1</v>
      </c>
      <c r="O1675" s="79">
        <v>0</v>
      </c>
      <c r="P1675" s="107"/>
      <c r="Q1675" s="106"/>
      <c r="R1675" s="79"/>
    </row>
    <row r="1676" spans="1:18">
      <c r="A1676" s="79">
        <v>510031</v>
      </c>
      <c r="B1676" s="79">
        <f t="shared" si="100"/>
        <v>5100311</v>
      </c>
      <c r="C1676" s="79" t="s">
        <v>3400</v>
      </c>
      <c r="D1676" s="79">
        <f t="shared" si="101"/>
        <v>5100312</v>
      </c>
      <c r="E1676" s="79" t="s">
        <v>3401</v>
      </c>
      <c r="F1676" s="79">
        <v>6</v>
      </c>
      <c r="G1676" s="79">
        <v>2</v>
      </c>
      <c r="H1676" s="79" t="s">
        <v>3402</v>
      </c>
      <c r="I1676" s="79"/>
      <c r="J1676" s="79"/>
      <c r="K1676" s="79">
        <v>2</v>
      </c>
      <c r="L1676" s="79">
        <v>0</v>
      </c>
      <c r="M1676" s="127">
        <v>0</v>
      </c>
      <c r="N1676" s="79">
        <v>1</v>
      </c>
      <c r="O1676" s="79">
        <v>0</v>
      </c>
      <c r="P1676" s="107"/>
      <c r="Q1676" s="106"/>
      <c r="R1676" s="79"/>
    </row>
    <row r="1677" spans="1:18">
      <c r="A1677" s="79">
        <v>510041</v>
      </c>
      <c r="B1677" s="121">
        <f t="shared" si="100"/>
        <v>5100411</v>
      </c>
      <c r="C1677" s="79" t="s">
        <v>3403</v>
      </c>
      <c r="D1677" s="121">
        <f t="shared" si="101"/>
        <v>5100412</v>
      </c>
      <c r="E1677" s="79" t="s">
        <v>3404</v>
      </c>
      <c r="F1677" s="79">
        <v>6</v>
      </c>
      <c r="G1677" s="79">
        <v>2</v>
      </c>
      <c r="H1677" s="79" t="s">
        <v>3405</v>
      </c>
      <c r="I1677" s="79"/>
      <c r="J1677" s="79"/>
      <c r="K1677" s="79">
        <v>4</v>
      </c>
      <c r="L1677" s="79">
        <v>0</v>
      </c>
      <c r="M1677" s="127">
        <v>0</v>
      </c>
      <c r="N1677" s="79">
        <v>1</v>
      </c>
      <c r="O1677" s="79">
        <v>0</v>
      </c>
      <c r="P1677" s="107"/>
      <c r="Q1677" s="106"/>
      <c r="R1677" s="79"/>
    </row>
    <row r="1678" spans="1:18">
      <c r="A1678" s="79">
        <v>510051</v>
      </c>
      <c r="B1678" s="121">
        <f t="shared" si="100"/>
        <v>5100511</v>
      </c>
      <c r="C1678" s="79" t="s">
        <v>3406</v>
      </c>
      <c r="D1678" s="121">
        <f t="shared" si="101"/>
        <v>5100512</v>
      </c>
      <c r="E1678" s="79" t="s">
        <v>3407</v>
      </c>
      <c r="F1678" s="79">
        <v>6</v>
      </c>
      <c r="G1678" s="79">
        <v>2</v>
      </c>
      <c r="H1678" s="79" t="s">
        <v>3408</v>
      </c>
      <c r="I1678" s="79"/>
      <c r="J1678" s="79"/>
      <c r="K1678" s="79">
        <v>4</v>
      </c>
      <c r="L1678" s="79">
        <v>0</v>
      </c>
      <c r="M1678" s="127">
        <v>0</v>
      </c>
      <c r="N1678" s="79">
        <v>1</v>
      </c>
      <c r="O1678" s="79">
        <v>0</v>
      </c>
      <c r="P1678" s="107"/>
      <c r="Q1678" s="106"/>
      <c r="R1678" s="79"/>
    </row>
    <row r="1679" spans="1:18">
      <c r="A1679" s="79">
        <v>510061</v>
      </c>
      <c r="B1679" s="121">
        <f t="shared" si="100"/>
        <v>5100611</v>
      </c>
      <c r="C1679" s="79" t="s">
        <v>3409</v>
      </c>
      <c r="D1679" s="121">
        <f t="shared" si="101"/>
        <v>5100612</v>
      </c>
      <c r="E1679" s="79" t="s">
        <v>3410</v>
      </c>
      <c r="F1679" s="79">
        <v>6</v>
      </c>
      <c r="G1679" s="79">
        <v>2</v>
      </c>
      <c r="H1679" s="79" t="s">
        <v>3411</v>
      </c>
      <c r="I1679" s="79"/>
      <c r="J1679" s="79"/>
      <c r="K1679" s="79">
        <v>4</v>
      </c>
      <c r="L1679" s="79">
        <v>0</v>
      </c>
      <c r="M1679" s="127">
        <v>0</v>
      </c>
      <c r="N1679" s="79">
        <v>1</v>
      </c>
      <c r="O1679" s="79">
        <v>0</v>
      </c>
      <c r="P1679" s="107"/>
      <c r="Q1679" s="106"/>
      <c r="R1679" s="79"/>
    </row>
    <row r="1680" spans="1:18">
      <c r="A1680" s="79">
        <v>510071</v>
      </c>
      <c r="B1680" s="121">
        <f t="shared" si="100"/>
        <v>5100711</v>
      </c>
      <c r="C1680" s="79" t="s">
        <v>3412</v>
      </c>
      <c r="D1680" s="121">
        <f t="shared" si="101"/>
        <v>5100712</v>
      </c>
      <c r="E1680" s="79" t="s">
        <v>3413</v>
      </c>
      <c r="F1680" s="79">
        <v>6</v>
      </c>
      <c r="G1680" s="79">
        <v>2</v>
      </c>
      <c r="H1680" s="79" t="s">
        <v>3414</v>
      </c>
      <c r="I1680" s="79"/>
      <c r="J1680" s="79"/>
      <c r="K1680" s="79">
        <v>5</v>
      </c>
      <c r="L1680" s="79">
        <v>0</v>
      </c>
      <c r="M1680" s="127">
        <v>0</v>
      </c>
      <c r="N1680" s="79">
        <v>1</v>
      </c>
      <c r="O1680" s="79">
        <v>0</v>
      </c>
      <c r="P1680" s="107"/>
      <c r="Q1680" s="106"/>
      <c r="R1680" s="79"/>
    </row>
    <row r="1681" spans="1:23">
      <c r="A1681" s="79">
        <v>510081</v>
      </c>
      <c r="B1681" s="121">
        <f t="shared" si="100"/>
        <v>5100811</v>
      </c>
      <c r="C1681" s="79" t="s">
        <v>3415</v>
      </c>
      <c r="D1681" s="121">
        <f t="shared" si="101"/>
        <v>5100812</v>
      </c>
      <c r="E1681" s="79" t="s">
        <v>3416</v>
      </c>
      <c r="F1681" s="79">
        <v>6</v>
      </c>
      <c r="G1681" s="79">
        <v>2</v>
      </c>
      <c r="H1681" s="79" t="s">
        <v>3417</v>
      </c>
      <c r="I1681" s="79"/>
      <c r="J1681" s="79"/>
      <c r="K1681" s="79">
        <v>5</v>
      </c>
      <c r="L1681" s="79">
        <v>0</v>
      </c>
      <c r="M1681" s="127">
        <v>0</v>
      </c>
      <c r="N1681" s="79">
        <v>1</v>
      </c>
      <c r="O1681" s="79">
        <v>0</v>
      </c>
      <c r="P1681" s="107"/>
      <c r="Q1681" s="106"/>
      <c r="R1681" s="79"/>
    </row>
    <row r="1682" spans="1:23">
      <c r="A1682" s="79">
        <v>510091</v>
      </c>
      <c r="B1682" s="121">
        <f t="shared" si="100"/>
        <v>5100911</v>
      </c>
      <c r="C1682" s="79" t="s">
        <v>3418</v>
      </c>
      <c r="D1682" s="121">
        <f t="shared" si="101"/>
        <v>5100912</v>
      </c>
      <c r="E1682" s="79" t="s">
        <v>3419</v>
      </c>
      <c r="F1682" s="79">
        <v>6</v>
      </c>
      <c r="G1682" s="79">
        <v>2</v>
      </c>
      <c r="H1682" s="79" t="s">
        <v>3420</v>
      </c>
      <c r="I1682" s="79"/>
      <c r="J1682" s="79"/>
      <c r="K1682" s="79">
        <v>5</v>
      </c>
      <c r="L1682" s="79">
        <v>0</v>
      </c>
      <c r="M1682" s="127">
        <v>0</v>
      </c>
      <c r="N1682" s="79">
        <v>1</v>
      </c>
      <c r="O1682" s="79">
        <v>0</v>
      </c>
      <c r="P1682" s="107"/>
      <c r="Q1682" s="106"/>
      <c r="R1682" s="98"/>
    </row>
    <row r="1683" spans="1:23">
      <c r="A1683" s="79">
        <v>510101</v>
      </c>
      <c r="B1683" s="121">
        <f t="shared" si="100"/>
        <v>5101011</v>
      </c>
      <c r="C1683" s="79" t="s">
        <v>3421</v>
      </c>
      <c r="D1683" s="121">
        <f t="shared" si="101"/>
        <v>5101012</v>
      </c>
      <c r="E1683" s="79" t="s">
        <v>3422</v>
      </c>
      <c r="F1683" s="79">
        <v>6</v>
      </c>
      <c r="G1683" s="79">
        <v>2</v>
      </c>
      <c r="H1683" s="79" t="s">
        <v>3423</v>
      </c>
      <c r="I1683" s="79"/>
      <c r="J1683" s="79"/>
      <c r="K1683" s="79">
        <v>5</v>
      </c>
      <c r="L1683" s="79">
        <v>0</v>
      </c>
      <c r="M1683" s="127">
        <v>0</v>
      </c>
      <c r="N1683" s="79">
        <v>1</v>
      </c>
      <c r="O1683" s="79">
        <v>0</v>
      </c>
      <c r="P1683" s="79"/>
      <c r="R1683" s="79"/>
    </row>
    <row r="1684" spans="1:23">
      <c r="A1684" s="79">
        <v>510111</v>
      </c>
      <c r="B1684" s="121">
        <f t="shared" si="100"/>
        <v>5101111</v>
      </c>
      <c r="C1684" s="79" t="s">
        <v>3424</v>
      </c>
      <c r="D1684" s="121">
        <f t="shared" si="101"/>
        <v>5101112</v>
      </c>
      <c r="E1684" s="79" t="s">
        <v>3425</v>
      </c>
      <c r="F1684" s="79">
        <v>6</v>
      </c>
      <c r="G1684" s="79">
        <v>2</v>
      </c>
      <c r="H1684" s="79" t="s">
        <v>3426</v>
      </c>
      <c r="I1684" s="79"/>
      <c r="J1684" s="79"/>
      <c r="K1684" s="79">
        <v>5</v>
      </c>
      <c r="L1684" s="79">
        <v>0</v>
      </c>
      <c r="M1684" s="127">
        <v>0</v>
      </c>
      <c r="N1684" s="79">
        <v>1</v>
      </c>
      <c r="O1684" s="79">
        <v>0</v>
      </c>
      <c r="P1684" s="107"/>
      <c r="Q1684" s="106"/>
      <c r="R1684" s="79"/>
    </row>
    <row r="1685" spans="1:23">
      <c r="A1685" s="79">
        <v>510121</v>
      </c>
      <c r="B1685" s="79">
        <f t="shared" si="100"/>
        <v>5101211</v>
      </c>
      <c r="C1685" s="79" t="s">
        <v>3427</v>
      </c>
      <c r="D1685" s="79">
        <f t="shared" si="101"/>
        <v>5101212</v>
      </c>
      <c r="E1685" s="79" t="s">
        <v>3428</v>
      </c>
      <c r="F1685" s="79">
        <v>6</v>
      </c>
      <c r="G1685" s="79">
        <v>2</v>
      </c>
      <c r="H1685" s="79" t="s">
        <v>3429</v>
      </c>
      <c r="I1685" s="79"/>
      <c r="J1685" s="79"/>
      <c r="K1685" s="79">
        <v>5</v>
      </c>
      <c r="L1685" s="79">
        <v>0</v>
      </c>
      <c r="M1685" s="127">
        <v>0</v>
      </c>
      <c r="N1685" s="79">
        <v>1</v>
      </c>
      <c r="O1685" s="79">
        <v>0</v>
      </c>
      <c r="P1685" s="107"/>
      <c r="Q1685" s="106"/>
      <c r="R1685" s="98"/>
    </row>
    <row r="1686" spans="1:23">
      <c r="A1686" s="79">
        <v>510131</v>
      </c>
      <c r="B1686" s="121">
        <f t="shared" si="100"/>
        <v>5101311</v>
      </c>
      <c r="C1686" s="79" t="s">
        <v>3430</v>
      </c>
      <c r="D1686" s="121">
        <f t="shared" si="101"/>
        <v>5101312</v>
      </c>
      <c r="E1686" s="79" t="s">
        <v>3431</v>
      </c>
      <c r="F1686" s="79">
        <v>6</v>
      </c>
      <c r="G1686" s="79">
        <v>2</v>
      </c>
      <c r="H1686" s="79" t="s">
        <v>3432</v>
      </c>
      <c r="I1686" s="79"/>
      <c r="J1686" s="79"/>
      <c r="K1686" s="79">
        <v>2</v>
      </c>
      <c r="L1686" s="79">
        <v>0</v>
      </c>
      <c r="M1686" s="127">
        <v>0</v>
      </c>
      <c r="N1686" s="79">
        <v>1</v>
      </c>
      <c r="O1686" s="79">
        <v>0</v>
      </c>
      <c r="P1686" s="107"/>
      <c r="Q1686" s="106"/>
      <c r="R1686" s="98"/>
    </row>
    <row r="1687" spans="1:23">
      <c r="A1687" s="79">
        <v>510141</v>
      </c>
      <c r="B1687" s="121">
        <f t="shared" si="100"/>
        <v>5101411</v>
      </c>
      <c r="C1687" s="79" t="s">
        <v>3433</v>
      </c>
      <c r="D1687" s="121">
        <f t="shared" si="101"/>
        <v>5101412</v>
      </c>
      <c r="E1687" s="79" t="s">
        <v>3434</v>
      </c>
      <c r="F1687" s="79">
        <v>6</v>
      </c>
      <c r="G1687" s="79">
        <v>2</v>
      </c>
      <c r="H1687" s="79" t="s">
        <v>3435</v>
      </c>
      <c r="I1687" s="79"/>
      <c r="J1687" s="79"/>
      <c r="K1687" s="79">
        <v>3</v>
      </c>
      <c r="L1687" s="79">
        <v>0</v>
      </c>
      <c r="M1687" s="127">
        <v>0</v>
      </c>
      <c r="N1687" s="79">
        <v>1</v>
      </c>
      <c r="O1687" s="79">
        <v>0</v>
      </c>
      <c r="P1687" s="107"/>
      <c r="Q1687" s="106"/>
      <c r="R1687" s="98"/>
    </row>
    <row r="1688" spans="1:23">
      <c r="A1688" s="79">
        <v>510151</v>
      </c>
      <c r="B1688" s="79">
        <f t="shared" si="100"/>
        <v>5101511</v>
      </c>
      <c r="C1688" s="79" t="s">
        <v>3436</v>
      </c>
      <c r="D1688" s="79">
        <f t="shared" si="101"/>
        <v>5101512</v>
      </c>
      <c r="E1688" s="79" t="s">
        <v>3437</v>
      </c>
      <c r="F1688" s="79">
        <v>6</v>
      </c>
      <c r="G1688" s="79">
        <v>2</v>
      </c>
      <c r="H1688" s="79" t="s">
        <v>3438</v>
      </c>
      <c r="I1688" s="79"/>
      <c r="J1688" s="79"/>
      <c r="K1688" s="79">
        <v>4</v>
      </c>
      <c r="L1688" s="79">
        <v>0</v>
      </c>
      <c r="M1688" s="127">
        <v>0</v>
      </c>
      <c r="N1688" s="79">
        <v>1</v>
      </c>
      <c r="O1688" s="79">
        <v>0</v>
      </c>
      <c r="P1688" s="107"/>
      <c r="Q1688" s="106"/>
      <c r="R1688" s="98"/>
    </row>
    <row r="1689" spans="1:23">
      <c r="A1689" s="79">
        <v>510161</v>
      </c>
      <c r="B1689" s="121">
        <f t="shared" si="100"/>
        <v>5101611</v>
      </c>
      <c r="C1689" s="79" t="s">
        <v>3439</v>
      </c>
      <c r="D1689" s="121">
        <f t="shared" si="101"/>
        <v>5101612</v>
      </c>
      <c r="E1689" s="79" t="s">
        <v>3440</v>
      </c>
      <c r="F1689" s="79">
        <v>6</v>
      </c>
      <c r="G1689" s="79">
        <v>2</v>
      </c>
      <c r="H1689" s="79" t="s">
        <v>3441</v>
      </c>
      <c r="I1689" s="79"/>
      <c r="J1689" s="79"/>
      <c r="K1689" s="79">
        <v>5</v>
      </c>
      <c r="L1689" s="79">
        <v>0</v>
      </c>
      <c r="M1689" s="127">
        <v>0</v>
      </c>
      <c r="N1689" s="79">
        <v>1</v>
      </c>
      <c r="O1689" s="79">
        <v>0</v>
      </c>
      <c r="P1689" s="107"/>
      <c r="Q1689" s="106"/>
      <c r="R1689" s="79"/>
    </row>
    <row r="1690" spans="1:23">
      <c r="A1690" s="79">
        <v>510171</v>
      </c>
      <c r="B1690" s="121">
        <f t="shared" si="100"/>
        <v>5101711</v>
      </c>
      <c r="C1690" s="79" t="s">
        <v>3442</v>
      </c>
      <c r="D1690" s="121">
        <f t="shared" si="101"/>
        <v>5101712</v>
      </c>
      <c r="E1690" s="79" t="s">
        <v>3443</v>
      </c>
      <c r="F1690" s="79">
        <v>6</v>
      </c>
      <c r="G1690" s="79">
        <v>2</v>
      </c>
      <c r="H1690" s="79" t="s">
        <v>3444</v>
      </c>
      <c r="I1690" s="79"/>
      <c r="J1690" s="79"/>
      <c r="K1690" s="79">
        <v>6</v>
      </c>
      <c r="L1690" s="79">
        <v>0</v>
      </c>
      <c r="M1690" s="127">
        <v>0</v>
      </c>
      <c r="N1690" s="79">
        <v>1</v>
      </c>
      <c r="O1690" s="79">
        <v>0</v>
      </c>
      <c r="P1690" s="107"/>
      <c r="Q1690" s="106"/>
      <c r="R1690" s="79"/>
    </row>
    <row r="1691" spans="1:23">
      <c r="A1691" s="79">
        <v>510181</v>
      </c>
      <c r="B1691" s="121">
        <f t="shared" si="100"/>
        <v>5101811</v>
      </c>
      <c r="C1691" s="79" t="s">
        <v>3445</v>
      </c>
      <c r="D1691" s="121">
        <f t="shared" si="101"/>
        <v>5101812</v>
      </c>
      <c r="E1691" s="79" t="s">
        <v>3446</v>
      </c>
      <c r="F1691" s="79">
        <v>6</v>
      </c>
      <c r="G1691" s="79">
        <v>2</v>
      </c>
      <c r="H1691" s="79" t="s">
        <v>3447</v>
      </c>
      <c r="I1691" s="79"/>
      <c r="J1691" s="79"/>
      <c r="K1691" s="79">
        <v>6</v>
      </c>
      <c r="L1691" s="79">
        <v>0</v>
      </c>
      <c r="M1691" s="127">
        <v>0</v>
      </c>
      <c r="N1691" s="79">
        <v>1</v>
      </c>
      <c r="O1691" s="79">
        <v>0</v>
      </c>
      <c r="P1691" s="107"/>
      <c r="Q1691" s="106"/>
      <c r="R1691" s="79"/>
    </row>
    <row r="1692" spans="1:23">
      <c r="A1692" s="79">
        <v>510191</v>
      </c>
      <c r="B1692" s="79">
        <f t="shared" si="100"/>
        <v>5101911</v>
      </c>
      <c r="C1692" s="79" t="s">
        <v>3448</v>
      </c>
      <c r="D1692" s="79">
        <f t="shared" si="101"/>
        <v>5101912</v>
      </c>
      <c r="E1692" s="79" t="s">
        <v>3449</v>
      </c>
      <c r="F1692" s="79">
        <v>6</v>
      </c>
      <c r="G1692" s="79">
        <v>2</v>
      </c>
      <c r="H1692" s="79" t="s">
        <v>3450</v>
      </c>
      <c r="I1692" s="79"/>
      <c r="J1692" s="79"/>
      <c r="K1692" s="79">
        <v>6</v>
      </c>
      <c r="L1692" s="79">
        <v>0</v>
      </c>
      <c r="M1692" s="127">
        <v>0</v>
      </c>
      <c r="N1692" s="79">
        <v>1</v>
      </c>
      <c r="O1692" s="79">
        <v>0</v>
      </c>
      <c r="P1692" s="107"/>
      <c r="Q1692" s="106"/>
      <c r="R1692" s="79"/>
    </row>
    <row r="1693" spans="1:23">
      <c r="A1693" s="79">
        <v>510201</v>
      </c>
      <c r="B1693" s="79">
        <f t="shared" si="100"/>
        <v>5102011</v>
      </c>
      <c r="C1693" s="79" t="s">
        <v>3451</v>
      </c>
      <c r="D1693" s="79">
        <f t="shared" si="101"/>
        <v>5102012</v>
      </c>
      <c r="E1693" s="79" t="s">
        <v>3452</v>
      </c>
      <c r="F1693" s="79">
        <v>6</v>
      </c>
      <c r="G1693" s="79">
        <v>2</v>
      </c>
      <c r="H1693" s="79" t="s">
        <v>3453</v>
      </c>
      <c r="I1693" s="79"/>
      <c r="J1693" s="79"/>
      <c r="K1693" s="79">
        <v>6</v>
      </c>
      <c r="L1693" s="79">
        <v>0</v>
      </c>
      <c r="M1693" s="127">
        <v>0</v>
      </c>
      <c r="N1693" s="79">
        <v>1</v>
      </c>
      <c r="O1693" s="79">
        <v>0</v>
      </c>
      <c r="P1693" s="107"/>
      <c r="Q1693" s="106"/>
      <c r="R1693" s="79"/>
    </row>
    <row r="1694" spans="1:23">
      <c r="A1694" s="79">
        <v>510221</v>
      </c>
      <c r="B1694" s="79">
        <f t="shared" si="100"/>
        <v>5102211</v>
      </c>
      <c r="C1694" s="79" t="s">
        <v>3454</v>
      </c>
      <c r="D1694" s="79">
        <f t="shared" si="101"/>
        <v>5102212</v>
      </c>
      <c r="E1694" s="79" t="s">
        <v>3455</v>
      </c>
      <c r="F1694" s="79">
        <v>6</v>
      </c>
      <c r="G1694" s="79">
        <v>2</v>
      </c>
      <c r="H1694" s="79" t="s">
        <v>3456</v>
      </c>
      <c r="I1694" s="79"/>
      <c r="J1694" s="79"/>
      <c r="K1694" s="79">
        <v>5</v>
      </c>
      <c r="L1694" s="79">
        <v>0</v>
      </c>
      <c r="M1694" s="127">
        <v>0</v>
      </c>
      <c r="N1694" s="79">
        <v>1</v>
      </c>
      <c r="O1694" s="79">
        <v>0</v>
      </c>
      <c r="P1694" s="107"/>
      <c r="Q1694" s="106"/>
      <c r="R1694" s="79"/>
    </row>
    <row r="1695" spans="1:23">
      <c r="A1695" s="79">
        <v>510231</v>
      </c>
      <c r="B1695" s="79">
        <f t="shared" si="100"/>
        <v>5102311</v>
      </c>
      <c r="C1695" s="79" t="s">
        <v>3457</v>
      </c>
      <c r="D1695" s="79">
        <f t="shared" si="101"/>
        <v>5102312</v>
      </c>
      <c r="E1695" s="79" t="s">
        <v>3458</v>
      </c>
      <c r="F1695" s="79">
        <v>6</v>
      </c>
      <c r="G1695" s="79">
        <v>2</v>
      </c>
      <c r="H1695" s="79" t="s">
        <v>3459</v>
      </c>
      <c r="I1695" s="79"/>
      <c r="J1695" s="79"/>
      <c r="K1695" s="79">
        <v>4</v>
      </c>
      <c r="L1695" s="79">
        <v>0</v>
      </c>
      <c r="M1695" s="127">
        <v>0</v>
      </c>
      <c r="N1695" s="79">
        <v>1</v>
      </c>
      <c r="O1695" s="79">
        <v>0</v>
      </c>
      <c r="P1695" s="107"/>
      <c r="Q1695" s="106"/>
      <c r="R1695" s="79"/>
      <c r="V1695" s="92"/>
      <c r="W1695" s="92"/>
    </row>
    <row r="1696" spans="1:23">
      <c r="A1696" s="79">
        <v>510241</v>
      </c>
      <c r="B1696" s="79">
        <f t="shared" si="100"/>
        <v>5102411</v>
      </c>
      <c r="C1696" s="79" t="s">
        <v>3460</v>
      </c>
      <c r="D1696" s="79">
        <f t="shared" si="101"/>
        <v>5102412</v>
      </c>
      <c r="E1696" s="79" t="s">
        <v>3461</v>
      </c>
      <c r="F1696" s="79">
        <v>6</v>
      </c>
      <c r="G1696" s="79">
        <v>2</v>
      </c>
      <c r="H1696" s="79" t="s">
        <v>3462</v>
      </c>
      <c r="I1696" s="79"/>
      <c r="J1696" s="79"/>
      <c r="K1696" s="79">
        <v>4</v>
      </c>
      <c r="L1696" s="79">
        <v>0</v>
      </c>
      <c r="M1696" s="127">
        <v>0</v>
      </c>
      <c r="N1696" s="79">
        <v>1</v>
      </c>
      <c r="O1696" s="79">
        <v>0</v>
      </c>
      <c r="P1696" s="107"/>
      <c r="Q1696" s="106"/>
      <c r="R1696" s="79"/>
    </row>
    <row r="1697" spans="1:21">
      <c r="A1697" s="79">
        <v>510251</v>
      </c>
      <c r="B1697" s="79">
        <f t="shared" si="100"/>
        <v>5102511</v>
      </c>
      <c r="C1697" s="79" t="s">
        <v>3463</v>
      </c>
      <c r="D1697" s="79">
        <f t="shared" si="101"/>
        <v>5102512</v>
      </c>
      <c r="E1697" s="79" t="s">
        <v>3464</v>
      </c>
      <c r="F1697" s="79">
        <v>6</v>
      </c>
      <c r="G1697" s="79">
        <v>2</v>
      </c>
      <c r="H1697" s="79" t="s">
        <v>3465</v>
      </c>
      <c r="I1697" s="79"/>
      <c r="J1697" s="79"/>
      <c r="K1697" s="79">
        <v>3</v>
      </c>
      <c r="L1697" s="79">
        <v>0</v>
      </c>
      <c r="M1697" s="127">
        <v>0</v>
      </c>
      <c r="N1697" s="79">
        <v>1</v>
      </c>
      <c r="O1697" s="79">
        <v>0</v>
      </c>
      <c r="P1697" s="107"/>
      <c r="Q1697" s="106"/>
      <c r="R1697" s="79"/>
    </row>
    <row r="1698" spans="1:21">
      <c r="A1698" s="79">
        <v>510261</v>
      </c>
      <c r="B1698" s="79">
        <f t="shared" si="100"/>
        <v>5102611</v>
      </c>
      <c r="C1698" s="79" t="s">
        <v>3466</v>
      </c>
      <c r="D1698" s="79">
        <f t="shared" si="101"/>
        <v>5102612</v>
      </c>
      <c r="E1698" s="79" t="s">
        <v>3467</v>
      </c>
      <c r="F1698" s="79">
        <v>6</v>
      </c>
      <c r="G1698" s="79">
        <v>2</v>
      </c>
      <c r="H1698" s="79" t="s">
        <v>3468</v>
      </c>
      <c r="I1698" s="79"/>
      <c r="J1698" s="79"/>
      <c r="K1698" s="79">
        <v>2</v>
      </c>
      <c r="L1698" s="79">
        <v>0</v>
      </c>
      <c r="M1698" s="127">
        <v>0</v>
      </c>
      <c r="N1698" s="79">
        <v>1</v>
      </c>
      <c r="O1698" s="79">
        <v>0</v>
      </c>
      <c r="P1698" s="107"/>
      <c r="Q1698" s="106"/>
      <c r="R1698" s="98"/>
    </row>
    <row r="1699" spans="1:21">
      <c r="A1699" s="79">
        <v>510271</v>
      </c>
      <c r="B1699" s="79">
        <f t="shared" si="100"/>
        <v>5102711</v>
      </c>
      <c r="C1699" s="79" t="s">
        <v>3469</v>
      </c>
      <c r="D1699" s="79">
        <f t="shared" si="101"/>
        <v>5102712</v>
      </c>
      <c r="E1699" s="79" t="s">
        <v>3470</v>
      </c>
      <c r="F1699" s="79">
        <v>6</v>
      </c>
      <c r="G1699" s="79">
        <v>2</v>
      </c>
      <c r="H1699" s="79" t="s">
        <v>3471</v>
      </c>
      <c r="I1699" s="79"/>
      <c r="J1699" s="79"/>
      <c r="K1699" s="79">
        <v>2</v>
      </c>
      <c r="L1699" s="79">
        <v>0</v>
      </c>
      <c r="M1699" s="127">
        <v>0</v>
      </c>
      <c r="N1699" s="79">
        <v>1</v>
      </c>
      <c r="O1699" s="79">
        <v>0</v>
      </c>
      <c r="P1699" s="107"/>
      <c r="Q1699" s="106"/>
      <c r="R1699" s="98"/>
      <c r="S1699" s="92"/>
      <c r="T1699" s="92"/>
      <c r="U1699" s="92"/>
    </row>
    <row r="1700" spans="1:21">
      <c r="A1700" s="79">
        <v>510281</v>
      </c>
      <c r="B1700" s="79">
        <f t="shared" si="100"/>
        <v>5102811</v>
      </c>
      <c r="C1700" s="79" t="s">
        <v>3472</v>
      </c>
      <c r="D1700" s="79">
        <f t="shared" si="101"/>
        <v>5102812</v>
      </c>
      <c r="E1700" s="79" t="s">
        <v>3473</v>
      </c>
      <c r="F1700" s="79">
        <v>6</v>
      </c>
      <c r="G1700" s="79">
        <v>2</v>
      </c>
      <c r="H1700" s="79" t="s">
        <v>3474</v>
      </c>
      <c r="I1700" s="79"/>
      <c r="J1700" s="79"/>
      <c r="K1700" s="79">
        <v>2</v>
      </c>
      <c r="L1700" s="79">
        <v>0</v>
      </c>
      <c r="M1700" s="127">
        <v>0</v>
      </c>
      <c r="N1700" s="79">
        <v>1</v>
      </c>
      <c r="O1700" s="79">
        <v>0</v>
      </c>
      <c r="P1700" s="107">
        <v>0.5</v>
      </c>
      <c r="R1700" s="98"/>
    </row>
    <row r="1701" spans="1:21">
      <c r="A1701" s="79">
        <v>510291</v>
      </c>
      <c r="B1701" s="79">
        <f t="shared" si="100"/>
        <v>5102911</v>
      </c>
      <c r="C1701" s="79" t="s">
        <v>3475</v>
      </c>
      <c r="D1701" s="79">
        <f t="shared" si="101"/>
        <v>5102912</v>
      </c>
      <c r="E1701" s="79" t="s">
        <v>3476</v>
      </c>
      <c r="F1701" s="79">
        <v>6</v>
      </c>
      <c r="G1701" s="79">
        <v>2</v>
      </c>
      <c r="H1701" s="79" t="s">
        <v>3477</v>
      </c>
      <c r="I1701" s="79"/>
      <c r="J1701" s="79"/>
      <c r="K1701" s="79">
        <v>2</v>
      </c>
      <c r="L1701" s="79">
        <v>0</v>
      </c>
      <c r="M1701" s="127">
        <v>0</v>
      </c>
      <c r="N1701" s="79">
        <v>1</v>
      </c>
      <c r="O1701" s="79">
        <v>0</v>
      </c>
      <c r="P1701" s="107"/>
      <c r="R1701" s="98"/>
    </row>
    <row r="1702" spans="1:21">
      <c r="A1702" s="79">
        <v>510321</v>
      </c>
      <c r="B1702" s="79">
        <f t="shared" si="100"/>
        <v>5103211</v>
      </c>
      <c r="C1702" s="79" t="s">
        <v>3478</v>
      </c>
      <c r="D1702" s="79">
        <f t="shared" si="101"/>
        <v>5103212</v>
      </c>
      <c r="E1702" s="79" t="str">
        <f t="shared" ref="E1702:E1765" si="102">C1702&amp;"，可用于球杆的合成、升阶。"</f>
        <v>方天画戟碎片，可用于球杆的合成、升阶。</v>
      </c>
      <c r="F1702" s="79">
        <v>6</v>
      </c>
      <c r="G1702" s="79">
        <v>2</v>
      </c>
      <c r="H1702" s="79" t="str">
        <f t="shared" ref="H1702:H1732" si="103">"icon_"&amp;A1702</f>
        <v>icon_510321</v>
      </c>
      <c r="I1702" s="79"/>
      <c r="J1702" s="79"/>
      <c r="K1702" s="79">
        <v>5</v>
      </c>
      <c r="L1702" s="79"/>
      <c r="M1702" s="127"/>
      <c r="N1702" s="79">
        <v>1</v>
      </c>
      <c r="O1702" s="79"/>
      <c r="P1702" s="107"/>
      <c r="R1702" s="98"/>
    </row>
    <row r="1703" spans="1:21">
      <c r="A1703" s="79">
        <v>510331</v>
      </c>
      <c r="B1703" s="79">
        <f t="shared" si="100"/>
        <v>5103311</v>
      </c>
      <c r="C1703" s="79" t="s">
        <v>3479</v>
      </c>
      <c r="D1703" s="79">
        <f t="shared" si="101"/>
        <v>5103312</v>
      </c>
      <c r="E1703" s="79" t="str">
        <f t="shared" si="102"/>
        <v>青龙偃月碎片，可用于球杆的合成、升阶。</v>
      </c>
      <c r="F1703" s="79">
        <v>6</v>
      </c>
      <c r="G1703" s="79">
        <v>2</v>
      </c>
      <c r="H1703" s="79" t="str">
        <f t="shared" si="103"/>
        <v>icon_510331</v>
      </c>
      <c r="I1703" s="79"/>
      <c r="J1703" s="79"/>
      <c r="K1703" s="79">
        <v>5</v>
      </c>
      <c r="L1703" s="79"/>
      <c r="M1703" s="127"/>
      <c r="N1703" s="79">
        <v>1</v>
      </c>
      <c r="O1703" s="79"/>
      <c r="P1703" s="107"/>
      <c r="R1703" s="98"/>
    </row>
    <row r="1704" spans="1:21">
      <c r="A1704" s="79">
        <v>510341</v>
      </c>
      <c r="B1704" s="79">
        <f t="shared" si="100"/>
        <v>5103411</v>
      </c>
      <c r="C1704" s="79" t="s">
        <v>3480</v>
      </c>
      <c r="D1704" s="79">
        <f t="shared" si="101"/>
        <v>5103412</v>
      </c>
      <c r="E1704" s="79" t="str">
        <f t="shared" si="102"/>
        <v>法老权杖碎片，可用于球杆的合成、升阶。</v>
      </c>
      <c r="F1704" s="79">
        <v>6</v>
      </c>
      <c r="G1704" s="79">
        <v>2</v>
      </c>
      <c r="H1704" s="79" t="str">
        <f t="shared" si="103"/>
        <v>icon_510341</v>
      </c>
      <c r="I1704" s="79"/>
      <c r="J1704" s="79"/>
      <c r="K1704" s="79">
        <v>5</v>
      </c>
      <c r="L1704" s="79"/>
      <c r="M1704" s="127"/>
      <c r="N1704" s="79">
        <v>1</v>
      </c>
      <c r="O1704" s="79"/>
      <c r="P1704" s="107"/>
      <c r="R1704" s="98"/>
    </row>
    <row r="1705" spans="1:21">
      <c r="A1705" s="79">
        <v>510351</v>
      </c>
      <c r="B1705" s="79">
        <f t="shared" ref="B1705:B1732" si="104">A1705*10+1</f>
        <v>5103511</v>
      </c>
      <c r="C1705" s="79" t="s">
        <v>3481</v>
      </c>
      <c r="D1705" s="79">
        <f t="shared" ref="D1705:D1732" si="105">A1705*10+2</f>
        <v>5103512</v>
      </c>
      <c r="E1705" s="79" t="str">
        <f t="shared" si="102"/>
        <v>龙胆亮银碎片，可用于球杆的合成、升阶。</v>
      </c>
      <c r="F1705" s="79">
        <v>6</v>
      </c>
      <c r="G1705" s="79">
        <v>2</v>
      </c>
      <c r="H1705" s="79" t="str">
        <f t="shared" si="103"/>
        <v>icon_510351</v>
      </c>
      <c r="I1705" s="79"/>
      <c r="J1705" s="79"/>
      <c r="K1705" s="79">
        <v>6</v>
      </c>
      <c r="L1705" s="79"/>
      <c r="M1705" s="127"/>
      <c r="N1705" s="79">
        <v>1</v>
      </c>
      <c r="O1705" s="79"/>
      <c r="P1705" s="107"/>
      <c r="R1705" s="98"/>
    </row>
    <row r="1706" spans="1:21">
      <c r="A1706" s="79">
        <v>510352</v>
      </c>
      <c r="B1706" s="79">
        <f t="shared" si="104"/>
        <v>5103521</v>
      </c>
      <c r="C1706" s="79" t="s">
        <v>3481</v>
      </c>
      <c r="D1706" s="79">
        <f t="shared" si="105"/>
        <v>5103522</v>
      </c>
      <c r="E1706" s="79" t="str">
        <f t="shared" si="102"/>
        <v>龙胆亮银碎片，可用于球杆的合成、升阶。</v>
      </c>
      <c r="F1706" s="79">
        <v>6</v>
      </c>
      <c r="G1706" s="79">
        <v>2</v>
      </c>
      <c r="H1706" s="79" t="str">
        <f t="shared" si="103"/>
        <v>icon_510352</v>
      </c>
      <c r="I1706" s="79"/>
      <c r="J1706" s="79"/>
      <c r="K1706" s="79">
        <v>8</v>
      </c>
      <c r="L1706" s="79"/>
      <c r="M1706" s="127"/>
      <c r="N1706" s="79">
        <v>1</v>
      </c>
      <c r="O1706" s="79"/>
      <c r="P1706" s="107"/>
      <c r="R1706" s="98"/>
    </row>
    <row r="1707" spans="1:21">
      <c r="A1707" s="79">
        <v>510361</v>
      </c>
      <c r="B1707" s="79">
        <f t="shared" si="104"/>
        <v>5103611</v>
      </c>
      <c r="C1707" s="79" t="s">
        <v>3482</v>
      </c>
      <c r="D1707" s="79">
        <f t="shared" si="105"/>
        <v>5103612</v>
      </c>
      <c r="E1707" s="79" t="str">
        <f t="shared" si="102"/>
        <v>哪吒碎片，可用于球杆的合成、升阶。</v>
      </c>
      <c r="F1707" s="79">
        <v>6</v>
      </c>
      <c r="G1707" s="79">
        <v>2</v>
      </c>
      <c r="H1707" s="79" t="str">
        <f t="shared" si="103"/>
        <v>icon_510361</v>
      </c>
      <c r="I1707" s="79"/>
      <c r="J1707" s="79"/>
      <c r="K1707" s="79">
        <v>5</v>
      </c>
      <c r="L1707" s="79"/>
      <c r="M1707" s="127"/>
      <c r="N1707" s="79">
        <v>1</v>
      </c>
      <c r="O1707" s="79"/>
      <c r="P1707" s="107"/>
      <c r="R1707" s="79"/>
    </row>
    <row r="1708" spans="1:21">
      <c r="A1708" s="79">
        <v>510371</v>
      </c>
      <c r="B1708" s="79">
        <f t="shared" si="104"/>
        <v>5103711</v>
      </c>
      <c r="C1708" s="79" t="s">
        <v>3483</v>
      </c>
      <c r="D1708" s="79">
        <f t="shared" si="105"/>
        <v>5103712</v>
      </c>
      <c r="E1708" s="79" t="str">
        <f t="shared" si="102"/>
        <v>DBA星耀碎片，可用于球杆的合成、升阶。</v>
      </c>
      <c r="F1708" s="79">
        <v>6</v>
      </c>
      <c r="G1708" s="79">
        <v>2</v>
      </c>
      <c r="H1708" s="79" t="str">
        <f t="shared" si="103"/>
        <v>icon_510371</v>
      </c>
      <c r="I1708" s="79"/>
      <c r="J1708" s="79"/>
      <c r="K1708" s="79">
        <v>5</v>
      </c>
      <c r="L1708" s="79"/>
      <c r="M1708" s="127"/>
      <c r="N1708" s="79">
        <v>1</v>
      </c>
      <c r="O1708" s="79"/>
      <c r="P1708" s="107"/>
      <c r="R1708" s="79"/>
    </row>
    <row r="1709" spans="1:21">
      <c r="A1709" s="79">
        <v>510381</v>
      </c>
      <c r="B1709" s="79">
        <f t="shared" si="104"/>
        <v>5103811</v>
      </c>
      <c r="C1709" s="79" t="s">
        <v>3484</v>
      </c>
      <c r="D1709" s="79">
        <f t="shared" si="105"/>
        <v>5103812</v>
      </c>
      <c r="E1709" s="79" t="str">
        <f t="shared" si="102"/>
        <v>DBA悟道碎片，可用于球杆的合成、升阶。</v>
      </c>
      <c r="F1709" s="79">
        <v>6</v>
      </c>
      <c r="G1709" s="79">
        <v>2</v>
      </c>
      <c r="H1709" s="79" t="str">
        <f t="shared" si="103"/>
        <v>icon_510381</v>
      </c>
      <c r="I1709" s="79"/>
      <c r="J1709" s="79"/>
      <c r="K1709" s="79">
        <v>4</v>
      </c>
      <c r="L1709" s="79"/>
      <c r="M1709" s="127"/>
      <c r="N1709" s="79">
        <v>1</v>
      </c>
      <c r="O1709" s="79"/>
      <c r="P1709" s="107"/>
      <c r="R1709" s="79"/>
    </row>
    <row r="1710" spans="1:21">
      <c r="A1710" s="79">
        <v>510391</v>
      </c>
      <c r="B1710" s="79">
        <f t="shared" si="104"/>
        <v>5103911</v>
      </c>
      <c r="C1710" s="79" t="s">
        <v>3485</v>
      </c>
      <c r="D1710" s="79">
        <f t="shared" si="105"/>
        <v>5103912</v>
      </c>
      <c r="E1710" s="79" t="str">
        <f t="shared" si="102"/>
        <v>丈八蛇矛碎片，可用于球杆的合成、升阶。</v>
      </c>
      <c r="F1710" s="79">
        <v>6</v>
      </c>
      <c r="G1710" s="79">
        <v>2</v>
      </c>
      <c r="H1710" s="79" t="str">
        <f t="shared" si="103"/>
        <v>icon_510391</v>
      </c>
      <c r="I1710" s="79"/>
      <c r="J1710" s="79"/>
      <c r="K1710" s="79">
        <v>5</v>
      </c>
      <c r="L1710" s="79"/>
      <c r="M1710" s="127"/>
      <c r="N1710" s="79">
        <v>1</v>
      </c>
      <c r="O1710" s="79"/>
      <c r="P1710" s="107"/>
      <c r="R1710" s="148"/>
    </row>
    <row r="1711" spans="1:21">
      <c r="A1711" s="79">
        <v>510401</v>
      </c>
      <c r="B1711" s="79">
        <f t="shared" si="104"/>
        <v>5104011</v>
      </c>
      <c r="C1711" s="79" t="s">
        <v>3486</v>
      </c>
      <c r="D1711" s="79">
        <f t="shared" si="105"/>
        <v>5104012</v>
      </c>
      <c r="E1711" s="79" t="str">
        <f t="shared" si="102"/>
        <v>南瓜头碎片，可用于球杆的合成、升阶。</v>
      </c>
      <c r="F1711" s="79">
        <v>6</v>
      </c>
      <c r="G1711" s="79">
        <v>2</v>
      </c>
      <c r="H1711" s="79" t="str">
        <f t="shared" si="103"/>
        <v>icon_510401</v>
      </c>
      <c r="I1711" s="79"/>
      <c r="J1711" s="79"/>
      <c r="K1711" s="79">
        <v>5</v>
      </c>
      <c r="L1711" s="79"/>
      <c r="M1711" s="127"/>
      <c r="N1711" s="79">
        <v>1</v>
      </c>
      <c r="O1711" s="79"/>
      <c r="P1711" s="107"/>
      <c r="R1711" s="148"/>
    </row>
    <row r="1712" spans="1:21">
      <c r="A1712" s="79">
        <v>510411</v>
      </c>
      <c r="B1712" s="79">
        <f t="shared" si="104"/>
        <v>5104111</v>
      </c>
      <c r="C1712" s="79" t="s">
        <v>3487</v>
      </c>
      <c r="D1712" s="79">
        <f t="shared" si="105"/>
        <v>5104112</v>
      </c>
      <c r="E1712" s="79" t="str">
        <f t="shared" si="102"/>
        <v>甜心宝贝碎片，可用于球杆的合成、升阶。</v>
      </c>
      <c r="F1712" s="79">
        <v>6</v>
      </c>
      <c r="G1712" s="79">
        <v>2</v>
      </c>
      <c r="H1712" s="79" t="str">
        <f t="shared" si="103"/>
        <v>icon_510411</v>
      </c>
      <c r="I1712" s="79"/>
      <c r="J1712" s="79"/>
      <c r="K1712" s="79">
        <v>5</v>
      </c>
      <c r="L1712" s="79"/>
      <c r="M1712" s="127"/>
      <c r="N1712" s="79">
        <v>1</v>
      </c>
      <c r="O1712" s="79"/>
      <c r="P1712" s="107"/>
      <c r="R1712" s="148"/>
    </row>
    <row r="1713" spans="1:18">
      <c r="A1713" s="79">
        <v>510421</v>
      </c>
      <c r="B1713" s="79">
        <f t="shared" si="104"/>
        <v>5104211</v>
      </c>
      <c r="C1713" s="79" t="s">
        <v>3488</v>
      </c>
      <c r="D1713" s="79">
        <f t="shared" si="105"/>
        <v>5104212</v>
      </c>
      <c r="E1713" s="79" t="str">
        <f t="shared" si="102"/>
        <v>乌木球杆碎片，可用于球杆的合成、升阶。</v>
      </c>
      <c r="F1713" s="79">
        <v>6</v>
      </c>
      <c r="G1713" s="79">
        <v>2</v>
      </c>
      <c r="H1713" s="79" t="str">
        <f t="shared" si="103"/>
        <v>icon_510421</v>
      </c>
      <c r="I1713" s="79"/>
      <c r="J1713" s="79"/>
      <c r="K1713" s="79">
        <v>5</v>
      </c>
      <c r="L1713" s="79"/>
      <c r="M1713" s="127"/>
      <c r="N1713" s="79">
        <v>1</v>
      </c>
      <c r="O1713" s="79"/>
      <c r="P1713" s="107"/>
      <c r="R1713" s="79"/>
    </row>
    <row r="1714" spans="1:18">
      <c r="A1714" s="79">
        <v>510431</v>
      </c>
      <c r="B1714" s="79">
        <f t="shared" si="104"/>
        <v>5104311</v>
      </c>
      <c r="C1714" s="79" t="s">
        <v>3489</v>
      </c>
      <c r="D1714" s="79">
        <f t="shared" si="105"/>
        <v>5104312</v>
      </c>
      <c r="E1714" s="79" t="str">
        <f t="shared" si="102"/>
        <v>玉如意碎片，可用于球杆的合成、升阶。</v>
      </c>
      <c r="F1714" s="79">
        <v>6</v>
      </c>
      <c r="G1714" s="79">
        <v>2</v>
      </c>
      <c r="H1714" s="79" t="str">
        <f t="shared" si="103"/>
        <v>icon_510431</v>
      </c>
      <c r="I1714" s="79"/>
      <c r="J1714" s="79"/>
      <c r="K1714" s="79">
        <v>5</v>
      </c>
      <c r="L1714" s="79"/>
      <c r="M1714" s="127"/>
      <c r="N1714" s="79">
        <v>1</v>
      </c>
      <c r="O1714" s="79"/>
      <c r="P1714" s="107"/>
      <c r="R1714" s="148"/>
    </row>
    <row r="1715" spans="1:18">
      <c r="A1715" s="79">
        <v>510441</v>
      </c>
      <c r="B1715" s="79">
        <f t="shared" si="104"/>
        <v>5104411</v>
      </c>
      <c r="C1715" s="79" t="s">
        <v>3490</v>
      </c>
      <c r="D1715" s="79">
        <f t="shared" si="105"/>
        <v>5104412</v>
      </c>
      <c r="E1715" s="79" t="str">
        <f t="shared" si="102"/>
        <v>枫叶团扇碎片，可用于球杆的合成、升阶。</v>
      </c>
      <c r="F1715" s="79">
        <v>6</v>
      </c>
      <c r="G1715" s="79">
        <v>2</v>
      </c>
      <c r="H1715" s="79" t="str">
        <f t="shared" si="103"/>
        <v>icon_510441</v>
      </c>
      <c r="I1715" s="79"/>
      <c r="J1715" s="79"/>
      <c r="K1715" s="79">
        <v>5</v>
      </c>
      <c r="L1715" s="79"/>
      <c r="M1715" s="127"/>
      <c r="N1715" s="79">
        <v>1</v>
      </c>
      <c r="O1715" s="79"/>
      <c r="P1715" s="107"/>
      <c r="R1715" s="92"/>
    </row>
    <row r="1716" spans="1:18">
      <c r="A1716" s="79">
        <v>510451</v>
      </c>
      <c r="B1716" s="79">
        <f t="shared" si="104"/>
        <v>5104511</v>
      </c>
      <c r="C1716" s="79" t="s">
        <v>3491</v>
      </c>
      <c r="D1716" s="79">
        <f t="shared" si="105"/>
        <v>5104512</v>
      </c>
      <c r="E1716" s="79" t="str">
        <f t="shared" si="102"/>
        <v>白色死神碎片，可用于球杆的合成、升阶。</v>
      </c>
      <c r="F1716" s="79">
        <v>6</v>
      </c>
      <c r="G1716" s="79">
        <v>2</v>
      </c>
      <c r="H1716" s="79" t="str">
        <f t="shared" si="103"/>
        <v>icon_510451</v>
      </c>
      <c r="I1716" s="79"/>
      <c r="J1716" s="79"/>
      <c r="K1716" s="79">
        <v>5</v>
      </c>
      <c r="L1716" s="79"/>
      <c r="M1716" s="127"/>
      <c r="N1716" s="79">
        <v>1</v>
      </c>
      <c r="O1716" s="79"/>
      <c r="P1716" s="107"/>
      <c r="R1716" s="92"/>
    </row>
    <row r="1717" spans="1:18">
      <c r="A1717" s="79">
        <v>510461</v>
      </c>
      <c r="B1717" s="79">
        <f t="shared" si="104"/>
        <v>5104611</v>
      </c>
      <c r="C1717" s="79" t="s">
        <v>3492</v>
      </c>
      <c r="D1717" s="79">
        <f t="shared" si="105"/>
        <v>5104612</v>
      </c>
      <c r="E1717" s="79" t="str">
        <f t="shared" si="102"/>
        <v>虎头虎脑碎片，可用于球杆的合成、升阶。</v>
      </c>
      <c r="F1717" s="79">
        <v>6</v>
      </c>
      <c r="G1717" s="79">
        <v>2</v>
      </c>
      <c r="H1717" s="79" t="str">
        <f t="shared" si="103"/>
        <v>icon_510461</v>
      </c>
      <c r="I1717" s="79"/>
      <c r="J1717" s="79"/>
      <c r="K1717" s="79">
        <v>5</v>
      </c>
      <c r="L1717" s="79"/>
      <c r="M1717" s="127"/>
      <c r="N1717" s="79">
        <v>1</v>
      </c>
      <c r="O1717" s="79"/>
      <c r="P1717" s="107">
        <v>1</v>
      </c>
      <c r="R1717" s="92"/>
    </row>
    <row r="1718" spans="1:18">
      <c r="A1718" s="79">
        <v>510811</v>
      </c>
      <c r="B1718" s="79">
        <f t="shared" si="104"/>
        <v>5108111</v>
      </c>
      <c r="C1718" s="79" t="s">
        <v>3493</v>
      </c>
      <c r="D1718" s="79">
        <f t="shared" si="105"/>
        <v>5108112</v>
      </c>
      <c r="E1718" s="79" t="str">
        <f t="shared" si="102"/>
        <v>绿茵驰骋碎片，可用于球杆的合成、升阶。</v>
      </c>
      <c r="F1718" s="79">
        <v>6</v>
      </c>
      <c r="G1718" s="79">
        <v>2</v>
      </c>
      <c r="H1718" s="79" t="str">
        <f t="shared" si="103"/>
        <v>icon_510811</v>
      </c>
      <c r="I1718" s="79"/>
      <c r="J1718" s="79"/>
      <c r="K1718" s="79">
        <v>5</v>
      </c>
      <c r="L1718" s="79"/>
      <c r="M1718" s="127"/>
      <c r="N1718" s="79">
        <v>1</v>
      </c>
      <c r="O1718" s="79"/>
      <c r="P1718" s="107">
        <v>1</v>
      </c>
      <c r="Q1718" s="92"/>
      <c r="R1718" s="79"/>
    </row>
    <row r="1719" spans="1:18">
      <c r="A1719" s="79">
        <v>510821</v>
      </c>
      <c r="B1719" s="79">
        <f t="shared" si="104"/>
        <v>5108211</v>
      </c>
      <c r="C1719" s="79" t="s">
        <v>3494</v>
      </c>
      <c r="D1719" s="79">
        <f t="shared" si="105"/>
        <v>5108212</v>
      </c>
      <c r="E1719" s="79" t="str">
        <f t="shared" si="102"/>
        <v>龙凤呈祥碎片，可用于球杆的合成、升阶。</v>
      </c>
      <c r="F1719" s="79">
        <v>6</v>
      </c>
      <c r="G1719" s="79">
        <v>2</v>
      </c>
      <c r="H1719" s="79" t="str">
        <f t="shared" si="103"/>
        <v>icon_510821</v>
      </c>
      <c r="I1719" s="79"/>
      <c r="J1719" s="79"/>
      <c r="K1719" s="79">
        <v>5</v>
      </c>
      <c r="L1719" s="79"/>
      <c r="M1719" s="127"/>
      <c r="N1719" s="79">
        <v>1</v>
      </c>
      <c r="O1719" s="79"/>
      <c r="P1719" s="107">
        <v>1</v>
      </c>
      <c r="Q1719" s="92"/>
      <c r="R1719" s="79"/>
    </row>
    <row r="1720" spans="1:18">
      <c r="A1720" s="79">
        <v>510831</v>
      </c>
      <c r="B1720" s="79">
        <f t="shared" si="104"/>
        <v>5108311</v>
      </c>
      <c r="C1720" s="79" t="s">
        <v>3495</v>
      </c>
      <c r="D1720" s="79">
        <f t="shared" si="105"/>
        <v>5108312</v>
      </c>
      <c r="E1720" s="79" t="str">
        <f t="shared" si="102"/>
        <v>鸿运萝卜碎片，可用于球杆的合成、升阶。</v>
      </c>
      <c r="F1720" s="79">
        <v>6</v>
      </c>
      <c r="G1720" s="79">
        <v>2</v>
      </c>
      <c r="H1720" s="79" t="str">
        <f t="shared" si="103"/>
        <v>icon_510831</v>
      </c>
      <c r="I1720" s="79"/>
      <c r="J1720" s="79"/>
      <c r="K1720" s="79">
        <v>5</v>
      </c>
      <c r="L1720" s="79"/>
      <c r="M1720" s="127"/>
      <c r="N1720" s="79">
        <v>1</v>
      </c>
      <c r="O1720" s="79"/>
      <c r="P1720" s="107">
        <v>1</v>
      </c>
      <c r="Q1720" s="92"/>
      <c r="R1720" s="148"/>
    </row>
    <row r="1721" spans="1:18">
      <c r="A1721" s="79">
        <v>510841</v>
      </c>
      <c r="B1721" s="79">
        <f t="shared" si="104"/>
        <v>5108411</v>
      </c>
      <c r="C1721" s="79" t="s">
        <v>3496</v>
      </c>
      <c r="D1721" s="79">
        <f t="shared" si="105"/>
        <v>5108412</v>
      </c>
      <c r="E1721" s="79" t="str">
        <f t="shared" si="102"/>
        <v>上上签碎片，可用于球杆的合成、升阶。</v>
      </c>
      <c r="F1721" s="79">
        <v>6</v>
      </c>
      <c r="G1721" s="79">
        <v>2</v>
      </c>
      <c r="H1721" s="79" t="str">
        <f t="shared" si="103"/>
        <v>icon_510841</v>
      </c>
      <c r="I1721" s="79"/>
      <c r="J1721" s="79"/>
      <c r="K1721" s="79">
        <v>6</v>
      </c>
      <c r="L1721" s="79"/>
      <c r="M1721" s="127"/>
      <c r="N1721" s="79">
        <v>1</v>
      </c>
      <c r="O1721" s="79"/>
      <c r="P1721" s="107">
        <v>1</v>
      </c>
      <c r="R1721" s="79"/>
    </row>
    <row r="1722" spans="1:18">
      <c r="A1722" s="79">
        <v>510851</v>
      </c>
      <c r="B1722" s="79">
        <f t="shared" si="104"/>
        <v>5108511</v>
      </c>
      <c r="C1722" s="79" t="s">
        <v>3497</v>
      </c>
      <c r="D1722" s="79">
        <f t="shared" si="105"/>
        <v>5108512</v>
      </c>
      <c r="E1722" s="79" t="str">
        <f t="shared" si="102"/>
        <v>吉运锦鲤碎片，可用于球杆的合成、升阶。</v>
      </c>
      <c r="F1722" s="79">
        <v>6</v>
      </c>
      <c r="G1722" s="79">
        <v>2</v>
      </c>
      <c r="H1722" s="79" t="str">
        <f t="shared" si="103"/>
        <v>icon_510851</v>
      </c>
      <c r="I1722" s="79"/>
      <c r="J1722" s="79"/>
      <c r="K1722" s="79">
        <v>5</v>
      </c>
      <c r="L1722" s="79"/>
      <c r="M1722" s="127"/>
      <c r="N1722" s="79">
        <v>1</v>
      </c>
      <c r="O1722" s="79"/>
      <c r="P1722" s="107">
        <v>1</v>
      </c>
      <c r="Q1722" s="92"/>
      <c r="R1722" s="79"/>
    </row>
    <row r="1723" spans="1:18">
      <c r="A1723" s="79">
        <v>510861</v>
      </c>
      <c r="B1723" s="79">
        <f t="shared" si="104"/>
        <v>5108611</v>
      </c>
      <c r="C1723" s="79" t="s">
        <v>3498</v>
      </c>
      <c r="D1723" s="79">
        <f t="shared" si="105"/>
        <v>5108612</v>
      </c>
      <c r="E1723" s="79" t="str">
        <f t="shared" si="102"/>
        <v>黄金闪耀碎片，可用于球杆的合成、升阶。</v>
      </c>
      <c r="F1723" s="79">
        <v>6</v>
      </c>
      <c r="G1723" s="79">
        <v>2</v>
      </c>
      <c r="H1723" s="79" t="str">
        <f t="shared" si="103"/>
        <v>icon_510861</v>
      </c>
      <c r="I1723" s="79"/>
      <c r="J1723" s="79"/>
      <c r="K1723" s="79">
        <v>3</v>
      </c>
      <c r="L1723" s="79"/>
      <c r="M1723" s="127"/>
      <c r="N1723" s="79">
        <v>1</v>
      </c>
      <c r="O1723" s="79"/>
      <c r="P1723" s="107">
        <v>1</v>
      </c>
      <c r="Q1723" s="92"/>
      <c r="R1723" s="79"/>
    </row>
    <row r="1724" spans="1:18">
      <c r="A1724" s="79">
        <v>510871</v>
      </c>
      <c r="B1724" s="79">
        <f t="shared" si="104"/>
        <v>5108711</v>
      </c>
      <c r="C1724" s="79" t="s">
        <v>3499</v>
      </c>
      <c r="D1724" s="79">
        <f t="shared" si="105"/>
        <v>5108712</v>
      </c>
      <c r="E1724" s="79" t="str">
        <f t="shared" si="102"/>
        <v>真爱花束碎片，可用于球杆的合成、升阶。</v>
      </c>
      <c r="F1724" s="79">
        <v>6</v>
      </c>
      <c r="G1724" s="79">
        <v>2</v>
      </c>
      <c r="H1724" s="79" t="str">
        <f t="shared" si="103"/>
        <v>icon_510871</v>
      </c>
      <c r="I1724" s="79"/>
      <c r="J1724" s="79"/>
      <c r="K1724" s="79">
        <v>5</v>
      </c>
      <c r="L1724" s="79"/>
      <c r="M1724" s="127"/>
      <c r="N1724" s="79">
        <v>1</v>
      </c>
      <c r="O1724" s="79"/>
      <c r="P1724" s="107"/>
      <c r="Q1724" s="92"/>
      <c r="R1724" s="79"/>
    </row>
    <row r="1725" spans="1:18">
      <c r="A1725" s="79">
        <v>510881</v>
      </c>
      <c r="B1725" s="79">
        <f t="shared" si="104"/>
        <v>5108811</v>
      </c>
      <c r="C1725" s="79" t="s">
        <v>3500</v>
      </c>
      <c r="D1725" s="79">
        <f t="shared" si="105"/>
        <v>5108812</v>
      </c>
      <c r="E1725" s="79" t="str">
        <f t="shared" si="102"/>
        <v>至尊皇权碎片，可用于球杆的合成、升阶。</v>
      </c>
      <c r="F1725" s="79">
        <v>6</v>
      </c>
      <c r="G1725" s="79">
        <v>2</v>
      </c>
      <c r="H1725" s="79" t="str">
        <f t="shared" si="103"/>
        <v>icon_510881</v>
      </c>
      <c r="I1725" s="79"/>
      <c r="J1725" s="79"/>
      <c r="K1725" s="79">
        <v>5</v>
      </c>
      <c r="L1725" s="79"/>
      <c r="M1725" s="127"/>
      <c r="N1725" s="79">
        <v>1</v>
      </c>
      <c r="O1725" s="79"/>
      <c r="P1725" s="107"/>
      <c r="Q1725" s="92"/>
      <c r="R1725" s="79"/>
    </row>
    <row r="1726" spans="1:18">
      <c r="A1726" s="79">
        <v>510891</v>
      </c>
      <c r="B1726" s="79">
        <f t="shared" si="104"/>
        <v>5108911</v>
      </c>
      <c r="C1726" s="79" t="s">
        <v>3501</v>
      </c>
      <c r="D1726" s="79">
        <f t="shared" si="105"/>
        <v>5108912</v>
      </c>
      <c r="E1726" s="79" t="str">
        <f t="shared" si="102"/>
        <v>梦幻校园碎片，可用于球杆的合成、升阶。</v>
      </c>
      <c r="F1726" s="79">
        <v>6</v>
      </c>
      <c r="G1726" s="79">
        <v>2</v>
      </c>
      <c r="H1726" s="79" t="str">
        <f t="shared" si="103"/>
        <v>icon_510891</v>
      </c>
      <c r="I1726" s="79"/>
      <c r="J1726" s="79"/>
      <c r="K1726" s="79">
        <v>5</v>
      </c>
      <c r="L1726" s="79"/>
      <c r="M1726" s="127"/>
      <c r="N1726" s="79">
        <v>1</v>
      </c>
      <c r="O1726" s="79"/>
      <c r="P1726" s="107"/>
      <c r="Q1726" s="92"/>
      <c r="R1726" s="79"/>
    </row>
    <row r="1727" spans="1:18">
      <c r="A1727" s="79">
        <v>510911</v>
      </c>
      <c r="B1727" s="79">
        <f t="shared" si="104"/>
        <v>5109111</v>
      </c>
      <c r="C1727" s="92" t="s">
        <v>3502</v>
      </c>
      <c r="D1727" s="79">
        <f t="shared" si="105"/>
        <v>5109112</v>
      </c>
      <c r="E1727" s="79" t="str">
        <f t="shared" si="102"/>
        <v>弧电枪碎片，可用于球杆的合成、升阶。</v>
      </c>
      <c r="F1727" s="79">
        <v>6</v>
      </c>
      <c r="G1727" s="79">
        <v>2</v>
      </c>
      <c r="H1727" s="79" t="str">
        <f t="shared" si="103"/>
        <v>icon_510911</v>
      </c>
      <c r="I1727" s="79"/>
      <c r="J1727" s="79"/>
      <c r="K1727" s="79">
        <v>5</v>
      </c>
      <c r="L1727" s="79"/>
      <c r="M1727" s="127"/>
      <c r="N1727" s="79">
        <v>1</v>
      </c>
      <c r="O1727" s="79"/>
      <c r="P1727" s="107"/>
      <c r="Q1727" s="92"/>
      <c r="R1727" s="79"/>
    </row>
    <row r="1728" spans="1:18">
      <c r="A1728" s="79">
        <v>510921</v>
      </c>
      <c r="B1728" s="79">
        <f t="shared" si="104"/>
        <v>5109211</v>
      </c>
      <c r="C1728" s="92" t="s">
        <v>3503</v>
      </c>
      <c r="D1728" s="79">
        <f t="shared" si="105"/>
        <v>5109212</v>
      </c>
      <c r="E1728" s="79" t="str">
        <f t="shared" si="102"/>
        <v>核心驱动碎片，可用于球杆的合成、升阶。</v>
      </c>
      <c r="F1728" s="79">
        <v>6</v>
      </c>
      <c r="G1728" s="79">
        <v>2</v>
      </c>
      <c r="H1728" s="79" t="str">
        <f t="shared" si="103"/>
        <v>icon_510921</v>
      </c>
      <c r="I1728" s="79"/>
      <c r="J1728" s="79"/>
      <c r="K1728" s="79">
        <v>5</v>
      </c>
      <c r="L1728" s="79"/>
      <c r="M1728" s="127"/>
      <c r="N1728" s="79">
        <v>1</v>
      </c>
      <c r="O1728" s="79"/>
      <c r="P1728" s="107"/>
      <c r="Q1728" s="92"/>
      <c r="R1728" s="79"/>
    </row>
    <row r="1729" spans="1:18">
      <c r="A1729" s="79">
        <v>510931</v>
      </c>
      <c r="B1729" s="79">
        <f t="shared" si="104"/>
        <v>5109311</v>
      </c>
      <c r="C1729" s="92" t="s">
        <v>3504</v>
      </c>
      <c r="D1729" s="79">
        <f t="shared" si="105"/>
        <v>5109312</v>
      </c>
      <c r="E1729" s="79" t="str">
        <f t="shared" si="102"/>
        <v>愿者上钩碎片，可用于球杆的合成、升阶。</v>
      </c>
      <c r="F1729" s="79">
        <v>6</v>
      </c>
      <c r="G1729" s="79">
        <v>2</v>
      </c>
      <c r="H1729" s="79" t="str">
        <f t="shared" si="103"/>
        <v>icon_510931</v>
      </c>
      <c r="I1729" s="79"/>
      <c r="J1729" s="79"/>
      <c r="K1729" s="79">
        <v>5</v>
      </c>
      <c r="L1729" s="79"/>
      <c r="M1729" s="127"/>
      <c r="N1729" s="79">
        <v>1</v>
      </c>
      <c r="O1729" s="79"/>
      <c r="P1729" s="107"/>
      <c r="Q1729" s="92"/>
      <c r="R1729" s="79"/>
    </row>
    <row r="1730" spans="1:18">
      <c r="A1730" s="79">
        <v>510941</v>
      </c>
      <c r="B1730" s="79">
        <f t="shared" si="104"/>
        <v>5109411</v>
      </c>
      <c r="C1730" s="92" t="s">
        <v>3505</v>
      </c>
      <c r="D1730" s="79">
        <f t="shared" si="105"/>
        <v>5109412</v>
      </c>
      <c r="E1730" s="79" t="str">
        <f t="shared" si="102"/>
        <v>桃之夭夭碎片，可用于球杆的合成、升阶。</v>
      </c>
      <c r="F1730" s="79">
        <v>6</v>
      </c>
      <c r="G1730" s="79">
        <v>2</v>
      </c>
      <c r="H1730" s="79" t="str">
        <f t="shared" si="103"/>
        <v>icon_510941</v>
      </c>
      <c r="I1730" s="79"/>
      <c r="J1730" s="79"/>
      <c r="K1730" s="79">
        <v>5</v>
      </c>
      <c r="L1730" s="79"/>
      <c r="M1730" s="127"/>
      <c r="N1730" s="79">
        <v>1</v>
      </c>
      <c r="O1730" s="79"/>
      <c r="P1730" s="107"/>
      <c r="Q1730" s="92"/>
      <c r="R1730" s="79"/>
    </row>
    <row r="1731" spans="1:18">
      <c r="A1731" s="79">
        <v>510951</v>
      </c>
      <c r="B1731" s="79">
        <f t="shared" si="104"/>
        <v>5109511</v>
      </c>
      <c r="C1731" s="79" t="s">
        <v>3506</v>
      </c>
      <c r="D1731" s="79">
        <f t="shared" si="105"/>
        <v>5109512</v>
      </c>
      <c r="E1731" s="79" t="str">
        <f t="shared" si="102"/>
        <v>神圣羽杖碎片，可用于球杆的合成、升阶。</v>
      </c>
      <c r="F1731" s="79">
        <v>6</v>
      </c>
      <c r="G1731" s="79">
        <v>2</v>
      </c>
      <c r="H1731" s="79" t="str">
        <f t="shared" si="103"/>
        <v>icon_510951</v>
      </c>
      <c r="I1731" s="79"/>
      <c r="J1731" s="79"/>
      <c r="K1731" s="79">
        <v>5</v>
      </c>
      <c r="L1731" s="79"/>
      <c r="M1731" s="127"/>
      <c r="N1731" s="79">
        <v>1</v>
      </c>
      <c r="O1731" s="79"/>
      <c r="P1731" s="107"/>
      <c r="Q1731" s="92"/>
      <c r="R1731" s="79"/>
    </row>
    <row r="1732" spans="1:18">
      <c r="A1732" s="79">
        <v>510961</v>
      </c>
      <c r="B1732" s="79">
        <f t="shared" si="104"/>
        <v>5109611</v>
      </c>
      <c r="C1732" s="79" t="s">
        <v>3507</v>
      </c>
      <c r="D1732" s="79">
        <f t="shared" si="105"/>
        <v>5109612</v>
      </c>
      <c r="E1732" s="79" t="str">
        <f t="shared" si="102"/>
        <v>蓝梦月泪碎片，可用于球杆的合成、升阶。</v>
      </c>
      <c r="F1732" s="79">
        <v>6</v>
      </c>
      <c r="G1732" s="79">
        <v>2</v>
      </c>
      <c r="H1732" s="79" t="str">
        <f t="shared" si="103"/>
        <v>icon_510961</v>
      </c>
      <c r="I1732" s="79">
        <v>3</v>
      </c>
      <c r="J1732" s="79"/>
      <c r="K1732" s="79">
        <v>5</v>
      </c>
      <c r="L1732" s="79"/>
      <c r="M1732" s="127"/>
      <c r="N1732" s="79">
        <v>1</v>
      </c>
      <c r="O1732" s="79"/>
      <c r="P1732" s="107"/>
      <c r="Q1732" s="92"/>
      <c r="R1732" s="79"/>
    </row>
    <row r="1733" spans="1:18">
      <c r="A1733" s="93">
        <v>510971</v>
      </c>
      <c r="B1733" s="93">
        <v>5109711</v>
      </c>
      <c r="C1733" s="93" t="s">
        <v>3508</v>
      </c>
      <c r="D1733" s="93">
        <v>5109712</v>
      </c>
      <c r="E1733" s="93" t="str">
        <f t="shared" si="102"/>
        <v>祥瑞之星碎片，可用于球杆的合成、升阶。</v>
      </c>
      <c r="F1733" s="93">
        <v>6</v>
      </c>
      <c r="G1733" s="93">
        <v>2</v>
      </c>
      <c r="H1733" s="93" t="s">
        <v>3509</v>
      </c>
      <c r="K1733" s="93">
        <v>5</v>
      </c>
      <c r="N1733" s="93">
        <v>1</v>
      </c>
      <c r="P1733" s="98"/>
      <c r="Q1733" s="92"/>
    </row>
    <row r="1734" spans="1:18">
      <c r="A1734" s="93">
        <v>510981</v>
      </c>
      <c r="B1734" s="93">
        <v>5109811</v>
      </c>
      <c r="C1734" s="93" t="s">
        <v>3510</v>
      </c>
      <c r="D1734" s="93">
        <v>5109812</v>
      </c>
      <c r="E1734" s="93" t="str">
        <f t="shared" si="102"/>
        <v>樱韵霜芒碎片，可用于球杆的合成、升阶。</v>
      </c>
      <c r="F1734" s="93">
        <v>6</v>
      </c>
      <c r="G1734" s="93">
        <v>2</v>
      </c>
      <c r="H1734" s="93" t="s">
        <v>3511</v>
      </c>
      <c r="K1734" s="93">
        <v>5</v>
      </c>
      <c r="N1734" s="93">
        <v>1</v>
      </c>
      <c r="P1734" s="98"/>
      <c r="Q1734" s="92"/>
    </row>
    <row r="1735" spans="1:18" s="175" customFormat="1">
      <c r="A1735" s="175">
        <v>510991</v>
      </c>
      <c r="B1735" s="175">
        <v>5109911</v>
      </c>
      <c r="C1735" s="175" t="s">
        <v>3512</v>
      </c>
      <c r="D1735" s="175">
        <v>5109912</v>
      </c>
      <c r="E1735" s="175" t="str">
        <f t="shared" si="102"/>
        <v>翠竹清韵碎片，可用于球杆的合成、升阶。</v>
      </c>
      <c r="F1735" s="175">
        <v>6</v>
      </c>
      <c r="G1735" s="175">
        <v>2</v>
      </c>
      <c r="H1735" s="175" t="s">
        <v>3513</v>
      </c>
      <c r="K1735" s="175">
        <v>5</v>
      </c>
      <c r="M1735" s="179"/>
      <c r="N1735" s="175">
        <v>1</v>
      </c>
      <c r="Q1735" s="184"/>
    </row>
    <row r="1736" spans="1:18" s="175" customFormat="1">
      <c r="A1736" s="175">
        <v>511001</v>
      </c>
      <c r="B1736" s="175">
        <v>5110011</v>
      </c>
      <c r="C1736" s="175" t="s">
        <v>3514</v>
      </c>
      <c r="D1736" s="175">
        <v>5110012</v>
      </c>
      <c r="E1736" s="175" t="str">
        <f t="shared" si="102"/>
        <v>墨韵留香碎片，可用于球杆的合成、升阶。</v>
      </c>
      <c r="F1736" s="175">
        <v>6</v>
      </c>
      <c r="G1736" s="175">
        <v>2</v>
      </c>
      <c r="H1736" s="175" t="s">
        <v>3515</v>
      </c>
      <c r="K1736" s="175">
        <v>5</v>
      </c>
      <c r="M1736" s="179"/>
      <c r="N1736" s="175">
        <v>1</v>
      </c>
      <c r="Q1736" s="184"/>
    </row>
    <row r="1737" spans="1:18" s="175" customFormat="1">
      <c r="A1737" s="175">
        <v>511011</v>
      </c>
      <c r="B1737" s="175">
        <v>5110111</v>
      </c>
      <c r="C1737" s="175" t="s">
        <v>3516</v>
      </c>
      <c r="D1737" s="175">
        <v>5110112</v>
      </c>
      <c r="E1737" s="175" t="str">
        <f t="shared" si="102"/>
        <v>海洋之心碎片，可用于球杆的合成、升阶。</v>
      </c>
      <c r="F1737" s="175">
        <v>6</v>
      </c>
      <c r="G1737" s="175">
        <v>2</v>
      </c>
      <c r="H1737" s="175" t="s">
        <v>3517</v>
      </c>
      <c r="K1737" s="175">
        <v>5</v>
      </c>
      <c r="M1737" s="179"/>
      <c r="N1737" s="175">
        <v>1</v>
      </c>
      <c r="Q1737" s="184"/>
    </row>
    <row r="1738" spans="1:18" s="175" customFormat="1">
      <c r="A1738" s="175">
        <v>511021</v>
      </c>
      <c r="B1738" s="175">
        <v>5110211</v>
      </c>
      <c r="C1738" s="175" t="s">
        <v>3518</v>
      </c>
      <c r="D1738" s="175">
        <v>5110212</v>
      </c>
      <c r="E1738" s="175" t="str">
        <f t="shared" si="102"/>
        <v>笔落春秋碎片，可用于球杆的合成、升阶。</v>
      </c>
      <c r="F1738" s="175">
        <v>6</v>
      </c>
      <c r="G1738" s="175">
        <v>2</v>
      </c>
      <c r="H1738" s="175" t="s">
        <v>3519</v>
      </c>
      <c r="K1738" s="175">
        <v>5</v>
      </c>
      <c r="M1738" s="179"/>
      <c r="N1738" s="175">
        <v>1</v>
      </c>
      <c r="Q1738" s="184"/>
    </row>
    <row r="1739" spans="1:18" s="175" customFormat="1">
      <c r="A1739" s="175">
        <v>511031</v>
      </c>
      <c r="B1739" s="175">
        <v>5110311</v>
      </c>
      <c r="C1739" s="175" t="s">
        <v>3520</v>
      </c>
      <c r="D1739" s="175">
        <v>5110312</v>
      </c>
      <c r="E1739" s="175" t="str">
        <f t="shared" si="102"/>
        <v>冰源风暴碎片，可用于球杆的合成、升阶。</v>
      </c>
      <c r="F1739" s="175">
        <v>6</v>
      </c>
      <c r="G1739" s="175">
        <v>2</v>
      </c>
      <c r="H1739" s="175" t="s">
        <v>3521</v>
      </c>
      <c r="K1739" s="175">
        <v>5</v>
      </c>
      <c r="M1739" s="179"/>
      <c r="N1739" s="175">
        <v>1</v>
      </c>
      <c r="Q1739" s="184"/>
    </row>
    <row r="1740" spans="1:18" s="175" customFormat="1">
      <c r="A1740" s="175">
        <v>511041</v>
      </c>
      <c r="B1740" s="175">
        <f>A1740*10+1</f>
        <v>5110411</v>
      </c>
      <c r="C1740" s="175" t="s">
        <v>3522</v>
      </c>
      <c r="D1740" s="175">
        <f>A1740*10+2</f>
        <v>5110412</v>
      </c>
      <c r="E1740" s="175" t="str">
        <f t="shared" si="102"/>
        <v>凤羽流霞碎片，可用于球杆的合成、升阶。</v>
      </c>
      <c r="F1740" s="175">
        <v>6</v>
      </c>
      <c r="G1740" s="175">
        <v>2</v>
      </c>
      <c r="H1740" s="175" t="str">
        <f>"icon_"&amp;A1740</f>
        <v>icon_511041</v>
      </c>
      <c r="K1740" s="175">
        <v>5</v>
      </c>
      <c r="N1740" s="175">
        <v>1</v>
      </c>
    </row>
    <row r="1741" spans="1:18" s="175" customFormat="1">
      <c r="A1741" s="175">
        <v>511051</v>
      </c>
      <c r="B1741" s="175">
        <v>5110421</v>
      </c>
      <c r="C1741" s="175" t="s">
        <v>3523</v>
      </c>
      <c r="D1741" s="175">
        <v>5110422</v>
      </c>
      <c r="E1741" s="175" t="str">
        <f t="shared" si="102"/>
        <v>碧绿翡翠碎片，可用于球杆的合成、升阶。</v>
      </c>
      <c r="F1741" s="175">
        <v>6</v>
      </c>
      <c r="G1741" s="175">
        <v>2</v>
      </c>
      <c r="H1741" s="175" t="s">
        <v>3524</v>
      </c>
      <c r="K1741" s="175">
        <v>4</v>
      </c>
      <c r="M1741" s="179"/>
      <c r="N1741" s="175">
        <v>1</v>
      </c>
      <c r="Q1741" s="184"/>
    </row>
    <row r="1742" spans="1:18" s="175" customFormat="1">
      <c r="A1742" s="175">
        <v>511052</v>
      </c>
      <c r="B1742" s="175">
        <f t="shared" ref="B1742:B1750" si="106">A1742*10+1</f>
        <v>5110521</v>
      </c>
      <c r="C1742" s="175" t="s">
        <v>3525</v>
      </c>
      <c r="D1742" s="175">
        <f t="shared" ref="D1742:D1750" si="107">A1742*10+2</f>
        <v>5110522</v>
      </c>
      <c r="E1742" s="175" t="str">
        <f t="shared" si="102"/>
        <v>守护之刃碎片，可用于球杆的合成、升阶。</v>
      </c>
      <c r="F1742" s="175">
        <v>6</v>
      </c>
      <c r="G1742" s="175">
        <v>2</v>
      </c>
      <c r="H1742" s="175" t="str">
        <f t="shared" ref="H1742:H1750" si="108">"icon_"&amp;A1742</f>
        <v>icon_511052</v>
      </c>
      <c r="K1742" s="175">
        <v>5</v>
      </c>
      <c r="N1742" s="175">
        <v>1</v>
      </c>
    </row>
    <row r="1743" spans="1:18" s="175" customFormat="1">
      <c r="A1743" s="175">
        <v>511061</v>
      </c>
      <c r="B1743" s="175">
        <f t="shared" si="106"/>
        <v>5110611</v>
      </c>
      <c r="C1743" s="175" t="s">
        <v>3526</v>
      </c>
      <c r="D1743" s="175">
        <f t="shared" si="107"/>
        <v>5110612</v>
      </c>
      <c r="E1743" s="175" t="str">
        <f t="shared" si="102"/>
        <v>金色权杖碎片，可用于球杆的合成、升阶。</v>
      </c>
      <c r="F1743" s="175">
        <v>6</v>
      </c>
      <c r="G1743" s="175">
        <v>2</v>
      </c>
      <c r="H1743" s="175" t="str">
        <f t="shared" si="108"/>
        <v>icon_511061</v>
      </c>
      <c r="K1743" s="175">
        <v>5</v>
      </c>
      <c r="N1743" s="175">
        <v>1</v>
      </c>
    </row>
    <row r="1744" spans="1:18" s="175" customFormat="1">
      <c r="A1744" s="175">
        <v>511071</v>
      </c>
      <c r="B1744" s="175">
        <f t="shared" si="106"/>
        <v>5110711</v>
      </c>
      <c r="C1744" s="175" t="s">
        <v>3527</v>
      </c>
      <c r="D1744" s="175">
        <f t="shared" si="107"/>
        <v>5110712</v>
      </c>
      <c r="E1744" s="175" t="str">
        <f t="shared" si="102"/>
        <v>澄心定意碎片，可用于球杆的合成、升阶。</v>
      </c>
      <c r="F1744" s="175">
        <v>6</v>
      </c>
      <c r="G1744" s="175">
        <v>2</v>
      </c>
      <c r="H1744" s="175" t="str">
        <f t="shared" si="108"/>
        <v>icon_511071</v>
      </c>
      <c r="K1744" s="175">
        <v>5</v>
      </c>
      <c r="N1744" s="175">
        <v>1</v>
      </c>
    </row>
    <row r="1745" spans="1:17" s="175" customFormat="1">
      <c r="A1745" s="175">
        <v>511081</v>
      </c>
      <c r="B1745" s="175">
        <f t="shared" si="106"/>
        <v>5110811</v>
      </c>
      <c r="C1745" s="175" t="s">
        <v>3528</v>
      </c>
      <c r="D1745" s="175">
        <f t="shared" si="107"/>
        <v>5110812</v>
      </c>
      <c r="E1745" s="175" t="str">
        <f t="shared" si="102"/>
        <v>术士权杖碎片，可用于球杆的合成、升阶。</v>
      </c>
      <c r="F1745" s="175">
        <v>6</v>
      </c>
      <c r="G1745" s="175">
        <v>2</v>
      </c>
      <c r="H1745" s="175" t="str">
        <f t="shared" si="108"/>
        <v>icon_511081</v>
      </c>
      <c r="K1745" s="175">
        <v>5</v>
      </c>
      <c r="N1745" s="175">
        <v>1</v>
      </c>
    </row>
    <row r="1746" spans="1:17" s="175" customFormat="1">
      <c r="A1746" s="175">
        <v>511091</v>
      </c>
      <c r="B1746" s="175">
        <f t="shared" si="106"/>
        <v>5110911</v>
      </c>
      <c r="C1746" s="175" t="s">
        <v>3529</v>
      </c>
      <c r="D1746" s="175">
        <f t="shared" si="107"/>
        <v>5110912</v>
      </c>
      <c r="E1746" s="175" t="str">
        <f t="shared" si="102"/>
        <v>惩戒之刃碎片，可用于球杆的合成、升阶。</v>
      </c>
      <c r="F1746" s="175">
        <v>6</v>
      </c>
      <c r="G1746" s="175">
        <v>2</v>
      </c>
      <c r="H1746" s="175" t="str">
        <f t="shared" si="108"/>
        <v>icon_511091</v>
      </c>
      <c r="K1746" s="175">
        <v>5</v>
      </c>
      <c r="N1746" s="175">
        <v>1</v>
      </c>
    </row>
    <row r="1747" spans="1:17">
      <c r="A1747" s="93">
        <v>511101</v>
      </c>
      <c r="B1747" s="93">
        <f t="shared" si="106"/>
        <v>5111011</v>
      </c>
      <c r="C1747" s="93" t="s">
        <v>3530</v>
      </c>
      <c r="D1747" s="93">
        <f t="shared" si="107"/>
        <v>5111012</v>
      </c>
      <c r="E1747" s="93" t="str">
        <f t="shared" si="102"/>
        <v>川流之径碎片，可用于球杆的合成、升阶。</v>
      </c>
      <c r="F1747" s="93">
        <v>6</v>
      </c>
      <c r="G1747" s="93">
        <v>2</v>
      </c>
      <c r="H1747" s="93" t="str">
        <f t="shared" si="108"/>
        <v>icon_511101</v>
      </c>
      <c r="K1747" s="93">
        <v>5</v>
      </c>
      <c r="M1747" s="93"/>
      <c r="N1747" s="93">
        <v>1</v>
      </c>
    </row>
    <row r="1748" spans="1:17">
      <c r="A1748" s="93">
        <v>511111</v>
      </c>
      <c r="B1748" s="93">
        <f t="shared" si="106"/>
        <v>5111111</v>
      </c>
      <c r="C1748" s="93" t="s">
        <v>3531</v>
      </c>
      <c r="D1748" s="93">
        <f t="shared" si="107"/>
        <v>5111112</v>
      </c>
      <c r="E1748" s="93" t="str">
        <f t="shared" si="102"/>
        <v>秩序之矛碎片，可用于球杆的合成、升阶。</v>
      </c>
      <c r="F1748" s="93">
        <v>6</v>
      </c>
      <c r="G1748" s="93">
        <v>2</v>
      </c>
      <c r="H1748" s="93" t="str">
        <f t="shared" si="108"/>
        <v>icon_511111</v>
      </c>
      <c r="K1748" s="93">
        <v>5</v>
      </c>
      <c r="N1748" s="93">
        <v>1</v>
      </c>
      <c r="P1748" s="98"/>
      <c r="Q1748" s="92"/>
    </row>
    <row r="1749" spans="1:17">
      <c r="A1749" s="93">
        <v>511121</v>
      </c>
      <c r="B1749" s="93">
        <f t="shared" si="106"/>
        <v>5111211</v>
      </c>
      <c r="C1749" s="93" t="s">
        <v>3532</v>
      </c>
      <c r="D1749" s="93">
        <f t="shared" si="107"/>
        <v>5111212</v>
      </c>
      <c r="E1749" s="93" t="str">
        <f t="shared" si="102"/>
        <v>部落图腾碎片，可用于球杆的合成、升阶。</v>
      </c>
      <c r="F1749" s="93">
        <v>6</v>
      </c>
      <c r="G1749" s="93">
        <v>2</v>
      </c>
      <c r="H1749" s="93" t="str">
        <f t="shared" si="108"/>
        <v>icon_511121</v>
      </c>
      <c r="K1749" s="93">
        <v>5</v>
      </c>
      <c r="M1749" s="93"/>
      <c r="N1749" s="93">
        <v>1</v>
      </c>
    </row>
    <row r="1750" spans="1:17">
      <c r="A1750" s="93">
        <v>511131</v>
      </c>
      <c r="B1750" s="93">
        <f t="shared" si="106"/>
        <v>5111311</v>
      </c>
      <c r="C1750" s="93" t="s">
        <v>3533</v>
      </c>
      <c r="D1750" s="93">
        <f t="shared" si="107"/>
        <v>5111312</v>
      </c>
      <c r="E1750" s="93" t="str">
        <f t="shared" si="102"/>
        <v>蒸汽核心碎片，可用于球杆的合成、升阶。</v>
      </c>
      <c r="F1750" s="93">
        <v>6</v>
      </c>
      <c r="G1750" s="93">
        <v>2</v>
      </c>
      <c r="H1750" s="93" t="str">
        <f t="shared" si="108"/>
        <v>icon_511131</v>
      </c>
      <c r="K1750" s="93">
        <v>4</v>
      </c>
      <c r="N1750" s="93">
        <v>1</v>
      </c>
    </row>
    <row r="1751" spans="1:17" s="79" customFormat="1">
      <c r="A1751" s="79">
        <v>511151</v>
      </c>
      <c r="B1751" s="79">
        <f t="shared" ref="B1751:B1771" si="109">A1751*10+1</f>
        <v>5111511</v>
      </c>
      <c r="C1751" s="79" t="s">
        <v>3534</v>
      </c>
      <c r="D1751" s="79">
        <f t="shared" ref="D1751:D1771" si="110">A1751*10+2</f>
        <v>5111512</v>
      </c>
      <c r="E1751" s="79" t="str">
        <f t="shared" ref="E1751:E1767" si="111">C1751&amp;"，可用于球杆的合成、升阶。"</f>
        <v>箬竹翠韵碎片，可用于球杆的合成、升阶。</v>
      </c>
      <c r="F1751" s="79">
        <v>6</v>
      </c>
      <c r="G1751" s="79">
        <v>2</v>
      </c>
      <c r="H1751" s="79" t="str">
        <f t="shared" ref="H1751:H1771" si="112">"icon_"&amp;A1751</f>
        <v>icon_511151</v>
      </c>
      <c r="K1751" s="79">
        <v>5</v>
      </c>
      <c r="N1751" s="79">
        <v>1</v>
      </c>
    </row>
    <row r="1752" spans="1:17" s="175" customFormat="1">
      <c r="A1752" s="175">
        <v>511152</v>
      </c>
      <c r="B1752" s="175">
        <f t="shared" si="109"/>
        <v>5111521</v>
      </c>
      <c r="C1752" s="175" t="s">
        <v>3535</v>
      </c>
      <c r="D1752" s="175">
        <f t="shared" si="110"/>
        <v>5111522</v>
      </c>
      <c r="E1752" s="175" t="str">
        <f t="shared" si="102"/>
        <v>黛玉龙骧碎片，可用于球杆的合成、升阶。</v>
      </c>
      <c r="F1752" s="175">
        <v>6</v>
      </c>
      <c r="G1752" s="175">
        <v>2</v>
      </c>
      <c r="H1752" s="175" t="str">
        <f t="shared" si="112"/>
        <v>icon_511152</v>
      </c>
      <c r="K1752" s="175">
        <v>5</v>
      </c>
      <c r="N1752" s="175">
        <v>1</v>
      </c>
    </row>
    <row r="1753" spans="1:17" s="79" customFormat="1">
      <c r="A1753" s="79">
        <v>511161</v>
      </c>
      <c r="B1753" s="79">
        <f t="shared" si="109"/>
        <v>5111611</v>
      </c>
      <c r="C1753" s="79" t="s">
        <v>3536</v>
      </c>
      <c r="D1753" s="79">
        <f t="shared" si="110"/>
        <v>5111612</v>
      </c>
      <c r="E1753" s="79" t="str">
        <f t="shared" si="102"/>
        <v>古风球杆2碎片，可用于球杆的合成、升阶。</v>
      </c>
      <c r="F1753" s="79">
        <v>6</v>
      </c>
      <c r="G1753" s="79">
        <v>2</v>
      </c>
      <c r="H1753" s="79" t="str">
        <f t="shared" si="112"/>
        <v>icon_511161</v>
      </c>
      <c r="K1753" s="79">
        <v>5</v>
      </c>
      <c r="N1753" s="79">
        <v>1</v>
      </c>
    </row>
    <row r="1754" spans="1:17" s="79" customFormat="1">
      <c r="A1754" s="79">
        <v>511171</v>
      </c>
      <c r="B1754" s="79">
        <f t="shared" si="109"/>
        <v>5111711</v>
      </c>
      <c r="C1754" s="79" t="s">
        <v>3537</v>
      </c>
      <c r="D1754" s="79">
        <f t="shared" si="110"/>
        <v>5111712</v>
      </c>
      <c r="E1754" s="79" t="str">
        <f t="shared" si="102"/>
        <v>雅典娜球杆碎片，可用于球杆的合成、升阶。</v>
      </c>
      <c r="F1754" s="79">
        <v>6</v>
      </c>
      <c r="G1754" s="79">
        <v>2</v>
      </c>
      <c r="H1754" s="79" t="str">
        <f t="shared" si="112"/>
        <v>icon_511171</v>
      </c>
      <c r="K1754" s="79">
        <v>8</v>
      </c>
      <c r="N1754" s="79">
        <v>1</v>
      </c>
    </row>
    <row r="1755" spans="1:17" s="79" customFormat="1">
      <c r="A1755" s="79">
        <v>511181</v>
      </c>
      <c r="B1755" s="79">
        <f t="shared" si="109"/>
        <v>5111811</v>
      </c>
      <c r="C1755" s="79" t="s">
        <v>3538</v>
      </c>
      <c r="D1755" s="79">
        <f t="shared" si="110"/>
        <v>5111812</v>
      </c>
      <c r="E1755" s="79" t="str">
        <f t="shared" si="111"/>
        <v>海王三叉戟碎片，可用于球杆的合成、升阶。</v>
      </c>
      <c r="F1755" s="79">
        <v>6</v>
      </c>
      <c r="G1755" s="79">
        <v>2</v>
      </c>
      <c r="H1755" s="79" t="str">
        <f t="shared" si="112"/>
        <v>icon_511181</v>
      </c>
      <c r="K1755" s="79">
        <v>5</v>
      </c>
      <c r="N1755" s="79">
        <v>1</v>
      </c>
    </row>
    <row r="1756" spans="1:17" s="79" customFormat="1">
      <c r="A1756" s="79">
        <v>511191</v>
      </c>
      <c r="B1756" s="79">
        <f t="shared" si="109"/>
        <v>5111911</v>
      </c>
      <c r="C1756" s="79" t="s">
        <v>3539</v>
      </c>
      <c r="D1756" s="79">
        <f t="shared" si="110"/>
        <v>5111912</v>
      </c>
      <c r="E1756" s="79" t="str">
        <f t="shared" si="102"/>
        <v>白羊座碎片，可用于球杆的合成、升阶。</v>
      </c>
      <c r="F1756" s="79">
        <v>6</v>
      </c>
      <c r="G1756" s="79">
        <v>2</v>
      </c>
      <c r="H1756" s="79" t="str">
        <f t="shared" si="112"/>
        <v>icon_511191</v>
      </c>
      <c r="K1756" s="79">
        <v>8</v>
      </c>
      <c r="N1756" s="79">
        <v>1</v>
      </c>
    </row>
    <row r="1757" spans="1:17" s="79" customFormat="1">
      <c r="A1757" s="79">
        <v>511201</v>
      </c>
      <c r="B1757" s="79">
        <f t="shared" si="109"/>
        <v>5112011</v>
      </c>
      <c r="C1757" s="79" t="s">
        <v>3540</v>
      </c>
      <c r="D1757" s="79">
        <f t="shared" si="110"/>
        <v>5112012</v>
      </c>
      <c r="E1757" s="79" t="str">
        <f t="shared" si="102"/>
        <v>金牛座碎片，可用于球杆的合成、升阶。</v>
      </c>
      <c r="F1757" s="79">
        <v>6</v>
      </c>
      <c r="G1757" s="79">
        <v>2</v>
      </c>
      <c r="H1757" s="79" t="str">
        <f t="shared" si="112"/>
        <v>icon_511201</v>
      </c>
      <c r="K1757" s="79">
        <v>8</v>
      </c>
      <c r="N1757" s="79">
        <v>1</v>
      </c>
    </row>
    <row r="1758" spans="1:17" s="79" customFormat="1">
      <c r="A1758" s="79">
        <v>511211</v>
      </c>
      <c r="B1758" s="79">
        <f t="shared" si="109"/>
        <v>5112111</v>
      </c>
      <c r="C1758" s="79" t="s">
        <v>3541</v>
      </c>
      <c r="D1758" s="79">
        <f t="shared" si="110"/>
        <v>5112112</v>
      </c>
      <c r="E1758" s="79" t="str">
        <f t="shared" si="102"/>
        <v>双子座碎片，可用于球杆的合成、升阶。</v>
      </c>
      <c r="F1758" s="79">
        <v>6</v>
      </c>
      <c r="G1758" s="79">
        <v>2</v>
      </c>
      <c r="H1758" s="79" t="str">
        <f t="shared" si="112"/>
        <v>icon_511211</v>
      </c>
      <c r="K1758" s="79">
        <v>8</v>
      </c>
      <c r="N1758" s="79">
        <v>1</v>
      </c>
    </row>
    <row r="1759" spans="1:17" s="79" customFormat="1">
      <c r="A1759" s="79">
        <v>511221</v>
      </c>
      <c r="B1759" s="79">
        <f t="shared" si="109"/>
        <v>5112211</v>
      </c>
      <c r="C1759" s="79" t="s">
        <v>3542</v>
      </c>
      <c r="D1759" s="79">
        <f t="shared" si="110"/>
        <v>5112212</v>
      </c>
      <c r="E1759" s="79" t="str">
        <f t="shared" si="111"/>
        <v>巨蟹座碎片，可用于球杆的合成、升阶。</v>
      </c>
      <c r="F1759" s="79">
        <v>6</v>
      </c>
      <c r="G1759" s="79">
        <v>2</v>
      </c>
      <c r="H1759" s="79" t="str">
        <f t="shared" si="112"/>
        <v>icon_511221</v>
      </c>
      <c r="K1759" s="79">
        <v>8</v>
      </c>
      <c r="N1759" s="79">
        <v>1</v>
      </c>
    </row>
    <row r="1760" spans="1:17" s="79" customFormat="1">
      <c r="A1760" s="79">
        <v>511231</v>
      </c>
      <c r="B1760" s="79">
        <f t="shared" si="109"/>
        <v>5112311</v>
      </c>
      <c r="C1760" s="79" t="s">
        <v>3543</v>
      </c>
      <c r="D1760" s="79">
        <f t="shared" si="110"/>
        <v>5112312</v>
      </c>
      <c r="E1760" s="79" t="str">
        <f t="shared" si="102"/>
        <v>狮子座碎片，可用于球杆的合成、升阶。</v>
      </c>
      <c r="F1760" s="79">
        <v>6</v>
      </c>
      <c r="G1760" s="79">
        <v>2</v>
      </c>
      <c r="H1760" s="79" t="str">
        <f t="shared" si="112"/>
        <v>icon_511231</v>
      </c>
      <c r="K1760" s="79">
        <v>8</v>
      </c>
      <c r="N1760" s="79">
        <v>1</v>
      </c>
    </row>
    <row r="1761" spans="1:14" s="79" customFormat="1">
      <c r="A1761" s="79">
        <v>511241</v>
      </c>
      <c r="B1761" s="79">
        <f t="shared" si="109"/>
        <v>5112411</v>
      </c>
      <c r="C1761" s="79" t="s">
        <v>3544</v>
      </c>
      <c r="D1761" s="79">
        <f t="shared" si="110"/>
        <v>5112412</v>
      </c>
      <c r="E1761" s="79" t="str">
        <f t="shared" si="102"/>
        <v>处女座碎片，可用于球杆的合成、升阶。</v>
      </c>
      <c r="F1761" s="79">
        <v>6</v>
      </c>
      <c r="G1761" s="79">
        <v>2</v>
      </c>
      <c r="H1761" s="79" t="str">
        <f t="shared" si="112"/>
        <v>icon_511241</v>
      </c>
      <c r="K1761" s="79">
        <v>8</v>
      </c>
      <c r="N1761" s="79">
        <v>1</v>
      </c>
    </row>
    <row r="1762" spans="1:14" s="79" customFormat="1">
      <c r="A1762" s="79">
        <v>511251</v>
      </c>
      <c r="B1762" s="79">
        <f t="shared" si="109"/>
        <v>5112511</v>
      </c>
      <c r="C1762" s="79" t="s">
        <v>3545</v>
      </c>
      <c r="D1762" s="79">
        <f t="shared" si="110"/>
        <v>5112512</v>
      </c>
      <c r="E1762" s="79" t="str">
        <f t="shared" si="102"/>
        <v>天秤座碎片，可用于球杆的合成、升阶。</v>
      </c>
      <c r="F1762" s="79">
        <v>6</v>
      </c>
      <c r="G1762" s="79">
        <v>2</v>
      </c>
      <c r="H1762" s="79" t="str">
        <f t="shared" si="112"/>
        <v>icon_511251</v>
      </c>
      <c r="K1762" s="79">
        <v>8</v>
      </c>
      <c r="N1762" s="79">
        <v>1</v>
      </c>
    </row>
    <row r="1763" spans="1:14" s="79" customFormat="1">
      <c r="A1763" s="79">
        <v>511261</v>
      </c>
      <c r="B1763" s="79">
        <f t="shared" si="109"/>
        <v>5112611</v>
      </c>
      <c r="C1763" s="79" t="s">
        <v>3546</v>
      </c>
      <c r="D1763" s="79">
        <f t="shared" si="110"/>
        <v>5112612</v>
      </c>
      <c r="E1763" s="79" t="str">
        <f t="shared" si="111"/>
        <v>天蝎座碎片，可用于球杆的合成、升阶。</v>
      </c>
      <c r="F1763" s="79">
        <v>6</v>
      </c>
      <c r="G1763" s="79">
        <v>2</v>
      </c>
      <c r="H1763" s="79" t="str">
        <f t="shared" si="112"/>
        <v>icon_511261</v>
      </c>
      <c r="K1763" s="79">
        <v>8</v>
      </c>
      <c r="N1763" s="79">
        <v>1</v>
      </c>
    </row>
    <row r="1764" spans="1:14" s="79" customFormat="1">
      <c r="A1764" s="79">
        <v>511271</v>
      </c>
      <c r="B1764" s="79">
        <f t="shared" si="109"/>
        <v>5112711</v>
      </c>
      <c r="C1764" s="79" t="s">
        <v>3547</v>
      </c>
      <c r="D1764" s="79">
        <f t="shared" si="110"/>
        <v>5112712</v>
      </c>
      <c r="E1764" s="79" t="str">
        <f t="shared" si="102"/>
        <v>射手座碎片，可用于球杆的合成、升阶。</v>
      </c>
      <c r="F1764" s="79">
        <v>6</v>
      </c>
      <c r="G1764" s="79">
        <v>2</v>
      </c>
      <c r="H1764" s="79" t="str">
        <f t="shared" si="112"/>
        <v>icon_511271</v>
      </c>
      <c r="K1764" s="79">
        <v>8</v>
      </c>
      <c r="N1764" s="79">
        <v>1</v>
      </c>
    </row>
    <row r="1765" spans="1:14" s="79" customFormat="1">
      <c r="A1765" s="79">
        <v>511281</v>
      </c>
      <c r="B1765" s="79">
        <f t="shared" si="109"/>
        <v>5112811</v>
      </c>
      <c r="C1765" s="79" t="s">
        <v>3548</v>
      </c>
      <c r="D1765" s="79">
        <f t="shared" si="110"/>
        <v>5112812</v>
      </c>
      <c r="E1765" s="79" t="str">
        <f t="shared" si="102"/>
        <v>魔羯座碎片，可用于球杆的合成、升阶。</v>
      </c>
      <c r="F1765" s="79">
        <v>6</v>
      </c>
      <c r="G1765" s="79">
        <v>2</v>
      </c>
      <c r="H1765" s="79" t="str">
        <f t="shared" si="112"/>
        <v>icon_511281</v>
      </c>
      <c r="K1765" s="79">
        <v>8</v>
      </c>
      <c r="N1765" s="79">
        <v>1</v>
      </c>
    </row>
    <row r="1766" spans="1:14" s="79" customFormat="1">
      <c r="A1766" s="79">
        <v>511291</v>
      </c>
      <c r="B1766" s="79">
        <f t="shared" si="109"/>
        <v>5112911</v>
      </c>
      <c r="C1766" s="79" t="s">
        <v>3549</v>
      </c>
      <c r="D1766" s="79">
        <f t="shared" si="110"/>
        <v>5112912</v>
      </c>
      <c r="E1766" s="79" t="str">
        <f t="shared" ref="E1766:E1771" si="113">C1766&amp;"，可用于球杆的合成、升阶。"</f>
        <v>水瓶座碎片，可用于球杆的合成、升阶。</v>
      </c>
      <c r="F1766" s="79">
        <v>6</v>
      </c>
      <c r="G1766" s="79">
        <v>2</v>
      </c>
      <c r="H1766" s="79" t="str">
        <f t="shared" si="112"/>
        <v>icon_511291</v>
      </c>
      <c r="K1766" s="79">
        <v>8</v>
      </c>
      <c r="N1766" s="79">
        <v>1</v>
      </c>
    </row>
    <row r="1767" spans="1:14" s="79" customFormat="1">
      <c r="A1767" s="79">
        <v>511301</v>
      </c>
      <c r="B1767" s="79">
        <f t="shared" si="109"/>
        <v>5113011</v>
      </c>
      <c r="C1767" s="79" t="s">
        <v>3550</v>
      </c>
      <c r="D1767" s="79">
        <f t="shared" si="110"/>
        <v>5113012</v>
      </c>
      <c r="E1767" s="79" t="str">
        <f t="shared" si="111"/>
        <v>双鱼座碎片，可用于球杆的合成、升阶。</v>
      </c>
      <c r="F1767" s="79">
        <v>6</v>
      </c>
      <c r="G1767" s="79">
        <v>2</v>
      </c>
      <c r="H1767" s="79" t="str">
        <f t="shared" si="112"/>
        <v>icon_511301</v>
      </c>
      <c r="K1767" s="79">
        <v>8</v>
      </c>
      <c r="N1767" s="79">
        <v>1</v>
      </c>
    </row>
    <row r="1768" spans="1:14" s="79" customFormat="1">
      <c r="A1768" s="79">
        <v>511311</v>
      </c>
      <c r="B1768" s="79">
        <f t="shared" si="109"/>
        <v>5113111</v>
      </c>
      <c r="C1768" s="79" t="s">
        <v>3551</v>
      </c>
      <c r="D1768" s="79">
        <f t="shared" si="110"/>
        <v>5113112</v>
      </c>
      <c r="E1768" s="79" t="str">
        <f t="shared" si="113"/>
        <v>如意金箍棒碎片，可用于球杆的合成、升阶。</v>
      </c>
      <c r="F1768" s="79">
        <v>6</v>
      </c>
      <c r="G1768" s="79">
        <v>2</v>
      </c>
      <c r="H1768" s="79" t="str">
        <f t="shared" si="112"/>
        <v>icon_511311</v>
      </c>
      <c r="K1768" s="79">
        <v>8</v>
      </c>
      <c r="N1768" s="79">
        <v>1</v>
      </c>
    </row>
    <row r="1769" spans="1:14" s="79" customFormat="1">
      <c r="A1769" s="79">
        <v>511321</v>
      </c>
      <c r="B1769" s="79">
        <f t="shared" si="109"/>
        <v>5113211</v>
      </c>
      <c r="C1769" s="79" t="s">
        <v>3552</v>
      </c>
      <c r="D1769" s="79">
        <f t="shared" si="110"/>
        <v>5113212</v>
      </c>
      <c r="E1769" s="79" t="str">
        <f t="shared" si="113"/>
        <v>圣光祈福碎片，可用于球杆的合成、升阶。</v>
      </c>
      <c r="F1769" s="79">
        <v>6</v>
      </c>
      <c r="G1769" s="79">
        <v>2</v>
      </c>
      <c r="H1769" s="79" t="str">
        <f t="shared" si="112"/>
        <v>icon_511321</v>
      </c>
      <c r="K1769" s="79">
        <v>5</v>
      </c>
      <c r="N1769" s="79">
        <v>1</v>
      </c>
    </row>
    <row r="1770" spans="1:14" s="79" customFormat="1">
      <c r="A1770" s="79">
        <v>511331</v>
      </c>
      <c r="B1770" s="79">
        <f t="shared" si="109"/>
        <v>5113311</v>
      </c>
      <c r="C1770" s="79" t="s">
        <v>3553</v>
      </c>
      <c r="D1770" s="79">
        <f t="shared" si="110"/>
        <v>5113312</v>
      </c>
      <c r="E1770" s="79" t="str">
        <f t="shared" si="113"/>
        <v>炽热阳炎碎片，可用于球杆的合成、升阶。</v>
      </c>
      <c r="F1770" s="79">
        <v>6</v>
      </c>
      <c r="G1770" s="79">
        <v>2</v>
      </c>
      <c r="H1770" s="79" t="str">
        <f t="shared" si="112"/>
        <v>icon_511331</v>
      </c>
      <c r="K1770" s="79">
        <v>5</v>
      </c>
      <c r="N1770" s="79">
        <v>1</v>
      </c>
    </row>
    <row r="1771" spans="1:14" s="79" customFormat="1">
      <c r="A1771" s="79">
        <v>511341</v>
      </c>
      <c r="B1771" s="79">
        <f t="shared" si="109"/>
        <v>5113411</v>
      </c>
      <c r="C1771" s="79" t="s">
        <v>3554</v>
      </c>
      <c r="D1771" s="79">
        <f t="shared" si="110"/>
        <v>5113412</v>
      </c>
      <c r="E1771" s="79" t="str">
        <f t="shared" si="113"/>
        <v>茱影浮翠碎片，可用于球杆的合成、升阶。</v>
      </c>
      <c r="F1771" s="79">
        <v>6</v>
      </c>
      <c r="G1771" s="79">
        <v>2</v>
      </c>
      <c r="H1771" s="79" t="str">
        <f t="shared" si="112"/>
        <v>icon_511341</v>
      </c>
      <c r="K1771" s="79">
        <v>5</v>
      </c>
      <c r="N1771" s="79">
        <v>1</v>
      </c>
    </row>
    <row r="1772" spans="1:14" s="79" customFormat="1">
      <c r="A1772" s="79">
        <v>511351</v>
      </c>
      <c r="B1772" s="79">
        <f t="shared" ref="B1772:B1773" si="114">A1772*10+1</f>
        <v>5113511</v>
      </c>
      <c r="C1772" s="79" t="s">
        <v>3555</v>
      </c>
      <c r="D1772" s="79">
        <f t="shared" ref="D1772:D1773" si="115">A1772*10+2</f>
        <v>5113512</v>
      </c>
      <c r="E1772" s="79" t="str">
        <f t="shared" ref="E1772:E1773" si="116">C1772&amp;"，可用于球杆的合成、升阶。"</f>
        <v>敦煌琴音碎片，可用于球杆的合成、升阶。</v>
      </c>
      <c r="F1772" s="79">
        <v>6</v>
      </c>
      <c r="G1772" s="79">
        <v>2</v>
      </c>
      <c r="H1772" s="79" t="str">
        <f t="shared" ref="H1772:H1773" si="117">"icon_"&amp;A1772</f>
        <v>icon_511351</v>
      </c>
      <c r="K1772" s="79">
        <v>5</v>
      </c>
      <c r="N1772" s="79">
        <v>1</v>
      </c>
    </row>
    <row r="1773" spans="1:14" s="79" customFormat="1">
      <c r="A1773" s="79">
        <v>511361</v>
      </c>
      <c r="B1773" s="79">
        <f t="shared" si="114"/>
        <v>5113611</v>
      </c>
      <c r="C1773" s="79" t="s">
        <v>3556</v>
      </c>
      <c r="D1773" s="79">
        <f t="shared" si="115"/>
        <v>5113612</v>
      </c>
      <c r="E1773" s="79" t="str">
        <f t="shared" si="116"/>
        <v>箜篌踏歌碎片，可用于球杆的合成、升阶。</v>
      </c>
      <c r="F1773" s="79">
        <v>6</v>
      </c>
      <c r="G1773" s="79">
        <v>2</v>
      </c>
      <c r="H1773" s="79" t="str">
        <f t="shared" si="117"/>
        <v>icon_511361</v>
      </c>
      <c r="K1773" s="79">
        <v>5</v>
      </c>
      <c r="N1773" s="79">
        <v>1</v>
      </c>
    </row>
    <row r="1774" spans="1:14" s="79" customFormat="1">
      <c r="A1774" s="79">
        <v>511371</v>
      </c>
      <c r="B1774" s="79">
        <f t="shared" ref="B1774:B1776" si="118">A1774*10+1</f>
        <v>5113711</v>
      </c>
      <c r="C1774" s="79" t="s">
        <v>3557</v>
      </c>
      <c r="D1774" s="79">
        <f t="shared" ref="D1774:D1776" si="119">A1774*10+2</f>
        <v>5113712</v>
      </c>
      <c r="E1774" s="79" t="str">
        <f t="shared" ref="E1774:E1776" si="120">C1774&amp;"，可用于球杆的合成、升阶。"</f>
        <v>幻影萧萧碎片，可用于球杆的合成、升阶。</v>
      </c>
      <c r="F1774" s="79">
        <v>6</v>
      </c>
      <c r="G1774" s="79">
        <v>2</v>
      </c>
      <c r="H1774" s="79" t="str">
        <f t="shared" ref="H1774:H1776" si="121">"icon_"&amp;A1774</f>
        <v>icon_511371</v>
      </c>
      <c r="K1774" s="79">
        <v>5</v>
      </c>
      <c r="N1774" s="79">
        <v>1</v>
      </c>
    </row>
    <row r="1775" spans="1:14" s="79" customFormat="1">
      <c r="A1775" s="79">
        <v>511381</v>
      </c>
      <c r="B1775" s="79">
        <f t="shared" si="118"/>
        <v>5113811</v>
      </c>
      <c r="C1775" s="79" t="s">
        <v>3558</v>
      </c>
      <c r="D1775" s="79">
        <f t="shared" si="119"/>
        <v>5113812</v>
      </c>
      <c r="E1775" s="79" t="str">
        <f t="shared" si="120"/>
        <v>孔翠鸣筝碎片，可用于球杆的合成、升阶。</v>
      </c>
      <c r="F1775" s="79">
        <v>6</v>
      </c>
      <c r="G1775" s="79">
        <v>2</v>
      </c>
      <c r="H1775" s="79" t="str">
        <f t="shared" si="121"/>
        <v>icon_511381</v>
      </c>
      <c r="K1775" s="79">
        <v>5</v>
      </c>
      <c r="N1775" s="79">
        <v>1</v>
      </c>
    </row>
    <row r="1776" spans="1:14" s="79" customFormat="1">
      <c r="A1776" s="79">
        <v>511391</v>
      </c>
      <c r="B1776" s="79">
        <f t="shared" si="118"/>
        <v>5113911</v>
      </c>
      <c r="C1776" s="79" t="s">
        <v>3559</v>
      </c>
      <c r="D1776" s="79">
        <f t="shared" si="119"/>
        <v>5113912</v>
      </c>
      <c r="E1776" s="79" t="str">
        <f t="shared" si="120"/>
        <v>梦幻琴海碎片，可用于球杆的合成、升阶。</v>
      </c>
      <c r="F1776" s="79">
        <v>6</v>
      </c>
      <c r="G1776" s="79">
        <v>2</v>
      </c>
      <c r="H1776" s="79" t="str">
        <f t="shared" si="121"/>
        <v>icon_511391</v>
      </c>
      <c r="K1776" s="79">
        <v>5</v>
      </c>
      <c r="N1776" s="79">
        <v>1</v>
      </c>
    </row>
    <row r="1777" spans="1:18" s="79" customFormat="1">
      <c r="A1777" s="79">
        <v>511401</v>
      </c>
      <c r="B1777" s="79">
        <f t="shared" ref="B1777:B1778" si="122">A1777*10+1</f>
        <v>5114011</v>
      </c>
      <c r="C1777" s="79" t="s">
        <v>3560</v>
      </c>
      <c r="D1777" s="79">
        <f t="shared" ref="D1777:D1778" si="123">A1777*10+2</f>
        <v>5114012</v>
      </c>
      <c r="E1777" s="79" t="str">
        <f t="shared" ref="E1777:E1778" si="124">C1777&amp;"，可用于球杆的合成、升阶。"</f>
        <v>山雨箭来碎片，可用于球杆的合成、升阶。</v>
      </c>
      <c r="F1777" s="79">
        <v>6</v>
      </c>
      <c r="G1777" s="79">
        <v>2</v>
      </c>
      <c r="H1777" s="79" t="str">
        <f t="shared" ref="H1777:H1782" si="125">"icon_"&amp;A1777</f>
        <v>icon_511401</v>
      </c>
      <c r="K1777" s="79">
        <v>5</v>
      </c>
      <c r="N1777" s="79">
        <v>1</v>
      </c>
    </row>
    <row r="1778" spans="1:18" s="79" customFormat="1">
      <c r="A1778" s="79">
        <v>511411</v>
      </c>
      <c r="B1778" s="79">
        <f t="shared" si="122"/>
        <v>5114111</v>
      </c>
      <c r="C1778" s="79" t="s">
        <v>3561</v>
      </c>
      <c r="D1778" s="79">
        <f t="shared" si="123"/>
        <v>5114112</v>
      </c>
      <c r="E1778" s="79" t="str">
        <f t="shared" si="124"/>
        <v>剑影飒沓碎片，可用于球杆的合成、升阶。</v>
      </c>
      <c r="F1778" s="79">
        <v>6</v>
      </c>
      <c r="G1778" s="79">
        <v>2</v>
      </c>
      <c r="H1778" s="79" t="str">
        <f t="shared" si="125"/>
        <v>icon_511411</v>
      </c>
      <c r="K1778" s="79">
        <v>5</v>
      </c>
      <c r="N1778" s="79">
        <v>1</v>
      </c>
    </row>
    <row r="1779" spans="1:18" s="79" customFormat="1">
      <c r="A1779" s="79">
        <v>511421</v>
      </c>
      <c r="B1779" s="79">
        <f t="shared" ref="B1779:B1782" si="126">A1779*10+1</f>
        <v>5114211</v>
      </c>
      <c r="C1779" s="79" t="s">
        <v>3562</v>
      </c>
      <c r="D1779" s="79">
        <f t="shared" ref="D1779:D1782" si="127">A1779*10+2</f>
        <v>5114212</v>
      </c>
      <c r="E1779" s="79" t="str">
        <f t="shared" ref="E1779:E1782" si="128">C1779&amp;"，可用于球杆的合成、升阶。"</f>
        <v>花飞鹤舞碎片，可用于球杆的合成、升阶。</v>
      </c>
      <c r="F1779" s="79">
        <v>6</v>
      </c>
      <c r="G1779" s="79">
        <v>2</v>
      </c>
      <c r="H1779" s="79" t="str">
        <f t="shared" si="125"/>
        <v>icon_511421</v>
      </c>
      <c r="K1779" s="79">
        <v>5</v>
      </c>
      <c r="N1779" s="79">
        <v>1</v>
      </c>
    </row>
    <row r="1780" spans="1:18" s="79" customFormat="1">
      <c r="A1780" s="79">
        <v>511431</v>
      </c>
      <c r="B1780" s="79">
        <f t="shared" si="126"/>
        <v>5114311</v>
      </c>
      <c r="C1780" s="79" t="s">
        <v>3563</v>
      </c>
      <c r="D1780" s="79">
        <f t="shared" si="127"/>
        <v>5114312</v>
      </c>
      <c r="E1780" s="79" t="str">
        <f t="shared" si="128"/>
        <v>紫青宝剑碎片，可用于球杆的合成、升阶。</v>
      </c>
      <c r="F1780" s="79">
        <v>6</v>
      </c>
      <c r="G1780" s="79">
        <v>2</v>
      </c>
      <c r="H1780" s="79" t="str">
        <f t="shared" si="125"/>
        <v>icon_511431</v>
      </c>
      <c r="K1780" s="79">
        <v>8</v>
      </c>
      <c r="N1780" s="79">
        <v>1</v>
      </c>
    </row>
    <row r="1781" spans="1:18" s="79" customFormat="1">
      <c r="A1781" s="79">
        <v>511441</v>
      </c>
      <c r="B1781" s="79">
        <f t="shared" ref="B1781" si="129">A1781*10+1</f>
        <v>5114411</v>
      </c>
      <c r="C1781" s="79" t="s">
        <v>5513</v>
      </c>
      <c r="D1781" s="79">
        <f t="shared" ref="D1781" si="130">A1781*10+2</f>
        <v>5114412</v>
      </c>
      <c r="E1781" s="79" t="str">
        <f t="shared" ref="E1781" si="131">C1781&amp;"，可用于球杆的合成、升阶。"</f>
        <v>黑龙魔镰碎片，可用于球杆的合成、升阶。</v>
      </c>
      <c r="F1781" s="79">
        <v>6</v>
      </c>
      <c r="G1781" s="79">
        <v>2</v>
      </c>
      <c r="H1781" s="79" t="str">
        <f t="shared" ref="H1781" si="132">"icon_"&amp;A1781</f>
        <v>icon_511441</v>
      </c>
      <c r="K1781" s="79">
        <v>8</v>
      </c>
      <c r="N1781" s="79">
        <v>1</v>
      </c>
    </row>
    <row r="1782" spans="1:18" s="79" customFormat="1">
      <c r="A1782" s="79">
        <v>511451</v>
      </c>
      <c r="B1782" s="79">
        <f t="shared" si="126"/>
        <v>5114511</v>
      </c>
      <c r="C1782" s="79" t="s">
        <v>3564</v>
      </c>
      <c r="D1782" s="79">
        <f t="shared" si="127"/>
        <v>5114512</v>
      </c>
      <c r="E1782" s="79" t="str">
        <f t="shared" si="128"/>
        <v>张灯结彩碎片，可用于球杆的合成、升阶。</v>
      </c>
      <c r="F1782" s="79">
        <v>6</v>
      </c>
      <c r="G1782" s="79">
        <v>2</v>
      </c>
      <c r="H1782" s="79" t="str">
        <f t="shared" si="125"/>
        <v>icon_511451</v>
      </c>
      <c r="K1782" s="79">
        <v>5</v>
      </c>
      <c r="N1782" s="79">
        <v>1</v>
      </c>
    </row>
    <row r="1783" spans="1:18" s="79" customFormat="1">
      <c r="A1783" s="79">
        <v>511461</v>
      </c>
      <c r="B1783" s="79">
        <f t="shared" ref="B1783:B1784" si="133">A1783*10+1</f>
        <v>5114611</v>
      </c>
      <c r="C1783" s="79" t="s">
        <v>5512</v>
      </c>
      <c r="D1783" s="79">
        <f t="shared" ref="D1783:D1784" si="134">A1783*10+2</f>
        <v>5114612</v>
      </c>
      <c r="E1783" s="79" t="str">
        <f t="shared" ref="E1783:E1784" si="135">C1783&amp;"，可用于球杆的合成、升阶。"</f>
        <v>龙影剑碎片，可用于球杆的合成、升阶。</v>
      </c>
      <c r="F1783" s="79">
        <v>6</v>
      </c>
      <c r="G1783" s="79">
        <v>2</v>
      </c>
      <c r="H1783" s="79" t="str">
        <f t="shared" ref="H1783:H1784" si="136">"icon_"&amp;A1783</f>
        <v>icon_511461</v>
      </c>
      <c r="K1783" s="79">
        <v>5</v>
      </c>
      <c r="N1783" s="79">
        <v>1</v>
      </c>
    </row>
    <row r="1784" spans="1:18" s="79" customFormat="1">
      <c r="A1784" s="79">
        <v>511484</v>
      </c>
      <c r="B1784" s="79">
        <f t="shared" si="133"/>
        <v>5114841</v>
      </c>
      <c r="C1784" s="79" t="s">
        <v>5635</v>
      </c>
      <c r="D1784" s="79">
        <f t="shared" si="134"/>
        <v>5114842</v>
      </c>
      <c r="E1784" s="79" t="str">
        <f t="shared" si="135"/>
        <v>量子脉冲枪，可用于球杆的合成、升阶。</v>
      </c>
      <c r="F1784" s="79">
        <v>6</v>
      </c>
      <c r="G1784" s="79">
        <v>2</v>
      </c>
      <c r="H1784" s="79" t="str">
        <f t="shared" si="136"/>
        <v>icon_511484</v>
      </c>
      <c r="K1784" s="79">
        <v>8</v>
      </c>
      <c r="N1784" s="79">
        <v>1</v>
      </c>
    </row>
    <row r="1785" spans="1:18" s="79" customFormat="1">
      <c r="A1785" s="79">
        <v>511491</v>
      </c>
      <c r="B1785" s="79">
        <f t="shared" ref="B1785" si="137">A1785*10+1</f>
        <v>5114911</v>
      </c>
      <c r="C1785" s="79" t="s">
        <v>5717</v>
      </c>
      <c r="D1785" s="79">
        <f t="shared" ref="D1785" si="138">A1785*10+2</f>
        <v>5114912</v>
      </c>
      <c r="E1785" s="79" t="str">
        <f t="shared" ref="E1785" si="139">C1785&amp;"，可用于球杆的合成、升阶。"</f>
        <v>春意盎然碎片，可用于球杆的合成、升阶。</v>
      </c>
      <c r="F1785" s="79">
        <v>6</v>
      </c>
      <c r="G1785" s="79">
        <v>2</v>
      </c>
      <c r="H1785" s="79" t="str">
        <f t="shared" ref="H1785" si="140">"icon_"&amp;A1785</f>
        <v>icon_511491</v>
      </c>
      <c r="K1785" s="79">
        <v>5</v>
      </c>
      <c r="N1785" s="79">
        <v>1</v>
      </c>
    </row>
    <row r="1786" spans="1:18" s="79" customFormat="1">
      <c r="A1786" s="79">
        <v>520001</v>
      </c>
      <c r="B1786" s="121">
        <v>5200011</v>
      </c>
      <c r="C1786" s="79" t="s">
        <v>3565</v>
      </c>
      <c r="D1786" s="121">
        <f t="shared" ref="D1786:D1822" si="141">A1786*10+2</f>
        <v>5200012</v>
      </c>
      <c r="E1786" s="79" t="s">
        <v>3566</v>
      </c>
      <c r="F1786" s="79">
        <v>6</v>
      </c>
      <c r="G1786" s="79">
        <v>2</v>
      </c>
      <c r="H1786" s="79" t="str">
        <f t="shared" ref="H1786:H1822" si="142">"icon_"&amp;A1786</f>
        <v>icon_520001</v>
      </c>
      <c r="K1786" s="79">
        <v>3</v>
      </c>
      <c r="L1786" s="79">
        <v>0</v>
      </c>
      <c r="M1786" s="127">
        <v>0</v>
      </c>
      <c r="N1786" s="79">
        <v>1</v>
      </c>
      <c r="O1786" s="79">
        <v>0</v>
      </c>
      <c r="P1786" s="107">
        <v>2</v>
      </c>
    </row>
    <row r="1787" spans="1:18" s="79" customFormat="1">
      <c r="A1787" s="79">
        <v>520002</v>
      </c>
      <c r="B1787" s="121">
        <v>5200021</v>
      </c>
      <c r="C1787" s="79" t="s">
        <v>3409</v>
      </c>
      <c r="D1787" s="121">
        <f t="shared" si="141"/>
        <v>5200022</v>
      </c>
      <c r="E1787" s="79" t="s">
        <v>3567</v>
      </c>
      <c r="F1787" s="79">
        <v>6</v>
      </c>
      <c r="G1787" s="79">
        <v>2</v>
      </c>
      <c r="H1787" s="79" t="str">
        <f t="shared" si="142"/>
        <v>icon_520002</v>
      </c>
      <c r="K1787" s="79">
        <v>4</v>
      </c>
      <c r="L1787" s="79">
        <v>0</v>
      </c>
      <c r="M1787" s="127">
        <v>0</v>
      </c>
      <c r="N1787" s="79">
        <v>1</v>
      </c>
      <c r="O1787" s="79">
        <v>0</v>
      </c>
      <c r="P1787" s="107"/>
    </row>
    <row r="1788" spans="1:18" s="79" customFormat="1">
      <c r="A1788" s="79">
        <v>520003</v>
      </c>
      <c r="B1788" s="121">
        <v>5200031</v>
      </c>
      <c r="C1788" s="79" t="s">
        <v>3568</v>
      </c>
      <c r="D1788" s="121">
        <f t="shared" si="141"/>
        <v>5200032</v>
      </c>
      <c r="E1788" s="79" t="s">
        <v>3569</v>
      </c>
      <c r="F1788" s="79">
        <v>6</v>
      </c>
      <c r="G1788" s="79">
        <v>2</v>
      </c>
      <c r="H1788" s="79" t="str">
        <f t="shared" si="142"/>
        <v>icon_520003</v>
      </c>
      <c r="K1788" s="79">
        <v>5</v>
      </c>
      <c r="L1788" s="79">
        <v>0</v>
      </c>
      <c r="M1788" s="127">
        <v>0</v>
      </c>
      <c r="N1788" s="79">
        <v>1</v>
      </c>
      <c r="O1788" s="79">
        <v>0</v>
      </c>
      <c r="P1788" s="107"/>
    </row>
    <row r="1789" spans="1:18" s="79" customFormat="1">
      <c r="A1789" s="79">
        <v>520004</v>
      </c>
      <c r="B1789" s="121">
        <v>5200041</v>
      </c>
      <c r="C1789" s="79" t="s">
        <v>3570</v>
      </c>
      <c r="D1789" s="121">
        <f t="shared" si="141"/>
        <v>5200042</v>
      </c>
      <c r="E1789" s="79" t="s">
        <v>3571</v>
      </c>
      <c r="F1789" s="79">
        <v>6</v>
      </c>
      <c r="G1789" s="79">
        <v>2</v>
      </c>
      <c r="H1789" s="79" t="str">
        <f t="shared" si="142"/>
        <v>icon_520004</v>
      </c>
      <c r="K1789" s="79">
        <v>4</v>
      </c>
      <c r="L1789" s="79">
        <v>0</v>
      </c>
      <c r="M1789" s="127">
        <v>0</v>
      </c>
      <c r="N1789" s="79">
        <v>1</v>
      </c>
      <c r="O1789" s="79">
        <v>0</v>
      </c>
      <c r="P1789" s="107">
        <v>0.5</v>
      </c>
    </row>
    <row r="1790" spans="1:18" s="79" customFormat="1">
      <c r="A1790" s="79">
        <v>520005</v>
      </c>
      <c r="B1790" s="121">
        <v>5200051</v>
      </c>
      <c r="C1790" s="79" t="s">
        <v>3572</v>
      </c>
      <c r="D1790" s="121">
        <f t="shared" si="141"/>
        <v>5200052</v>
      </c>
      <c r="E1790" s="79" t="s">
        <v>3573</v>
      </c>
      <c r="F1790" s="79">
        <v>6</v>
      </c>
      <c r="G1790" s="79">
        <v>2</v>
      </c>
      <c r="H1790" s="79" t="str">
        <f t="shared" si="142"/>
        <v>icon_520005</v>
      </c>
      <c r="K1790" s="79">
        <v>5</v>
      </c>
      <c r="L1790" s="79">
        <v>0</v>
      </c>
      <c r="M1790" s="127">
        <v>0</v>
      </c>
      <c r="N1790" s="79">
        <v>1</v>
      </c>
      <c r="O1790" s="79">
        <v>0</v>
      </c>
      <c r="P1790" s="107"/>
    </row>
    <row r="1791" spans="1:18" s="79" customFormat="1">
      <c r="A1791" s="79">
        <v>520006</v>
      </c>
      <c r="B1791" s="121">
        <v>5200061</v>
      </c>
      <c r="C1791" s="79" t="s">
        <v>3574</v>
      </c>
      <c r="D1791" s="121">
        <f t="shared" si="141"/>
        <v>5200062</v>
      </c>
      <c r="E1791" s="79" t="s">
        <v>3575</v>
      </c>
      <c r="F1791" s="79">
        <v>6</v>
      </c>
      <c r="G1791" s="79">
        <v>2</v>
      </c>
      <c r="H1791" s="79" t="str">
        <f t="shared" si="142"/>
        <v>icon_520006</v>
      </c>
      <c r="K1791" s="79">
        <v>4</v>
      </c>
      <c r="L1791" s="79">
        <v>0</v>
      </c>
      <c r="M1791" s="127" t="s">
        <v>86</v>
      </c>
      <c r="N1791" s="79">
        <v>1</v>
      </c>
      <c r="O1791" s="79">
        <v>0</v>
      </c>
      <c r="P1791" s="107"/>
    </row>
    <row r="1792" spans="1:18">
      <c r="A1792" s="79">
        <v>520007</v>
      </c>
      <c r="B1792" s="121">
        <v>5200071</v>
      </c>
      <c r="C1792" s="79" t="s">
        <v>3576</v>
      </c>
      <c r="D1792" s="121">
        <f t="shared" si="141"/>
        <v>5200072</v>
      </c>
      <c r="E1792" s="79" t="s">
        <v>3577</v>
      </c>
      <c r="F1792" s="79">
        <v>6</v>
      </c>
      <c r="G1792" s="79">
        <v>2</v>
      </c>
      <c r="H1792" s="79" t="str">
        <f t="shared" si="142"/>
        <v>icon_520007</v>
      </c>
      <c r="I1792" s="79"/>
      <c r="J1792" s="79"/>
      <c r="K1792" s="79">
        <v>5</v>
      </c>
      <c r="L1792" s="79">
        <v>0</v>
      </c>
      <c r="M1792" s="127" t="s">
        <v>86</v>
      </c>
      <c r="N1792" s="79">
        <v>1</v>
      </c>
      <c r="O1792" s="79">
        <v>0</v>
      </c>
      <c r="P1792" s="107">
        <v>1</v>
      </c>
      <c r="R1792" s="79"/>
    </row>
    <row r="1793" spans="1:18">
      <c r="A1793" s="79">
        <v>520008</v>
      </c>
      <c r="B1793" s="121">
        <v>5200081</v>
      </c>
      <c r="C1793" s="79" t="s">
        <v>3578</v>
      </c>
      <c r="D1793" s="121">
        <f t="shared" si="141"/>
        <v>5200082</v>
      </c>
      <c r="E1793" s="79" t="s">
        <v>3579</v>
      </c>
      <c r="F1793" s="79">
        <v>6</v>
      </c>
      <c r="G1793" s="79">
        <v>2</v>
      </c>
      <c r="H1793" s="79" t="str">
        <f t="shared" si="142"/>
        <v>icon_520008</v>
      </c>
      <c r="I1793" s="79"/>
      <c r="J1793" s="79"/>
      <c r="K1793" s="79">
        <v>7</v>
      </c>
      <c r="L1793" s="79">
        <v>0</v>
      </c>
      <c r="M1793" s="127">
        <v>0</v>
      </c>
      <c r="N1793" s="79">
        <v>1</v>
      </c>
      <c r="O1793" s="79">
        <v>0</v>
      </c>
      <c r="P1793" s="107"/>
      <c r="R1793" s="79"/>
    </row>
    <row r="1794" spans="1:18">
      <c r="A1794" s="79">
        <v>520009</v>
      </c>
      <c r="B1794" s="121">
        <v>5200091</v>
      </c>
      <c r="C1794" s="79" t="s">
        <v>3580</v>
      </c>
      <c r="D1794" s="121">
        <f t="shared" si="141"/>
        <v>5200092</v>
      </c>
      <c r="E1794" s="79" t="s">
        <v>3581</v>
      </c>
      <c r="F1794" s="79">
        <v>6</v>
      </c>
      <c r="G1794" s="79">
        <v>2</v>
      </c>
      <c r="H1794" s="79" t="str">
        <f t="shared" si="142"/>
        <v>icon_520009</v>
      </c>
      <c r="I1794" s="79"/>
      <c r="J1794" s="79"/>
      <c r="K1794" s="79">
        <v>7</v>
      </c>
      <c r="L1794" s="79">
        <v>0</v>
      </c>
      <c r="M1794" s="127">
        <v>0</v>
      </c>
      <c r="N1794" s="79">
        <v>1</v>
      </c>
      <c r="O1794" s="79">
        <v>0</v>
      </c>
      <c r="P1794" s="107"/>
      <c r="R1794" s="79"/>
    </row>
    <row r="1795" spans="1:18">
      <c r="A1795" s="79">
        <v>530001</v>
      </c>
      <c r="B1795" s="121">
        <v>5300011</v>
      </c>
      <c r="C1795" s="79" t="s">
        <v>3582</v>
      </c>
      <c r="D1795" s="121">
        <f t="shared" si="141"/>
        <v>5300012</v>
      </c>
      <c r="E1795" s="79" t="s">
        <v>3583</v>
      </c>
      <c r="F1795" s="79">
        <v>6</v>
      </c>
      <c r="G1795" s="79">
        <v>2</v>
      </c>
      <c r="H1795" s="79" t="str">
        <f t="shared" si="142"/>
        <v>icon_530001</v>
      </c>
      <c r="I1795" s="79"/>
      <c r="J1795" s="79"/>
      <c r="K1795" s="79">
        <v>3</v>
      </c>
      <c r="L1795" s="79">
        <v>0</v>
      </c>
      <c r="M1795" s="127">
        <v>0</v>
      </c>
      <c r="N1795" s="79">
        <v>1</v>
      </c>
      <c r="O1795" s="79">
        <v>0</v>
      </c>
      <c r="P1795" s="107">
        <v>2</v>
      </c>
      <c r="R1795" s="79"/>
    </row>
    <row r="1796" spans="1:18">
      <c r="A1796" s="79">
        <v>530002</v>
      </c>
      <c r="B1796" s="121">
        <v>5300021</v>
      </c>
      <c r="C1796" s="79" t="s">
        <v>3584</v>
      </c>
      <c r="D1796" s="121">
        <f t="shared" si="141"/>
        <v>5300022</v>
      </c>
      <c r="E1796" s="79" t="s">
        <v>3585</v>
      </c>
      <c r="F1796" s="79">
        <v>6</v>
      </c>
      <c r="G1796" s="79">
        <v>2</v>
      </c>
      <c r="H1796" s="79" t="str">
        <f t="shared" si="142"/>
        <v>icon_530002</v>
      </c>
      <c r="I1796" s="79"/>
      <c r="J1796" s="79"/>
      <c r="K1796" s="79">
        <v>3</v>
      </c>
      <c r="L1796" s="79">
        <v>0</v>
      </c>
      <c r="M1796" s="127">
        <v>0</v>
      </c>
      <c r="N1796" s="79">
        <v>1</v>
      </c>
      <c r="O1796" s="79">
        <v>0</v>
      </c>
      <c r="P1796" s="107"/>
      <c r="R1796" s="79"/>
    </row>
    <row r="1797" spans="1:18">
      <c r="A1797" s="79">
        <v>530003</v>
      </c>
      <c r="B1797" s="121">
        <v>5300031</v>
      </c>
      <c r="C1797" s="79" t="s">
        <v>3586</v>
      </c>
      <c r="D1797" s="121">
        <f t="shared" si="141"/>
        <v>5300032</v>
      </c>
      <c r="E1797" s="79" t="s">
        <v>3587</v>
      </c>
      <c r="F1797" s="79">
        <v>6</v>
      </c>
      <c r="G1797" s="79">
        <v>2</v>
      </c>
      <c r="H1797" s="79" t="str">
        <f t="shared" si="142"/>
        <v>icon_530003</v>
      </c>
      <c r="I1797" s="79"/>
      <c r="J1797" s="79"/>
      <c r="K1797" s="79">
        <v>3</v>
      </c>
      <c r="L1797" s="79">
        <v>0</v>
      </c>
      <c r="M1797" s="127">
        <v>0</v>
      </c>
      <c r="N1797" s="79">
        <v>1</v>
      </c>
      <c r="O1797" s="79">
        <v>0</v>
      </c>
      <c r="P1797" s="107"/>
      <c r="R1797" s="79"/>
    </row>
    <row r="1798" spans="1:18">
      <c r="A1798" s="79">
        <v>530004</v>
      </c>
      <c r="B1798" s="121">
        <v>5300041</v>
      </c>
      <c r="C1798" s="79" t="s">
        <v>3588</v>
      </c>
      <c r="D1798" s="121">
        <f t="shared" si="141"/>
        <v>5300042</v>
      </c>
      <c r="E1798" s="79" t="s">
        <v>3589</v>
      </c>
      <c r="F1798" s="79">
        <v>6</v>
      </c>
      <c r="G1798" s="79">
        <v>2</v>
      </c>
      <c r="H1798" s="79" t="str">
        <f t="shared" si="142"/>
        <v>icon_530004</v>
      </c>
      <c r="I1798" s="79"/>
      <c r="J1798" s="79"/>
      <c r="K1798" s="79">
        <v>3</v>
      </c>
      <c r="L1798" s="79">
        <v>0</v>
      </c>
      <c r="M1798" s="127">
        <v>0</v>
      </c>
      <c r="N1798" s="79">
        <v>1</v>
      </c>
      <c r="O1798" s="79">
        <v>0</v>
      </c>
      <c r="P1798" s="107"/>
      <c r="R1798" s="79"/>
    </row>
    <row r="1799" spans="1:18">
      <c r="A1799" s="79">
        <v>530005</v>
      </c>
      <c r="B1799" s="121">
        <v>5300051</v>
      </c>
      <c r="C1799" s="79" t="s">
        <v>3590</v>
      </c>
      <c r="D1799" s="121">
        <f t="shared" si="141"/>
        <v>5300052</v>
      </c>
      <c r="E1799" s="79" t="s">
        <v>3591</v>
      </c>
      <c r="F1799" s="79">
        <v>6</v>
      </c>
      <c r="G1799" s="79">
        <v>2</v>
      </c>
      <c r="H1799" s="79" t="str">
        <f t="shared" si="142"/>
        <v>icon_530005</v>
      </c>
      <c r="I1799" s="79"/>
      <c r="J1799" s="79"/>
      <c r="K1799" s="79">
        <v>3</v>
      </c>
      <c r="L1799" s="79">
        <v>0</v>
      </c>
      <c r="M1799" s="127">
        <v>0</v>
      </c>
      <c r="N1799" s="79">
        <v>1</v>
      </c>
      <c r="O1799" s="79">
        <v>0</v>
      </c>
      <c r="P1799" s="107"/>
      <c r="R1799" s="79"/>
    </row>
    <row r="1800" spans="1:18">
      <c r="A1800" s="79">
        <v>530006</v>
      </c>
      <c r="B1800" s="121">
        <v>5300061</v>
      </c>
      <c r="C1800" s="79" t="s">
        <v>3592</v>
      </c>
      <c r="D1800" s="121">
        <f t="shared" si="141"/>
        <v>5300062</v>
      </c>
      <c r="E1800" s="79" t="s">
        <v>3593</v>
      </c>
      <c r="F1800" s="79">
        <v>6</v>
      </c>
      <c r="G1800" s="79">
        <v>2</v>
      </c>
      <c r="H1800" s="79" t="str">
        <f t="shared" si="142"/>
        <v>icon_530006</v>
      </c>
      <c r="I1800" s="79"/>
      <c r="J1800" s="79"/>
      <c r="K1800" s="79">
        <v>4</v>
      </c>
      <c r="L1800" s="79">
        <v>0</v>
      </c>
      <c r="M1800" s="127">
        <v>0</v>
      </c>
      <c r="N1800" s="79">
        <v>1</v>
      </c>
      <c r="O1800" s="79">
        <v>0</v>
      </c>
      <c r="P1800" s="107"/>
      <c r="R1800" s="148"/>
    </row>
    <row r="1801" spans="1:18">
      <c r="A1801" s="79">
        <v>530007</v>
      </c>
      <c r="B1801" s="121">
        <v>5300071</v>
      </c>
      <c r="C1801" s="79" t="s">
        <v>3594</v>
      </c>
      <c r="D1801" s="121">
        <f t="shared" si="141"/>
        <v>5300072</v>
      </c>
      <c r="E1801" s="79" t="s">
        <v>3595</v>
      </c>
      <c r="F1801" s="79">
        <v>6</v>
      </c>
      <c r="G1801" s="79">
        <v>2</v>
      </c>
      <c r="H1801" s="79" t="str">
        <f t="shared" si="142"/>
        <v>icon_530007</v>
      </c>
      <c r="I1801" s="79"/>
      <c r="J1801" s="79"/>
      <c r="K1801" s="79">
        <v>5</v>
      </c>
      <c r="L1801" s="79">
        <v>0</v>
      </c>
      <c r="M1801" s="127">
        <v>0</v>
      </c>
      <c r="N1801" s="79">
        <v>1</v>
      </c>
      <c r="O1801" s="79">
        <v>0</v>
      </c>
      <c r="P1801" s="107"/>
      <c r="R1801" s="148"/>
    </row>
    <row r="1802" spans="1:18">
      <c r="A1802" s="79">
        <v>530008</v>
      </c>
      <c r="B1802" s="121">
        <v>5300081</v>
      </c>
      <c r="C1802" s="79" t="s">
        <v>3596</v>
      </c>
      <c r="D1802" s="121">
        <f t="shared" si="141"/>
        <v>5300082</v>
      </c>
      <c r="E1802" s="79" t="s">
        <v>3597</v>
      </c>
      <c r="F1802" s="79">
        <v>6</v>
      </c>
      <c r="G1802" s="79">
        <v>2</v>
      </c>
      <c r="H1802" s="79" t="str">
        <f t="shared" si="142"/>
        <v>icon_530008</v>
      </c>
      <c r="I1802" s="79"/>
      <c r="J1802" s="79"/>
      <c r="K1802" s="79">
        <v>4</v>
      </c>
      <c r="L1802" s="79">
        <v>0</v>
      </c>
      <c r="M1802" s="127">
        <v>0</v>
      </c>
      <c r="N1802" s="79">
        <v>1</v>
      </c>
      <c r="O1802" s="79">
        <v>0</v>
      </c>
      <c r="P1802" s="107"/>
      <c r="R1802" s="148"/>
    </row>
    <row r="1803" spans="1:18">
      <c r="A1803" s="79">
        <v>530009</v>
      </c>
      <c r="B1803" s="121">
        <v>5300091</v>
      </c>
      <c r="C1803" s="79" t="s">
        <v>3598</v>
      </c>
      <c r="D1803" s="121">
        <f t="shared" si="141"/>
        <v>5300092</v>
      </c>
      <c r="E1803" s="79" t="s">
        <v>3599</v>
      </c>
      <c r="F1803" s="79">
        <v>6</v>
      </c>
      <c r="G1803" s="79">
        <v>2</v>
      </c>
      <c r="H1803" s="79" t="str">
        <f t="shared" si="142"/>
        <v>icon_530009</v>
      </c>
      <c r="I1803" s="79"/>
      <c r="J1803" s="79"/>
      <c r="K1803" s="79">
        <v>5</v>
      </c>
      <c r="L1803" s="79">
        <v>0</v>
      </c>
      <c r="M1803" s="127">
        <v>0</v>
      </c>
      <c r="N1803" s="79">
        <v>1</v>
      </c>
      <c r="O1803" s="79">
        <v>0</v>
      </c>
      <c r="P1803" s="107"/>
      <c r="R1803" s="148"/>
    </row>
    <row r="1804" spans="1:18">
      <c r="A1804" s="79">
        <v>530010</v>
      </c>
      <c r="B1804" s="121">
        <v>5300101</v>
      </c>
      <c r="C1804" s="79" t="s">
        <v>3600</v>
      </c>
      <c r="D1804" s="121">
        <f t="shared" si="141"/>
        <v>5300102</v>
      </c>
      <c r="E1804" s="79" t="s">
        <v>3601</v>
      </c>
      <c r="F1804" s="79">
        <v>6</v>
      </c>
      <c r="G1804" s="79">
        <v>2</v>
      </c>
      <c r="H1804" s="79" t="str">
        <f t="shared" si="142"/>
        <v>icon_530010</v>
      </c>
      <c r="I1804" s="79"/>
      <c r="J1804" s="79"/>
      <c r="K1804" s="79">
        <v>5</v>
      </c>
      <c r="L1804" s="79">
        <v>0</v>
      </c>
      <c r="M1804" s="127">
        <v>0</v>
      </c>
      <c r="N1804" s="79">
        <v>1</v>
      </c>
      <c r="O1804" s="79">
        <v>0</v>
      </c>
      <c r="P1804" s="107"/>
      <c r="R1804" s="148"/>
    </row>
    <row r="1805" spans="1:18">
      <c r="A1805" s="79">
        <v>530011</v>
      </c>
      <c r="B1805" s="121">
        <v>5300111</v>
      </c>
      <c r="C1805" s="79" t="s">
        <v>3602</v>
      </c>
      <c r="D1805" s="121">
        <f t="shared" si="141"/>
        <v>5300112</v>
      </c>
      <c r="E1805" s="79" t="s">
        <v>3603</v>
      </c>
      <c r="F1805" s="79">
        <v>6</v>
      </c>
      <c r="G1805" s="79">
        <v>2</v>
      </c>
      <c r="H1805" s="79" t="str">
        <f t="shared" si="142"/>
        <v>icon_530011</v>
      </c>
      <c r="I1805" s="79"/>
      <c r="J1805" s="79"/>
      <c r="K1805" s="79">
        <v>5</v>
      </c>
      <c r="L1805" s="79">
        <v>0</v>
      </c>
      <c r="M1805" s="127">
        <v>0</v>
      </c>
      <c r="N1805" s="79">
        <v>1</v>
      </c>
      <c r="O1805" s="79">
        <v>0</v>
      </c>
      <c r="P1805" s="107"/>
      <c r="R1805" s="148"/>
    </row>
    <row r="1806" spans="1:18">
      <c r="A1806" s="79">
        <v>530012</v>
      </c>
      <c r="B1806" s="121">
        <v>5300121</v>
      </c>
      <c r="C1806" s="79" t="s">
        <v>3424</v>
      </c>
      <c r="D1806" s="121">
        <f t="shared" si="141"/>
        <v>5300122</v>
      </c>
      <c r="E1806" s="79" t="s">
        <v>3604</v>
      </c>
      <c r="F1806" s="79">
        <v>6</v>
      </c>
      <c r="G1806" s="79">
        <v>2</v>
      </c>
      <c r="H1806" s="79" t="str">
        <f t="shared" si="142"/>
        <v>icon_530012</v>
      </c>
      <c r="I1806" s="79"/>
      <c r="J1806" s="79"/>
      <c r="K1806" s="79">
        <v>5</v>
      </c>
      <c r="L1806" s="79">
        <v>0</v>
      </c>
      <c r="M1806" s="127">
        <v>0</v>
      </c>
      <c r="N1806" s="79">
        <v>1</v>
      </c>
      <c r="O1806" s="79">
        <v>0</v>
      </c>
      <c r="P1806" s="107"/>
      <c r="R1806" s="148"/>
    </row>
    <row r="1807" spans="1:18">
      <c r="A1807" s="79">
        <v>530013</v>
      </c>
      <c r="B1807" s="121">
        <v>5300131</v>
      </c>
      <c r="C1807" s="79" t="s">
        <v>3605</v>
      </c>
      <c r="D1807" s="121">
        <f t="shared" si="141"/>
        <v>5300132</v>
      </c>
      <c r="E1807" s="79" t="s">
        <v>3606</v>
      </c>
      <c r="F1807" s="79">
        <v>6</v>
      </c>
      <c r="G1807" s="79">
        <v>2</v>
      </c>
      <c r="H1807" s="79" t="str">
        <f t="shared" si="142"/>
        <v>icon_530013</v>
      </c>
      <c r="I1807" s="79"/>
      <c r="J1807" s="79"/>
      <c r="K1807" s="79">
        <v>5</v>
      </c>
      <c r="L1807" s="79">
        <v>0</v>
      </c>
      <c r="M1807" s="127">
        <v>0</v>
      </c>
      <c r="N1807" s="79">
        <v>1</v>
      </c>
      <c r="O1807" s="79">
        <v>0</v>
      </c>
      <c r="P1807" s="107"/>
      <c r="R1807" s="148"/>
    </row>
    <row r="1808" spans="1:18">
      <c r="A1808" s="79">
        <v>530014</v>
      </c>
      <c r="B1808" s="121">
        <v>5300141</v>
      </c>
      <c r="C1808" s="79" t="s">
        <v>3397</v>
      </c>
      <c r="D1808" s="121">
        <f t="shared" si="141"/>
        <v>5300142</v>
      </c>
      <c r="E1808" s="79" t="s">
        <v>3607</v>
      </c>
      <c r="F1808" s="79">
        <v>6</v>
      </c>
      <c r="G1808" s="79">
        <v>2</v>
      </c>
      <c r="H1808" s="79" t="str">
        <f t="shared" si="142"/>
        <v>icon_530014</v>
      </c>
      <c r="I1808" s="79"/>
      <c r="J1808" s="79"/>
      <c r="K1808" s="79">
        <v>5</v>
      </c>
      <c r="L1808" s="79">
        <v>0</v>
      </c>
      <c r="M1808" s="127">
        <v>0</v>
      </c>
      <c r="N1808" s="79">
        <v>1</v>
      </c>
      <c r="O1808" s="79">
        <v>0</v>
      </c>
      <c r="P1808" s="107"/>
      <c r="R1808" s="148"/>
    </row>
    <row r="1809" spans="1:18">
      <c r="A1809" s="79">
        <v>530015</v>
      </c>
      <c r="B1809" s="121">
        <v>5300151</v>
      </c>
      <c r="C1809" s="79" t="s">
        <v>3608</v>
      </c>
      <c r="D1809" s="121">
        <f t="shared" si="141"/>
        <v>5300152</v>
      </c>
      <c r="E1809" s="79" t="s">
        <v>3609</v>
      </c>
      <c r="F1809" s="79">
        <v>6</v>
      </c>
      <c r="G1809" s="79">
        <v>2</v>
      </c>
      <c r="H1809" s="79" t="str">
        <f t="shared" si="142"/>
        <v>icon_530015</v>
      </c>
      <c r="I1809" s="79"/>
      <c r="J1809" s="79"/>
      <c r="K1809" s="79">
        <v>5</v>
      </c>
      <c r="L1809" s="79">
        <v>0</v>
      </c>
      <c r="M1809" s="127">
        <v>0</v>
      </c>
      <c r="N1809" s="79">
        <v>1</v>
      </c>
      <c r="O1809" s="79">
        <v>0</v>
      </c>
      <c r="P1809" s="107"/>
      <c r="R1809" s="148"/>
    </row>
    <row r="1810" spans="1:18">
      <c r="A1810" s="79">
        <v>530016</v>
      </c>
      <c r="B1810" s="121">
        <v>5300161</v>
      </c>
      <c r="C1810" s="79" t="s">
        <v>3610</v>
      </c>
      <c r="D1810" s="121">
        <f t="shared" si="141"/>
        <v>5300162</v>
      </c>
      <c r="E1810" s="79" t="s">
        <v>3611</v>
      </c>
      <c r="F1810" s="79">
        <v>6</v>
      </c>
      <c r="G1810" s="79">
        <v>2</v>
      </c>
      <c r="H1810" s="79" t="str">
        <f t="shared" si="142"/>
        <v>icon_530016</v>
      </c>
      <c r="I1810" s="79"/>
      <c r="J1810" s="79"/>
      <c r="K1810" s="79">
        <v>5</v>
      </c>
      <c r="L1810" s="79">
        <v>0</v>
      </c>
      <c r="M1810" s="127">
        <v>0</v>
      </c>
      <c r="N1810" s="79">
        <v>1</v>
      </c>
      <c r="O1810" s="79">
        <v>0</v>
      </c>
      <c r="P1810" s="107">
        <v>0.5</v>
      </c>
      <c r="R1810" s="148"/>
    </row>
    <row r="1811" spans="1:18">
      <c r="A1811" s="79">
        <v>530017</v>
      </c>
      <c r="B1811" s="121">
        <v>5300171</v>
      </c>
      <c r="C1811" s="79" t="s">
        <v>3612</v>
      </c>
      <c r="D1811" s="121">
        <f t="shared" si="141"/>
        <v>5300172</v>
      </c>
      <c r="E1811" s="79" t="s">
        <v>3613</v>
      </c>
      <c r="F1811" s="79">
        <v>6</v>
      </c>
      <c r="G1811" s="79">
        <v>2</v>
      </c>
      <c r="H1811" s="79" t="str">
        <f t="shared" si="142"/>
        <v>icon_530017</v>
      </c>
      <c r="I1811" s="79"/>
      <c r="J1811" s="79"/>
      <c r="K1811" s="79">
        <v>5</v>
      </c>
      <c r="L1811" s="79">
        <v>0</v>
      </c>
      <c r="M1811" s="127">
        <v>0</v>
      </c>
      <c r="N1811" s="79">
        <v>1</v>
      </c>
      <c r="O1811" s="79">
        <v>0</v>
      </c>
      <c r="P1811" s="107"/>
      <c r="R1811" s="92"/>
    </row>
    <row r="1812" spans="1:18">
      <c r="A1812" s="79">
        <v>530018</v>
      </c>
      <c r="B1812" s="121">
        <v>5300181</v>
      </c>
      <c r="C1812" s="79" t="s">
        <v>3483</v>
      </c>
      <c r="D1812" s="121">
        <f t="shared" si="141"/>
        <v>5300182</v>
      </c>
      <c r="E1812" s="79" t="s">
        <v>3614</v>
      </c>
      <c r="F1812" s="79">
        <v>6</v>
      </c>
      <c r="G1812" s="79">
        <v>2</v>
      </c>
      <c r="H1812" s="79" t="str">
        <f t="shared" si="142"/>
        <v>icon_530018</v>
      </c>
      <c r="I1812" s="79"/>
      <c r="J1812" s="79"/>
      <c r="K1812" s="79">
        <v>5</v>
      </c>
      <c r="L1812" s="79">
        <v>0</v>
      </c>
      <c r="M1812" s="127"/>
      <c r="N1812" s="79">
        <v>1</v>
      </c>
      <c r="O1812" s="79"/>
      <c r="P1812" s="107"/>
      <c r="R1812" s="148"/>
    </row>
    <row r="1813" spans="1:18">
      <c r="A1813" s="79">
        <v>530019</v>
      </c>
      <c r="B1813" s="121">
        <v>5300191</v>
      </c>
      <c r="C1813" s="79" t="s">
        <v>3615</v>
      </c>
      <c r="D1813" s="121">
        <f t="shared" si="141"/>
        <v>5300192</v>
      </c>
      <c r="E1813" s="79" t="s">
        <v>3616</v>
      </c>
      <c r="F1813" s="79">
        <v>6</v>
      </c>
      <c r="G1813" s="79">
        <v>2</v>
      </c>
      <c r="H1813" s="79" t="str">
        <f t="shared" si="142"/>
        <v>icon_530019</v>
      </c>
      <c r="I1813" s="79"/>
      <c r="J1813" s="79"/>
      <c r="K1813" s="79">
        <v>5</v>
      </c>
      <c r="L1813" s="79">
        <v>0</v>
      </c>
      <c r="M1813" s="127"/>
      <c r="N1813" s="79">
        <v>1</v>
      </c>
      <c r="O1813" s="79"/>
      <c r="P1813" s="107">
        <v>5</v>
      </c>
      <c r="R1813" s="148"/>
    </row>
    <row r="1814" spans="1:18">
      <c r="A1814" s="79">
        <v>530021</v>
      </c>
      <c r="B1814" s="121">
        <v>5300211</v>
      </c>
      <c r="C1814" s="79" t="s">
        <v>3617</v>
      </c>
      <c r="D1814" s="121">
        <f t="shared" si="141"/>
        <v>5300212</v>
      </c>
      <c r="E1814" s="79" t="s">
        <v>3618</v>
      </c>
      <c r="F1814" s="79">
        <v>6</v>
      </c>
      <c r="G1814" s="79">
        <v>2</v>
      </c>
      <c r="H1814" s="79" t="str">
        <f t="shared" si="142"/>
        <v>icon_530021</v>
      </c>
      <c r="I1814" s="79"/>
      <c r="J1814" s="79"/>
      <c r="K1814" s="79">
        <v>5</v>
      </c>
      <c r="L1814" s="79">
        <v>0</v>
      </c>
      <c r="M1814" s="127"/>
      <c r="N1814" s="79">
        <v>1</v>
      </c>
      <c r="O1814" s="79"/>
      <c r="P1814" s="107">
        <v>5</v>
      </c>
      <c r="R1814" s="148"/>
    </row>
    <row r="1815" spans="1:18">
      <c r="A1815" s="79">
        <v>530023</v>
      </c>
      <c r="B1815" s="79">
        <f>A1815*10+1</f>
        <v>5300231</v>
      </c>
      <c r="C1815" s="79" t="s">
        <v>3619</v>
      </c>
      <c r="D1815" s="121">
        <f t="shared" si="141"/>
        <v>5300232</v>
      </c>
      <c r="E1815" s="79" t="s">
        <v>3620</v>
      </c>
      <c r="F1815" s="79">
        <v>6</v>
      </c>
      <c r="G1815" s="79">
        <v>2</v>
      </c>
      <c r="H1815" s="79" t="str">
        <f t="shared" si="142"/>
        <v>icon_530023</v>
      </c>
      <c r="I1815" s="79"/>
      <c r="J1815" s="79"/>
      <c r="K1815" s="79">
        <v>5</v>
      </c>
      <c r="L1815" s="79">
        <v>0</v>
      </c>
      <c r="M1815" s="127"/>
      <c r="N1815" s="79">
        <v>1</v>
      </c>
      <c r="O1815" s="79"/>
      <c r="P1815" s="107">
        <v>5</v>
      </c>
      <c r="R1815" s="148"/>
    </row>
    <row r="1816" spans="1:18">
      <c r="A1816" s="79">
        <v>600001</v>
      </c>
      <c r="B1816" s="121">
        <v>6000011</v>
      </c>
      <c r="C1816" s="79" t="s">
        <v>3621</v>
      </c>
      <c r="D1816" s="121">
        <f t="shared" si="141"/>
        <v>6000012</v>
      </c>
      <c r="E1816" s="79" t="s">
        <v>3622</v>
      </c>
      <c r="F1816" s="79">
        <v>7</v>
      </c>
      <c r="G1816" s="79" t="s">
        <v>3623</v>
      </c>
      <c r="H1816" s="79" t="str">
        <f t="shared" si="142"/>
        <v>icon_600001</v>
      </c>
      <c r="I1816" s="79"/>
      <c r="J1816" s="79"/>
      <c r="K1816" s="79">
        <v>4</v>
      </c>
      <c r="L1816" s="79">
        <v>0</v>
      </c>
      <c r="M1816" s="127">
        <v>0</v>
      </c>
      <c r="N1816" s="79">
        <v>0</v>
      </c>
      <c r="O1816" s="79">
        <v>0</v>
      </c>
      <c r="P1816" s="107">
        <v>15</v>
      </c>
      <c r="R1816" s="148"/>
    </row>
    <row r="1817" spans="1:18">
      <c r="A1817" s="107">
        <v>600002</v>
      </c>
      <c r="B1817" s="121">
        <v>6000021</v>
      </c>
      <c r="C1817" s="79" t="s">
        <v>3624</v>
      </c>
      <c r="D1817" s="121">
        <f t="shared" si="141"/>
        <v>6000022</v>
      </c>
      <c r="E1817" s="79" t="s">
        <v>3625</v>
      </c>
      <c r="F1817" s="79">
        <v>7</v>
      </c>
      <c r="G1817" s="79" t="s">
        <v>3623</v>
      </c>
      <c r="H1817" s="79" t="str">
        <f t="shared" si="142"/>
        <v>icon_600002</v>
      </c>
      <c r="I1817" s="79"/>
      <c r="J1817" s="79"/>
      <c r="K1817" s="79">
        <v>2</v>
      </c>
      <c r="L1817" s="79">
        <v>0</v>
      </c>
      <c r="M1817" s="127">
        <v>0</v>
      </c>
      <c r="N1817" s="79">
        <v>0</v>
      </c>
      <c r="O1817" s="79">
        <v>0</v>
      </c>
      <c r="P1817" s="107">
        <v>25</v>
      </c>
      <c r="R1817" s="148"/>
    </row>
    <row r="1818" spans="1:18">
      <c r="A1818" s="79">
        <v>600003</v>
      </c>
      <c r="B1818" s="121">
        <v>6000031</v>
      </c>
      <c r="C1818" s="79" t="s">
        <v>3626</v>
      </c>
      <c r="D1818" s="121">
        <f t="shared" si="141"/>
        <v>6000032</v>
      </c>
      <c r="E1818" s="79" t="s">
        <v>3627</v>
      </c>
      <c r="F1818" s="79">
        <v>7</v>
      </c>
      <c r="G1818" s="79" t="s">
        <v>3623</v>
      </c>
      <c r="H1818" s="79" t="str">
        <f t="shared" si="142"/>
        <v>icon_600003</v>
      </c>
      <c r="I1818" s="79"/>
      <c r="J1818" s="79"/>
      <c r="K1818" s="79">
        <v>3</v>
      </c>
      <c r="L1818" s="79">
        <v>0</v>
      </c>
      <c r="M1818" s="127">
        <v>0</v>
      </c>
      <c r="N1818" s="79">
        <v>0</v>
      </c>
      <c r="O1818" s="79">
        <v>0</v>
      </c>
      <c r="P1818" s="107">
        <v>40</v>
      </c>
      <c r="R1818" s="148"/>
    </row>
    <row r="1819" spans="1:18">
      <c r="A1819" s="79">
        <v>600004</v>
      </c>
      <c r="B1819" s="121">
        <v>6000041</v>
      </c>
      <c r="C1819" s="79" t="s">
        <v>3628</v>
      </c>
      <c r="D1819" s="121">
        <f t="shared" si="141"/>
        <v>6000042</v>
      </c>
      <c r="E1819" s="79" t="s">
        <v>3629</v>
      </c>
      <c r="F1819" s="79">
        <v>7</v>
      </c>
      <c r="G1819" s="79" t="s">
        <v>3623</v>
      </c>
      <c r="H1819" s="79" t="str">
        <f t="shared" si="142"/>
        <v>icon_600004</v>
      </c>
      <c r="I1819" s="79"/>
      <c r="J1819" s="79"/>
      <c r="K1819" s="79">
        <v>4</v>
      </c>
      <c r="L1819" s="79">
        <v>0</v>
      </c>
      <c r="M1819" s="127">
        <v>0</v>
      </c>
      <c r="N1819" s="79">
        <v>0</v>
      </c>
      <c r="O1819" s="79">
        <v>0</v>
      </c>
      <c r="P1819" s="107">
        <v>60</v>
      </c>
      <c r="R1819" s="148"/>
    </row>
    <row r="1820" spans="1:18">
      <c r="A1820" s="79">
        <v>600005</v>
      </c>
      <c r="B1820" s="121">
        <v>6000051</v>
      </c>
      <c r="C1820" s="93" t="s">
        <v>3630</v>
      </c>
      <c r="D1820" s="121">
        <f t="shared" si="141"/>
        <v>6000052</v>
      </c>
      <c r="E1820" s="79" t="s">
        <v>3631</v>
      </c>
      <c r="F1820" s="79">
        <v>7</v>
      </c>
      <c r="G1820" s="79" t="s">
        <v>3623</v>
      </c>
      <c r="H1820" s="79" t="str">
        <f t="shared" si="142"/>
        <v>icon_600005</v>
      </c>
      <c r="I1820" s="79"/>
      <c r="J1820" s="79"/>
      <c r="K1820" s="79">
        <v>5</v>
      </c>
      <c r="L1820" s="79">
        <v>0</v>
      </c>
      <c r="M1820" s="127">
        <v>0</v>
      </c>
      <c r="N1820" s="79">
        <v>0</v>
      </c>
      <c r="O1820" s="79">
        <v>0</v>
      </c>
      <c r="P1820" s="107">
        <v>200</v>
      </c>
      <c r="R1820" s="148"/>
    </row>
    <row r="1821" spans="1:18">
      <c r="A1821" s="79">
        <v>600006</v>
      </c>
      <c r="B1821" s="121">
        <v>6000061</v>
      </c>
      <c r="C1821" s="79" t="s">
        <v>3632</v>
      </c>
      <c r="D1821" s="121">
        <f t="shared" si="141"/>
        <v>6000062</v>
      </c>
      <c r="E1821" s="79" t="s">
        <v>3633</v>
      </c>
      <c r="F1821" s="79">
        <v>7</v>
      </c>
      <c r="G1821" s="79" t="s">
        <v>3623</v>
      </c>
      <c r="H1821" s="79" t="str">
        <f t="shared" si="142"/>
        <v>icon_600006</v>
      </c>
      <c r="I1821" s="79"/>
      <c r="J1821" s="79"/>
      <c r="K1821" s="79">
        <v>6</v>
      </c>
      <c r="L1821" s="79">
        <v>0</v>
      </c>
      <c r="M1821" s="127">
        <v>0</v>
      </c>
      <c r="N1821" s="79">
        <v>0</v>
      </c>
      <c r="O1821" s="79">
        <v>0</v>
      </c>
      <c r="P1821" s="107">
        <v>2</v>
      </c>
      <c r="R1821" s="148"/>
    </row>
    <row r="1822" spans="1:18">
      <c r="A1822" s="79">
        <v>600007</v>
      </c>
      <c r="B1822" s="121">
        <v>6000121</v>
      </c>
      <c r="C1822" s="79" t="s">
        <v>3634</v>
      </c>
      <c r="D1822" s="121">
        <f t="shared" si="141"/>
        <v>6000072</v>
      </c>
      <c r="E1822" s="79" t="s">
        <v>3635</v>
      </c>
      <c r="F1822" s="79">
        <v>7</v>
      </c>
      <c r="G1822" s="79" t="s">
        <v>3623</v>
      </c>
      <c r="H1822" s="79" t="str">
        <f t="shared" si="142"/>
        <v>icon_600007</v>
      </c>
      <c r="I1822" s="79"/>
      <c r="J1822" s="79"/>
      <c r="K1822" s="79">
        <v>7</v>
      </c>
      <c r="L1822" s="79">
        <v>0</v>
      </c>
      <c r="M1822" s="127">
        <v>0</v>
      </c>
      <c r="N1822" s="79">
        <v>0</v>
      </c>
      <c r="O1822" s="79">
        <v>0</v>
      </c>
      <c r="P1822" s="107">
        <v>999</v>
      </c>
      <c r="R1822" s="148"/>
    </row>
    <row r="1823" spans="1:18">
      <c r="A1823" s="78">
        <v>610001</v>
      </c>
      <c r="B1823" s="78">
        <v>6100011</v>
      </c>
      <c r="C1823" s="79" t="s">
        <v>3636</v>
      </c>
      <c r="D1823" s="78">
        <v>6100012</v>
      </c>
      <c r="E1823" s="79" t="s">
        <v>3637</v>
      </c>
      <c r="F1823" s="79">
        <v>8</v>
      </c>
      <c r="G1823" s="79">
        <v>0</v>
      </c>
      <c r="H1823" s="79" t="s">
        <v>3638</v>
      </c>
      <c r="I1823" s="79"/>
      <c r="J1823" s="79"/>
      <c r="K1823" s="79">
        <v>2</v>
      </c>
      <c r="L1823" s="79">
        <v>0</v>
      </c>
      <c r="M1823" s="127">
        <v>0</v>
      </c>
      <c r="N1823" s="79">
        <v>0</v>
      </c>
      <c r="O1823" s="79">
        <v>0</v>
      </c>
      <c r="P1823" s="107">
        <v>1999</v>
      </c>
      <c r="R1823" s="148"/>
    </row>
    <row r="1824" spans="1:18">
      <c r="A1824" s="78">
        <v>610002</v>
      </c>
      <c r="B1824" s="78">
        <v>6100021</v>
      </c>
      <c r="C1824" s="79" t="s">
        <v>3639</v>
      </c>
      <c r="D1824" s="78">
        <v>6100022</v>
      </c>
      <c r="E1824" s="79" t="s">
        <v>3640</v>
      </c>
      <c r="F1824" s="79">
        <v>8</v>
      </c>
      <c r="G1824" s="79">
        <v>0</v>
      </c>
      <c r="H1824" s="79" t="s">
        <v>3641</v>
      </c>
      <c r="I1824" s="79"/>
      <c r="J1824" s="79"/>
      <c r="K1824" s="79">
        <v>4</v>
      </c>
      <c r="L1824" s="79">
        <v>0</v>
      </c>
      <c r="M1824" s="127">
        <v>0</v>
      </c>
      <c r="N1824" s="79">
        <v>0</v>
      </c>
      <c r="O1824" s="79">
        <v>0</v>
      </c>
      <c r="P1824" s="107">
        <v>60</v>
      </c>
      <c r="R1824" s="148"/>
    </row>
    <row r="1825" spans="1:18">
      <c r="A1825" s="79">
        <v>700001</v>
      </c>
      <c r="B1825" s="121">
        <v>7000011</v>
      </c>
      <c r="C1825" s="79" t="s">
        <v>3642</v>
      </c>
      <c r="D1825" s="121">
        <f t="shared" ref="D1825:D1843" si="143">A1825*10+2</f>
        <v>7000012</v>
      </c>
      <c r="E1825" s="79" t="s">
        <v>3643</v>
      </c>
      <c r="F1825" s="79">
        <v>8</v>
      </c>
      <c r="G1825" s="79" t="s">
        <v>3623</v>
      </c>
      <c r="H1825" s="79" t="str">
        <f t="shared" ref="H1825:H1843" si="144">"icon_"&amp;A1825</f>
        <v>icon_700001</v>
      </c>
      <c r="I1825" s="79"/>
      <c r="J1825" s="79"/>
      <c r="K1825" s="79">
        <v>3</v>
      </c>
      <c r="L1825" s="79">
        <v>2</v>
      </c>
      <c r="M1825" s="127">
        <v>10</v>
      </c>
      <c r="N1825" s="79">
        <v>0</v>
      </c>
      <c r="O1825" s="79">
        <v>0</v>
      </c>
      <c r="P1825" s="107">
        <v>200</v>
      </c>
      <c r="R1825" s="148"/>
    </row>
    <row r="1826" spans="1:18">
      <c r="A1826" s="79">
        <v>700002</v>
      </c>
      <c r="B1826" s="121">
        <v>7000021</v>
      </c>
      <c r="C1826" s="79" t="s">
        <v>3644</v>
      </c>
      <c r="D1826" s="121">
        <f t="shared" si="143"/>
        <v>7000022</v>
      </c>
      <c r="E1826" s="79" t="s">
        <v>3645</v>
      </c>
      <c r="F1826" s="79">
        <v>11</v>
      </c>
      <c r="G1826" s="79">
        <v>1</v>
      </c>
      <c r="H1826" s="79" t="str">
        <f t="shared" si="144"/>
        <v>icon_700002</v>
      </c>
      <c r="I1826" s="79"/>
      <c r="J1826" s="79"/>
      <c r="K1826" s="79">
        <v>4</v>
      </c>
      <c r="L1826" s="79">
        <v>1</v>
      </c>
      <c r="M1826" s="127" t="s">
        <v>3646</v>
      </c>
      <c r="N1826" s="79">
        <v>2</v>
      </c>
      <c r="O1826" s="79">
        <v>0</v>
      </c>
      <c r="P1826" s="107">
        <v>1</v>
      </c>
      <c r="R1826" s="148"/>
    </row>
    <row r="1827" spans="1:18">
      <c r="A1827" s="79">
        <v>700003</v>
      </c>
      <c r="B1827" s="121">
        <v>7000031</v>
      </c>
      <c r="C1827" s="79" t="s">
        <v>3647</v>
      </c>
      <c r="D1827" s="121">
        <f t="shared" si="143"/>
        <v>7000032</v>
      </c>
      <c r="E1827" s="79" t="s">
        <v>3648</v>
      </c>
      <c r="F1827" s="79">
        <v>11</v>
      </c>
      <c r="G1827" s="79">
        <v>1</v>
      </c>
      <c r="H1827" s="79" t="str">
        <f t="shared" si="144"/>
        <v>icon_700003</v>
      </c>
      <c r="I1827" s="79"/>
      <c r="J1827" s="79"/>
      <c r="K1827" s="79">
        <v>5</v>
      </c>
      <c r="L1827" s="79">
        <v>1</v>
      </c>
      <c r="M1827" s="127" t="s">
        <v>3649</v>
      </c>
      <c r="N1827" s="79">
        <v>2</v>
      </c>
      <c r="O1827" s="79">
        <v>0</v>
      </c>
      <c r="P1827" s="107">
        <v>10</v>
      </c>
      <c r="R1827" s="148"/>
    </row>
    <row r="1828" spans="1:18">
      <c r="A1828" s="107">
        <v>700004</v>
      </c>
      <c r="B1828" s="121">
        <v>7000041</v>
      </c>
      <c r="C1828" s="79" t="s">
        <v>3650</v>
      </c>
      <c r="D1828" s="121">
        <f t="shared" si="143"/>
        <v>7000042</v>
      </c>
      <c r="E1828" s="79" t="s">
        <v>3651</v>
      </c>
      <c r="F1828" s="79">
        <v>8</v>
      </c>
      <c r="G1828" s="79">
        <v>1</v>
      </c>
      <c r="H1828" s="79" t="str">
        <f t="shared" si="144"/>
        <v>icon_700004</v>
      </c>
      <c r="I1828" s="79"/>
      <c r="J1828" s="79"/>
      <c r="K1828" s="79">
        <v>3</v>
      </c>
      <c r="L1828" s="79">
        <v>3</v>
      </c>
      <c r="M1828" s="127">
        <v>100</v>
      </c>
      <c r="N1828" s="79">
        <v>0</v>
      </c>
      <c r="O1828" s="79">
        <v>0</v>
      </c>
      <c r="P1828" s="107">
        <v>50</v>
      </c>
      <c r="R1828" s="148"/>
    </row>
    <row r="1829" spans="1:18">
      <c r="A1829" s="107">
        <v>700005</v>
      </c>
      <c r="B1829" s="121">
        <v>7000051</v>
      </c>
      <c r="C1829" s="79" t="s">
        <v>3652</v>
      </c>
      <c r="D1829" s="121">
        <f t="shared" si="143"/>
        <v>7000052</v>
      </c>
      <c r="E1829" s="79" t="s">
        <v>3653</v>
      </c>
      <c r="F1829" s="79">
        <v>8</v>
      </c>
      <c r="G1829" s="79">
        <v>1</v>
      </c>
      <c r="H1829" s="79" t="str">
        <f t="shared" si="144"/>
        <v>icon_700005</v>
      </c>
      <c r="I1829" s="79"/>
      <c r="J1829" s="79"/>
      <c r="K1829" s="79">
        <v>4</v>
      </c>
      <c r="L1829" s="79">
        <v>3</v>
      </c>
      <c r="M1829" s="127">
        <v>1000</v>
      </c>
      <c r="N1829" s="79">
        <v>0</v>
      </c>
      <c r="O1829" s="79">
        <v>0</v>
      </c>
      <c r="P1829" s="107">
        <v>20</v>
      </c>
      <c r="R1829" s="148"/>
    </row>
    <row r="1830" spans="1:18">
      <c r="A1830" s="107">
        <v>700006</v>
      </c>
      <c r="B1830" s="121">
        <v>7000061</v>
      </c>
      <c r="C1830" s="79" t="s">
        <v>3654</v>
      </c>
      <c r="D1830" s="121">
        <f t="shared" si="143"/>
        <v>7000062</v>
      </c>
      <c r="E1830" s="79" t="s">
        <v>3655</v>
      </c>
      <c r="F1830" s="79">
        <v>8</v>
      </c>
      <c r="G1830" s="79">
        <v>1</v>
      </c>
      <c r="H1830" s="79" t="str">
        <f t="shared" si="144"/>
        <v>icon_700006</v>
      </c>
      <c r="I1830" s="79"/>
      <c r="J1830" s="79"/>
      <c r="K1830" s="79">
        <v>5</v>
      </c>
      <c r="L1830" s="79">
        <v>3</v>
      </c>
      <c r="M1830" s="127">
        <v>5000</v>
      </c>
      <c r="N1830" s="79">
        <v>0</v>
      </c>
      <c r="O1830" s="79">
        <v>0</v>
      </c>
      <c r="P1830" s="107">
        <v>20</v>
      </c>
      <c r="R1830" s="148"/>
    </row>
    <row r="1831" spans="1:18">
      <c r="A1831" s="79">
        <v>700007</v>
      </c>
      <c r="B1831" s="121">
        <v>7000071</v>
      </c>
      <c r="C1831" s="79" t="s">
        <v>3656</v>
      </c>
      <c r="D1831" s="121">
        <f t="shared" si="143"/>
        <v>7000072</v>
      </c>
      <c r="E1831" s="79" t="s">
        <v>3657</v>
      </c>
      <c r="F1831" s="79">
        <v>8</v>
      </c>
      <c r="G1831" s="79" t="s">
        <v>3658</v>
      </c>
      <c r="H1831" s="79" t="str">
        <f t="shared" si="144"/>
        <v>icon_700007</v>
      </c>
      <c r="I1831" s="79"/>
      <c r="J1831" s="79"/>
      <c r="K1831" s="79">
        <v>2</v>
      </c>
      <c r="L1831" s="79">
        <v>7</v>
      </c>
      <c r="M1831" s="127">
        <v>1</v>
      </c>
      <c r="N1831" s="79">
        <v>1</v>
      </c>
      <c r="O1831" s="79">
        <v>0</v>
      </c>
      <c r="P1831" s="107">
        <v>20</v>
      </c>
      <c r="R1831" s="148"/>
    </row>
    <row r="1832" spans="1:18">
      <c r="A1832" s="79">
        <v>700008</v>
      </c>
      <c r="B1832" s="121">
        <v>7000081</v>
      </c>
      <c r="C1832" s="79" t="s">
        <v>3659</v>
      </c>
      <c r="D1832" s="121">
        <f t="shared" si="143"/>
        <v>7000082</v>
      </c>
      <c r="E1832" s="79" t="s">
        <v>3660</v>
      </c>
      <c r="F1832" s="79">
        <v>8</v>
      </c>
      <c r="G1832" s="79" t="s">
        <v>3658</v>
      </c>
      <c r="H1832" s="79" t="str">
        <f t="shared" si="144"/>
        <v>icon_700008</v>
      </c>
      <c r="I1832" s="79"/>
      <c r="J1832" s="79"/>
      <c r="K1832" s="79">
        <v>2</v>
      </c>
      <c r="L1832" s="79">
        <v>7</v>
      </c>
      <c r="M1832" s="127">
        <v>2</v>
      </c>
      <c r="N1832" s="79">
        <v>1</v>
      </c>
      <c r="O1832" s="79">
        <v>0</v>
      </c>
      <c r="P1832" s="107">
        <v>20</v>
      </c>
      <c r="R1832" s="148"/>
    </row>
    <row r="1833" spans="1:18">
      <c r="A1833" s="79">
        <v>700009</v>
      </c>
      <c r="B1833" s="121">
        <v>7000091</v>
      </c>
      <c r="C1833" s="79" t="s">
        <v>3661</v>
      </c>
      <c r="D1833" s="121">
        <f t="shared" si="143"/>
        <v>7000092</v>
      </c>
      <c r="E1833" s="79" t="s">
        <v>3662</v>
      </c>
      <c r="F1833" s="79">
        <v>8</v>
      </c>
      <c r="G1833" s="79" t="s">
        <v>3658</v>
      </c>
      <c r="H1833" s="79" t="str">
        <f t="shared" si="144"/>
        <v>icon_700009</v>
      </c>
      <c r="I1833" s="79"/>
      <c r="J1833" s="79"/>
      <c r="K1833" s="79">
        <v>2</v>
      </c>
      <c r="L1833" s="79">
        <v>7</v>
      </c>
      <c r="M1833" s="127">
        <v>3</v>
      </c>
      <c r="N1833" s="79">
        <v>1</v>
      </c>
      <c r="O1833" s="79">
        <v>0</v>
      </c>
      <c r="P1833" s="107">
        <v>20</v>
      </c>
      <c r="R1833" s="148"/>
    </row>
    <row r="1834" spans="1:18">
      <c r="A1834" s="79">
        <v>700010</v>
      </c>
      <c r="B1834" s="121">
        <v>7000101</v>
      </c>
      <c r="C1834" s="79" t="s">
        <v>3663</v>
      </c>
      <c r="D1834" s="121">
        <f t="shared" si="143"/>
        <v>7000102</v>
      </c>
      <c r="E1834" s="79" t="s">
        <v>3664</v>
      </c>
      <c r="F1834" s="79">
        <v>8</v>
      </c>
      <c r="G1834" s="79" t="s">
        <v>3658</v>
      </c>
      <c r="H1834" s="79" t="str">
        <f t="shared" si="144"/>
        <v>icon_700010</v>
      </c>
      <c r="I1834" s="79"/>
      <c r="J1834" s="79"/>
      <c r="K1834" s="79">
        <v>2</v>
      </c>
      <c r="L1834" s="79">
        <v>7</v>
      </c>
      <c r="M1834" s="127">
        <v>4</v>
      </c>
      <c r="N1834" s="79">
        <v>1</v>
      </c>
      <c r="O1834" s="79">
        <v>0</v>
      </c>
      <c r="P1834" s="107">
        <v>20</v>
      </c>
      <c r="R1834" s="148"/>
    </row>
    <row r="1835" spans="1:18">
      <c r="A1835" s="79">
        <v>700011</v>
      </c>
      <c r="B1835" s="121">
        <v>7000111</v>
      </c>
      <c r="C1835" s="79" t="s">
        <v>3665</v>
      </c>
      <c r="D1835" s="121">
        <f t="shared" si="143"/>
        <v>7000112</v>
      </c>
      <c r="E1835" s="79" t="s">
        <v>3666</v>
      </c>
      <c r="F1835" s="79">
        <v>8</v>
      </c>
      <c r="G1835" s="79" t="s">
        <v>3667</v>
      </c>
      <c r="H1835" s="79" t="str">
        <f t="shared" si="144"/>
        <v>icon_700011</v>
      </c>
      <c r="I1835" s="79"/>
      <c r="J1835" s="79"/>
      <c r="K1835" s="79">
        <v>2</v>
      </c>
      <c r="L1835" s="79">
        <v>0</v>
      </c>
      <c r="M1835" s="127">
        <v>0</v>
      </c>
      <c r="N1835" s="79">
        <v>1</v>
      </c>
      <c r="O1835" s="79">
        <v>0</v>
      </c>
      <c r="P1835" s="107">
        <v>20</v>
      </c>
      <c r="R1835" s="148"/>
    </row>
    <row r="1836" spans="1:18">
      <c r="A1836" s="79">
        <v>700012</v>
      </c>
      <c r="B1836" s="121">
        <v>7000121</v>
      </c>
      <c r="C1836" s="79" t="s">
        <v>3668</v>
      </c>
      <c r="D1836" s="121">
        <f t="shared" si="143"/>
        <v>7000122</v>
      </c>
      <c r="E1836" s="79" t="s">
        <v>3669</v>
      </c>
      <c r="F1836" s="79">
        <v>8</v>
      </c>
      <c r="G1836" s="79" t="s">
        <v>3667</v>
      </c>
      <c r="H1836" s="79" t="str">
        <f t="shared" si="144"/>
        <v>icon_700012</v>
      </c>
      <c r="I1836" s="79"/>
      <c r="J1836" s="79"/>
      <c r="K1836" s="79">
        <v>2</v>
      </c>
      <c r="L1836" s="79">
        <v>0</v>
      </c>
      <c r="M1836" s="127">
        <v>0</v>
      </c>
      <c r="N1836" s="79">
        <v>1</v>
      </c>
      <c r="O1836" s="79">
        <v>0</v>
      </c>
      <c r="P1836" s="107">
        <v>100</v>
      </c>
      <c r="R1836" s="148"/>
    </row>
    <row r="1837" spans="1:18">
      <c r="A1837" s="79">
        <v>700013</v>
      </c>
      <c r="B1837" s="121">
        <v>7000131</v>
      </c>
      <c r="C1837" s="79" t="s">
        <v>3670</v>
      </c>
      <c r="D1837" s="121">
        <f t="shared" si="143"/>
        <v>7000132</v>
      </c>
      <c r="E1837" s="79" t="s">
        <v>3671</v>
      </c>
      <c r="F1837" s="79">
        <v>8</v>
      </c>
      <c r="G1837" s="79" t="s">
        <v>3667</v>
      </c>
      <c r="H1837" s="79" t="str">
        <f t="shared" si="144"/>
        <v>icon_700013</v>
      </c>
      <c r="I1837" s="79"/>
      <c r="J1837" s="79"/>
      <c r="K1837" s="79">
        <v>2</v>
      </c>
      <c r="L1837" s="79">
        <v>0</v>
      </c>
      <c r="M1837" s="127">
        <v>0</v>
      </c>
      <c r="N1837" s="79">
        <v>1</v>
      </c>
      <c r="O1837" s="79">
        <v>0</v>
      </c>
      <c r="P1837" s="107">
        <v>100</v>
      </c>
      <c r="R1837" s="148"/>
    </row>
    <row r="1838" spans="1:18">
      <c r="A1838" s="79">
        <v>700014</v>
      </c>
      <c r="B1838" s="121">
        <v>7000141</v>
      </c>
      <c r="C1838" s="79" t="s">
        <v>3672</v>
      </c>
      <c r="D1838" s="121">
        <f t="shared" si="143"/>
        <v>7000142</v>
      </c>
      <c r="E1838" s="79" t="s">
        <v>3673</v>
      </c>
      <c r="F1838" s="79">
        <v>8</v>
      </c>
      <c r="G1838" s="79">
        <v>4</v>
      </c>
      <c r="H1838" s="79" t="str">
        <f t="shared" si="144"/>
        <v>icon_700014</v>
      </c>
      <c r="I1838" s="79"/>
      <c r="J1838" s="79"/>
      <c r="K1838" s="79">
        <v>2</v>
      </c>
      <c r="L1838" s="79">
        <v>0</v>
      </c>
      <c r="M1838" s="127">
        <v>0</v>
      </c>
      <c r="N1838" s="79">
        <v>1</v>
      </c>
      <c r="O1838" s="79">
        <v>0</v>
      </c>
      <c r="P1838" s="107">
        <v>2</v>
      </c>
      <c r="R1838" s="148"/>
    </row>
    <row r="1839" spans="1:18">
      <c r="A1839" s="79">
        <v>700015</v>
      </c>
      <c r="B1839" s="121">
        <v>7000151</v>
      </c>
      <c r="C1839" s="79" t="s">
        <v>3674</v>
      </c>
      <c r="D1839" s="121">
        <f t="shared" si="143"/>
        <v>7000152</v>
      </c>
      <c r="E1839" s="79" t="s">
        <v>3675</v>
      </c>
      <c r="F1839" s="79">
        <v>8</v>
      </c>
      <c r="G1839" s="79">
        <v>4</v>
      </c>
      <c r="H1839" s="79" t="str">
        <f t="shared" si="144"/>
        <v>icon_700015</v>
      </c>
      <c r="I1839" s="79"/>
      <c r="J1839" s="79"/>
      <c r="K1839" s="79">
        <v>2</v>
      </c>
      <c r="L1839" s="79">
        <v>0</v>
      </c>
      <c r="M1839" s="127">
        <v>0</v>
      </c>
      <c r="N1839" s="79">
        <v>1</v>
      </c>
      <c r="O1839" s="79">
        <v>0</v>
      </c>
      <c r="P1839" s="107">
        <v>5</v>
      </c>
      <c r="R1839" s="148"/>
    </row>
    <row r="1840" spans="1:18">
      <c r="A1840" s="79">
        <v>700016</v>
      </c>
      <c r="B1840" s="121">
        <v>7000161</v>
      </c>
      <c r="C1840" s="79" t="s">
        <v>3676</v>
      </c>
      <c r="D1840" s="121">
        <f t="shared" si="143"/>
        <v>7000162</v>
      </c>
      <c r="E1840" s="79" t="s">
        <v>3677</v>
      </c>
      <c r="F1840" s="79">
        <v>8</v>
      </c>
      <c r="G1840" s="79">
        <v>1</v>
      </c>
      <c r="H1840" s="79" t="str">
        <f t="shared" si="144"/>
        <v>icon_700016</v>
      </c>
      <c r="I1840" s="79"/>
      <c r="J1840" s="79"/>
      <c r="K1840" s="79">
        <v>2</v>
      </c>
      <c r="L1840" s="79">
        <v>5</v>
      </c>
      <c r="M1840" s="127" t="s">
        <v>3678</v>
      </c>
      <c r="N1840" s="79">
        <v>1</v>
      </c>
      <c r="O1840" s="79">
        <v>0</v>
      </c>
      <c r="P1840" s="107">
        <v>2</v>
      </c>
      <c r="R1840" s="148"/>
    </row>
    <row r="1841" spans="1:18">
      <c r="A1841" s="79">
        <v>700017</v>
      </c>
      <c r="B1841" s="121">
        <v>7000171</v>
      </c>
      <c r="C1841" s="79" t="s">
        <v>3679</v>
      </c>
      <c r="D1841" s="121">
        <f t="shared" si="143"/>
        <v>7000172</v>
      </c>
      <c r="E1841" s="79" t="s">
        <v>3680</v>
      </c>
      <c r="F1841" s="79">
        <v>8</v>
      </c>
      <c r="G1841" s="79">
        <v>1</v>
      </c>
      <c r="H1841" s="79" t="str">
        <f t="shared" si="144"/>
        <v>icon_700017</v>
      </c>
      <c r="I1841" s="79"/>
      <c r="J1841" s="79"/>
      <c r="K1841" s="79">
        <v>3</v>
      </c>
      <c r="L1841" s="79">
        <v>5</v>
      </c>
      <c r="M1841" s="127" t="s">
        <v>3681</v>
      </c>
      <c r="N1841" s="79">
        <v>1</v>
      </c>
      <c r="O1841" s="79">
        <v>0</v>
      </c>
      <c r="P1841" s="107">
        <v>5</v>
      </c>
      <c r="R1841" s="148"/>
    </row>
    <row r="1842" spans="1:18">
      <c r="A1842" s="79">
        <v>700018</v>
      </c>
      <c r="B1842" s="121">
        <v>7000181</v>
      </c>
      <c r="C1842" s="79" t="s">
        <v>3682</v>
      </c>
      <c r="D1842" s="121">
        <f t="shared" si="143"/>
        <v>7000182</v>
      </c>
      <c r="E1842" s="79" t="s">
        <v>3683</v>
      </c>
      <c r="F1842" s="79">
        <v>8</v>
      </c>
      <c r="G1842" s="79">
        <v>1</v>
      </c>
      <c r="H1842" s="79" t="str">
        <f t="shared" si="144"/>
        <v>icon_700018</v>
      </c>
      <c r="I1842" s="79"/>
      <c r="J1842" s="79"/>
      <c r="K1842" s="79">
        <v>2</v>
      </c>
      <c r="L1842" s="79">
        <v>6</v>
      </c>
      <c r="M1842" s="127" t="s">
        <v>3684</v>
      </c>
      <c r="N1842" s="79">
        <v>1</v>
      </c>
      <c r="O1842" s="79">
        <v>0</v>
      </c>
      <c r="P1842" s="107"/>
      <c r="R1842" s="148"/>
    </row>
    <row r="1843" spans="1:18">
      <c r="A1843" s="79">
        <v>700019</v>
      </c>
      <c r="B1843" s="121">
        <v>7000191</v>
      </c>
      <c r="C1843" s="79" t="s">
        <v>3685</v>
      </c>
      <c r="D1843" s="121">
        <f t="shared" si="143"/>
        <v>7000192</v>
      </c>
      <c r="E1843" s="79" t="s">
        <v>3686</v>
      </c>
      <c r="F1843" s="79">
        <v>8</v>
      </c>
      <c r="G1843" s="79">
        <v>1</v>
      </c>
      <c r="H1843" s="79" t="str">
        <f t="shared" si="144"/>
        <v>icon_700019</v>
      </c>
      <c r="I1843" s="79"/>
      <c r="J1843" s="79"/>
      <c r="K1843" s="79">
        <v>3</v>
      </c>
      <c r="L1843" s="79">
        <v>6</v>
      </c>
      <c r="M1843" s="127" t="s">
        <v>3687</v>
      </c>
      <c r="N1843" s="79">
        <v>1</v>
      </c>
      <c r="O1843" s="79">
        <v>0</v>
      </c>
      <c r="P1843" s="107">
        <v>1</v>
      </c>
      <c r="R1843" s="148"/>
    </row>
    <row r="1844" spans="1:18">
      <c r="A1844" s="79">
        <v>700020</v>
      </c>
      <c r="B1844" s="121">
        <v>7000201</v>
      </c>
      <c r="C1844" s="79" t="s">
        <v>3688</v>
      </c>
      <c r="D1844" s="121">
        <v>7000202</v>
      </c>
      <c r="E1844" s="79" t="s">
        <v>3689</v>
      </c>
      <c r="F1844" s="79">
        <v>8</v>
      </c>
      <c r="G1844" s="79" t="s">
        <v>3667</v>
      </c>
      <c r="H1844" s="79" t="s">
        <v>3690</v>
      </c>
      <c r="I1844" s="79"/>
      <c r="J1844" s="79"/>
      <c r="K1844" s="79">
        <v>3</v>
      </c>
      <c r="L1844" s="79">
        <v>0</v>
      </c>
      <c r="M1844" s="127" t="s">
        <v>86</v>
      </c>
      <c r="N1844" s="79">
        <v>1</v>
      </c>
      <c r="O1844" s="79">
        <v>0</v>
      </c>
      <c r="P1844" s="107"/>
      <c r="R1844" s="148"/>
    </row>
    <row r="1845" spans="1:18">
      <c r="A1845" s="79">
        <v>700021</v>
      </c>
      <c r="B1845" s="121">
        <v>7000211</v>
      </c>
      <c r="C1845" s="79" t="s">
        <v>3691</v>
      </c>
      <c r="D1845" s="121">
        <v>7000212</v>
      </c>
      <c r="E1845" s="79" t="s">
        <v>3692</v>
      </c>
      <c r="F1845" s="79">
        <v>8</v>
      </c>
      <c r="G1845" s="79" t="s">
        <v>3693</v>
      </c>
      <c r="H1845" s="79" t="s">
        <v>3694</v>
      </c>
      <c r="I1845" s="79"/>
      <c r="J1845" s="79"/>
      <c r="K1845" s="79">
        <v>4</v>
      </c>
      <c r="L1845" s="79">
        <v>0</v>
      </c>
      <c r="M1845" s="127" t="s">
        <v>86</v>
      </c>
      <c r="N1845" s="79">
        <v>1</v>
      </c>
      <c r="O1845" s="79">
        <v>0</v>
      </c>
      <c r="P1845" s="107"/>
      <c r="R1845" s="148"/>
    </row>
    <row r="1846" spans="1:18">
      <c r="A1846" s="79">
        <v>700022</v>
      </c>
      <c r="B1846" s="121">
        <v>7000221</v>
      </c>
      <c r="C1846" s="95" t="s">
        <v>3695</v>
      </c>
      <c r="D1846" s="121">
        <v>7000222</v>
      </c>
      <c r="E1846" s="79" t="s">
        <v>3696</v>
      </c>
      <c r="F1846" s="79">
        <v>8</v>
      </c>
      <c r="G1846" s="79" t="s">
        <v>3667</v>
      </c>
      <c r="H1846" s="79" t="s">
        <v>3697</v>
      </c>
      <c r="I1846" s="79"/>
      <c r="J1846" s="79"/>
      <c r="K1846" s="79">
        <v>4</v>
      </c>
      <c r="L1846" s="79">
        <v>7</v>
      </c>
      <c r="M1846" s="127" t="s">
        <v>290</v>
      </c>
      <c r="N1846" s="79">
        <v>1</v>
      </c>
      <c r="O1846" s="79">
        <v>0</v>
      </c>
      <c r="P1846" s="107"/>
      <c r="R1846" s="148"/>
    </row>
    <row r="1847" spans="1:18">
      <c r="A1847" s="79">
        <v>700023</v>
      </c>
      <c r="B1847" s="121">
        <v>7000231</v>
      </c>
      <c r="C1847" s="95" t="s">
        <v>3698</v>
      </c>
      <c r="D1847" s="121">
        <v>7000222</v>
      </c>
      <c r="E1847" s="79" t="s">
        <v>3696</v>
      </c>
      <c r="F1847" s="79">
        <v>8</v>
      </c>
      <c r="G1847" s="79" t="s">
        <v>3667</v>
      </c>
      <c r="H1847" s="79" t="s">
        <v>3697</v>
      </c>
      <c r="I1847" s="79"/>
      <c r="J1847" s="79"/>
      <c r="K1847" s="79">
        <v>4</v>
      </c>
      <c r="L1847" s="79">
        <v>7</v>
      </c>
      <c r="M1847" s="127" t="s">
        <v>290</v>
      </c>
      <c r="N1847" s="79">
        <v>1</v>
      </c>
      <c r="O1847" s="79">
        <v>0</v>
      </c>
      <c r="P1847" s="107"/>
      <c r="R1847" s="148"/>
    </row>
    <row r="1848" spans="1:18">
      <c r="A1848" s="79">
        <v>700024</v>
      </c>
      <c r="B1848" s="121">
        <v>7000241</v>
      </c>
      <c r="C1848" s="95" t="s">
        <v>3699</v>
      </c>
      <c r="D1848" s="121">
        <v>7000222</v>
      </c>
      <c r="E1848" s="79" t="s">
        <v>3696</v>
      </c>
      <c r="F1848" s="79">
        <v>8</v>
      </c>
      <c r="G1848" s="79" t="s">
        <v>3667</v>
      </c>
      <c r="H1848" s="79" t="s">
        <v>3697</v>
      </c>
      <c r="I1848" s="79"/>
      <c r="J1848" s="79"/>
      <c r="K1848" s="79">
        <v>4</v>
      </c>
      <c r="L1848" s="79">
        <v>7</v>
      </c>
      <c r="M1848" s="127" t="s">
        <v>290</v>
      </c>
      <c r="N1848" s="79">
        <v>1</v>
      </c>
      <c r="O1848" s="79">
        <v>0</v>
      </c>
      <c r="P1848" s="107"/>
      <c r="R1848" s="148"/>
    </row>
    <row r="1849" spans="1:18">
      <c r="A1849" s="79">
        <v>700025</v>
      </c>
      <c r="B1849" s="121">
        <v>7000251</v>
      </c>
      <c r="C1849" s="95" t="s">
        <v>3700</v>
      </c>
      <c r="D1849" s="121">
        <v>7000222</v>
      </c>
      <c r="E1849" s="79" t="s">
        <v>3696</v>
      </c>
      <c r="F1849" s="79">
        <v>8</v>
      </c>
      <c r="G1849" s="79" t="s">
        <v>3667</v>
      </c>
      <c r="H1849" s="79" t="s">
        <v>3697</v>
      </c>
      <c r="I1849" s="79"/>
      <c r="J1849" s="79"/>
      <c r="K1849" s="79">
        <v>4</v>
      </c>
      <c r="L1849" s="79">
        <v>7</v>
      </c>
      <c r="M1849" s="127" t="s">
        <v>290</v>
      </c>
      <c r="N1849" s="79">
        <v>1</v>
      </c>
      <c r="O1849" s="79">
        <v>0</v>
      </c>
      <c r="P1849" s="107"/>
      <c r="R1849" s="148"/>
    </row>
    <row r="1850" spans="1:18">
      <c r="A1850" s="79">
        <v>700026</v>
      </c>
      <c r="B1850" s="121">
        <v>7000261</v>
      </c>
      <c r="C1850" s="95" t="s">
        <v>3701</v>
      </c>
      <c r="D1850" s="121">
        <v>7000222</v>
      </c>
      <c r="E1850" s="79" t="s">
        <v>3696</v>
      </c>
      <c r="F1850" s="79">
        <v>8</v>
      </c>
      <c r="G1850" s="79" t="s">
        <v>3667</v>
      </c>
      <c r="H1850" s="79" t="s">
        <v>3697</v>
      </c>
      <c r="I1850" s="79"/>
      <c r="J1850" s="79"/>
      <c r="K1850" s="79">
        <v>4</v>
      </c>
      <c r="L1850" s="79">
        <v>7</v>
      </c>
      <c r="M1850" s="127" t="s">
        <v>290</v>
      </c>
      <c r="N1850" s="79">
        <v>1</v>
      </c>
      <c r="O1850" s="79">
        <v>0</v>
      </c>
      <c r="P1850" s="107"/>
      <c r="R1850" s="148"/>
    </row>
    <row r="1851" spans="1:18">
      <c r="A1851" s="79">
        <v>700027</v>
      </c>
      <c r="B1851" s="121">
        <v>7000271</v>
      </c>
      <c r="C1851" s="95" t="s">
        <v>5612</v>
      </c>
      <c r="D1851" s="121">
        <v>7000272</v>
      </c>
      <c r="E1851" s="79" t="s">
        <v>5613</v>
      </c>
      <c r="F1851" s="79">
        <v>8</v>
      </c>
      <c r="G1851" s="79">
        <v>4</v>
      </c>
      <c r="H1851" s="79" t="s">
        <v>5614</v>
      </c>
      <c r="I1851" s="79"/>
      <c r="J1851" s="79"/>
      <c r="K1851" s="79">
        <v>5</v>
      </c>
      <c r="L1851" s="79">
        <v>0</v>
      </c>
      <c r="M1851" s="127" t="s">
        <v>5529</v>
      </c>
      <c r="N1851" s="79">
        <v>0</v>
      </c>
      <c r="O1851" s="79">
        <v>0</v>
      </c>
      <c r="P1851" s="107"/>
      <c r="R1851" s="148"/>
    </row>
    <row r="1852" spans="1:18">
      <c r="A1852" s="79">
        <v>700028</v>
      </c>
      <c r="B1852" s="121">
        <v>7000281</v>
      </c>
      <c r="C1852" s="95" t="s">
        <v>5628</v>
      </c>
      <c r="D1852" s="121">
        <v>7000282</v>
      </c>
      <c r="E1852" s="79" t="s">
        <v>5623</v>
      </c>
      <c r="F1852" s="79">
        <v>11</v>
      </c>
      <c r="G1852" s="79">
        <v>1</v>
      </c>
      <c r="H1852" s="79" t="s">
        <v>5624</v>
      </c>
      <c r="I1852" s="79"/>
      <c r="J1852" s="79"/>
      <c r="K1852" s="79">
        <v>3</v>
      </c>
      <c r="L1852" s="79">
        <v>1</v>
      </c>
      <c r="M1852" s="127" t="s">
        <v>5626</v>
      </c>
      <c r="N1852" s="79">
        <v>0</v>
      </c>
      <c r="O1852" s="79">
        <v>0</v>
      </c>
      <c r="P1852" s="107"/>
      <c r="R1852" s="148"/>
    </row>
    <row r="1853" spans="1:18">
      <c r="A1853" s="79">
        <v>700029</v>
      </c>
      <c r="B1853" s="121">
        <v>7000291</v>
      </c>
      <c r="C1853" s="95" t="s">
        <v>5621</v>
      </c>
      <c r="D1853" s="121">
        <v>7000292</v>
      </c>
      <c r="E1853" s="79" t="s">
        <v>5622</v>
      </c>
      <c r="F1853" s="79">
        <v>11</v>
      </c>
      <c r="G1853" s="79">
        <v>1</v>
      </c>
      <c r="H1853" s="79" t="s">
        <v>5625</v>
      </c>
      <c r="I1853" s="79"/>
      <c r="J1853" s="79"/>
      <c r="K1853" s="79">
        <v>4</v>
      </c>
      <c r="L1853" s="79">
        <v>1</v>
      </c>
      <c r="M1853" s="127" t="s">
        <v>5627</v>
      </c>
      <c r="N1853" s="79">
        <v>0</v>
      </c>
      <c r="O1853" s="79">
        <v>0</v>
      </c>
      <c r="P1853" s="107"/>
      <c r="R1853" s="148"/>
    </row>
    <row r="1854" spans="1:18">
      <c r="A1854" s="79">
        <v>710001</v>
      </c>
      <c r="B1854" s="121">
        <v>7100011</v>
      </c>
      <c r="C1854" s="79" t="s">
        <v>3702</v>
      </c>
      <c r="D1854" s="121">
        <f>A1854*10+2</f>
        <v>7100012</v>
      </c>
      <c r="E1854" s="79" t="s">
        <v>3703</v>
      </c>
      <c r="F1854" s="79">
        <v>8</v>
      </c>
      <c r="G1854" s="86" t="s">
        <v>3704</v>
      </c>
      <c r="H1854" s="79" t="s">
        <v>3705</v>
      </c>
      <c r="I1854" s="79"/>
      <c r="J1854" s="79"/>
      <c r="K1854" s="79">
        <v>3</v>
      </c>
      <c r="L1854" s="79">
        <v>0</v>
      </c>
      <c r="M1854" s="127" t="s">
        <v>86</v>
      </c>
      <c r="N1854" s="79">
        <v>1</v>
      </c>
      <c r="O1854" s="79">
        <v>0</v>
      </c>
      <c r="P1854" s="107">
        <v>1</v>
      </c>
      <c r="R1854" s="148"/>
    </row>
    <row r="1855" spans="1:18">
      <c r="A1855" s="79">
        <v>730001</v>
      </c>
      <c r="B1855" s="121">
        <v>7300011</v>
      </c>
      <c r="C1855" s="79" t="s">
        <v>3706</v>
      </c>
      <c r="D1855" s="121">
        <v>7300012</v>
      </c>
      <c r="E1855" s="79" t="s">
        <v>3707</v>
      </c>
      <c r="F1855" s="79">
        <v>8</v>
      </c>
      <c r="G1855" s="79" t="s">
        <v>3708</v>
      </c>
      <c r="H1855" s="79" t="s">
        <v>3709</v>
      </c>
      <c r="I1855" s="79"/>
      <c r="K1855" s="79">
        <v>4</v>
      </c>
      <c r="L1855" s="79">
        <v>0</v>
      </c>
      <c r="M1855" s="127" t="s">
        <v>86</v>
      </c>
      <c r="N1855" s="79">
        <v>0</v>
      </c>
      <c r="O1855" s="79">
        <v>0</v>
      </c>
      <c r="P1855" s="107">
        <v>20</v>
      </c>
      <c r="R1855" s="148"/>
    </row>
    <row r="1856" spans="1:18">
      <c r="A1856" s="185">
        <v>800000</v>
      </c>
      <c r="B1856" s="121">
        <v>8000001</v>
      </c>
      <c r="C1856" s="79" t="s">
        <v>3710</v>
      </c>
      <c r="D1856" s="121">
        <f t="shared" ref="D1856:D1867" si="145">A1856*10+2</f>
        <v>8000002</v>
      </c>
      <c r="E1856" s="79" t="s">
        <v>3711</v>
      </c>
      <c r="F1856" s="79">
        <v>9</v>
      </c>
      <c r="G1856" s="79">
        <v>0</v>
      </c>
      <c r="H1856" s="79" t="str">
        <f t="shared" ref="H1856:H1864" si="146">"icon_"&amp;A1856</f>
        <v>icon_800000</v>
      </c>
      <c r="I1856" s="79"/>
      <c r="J1856" s="79"/>
      <c r="K1856" s="79">
        <v>2</v>
      </c>
      <c r="L1856" s="79">
        <v>0</v>
      </c>
      <c r="M1856" s="127"/>
      <c r="N1856" s="79">
        <v>0</v>
      </c>
      <c r="O1856" s="79">
        <v>0</v>
      </c>
      <c r="P1856" s="107">
        <v>1</v>
      </c>
      <c r="R1856" s="148"/>
    </row>
    <row r="1857" spans="1:18">
      <c r="A1857" s="79">
        <v>800001</v>
      </c>
      <c r="B1857" s="121">
        <v>8000011</v>
      </c>
      <c r="C1857" s="79" t="s">
        <v>3712</v>
      </c>
      <c r="D1857" s="121">
        <f t="shared" si="145"/>
        <v>8000012</v>
      </c>
      <c r="E1857" s="79" t="s">
        <v>3713</v>
      </c>
      <c r="F1857" s="79">
        <v>9</v>
      </c>
      <c r="G1857" s="79">
        <v>0</v>
      </c>
      <c r="H1857" s="79" t="str">
        <f t="shared" si="146"/>
        <v>icon_800001</v>
      </c>
      <c r="I1857" s="79"/>
      <c r="J1857" s="79"/>
      <c r="K1857" s="79">
        <v>2</v>
      </c>
      <c r="L1857" s="79">
        <v>0</v>
      </c>
      <c r="M1857" s="127"/>
      <c r="N1857" s="79">
        <v>0</v>
      </c>
      <c r="O1857" s="79">
        <v>0</v>
      </c>
      <c r="P1857" s="107">
        <v>1</v>
      </c>
      <c r="R1857" s="148"/>
    </row>
    <row r="1858" spans="1:18">
      <c r="A1858" s="79">
        <v>800002</v>
      </c>
      <c r="B1858" s="121">
        <v>8000021</v>
      </c>
      <c r="C1858" s="79" t="s">
        <v>3714</v>
      </c>
      <c r="D1858" s="121">
        <f t="shared" si="145"/>
        <v>8000022</v>
      </c>
      <c r="E1858" s="79" t="s">
        <v>3715</v>
      </c>
      <c r="F1858" s="79">
        <v>9</v>
      </c>
      <c r="G1858" s="79">
        <v>0</v>
      </c>
      <c r="H1858" s="79" t="str">
        <f t="shared" si="146"/>
        <v>icon_800002</v>
      </c>
      <c r="I1858" s="79"/>
      <c r="J1858" s="79"/>
      <c r="K1858" s="79">
        <v>2</v>
      </c>
      <c r="L1858" s="79">
        <v>0</v>
      </c>
      <c r="M1858" s="127"/>
      <c r="N1858" s="79">
        <v>0</v>
      </c>
      <c r="O1858" s="79">
        <v>0</v>
      </c>
      <c r="P1858" s="107">
        <v>1</v>
      </c>
      <c r="R1858" s="148"/>
    </row>
    <row r="1859" spans="1:18" s="185" customFormat="1">
      <c r="A1859" s="185">
        <v>800003</v>
      </c>
      <c r="B1859" s="181">
        <v>8000031</v>
      </c>
      <c r="C1859" s="185" t="s">
        <v>3716</v>
      </c>
      <c r="D1859" s="181">
        <f t="shared" si="145"/>
        <v>8000032</v>
      </c>
      <c r="E1859" s="185" t="s">
        <v>3716</v>
      </c>
      <c r="F1859" s="175">
        <v>9</v>
      </c>
      <c r="G1859" s="175">
        <v>0</v>
      </c>
      <c r="H1859" s="175" t="str">
        <f t="shared" si="146"/>
        <v>icon_800003</v>
      </c>
      <c r="I1859" s="175"/>
      <c r="J1859" s="175"/>
      <c r="K1859" s="175">
        <v>2</v>
      </c>
      <c r="L1859" s="175">
        <v>0</v>
      </c>
      <c r="M1859" s="179"/>
      <c r="N1859" s="175">
        <v>0</v>
      </c>
      <c r="O1859" s="175">
        <v>0</v>
      </c>
      <c r="P1859" s="175">
        <v>1</v>
      </c>
      <c r="R1859" s="186"/>
    </row>
    <row r="1860" spans="1:18" s="185" customFormat="1">
      <c r="A1860" s="185">
        <v>800004</v>
      </c>
      <c r="B1860" s="181">
        <v>8000041</v>
      </c>
      <c r="C1860" s="185" t="s">
        <v>3717</v>
      </c>
      <c r="D1860" s="181">
        <f t="shared" si="145"/>
        <v>8000042</v>
      </c>
      <c r="E1860" s="185" t="s">
        <v>3717</v>
      </c>
      <c r="F1860" s="175">
        <v>9</v>
      </c>
      <c r="G1860" s="175">
        <v>0</v>
      </c>
      <c r="H1860" s="175" t="str">
        <f t="shared" si="146"/>
        <v>icon_800004</v>
      </c>
      <c r="I1860" s="175"/>
      <c r="J1860" s="175"/>
      <c r="K1860" s="175">
        <v>2</v>
      </c>
      <c r="L1860" s="175">
        <v>0</v>
      </c>
      <c r="M1860" s="179"/>
      <c r="N1860" s="175">
        <v>0</v>
      </c>
      <c r="O1860" s="175">
        <v>0</v>
      </c>
      <c r="P1860" s="175">
        <v>1</v>
      </c>
      <c r="R1860" s="186"/>
    </row>
    <row r="1861" spans="1:18" s="185" customFormat="1">
      <c r="A1861" s="185">
        <v>800005</v>
      </c>
      <c r="B1861" s="181">
        <v>8000051</v>
      </c>
      <c r="C1861" s="175" t="s">
        <v>3718</v>
      </c>
      <c r="D1861" s="181">
        <f t="shared" si="145"/>
        <v>8000052</v>
      </c>
      <c r="E1861" s="175" t="s">
        <v>3718</v>
      </c>
      <c r="F1861" s="175">
        <v>9</v>
      </c>
      <c r="G1861" s="175">
        <v>0</v>
      </c>
      <c r="H1861" s="175" t="str">
        <f t="shared" si="146"/>
        <v>icon_800005</v>
      </c>
      <c r="I1861" s="175"/>
      <c r="J1861" s="175"/>
      <c r="K1861" s="175">
        <v>2</v>
      </c>
      <c r="L1861" s="175">
        <v>0</v>
      </c>
      <c r="M1861" s="179"/>
      <c r="N1861" s="175">
        <v>0</v>
      </c>
      <c r="O1861" s="175">
        <v>0</v>
      </c>
      <c r="P1861" s="175">
        <v>1</v>
      </c>
      <c r="R1861" s="186"/>
    </row>
    <row r="1862" spans="1:18" s="185" customFormat="1">
      <c r="A1862" s="185">
        <v>800006</v>
      </c>
      <c r="B1862" s="181">
        <v>8000061</v>
      </c>
      <c r="C1862" s="175" t="s">
        <v>3719</v>
      </c>
      <c r="D1862" s="181">
        <f t="shared" si="145"/>
        <v>8000062</v>
      </c>
      <c r="E1862" s="175" t="s">
        <v>3719</v>
      </c>
      <c r="F1862" s="175">
        <v>9</v>
      </c>
      <c r="G1862" s="175">
        <v>0</v>
      </c>
      <c r="H1862" s="175" t="str">
        <f t="shared" si="146"/>
        <v>icon_800006</v>
      </c>
      <c r="I1862" s="175"/>
      <c r="J1862" s="175"/>
      <c r="K1862" s="175">
        <v>2</v>
      </c>
      <c r="L1862" s="175">
        <v>0</v>
      </c>
      <c r="M1862" s="179"/>
      <c r="N1862" s="175">
        <v>0</v>
      </c>
      <c r="O1862" s="175">
        <v>0</v>
      </c>
      <c r="P1862" s="175">
        <v>1</v>
      </c>
      <c r="R1862" s="186"/>
    </row>
    <row r="1863" spans="1:18">
      <c r="A1863" s="79">
        <v>800007</v>
      </c>
      <c r="B1863" s="121">
        <v>8000071</v>
      </c>
      <c r="C1863" s="79" t="s">
        <v>3720</v>
      </c>
      <c r="D1863" s="121">
        <f t="shared" si="145"/>
        <v>8000072</v>
      </c>
      <c r="E1863" s="79" t="s">
        <v>3721</v>
      </c>
      <c r="F1863" s="79">
        <v>9</v>
      </c>
      <c r="G1863" s="79">
        <v>0</v>
      </c>
      <c r="H1863" s="79" t="str">
        <f t="shared" si="146"/>
        <v>icon_800007</v>
      </c>
      <c r="I1863" s="79"/>
      <c r="J1863" s="79"/>
      <c r="K1863" s="79">
        <v>2</v>
      </c>
      <c r="L1863" s="79">
        <v>0</v>
      </c>
      <c r="M1863" s="127"/>
      <c r="N1863" s="79">
        <v>0</v>
      </c>
      <c r="O1863" s="79">
        <v>0</v>
      </c>
      <c r="P1863" s="107"/>
      <c r="R1863" s="148"/>
    </row>
    <row r="1864" spans="1:18">
      <c r="A1864" s="79">
        <v>800008</v>
      </c>
      <c r="B1864" s="121">
        <v>8000081</v>
      </c>
      <c r="C1864" s="79" t="s">
        <v>3722</v>
      </c>
      <c r="D1864" s="121">
        <f t="shared" si="145"/>
        <v>8000082</v>
      </c>
      <c r="E1864" s="79" t="s">
        <v>3723</v>
      </c>
      <c r="F1864" s="79">
        <v>9</v>
      </c>
      <c r="G1864" s="79">
        <v>0</v>
      </c>
      <c r="H1864" s="79" t="str">
        <f t="shared" si="146"/>
        <v>icon_800008</v>
      </c>
      <c r="I1864" s="79"/>
      <c r="J1864" s="79"/>
      <c r="K1864" s="79">
        <v>2</v>
      </c>
      <c r="L1864" s="79">
        <v>0</v>
      </c>
      <c r="M1864" s="127"/>
      <c r="N1864" s="79">
        <v>0</v>
      </c>
      <c r="O1864" s="79">
        <v>0</v>
      </c>
      <c r="P1864" s="107"/>
      <c r="R1864" s="148"/>
    </row>
    <row r="1865" spans="1:18">
      <c r="A1865" s="79">
        <v>800009</v>
      </c>
      <c r="B1865" s="121">
        <v>8000091</v>
      </c>
      <c r="C1865" s="79" t="s">
        <v>3724</v>
      </c>
      <c r="D1865" s="121">
        <f t="shared" si="145"/>
        <v>8000092</v>
      </c>
      <c r="E1865" s="79" t="s">
        <v>3724</v>
      </c>
      <c r="F1865" s="79">
        <v>9</v>
      </c>
      <c r="G1865" s="79">
        <v>0</v>
      </c>
      <c r="H1865" s="79" t="s">
        <v>3725</v>
      </c>
      <c r="I1865" s="79"/>
      <c r="J1865" s="79"/>
      <c r="K1865" s="79">
        <v>2</v>
      </c>
      <c r="L1865" s="79">
        <v>0</v>
      </c>
      <c r="M1865" s="127"/>
      <c r="N1865" s="79">
        <v>0</v>
      </c>
      <c r="O1865" s="79">
        <v>0</v>
      </c>
      <c r="P1865" s="107"/>
      <c r="R1865" s="148"/>
    </row>
    <row r="1866" spans="1:18">
      <c r="A1866" s="79">
        <v>800010</v>
      </c>
      <c r="B1866" s="121">
        <v>8000101</v>
      </c>
      <c r="C1866" s="79" t="s">
        <v>3726</v>
      </c>
      <c r="D1866" s="121">
        <f t="shared" si="145"/>
        <v>8000102</v>
      </c>
      <c r="E1866" s="79" t="s">
        <v>3726</v>
      </c>
      <c r="F1866" s="79">
        <v>9</v>
      </c>
      <c r="G1866" s="79">
        <v>0</v>
      </c>
      <c r="H1866" s="79" t="s">
        <v>3725</v>
      </c>
      <c r="I1866" s="79"/>
      <c r="J1866" s="79"/>
      <c r="K1866" s="79">
        <v>2</v>
      </c>
      <c r="L1866" s="79">
        <v>0</v>
      </c>
      <c r="M1866" s="127"/>
      <c r="N1866" s="79">
        <v>0</v>
      </c>
      <c r="O1866" s="79">
        <v>0</v>
      </c>
      <c r="P1866" s="107">
        <v>1</v>
      </c>
      <c r="R1866" s="148"/>
    </row>
    <row r="1867" spans="1:18">
      <c r="A1867" s="79">
        <v>800011</v>
      </c>
      <c r="B1867" s="121">
        <v>8000111</v>
      </c>
      <c r="C1867" s="79" t="s">
        <v>3727</v>
      </c>
      <c r="D1867" s="121">
        <f t="shared" si="145"/>
        <v>8000112</v>
      </c>
      <c r="E1867" s="79" t="s">
        <v>3727</v>
      </c>
      <c r="F1867" s="79">
        <v>9</v>
      </c>
      <c r="G1867" s="79">
        <v>0</v>
      </c>
      <c r="H1867" s="79" t="s">
        <v>3725</v>
      </c>
      <c r="I1867" s="79"/>
      <c r="J1867" s="79"/>
      <c r="K1867" s="79">
        <v>2</v>
      </c>
      <c r="L1867" s="79">
        <v>0</v>
      </c>
      <c r="M1867" s="127"/>
      <c r="N1867" s="79">
        <v>0</v>
      </c>
      <c r="O1867" s="79">
        <v>0</v>
      </c>
      <c r="P1867" s="107"/>
      <c r="R1867" s="148"/>
    </row>
    <row r="1868" spans="1:18">
      <c r="A1868" s="79">
        <v>800012</v>
      </c>
      <c r="B1868" s="121">
        <v>8000121</v>
      </c>
      <c r="C1868" s="79" t="s">
        <v>3728</v>
      </c>
      <c r="D1868" s="121">
        <v>8000122</v>
      </c>
      <c r="E1868" s="79" t="s">
        <v>3729</v>
      </c>
      <c r="F1868" s="79">
        <v>9</v>
      </c>
      <c r="G1868" s="79">
        <v>0</v>
      </c>
      <c r="H1868" s="79" t="s">
        <v>3730</v>
      </c>
      <c r="I1868" s="79"/>
      <c r="J1868" s="79"/>
      <c r="K1868" s="79">
        <v>2</v>
      </c>
      <c r="L1868" s="79">
        <v>0</v>
      </c>
      <c r="M1868" s="127"/>
      <c r="N1868" s="79">
        <v>0</v>
      </c>
      <c r="O1868" s="79">
        <v>0</v>
      </c>
      <c r="P1868" s="107">
        <v>1</v>
      </c>
      <c r="R1868" s="148"/>
    </row>
    <row r="1869" spans="1:18">
      <c r="A1869" s="79">
        <v>800013</v>
      </c>
      <c r="B1869" s="121">
        <v>8000131</v>
      </c>
      <c r="C1869" s="79" t="s">
        <v>3731</v>
      </c>
      <c r="D1869" s="121">
        <f t="shared" ref="D1869:D1911" si="147">A1869*10+2</f>
        <v>8000132</v>
      </c>
      <c r="E1869" s="79" t="s">
        <v>3731</v>
      </c>
      <c r="F1869" s="79">
        <v>9</v>
      </c>
      <c r="G1869" s="79">
        <v>0</v>
      </c>
      <c r="H1869" s="79" t="s">
        <v>3732</v>
      </c>
      <c r="I1869" s="79"/>
      <c r="J1869" s="79"/>
      <c r="K1869" s="79">
        <v>4</v>
      </c>
      <c r="L1869" s="79">
        <v>0</v>
      </c>
      <c r="M1869" s="127"/>
      <c r="N1869" s="79">
        <v>0</v>
      </c>
      <c r="O1869" s="79">
        <v>0</v>
      </c>
      <c r="P1869" s="107"/>
      <c r="R1869" s="148"/>
    </row>
    <row r="1870" spans="1:18">
      <c r="A1870" s="79">
        <v>800014</v>
      </c>
      <c r="B1870" s="121">
        <v>8000141</v>
      </c>
      <c r="C1870" s="79" t="s">
        <v>3733</v>
      </c>
      <c r="D1870" s="121">
        <f t="shared" si="147"/>
        <v>8000142</v>
      </c>
      <c r="E1870" s="79" t="s">
        <v>3733</v>
      </c>
      <c r="F1870" s="79">
        <v>9</v>
      </c>
      <c r="G1870" s="79">
        <v>0</v>
      </c>
      <c r="H1870" s="79" t="s">
        <v>3734</v>
      </c>
      <c r="I1870" s="79"/>
      <c r="J1870" s="79"/>
      <c r="K1870" s="79">
        <v>4</v>
      </c>
      <c r="L1870" s="79">
        <v>0</v>
      </c>
      <c r="M1870" s="127"/>
      <c r="N1870" s="79">
        <v>0</v>
      </c>
      <c r="O1870" s="79">
        <v>0</v>
      </c>
      <c r="P1870" s="107"/>
      <c r="R1870" s="148"/>
    </row>
    <row r="1871" spans="1:18">
      <c r="A1871" s="79">
        <v>800015</v>
      </c>
      <c r="B1871" s="121">
        <f t="shared" ref="B1871:B1882" si="148">A1871*10+1</f>
        <v>8000151</v>
      </c>
      <c r="C1871" s="79" t="s">
        <v>3735</v>
      </c>
      <c r="D1871" s="121">
        <f t="shared" si="147"/>
        <v>8000152</v>
      </c>
      <c r="E1871" s="79" t="s">
        <v>3736</v>
      </c>
      <c r="F1871" s="79">
        <v>9</v>
      </c>
      <c r="G1871" s="79">
        <v>0</v>
      </c>
      <c r="H1871" s="79" t="s">
        <v>3737</v>
      </c>
      <c r="I1871" s="79"/>
      <c r="J1871" s="79"/>
      <c r="K1871" s="79">
        <v>4</v>
      </c>
      <c r="L1871" s="79">
        <v>0</v>
      </c>
      <c r="M1871" s="127"/>
      <c r="N1871" s="79">
        <v>0</v>
      </c>
      <c r="O1871" s="79">
        <v>0</v>
      </c>
      <c r="P1871" s="107">
        <v>1</v>
      </c>
      <c r="R1871" s="148"/>
    </row>
    <row r="1872" spans="1:18">
      <c r="A1872" s="79">
        <v>800016</v>
      </c>
      <c r="B1872" s="121">
        <f t="shared" si="148"/>
        <v>8000161</v>
      </c>
      <c r="C1872" s="79" t="s">
        <v>3738</v>
      </c>
      <c r="D1872" s="121">
        <f t="shared" si="147"/>
        <v>8000162</v>
      </c>
      <c r="E1872" s="79" t="s">
        <v>3739</v>
      </c>
      <c r="F1872" s="79">
        <v>9</v>
      </c>
      <c r="G1872" s="79">
        <v>0</v>
      </c>
      <c r="H1872" s="79" t="s">
        <v>3740</v>
      </c>
      <c r="I1872" s="79"/>
      <c r="J1872" s="79"/>
      <c r="K1872" s="79">
        <v>4</v>
      </c>
      <c r="L1872" s="79">
        <v>0</v>
      </c>
      <c r="M1872" s="127"/>
      <c r="N1872" s="79">
        <v>0</v>
      </c>
      <c r="O1872" s="79">
        <v>0</v>
      </c>
      <c r="P1872" s="107"/>
      <c r="R1872" s="148"/>
    </row>
    <row r="1873" spans="1:18">
      <c r="A1873" s="79">
        <v>800017</v>
      </c>
      <c r="B1873" s="121">
        <f t="shared" si="148"/>
        <v>8000171</v>
      </c>
      <c r="C1873" s="79" t="s">
        <v>3741</v>
      </c>
      <c r="D1873" s="121">
        <f t="shared" si="147"/>
        <v>8000172</v>
      </c>
      <c r="E1873" s="79" t="s">
        <v>3742</v>
      </c>
      <c r="F1873" s="79">
        <v>9</v>
      </c>
      <c r="G1873" s="79">
        <v>0</v>
      </c>
      <c r="H1873" s="79" t="s">
        <v>3743</v>
      </c>
      <c r="I1873" s="79"/>
      <c r="J1873" s="79"/>
      <c r="K1873" s="79">
        <v>4</v>
      </c>
      <c r="L1873" s="79">
        <v>0</v>
      </c>
      <c r="M1873" s="127"/>
      <c r="N1873" s="79">
        <v>0</v>
      </c>
      <c r="O1873" s="79">
        <v>0</v>
      </c>
      <c r="P1873" s="107"/>
      <c r="R1873" s="148"/>
    </row>
    <row r="1874" spans="1:18">
      <c r="A1874" s="79">
        <v>800018</v>
      </c>
      <c r="B1874" s="121">
        <f t="shared" si="148"/>
        <v>8000181</v>
      </c>
      <c r="C1874" s="79" t="s">
        <v>3744</v>
      </c>
      <c r="D1874" s="121">
        <f t="shared" si="147"/>
        <v>8000182</v>
      </c>
      <c r="E1874" s="79" t="s">
        <v>3745</v>
      </c>
      <c r="F1874" s="79">
        <v>9</v>
      </c>
      <c r="G1874" s="79">
        <v>0</v>
      </c>
      <c r="H1874" s="79" t="str">
        <f t="shared" ref="H1874:H1913" si="149">"icon_"&amp;A1874</f>
        <v>icon_800018</v>
      </c>
      <c r="I1874" s="79"/>
      <c r="J1874" s="79"/>
      <c r="K1874" s="79">
        <v>4</v>
      </c>
      <c r="L1874" s="79">
        <v>0</v>
      </c>
      <c r="M1874" s="127"/>
      <c r="N1874" s="79">
        <v>0</v>
      </c>
      <c r="O1874" s="79">
        <v>0</v>
      </c>
      <c r="P1874" s="107"/>
      <c r="R1874" s="148"/>
    </row>
    <row r="1875" spans="1:18">
      <c r="A1875" s="79">
        <v>800019</v>
      </c>
      <c r="B1875" s="121">
        <f t="shared" si="148"/>
        <v>8000191</v>
      </c>
      <c r="C1875" s="79" t="s">
        <v>3746</v>
      </c>
      <c r="D1875" s="121">
        <f t="shared" si="147"/>
        <v>8000192</v>
      </c>
      <c r="E1875" s="79" t="s">
        <v>3747</v>
      </c>
      <c r="F1875" s="79">
        <v>9</v>
      </c>
      <c r="G1875" s="79">
        <v>0</v>
      </c>
      <c r="H1875" s="79" t="str">
        <f t="shared" si="149"/>
        <v>icon_800019</v>
      </c>
      <c r="I1875" s="79"/>
      <c r="J1875" s="79"/>
      <c r="K1875" s="79">
        <v>4</v>
      </c>
      <c r="L1875" s="79">
        <v>0</v>
      </c>
      <c r="M1875" s="127"/>
      <c r="N1875" s="79">
        <v>0</v>
      </c>
      <c r="O1875" s="79">
        <v>0</v>
      </c>
      <c r="P1875" s="107"/>
      <c r="R1875" s="148"/>
    </row>
    <row r="1876" spans="1:18">
      <c r="A1876" s="79">
        <v>800020</v>
      </c>
      <c r="B1876" s="121">
        <f t="shared" si="148"/>
        <v>8000201</v>
      </c>
      <c r="C1876" s="79" t="s">
        <v>3748</v>
      </c>
      <c r="D1876" s="121">
        <f t="shared" si="147"/>
        <v>8000202</v>
      </c>
      <c r="E1876" s="79" t="s">
        <v>3749</v>
      </c>
      <c r="F1876" s="79">
        <v>9</v>
      </c>
      <c r="G1876" s="79">
        <v>0</v>
      </c>
      <c r="H1876" s="79" t="str">
        <f t="shared" si="149"/>
        <v>icon_800020</v>
      </c>
      <c r="I1876" s="79"/>
      <c r="J1876" s="79"/>
      <c r="K1876" s="79">
        <v>4</v>
      </c>
      <c r="L1876" s="79">
        <v>0</v>
      </c>
      <c r="M1876" s="127"/>
      <c r="N1876" s="79">
        <v>0</v>
      </c>
      <c r="O1876" s="79">
        <v>0</v>
      </c>
      <c r="P1876" s="107"/>
      <c r="R1876" s="148"/>
    </row>
    <row r="1877" spans="1:18">
      <c r="A1877" s="79">
        <v>800021</v>
      </c>
      <c r="B1877" s="121">
        <f t="shared" si="148"/>
        <v>8000211</v>
      </c>
      <c r="C1877" s="79" t="s">
        <v>3750</v>
      </c>
      <c r="D1877" s="121">
        <f t="shared" si="147"/>
        <v>8000212</v>
      </c>
      <c r="E1877" s="79" t="s">
        <v>3751</v>
      </c>
      <c r="F1877" s="79">
        <v>9</v>
      </c>
      <c r="G1877" s="79">
        <v>0</v>
      </c>
      <c r="H1877" s="79" t="str">
        <f t="shared" si="149"/>
        <v>icon_800021</v>
      </c>
      <c r="I1877" s="79"/>
      <c r="J1877" s="79"/>
      <c r="K1877" s="79">
        <v>4</v>
      </c>
      <c r="L1877" s="79">
        <v>0</v>
      </c>
      <c r="M1877" s="127"/>
      <c r="N1877" s="79">
        <v>0</v>
      </c>
      <c r="O1877" s="79">
        <v>0</v>
      </c>
      <c r="P1877" s="107"/>
      <c r="R1877" s="148"/>
    </row>
    <row r="1878" spans="1:18">
      <c r="A1878" s="79">
        <v>800022</v>
      </c>
      <c r="B1878" s="121">
        <f t="shared" si="148"/>
        <v>8000221</v>
      </c>
      <c r="C1878" s="79" t="s">
        <v>3752</v>
      </c>
      <c r="D1878" s="121">
        <f t="shared" si="147"/>
        <v>8000222</v>
      </c>
      <c r="E1878" s="79" t="s">
        <v>3753</v>
      </c>
      <c r="F1878" s="79">
        <v>9</v>
      </c>
      <c r="G1878" s="79">
        <v>0</v>
      </c>
      <c r="H1878" s="79" t="str">
        <f t="shared" si="149"/>
        <v>icon_800022</v>
      </c>
      <c r="I1878" s="79"/>
      <c r="J1878" s="79"/>
      <c r="K1878" s="79">
        <v>4</v>
      </c>
      <c r="L1878" s="79">
        <v>0</v>
      </c>
      <c r="M1878" s="127"/>
      <c r="N1878" s="79">
        <v>0</v>
      </c>
      <c r="O1878" s="79">
        <v>0</v>
      </c>
      <c r="P1878" s="107"/>
      <c r="R1878" s="148"/>
    </row>
    <row r="1879" spans="1:18">
      <c r="A1879" s="79">
        <v>800023</v>
      </c>
      <c r="B1879" s="121">
        <f t="shared" si="148"/>
        <v>8000231</v>
      </c>
      <c r="C1879" s="79" t="s">
        <v>3754</v>
      </c>
      <c r="D1879" s="121">
        <f t="shared" si="147"/>
        <v>8000232</v>
      </c>
      <c r="E1879" s="79" t="s">
        <v>3755</v>
      </c>
      <c r="F1879" s="79">
        <v>9</v>
      </c>
      <c r="G1879" s="79">
        <v>0</v>
      </c>
      <c r="H1879" s="79" t="str">
        <f t="shared" si="149"/>
        <v>icon_800023</v>
      </c>
      <c r="I1879" s="79"/>
      <c r="J1879" s="79"/>
      <c r="K1879" s="79">
        <v>4</v>
      </c>
      <c r="L1879" s="79">
        <v>0</v>
      </c>
      <c r="M1879" s="127"/>
      <c r="N1879" s="79">
        <v>0</v>
      </c>
      <c r="O1879" s="79">
        <v>0</v>
      </c>
      <c r="P1879" s="107"/>
      <c r="R1879" s="148"/>
    </row>
    <row r="1880" spans="1:18">
      <c r="A1880" s="93">
        <v>800024</v>
      </c>
      <c r="B1880" s="141">
        <f t="shared" si="148"/>
        <v>8000241</v>
      </c>
      <c r="C1880" s="93" t="s">
        <v>3756</v>
      </c>
      <c r="D1880" s="141">
        <f t="shared" si="147"/>
        <v>8000242</v>
      </c>
      <c r="E1880" s="93" t="s">
        <v>3757</v>
      </c>
      <c r="F1880" s="93">
        <v>9</v>
      </c>
      <c r="G1880" s="93">
        <v>0</v>
      </c>
      <c r="H1880" s="93" t="str">
        <f t="shared" si="149"/>
        <v>icon_800024</v>
      </c>
      <c r="K1880" s="93">
        <v>4</v>
      </c>
      <c r="L1880" s="93">
        <v>0</v>
      </c>
      <c r="N1880" s="93">
        <v>0</v>
      </c>
      <c r="O1880" s="93">
        <v>0</v>
      </c>
      <c r="P1880" s="98"/>
      <c r="R1880" s="149"/>
    </row>
    <row r="1881" spans="1:18">
      <c r="A1881" s="93">
        <v>800025</v>
      </c>
      <c r="B1881" s="141">
        <f t="shared" si="148"/>
        <v>8000251</v>
      </c>
      <c r="C1881" s="93" t="s">
        <v>3758</v>
      </c>
      <c r="D1881" s="141">
        <f t="shared" si="147"/>
        <v>8000252</v>
      </c>
      <c r="E1881" s="93" t="s">
        <v>3759</v>
      </c>
      <c r="F1881" s="93">
        <v>9</v>
      </c>
      <c r="G1881" s="93">
        <v>0</v>
      </c>
      <c r="H1881" s="93" t="str">
        <f t="shared" si="149"/>
        <v>icon_800025</v>
      </c>
      <c r="K1881" s="93">
        <v>4</v>
      </c>
      <c r="L1881" s="93">
        <v>0</v>
      </c>
      <c r="N1881" s="93">
        <v>0</v>
      </c>
      <c r="O1881" s="93">
        <v>0</v>
      </c>
      <c r="P1881" s="98"/>
      <c r="R1881" s="149"/>
    </row>
    <row r="1882" spans="1:18" s="175" customFormat="1">
      <c r="A1882" s="175">
        <v>800026</v>
      </c>
      <c r="B1882" s="181">
        <f t="shared" si="148"/>
        <v>8000261</v>
      </c>
      <c r="C1882" s="175" t="s">
        <v>3760</v>
      </c>
      <c r="D1882" s="181">
        <f t="shared" si="147"/>
        <v>8000262</v>
      </c>
      <c r="F1882" s="175">
        <v>9</v>
      </c>
      <c r="G1882" s="175">
        <v>0</v>
      </c>
      <c r="H1882" s="175" t="str">
        <f t="shared" si="149"/>
        <v>icon_800026</v>
      </c>
      <c r="K1882" s="175">
        <v>4</v>
      </c>
      <c r="L1882" s="175">
        <v>0</v>
      </c>
      <c r="M1882" s="179"/>
      <c r="N1882" s="175">
        <v>0</v>
      </c>
      <c r="O1882" s="175">
        <v>0</v>
      </c>
      <c r="R1882" s="186"/>
    </row>
    <row r="1883" spans="1:18" s="79" customFormat="1">
      <c r="A1883" s="79">
        <v>800027</v>
      </c>
      <c r="B1883" s="121">
        <v>8000271</v>
      </c>
      <c r="C1883" s="79" t="s">
        <v>1326</v>
      </c>
      <c r="D1883" s="121">
        <v>8000272</v>
      </c>
      <c r="F1883" s="79">
        <v>9</v>
      </c>
      <c r="G1883" s="79">
        <v>0</v>
      </c>
      <c r="H1883" s="79" t="s">
        <v>3761</v>
      </c>
      <c r="K1883" s="79">
        <v>5</v>
      </c>
      <c r="L1883" s="79">
        <v>0</v>
      </c>
      <c r="M1883" s="127"/>
      <c r="N1883" s="79">
        <v>0</v>
      </c>
      <c r="O1883" s="79">
        <v>0</v>
      </c>
      <c r="P1883" s="107"/>
      <c r="R1883" s="148"/>
    </row>
    <row r="1884" spans="1:18" s="79" customFormat="1">
      <c r="A1884" s="79">
        <v>800028</v>
      </c>
      <c r="B1884" s="121">
        <v>8000281</v>
      </c>
      <c r="C1884" s="79" t="s">
        <v>1328</v>
      </c>
      <c r="D1884" s="121">
        <v>8000282</v>
      </c>
      <c r="F1884" s="79">
        <v>9</v>
      </c>
      <c r="G1884" s="79">
        <v>0</v>
      </c>
      <c r="H1884" s="79" t="s">
        <v>3762</v>
      </c>
      <c r="K1884" s="79">
        <v>5</v>
      </c>
      <c r="L1884" s="79">
        <v>0</v>
      </c>
      <c r="M1884" s="127"/>
      <c r="N1884" s="79">
        <v>0</v>
      </c>
      <c r="O1884" s="79">
        <v>0</v>
      </c>
      <c r="P1884" s="107"/>
      <c r="R1884" s="148"/>
    </row>
    <row r="1885" spans="1:18" s="79" customFormat="1">
      <c r="A1885" s="79">
        <v>800029</v>
      </c>
      <c r="B1885" s="121">
        <v>8000291</v>
      </c>
      <c r="C1885" s="79" t="s">
        <v>3763</v>
      </c>
      <c r="D1885" s="121">
        <v>8000292</v>
      </c>
      <c r="E1885" s="79" t="s">
        <v>3764</v>
      </c>
      <c r="F1885" s="79">
        <v>9</v>
      </c>
      <c r="G1885" s="79">
        <v>0</v>
      </c>
      <c r="H1885" s="79" t="s">
        <v>3765</v>
      </c>
      <c r="K1885" s="79">
        <v>5</v>
      </c>
      <c r="L1885" s="79">
        <v>0</v>
      </c>
      <c r="M1885" s="127"/>
      <c r="N1885" s="79">
        <v>0</v>
      </c>
      <c r="O1885" s="79">
        <v>0</v>
      </c>
      <c r="P1885" s="107"/>
      <c r="R1885" s="148"/>
    </row>
    <row r="1886" spans="1:18" s="79" customFormat="1">
      <c r="A1886" s="79">
        <v>800030</v>
      </c>
      <c r="B1886" s="121">
        <v>8000301</v>
      </c>
      <c r="C1886" s="79" t="s">
        <v>1334</v>
      </c>
      <c r="D1886" s="121">
        <v>8000302</v>
      </c>
      <c r="E1886" s="79" t="s">
        <v>3764</v>
      </c>
      <c r="F1886" s="79">
        <v>9</v>
      </c>
      <c r="G1886" s="79">
        <v>0</v>
      </c>
      <c r="H1886" s="79" t="s">
        <v>3766</v>
      </c>
      <c r="K1886" s="79">
        <v>5</v>
      </c>
      <c r="L1886" s="79">
        <v>0</v>
      </c>
      <c r="M1886" s="127"/>
      <c r="N1886" s="79">
        <v>0</v>
      </c>
      <c r="O1886" s="79">
        <v>0</v>
      </c>
      <c r="P1886" s="107"/>
      <c r="R1886" s="148"/>
    </row>
    <row r="1887" spans="1:18" s="79" customFormat="1">
      <c r="A1887" s="79">
        <v>800031</v>
      </c>
      <c r="B1887" s="121">
        <v>8000311</v>
      </c>
      <c r="C1887" s="79" t="s">
        <v>1336</v>
      </c>
      <c r="D1887" s="121">
        <v>8000312</v>
      </c>
      <c r="E1887" s="79" t="s">
        <v>3767</v>
      </c>
      <c r="F1887" s="79">
        <v>9</v>
      </c>
      <c r="G1887" s="79">
        <v>0</v>
      </c>
      <c r="H1887" s="79" t="s">
        <v>3768</v>
      </c>
      <c r="K1887" s="79">
        <v>5</v>
      </c>
      <c r="L1887" s="79">
        <v>0</v>
      </c>
      <c r="M1887" s="127"/>
      <c r="N1887" s="79">
        <v>0</v>
      </c>
      <c r="O1887" s="79">
        <v>0</v>
      </c>
      <c r="P1887" s="107"/>
      <c r="R1887" s="148"/>
    </row>
    <row r="1888" spans="1:18" s="79" customFormat="1">
      <c r="A1888" s="79">
        <v>800032</v>
      </c>
      <c r="B1888" s="121">
        <v>8000321</v>
      </c>
      <c r="C1888" s="79" t="s">
        <v>5542</v>
      </c>
      <c r="D1888" s="121">
        <v>8000322</v>
      </c>
      <c r="E1888" s="79" t="s">
        <v>5537</v>
      </c>
      <c r="F1888" s="79">
        <v>9</v>
      </c>
      <c r="G1888" s="79">
        <v>0</v>
      </c>
      <c r="H1888" s="79" t="s">
        <v>3769</v>
      </c>
      <c r="K1888" s="79">
        <v>5</v>
      </c>
      <c r="L1888" s="79">
        <v>0</v>
      </c>
      <c r="M1888" s="127"/>
      <c r="N1888" s="79">
        <v>0</v>
      </c>
      <c r="O1888" s="79">
        <v>0</v>
      </c>
      <c r="P1888" s="107"/>
      <c r="R1888" s="148"/>
    </row>
    <row r="1889" spans="1:18" s="79" customFormat="1">
      <c r="A1889" s="79">
        <v>800033</v>
      </c>
      <c r="B1889" s="121">
        <v>8000331</v>
      </c>
      <c r="C1889" s="79" t="s">
        <v>5542</v>
      </c>
      <c r="D1889" s="121">
        <v>8000332</v>
      </c>
      <c r="E1889" s="79" t="s">
        <v>5538</v>
      </c>
      <c r="F1889" s="79">
        <v>9</v>
      </c>
      <c r="G1889" s="79">
        <v>0</v>
      </c>
      <c r="H1889" s="79" t="s">
        <v>3770</v>
      </c>
      <c r="K1889" s="79">
        <v>5</v>
      </c>
      <c r="L1889" s="79">
        <v>0</v>
      </c>
      <c r="M1889" s="127"/>
      <c r="N1889" s="79">
        <v>0</v>
      </c>
      <c r="O1889" s="79">
        <v>0</v>
      </c>
      <c r="P1889" s="107"/>
      <c r="R1889" s="148"/>
    </row>
    <row r="1890" spans="1:18" s="79" customFormat="1">
      <c r="A1890" s="79">
        <v>800034</v>
      </c>
      <c r="B1890" s="121">
        <v>8000341</v>
      </c>
      <c r="C1890" s="79" t="s">
        <v>5638</v>
      </c>
      <c r="D1890" s="121">
        <v>8000342</v>
      </c>
      <c r="E1890" s="79" t="s">
        <v>5646</v>
      </c>
      <c r="F1890" s="79">
        <v>9</v>
      </c>
      <c r="G1890" s="79">
        <v>0</v>
      </c>
      <c r="H1890" s="79" t="s">
        <v>5648</v>
      </c>
      <c r="K1890" s="79">
        <v>5</v>
      </c>
      <c r="L1890" s="79">
        <v>0</v>
      </c>
      <c r="M1890" s="127"/>
      <c r="N1890" s="79">
        <v>0</v>
      </c>
      <c r="O1890" s="79">
        <v>0</v>
      </c>
      <c r="P1890" s="107"/>
      <c r="R1890" s="148"/>
    </row>
    <row r="1891" spans="1:18" s="79" customFormat="1">
      <c r="A1891" s="79">
        <v>800035</v>
      </c>
      <c r="B1891" s="121">
        <v>8000351</v>
      </c>
      <c r="C1891" s="79" t="s">
        <v>5638</v>
      </c>
      <c r="D1891" s="121">
        <v>8000352</v>
      </c>
      <c r="E1891" s="79" t="s">
        <v>5647</v>
      </c>
      <c r="F1891" s="79">
        <v>9</v>
      </c>
      <c r="G1891" s="79">
        <v>0</v>
      </c>
      <c r="H1891" s="79" t="s">
        <v>5649</v>
      </c>
      <c r="K1891" s="79">
        <v>5</v>
      </c>
      <c r="L1891" s="79">
        <v>0</v>
      </c>
      <c r="M1891" s="127"/>
      <c r="N1891" s="79">
        <v>0</v>
      </c>
      <c r="O1891" s="79">
        <v>0</v>
      </c>
      <c r="P1891" s="107"/>
      <c r="R1891" s="148"/>
    </row>
    <row r="1892" spans="1:18" s="79" customFormat="1">
      <c r="A1892" s="79">
        <v>810001</v>
      </c>
      <c r="B1892" s="121">
        <v>8100011</v>
      </c>
      <c r="C1892" s="79" t="s">
        <v>3771</v>
      </c>
      <c r="D1892" s="121">
        <f t="shared" si="147"/>
        <v>8100012</v>
      </c>
      <c r="E1892" s="79" t="s">
        <v>3771</v>
      </c>
      <c r="F1892" s="79">
        <v>10</v>
      </c>
      <c r="G1892" s="79">
        <v>0</v>
      </c>
      <c r="H1892" s="79" t="str">
        <f t="shared" si="149"/>
        <v>icon_810001</v>
      </c>
      <c r="K1892" s="79">
        <v>2</v>
      </c>
      <c r="L1892" s="79">
        <v>0</v>
      </c>
      <c r="M1892" s="127"/>
      <c r="N1892" s="79">
        <v>0</v>
      </c>
      <c r="O1892" s="79">
        <v>0</v>
      </c>
      <c r="P1892" s="107">
        <v>1</v>
      </c>
      <c r="R1892" s="148"/>
    </row>
    <row r="1893" spans="1:18">
      <c r="A1893" s="79">
        <v>810002</v>
      </c>
      <c r="B1893" s="121">
        <v>8100021</v>
      </c>
      <c r="C1893" s="79" t="s">
        <v>3772</v>
      </c>
      <c r="D1893" s="121">
        <f t="shared" si="147"/>
        <v>8100022</v>
      </c>
      <c r="E1893" s="79" t="s">
        <v>3773</v>
      </c>
      <c r="F1893" s="79">
        <v>10</v>
      </c>
      <c r="G1893" s="79">
        <v>0</v>
      </c>
      <c r="H1893" s="79" t="str">
        <f t="shared" si="149"/>
        <v>icon_810002</v>
      </c>
      <c r="I1893" s="79"/>
      <c r="J1893" s="79"/>
      <c r="K1893" s="79">
        <v>2</v>
      </c>
      <c r="L1893" s="93">
        <v>0</v>
      </c>
      <c r="N1893" s="93">
        <v>0</v>
      </c>
      <c r="O1893" s="79">
        <v>0</v>
      </c>
      <c r="P1893" s="107">
        <v>1</v>
      </c>
      <c r="R1893" s="148"/>
    </row>
    <row r="1894" spans="1:18">
      <c r="A1894" s="79">
        <v>810003</v>
      </c>
      <c r="B1894" s="121">
        <v>8100031</v>
      </c>
      <c r="C1894" s="79" t="s">
        <v>3774</v>
      </c>
      <c r="D1894" s="121">
        <f t="shared" si="147"/>
        <v>8100032</v>
      </c>
      <c r="E1894" s="79" t="s">
        <v>3774</v>
      </c>
      <c r="F1894" s="79">
        <v>10</v>
      </c>
      <c r="G1894" s="79">
        <v>0</v>
      </c>
      <c r="H1894" s="79" t="str">
        <f t="shared" si="149"/>
        <v>icon_810003</v>
      </c>
      <c r="I1894" s="79"/>
      <c r="J1894" s="79"/>
      <c r="K1894" s="79">
        <v>2</v>
      </c>
      <c r="L1894" s="79">
        <v>0</v>
      </c>
      <c r="M1894" s="127"/>
      <c r="N1894" s="79">
        <v>0</v>
      </c>
      <c r="O1894" s="79">
        <v>0</v>
      </c>
      <c r="P1894" s="107">
        <v>1</v>
      </c>
      <c r="R1894" s="148"/>
    </row>
    <row r="1895" spans="1:18">
      <c r="A1895" s="98">
        <v>810004</v>
      </c>
      <c r="B1895" s="121">
        <v>8100041</v>
      </c>
      <c r="C1895" s="79" t="s">
        <v>3775</v>
      </c>
      <c r="D1895" s="121">
        <f t="shared" si="147"/>
        <v>8100042</v>
      </c>
      <c r="E1895" s="79" t="s">
        <v>3775</v>
      </c>
      <c r="F1895" s="79">
        <v>10</v>
      </c>
      <c r="G1895" s="79">
        <v>0</v>
      </c>
      <c r="H1895" s="79" t="str">
        <f t="shared" si="149"/>
        <v>icon_810004</v>
      </c>
      <c r="I1895" s="79"/>
      <c r="J1895" s="79"/>
      <c r="K1895" s="79">
        <v>2</v>
      </c>
      <c r="L1895" s="79">
        <v>0</v>
      </c>
      <c r="M1895" s="127"/>
      <c r="N1895" s="79">
        <v>0</v>
      </c>
      <c r="O1895" s="79">
        <v>0</v>
      </c>
      <c r="P1895" s="107">
        <v>1</v>
      </c>
      <c r="R1895" s="148"/>
    </row>
    <row r="1896" spans="1:18">
      <c r="A1896" s="98">
        <v>810005</v>
      </c>
      <c r="B1896" s="121">
        <v>8100051</v>
      </c>
      <c r="C1896" s="79" t="s">
        <v>3776</v>
      </c>
      <c r="D1896" s="121">
        <f t="shared" si="147"/>
        <v>8100052</v>
      </c>
      <c r="E1896" s="79" t="s">
        <v>3776</v>
      </c>
      <c r="F1896" s="79">
        <v>10</v>
      </c>
      <c r="G1896" s="79">
        <v>0</v>
      </c>
      <c r="H1896" s="79" t="str">
        <f t="shared" si="149"/>
        <v>icon_810005</v>
      </c>
      <c r="I1896" s="79"/>
      <c r="J1896" s="79"/>
      <c r="K1896" s="79">
        <v>3</v>
      </c>
      <c r="L1896" s="79">
        <v>0</v>
      </c>
      <c r="M1896" s="127"/>
      <c r="N1896" s="79">
        <v>0</v>
      </c>
      <c r="O1896" s="79">
        <v>0</v>
      </c>
      <c r="P1896" s="107">
        <v>1</v>
      </c>
      <c r="R1896" s="148"/>
    </row>
    <row r="1897" spans="1:18">
      <c r="A1897" s="98">
        <v>810006</v>
      </c>
      <c r="B1897" s="121">
        <v>8100061</v>
      </c>
      <c r="C1897" s="79" t="s">
        <v>3777</v>
      </c>
      <c r="D1897" s="121">
        <f t="shared" si="147"/>
        <v>8100062</v>
      </c>
      <c r="E1897" s="79" t="s">
        <v>3777</v>
      </c>
      <c r="F1897" s="79">
        <v>10</v>
      </c>
      <c r="G1897" s="79">
        <v>0</v>
      </c>
      <c r="H1897" s="79" t="str">
        <f t="shared" si="149"/>
        <v>icon_810006</v>
      </c>
      <c r="I1897" s="79"/>
      <c r="J1897" s="79"/>
      <c r="K1897" s="79">
        <v>3</v>
      </c>
      <c r="L1897" s="79">
        <v>0</v>
      </c>
      <c r="M1897" s="127"/>
      <c r="N1897" s="79">
        <v>0</v>
      </c>
      <c r="O1897" s="79">
        <v>0</v>
      </c>
      <c r="P1897" s="107">
        <v>1</v>
      </c>
      <c r="R1897" s="148"/>
    </row>
    <row r="1898" spans="1:18">
      <c r="A1898" s="98">
        <v>810007</v>
      </c>
      <c r="B1898" s="121">
        <v>8100071</v>
      </c>
      <c r="C1898" s="79" t="s">
        <v>3778</v>
      </c>
      <c r="D1898" s="121">
        <f t="shared" si="147"/>
        <v>8100072</v>
      </c>
      <c r="E1898" s="79" t="s">
        <v>3778</v>
      </c>
      <c r="F1898" s="79">
        <v>10</v>
      </c>
      <c r="G1898" s="79">
        <v>0</v>
      </c>
      <c r="H1898" s="79" t="str">
        <f t="shared" si="149"/>
        <v>icon_810007</v>
      </c>
      <c r="I1898" s="79"/>
      <c r="J1898" s="79"/>
      <c r="K1898" s="79">
        <v>4</v>
      </c>
      <c r="L1898" s="79">
        <v>0</v>
      </c>
      <c r="M1898" s="127"/>
      <c r="N1898" s="79">
        <v>0</v>
      </c>
      <c r="O1898" s="79">
        <v>0</v>
      </c>
      <c r="P1898" s="107">
        <v>1</v>
      </c>
      <c r="R1898" s="148"/>
    </row>
    <row r="1899" spans="1:18">
      <c r="A1899" s="98">
        <v>810008</v>
      </c>
      <c r="B1899" s="121">
        <v>8100081</v>
      </c>
      <c r="C1899" s="79" t="s">
        <v>3779</v>
      </c>
      <c r="D1899" s="121">
        <f t="shared" si="147"/>
        <v>8100082</v>
      </c>
      <c r="E1899" s="79" t="s">
        <v>3779</v>
      </c>
      <c r="F1899" s="79">
        <v>10</v>
      </c>
      <c r="G1899" s="79">
        <v>0</v>
      </c>
      <c r="H1899" s="79" t="str">
        <f t="shared" si="149"/>
        <v>icon_810008</v>
      </c>
      <c r="I1899" s="79"/>
      <c r="J1899" s="79"/>
      <c r="K1899" s="79">
        <v>4</v>
      </c>
      <c r="L1899" s="79">
        <v>0</v>
      </c>
      <c r="M1899" s="127"/>
      <c r="N1899" s="79">
        <v>0</v>
      </c>
      <c r="O1899" s="79">
        <v>0</v>
      </c>
      <c r="P1899" s="107">
        <v>1</v>
      </c>
      <c r="R1899" s="148"/>
    </row>
    <row r="1900" spans="1:18">
      <c r="A1900" s="98">
        <v>810009</v>
      </c>
      <c r="B1900" s="121">
        <v>8100091</v>
      </c>
      <c r="C1900" s="79" t="s">
        <v>3780</v>
      </c>
      <c r="D1900" s="121">
        <f t="shared" si="147"/>
        <v>8100092</v>
      </c>
      <c r="E1900" s="79" t="s">
        <v>3780</v>
      </c>
      <c r="F1900" s="79">
        <v>10</v>
      </c>
      <c r="G1900" s="79">
        <v>0</v>
      </c>
      <c r="H1900" s="79" t="str">
        <f t="shared" si="149"/>
        <v>icon_810009</v>
      </c>
      <c r="I1900" s="79"/>
      <c r="J1900" s="79"/>
      <c r="K1900" s="79">
        <v>5</v>
      </c>
      <c r="L1900" s="79">
        <v>0</v>
      </c>
      <c r="M1900" s="127"/>
      <c r="N1900" s="79">
        <v>0</v>
      </c>
      <c r="O1900" s="79">
        <v>0</v>
      </c>
      <c r="P1900" s="107">
        <v>1</v>
      </c>
      <c r="R1900" s="148"/>
    </row>
    <row r="1901" spans="1:18">
      <c r="A1901" s="98">
        <v>810010</v>
      </c>
      <c r="B1901" s="121">
        <v>8100101</v>
      </c>
      <c r="C1901" s="79" t="s">
        <v>3781</v>
      </c>
      <c r="D1901" s="121">
        <f t="shared" si="147"/>
        <v>8100102</v>
      </c>
      <c r="E1901" s="79" t="s">
        <v>3781</v>
      </c>
      <c r="F1901" s="79">
        <v>10</v>
      </c>
      <c r="G1901" s="79">
        <v>0</v>
      </c>
      <c r="H1901" s="79" t="str">
        <f t="shared" si="149"/>
        <v>icon_810010</v>
      </c>
      <c r="I1901" s="79"/>
      <c r="J1901" s="79"/>
      <c r="K1901" s="79">
        <v>5</v>
      </c>
      <c r="L1901" s="79">
        <v>0</v>
      </c>
      <c r="M1901" s="127"/>
      <c r="N1901" s="79">
        <v>0</v>
      </c>
      <c r="O1901" s="79">
        <v>0</v>
      </c>
      <c r="P1901" s="107">
        <v>1</v>
      </c>
      <c r="R1901" s="148"/>
    </row>
    <row r="1902" spans="1:18">
      <c r="A1902" s="79">
        <v>810011</v>
      </c>
      <c r="B1902" s="121">
        <v>8100111</v>
      </c>
      <c r="C1902" s="79" t="s">
        <v>3782</v>
      </c>
      <c r="D1902" s="121">
        <f t="shared" si="147"/>
        <v>8100112</v>
      </c>
      <c r="E1902" s="79" t="s">
        <v>3782</v>
      </c>
      <c r="F1902" s="79">
        <v>10</v>
      </c>
      <c r="G1902" s="79">
        <v>0</v>
      </c>
      <c r="H1902" s="79" t="str">
        <f t="shared" si="149"/>
        <v>icon_810011</v>
      </c>
      <c r="I1902" s="79"/>
      <c r="J1902" s="79"/>
      <c r="K1902" s="79">
        <v>2</v>
      </c>
      <c r="L1902" s="79">
        <v>0</v>
      </c>
      <c r="M1902" s="127"/>
      <c r="N1902" s="79">
        <v>0</v>
      </c>
      <c r="O1902" s="79">
        <v>0</v>
      </c>
      <c r="P1902" s="107">
        <v>1</v>
      </c>
      <c r="R1902" s="148"/>
    </row>
    <row r="1903" spans="1:18">
      <c r="A1903" s="79">
        <v>810012</v>
      </c>
      <c r="B1903" s="121">
        <v>8100121</v>
      </c>
      <c r="C1903" s="79" t="s">
        <v>376</v>
      </c>
      <c r="D1903" s="121">
        <f t="shared" si="147"/>
        <v>8100122</v>
      </c>
      <c r="E1903" s="79" t="s">
        <v>3783</v>
      </c>
      <c r="F1903" s="79">
        <v>10</v>
      </c>
      <c r="G1903" s="79">
        <v>0</v>
      </c>
      <c r="H1903" s="79" t="str">
        <f t="shared" si="149"/>
        <v>icon_810012</v>
      </c>
      <c r="I1903" s="79"/>
      <c r="J1903" s="79"/>
      <c r="K1903" s="79">
        <v>2</v>
      </c>
      <c r="L1903" s="79">
        <v>0</v>
      </c>
      <c r="M1903" s="127"/>
      <c r="N1903" s="79">
        <v>0</v>
      </c>
      <c r="O1903" s="79">
        <v>0</v>
      </c>
      <c r="P1903" s="107">
        <v>1</v>
      </c>
      <c r="R1903" s="148"/>
    </row>
    <row r="1904" spans="1:18">
      <c r="A1904" s="79">
        <v>810013</v>
      </c>
      <c r="B1904" s="121">
        <v>8100131</v>
      </c>
      <c r="C1904" s="79" t="s">
        <v>3784</v>
      </c>
      <c r="D1904" s="121">
        <f t="shared" si="147"/>
        <v>8100132</v>
      </c>
      <c r="E1904" s="79" t="s">
        <v>3784</v>
      </c>
      <c r="F1904" s="79">
        <v>10</v>
      </c>
      <c r="G1904" s="79">
        <v>0</v>
      </c>
      <c r="H1904" s="79" t="str">
        <f t="shared" si="149"/>
        <v>icon_810013</v>
      </c>
      <c r="I1904" s="79"/>
      <c r="J1904" s="79"/>
      <c r="K1904" s="79">
        <v>2</v>
      </c>
      <c r="L1904" s="79">
        <v>0</v>
      </c>
      <c r="M1904" s="127"/>
      <c r="N1904" s="79">
        <v>0</v>
      </c>
      <c r="O1904" s="79">
        <v>0</v>
      </c>
      <c r="P1904" s="107">
        <v>1</v>
      </c>
      <c r="R1904" s="148"/>
    </row>
    <row r="1905" spans="1:18">
      <c r="A1905" s="148">
        <v>810014</v>
      </c>
      <c r="B1905" s="121">
        <v>8100141</v>
      </c>
      <c r="C1905" s="79" t="s">
        <v>3785</v>
      </c>
      <c r="D1905" s="121">
        <f t="shared" si="147"/>
        <v>8100142</v>
      </c>
      <c r="E1905" s="79" t="s">
        <v>3785</v>
      </c>
      <c r="F1905" s="79">
        <v>10</v>
      </c>
      <c r="G1905" s="79">
        <v>0</v>
      </c>
      <c r="H1905" s="79" t="str">
        <f t="shared" si="149"/>
        <v>icon_810014</v>
      </c>
      <c r="I1905" s="79"/>
      <c r="J1905" s="79"/>
      <c r="K1905" s="79">
        <v>2</v>
      </c>
      <c r="L1905" s="79">
        <v>0</v>
      </c>
      <c r="M1905" s="127"/>
      <c r="N1905" s="79">
        <v>0</v>
      </c>
      <c r="O1905" s="79">
        <v>0</v>
      </c>
      <c r="P1905" s="107">
        <v>1</v>
      </c>
      <c r="R1905" s="148"/>
    </row>
    <row r="1906" spans="1:18">
      <c r="A1906" s="148">
        <v>810015</v>
      </c>
      <c r="B1906" s="121">
        <v>8100151</v>
      </c>
      <c r="C1906" s="79" t="s">
        <v>3786</v>
      </c>
      <c r="D1906" s="121">
        <f t="shared" si="147"/>
        <v>8100152</v>
      </c>
      <c r="E1906" s="79" t="s">
        <v>3786</v>
      </c>
      <c r="F1906" s="79">
        <v>10</v>
      </c>
      <c r="G1906" s="79">
        <v>0</v>
      </c>
      <c r="H1906" s="79" t="str">
        <f t="shared" si="149"/>
        <v>icon_810015</v>
      </c>
      <c r="I1906" s="79"/>
      <c r="J1906" s="79"/>
      <c r="K1906" s="79">
        <v>3</v>
      </c>
      <c r="L1906" s="79">
        <v>0</v>
      </c>
      <c r="M1906" s="127"/>
      <c r="N1906" s="79">
        <v>0</v>
      </c>
      <c r="O1906" s="79">
        <v>0</v>
      </c>
      <c r="P1906" s="107">
        <v>1</v>
      </c>
      <c r="R1906" s="148"/>
    </row>
    <row r="1907" spans="1:18">
      <c r="A1907" s="148">
        <v>810016</v>
      </c>
      <c r="B1907" s="121">
        <v>8100161</v>
      </c>
      <c r="C1907" s="79" t="s">
        <v>3787</v>
      </c>
      <c r="D1907" s="121">
        <f t="shared" si="147"/>
        <v>8100162</v>
      </c>
      <c r="E1907" s="79" t="s">
        <v>3788</v>
      </c>
      <c r="F1907" s="79">
        <v>10</v>
      </c>
      <c r="G1907" s="79">
        <v>0</v>
      </c>
      <c r="H1907" s="79" t="str">
        <f t="shared" si="149"/>
        <v>icon_810016</v>
      </c>
      <c r="I1907" s="79"/>
      <c r="J1907" s="79"/>
      <c r="K1907" s="79">
        <v>3</v>
      </c>
      <c r="L1907" s="79">
        <v>0</v>
      </c>
      <c r="M1907" s="127"/>
      <c r="N1907" s="79">
        <v>0</v>
      </c>
      <c r="O1907" s="79">
        <v>0</v>
      </c>
      <c r="P1907" s="107">
        <v>1</v>
      </c>
      <c r="R1907" s="148"/>
    </row>
    <row r="1908" spans="1:18">
      <c r="A1908" s="79">
        <v>810017</v>
      </c>
      <c r="B1908" s="121">
        <v>8100171</v>
      </c>
      <c r="C1908" s="79" t="s">
        <v>3789</v>
      </c>
      <c r="D1908" s="121">
        <f t="shared" si="147"/>
        <v>8100172</v>
      </c>
      <c r="E1908" s="79" t="s">
        <v>3790</v>
      </c>
      <c r="F1908" s="79">
        <v>10</v>
      </c>
      <c r="G1908" s="79">
        <v>0</v>
      </c>
      <c r="H1908" s="79" t="str">
        <f t="shared" si="149"/>
        <v>icon_810017</v>
      </c>
      <c r="I1908" s="79"/>
      <c r="J1908" s="79"/>
      <c r="K1908" s="79">
        <v>4</v>
      </c>
      <c r="L1908" s="79">
        <v>0</v>
      </c>
      <c r="M1908" s="127"/>
      <c r="N1908" s="79">
        <v>0</v>
      </c>
      <c r="O1908" s="79">
        <v>0</v>
      </c>
      <c r="P1908" s="107">
        <v>1</v>
      </c>
      <c r="R1908" s="148"/>
    </row>
    <row r="1909" spans="1:18">
      <c r="A1909" s="148">
        <v>810018</v>
      </c>
      <c r="B1909" s="121">
        <v>8100181</v>
      </c>
      <c r="C1909" s="79" t="s">
        <v>3791</v>
      </c>
      <c r="D1909" s="121">
        <f t="shared" si="147"/>
        <v>8100182</v>
      </c>
      <c r="E1909" s="79" t="s">
        <v>3792</v>
      </c>
      <c r="F1909" s="79">
        <v>10</v>
      </c>
      <c r="G1909" s="79">
        <v>0</v>
      </c>
      <c r="H1909" s="79" t="str">
        <f t="shared" si="149"/>
        <v>icon_810018</v>
      </c>
      <c r="I1909" s="79"/>
      <c r="J1909" s="79"/>
      <c r="K1909" s="79">
        <v>4</v>
      </c>
      <c r="L1909" s="79">
        <v>0</v>
      </c>
      <c r="M1909" s="127"/>
      <c r="N1909" s="79">
        <v>0</v>
      </c>
      <c r="O1909" s="79">
        <v>0</v>
      </c>
      <c r="P1909" s="107"/>
      <c r="R1909" s="148"/>
    </row>
    <row r="1910" spans="1:18">
      <c r="A1910" s="79">
        <v>810019</v>
      </c>
      <c r="B1910" s="121">
        <v>8100191</v>
      </c>
      <c r="C1910" s="79" t="s">
        <v>3793</v>
      </c>
      <c r="D1910" s="121">
        <f t="shared" si="147"/>
        <v>8100192</v>
      </c>
      <c r="E1910" s="79" t="s">
        <v>3794</v>
      </c>
      <c r="F1910" s="79">
        <v>10</v>
      </c>
      <c r="G1910" s="79">
        <v>0</v>
      </c>
      <c r="H1910" s="79" t="str">
        <f t="shared" si="149"/>
        <v>icon_810019</v>
      </c>
      <c r="I1910" s="79"/>
      <c r="J1910" s="79"/>
      <c r="K1910" s="79">
        <v>4</v>
      </c>
      <c r="L1910" s="79">
        <v>0</v>
      </c>
      <c r="M1910" s="127"/>
      <c r="N1910" s="79">
        <v>0</v>
      </c>
      <c r="O1910" s="79">
        <v>0</v>
      </c>
      <c r="P1910" s="107"/>
      <c r="R1910" s="148"/>
    </row>
    <row r="1911" spans="1:18">
      <c r="A1911" s="79">
        <v>810020</v>
      </c>
      <c r="B1911" s="121">
        <v>8100201</v>
      </c>
      <c r="C1911" s="79" t="s">
        <v>3795</v>
      </c>
      <c r="D1911" s="121">
        <f t="shared" si="147"/>
        <v>8100202</v>
      </c>
      <c r="E1911" s="79" t="s">
        <v>3796</v>
      </c>
      <c r="F1911" s="79">
        <v>10</v>
      </c>
      <c r="G1911" s="79">
        <v>0</v>
      </c>
      <c r="H1911" s="79" t="str">
        <f t="shared" si="149"/>
        <v>icon_810020</v>
      </c>
      <c r="I1911" s="79"/>
      <c r="J1911" s="79"/>
      <c r="K1911" s="79">
        <v>4</v>
      </c>
      <c r="L1911" s="79">
        <v>0</v>
      </c>
      <c r="M1911" s="127"/>
      <c r="N1911" s="79">
        <v>0</v>
      </c>
      <c r="O1911" s="79">
        <v>0</v>
      </c>
      <c r="P1911" s="107"/>
      <c r="R1911" s="148"/>
    </row>
    <row r="1912" spans="1:18">
      <c r="A1912" s="148">
        <v>810021</v>
      </c>
      <c r="B1912" s="121">
        <v>8100211</v>
      </c>
      <c r="C1912" s="79" t="s">
        <v>3797</v>
      </c>
      <c r="D1912" s="121">
        <f t="shared" ref="D1912:D1943" si="150">A1912*10+2</f>
        <v>8100212</v>
      </c>
      <c r="E1912" s="79" t="s">
        <v>3798</v>
      </c>
      <c r="F1912" s="79">
        <v>10</v>
      </c>
      <c r="G1912" s="79">
        <v>0</v>
      </c>
      <c r="H1912" s="79" t="str">
        <f t="shared" si="149"/>
        <v>icon_810021</v>
      </c>
      <c r="I1912" s="79"/>
      <c r="J1912" s="79"/>
      <c r="K1912" s="79">
        <v>4</v>
      </c>
      <c r="L1912" s="79">
        <v>0</v>
      </c>
      <c r="M1912" s="127"/>
      <c r="N1912" s="79">
        <v>0</v>
      </c>
      <c r="O1912" s="79">
        <v>0</v>
      </c>
      <c r="P1912" s="107"/>
      <c r="R1912" s="148"/>
    </row>
    <row r="1913" spans="1:18">
      <c r="A1913" s="79">
        <v>810022</v>
      </c>
      <c r="B1913" s="121">
        <v>8100221</v>
      </c>
      <c r="C1913" s="79" t="s">
        <v>3799</v>
      </c>
      <c r="D1913" s="121">
        <f t="shared" si="150"/>
        <v>8100222</v>
      </c>
      <c r="E1913" s="79" t="s">
        <v>3800</v>
      </c>
      <c r="F1913" s="79">
        <v>10</v>
      </c>
      <c r="G1913" s="79">
        <v>0</v>
      </c>
      <c r="H1913" s="79" t="str">
        <f t="shared" si="149"/>
        <v>icon_810022</v>
      </c>
      <c r="I1913" s="79"/>
      <c r="J1913" s="79"/>
      <c r="K1913" s="79">
        <v>4</v>
      </c>
      <c r="L1913" s="79">
        <v>0</v>
      </c>
      <c r="M1913" s="127"/>
      <c r="N1913" s="79">
        <v>0</v>
      </c>
      <c r="O1913" s="79">
        <v>0</v>
      </c>
      <c r="P1913" s="107"/>
      <c r="R1913" s="148"/>
    </row>
    <row r="1914" spans="1:18">
      <c r="A1914" s="79">
        <v>810023</v>
      </c>
      <c r="B1914" s="121">
        <v>8100231</v>
      </c>
      <c r="C1914" s="79" t="s">
        <v>3801</v>
      </c>
      <c r="D1914" s="121">
        <f t="shared" si="150"/>
        <v>8100232</v>
      </c>
      <c r="E1914" s="79" t="s">
        <v>3801</v>
      </c>
      <c r="F1914" s="79">
        <v>10</v>
      </c>
      <c r="G1914" s="79">
        <v>0</v>
      </c>
      <c r="H1914" s="79" t="s">
        <v>2592</v>
      </c>
      <c r="I1914" s="79"/>
      <c r="J1914" s="79"/>
      <c r="K1914" s="79">
        <v>4</v>
      </c>
      <c r="L1914" s="79">
        <v>0</v>
      </c>
      <c r="M1914" s="127"/>
      <c r="N1914" s="79">
        <v>0</v>
      </c>
      <c r="O1914" s="79">
        <v>0</v>
      </c>
      <c r="P1914" s="107"/>
      <c r="R1914" s="148"/>
    </row>
    <row r="1915" spans="1:18">
      <c r="A1915" s="79">
        <v>810024</v>
      </c>
      <c r="B1915" s="121">
        <v>8100241</v>
      </c>
      <c r="C1915" s="79" t="s">
        <v>3802</v>
      </c>
      <c r="D1915" s="121">
        <f t="shared" si="150"/>
        <v>8100242</v>
      </c>
      <c r="E1915" s="79" t="s">
        <v>3803</v>
      </c>
      <c r="F1915" s="79">
        <v>10</v>
      </c>
      <c r="G1915" s="79">
        <v>0</v>
      </c>
      <c r="H1915" s="79" t="s">
        <v>3804</v>
      </c>
      <c r="I1915" s="79"/>
      <c r="J1915" s="79"/>
      <c r="K1915" s="79">
        <v>4</v>
      </c>
      <c r="L1915" s="79">
        <v>0</v>
      </c>
      <c r="M1915" s="127"/>
      <c r="N1915" s="79">
        <v>0</v>
      </c>
      <c r="O1915" s="79">
        <v>0</v>
      </c>
      <c r="P1915" s="107"/>
      <c r="R1915" s="148"/>
    </row>
    <row r="1916" spans="1:18">
      <c r="A1916" s="79">
        <v>810025</v>
      </c>
      <c r="B1916" s="121">
        <v>8100251</v>
      </c>
      <c r="C1916" s="79" t="s">
        <v>3805</v>
      </c>
      <c r="D1916" s="121">
        <f t="shared" si="150"/>
        <v>8100252</v>
      </c>
      <c r="E1916" s="79" t="s">
        <v>3806</v>
      </c>
      <c r="F1916" s="79">
        <v>10</v>
      </c>
      <c r="G1916" s="79">
        <v>0</v>
      </c>
      <c r="H1916" s="79" t="s">
        <v>3807</v>
      </c>
      <c r="I1916" s="79"/>
      <c r="J1916" s="79"/>
      <c r="K1916" s="79">
        <v>4</v>
      </c>
      <c r="L1916" s="79">
        <v>0</v>
      </c>
      <c r="M1916" s="127"/>
      <c r="N1916" s="79">
        <v>0</v>
      </c>
      <c r="O1916" s="79">
        <v>0</v>
      </c>
      <c r="P1916" s="107"/>
      <c r="R1916" s="148"/>
    </row>
    <row r="1917" spans="1:18">
      <c r="A1917" s="79">
        <v>810026</v>
      </c>
      <c r="B1917" s="121">
        <v>8100261</v>
      </c>
      <c r="C1917" s="79" t="s">
        <v>3808</v>
      </c>
      <c r="D1917" s="121">
        <f t="shared" si="150"/>
        <v>8100262</v>
      </c>
      <c r="E1917" s="79" t="s">
        <v>3809</v>
      </c>
      <c r="F1917" s="79">
        <v>10</v>
      </c>
      <c r="G1917" s="79">
        <v>0</v>
      </c>
      <c r="H1917" s="79" t="s">
        <v>3810</v>
      </c>
      <c r="I1917" s="79"/>
      <c r="J1917" s="79"/>
      <c r="K1917" s="79">
        <v>4</v>
      </c>
      <c r="L1917" s="79">
        <v>0</v>
      </c>
      <c r="M1917" s="127"/>
      <c r="N1917" s="79">
        <v>0</v>
      </c>
      <c r="O1917" s="79">
        <v>0</v>
      </c>
      <c r="P1917" s="107"/>
      <c r="R1917" s="148"/>
    </row>
    <row r="1918" spans="1:18">
      <c r="A1918" s="79">
        <v>810027</v>
      </c>
      <c r="B1918" s="121">
        <v>8100271</v>
      </c>
      <c r="C1918" s="79" t="s">
        <v>3811</v>
      </c>
      <c r="D1918" s="121">
        <f t="shared" si="150"/>
        <v>8100272</v>
      </c>
      <c r="E1918" s="79" t="s">
        <v>3812</v>
      </c>
      <c r="F1918" s="79">
        <v>10</v>
      </c>
      <c r="G1918" s="79">
        <v>0</v>
      </c>
      <c r="H1918" s="79" t="s">
        <v>3813</v>
      </c>
      <c r="I1918" s="79"/>
      <c r="J1918" s="79"/>
      <c r="K1918" s="79">
        <v>4</v>
      </c>
      <c r="L1918" s="79">
        <v>0</v>
      </c>
      <c r="M1918" s="127"/>
      <c r="N1918" s="79">
        <v>0</v>
      </c>
      <c r="O1918" s="79">
        <v>0</v>
      </c>
      <c r="P1918" s="107"/>
      <c r="R1918" s="148"/>
    </row>
    <row r="1919" spans="1:18">
      <c r="A1919" s="79">
        <v>810028</v>
      </c>
      <c r="B1919" s="121">
        <v>8100281</v>
      </c>
      <c r="C1919" s="79" t="s">
        <v>3814</v>
      </c>
      <c r="D1919" s="121">
        <f t="shared" si="150"/>
        <v>8100282</v>
      </c>
      <c r="E1919" s="79" t="s">
        <v>3815</v>
      </c>
      <c r="F1919" s="79">
        <v>10</v>
      </c>
      <c r="G1919" s="79">
        <v>0</v>
      </c>
      <c r="H1919" s="79" t="s">
        <v>3816</v>
      </c>
      <c r="I1919" s="79"/>
      <c r="J1919" s="79"/>
      <c r="K1919" s="79">
        <v>4</v>
      </c>
      <c r="L1919" s="79">
        <v>0</v>
      </c>
      <c r="M1919" s="127"/>
      <c r="N1919" s="79">
        <v>0</v>
      </c>
      <c r="O1919" s="79">
        <v>0</v>
      </c>
      <c r="P1919" s="107"/>
      <c r="R1919" s="148"/>
    </row>
    <row r="1920" spans="1:18">
      <c r="A1920" s="79">
        <v>810029</v>
      </c>
      <c r="B1920" s="121">
        <v>8100291</v>
      </c>
      <c r="C1920" s="79" t="s">
        <v>3817</v>
      </c>
      <c r="D1920" s="121">
        <f t="shared" si="150"/>
        <v>8100292</v>
      </c>
      <c r="E1920" s="79" t="s">
        <v>3818</v>
      </c>
      <c r="F1920" s="79">
        <v>10</v>
      </c>
      <c r="G1920" s="79">
        <v>0</v>
      </c>
      <c r="H1920" s="79" t="s">
        <v>2796</v>
      </c>
      <c r="I1920" s="79"/>
      <c r="J1920" s="79"/>
      <c r="K1920" s="79">
        <v>4</v>
      </c>
      <c r="L1920" s="79"/>
      <c r="M1920" s="127"/>
      <c r="N1920" s="79"/>
      <c r="O1920" s="79"/>
      <c r="P1920" s="107"/>
      <c r="R1920" s="148"/>
    </row>
    <row r="1921" spans="1:18">
      <c r="A1921" s="79">
        <v>810030</v>
      </c>
      <c r="B1921" s="121">
        <v>8100301</v>
      </c>
      <c r="C1921" s="79" t="s">
        <v>3819</v>
      </c>
      <c r="D1921" s="121">
        <f t="shared" si="150"/>
        <v>8100302</v>
      </c>
      <c r="E1921" s="79" t="s">
        <v>3820</v>
      </c>
      <c r="F1921" s="79">
        <v>10</v>
      </c>
      <c r="G1921" s="79">
        <v>0</v>
      </c>
      <c r="H1921" s="79" t="s">
        <v>2608</v>
      </c>
      <c r="I1921" s="79">
        <v>810030</v>
      </c>
      <c r="J1921" s="79"/>
      <c r="K1921" s="79">
        <v>4</v>
      </c>
      <c r="L1921" s="79"/>
      <c r="M1921" s="127"/>
      <c r="N1921" s="79"/>
      <c r="O1921" s="79"/>
      <c r="P1921" s="107"/>
      <c r="R1921" s="148"/>
    </row>
    <row r="1922" spans="1:18">
      <c r="A1922" s="79">
        <v>810031</v>
      </c>
      <c r="B1922" s="121">
        <v>8100311</v>
      </c>
      <c r="C1922" s="79" t="s">
        <v>3821</v>
      </c>
      <c r="D1922" s="121">
        <f t="shared" si="150"/>
        <v>8100312</v>
      </c>
      <c r="E1922" s="79" t="s">
        <v>3822</v>
      </c>
      <c r="F1922" s="79">
        <v>10</v>
      </c>
      <c r="G1922" s="79">
        <v>0</v>
      </c>
      <c r="H1922" s="79" t="s">
        <v>2619</v>
      </c>
      <c r="I1922" s="79">
        <v>810031</v>
      </c>
      <c r="J1922" s="79"/>
      <c r="K1922" s="79">
        <v>4</v>
      </c>
      <c r="L1922" s="79"/>
      <c r="M1922" s="127"/>
      <c r="N1922" s="79"/>
      <c r="O1922" s="79"/>
      <c r="P1922" s="107"/>
      <c r="R1922" s="148"/>
    </row>
    <row r="1923" spans="1:18">
      <c r="A1923" s="79">
        <v>810032</v>
      </c>
      <c r="B1923" s="121">
        <v>8100321</v>
      </c>
      <c r="C1923" s="79" t="s">
        <v>3823</v>
      </c>
      <c r="D1923" s="121">
        <f t="shared" si="150"/>
        <v>8100322</v>
      </c>
      <c r="E1923" s="79" t="s">
        <v>3824</v>
      </c>
      <c r="F1923" s="79">
        <v>10</v>
      </c>
      <c r="G1923" s="79">
        <v>0</v>
      </c>
      <c r="H1923" s="79" t="s">
        <v>2630</v>
      </c>
      <c r="I1923" s="79"/>
      <c r="J1923" s="79"/>
      <c r="K1923" s="79">
        <v>4</v>
      </c>
      <c r="L1923" s="79">
        <v>0</v>
      </c>
      <c r="M1923" s="127"/>
      <c r="N1923" s="79">
        <v>0</v>
      </c>
      <c r="O1923" s="79">
        <v>0</v>
      </c>
      <c r="P1923" s="107"/>
      <c r="R1923" s="148"/>
    </row>
    <row r="1924" spans="1:18">
      <c r="A1924" s="79">
        <v>810033</v>
      </c>
      <c r="B1924" s="121">
        <v>8100331</v>
      </c>
      <c r="C1924" s="79" t="s">
        <v>3825</v>
      </c>
      <c r="D1924" s="121">
        <f t="shared" si="150"/>
        <v>8100332</v>
      </c>
      <c r="E1924" s="79" t="s">
        <v>3826</v>
      </c>
      <c r="F1924" s="79">
        <v>10</v>
      </c>
      <c r="G1924" s="79">
        <v>0</v>
      </c>
      <c r="H1924" s="79" t="s">
        <v>2634</v>
      </c>
      <c r="I1924" s="79"/>
      <c r="J1924" s="79"/>
      <c r="K1924" s="79">
        <v>4</v>
      </c>
      <c r="L1924" s="79">
        <v>0</v>
      </c>
      <c r="M1924" s="127"/>
      <c r="N1924" s="79">
        <v>0</v>
      </c>
      <c r="O1924" s="79">
        <v>0</v>
      </c>
      <c r="P1924" s="107"/>
      <c r="R1924" s="148"/>
    </row>
    <row r="1925" spans="1:18">
      <c r="A1925" s="79">
        <v>810034</v>
      </c>
      <c r="B1925" s="121">
        <v>8100341</v>
      </c>
      <c r="C1925" s="79" t="s">
        <v>3827</v>
      </c>
      <c r="D1925" s="121">
        <f t="shared" si="150"/>
        <v>8100342</v>
      </c>
      <c r="E1925" s="79" t="s">
        <v>3828</v>
      </c>
      <c r="F1925" s="79">
        <v>10</v>
      </c>
      <c r="G1925" s="79">
        <v>0</v>
      </c>
      <c r="H1925" s="79" t="s">
        <v>2638</v>
      </c>
      <c r="I1925" s="79"/>
      <c r="J1925" s="79"/>
      <c r="K1925" s="79">
        <v>5</v>
      </c>
      <c r="L1925" s="79">
        <v>0</v>
      </c>
      <c r="M1925" s="127"/>
      <c r="N1925" s="79">
        <v>0</v>
      </c>
      <c r="O1925" s="79">
        <v>0</v>
      </c>
      <c r="P1925" s="107"/>
      <c r="R1925" s="148"/>
    </row>
    <row r="1926" spans="1:18">
      <c r="A1926" s="79">
        <v>810035</v>
      </c>
      <c r="B1926" s="79">
        <v>8100351</v>
      </c>
      <c r="C1926" s="79" t="s">
        <v>3829</v>
      </c>
      <c r="D1926" s="121">
        <f t="shared" si="150"/>
        <v>8100352</v>
      </c>
      <c r="E1926" s="79" t="s">
        <v>3830</v>
      </c>
      <c r="F1926" s="79">
        <v>10</v>
      </c>
      <c r="G1926" s="79">
        <v>0</v>
      </c>
      <c r="H1926" s="79" t="s">
        <v>2642</v>
      </c>
      <c r="I1926" s="79"/>
      <c r="J1926" s="79"/>
      <c r="K1926" s="79">
        <v>5</v>
      </c>
      <c r="L1926" s="79">
        <v>0</v>
      </c>
      <c r="M1926" s="127"/>
      <c r="N1926" s="79">
        <v>0</v>
      </c>
      <c r="O1926" s="79">
        <v>0</v>
      </c>
      <c r="P1926" s="107"/>
      <c r="R1926" s="148"/>
    </row>
    <row r="1927" spans="1:18">
      <c r="A1927" s="79">
        <v>810036</v>
      </c>
      <c r="B1927" s="79">
        <v>8100361</v>
      </c>
      <c r="C1927" s="79" t="s">
        <v>3831</v>
      </c>
      <c r="D1927" s="121">
        <f t="shared" si="150"/>
        <v>8100362</v>
      </c>
      <c r="E1927" s="79" t="s">
        <v>3832</v>
      </c>
      <c r="F1927" s="79">
        <v>10</v>
      </c>
      <c r="G1927" s="79">
        <v>0</v>
      </c>
      <c r="H1927" s="79" t="s">
        <v>2646</v>
      </c>
      <c r="I1927" s="79"/>
      <c r="J1927" s="79"/>
      <c r="K1927" s="79">
        <v>5</v>
      </c>
      <c r="L1927" s="79">
        <v>0</v>
      </c>
      <c r="M1927" s="127"/>
      <c r="N1927" s="79">
        <v>0</v>
      </c>
      <c r="O1927" s="79">
        <v>0</v>
      </c>
      <c r="P1927" s="107"/>
      <c r="R1927" s="148"/>
    </row>
    <row r="1928" spans="1:18">
      <c r="A1928" s="79">
        <v>810037</v>
      </c>
      <c r="B1928" s="121">
        <v>8100371</v>
      </c>
      <c r="C1928" s="79" t="s">
        <v>3833</v>
      </c>
      <c r="D1928" s="121">
        <f t="shared" si="150"/>
        <v>8100372</v>
      </c>
      <c r="E1928" s="79" t="s">
        <v>3833</v>
      </c>
      <c r="F1928" s="79">
        <v>10</v>
      </c>
      <c r="G1928" s="79">
        <v>0</v>
      </c>
      <c r="H1928" s="79" t="s">
        <v>2689</v>
      </c>
      <c r="I1928" s="79">
        <v>810037</v>
      </c>
      <c r="J1928" s="79"/>
      <c r="K1928" s="79">
        <v>4</v>
      </c>
      <c r="L1928" s="79">
        <v>0</v>
      </c>
      <c r="M1928" s="127"/>
      <c r="N1928" s="79">
        <v>0</v>
      </c>
      <c r="O1928" s="79">
        <v>0</v>
      </c>
      <c r="P1928" s="107"/>
      <c r="R1928" s="148"/>
    </row>
    <row r="1929" spans="1:18">
      <c r="A1929" s="79">
        <v>810038</v>
      </c>
      <c r="B1929" s="79">
        <v>8100381</v>
      </c>
      <c r="C1929" s="79" t="s">
        <v>3834</v>
      </c>
      <c r="D1929" s="121">
        <f t="shared" si="150"/>
        <v>8100382</v>
      </c>
      <c r="E1929" s="79" t="s">
        <v>3834</v>
      </c>
      <c r="F1929" s="79">
        <v>10</v>
      </c>
      <c r="G1929" s="79">
        <v>0</v>
      </c>
      <c r="H1929" s="79" t="s">
        <v>2693</v>
      </c>
      <c r="I1929" s="79">
        <v>810038</v>
      </c>
      <c r="J1929" s="79"/>
      <c r="K1929" s="79">
        <v>5</v>
      </c>
      <c r="L1929" s="79">
        <v>0</v>
      </c>
      <c r="M1929" s="127"/>
      <c r="N1929" s="79">
        <v>0</v>
      </c>
      <c r="O1929" s="79">
        <v>0</v>
      </c>
      <c r="P1929" s="107"/>
      <c r="R1929" s="148"/>
    </row>
    <row r="1930" spans="1:18">
      <c r="A1930" s="79">
        <v>810039</v>
      </c>
      <c r="B1930" s="79">
        <v>8100391</v>
      </c>
      <c r="C1930" s="79" t="s">
        <v>3835</v>
      </c>
      <c r="D1930" s="121">
        <f t="shared" si="150"/>
        <v>8100392</v>
      </c>
      <c r="E1930" s="79" t="s">
        <v>3835</v>
      </c>
      <c r="F1930" s="79">
        <v>10</v>
      </c>
      <c r="G1930" s="79">
        <v>0</v>
      </c>
      <c r="H1930" s="79" t="s">
        <v>3836</v>
      </c>
      <c r="I1930" s="79">
        <v>810039</v>
      </c>
      <c r="J1930" s="79"/>
      <c r="K1930" s="79">
        <v>5</v>
      </c>
      <c r="L1930" s="79">
        <v>0</v>
      </c>
      <c r="M1930" s="127"/>
      <c r="N1930" s="79">
        <v>0</v>
      </c>
      <c r="O1930" s="79">
        <v>0</v>
      </c>
      <c r="P1930" s="107"/>
      <c r="R1930" s="148"/>
    </row>
    <row r="1931" spans="1:18">
      <c r="A1931" s="79">
        <v>810040</v>
      </c>
      <c r="B1931" s="121">
        <v>8100401</v>
      </c>
      <c r="C1931" s="79" t="s">
        <v>3837</v>
      </c>
      <c r="D1931" s="121">
        <f t="shared" si="150"/>
        <v>8100402</v>
      </c>
      <c r="E1931" s="79" t="s">
        <v>3837</v>
      </c>
      <c r="F1931" s="79">
        <v>10</v>
      </c>
      <c r="G1931" s="79">
        <v>0</v>
      </c>
      <c r="H1931" s="79" t="s">
        <v>2731</v>
      </c>
      <c r="I1931" s="79">
        <v>810040</v>
      </c>
      <c r="J1931" s="79"/>
      <c r="K1931" s="79">
        <v>5</v>
      </c>
      <c r="L1931" s="79">
        <v>0</v>
      </c>
      <c r="M1931" s="127"/>
      <c r="N1931" s="79">
        <v>0</v>
      </c>
      <c r="O1931" s="79">
        <v>0</v>
      </c>
      <c r="P1931" s="107"/>
      <c r="R1931" s="148"/>
    </row>
    <row r="1932" spans="1:18">
      <c r="A1932" s="79">
        <v>810041</v>
      </c>
      <c r="B1932" s="79">
        <v>8100411</v>
      </c>
      <c r="C1932" s="79" t="s">
        <v>3838</v>
      </c>
      <c r="D1932" s="121">
        <f t="shared" si="150"/>
        <v>8100412</v>
      </c>
      <c r="E1932" s="79" t="s">
        <v>3838</v>
      </c>
      <c r="F1932" s="79">
        <v>10</v>
      </c>
      <c r="G1932" s="79">
        <v>0</v>
      </c>
      <c r="H1932" s="79" t="s">
        <v>3839</v>
      </c>
      <c r="I1932" s="79">
        <v>810041</v>
      </c>
      <c r="J1932" s="79"/>
      <c r="K1932" s="79">
        <v>5</v>
      </c>
      <c r="L1932" s="79">
        <v>0</v>
      </c>
      <c r="M1932" s="127"/>
      <c r="N1932" s="79">
        <v>0</v>
      </c>
      <c r="O1932" s="79">
        <v>0</v>
      </c>
      <c r="P1932" s="107"/>
      <c r="R1932" s="148"/>
    </row>
    <row r="1933" spans="1:18">
      <c r="A1933" s="79">
        <v>810042</v>
      </c>
      <c r="B1933" s="121">
        <f t="shared" ref="B1933:B1950" si="151">A1933*10+1</f>
        <v>8100421</v>
      </c>
      <c r="C1933" s="79" t="s">
        <v>3840</v>
      </c>
      <c r="D1933" s="121">
        <f t="shared" si="150"/>
        <v>8100422</v>
      </c>
      <c r="E1933" s="79" t="s">
        <v>3840</v>
      </c>
      <c r="F1933" s="79">
        <v>10</v>
      </c>
      <c r="G1933" s="79">
        <v>0</v>
      </c>
      <c r="H1933" s="79" t="s">
        <v>2650</v>
      </c>
      <c r="I1933" s="79">
        <v>810042</v>
      </c>
      <c r="J1933" s="79"/>
      <c r="K1933" s="79">
        <v>5</v>
      </c>
      <c r="L1933" s="79">
        <v>0</v>
      </c>
      <c r="M1933" s="127"/>
      <c r="N1933" s="79">
        <v>0</v>
      </c>
      <c r="O1933" s="79">
        <v>0</v>
      </c>
      <c r="P1933" s="107"/>
      <c r="R1933" s="148"/>
    </row>
    <row r="1934" spans="1:18">
      <c r="A1934" s="79">
        <v>810043</v>
      </c>
      <c r="B1934" s="121">
        <f t="shared" si="151"/>
        <v>8100431</v>
      </c>
      <c r="C1934" s="79" t="s">
        <v>3841</v>
      </c>
      <c r="D1934" s="121">
        <f t="shared" si="150"/>
        <v>8100432</v>
      </c>
      <c r="E1934" s="79" t="s">
        <v>3841</v>
      </c>
      <c r="F1934" s="79">
        <v>10</v>
      </c>
      <c r="G1934" s="79">
        <v>0</v>
      </c>
      <c r="H1934" s="79" t="s">
        <v>3842</v>
      </c>
      <c r="I1934" s="79">
        <v>810043</v>
      </c>
      <c r="J1934" s="79"/>
      <c r="K1934" s="79">
        <v>5</v>
      </c>
      <c r="L1934" s="79">
        <v>0</v>
      </c>
      <c r="M1934" s="127"/>
      <c r="N1934" s="79">
        <v>0</v>
      </c>
      <c r="O1934" s="79">
        <v>0</v>
      </c>
      <c r="P1934" s="107"/>
      <c r="R1934" s="148"/>
    </row>
    <row r="1935" spans="1:18">
      <c r="A1935" s="79">
        <v>810044</v>
      </c>
      <c r="B1935" s="121">
        <f t="shared" si="151"/>
        <v>8100441</v>
      </c>
      <c r="C1935" s="79" t="s">
        <v>3843</v>
      </c>
      <c r="D1935" s="121">
        <f t="shared" si="150"/>
        <v>8100442</v>
      </c>
      <c r="E1935" s="79" t="s">
        <v>3843</v>
      </c>
      <c r="F1935" s="79">
        <v>10</v>
      </c>
      <c r="G1935" s="79">
        <v>0</v>
      </c>
      <c r="H1935" s="79" t="s">
        <v>3844</v>
      </c>
      <c r="I1935" s="79">
        <v>810044</v>
      </c>
      <c r="J1935" s="79"/>
      <c r="K1935" s="79">
        <v>5</v>
      </c>
      <c r="L1935" s="79">
        <v>0</v>
      </c>
      <c r="M1935" s="127"/>
      <c r="N1935" s="79">
        <v>0</v>
      </c>
      <c r="O1935" s="79">
        <v>0</v>
      </c>
      <c r="P1935" s="107"/>
      <c r="R1935" s="148"/>
    </row>
    <row r="1936" spans="1:18">
      <c r="A1936" s="79">
        <v>810045</v>
      </c>
      <c r="B1936" s="121">
        <f t="shared" si="151"/>
        <v>8100451</v>
      </c>
      <c r="C1936" s="79" t="s">
        <v>3845</v>
      </c>
      <c r="D1936" s="121">
        <f t="shared" si="150"/>
        <v>8100452</v>
      </c>
      <c r="E1936" s="79" t="s">
        <v>3845</v>
      </c>
      <c r="F1936" s="79">
        <v>10</v>
      </c>
      <c r="G1936" s="79">
        <v>0</v>
      </c>
      <c r="H1936" s="79" t="s">
        <v>2744</v>
      </c>
      <c r="I1936" s="79">
        <v>810045</v>
      </c>
      <c r="J1936" s="79"/>
      <c r="K1936" s="79">
        <v>5</v>
      </c>
      <c r="L1936" s="79">
        <v>0</v>
      </c>
      <c r="M1936" s="127"/>
      <c r="N1936" s="79">
        <v>0</v>
      </c>
      <c r="O1936" s="79">
        <v>0</v>
      </c>
      <c r="P1936" s="107"/>
      <c r="R1936" s="148"/>
    </row>
    <row r="1937" spans="1:21">
      <c r="A1937" s="79">
        <v>810046</v>
      </c>
      <c r="B1937" s="121">
        <f t="shared" si="151"/>
        <v>8100461</v>
      </c>
      <c r="C1937" s="79" t="s">
        <v>3846</v>
      </c>
      <c r="D1937" s="121">
        <f t="shared" si="150"/>
        <v>8100462</v>
      </c>
      <c r="E1937" s="79" t="s">
        <v>3846</v>
      </c>
      <c r="F1937" s="79">
        <v>10</v>
      </c>
      <c r="G1937" s="79">
        <v>0</v>
      </c>
      <c r="H1937" s="79" t="s">
        <v>2770</v>
      </c>
      <c r="I1937" s="79">
        <v>810046</v>
      </c>
      <c r="J1937" s="79"/>
      <c r="K1937" s="79">
        <v>5</v>
      </c>
      <c r="L1937" s="79">
        <v>0</v>
      </c>
      <c r="M1937" s="127"/>
      <c r="N1937" s="79">
        <v>0</v>
      </c>
      <c r="O1937" s="79">
        <v>0</v>
      </c>
      <c r="P1937" s="107"/>
      <c r="R1937" s="148"/>
    </row>
    <row r="1938" spans="1:21">
      <c r="A1938" s="79">
        <v>810047</v>
      </c>
      <c r="B1938" s="121">
        <f t="shared" si="151"/>
        <v>8100471</v>
      </c>
      <c r="C1938" s="79" t="s">
        <v>3847</v>
      </c>
      <c r="D1938" s="121">
        <f t="shared" si="150"/>
        <v>8100472</v>
      </c>
      <c r="E1938" s="79" t="s">
        <v>3847</v>
      </c>
      <c r="F1938" s="79">
        <v>10</v>
      </c>
      <c r="G1938" s="79">
        <v>0</v>
      </c>
      <c r="H1938" s="79" t="s">
        <v>2718</v>
      </c>
      <c r="I1938" s="79">
        <v>810047</v>
      </c>
      <c r="J1938" s="79"/>
      <c r="K1938" s="79">
        <v>5</v>
      </c>
      <c r="L1938" s="79">
        <v>0</v>
      </c>
      <c r="M1938" s="127"/>
      <c r="N1938" s="79">
        <v>0</v>
      </c>
      <c r="O1938" s="79">
        <v>0</v>
      </c>
      <c r="P1938" s="107"/>
      <c r="R1938" s="148"/>
    </row>
    <row r="1939" spans="1:21">
      <c r="A1939" s="79">
        <v>810048</v>
      </c>
      <c r="B1939" s="121">
        <f t="shared" si="151"/>
        <v>8100481</v>
      </c>
      <c r="C1939" s="79" t="s">
        <v>3848</v>
      </c>
      <c r="D1939" s="121">
        <f t="shared" si="150"/>
        <v>8100482</v>
      </c>
      <c r="E1939" s="79" t="s">
        <v>3848</v>
      </c>
      <c r="F1939" s="79">
        <v>10</v>
      </c>
      <c r="G1939" s="79">
        <v>0</v>
      </c>
      <c r="H1939" s="79" t="s">
        <v>2663</v>
      </c>
      <c r="I1939" s="79">
        <v>810048</v>
      </c>
      <c r="J1939" s="79"/>
      <c r="K1939" s="79">
        <v>5</v>
      </c>
      <c r="L1939" s="79">
        <v>0</v>
      </c>
      <c r="M1939" s="127"/>
      <c r="N1939" s="79">
        <v>0</v>
      </c>
      <c r="O1939" s="79">
        <v>0</v>
      </c>
      <c r="P1939" s="107"/>
      <c r="R1939" s="148"/>
    </row>
    <row r="1940" spans="1:21">
      <c r="A1940" s="79">
        <v>810049</v>
      </c>
      <c r="B1940" s="121">
        <f t="shared" si="151"/>
        <v>8100491</v>
      </c>
      <c r="C1940" s="79" t="s">
        <v>3849</v>
      </c>
      <c r="D1940" s="121">
        <f t="shared" si="150"/>
        <v>8100492</v>
      </c>
      <c r="E1940" s="79" t="s">
        <v>3849</v>
      </c>
      <c r="F1940" s="79">
        <v>10</v>
      </c>
      <c r="G1940" s="79">
        <v>0</v>
      </c>
      <c r="H1940" s="79" t="s">
        <v>2676</v>
      </c>
      <c r="I1940" s="79">
        <v>810049</v>
      </c>
      <c r="J1940" s="79"/>
      <c r="K1940" s="79">
        <v>5</v>
      </c>
      <c r="L1940" s="79">
        <v>0</v>
      </c>
      <c r="M1940" s="127"/>
      <c r="N1940" s="79">
        <v>0</v>
      </c>
      <c r="O1940" s="79">
        <v>0</v>
      </c>
      <c r="P1940" s="107"/>
      <c r="R1940" s="148"/>
    </row>
    <row r="1941" spans="1:21">
      <c r="A1941" s="79">
        <v>810050</v>
      </c>
      <c r="B1941" s="121">
        <f t="shared" si="151"/>
        <v>8100501</v>
      </c>
      <c r="C1941" s="79" t="s">
        <v>3850</v>
      </c>
      <c r="D1941" s="121">
        <f t="shared" si="150"/>
        <v>8100502</v>
      </c>
      <c r="E1941" s="79" t="s">
        <v>3850</v>
      </c>
      <c r="F1941" s="79">
        <v>10</v>
      </c>
      <c r="G1941" s="79">
        <v>0</v>
      </c>
      <c r="H1941" s="79" t="s">
        <v>3851</v>
      </c>
      <c r="I1941" s="79">
        <v>810050</v>
      </c>
      <c r="J1941" s="79"/>
      <c r="K1941" s="79">
        <v>5</v>
      </c>
      <c r="L1941" s="79">
        <v>0</v>
      </c>
      <c r="M1941" s="127"/>
      <c r="N1941" s="79">
        <v>0</v>
      </c>
      <c r="O1941" s="79">
        <v>0</v>
      </c>
      <c r="P1941" s="107"/>
      <c r="R1941" s="148"/>
    </row>
    <row r="1942" spans="1:21">
      <c r="A1942" s="79">
        <v>810051</v>
      </c>
      <c r="B1942" s="121">
        <f t="shared" si="151"/>
        <v>8100511</v>
      </c>
      <c r="C1942" s="79" t="s">
        <v>3852</v>
      </c>
      <c r="D1942" s="121">
        <f t="shared" si="150"/>
        <v>8100512</v>
      </c>
      <c r="E1942" s="79" t="s">
        <v>3852</v>
      </c>
      <c r="F1942" s="79">
        <v>10</v>
      </c>
      <c r="G1942" s="79">
        <v>0</v>
      </c>
      <c r="H1942" s="79" t="str">
        <f>"icon_"&amp;A1942</f>
        <v>icon_810051</v>
      </c>
      <c r="I1942" s="79">
        <v>810051</v>
      </c>
      <c r="J1942" s="79"/>
      <c r="K1942" s="79">
        <v>5</v>
      </c>
      <c r="L1942" s="79">
        <v>0</v>
      </c>
      <c r="M1942" s="127"/>
      <c r="N1942" s="79">
        <v>0</v>
      </c>
      <c r="O1942" s="79">
        <v>0</v>
      </c>
      <c r="P1942" s="107"/>
      <c r="R1942" s="148"/>
    </row>
    <row r="1943" spans="1:21" s="115" customFormat="1">
      <c r="A1943" s="150">
        <v>810052</v>
      </c>
      <c r="B1943" s="150">
        <f t="shared" si="151"/>
        <v>8100521</v>
      </c>
      <c r="C1943" s="150" t="s">
        <v>3853</v>
      </c>
      <c r="D1943" s="150">
        <f t="shared" si="150"/>
        <v>8100522</v>
      </c>
      <c r="E1943" s="150" t="s">
        <v>3853</v>
      </c>
      <c r="F1943" s="150">
        <v>10</v>
      </c>
      <c r="G1943" s="150">
        <v>0</v>
      </c>
      <c r="H1943" s="150" t="s">
        <v>2697</v>
      </c>
      <c r="I1943" s="150">
        <v>810052</v>
      </c>
      <c r="J1943" s="150"/>
      <c r="K1943" s="150">
        <v>6</v>
      </c>
      <c r="L1943" s="150">
        <v>0</v>
      </c>
      <c r="M1943" s="152"/>
      <c r="N1943" s="150">
        <v>0</v>
      </c>
      <c r="O1943" s="150">
        <v>0</v>
      </c>
      <c r="P1943" s="153"/>
      <c r="R1943" s="150"/>
    </row>
    <row r="1944" spans="1:21">
      <c r="A1944" s="79">
        <v>810053</v>
      </c>
      <c r="B1944" s="121">
        <f t="shared" si="151"/>
        <v>8100531</v>
      </c>
      <c r="C1944" s="79" t="s">
        <v>3854</v>
      </c>
      <c r="D1944" s="121">
        <f t="shared" ref="D1944:D1993" si="152">A1944*10+2</f>
        <v>8100532</v>
      </c>
      <c r="E1944" s="79" t="s">
        <v>3854</v>
      </c>
      <c r="F1944" s="79">
        <v>10</v>
      </c>
      <c r="G1944" s="79">
        <v>0</v>
      </c>
      <c r="H1944" s="79" t="str">
        <f t="shared" ref="H1944:H1979" si="153">"icon_"&amp;A1944</f>
        <v>icon_810053</v>
      </c>
      <c r="I1944" s="79">
        <v>810053</v>
      </c>
      <c r="J1944" s="79"/>
      <c r="K1944" s="79">
        <v>5</v>
      </c>
      <c r="L1944" s="79">
        <v>0</v>
      </c>
      <c r="M1944" s="127"/>
      <c r="N1944" s="79">
        <v>0</v>
      </c>
      <c r="O1944" s="79">
        <v>0</v>
      </c>
      <c r="P1944" s="107"/>
      <c r="R1944" s="148"/>
    </row>
    <row r="1945" spans="1:21">
      <c r="A1945" s="79">
        <v>810054</v>
      </c>
      <c r="B1945" s="121">
        <f t="shared" si="151"/>
        <v>8100541</v>
      </c>
      <c r="C1945" s="79" t="s">
        <v>3855</v>
      </c>
      <c r="D1945" s="121">
        <f t="shared" si="152"/>
        <v>8100542</v>
      </c>
      <c r="E1945" s="79" t="s">
        <v>3855</v>
      </c>
      <c r="F1945" s="79">
        <v>10</v>
      </c>
      <c r="G1945" s="79">
        <v>0</v>
      </c>
      <c r="H1945" s="79" t="str">
        <f t="shared" si="153"/>
        <v>icon_810054</v>
      </c>
      <c r="I1945" s="79">
        <v>810054</v>
      </c>
      <c r="J1945" s="79"/>
      <c r="K1945" s="79">
        <v>5</v>
      </c>
      <c r="L1945" s="79">
        <v>0</v>
      </c>
      <c r="M1945" s="127"/>
      <c r="N1945" s="79">
        <v>0</v>
      </c>
      <c r="O1945" s="79">
        <v>0</v>
      </c>
      <c r="P1945" s="107"/>
      <c r="R1945" s="148"/>
    </row>
    <row r="1946" spans="1:21">
      <c r="A1946" s="79">
        <v>810055</v>
      </c>
      <c r="B1946" s="121">
        <f t="shared" si="151"/>
        <v>8100551</v>
      </c>
      <c r="C1946" s="79" t="s">
        <v>3856</v>
      </c>
      <c r="D1946" s="121">
        <f t="shared" si="152"/>
        <v>8100552</v>
      </c>
      <c r="E1946" s="79" t="s">
        <v>3856</v>
      </c>
      <c r="F1946" s="79">
        <v>10</v>
      </c>
      <c r="G1946" s="79">
        <v>0</v>
      </c>
      <c r="H1946" s="79" t="str">
        <f t="shared" si="153"/>
        <v>icon_810055</v>
      </c>
      <c r="I1946" s="79">
        <v>810055</v>
      </c>
      <c r="J1946" s="79"/>
      <c r="K1946" s="79">
        <v>5</v>
      </c>
      <c r="L1946" s="79">
        <v>0</v>
      </c>
      <c r="M1946" s="127"/>
      <c r="N1946" s="79">
        <v>0</v>
      </c>
      <c r="O1946" s="79">
        <v>0</v>
      </c>
      <c r="P1946" s="107"/>
      <c r="R1946" s="148"/>
    </row>
    <row r="1947" spans="1:21">
      <c r="A1947" s="93">
        <v>810056</v>
      </c>
      <c r="B1947" s="141">
        <f t="shared" si="151"/>
        <v>8100561</v>
      </c>
      <c r="C1947" s="93" t="s">
        <v>3857</v>
      </c>
      <c r="D1947" s="141">
        <f t="shared" si="152"/>
        <v>8100562</v>
      </c>
      <c r="E1947" s="93" t="s">
        <v>3858</v>
      </c>
      <c r="F1947" s="93">
        <v>10</v>
      </c>
      <c r="G1947" s="93">
        <v>0</v>
      </c>
      <c r="H1947" s="93" t="str">
        <f t="shared" si="153"/>
        <v>icon_810056</v>
      </c>
      <c r="I1947" s="86">
        <v>810056</v>
      </c>
      <c r="K1947" s="93">
        <v>5</v>
      </c>
      <c r="L1947" s="93">
        <v>0</v>
      </c>
      <c r="M1947" s="93"/>
      <c r="N1947" s="117" t="s">
        <v>86</v>
      </c>
      <c r="O1947" s="93">
        <v>0</v>
      </c>
      <c r="P1947" s="98"/>
      <c r="R1947" s="149"/>
    </row>
    <row r="1948" spans="1:21">
      <c r="A1948" s="78">
        <v>810057</v>
      </c>
      <c r="B1948" s="78">
        <v>8100571</v>
      </c>
      <c r="C1948" s="92" t="s">
        <v>3859</v>
      </c>
      <c r="D1948" s="78">
        <v>8100572</v>
      </c>
      <c r="E1948" s="93" t="s">
        <v>3859</v>
      </c>
      <c r="F1948" s="93">
        <v>10</v>
      </c>
      <c r="G1948" s="93">
        <v>0</v>
      </c>
      <c r="H1948" s="93" t="s">
        <v>2705</v>
      </c>
      <c r="I1948" s="79"/>
      <c r="K1948" s="93">
        <v>5</v>
      </c>
      <c r="L1948" s="93">
        <v>0</v>
      </c>
      <c r="M1948" s="93"/>
      <c r="N1948" s="93" t="s">
        <v>86</v>
      </c>
      <c r="O1948" s="93">
        <v>0</v>
      </c>
    </row>
    <row r="1949" spans="1:21" s="79" customFormat="1">
      <c r="A1949" s="79">
        <v>810058</v>
      </c>
      <c r="B1949" s="121">
        <f t="shared" si="151"/>
        <v>8100581</v>
      </c>
      <c r="C1949" s="101" t="s">
        <v>3860</v>
      </c>
      <c r="D1949" s="121">
        <f t="shared" si="152"/>
        <v>8100582</v>
      </c>
      <c r="F1949" s="79">
        <v>10</v>
      </c>
      <c r="G1949" s="79">
        <v>0</v>
      </c>
      <c r="H1949" s="79" t="str">
        <f t="shared" si="153"/>
        <v>icon_810058</v>
      </c>
      <c r="K1949" s="79">
        <v>5</v>
      </c>
      <c r="L1949" s="79">
        <v>0</v>
      </c>
      <c r="N1949" s="127" t="s">
        <v>86</v>
      </c>
      <c r="O1949" s="79">
        <v>0</v>
      </c>
    </row>
    <row r="1950" spans="1:21" s="79" customFormat="1">
      <c r="A1950" s="79">
        <v>810059</v>
      </c>
      <c r="B1950" s="121">
        <f t="shared" si="151"/>
        <v>8100591</v>
      </c>
      <c r="C1950" s="101" t="s">
        <v>1393</v>
      </c>
      <c r="D1950" s="121">
        <f t="shared" si="152"/>
        <v>8100592</v>
      </c>
      <c r="F1950" s="79">
        <v>10</v>
      </c>
      <c r="G1950" s="79">
        <v>0</v>
      </c>
      <c r="H1950" s="79" t="str">
        <f t="shared" si="153"/>
        <v>icon_810059</v>
      </c>
      <c r="K1950" s="79">
        <v>5</v>
      </c>
      <c r="L1950" s="79">
        <v>0</v>
      </c>
      <c r="N1950" s="79" t="s">
        <v>86</v>
      </c>
      <c r="O1950" s="79">
        <v>0</v>
      </c>
    </row>
    <row r="1951" spans="1:21" s="79" customFormat="1">
      <c r="A1951" s="79">
        <v>810060</v>
      </c>
      <c r="B1951" s="151">
        <f t="shared" ref="B1951:B1956" si="154">A1951*10+1</f>
        <v>8100601</v>
      </c>
      <c r="C1951" s="151" t="s">
        <v>3861</v>
      </c>
      <c r="D1951" s="151">
        <f t="shared" si="152"/>
        <v>8100602</v>
      </c>
      <c r="E1951" s="151" t="s">
        <v>3861</v>
      </c>
      <c r="F1951" s="151">
        <v>10</v>
      </c>
      <c r="G1951" s="151">
        <v>0</v>
      </c>
      <c r="H1951" s="79" t="str">
        <f t="shared" si="153"/>
        <v>icon_810060</v>
      </c>
      <c r="I1951" s="151">
        <v>810060</v>
      </c>
      <c r="J1951" s="151"/>
      <c r="K1951" s="151">
        <v>5</v>
      </c>
      <c r="L1951" s="151">
        <v>0</v>
      </c>
      <c r="M1951" s="154"/>
      <c r="N1951" s="151">
        <v>0</v>
      </c>
      <c r="O1951" s="151">
        <v>0</v>
      </c>
      <c r="Q1951" s="108"/>
      <c r="S1951" s="101"/>
      <c r="T1951" s="101"/>
      <c r="U1951" s="101"/>
    </row>
    <row r="1952" spans="1:21" s="79" customFormat="1">
      <c r="A1952" s="79">
        <v>810061</v>
      </c>
      <c r="B1952" s="151">
        <f t="shared" si="154"/>
        <v>8100611</v>
      </c>
      <c r="C1952" s="151" t="s">
        <v>3862</v>
      </c>
      <c r="D1952" s="151">
        <f t="shared" si="152"/>
        <v>8100612</v>
      </c>
      <c r="E1952" s="151" t="s">
        <v>3862</v>
      </c>
      <c r="F1952" s="151">
        <v>10</v>
      </c>
      <c r="G1952" s="151">
        <v>0</v>
      </c>
      <c r="H1952" s="79" t="str">
        <f t="shared" si="153"/>
        <v>icon_810061</v>
      </c>
      <c r="I1952" s="151">
        <v>810061</v>
      </c>
      <c r="J1952" s="151"/>
      <c r="K1952" s="151">
        <v>5</v>
      </c>
      <c r="L1952" s="151">
        <v>0</v>
      </c>
      <c r="M1952" s="154"/>
      <c r="N1952" s="151">
        <v>0</v>
      </c>
      <c r="O1952" s="151">
        <v>0</v>
      </c>
      <c r="Q1952" s="108"/>
      <c r="S1952" s="101"/>
      <c r="T1952" s="101"/>
      <c r="U1952" s="101"/>
    </row>
    <row r="1953" spans="1:21" s="79" customFormat="1">
      <c r="A1953" s="79">
        <v>810062</v>
      </c>
      <c r="B1953" s="151">
        <f t="shared" si="154"/>
        <v>8100621</v>
      </c>
      <c r="C1953" s="151" t="s">
        <v>3863</v>
      </c>
      <c r="D1953" s="151">
        <f t="shared" ref="D1953" si="155">A1953*10+2</f>
        <v>8100622</v>
      </c>
      <c r="E1953" s="151" t="s">
        <v>3863</v>
      </c>
      <c r="F1953" s="151">
        <v>10</v>
      </c>
      <c r="G1953" s="151">
        <v>0</v>
      </c>
      <c r="H1953" s="79" t="str">
        <f t="shared" ref="H1953" si="156">"icon_"&amp;A1953</f>
        <v>icon_810062</v>
      </c>
      <c r="I1953" s="151">
        <v>810062</v>
      </c>
      <c r="J1953" s="151"/>
      <c r="K1953" s="151">
        <v>5</v>
      </c>
      <c r="L1953" s="151">
        <v>0</v>
      </c>
      <c r="M1953" s="154"/>
      <c r="N1953" s="151">
        <v>0</v>
      </c>
      <c r="O1953" s="151">
        <v>0</v>
      </c>
      <c r="Q1953" s="108"/>
      <c r="S1953" s="101"/>
      <c r="T1953" s="101"/>
      <c r="U1953" s="101"/>
    </row>
    <row r="1954" spans="1:21" s="79" customFormat="1">
      <c r="A1954" s="79">
        <v>810063</v>
      </c>
      <c r="B1954" s="151">
        <f t="shared" si="154"/>
        <v>8100631</v>
      </c>
      <c r="C1954" s="151" t="s">
        <v>3864</v>
      </c>
      <c r="D1954" s="151">
        <f t="shared" ref="D1954:D1955" si="157">A1954*10+2</f>
        <v>8100632</v>
      </c>
      <c r="E1954" s="151" t="s">
        <v>3865</v>
      </c>
      <c r="F1954" s="151">
        <v>10</v>
      </c>
      <c r="G1954" s="151">
        <v>0</v>
      </c>
      <c r="H1954" s="79" t="str">
        <f t="shared" ref="H1954:H1955" si="158">"icon_"&amp;A1954</f>
        <v>icon_810063</v>
      </c>
      <c r="I1954" s="151"/>
      <c r="J1954" s="151"/>
      <c r="K1954" s="151">
        <v>4</v>
      </c>
      <c r="L1954" s="151">
        <v>0</v>
      </c>
      <c r="M1954" s="154"/>
      <c r="N1954" s="151">
        <v>0</v>
      </c>
      <c r="O1954" s="151">
        <v>0</v>
      </c>
      <c r="Q1954" s="108"/>
      <c r="S1954" s="101"/>
      <c r="T1954" s="101"/>
      <c r="U1954" s="101"/>
    </row>
    <row r="1955" spans="1:21" s="79" customFormat="1">
      <c r="A1955" s="79">
        <v>810064</v>
      </c>
      <c r="B1955" s="151">
        <f t="shared" si="154"/>
        <v>8100641</v>
      </c>
      <c r="C1955" s="151" t="s">
        <v>3866</v>
      </c>
      <c r="D1955" s="151">
        <f t="shared" si="157"/>
        <v>8100642</v>
      </c>
      <c r="E1955" s="151" t="s">
        <v>3867</v>
      </c>
      <c r="F1955" s="151">
        <v>10</v>
      </c>
      <c r="G1955" s="151">
        <v>0</v>
      </c>
      <c r="H1955" s="79" t="str">
        <f t="shared" si="158"/>
        <v>icon_810064</v>
      </c>
      <c r="I1955" s="151"/>
      <c r="J1955" s="151"/>
      <c r="K1955" s="151">
        <v>4</v>
      </c>
      <c r="L1955" s="151">
        <v>0</v>
      </c>
      <c r="M1955" s="154"/>
      <c r="N1955" s="151">
        <v>0</v>
      </c>
      <c r="O1955" s="151">
        <v>0</v>
      </c>
      <c r="Q1955" s="108"/>
      <c r="S1955" s="101"/>
      <c r="T1955" s="101"/>
      <c r="U1955" s="101"/>
    </row>
    <row r="1956" spans="1:21" s="79" customFormat="1">
      <c r="A1956" s="79">
        <v>810065</v>
      </c>
      <c r="B1956" s="151">
        <f t="shared" si="154"/>
        <v>8100651</v>
      </c>
      <c r="C1956" s="151" t="s">
        <v>3868</v>
      </c>
      <c r="D1956" s="151">
        <f t="shared" ref="D1956" si="159">A1956*10+2</f>
        <v>8100652</v>
      </c>
      <c r="E1956" s="151" t="s">
        <v>3869</v>
      </c>
      <c r="F1956" s="151">
        <v>10</v>
      </c>
      <c r="G1956" s="151">
        <v>0</v>
      </c>
      <c r="H1956" s="79" t="str">
        <f t="shared" ref="H1956" si="160">"icon_"&amp;A1956</f>
        <v>icon_810065</v>
      </c>
      <c r="I1956" s="151"/>
      <c r="J1956" s="151"/>
      <c r="K1956" s="151">
        <v>4</v>
      </c>
      <c r="L1956" s="151">
        <v>0</v>
      </c>
      <c r="M1956" s="154"/>
      <c r="N1956" s="151">
        <v>0</v>
      </c>
      <c r="O1956" s="151">
        <v>0</v>
      </c>
      <c r="Q1956" s="108"/>
      <c r="S1956" s="101"/>
      <c r="T1956" s="101"/>
      <c r="U1956" s="101"/>
    </row>
    <row r="1957" spans="1:21" s="79" customFormat="1">
      <c r="A1957" s="79">
        <v>810066</v>
      </c>
      <c r="B1957" s="151">
        <f t="shared" ref="B1957" si="161">A1957*10+1</f>
        <v>8100661</v>
      </c>
      <c r="C1957" s="151" t="s">
        <v>3870</v>
      </c>
      <c r="D1957" s="151">
        <f t="shared" ref="D1957" si="162">A1957*10+2</f>
        <v>8100662</v>
      </c>
      <c r="E1957" s="151" t="s">
        <v>3871</v>
      </c>
      <c r="F1957" s="151">
        <v>10</v>
      </c>
      <c r="G1957" s="151">
        <v>0</v>
      </c>
      <c r="H1957" s="79" t="str">
        <f t="shared" ref="H1957" si="163">"icon_"&amp;A1957</f>
        <v>icon_810066</v>
      </c>
      <c r="I1957" s="151"/>
      <c r="J1957" s="151"/>
      <c r="K1957" s="151">
        <v>4</v>
      </c>
      <c r="L1957" s="151">
        <v>0</v>
      </c>
      <c r="M1957" s="154"/>
      <c r="N1957" s="151">
        <v>0</v>
      </c>
      <c r="O1957" s="151">
        <v>0</v>
      </c>
      <c r="Q1957" s="108"/>
      <c r="S1957" s="101"/>
      <c r="T1957" s="101"/>
      <c r="U1957" s="101"/>
    </row>
    <row r="1958" spans="1:21" s="79" customFormat="1">
      <c r="A1958" s="79">
        <v>810067</v>
      </c>
      <c r="B1958" s="151">
        <f t="shared" ref="B1958" si="164">A1958*10+1</f>
        <v>8100671</v>
      </c>
      <c r="C1958" s="151" t="s">
        <v>3872</v>
      </c>
      <c r="D1958" s="151">
        <f t="shared" ref="D1958" si="165">A1958*10+2</f>
        <v>8100672</v>
      </c>
      <c r="E1958" s="151" t="s">
        <v>3873</v>
      </c>
      <c r="F1958" s="151">
        <v>10</v>
      </c>
      <c r="G1958" s="151">
        <v>0</v>
      </c>
      <c r="H1958" s="79" t="str">
        <f t="shared" ref="H1958" si="166">"icon_"&amp;A1958</f>
        <v>icon_810067</v>
      </c>
      <c r="I1958" s="151"/>
      <c r="J1958" s="151"/>
      <c r="K1958" s="151">
        <v>4</v>
      </c>
      <c r="L1958" s="151">
        <v>0</v>
      </c>
      <c r="M1958" s="154"/>
      <c r="N1958" s="151">
        <v>0</v>
      </c>
      <c r="O1958" s="151">
        <v>0</v>
      </c>
      <c r="Q1958" s="108"/>
      <c r="S1958" s="101"/>
      <c r="T1958" s="101"/>
      <c r="U1958" s="101"/>
    </row>
    <row r="1959" spans="1:21" s="79" customFormat="1">
      <c r="A1959" s="79">
        <v>810068</v>
      </c>
      <c r="B1959" s="151">
        <f t="shared" ref="B1959" si="167">A1959*10+1</f>
        <v>8100681</v>
      </c>
      <c r="C1959" s="151" t="s">
        <v>3874</v>
      </c>
      <c r="D1959" s="151">
        <f t="shared" ref="D1959" si="168">A1959*10+2</f>
        <v>8100682</v>
      </c>
      <c r="E1959" s="151" t="s">
        <v>3875</v>
      </c>
      <c r="F1959" s="151">
        <v>10</v>
      </c>
      <c r="G1959" s="151">
        <v>0</v>
      </c>
      <c r="H1959" s="79" t="str">
        <f t="shared" ref="H1959" si="169">"icon_"&amp;A1959</f>
        <v>icon_810068</v>
      </c>
      <c r="I1959" s="151"/>
      <c r="J1959" s="151"/>
      <c r="K1959" s="151">
        <v>4</v>
      </c>
      <c r="L1959" s="151">
        <v>0</v>
      </c>
      <c r="M1959" s="154"/>
      <c r="N1959" s="151">
        <v>0</v>
      </c>
      <c r="O1959" s="151">
        <v>0</v>
      </c>
      <c r="Q1959" s="108"/>
      <c r="S1959" s="101"/>
      <c r="T1959" s="101"/>
      <c r="U1959" s="101"/>
    </row>
    <row r="1960" spans="1:21" s="79" customFormat="1">
      <c r="A1960" s="79">
        <v>810069</v>
      </c>
      <c r="B1960" s="151">
        <f t="shared" ref="B1960" si="170">A1960*10+1</f>
        <v>8100691</v>
      </c>
      <c r="C1960" s="151" t="s">
        <v>3876</v>
      </c>
      <c r="D1960" s="151">
        <f t="shared" ref="D1960" si="171">A1960*10+2</f>
        <v>8100692</v>
      </c>
      <c r="E1960" s="151" t="s">
        <v>3877</v>
      </c>
      <c r="F1960" s="151">
        <v>10</v>
      </c>
      <c r="G1960" s="151">
        <v>0</v>
      </c>
      <c r="H1960" s="79" t="str">
        <f t="shared" ref="H1960" si="172">"icon_"&amp;A1960</f>
        <v>icon_810069</v>
      </c>
      <c r="I1960" s="151"/>
      <c r="J1960" s="151"/>
      <c r="K1960" s="151">
        <v>4</v>
      </c>
      <c r="L1960" s="151">
        <v>0</v>
      </c>
      <c r="M1960" s="154"/>
      <c r="N1960" s="151">
        <v>0</v>
      </c>
      <c r="O1960" s="151">
        <v>0</v>
      </c>
      <c r="Q1960" s="108"/>
      <c r="S1960" s="101"/>
      <c r="T1960" s="101"/>
      <c r="U1960" s="101"/>
    </row>
    <row r="1961" spans="1:21" s="79" customFormat="1">
      <c r="A1961" s="79">
        <v>810070</v>
      </c>
      <c r="B1961" s="151">
        <f t="shared" ref="B1961" si="173">A1961*10+1</f>
        <v>8100701</v>
      </c>
      <c r="C1961" s="151" t="s">
        <v>3878</v>
      </c>
      <c r="D1961" s="151">
        <f t="shared" ref="D1961" si="174">A1961*10+2</f>
        <v>8100702</v>
      </c>
      <c r="E1961" s="151" t="s">
        <v>3879</v>
      </c>
      <c r="F1961" s="151">
        <v>10</v>
      </c>
      <c r="G1961" s="151">
        <v>0</v>
      </c>
      <c r="H1961" s="79" t="str">
        <f t="shared" ref="H1961" si="175">"icon_"&amp;A1961</f>
        <v>icon_810070</v>
      </c>
      <c r="I1961" s="151"/>
      <c r="J1961" s="151"/>
      <c r="K1961" s="151">
        <v>4</v>
      </c>
      <c r="L1961" s="151">
        <v>0</v>
      </c>
      <c r="M1961" s="154"/>
      <c r="N1961" s="151">
        <v>0</v>
      </c>
      <c r="O1961" s="151">
        <v>0</v>
      </c>
      <c r="Q1961" s="108"/>
      <c r="S1961" s="101"/>
      <c r="T1961" s="101"/>
      <c r="U1961" s="101"/>
    </row>
    <row r="1962" spans="1:21" s="79" customFormat="1">
      <c r="A1962" s="79">
        <v>810071</v>
      </c>
      <c r="B1962" s="151">
        <f t="shared" ref="B1962" si="176">A1962*10+1</f>
        <v>8100711</v>
      </c>
      <c r="C1962" s="151" t="s">
        <v>3880</v>
      </c>
      <c r="D1962" s="151">
        <f t="shared" ref="D1962" si="177">A1962*10+2</f>
        <v>8100712</v>
      </c>
      <c r="E1962" s="151" t="s">
        <v>3881</v>
      </c>
      <c r="F1962" s="151">
        <v>10</v>
      </c>
      <c r="G1962" s="151">
        <v>0</v>
      </c>
      <c r="H1962" s="79" t="str">
        <f t="shared" ref="H1962" si="178">"icon_"&amp;A1962</f>
        <v>icon_810071</v>
      </c>
      <c r="I1962" s="151"/>
      <c r="J1962" s="151"/>
      <c r="K1962" s="151">
        <v>4</v>
      </c>
      <c r="L1962" s="151">
        <v>0</v>
      </c>
      <c r="M1962" s="154"/>
      <c r="N1962" s="151">
        <v>0</v>
      </c>
      <c r="O1962" s="151">
        <v>0</v>
      </c>
      <c r="Q1962" s="108"/>
      <c r="S1962" s="101"/>
      <c r="T1962" s="101"/>
      <c r="U1962" s="101"/>
    </row>
    <row r="1963" spans="1:21" s="79" customFormat="1">
      <c r="A1963" s="79">
        <v>810072</v>
      </c>
      <c r="B1963" s="151">
        <f t="shared" ref="B1963" si="179">A1963*10+1</f>
        <v>8100721</v>
      </c>
      <c r="C1963" s="151" t="s">
        <v>3882</v>
      </c>
      <c r="D1963" s="151">
        <f t="shared" ref="D1963" si="180">A1963*10+2</f>
        <v>8100722</v>
      </c>
      <c r="E1963" s="151" t="s">
        <v>3883</v>
      </c>
      <c r="F1963" s="151">
        <v>10</v>
      </c>
      <c r="G1963" s="151">
        <v>0</v>
      </c>
      <c r="H1963" s="79" t="str">
        <f t="shared" ref="H1963" si="181">"icon_"&amp;A1963</f>
        <v>icon_810072</v>
      </c>
      <c r="I1963" s="151"/>
      <c r="J1963" s="151"/>
      <c r="K1963" s="151">
        <v>4</v>
      </c>
      <c r="L1963" s="151">
        <v>0</v>
      </c>
      <c r="M1963" s="154"/>
      <c r="N1963" s="151">
        <v>0</v>
      </c>
      <c r="O1963" s="151">
        <v>0</v>
      </c>
      <c r="Q1963" s="108"/>
      <c r="S1963" s="101"/>
      <c r="T1963" s="101"/>
      <c r="U1963" s="101"/>
    </row>
    <row r="1964" spans="1:21" s="79" customFormat="1">
      <c r="A1964" s="79">
        <v>810073</v>
      </c>
      <c r="B1964" s="151">
        <f t="shared" ref="B1964:B1965" si="182">A1964*10+1</f>
        <v>8100731</v>
      </c>
      <c r="C1964" s="151" t="s">
        <v>3884</v>
      </c>
      <c r="D1964" s="151">
        <f t="shared" ref="D1964:D1965" si="183">A1964*10+2</f>
        <v>8100732</v>
      </c>
      <c r="E1964" s="151" t="s">
        <v>3885</v>
      </c>
      <c r="F1964" s="151">
        <v>10</v>
      </c>
      <c r="G1964" s="151">
        <v>0</v>
      </c>
      <c r="H1964" s="79" t="str">
        <f t="shared" ref="H1964:H1965" si="184">"icon_"&amp;A1964</f>
        <v>icon_810073</v>
      </c>
      <c r="I1964" s="151"/>
      <c r="J1964" s="151"/>
      <c r="K1964" s="151">
        <v>4</v>
      </c>
      <c r="L1964" s="151">
        <v>0</v>
      </c>
      <c r="M1964" s="154"/>
      <c r="N1964" s="151">
        <v>0</v>
      </c>
      <c r="O1964" s="151">
        <v>0</v>
      </c>
      <c r="Q1964" s="108"/>
      <c r="S1964" s="101"/>
      <c r="T1964" s="101"/>
      <c r="U1964" s="101"/>
    </row>
    <row r="1965" spans="1:21" s="79" customFormat="1">
      <c r="A1965" s="79">
        <v>810074</v>
      </c>
      <c r="B1965" s="151">
        <f t="shared" si="182"/>
        <v>8100741</v>
      </c>
      <c r="C1965" s="151" t="s">
        <v>5535</v>
      </c>
      <c r="D1965" s="151">
        <f t="shared" si="183"/>
        <v>8100742</v>
      </c>
      <c r="E1965" s="151" t="s">
        <v>5536</v>
      </c>
      <c r="F1965" s="151">
        <v>10</v>
      </c>
      <c r="G1965" s="151">
        <v>0</v>
      </c>
      <c r="H1965" s="79" t="str">
        <f t="shared" si="184"/>
        <v>icon_810074</v>
      </c>
      <c r="I1965" s="151"/>
      <c r="J1965" s="151"/>
      <c r="K1965" s="151">
        <v>4</v>
      </c>
      <c r="L1965" s="151">
        <v>0</v>
      </c>
      <c r="M1965" s="154"/>
      <c r="N1965" s="151">
        <v>0</v>
      </c>
      <c r="O1965" s="151">
        <v>0</v>
      </c>
      <c r="Q1965" s="108"/>
      <c r="S1965" s="101"/>
      <c r="T1965" s="101"/>
      <c r="U1965" s="101"/>
    </row>
    <row r="1966" spans="1:21" s="79" customFormat="1">
      <c r="A1966" s="148">
        <v>820001</v>
      </c>
      <c r="B1966" s="121">
        <v>8200011</v>
      </c>
      <c r="C1966" s="79" t="s">
        <v>3886</v>
      </c>
      <c r="D1966" s="121">
        <f t="shared" si="152"/>
        <v>8200012</v>
      </c>
      <c r="E1966" s="79" t="s">
        <v>3887</v>
      </c>
      <c r="F1966" s="79">
        <v>9</v>
      </c>
      <c r="G1966" s="79">
        <v>0</v>
      </c>
      <c r="H1966" s="79" t="str">
        <f t="shared" si="153"/>
        <v>icon_820001</v>
      </c>
      <c r="K1966" s="79">
        <v>2</v>
      </c>
      <c r="L1966" s="79">
        <v>0</v>
      </c>
      <c r="M1966" s="127"/>
      <c r="N1966" s="79">
        <v>0</v>
      </c>
      <c r="O1966" s="79">
        <v>0</v>
      </c>
      <c r="P1966" s="107"/>
      <c r="R1966" s="148"/>
    </row>
    <row r="1967" spans="1:21">
      <c r="A1967" s="148">
        <v>820002</v>
      </c>
      <c r="B1967" s="121">
        <v>8200021</v>
      </c>
      <c r="C1967" s="79" t="s">
        <v>3888</v>
      </c>
      <c r="D1967" s="121">
        <f t="shared" si="152"/>
        <v>8200022</v>
      </c>
      <c r="E1967" s="79" t="s">
        <v>3889</v>
      </c>
      <c r="F1967" s="79">
        <v>9</v>
      </c>
      <c r="G1967" s="79">
        <v>0</v>
      </c>
      <c r="H1967" s="79" t="str">
        <f t="shared" si="153"/>
        <v>icon_820002</v>
      </c>
      <c r="I1967" s="79"/>
      <c r="J1967" s="79"/>
      <c r="K1967" s="79">
        <v>2</v>
      </c>
      <c r="L1967" s="79">
        <v>0</v>
      </c>
      <c r="M1967" s="127"/>
      <c r="N1967" s="79">
        <v>0</v>
      </c>
      <c r="O1967" s="79">
        <v>0</v>
      </c>
      <c r="P1967" s="107"/>
      <c r="R1967" s="148"/>
    </row>
    <row r="1968" spans="1:21">
      <c r="A1968" s="148">
        <v>820003</v>
      </c>
      <c r="B1968" s="121">
        <v>8200031</v>
      </c>
      <c r="C1968" s="79" t="s">
        <v>3890</v>
      </c>
      <c r="D1968" s="121">
        <f t="shared" si="152"/>
        <v>8200032</v>
      </c>
      <c r="E1968" s="79" t="s">
        <v>3891</v>
      </c>
      <c r="F1968" s="79">
        <v>9</v>
      </c>
      <c r="G1968" s="79">
        <v>0</v>
      </c>
      <c r="H1968" s="79" t="str">
        <f t="shared" si="153"/>
        <v>icon_820003</v>
      </c>
      <c r="I1968" s="79"/>
      <c r="J1968" s="79"/>
      <c r="K1968" s="79">
        <v>2</v>
      </c>
      <c r="L1968" s="79">
        <v>0</v>
      </c>
      <c r="M1968" s="127"/>
      <c r="N1968" s="79">
        <v>0</v>
      </c>
      <c r="O1968" s="79">
        <v>0</v>
      </c>
      <c r="P1968" s="107"/>
      <c r="R1968" s="148"/>
    </row>
    <row r="1969" spans="1:18">
      <c r="A1969" s="148">
        <v>820004</v>
      </c>
      <c r="B1969" s="121">
        <v>8200041</v>
      </c>
      <c r="C1969" s="79" t="s">
        <v>3892</v>
      </c>
      <c r="D1969" s="121">
        <f t="shared" si="152"/>
        <v>8200042</v>
      </c>
      <c r="E1969" s="79" t="s">
        <v>3893</v>
      </c>
      <c r="F1969" s="79">
        <v>9</v>
      </c>
      <c r="G1969" s="79">
        <v>0</v>
      </c>
      <c r="H1969" s="79" t="str">
        <f t="shared" si="153"/>
        <v>icon_820004</v>
      </c>
      <c r="I1969" s="79"/>
      <c r="J1969" s="79"/>
      <c r="K1969" s="79">
        <v>2</v>
      </c>
      <c r="L1969" s="79">
        <v>0</v>
      </c>
      <c r="M1969" s="127"/>
      <c r="N1969" s="79">
        <v>0</v>
      </c>
      <c r="O1969" s="79">
        <v>0</v>
      </c>
      <c r="P1969" s="107"/>
      <c r="R1969" s="148"/>
    </row>
    <row r="1970" spans="1:18">
      <c r="A1970" s="148">
        <v>820005</v>
      </c>
      <c r="B1970" s="121">
        <v>8200051</v>
      </c>
      <c r="C1970" s="79" t="s">
        <v>3894</v>
      </c>
      <c r="D1970" s="121">
        <f t="shared" si="152"/>
        <v>8200052</v>
      </c>
      <c r="E1970" s="79" t="s">
        <v>3895</v>
      </c>
      <c r="F1970" s="79">
        <v>9</v>
      </c>
      <c r="G1970" s="79">
        <v>0</v>
      </c>
      <c r="H1970" s="79" t="str">
        <f t="shared" si="153"/>
        <v>icon_820005</v>
      </c>
      <c r="I1970" s="79"/>
      <c r="J1970" s="79"/>
      <c r="K1970" s="79">
        <v>2</v>
      </c>
      <c r="L1970" s="79">
        <v>0</v>
      </c>
      <c r="M1970" s="127"/>
      <c r="N1970" s="79">
        <v>0</v>
      </c>
      <c r="O1970" s="79">
        <v>0</v>
      </c>
      <c r="P1970" s="107"/>
      <c r="R1970" s="148"/>
    </row>
    <row r="1971" spans="1:18">
      <c r="A1971" s="148">
        <v>820006</v>
      </c>
      <c r="B1971" s="121">
        <v>8200061</v>
      </c>
      <c r="C1971" s="79" t="s">
        <v>3896</v>
      </c>
      <c r="D1971" s="121">
        <f t="shared" si="152"/>
        <v>8200062</v>
      </c>
      <c r="E1971" s="79" t="s">
        <v>3895</v>
      </c>
      <c r="F1971" s="79">
        <v>9</v>
      </c>
      <c r="G1971" s="79">
        <v>0</v>
      </c>
      <c r="H1971" s="79" t="str">
        <f t="shared" si="153"/>
        <v>icon_820006</v>
      </c>
      <c r="I1971" s="79"/>
      <c r="J1971" s="79"/>
      <c r="K1971" s="79">
        <v>2</v>
      </c>
      <c r="L1971" s="79">
        <v>0</v>
      </c>
      <c r="M1971" s="127"/>
      <c r="N1971" s="79">
        <v>0</v>
      </c>
      <c r="O1971" s="79">
        <v>0</v>
      </c>
      <c r="P1971" s="107"/>
      <c r="R1971" s="148"/>
    </row>
    <row r="1972" spans="1:18">
      <c r="A1972" s="148">
        <v>820007</v>
      </c>
      <c r="B1972" s="121">
        <v>8200071</v>
      </c>
      <c r="C1972" s="79" t="s">
        <v>3897</v>
      </c>
      <c r="D1972" s="121">
        <f t="shared" si="152"/>
        <v>8200072</v>
      </c>
      <c r="E1972" s="79" t="s">
        <v>3898</v>
      </c>
      <c r="F1972" s="79">
        <v>9</v>
      </c>
      <c r="G1972" s="79">
        <v>0</v>
      </c>
      <c r="H1972" s="79" t="str">
        <f t="shared" si="153"/>
        <v>icon_820007</v>
      </c>
      <c r="I1972" s="79"/>
      <c r="J1972" s="79"/>
      <c r="K1972" s="79">
        <v>2</v>
      </c>
      <c r="L1972" s="79">
        <v>0</v>
      </c>
      <c r="M1972" s="127"/>
      <c r="N1972" s="79">
        <v>0</v>
      </c>
      <c r="O1972" s="79">
        <v>0</v>
      </c>
      <c r="P1972" s="107"/>
      <c r="R1972" s="148"/>
    </row>
    <row r="1973" spans="1:18">
      <c r="A1973" s="148">
        <v>820008</v>
      </c>
      <c r="B1973" s="121">
        <v>8200081</v>
      </c>
      <c r="C1973" s="79" t="s">
        <v>3899</v>
      </c>
      <c r="D1973" s="121">
        <f t="shared" si="152"/>
        <v>8200082</v>
      </c>
      <c r="E1973" s="79" t="s">
        <v>3900</v>
      </c>
      <c r="F1973" s="79">
        <v>9</v>
      </c>
      <c r="G1973" s="79">
        <v>0</v>
      </c>
      <c r="H1973" s="79" t="str">
        <f t="shared" si="153"/>
        <v>icon_820008</v>
      </c>
      <c r="I1973" s="79"/>
      <c r="J1973" s="79"/>
      <c r="K1973" s="79">
        <v>2</v>
      </c>
      <c r="L1973" s="79">
        <v>0</v>
      </c>
      <c r="M1973" s="127"/>
      <c r="N1973" s="79">
        <v>0</v>
      </c>
      <c r="O1973" s="79">
        <v>0</v>
      </c>
      <c r="P1973" s="107"/>
      <c r="R1973" s="148"/>
    </row>
    <row r="1974" spans="1:18">
      <c r="A1974" s="148">
        <v>820009</v>
      </c>
      <c r="B1974" s="121">
        <v>8200091</v>
      </c>
      <c r="C1974" s="79" t="s">
        <v>3901</v>
      </c>
      <c r="D1974" s="121">
        <f t="shared" si="152"/>
        <v>8200092</v>
      </c>
      <c r="E1974" s="79" t="s">
        <v>3902</v>
      </c>
      <c r="F1974" s="79">
        <v>9</v>
      </c>
      <c r="G1974" s="79">
        <v>0</v>
      </c>
      <c r="H1974" s="79" t="str">
        <f t="shared" si="153"/>
        <v>icon_820009</v>
      </c>
      <c r="I1974" s="79"/>
      <c r="J1974" s="79"/>
      <c r="K1974" s="79">
        <v>2</v>
      </c>
      <c r="L1974" s="79">
        <v>0</v>
      </c>
      <c r="M1974" s="127"/>
      <c r="N1974" s="79">
        <v>0</v>
      </c>
      <c r="O1974" s="79">
        <v>0</v>
      </c>
      <c r="P1974" s="107"/>
      <c r="R1974" s="148"/>
    </row>
    <row r="1975" spans="1:18">
      <c r="A1975" s="148">
        <v>820010</v>
      </c>
      <c r="B1975" s="121">
        <v>8200101</v>
      </c>
      <c r="C1975" s="79" t="s">
        <v>3903</v>
      </c>
      <c r="D1975" s="121">
        <f t="shared" si="152"/>
        <v>8200102</v>
      </c>
      <c r="E1975" s="79" t="s">
        <v>3904</v>
      </c>
      <c r="F1975" s="79">
        <v>9</v>
      </c>
      <c r="G1975" s="79">
        <v>0</v>
      </c>
      <c r="H1975" s="79" t="str">
        <f t="shared" si="153"/>
        <v>icon_820010</v>
      </c>
      <c r="I1975" s="79"/>
      <c r="J1975" s="79"/>
      <c r="K1975" s="79">
        <v>2</v>
      </c>
      <c r="L1975" s="79">
        <v>0</v>
      </c>
      <c r="M1975" s="127"/>
      <c r="N1975" s="79">
        <v>0</v>
      </c>
      <c r="O1975" s="79">
        <v>0</v>
      </c>
      <c r="P1975" s="107"/>
      <c r="R1975" s="148"/>
    </row>
    <row r="1976" spans="1:18">
      <c r="A1976" s="148">
        <v>820011</v>
      </c>
      <c r="B1976" s="121">
        <v>8200111</v>
      </c>
      <c r="C1976" s="79" t="s">
        <v>3905</v>
      </c>
      <c r="D1976" s="121">
        <f t="shared" si="152"/>
        <v>8200112</v>
      </c>
      <c r="E1976" s="79" t="s">
        <v>3906</v>
      </c>
      <c r="F1976" s="79">
        <v>9</v>
      </c>
      <c r="G1976" s="79">
        <v>0</v>
      </c>
      <c r="H1976" s="79" t="str">
        <f t="shared" si="153"/>
        <v>icon_820011</v>
      </c>
      <c r="I1976" s="79"/>
      <c r="J1976" s="79"/>
      <c r="K1976" s="79">
        <v>2</v>
      </c>
      <c r="L1976" s="79">
        <v>0</v>
      </c>
      <c r="M1976" s="127"/>
      <c r="N1976" s="79">
        <v>0</v>
      </c>
      <c r="O1976" s="79">
        <v>0</v>
      </c>
      <c r="P1976" s="107"/>
      <c r="R1976" s="148"/>
    </row>
    <row r="1977" spans="1:18">
      <c r="A1977" s="148">
        <v>820012</v>
      </c>
      <c r="B1977" s="121">
        <v>8200121</v>
      </c>
      <c r="C1977" s="79" t="s">
        <v>3907</v>
      </c>
      <c r="D1977" s="121">
        <f t="shared" si="152"/>
        <v>8200122</v>
      </c>
      <c r="E1977" s="79" t="s">
        <v>3908</v>
      </c>
      <c r="F1977" s="79">
        <v>9</v>
      </c>
      <c r="G1977" s="79">
        <v>0</v>
      </c>
      <c r="H1977" s="79" t="str">
        <f t="shared" si="153"/>
        <v>icon_820012</v>
      </c>
      <c r="I1977" s="79"/>
      <c r="J1977" s="79"/>
      <c r="K1977" s="79">
        <v>2</v>
      </c>
      <c r="L1977" s="79">
        <v>0</v>
      </c>
      <c r="M1977" s="127"/>
      <c r="N1977" s="79">
        <v>0</v>
      </c>
      <c r="O1977" s="79">
        <v>0</v>
      </c>
      <c r="P1977" s="107"/>
      <c r="R1977" s="148"/>
    </row>
    <row r="1978" spans="1:18">
      <c r="A1978" s="148">
        <v>820013</v>
      </c>
      <c r="B1978" s="121">
        <v>8200131</v>
      </c>
      <c r="C1978" s="79" t="s">
        <v>3909</v>
      </c>
      <c r="D1978" s="121">
        <f t="shared" si="152"/>
        <v>8200132</v>
      </c>
      <c r="E1978" s="79" t="s">
        <v>3910</v>
      </c>
      <c r="F1978" s="79">
        <v>9</v>
      </c>
      <c r="G1978" s="79">
        <v>0</v>
      </c>
      <c r="H1978" s="79" t="str">
        <f t="shared" si="153"/>
        <v>icon_820013</v>
      </c>
      <c r="I1978" s="79"/>
      <c r="J1978" s="79"/>
      <c r="K1978" s="79">
        <v>2</v>
      </c>
      <c r="L1978" s="79">
        <v>0</v>
      </c>
      <c r="M1978" s="127"/>
      <c r="N1978" s="79">
        <v>0</v>
      </c>
      <c r="O1978" s="79">
        <v>0</v>
      </c>
      <c r="P1978" s="107"/>
      <c r="R1978" s="148"/>
    </row>
    <row r="1979" spans="1:18">
      <c r="A1979" s="148">
        <v>820014</v>
      </c>
      <c r="B1979" s="121">
        <v>8200141</v>
      </c>
      <c r="C1979" s="79" t="s">
        <v>3911</v>
      </c>
      <c r="D1979" s="121">
        <f t="shared" si="152"/>
        <v>8200142</v>
      </c>
      <c r="E1979" s="79" t="s">
        <v>3912</v>
      </c>
      <c r="F1979" s="79">
        <v>9</v>
      </c>
      <c r="G1979" s="79">
        <v>0</v>
      </c>
      <c r="H1979" s="79" t="str">
        <f t="shared" si="153"/>
        <v>icon_820014</v>
      </c>
      <c r="I1979" s="79"/>
      <c r="J1979" s="79"/>
      <c r="K1979" s="79">
        <v>2</v>
      </c>
      <c r="L1979" s="79">
        <v>0</v>
      </c>
      <c r="M1979" s="127"/>
      <c r="N1979" s="79">
        <v>0</v>
      </c>
      <c r="O1979" s="79">
        <v>0</v>
      </c>
      <c r="P1979" s="107"/>
      <c r="R1979" s="148"/>
    </row>
    <row r="1980" spans="1:18">
      <c r="A1980" s="148">
        <v>820015</v>
      </c>
      <c r="B1980" s="121">
        <v>8200151</v>
      </c>
      <c r="C1980" s="79" t="s">
        <v>3913</v>
      </c>
      <c r="D1980" s="121">
        <f t="shared" si="152"/>
        <v>8200152</v>
      </c>
      <c r="E1980" s="79" t="s">
        <v>3914</v>
      </c>
      <c r="F1980" s="79">
        <v>9</v>
      </c>
      <c r="G1980" s="79">
        <v>0</v>
      </c>
      <c r="H1980" s="79" t="s">
        <v>3915</v>
      </c>
      <c r="I1980" s="79"/>
      <c r="J1980" s="79"/>
      <c r="K1980" s="79">
        <v>2</v>
      </c>
      <c r="L1980" s="79">
        <v>0</v>
      </c>
      <c r="M1980" s="127"/>
      <c r="N1980" s="79">
        <v>0</v>
      </c>
      <c r="O1980" s="79">
        <v>0</v>
      </c>
      <c r="P1980" s="107"/>
      <c r="R1980" s="148"/>
    </row>
    <row r="1981" spans="1:18">
      <c r="A1981" s="148">
        <v>820016</v>
      </c>
      <c r="B1981" s="121">
        <v>8200161</v>
      </c>
      <c r="C1981" s="79" t="s">
        <v>3916</v>
      </c>
      <c r="D1981" s="121">
        <f t="shared" si="152"/>
        <v>8200162</v>
      </c>
      <c r="E1981" s="79" t="s">
        <v>3917</v>
      </c>
      <c r="F1981" s="79">
        <v>9</v>
      </c>
      <c r="G1981" s="79">
        <v>0</v>
      </c>
      <c r="H1981" s="79" t="s">
        <v>3918</v>
      </c>
      <c r="I1981" s="79"/>
      <c r="J1981" s="79"/>
      <c r="K1981" s="79">
        <v>2</v>
      </c>
      <c r="L1981" s="79">
        <v>0</v>
      </c>
      <c r="M1981" s="127"/>
      <c r="N1981" s="79">
        <v>0</v>
      </c>
      <c r="O1981" s="79">
        <v>0</v>
      </c>
      <c r="P1981" s="107"/>
      <c r="R1981" s="148"/>
    </row>
    <row r="1982" spans="1:18">
      <c r="A1982" s="148">
        <v>820017</v>
      </c>
      <c r="B1982" s="121">
        <v>8200171</v>
      </c>
      <c r="C1982" s="79" t="s">
        <v>3919</v>
      </c>
      <c r="D1982" s="121">
        <f t="shared" si="152"/>
        <v>8200172</v>
      </c>
      <c r="E1982" s="79" t="s">
        <v>3920</v>
      </c>
      <c r="F1982" s="79">
        <v>9</v>
      </c>
      <c r="G1982" s="79">
        <v>0</v>
      </c>
      <c r="H1982" s="79" t="s">
        <v>3921</v>
      </c>
      <c r="I1982" s="79"/>
      <c r="J1982" s="79"/>
      <c r="K1982" s="79">
        <v>2</v>
      </c>
      <c r="L1982" s="79">
        <v>0</v>
      </c>
      <c r="M1982" s="127"/>
      <c r="N1982" s="79">
        <v>0</v>
      </c>
      <c r="O1982" s="79">
        <v>0</v>
      </c>
      <c r="P1982" s="107"/>
      <c r="R1982" s="148"/>
    </row>
    <row r="1983" spans="1:18">
      <c r="A1983" s="148">
        <v>820018</v>
      </c>
      <c r="B1983" s="121">
        <v>8200181</v>
      </c>
      <c r="C1983" s="79" t="s">
        <v>3922</v>
      </c>
      <c r="D1983" s="121">
        <f t="shared" si="152"/>
        <v>8200182</v>
      </c>
      <c r="E1983" s="79" t="s">
        <v>3923</v>
      </c>
      <c r="F1983" s="79">
        <v>9</v>
      </c>
      <c r="G1983" s="79">
        <v>0</v>
      </c>
      <c r="H1983" s="79" t="s">
        <v>3924</v>
      </c>
      <c r="I1983" s="79"/>
      <c r="J1983" s="79"/>
      <c r="K1983" s="79">
        <v>2</v>
      </c>
      <c r="L1983" s="79">
        <v>0</v>
      </c>
      <c r="M1983" s="127"/>
      <c r="N1983" s="79">
        <v>0</v>
      </c>
      <c r="O1983" s="79">
        <v>0</v>
      </c>
      <c r="P1983" s="107"/>
      <c r="R1983" s="148"/>
    </row>
    <row r="1984" spans="1:18">
      <c r="A1984" s="148">
        <v>830001</v>
      </c>
      <c r="B1984" s="121">
        <v>8300011</v>
      </c>
      <c r="C1984" s="79" t="s">
        <v>3925</v>
      </c>
      <c r="D1984" s="121">
        <f t="shared" si="152"/>
        <v>8300012</v>
      </c>
      <c r="E1984" s="92" t="s">
        <v>3926</v>
      </c>
      <c r="F1984" s="79">
        <v>14</v>
      </c>
      <c r="G1984" s="79">
        <v>0</v>
      </c>
      <c r="H1984" s="79" t="str">
        <f t="shared" ref="H1984:H2002" si="185">"icon_"&amp;A1984</f>
        <v>icon_830001</v>
      </c>
      <c r="I1984" s="79"/>
      <c r="J1984" s="79"/>
      <c r="K1984" s="79">
        <v>4</v>
      </c>
      <c r="L1984" s="79">
        <v>0</v>
      </c>
      <c r="M1984" s="127"/>
      <c r="N1984" s="79">
        <v>0</v>
      </c>
      <c r="O1984" s="79">
        <v>0</v>
      </c>
      <c r="P1984" s="107"/>
      <c r="R1984" s="148"/>
    </row>
    <row r="1985" spans="1:18">
      <c r="A1985" s="148">
        <v>830002</v>
      </c>
      <c r="B1985" s="121">
        <v>8300021</v>
      </c>
      <c r="C1985" s="79" t="s">
        <v>3925</v>
      </c>
      <c r="D1985" s="121">
        <f t="shared" si="152"/>
        <v>8300022</v>
      </c>
      <c r="E1985" s="92" t="s">
        <v>3927</v>
      </c>
      <c r="F1985" s="79">
        <v>14</v>
      </c>
      <c r="G1985" s="79">
        <v>0</v>
      </c>
      <c r="H1985" s="79" t="str">
        <f t="shared" si="185"/>
        <v>icon_830002</v>
      </c>
      <c r="I1985" s="79"/>
      <c r="J1985" s="79"/>
      <c r="K1985" s="79">
        <v>4</v>
      </c>
      <c r="L1985" s="79">
        <v>0</v>
      </c>
      <c r="M1985" s="127"/>
      <c r="N1985" s="79">
        <v>0</v>
      </c>
      <c r="O1985" s="79">
        <v>0</v>
      </c>
      <c r="P1985" s="107"/>
      <c r="R1985" s="148"/>
    </row>
    <row r="1986" spans="1:18">
      <c r="A1986" s="148">
        <v>830003</v>
      </c>
      <c r="B1986" s="121">
        <v>8300031</v>
      </c>
      <c r="C1986" s="79" t="s">
        <v>3925</v>
      </c>
      <c r="D1986" s="121">
        <f t="shared" si="152"/>
        <v>8300032</v>
      </c>
      <c r="E1986" s="92" t="s">
        <v>3928</v>
      </c>
      <c r="F1986" s="79">
        <v>14</v>
      </c>
      <c r="G1986" s="79">
        <v>0</v>
      </c>
      <c r="H1986" s="79" t="str">
        <f t="shared" si="185"/>
        <v>icon_830003</v>
      </c>
      <c r="I1986" s="79"/>
      <c r="J1986" s="79"/>
      <c r="K1986" s="79">
        <v>4</v>
      </c>
      <c r="L1986" s="79">
        <v>0</v>
      </c>
      <c r="M1986" s="127"/>
      <c r="N1986" s="79">
        <v>0</v>
      </c>
      <c r="O1986" s="79">
        <v>0</v>
      </c>
      <c r="P1986" s="107"/>
      <c r="R1986" s="148"/>
    </row>
    <row r="1987" spans="1:18">
      <c r="A1987" s="148">
        <v>830004</v>
      </c>
      <c r="B1987" s="121">
        <v>8300041</v>
      </c>
      <c r="C1987" s="79" t="s">
        <v>3925</v>
      </c>
      <c r="D1987" s="121">
        <f t="shared" si="152"/>
        <v>8300042</v>
      </c>
      <c r="E1987" s="92" t="s">
        <v>3929</v>
      </c>
      <c r="F1987" s="79">
        <v>14</v>
      </c>
      <c r="G1987" s="79">
        <v>0</v>
      </c>
      <c r="H1987" s="79" t="str">
        <f t="shared" si="185"/>
        <v>icon_830004</v>
      </c>
      <c r="I1987" s="79"/>
      <c r="J1987" s="79"/>
      <c r="K1987" s="79">
        <v>4</v>
      </c>
      <c r="L1987" s="79">
        <v>0</v>
      </c>
      <c r="M1987" s="127"/>
      <c r="N1987" s="79">
        <v>0</v>
      </c>
      <c r="O1987" s="79">
        <v>0</v>
      </c>
      <c r="P1987" s="107"/>
      <c r="R1987" s="148"/>
    </row>
    <row r="1988" spans="1:18">
      <c r="A1988" s="148">
        <v>830005</v>
      </c>
      <c r="B1988" s="121">
        <v>8300051</v>
      </c>
      <c r="C1988" s="79" t="s">
        <v>3925</v>
      </c>
      <c r="D1988" s="121">
        <f t="shared" si="152"/>
        <v>8300052</v>
      </c>
      <c r="E1988" s="92" t="s">
        <v>3930</v>
      </c>
      <c r="F1988" s="79">
        <v>14</v>
      </c>
      <c r="G1988" s="79">
        <v>0</v>
      </c>
      <c r="H1988" s="79" t="str">
        <f t="shared" si="185"/>
        <v>icon_830005</v>
      </c>
      <c r="I1988" s="79"/>
      <c r="J1988" s="79"/>
      <c r="K1988" s="79">
        <v>4</v>
      </c>
      <c r="L1988" s="79">
        <v>0</v>
      </c>
      <c r="M1988" s="127"/>
      <c r="N1988" s="79">
        <v>0</v>
      </c>
      <c r="O1988" s="79">
        <v>0</v>
      </c>
      <c r="P1988" s="107"/>
      <c r="R1988" s="148"/>
    </row>
    <row r="1989" spans="1:18">
      <c r="A1989" s="148">
        <v>830006</v>
      </c>
      <c r="B1989" s="121">
        <v>8300061</v>
      </c>
      <c r="C1989" s="79" t="s">
        <v>3925</v>
      </c>
      <c r="D1989" s="121">
        <f t="shared" si="152"/>
        <v>8300062</v>
      </c>
      <c r="E1989" s="92" t="s">
        <v>3931</v>
      </c>
      <c r="F1989" s="79">
        <v>14</v>
      </c>
      <c r="G1989" s="79">
        <v>0</v>
      </c>
      <c r="H1989" s="79" t="str">
        <f t="shared" si="185"/>
        <v>icon_830006</v>
      </c>
      <c r="I1989" s="79"/>
      <c r="J1989" s="79"/>
      <c r="K1989" s="79">
        <v>4</v>
      </c>
      <c r="L1989" s="79">
        <v>0</v>
      </c>
      <c r="M1989" s="127"/>
      <c r="N1989" s="79">
        <v>0</v>
      </c>
      <c r="O1989" s="79">
        <v>0</v>
      </c>
      <c r="P1989" s="107"/>
      <c r="R1989" s="148"/>
    </row>
    <row r="1990" spans="1:18">
      <c r="A1990" s="148">
        <v>830007</v>
      </c>
      <c r="B1990" s="121">
        <v>8300071</v>
      </c>
      <c r="C1990" s="79" t="s">
        <v>3925</v>
      </c>
      <c r="D1990" s="121">
        <f t="shared" si="152"/>
        <v>8300072</v>
      </c>
      <c r="E1990" s="92" t="s">
        <v>3932</v>
      </c>
      <c r="F1990" s="79">
        <v>14</v>
      </c>
      <c r="G1990" s="79">
        <v>0</v>
      </c>
      <c r="H1990" s="79" t="str">
        <f t="shared" si="185"/>
        <v>icon_830007</v>
      </c>
      <c r="I1990" s="79"/>
      <c r="J1990" s="79"/>
      <c r="K1990" s="79">
        <v>4</v>
      </c>
      <c r="L1990" s="79">
        <v>0</v>
      </c>
      <c r="M1990" s="127"/>
      <c r="N1990" s="79">
        <v>0</v>
      </c>
      <c r="O1990" s="79">
        <v>0</v>
      </c>
      <c r="P1990" s="107"/>
      <c r="R1990" s="148"/>
    </row>
    <row r="1991" spans="1:18">
      <c r="A1991" s="148">
        <v>830008</v>
      </c>
      <c r="B1991" s="121">
        <v>8300081</v>
      </c>
      <c r="C1991" s="79" t="s">
        <v>3925</v>
      </c>
      <c r="D1991" s="121">
        <f t="shared" si="152"/>
        <v>8300082</v>
      </c>
      <c r="E1991" s="92" t="s">
        <v>3933</v>
      </c>
      <c r="F1991" s="79">
        <v>14</v>
      </c>
      <c r="G1991" s="79">
        <v>0</v>
      </c>
      <c r="H1991" s="79" t="str">
        <f t="shared" si="185"/>
        <v>icon_830008</v>
      </c>
      <c r="I1991" s="79"/>
      <c r="J1991" s="79"/>
      <c r="K1991" s="79">
        <v>4</v>
      </c>
      <c r="L1991" s="79">
        <v>0</v>
      </c>
      <c r="M1991" s="127"/>
      <c r="N1991" s="79">
        <v>0</v>
      </c>
      <c r="O1991" s="79">
        <v>0</v>
      </c>
      <c r="P1991" s="107"/>
      <c r="R1991" s="148"/>
    </row>
    <row r="1992" spans="1:18">
      <c r="A1992" s="148">
        <v>830009</v>
      </c>
      <c r="B1992" s="121">
        <v>8300091</v>
      </c>
      <c r="C1992" s="79" t="s">
        <v>3925</v>
      </c>
      <c r="D1992" s="121">
        <f t="shared" si="152"/>
        <v>8300092</v>
      </c>
      <c r="E1992" s="92" t="s">
        <v>3934</v>
      </c>
      <c r="F1992" s="79">
        <v>14</v>
      </c>
      <c r="G1992" s="79">
        <v>0</v>
      </c>
      <c r="H1992" s="79" t="str">
        <f t="shared" si="185"/>
        <v>icon_830009</v>
      </c>
      <c r="I1992" s="79"/>
      <c r="J1992" s="79"/>
      <c r="K1992" s="79">
        <v>4</v>
      </c>
      <c r="L1992" s="79">
        <v>0</v>
      </c>
      <c r="M1992" s="127"/>
      <c r="N1992" s="79">
        <v>0</v>
      </c>
      <c r="O1992" s="79">
        <v>0</v>
      </c>
      <c r="P1992" s="107"/>
      <c r="R1992" s="148"/>
    </row>
    <row r="1993" spans="1:18">
      <c r="A1993" s="148">
        <v>830010</v>
      </c>
      <c r="B1993" s="121">
        <v>8300101</v>
      </c>
      <c r="C1993" s="79" t="s">
        <v>3925</v>
      </c>
      <c r="D1993" s="121">
        <f t="shared" si="152"/>
        <v>8300102</v>
      </c>
      <c r="E1993" s="92" t="s">
        <v>3935</v>
      </c>
      <c r="F1993" s="79">
        <v>14</v>
      </c>
      <c r="G1993" s="79">
        <v>0</v>
      </c>
      <c r="H1993" s="79" t="str">
        <f t="shared" si="185"/>
        <v>icon_830010</v>
      </c>
      <c r="I1993" s="79"/>
      <c r="J1993" s="79"/>
      <c r="K1993" s="79">
        <v>4</v>
      </c>
      <c r="L1993" s="79">
        <v>0</v>
      </c>
      <c r="M1993" s="127"/>
      <c r="N1993" s="79">
        <v>0</v>
      </c>
      <c r="O1993" s="79">
        <v>0</v>
      </c>
      <c r="P1993" s="107"/>
      <c r="R1993" s="148"/>
    </row>
    <row r="1994" spans="1:18">
      <c r="A1994" s="148">
        <v>830011</v>
      </c>
      <c r="B1994" s="121">
        <v>8300111</v>
      </c>
      <c r="C1994" s="79" t="s">
        <v>3925</v>
      </c>
      <c r="D1994" s="121">
        <f t="shared" ref="D1994:D2025" si="186">A1994*10+2</f>
        <v>8300112</v>
      </c>
      <c r="E1994" s="92" t="s">
        <v>3936</v>
      </c>
      <c r="F1994" s="79">
        <v>14</v>
      </c>
      <c r="G1994" s="79">
        <v>0</v>
      </c>
      <c r="H1994" s="79" t="str">
        <f t="shared" si="185"/>
        <v>icon_830011</v>
      </c>
      <c r="I1994" s="79"/>
      <c r="J1994" s="79"/>
      <c r="K1994" s="79">
        <v>4</v>
      </c>
      <c r="L1994" s="79">
        <v>0</v>
      </c>
      <c r="M1994" s="127"/>
      <c r="N1994" s="79">
        <v>0</v>
      </c>
      <c r="O1994" s="79">
        <v>0</v>
      </c>
      <c r="P1994" s="107"/>
      <c r="R1994" s="148"/>
    </row>
    <row r="1995" spans="1:18">
      <c r="A1995" s="148">
        <v>830012</v>
      </c>
      <c r="B1995" s="121">
        <v>8300121</v>
      </c>
      <c r="C1995" s="79" t="s">
        <v>3925</v>
      </c>
      <c r="D1995" s="121">
        <f t="shared" si="186"/>
        <v>8300122</v>
      </c>
      <c r="E1995" s="92" t="s">
        <v>3937</v>
      </c>
      <c r="F1995" s="79">
        <v>14</v>
      </c>
      <c r="G1995" s="79">
        <v>0</v>
      </c>
      <c r="H1995" s="79" t="str">
        <f t="shared" si="185"/>
        <v>icon_830012</v>
      </c>
      <c r="I1995" s="79"/>
      <c r="J1995" s="79"/>
      <c r="K1995" s="79">
        <v>4</v>
      </c>
      <c r="L1995" s="79">
        <v>0</v>
      </c>
      <c r="M1995" s="127"/>
      <c r="N1995" s="79">
        <v>0</v>
      </c>
      <c r="O1995" s="79">
        <v>0</v>
      </c>
      <c r="P1995" s="107"/>
      <c r="R1995" s="148"/>
    </row>
    <row r="1996" spans="1:18">
      <c r="A1996" s="148">
        <v>830013</v>
      </c>
      <c r="B1996" s="121">
        <v>8300131</v>
      </c>
      <c r="C1996" s="79" t="s">
        <v>3925</v>
      </c>
      <c r="D1996" s="121">
        <f t="shared" si="186"/>
        <v>8300132</v>
      </c>
      <c r="E1996" s="92" t="s">
        <v>3938</v>
      </c>
      <c r="F1996" s="79">
        <v>14</v>
      </c>
      <c r="G1996" s="79">
        <v>0</v>
      </c>
      <c r="H1996" s="79" t="str">
        <f t="shared" si="185"/>
        <v>icon_830013</v>
      </c>
      <c r="I1996" s="79"/>
      <c r="J1996" s="79"/>
      <c r="K1996" s="79">
        <v>4</v>
      </c>
      <c r="L1996" s="79">
        <v>0</v>
      </c>
      <c r="M1996" s="127"/>
      <c r="N1996" s="79">
        <v>0</v>
      </c>
      <c r="O1996" s="79">
        <v>0</v>
      </c>
      <c r="P1996" s="107"/>
      <c r="R1996" s="148"/>
    </row>
    <row r="1997" spans="1:18">
      <c r="A1997" s="148">
        <v>830014</v>
      </c>
      <c r="B1997" s="121">
        <v>8300141</v>
      </c>
      <c r="C1997" s="79" t="s">
        <v>3925</v>
      </c>
      <c r="D1997" s="121">
        <f t="shared" si="186"/>
        <v>8300142</v>
      </c>
      <c r="E1997" s="92" t="s">
        <v>3939</v>
      </c>
      <c r="F1997" s="79">
        <v>14</v>
      </c>
      <c r="G1997" s="79">
        <v>0</v>
      </c>
      <c r="H1997" s="79" t="str">
        <f t="shared" si="185"/>
        <v>icon_830014</v>
      </c>
      <c r="I1997" s="79"/>
      <c r="J1997" s="79"/>
      <c r="K1997" s="79">
        <v>4</v>
      </c>
      <c r="L1997" s="79">
        <v>0</v>
      </c>
      <c r="M1997" s="127"/>
      <c r="N1997" s="79">
        <v>0</v>
      </c>
      <c r="O1997" s="79">
        <v>0</v>
      </c>
      <c r="P1997" s="107"/>
      <c r="R1997" s="148"/>
    </row>
    <row r="1998" spans="1:18">
      <c r="A1998" s="148">
        <v>830015</v>
      </c>
      <c r="B1998" s="121">
        <v>8300151</v>
      </c>
      <c r="C1998" s="79" t="s">
        <v>3925</v>
      </c>
      <c r="D1998" s="121">
        <f t="shared" si="186"/>
        <v>8300152</v>
      </c>
      <c r="E1998" s="92" t="s">
        <v>3940</v>
      </c>
      <c r="F1998" s="79">
        <v>14</v>
      </c>
      <c r="G1998" s="79">
        <v>0</v>
      </c>
      <c r="H1998" s="79" t="str">
        <f t="shared" si="185"/>
        <v>icon_830015</v>
      </c>
      <c r="I1998" s="79"/>
      <c r="J1998" s="79"/>
      <c r="K1998" s="79">
        <v>4</v>
      </c>
      <c r="L1998" s="79">
        <v>0</v>
      </c>
      <c r="M1998" s="127"/>
      <c r="N1998" s="79">
        <v>0</v>
      </c>
      <c r="O1998" s="79">
        <v>0</v>
      </c>
      <c r="P1998" s="107"/>
      <c r="R1998" s="79"/>
    </row>
    <row r="1999" spans="1:18">
      <c r="A1999" s="148">
        <v>830016</v>
      </c>
      <c r="B1999" s="121">
        <v>8300161</v>
      </c>
      <c r="C1999" s="79" t="s">
        <v>3925</v>
      </c>
      <c r="D1999" s="121">
        <f t="shared" si="186"/>
        <v>8300162</v>
      </c>
      <c r="E1999" s="92" t="s">
        <v>3941</v>
      </c>
      <c r="F1999" s="79">
        <v>14</v>
      </c>
      <c r="G1999" s="79">
        <v>0</v>
      </c>
      <c r="H1999" s="79" t="str">
        <f t="shared" si="185"/>
        <v>icon_830016</v>
      </c>
      <c r="I1999" s="79"/>
      <c r="J1999" s="79"/>
      <c r="K1999" s="79">
        <v>4</v>
      </c>
      <c r="L1999" s="79">
        <v>0</v>
      </c>
      <c r="M1999" s="127"/>
      <c r="N1999" s="79">
        <v>0</v>
      </c>
      <c r="O1999" s="79">
        <v>0</v>
      </c>
      <c r="P1999" s="107"/>
      <c r="R1999" s="79"/>
    </row>
    <row r="2000" spans="1:18">
      <c r="A2000" s="148">
        <v>830017</v>
      </c>
      <c r="B2000" s="121">
        <v>8300171</v>
      </c>
      <c r="C2000" s="79" t="s">
        <v>3925</v>
      </c>
      <c r="D2000" s="121">
        <f t="shared" si="186"/>
        <v>8300172</v>
      </c>
      <c r="E2000" s="92" t="s">
        <v>3942</v>
      </c>
      <c r="F2000" s="79">
        <v>14</v>
      </c>
      <c r="G2000" s="79">
        <v>0</v>
      </c>
      <c r="H2000" s="79" t="str">
        <f t="shared" si="185"/>
        <v>icon_830017</v>
      </c>
      <c r="I2000" s="79"/>
      <c r="J2000" s="79"/>
      <c r="K2000" s="79">
        <v>4</v>
      </c>
      <c r="L2000" s="79">
        <v>0</v>
      </c>
      <c r="M2000" s="127"/>
      <c r="N2000" s="79">
        <v>0</v>
      </c>
      <c r="O2000" s="79">
        <v>0</v>
      </c>
      <c r="P2000" s="107"/>
      <c r="R2000" s="79"/>
    </row>
    <row r="2001" spans="1:18">
      <c r="A2001" s="148">
        <v>830018</v>
      </c>
      <c r="B2001" s="121">
        <v>8300181</v>
      </c>
      <c r="C2001" s="79" t="s">
        <v>3925</v>
      </c>
      <c r="D2001" s="121">
        <f t="shared" si="186"/>
        <v>8300182</v>
      </c>
      <c r="E2001" s="92" t="s">
        <v>3943</v>
      </c>
      <c r="F2001" s="79">
        <v>14</v>
      </c>
      <c r="G2001" s="79">
        <v>0</v>
      </c>
      <c r="H2001" s="79" t="str">
        <f t="shared" si="185"/>
        <v>icon_830018</v>
      </c>
      <c r="I2001" s="79"/>
      <c r="J2001" s="79"/>
      <c r="K2001" s="79">
        <v>4</v>
      </c>
      <c r="L2001" s="79">
        <v>0</v>
      </c>
      <c r="M2001" s="127"/>
      <c r="N2001" s="79">
        <v>0</v>
      </c>
      <c r="O2001" s="79">
        <v>0</v>
      </c>
      <c r="P2001" s="107"/>
      <c r="R2001" s="79"/>
    </row>
    <row r="2002" spans="1:18">
      <c r="A2002" s="148">
        <v>830019</v>
      </c>
      <c r="B2002" s="121">
        <v>8300191</v>
      </c>
      <c r="C2002" s="79" t="s">
        <v>3925</v>
      </c>
      <c r="D2002" s="121">
        <f t="shared" si="186"/>
        <v>8300192</v>
      </c>
      <c r="E2002" s="92" t="s">
        <v>3944</v>
      </c>
      <c r="F2002" s="79">
        <v>14</v>
      </c>
      <c r="G2002" s="79">
        <v>0</v>
      </c>
      <c r="H2002" s="79" t="str">
        <f t="shared" si="185"/>
        <v>icon_830019</v>
      </c>
      <c r="I2002" s="79"/>
      <c r="J2002" s="79"/>
      <c r="K2002" s="79">
        <v>4</v>
      </c>
      <c r="L2002" s="79">
        <v>0</v>
      </c>
      <c r="M2002" s="127"/>
      <c r="N2002" s="79">
        <v>0</v>
      </c>
      <c r="O2002" s="79">
        <v>0</v>
      </c>
      <c r="P2002" s="107"/>
      <c r="R2002" s="79"/>
    </row>
    <row r="2003" spans="1:18">
      <c r="A2003" s="148">
        <v>840001</v>
      </c>
      <c r="B2003" s="121">
        <v>8400011</v>
      </c>
      <c r="C2003" s="79" t="s">
        <v>3945</v>
      </c>
      <c r="D2003" s="121">
        <f t="shared" si="186"/>
        <v>8400012</v>
      </c>
      <c r="E2003" s="92" t="s">
        <v>3946</v>
      </c>
      <c r="F2003" s="79">
        <v>15</v>
      </c>
      <c r="G2003" s="79">
        <v>0</v>
      </c>
      <c r="H2003" s="79" t="s">
        <v>3947</v>
      </c>
      <c r="I2003" s="79"/>
      <c r="J2003" s="79"/>
      <c r="K2003" s="79">
        <v>4</v>
      </c>
      <c r="L2003" s="79">
        <v>0</v>
      </c>
      <c r="M2003" s="127"/>
      <c r="N2003" s="79">
        <v>0</v>
      </c>
      <c r="O2003" s="79">
        <v>0</v>
      </c>
      <c r="P2003" s="107"/>
      <c r="R2003" s="79"/>
    </row>
    <row r="2004" spans="1:18">
      <c r="A2004" s="148">
        <v>840002</v>
      </c>
      <c r="B2004" s="121">
        <v>8400021</v>
      </c>
      <c r="C2004" s="79" t="s">
        <v>3948</v>
      </c>
      <c r="D2004" s="121">
        <f t="shared" si="186"/>
        <v>8400022</v>
      </c>
      <c r="E2004" s="79" t="s">
        <v>3949</v>
      </c>
      <c r="F2004" s="79">
        <v>15</v>
      </c>
      <c r="G2004" s="79">
        <v>0</v>
      </c>
      <c r="H2004" s="79" t="s">
        <v>3950</v>
      </c>
      <c r="I2004" s="79"/>
      <c r="J2004" s="79"/>
      <c r="K2004" s="79">
        <v>4</v>
      </c>
      <c r="L2004" s="79">
        <v>0</v>
      </c>
      <c r="M2004" s="127"/>
      <c r="N2004" s="79">
        <v>0</v>
      </c>
      <c r="O2004" s="79">
        <v>0</v>
      </c>
      <c r="P2004" s="107"/>
      <c r="R2004" s="79"/>
    </row>
    <row r="2005" spans="1:18">
      <c r="A2005" s="148">
        <v>840003</v>
      </c>
      <c r="B2005" s="121">
        <v>8400031</v>
      </c>
      <c r="C2005" s="79" t="s">
        <v>3951</v>
      </c>
      <c r="D2005" s="121">
        <f t="shared" si="186"/>
        <v>8400032</v>
      </c>
      <c r="E2005" s="92" t="s">
        <v>3952</v>
      </c>
      <c r="F2005" s="79">
        <v>15</v>
      </c>
      <c r="G2005" s="79">
        <v>0</v>
      </c>
      <c r="H2005" s="79" t="s">
        <v>3953</v>
      </c>
      <c r="I2005" s="79"/>
      <c r="J2005" s="79"/>
      <c r="K2005" s="79">
        <v>4</v>
      </c>
      <c r="L2005" s="79">
        <v>0</v>
      </c>
      <c r="M2005" s="127"/>
      <c r="N2005" s="79">
        <v>0</v>
      </c>
      <c r="O2005" s="79">
        <v>0</v>
      </c>
      <c r="P2005" s="107"/>
      <c r="R2005" s="79"/>
    </row>
    <row r="2006" spans="1:18">
      <c r="A2006" s="148">
        <v>840004</v>
      </c>
      <c r="B2006" s="121">
        <v>8400041</v>
      </c>
      <c r="C2006" s="79" t="s">
        <v>3954</v>
      </c>
      <c r="D2006" s="121">
        <f t="shared" si="186"/>
        <v>8400042</v>
      </c>
      <c r="E2006" s="92" t="s">
        <v>3955</v>
      </c>
      <c r="F2006" s="79">
        <v>15</v>
      </c>
      <c r="G2006" s="79">
        <v>0</v>
      </c>
      <c r="H2006" s="79" t="s">
        <v>3956</v>
      </c>
      <c r="I2006" s="79"/>
      <c r="J2006" s="79"/>
      <c r="K2006" s="79">
        <v>4</v>
      </c>
      <c r="L2006" s="79">
        <v>0</v>
      </c>
      <c r="M2006" s="127"/>
      <c r="N2006" s="79">
        <v>0</v>
      </c>
      <c r="O2006" s="79">
        <v>0</v>
      </c>
      <c r="P2006" s="107"/>
      <c r="R2006" s="79"/>
    </row>
    <row r="2007" spans="1:18">
      <c r="A2007" s="148">
        <v>840005</v>
      </c>
      <c r="B2007" s="121">
        <v>8400051</v>
      </c>
      <c r="C2007" s="79" t="s">
        <v>3957</v>
      </c>
      <c r="D2007" s="121">
        <f t="shared" si="186"/>
        <v>8400052</v>
      </c>
      <c r="E2007" s="92" t="s">
        <v>3958</v>
      </c>
      <c r="F2007" s="79">
        <v>15</v>
      </c>
      <c r="G2007" s="79">
        <v>0</v>
      </c>
      <c r="H2007" s="79" t="s">
        <v>3959</v>
      </c>
      <c r="I2007" s="79"/>
      <c r="J2007" s="79"/>
      <c r="K2007" s="79">
        <v>4</v>
      </c>
      <c r="L2007" s="79">
        <v>0</v>
      </c>
      <c r="M2007" s="127"/>
      <c r="N2007" s="79">
        <v>0</v>
      </c>
      <c r="O2007" s="79">
        <v>0</v>
      </c>
      <c r="P2007" s="107"/>
      <c r="R2007" s="79"/>
    </row>
    <row r="2008" spans="1:18">
      <c r="A2008" s="148">
        <v>840006</v>
      </c>
      <c r="B2008" s="121">
        <v>8400061</v>
      </c>
      <c r="C2008" s="79" t="s">
        <v>3960</v>
      </c>
      <c r="D2008" s="121">
        <f t="shared" si="186"/>
        <v>8400062</v>
      </c>
      <c r="E2008" s="93" t="s">
        <v>3961</v>
      </c>
      <c r="F2008" s="79">
        <v>15</v>
      </c>
      <c r="G2008" s="79">
        <v>0</v>
      </c>
      <c r="H2008" s="79" t="s">
        <v>3962</v>
      </c>
      <c r="I2008" s="79"/>
      <c r="J2008" s="79"/>
      <c r="K2008" s="79">
        <v>4</v>
      </c>
      <c r="L2008" s="79">
        <v>0</v>
      </c>
      <c r="M2008" s="127"/>
      <c r="N2008" s="79">
        <v>0</v>
      </c>
      <c r="O2008" s="79">
        <v>0</v>
      </c>
      <c r="P2008" s="107"/>
      <c r="R2008" s="79"/>
    </row>
    <row r="2009" spans="1:18">
      <c r="A2009" s="148">
        <v>840007</v>
      </c>
      <c r="B2009" s="121">
        <v>8400071</v>
      </c>
      <c r="C2009" s="93" t="s">
        <v>3963</v>
      </c>
      <c r="D2009" s="121">
        <f t="shared" si="186"/>
        <v>8400072</v>
      </c>
      <c r="E2009" s="93" t="s">
        <v>3964</v>
      </c>
      <c r="F2009" s="79">
        <v>15</v>
      </c>
      <c r="G2009" s="79">
        <v>0</v>
      </c>
      <c r="H2009" s="93" t="s">
        <v>3965</v>
      </c>
      <c r="I2009" s="79"/>
      <c r="J2009" s="79"/>
      <c r="K2009" s="79">
        <v>4</v>
      </c>
      <c r="L2009" s="79">
        <v>0</v>
      </c>
      <c r="M2009" s="127"/>
      <c r="N2009" s="79">
        <v>0</v>
      </c>
      <c r="O2009" s="79">
        <v>0</v>
      </c>
      <c r="P2009" s="107"/>
      <c r="R2009" s="79"/>
    </row>
    <row r="2010" spans="1:18">
      <c r="A2010" s="148">
        <v>840008</v>
      </c>
      <c r="B2010" s="121">
        <v>8400081</v>
      </c>
      <c r="C2010" s="79" t="s">
        <v>3966</v>
      </c>
      <c r="D2010" s="121">
        <f t="shared" si="186"/>
        <v>8400082</v>
      </c>
      <c r="E2010" s="92" t="s">
        <v>3967</v>
      </c>
      <c r="F2010" s="79">
        <v>15</v>
      </c>
      <c r="G2010" s="79">
        <v>0</v>
      </c>
      <c r="H2010" s="79" t="s">
        <v>2959</v>
      </c>
      <c r="I2010" s="79"/>
      <c r="J2010" s="79"/>
      <c r="K2010" s="79">
        <v>4</v>
      </c>
      <c r="L2010" s="79">
        <v>0</v>
      </c>
      <c r="M2010" s="127"/>
      <c r="N2010" s="79">
        <v>0</v>
      </c>
      <c r="O2010" s="79">
        <v>0</v>
      </c>
      <c r="P2010" s="107"/>
      <c r="R2010" s="79"/>
    </row>
    <row r="2011" spans="1:18">
      <c r="A2011" s="148">
        <v>840009</v>
      </c>
      <c r="B2011" s="121">
        <v>8400091</v>
      </c>
      <c r="C2011" s="79" t="s">
        <v>3968</v>
      </c>
      <c r="D2011" s="121">
        <f t="shared" si="186"/>
        <v>8400092</v>
      </c>
      <c r="E2011" s="92" t="s">
        <v>3969</v>
      </c>
      <c r="F2011" s="79">
        <v>15</v>
      </c>
      <c r="G2011" s="79">
        <v>0</v>
      </c>
      <c r="H2011" s="79" t="s">
        <v>3970</v>
      </c>
      <c r="I2011" s="79"/>
      <c r="J2011" s="79"/>
      <c r="K2011" s="79">
        <v>4</v>
      </c>
      <c r="L2011" s="79">
        <v>0</v>
      </c>
      <c r="M2011" s="127"/>
      <c r="N2011" s="79">
        <v>0</v>
      </c>
      <c r="O2011" s="79">
        <v>0</v>
      </c>
      <c r="P2011" s="107"/>
      <c r="R2011" s="79"/>
    </row>
    <row r="2012" spans="1:18">
      <c r="A2012" s="148">
        <v>840010</v>
      </c>
      <c r="B2012" s="121">
        <v>8400101</v>
      </c>
      <c r="C2012" s="79" t="s">
        <v>3971</v>
      </c>
      <c r="D2012" s="121">
        <f t="shared" si="186"/>
        <v>8400102</v>
      </c>
      <c r="E2012" s="92" t="s">
        <v>3972</v>
      </c>
      <c r="F2012" s="79">
        <v>15</v>
      </c>
      <c r="G2012" s="79">
        <v>0</v>
      </c>
      <c r="H2012" s="79" t="s">
        <v>3973</v>
      </c>
      <c r="I2012" s="79"/>
      <c r="J2012" s="79"/>
      <c r="K2012" s="79">
        <v>4</v>
      </c>
      <c r="L2012" s="79">
        <v>0</v>
      </c>
      <c r="M2012" s="127"/>
      <c r="N2012" s="79">
        <v>0</v>
      </c>
      <c r="O2012" s="79">
        <v>0</v>
      </c>
      <c r="P2012" s="107"/>
      <c r="R2012" s="79"/>
    </row>
    <row r="2013" spans="1:18">
      <c r="A2013" s="148">
        <v>840011</v>
      </c>
      <c r="B2013" s="121">
        <v>8400111</v>
      </c>
      <c r="C2013" s="79" t="s">
        <v>3974</v>
      </c>
      <c r="D2013" s="121">
        <f t="shared" si="186"/>
        <v>8400112</v>
      </c>
      <c r="E2013" s="92" t="s">
        <v>3975</v>
      </c>
      <c r="F2013" s="79">
        <v>15</v>
      </c>
      <c r="G2013" s="79">
        <v>0</v>
      </c>
      <c r="H2013" s="92" t="s">
        <v>3976</v>
      </c>
      <c r="I2013" s="79"/>
      <c r="J2013" s="79"/>
      <c r="K2013" s="79">
        <v>4</v>
      </c>
      <c r="L2013" s="79">
        <v>0</v>
      </c>
      <c r="M2013" s="127"/>
      <c r="N2013" s="79">
        <v>0</v>
      </c>
      <c r="O2013" s="79">
        <v>0</v>
      </c>
      <c r="P2013" s="107"/>
      <c r="R2013" s="79"/>
    </row>
    <row r="2014" spans="1:18">
      <c r="A2014" s="148">
        <v>840012</v>
      </c>
      <c r="B2014" s="121">
        <v>8400121</v>
      </c>
      <c r="C2014" s="79" t="s">
        <v>3977</v>
      </c>
      <c r="D2014" s="121">
        <f t="shared" si="186"/>
        <v>8400122</v>
      </c>
      <c r="E2014" s="92" t="s">
        <v>3978</v>
      </c>
      <c r="F2014" s="79">
        <v>15</v>
      </c>
      <c r="G2014" s="79">
        <v>0</v>
      </c>
      <c r="H2014" s="92" t="s">
        <v>3979</v>
      </c>
      <c r="I2014" s="79"/>
      <c r="J2014" s="79"/>
      <c r="K2014" s="79">
        <v>4</v>
      </c>
      <c r="L2014" s="79">
        <v>0</v>
      </c>
      <c r="M2014" s="127"/>
      <c r="N2014" s="79">
        <v>0</v>
      </c>
      <c r="O2014" s="79">
        <v>0</v>
      </c>
      <c r="P2014" s="107"/>
      <c r="R2014" s="79"/>
    </row>
    <row r="2015" spans="1:18">
      <c r="A2015" s="148">
        <v>840013</v>
      </c>
      <c r="B2015" s="121">
        <f>A2015*10+1</f>
        <v>8400131</v>
      </c>
      <c r="C2015" s="79" t="s">
        <v>3980</v>
      </c>
      <c r="D2015" s="121">
        <f t="shared" si="186"/>
        <v>8400132</v>
      </c>
      <c r="E2015" s="93" t="s">
        <v>3981</v>
      </c>
      <c r="F2015" s="79">
        <v>15</v>
      </c>
      <c r="G2015" s="79">
        <v>0</v>
      </c>
      <c r="H2015" s="92" t="s">
        <v>3982</v>
      </c>
      <c r="I2015" s="79"/>
      <c r="J2015" s="79"/>
      <c r="K2015" s="79">
        <v>4</v>
      </c>
      <c r="L2015" s="79">
        <v>0</v>
      </c>
      <c r="M2015" s="127"/>
      <c r="N2015" s="79">
        <v>0</v>
      </c>
      <c r="O2015" s="79">
        <v>0</v>
      </c>
      <c r="P2015" s="107"/>
      <c r="R2015" s="79"/>
    </row>
    <row r="2016" spans="1:18">
      <c r="A2016" s="148">
        <v>840014</v>
      </c>
      <c r="B2016" s="121">
        <v>8400141</v>
      </c>
      <c r="C2016" s="79" t="s">
        <v>3983</v>
      </c>
      <c r="D2016" s="121">
        <f t="shared" si="186"/>
        <v>8400142</v>
      </c>
      <c r="E2016" s="93" t="s">
        <v>3984</v>
      </c>
      <c r="F2016" s="79">
        <v>15</v>
      </c>
      <c r="G2016" s="79">
        <v>0</v>
      </c>
      <c r="H2016" s="92" t="s">
        <v>3985</v>
      </c>
      <c r="I2016" s="79"/>
      <c r="J2016" s="79"/>
      <c r="K2016" s="79">
        <v>5</v>
      </c>
      <c r="L2016" s="79">
        <v>0</v>
      </c>
      <c r="M2016" s="127"/>
      <c r="N2016" s="79">
        <v>0</v>
      </c>
      <c r="O2016" s="79">
        <v>0</v>
      </c>
      <c r="P2016" s="107"/>
      <c r="R2016" s="79"/>
    </row>
    <row r="2017" spans="1:18">
      <c r="A2017" s="148">
        <v>840015</v>
      </c>
      <c r="B2017" s="121">
        <v>8400151</v>
      </c>
      <c r="C2017" s="79" t="s">
        <v>3986</v>
      </c>
      <c r="D2017" s="121">
        <f t="shared" si="186"/>
        <v>8400152</v>
      </c>
      <c r="E2017" s="93" t="s">
        <v>3987</v>
      </c>
      <c r="F2017" s="79">
        <v>15</v>
      </c>
      <c r="G2017" s="79">
        <v>0</v>
      </c>
      <c r="H2017" s="92" t="s">
        <v>3988</v>
      </c>
      <c r="I2017" s="79"/>
      <c r="J2017" s="79"/>
      <c r="K2017" s="79">
        <v>5</v>
      </c>
      <c r="L2017" s="79">
        <v>0</v>
      </c>
      <c r="M2017" s="127"/>
      <c r="N2017" s="79">
        <v>0</v>
      </c>
      <c r="O2017" s="79">
        <v>0</v>
      </c>
      <c r="P2017" s="107"/>
      <c r="R2017" s="79"/>
    </row>
    <row r="2018" spans="1:18">
      <c r="A2018" s="148">
        <v>840016</v>
      </c>
      <c r="B2018" s="121">
        <f t="shared" ref="B2018:B2023" si="187">A2018*10+1</f>
        <v>8400161</v>
      </c>
      <c r="C2018" s="79" t="s">
        <v>3989</v>
      </c>
      <c r="D2018" s="121">
        <f t="shared" si="186"/>
        <v>8400162</v>
      </c>
      <c r="E2018" s="93" t="s">
        <v>3990</v>
      </c>
      <c r="F2018" s="79">
        <v>15</v>
      </c>
      <c r="G2018" s="79">
        <v>0</v>
      </c>
      <c r="H2018" s="92" t="s">
        <v>3991</v>
      </c>
      <c r="I2018" s="79"/>
      <c r="J2018" s="79"/>
      <c r="K2018" s="79">
        <v>5</v>
      </c>
      <c r="L2018" s="79">
        <v>0</v>
      </c>
      <c r="M2018" s="127"/>
      <c r="N2018" s="79">
        <v>0</v>
      </c>
      <c r="O2018" s="79">
        <v>0</v>
      </c>
      <c r="P2018" s="107"/>
      <c r="R2018" s="79"/>
    </row>
    <row r="2019" spans="1:18">
      <c r="A2019" s="148">
        <v>840017</v>
      </c>
      <c r="B2019" s="121">
        <f t="shared" si="187"/>
        <v>8400171</v>
      </c>
      <c r="C2019" s="79" t="s">
        <v>3992</v>
      </c>
      <c r="D2019" s="121">
        <f t="shared" si="186"/>
        <v>8400172</v>
      </c>
      <c r="E2019" s="93" t="s">
        <v>3993</v>
      </c>
      <c r="F2019" s="79">
        <v>15</v>
      </c>
      <c r="G2019" s="79">
        <v>0</v>
      </c>
      <c r="H2019" s="92" t="s">
        <v>3994</v>
      </c>
      <c r="I2019" s="79"/>
      <c r="J2019" s="79"/>
      <c r="K2019" s="79">
        <v>5</v>
      </c>
      <c r="L2019" s="79">
        <v>0</v>
      </c>
      <c r="M2019" s="127"/>
      <c r="N2019" s="79">
        <v>0</v>
      </c>
      <c r="O2019" s="79">
        <v>0</v>
      </c>
      <c r="P2019" s="107"/>
      <c r="R2019" s="79"/>
    </row>
    <row r="2020" spans="1:18">
      <c r="A2020" s="148">
        <v>840018</v>
      </c>
      <c r="B2020" s="121">
        <f t="shared" si="187"/>
        <v>8400181</v>
      </c>
      <c r="C2020" s="79" t="s">
        <v>3995</v>
      </c>
      <c r="D2020" s="121">
        <f t="shared" si="186"/>
        <v>8400182</v>
      </c>
      <c r="E2020" s="93" t="s">
        <v>3996</v>
      </c>
      <c r="F2020" s="79">
        <v>15</v>
      </c>
      <c r="G2020" s="79">
        <v>0</v>
      </c>
      <c r="H2020" s="92" t="s">
        <v>3997</v>
      </c>
      <c r="I2020" s="79"/>
      <c r="J2020" s="79"/>
      <c r="K2020" s="79">
        <v>5</v>
      </c>
      <c r="L2020" s="79">
        <v>0</v>
      </c>
      <c r="M2020" s="127"/>
      <c r="N2020" s="79">
        <v>0</v>
      </c>
      <c r="O2020" s="79">
        <v>0</v>
      </c>
      <c r="P2020" s="107"/>
      <c r="R2020" s="79"/>
    </row>
    <row r="2021" spans="1:18">
      <c r="A2021" s="148">
        <v>840019</v>
      </c>
      <c r="B2021" s="121">
        <f t="shared" si="187"/>
        <v>8400191</v>
      </c>
      <c r="C2021" s="79" t="s">
        <v>3998</v>
      </c>
      <c r="D2021" s="121">
        <f t="shared" si="186"/>
        <v>8400192</v>
      </c>
      <c r="E2021" s="93" t="s">
        <v>3999</v>
      </c>
      <c r="F2021" s="79">
        <v>15</v>
      </c>
      <c r="G2021" s="79">
        <v>0</v>
      </c>
      <c r="H2021" s="92" t="s">
        <v>4000</v>
      </c>
      <c r="I2021" s="79"/>
      <c r="J2021" s="79"/>
      <c r="K2021" s="79">
        <v>5</v>
      </c>
      <c r="L2021" s="79">
        <v>0</v>
      </c>
      <c r="M2021" s="127"/>
      <c r="N2021" s="79">
        <v>0</v>
      </c>
      <c r="O2021" s="79">
        <v>0</v>
      </c>
      <c r="P2021" s="107"/>
      <c r="R2021" s="79"/>
    </row>
    <row r="2022" spans="1:18">
      <c r="A2022" s="148">
        <v>840020</v>
      </c>
      <c r="B2022" s="121">
        <f t="shared" si="187"/>
        <v>8400201</v>
      </c>
      <c r="C2022" s="79" t="s">
        <v>4001</v>
      </c>
      <c r="D2022" s="121">
        <f t="shared" si="186"/>
        <v>8400202</v>
      </c>
      <c r="E2022" s="93" t="s">
        <v>4002</v>
      </c>
      <c r="F2022" s="79">
        <v>15</v>
      </c>
      <c r="G2022" s="79">
        <v>0</v>
      </c>
      <c r="H2022" s="92" t="s">
        <v>4003</v>
      </c>
      <c r="I2022" s="79"/>
      <c r="J2022" s="79"/>
      <c r="K2022" s="79">
        <v>5</v>
      </c>
      <c r="L2022" s="79">
        <v>0</v>
      </c>
      <c r="M2022" s="127"/>
      <c r="N2022" s="79">
        <v>0</v>
      </c>
      <c r="O2022" s="79">
        <v>0</v>
      </c>
      <c r="P2022" s="107"/>
      <c r="R2022" s="79"/>
    </row>
    <row r="2023" spans="1:18">
      <c r="A2023" s="148">
        <v>840021</v>
      </c>
      <c r="B2023" s="121">
        <f t="shared" si="187"/>
        <v>8400211</v>
      </c>
      <c r="C2023" s="79" t="s">
        <v>4004</v>
      </c>
      <c r="D2023" s="121">
        <f t="shared" si="186"/>
        <v>8400212</v>
      </c>
      <c r="E2023" s="93" t="s">
        <v>4005</v>
      </c>
      <c r="F2023" s="79">
        <v>15</v>
      </c>
      <c r="G2023" s="79">
        <v>0</v>
      </c>
      <c r="H2023" s="92" t="s">
        <v>4006</v>
      </c>
      <c r="I2023" s="79"/>
      <c r="J2023" s="79"/>
      <c r="K2023" s="79">
        <v>5</v>
      </c>
      <c r="L2023" s="79">
        <v>0</v>
      </c>
      <c r="M2023" s="127"/>
      <c r="N2023" s="79">
        <v>0</v>
      </c>
      <c r="O2023" s="79">
        <v>0</v>
      </c>
      <c r="P2023" s="107"/>
      <c r="R2023" s="79"/>
    </row>
    <row r="2024" spans="1:18">
      <c r="A2024" s="148">
        <v>850001</v>
      </c>
      <c r="B2024" s="121">
        <v>8500011</v>
      </c>
      <c r="C2024" s="79" t="s">
        <v>4007</v>
      </c>
      <c r="D2024" s="121">
        <f t="shared" si="186"/>
        <v>8500012</v>
      </c>
      <c r="E2024" s="92" t="s">
        <v>4008</v>
      </c>
      <c r="F2024" s="79">
        <v>16</v>
      </c>
      <c r="G2024" s="79">
        <v>0</v>
      </c>
      <c r="H2024" s="92" t="s">
        <v>4009</v>
      </c>
      <c r="I2024" s="79"/>
      <c r="J2024" s="79"/>
      <c r="K2024" s="79">
        <v>4</v>
      </c>
      <c r="L2024" s="79">
        <v>0</v>
      </c>
      <c r="M2024" s="127"/>
      <c r="N2024" s="79">
        <v>0</v>
      </c>
      <c r="O2024" s="79">
        <v>0</v>
      </c>
      <c r="P2024" s="107"/>
      <c r="R2024" s="79"/>
    </row>
    <row r="2025" spans="1:18">
      <c r="A2025" s="148">
        <v>850002</v>
      </c>
      <c r="B2025" s="121">
        <v>8500021</v>
      </c>
      <c r="C2025" s="79" t="s">
        <v>4010</v>
      </c>
      <c r="D2025" s="121">
        <f t="shared" si="186"/>
        <v>8500022</v>
      </c>
      <c r="E2025" s="92" t="s">
        <v>4011</v>
      </c>
      <c r="F2025" s="79">
        <v>16</v>
      </c>
      <c r="G2025" s="79">
        <v>0</v>
      </c>
      <c r="H2025" s="92" t="s">
        <v>4012</v>
      </c>
      <c r="I2025" s="79"/>
      <c r="J2025" s="79"/>
      <c r="K2025" s="79">
        <v>4</v>
      </c>
      <c r="L2025" s="79">
        <v>0</v>
      </c>
      <c r="M2025" s="127"/>
      <c r="N2025" s="79">
        <v>0</v>
      </c>
      <c r="O2025" s="79">
        <v>0</v>
      </c>
      <c r="P2025" s="107"/>
      <c r="R2025" s="79"/>
    </row>
    <row r="2026" spans="1:18">
      <c r="A2026" s="148">
        <v>850003</v>
      </c>
      <c r="B2026" s="121">
        <v>8500031</v>
      </c>
      <c r="C2026" s="79" t="s">
        <v>4013</v>
      </c>
      <c r="D2026" s="121">
        <f t="shared" ref="D2026:D2049" si="188">A2026*10+2</f>
        <v>8500032</v>
      </c>
      <c r="E2026" s="92" t="s">
        <v>4014</v>
      </c>
      <c r="F2026" s="79">
        <v>16</v>
      </c>
      <c r="G2026" s="79">
        <v>0</v>
      </c>
      <c r="H2026" s="92" t="s">
        <v>4015</v>
      </c>
      <c r="I2026" s="79"/>
      <c r="J2026" s="79"/>
      <c r="K2026" s="79">
        <v>4</v>
      </c>
      <c r="L2026" s="79">
        <v>0</v>
      </c>
      <c r="M2026" s="127"/>
      <c r="N2026" s="79">
        <v>0</v>
      </c>
      <c r="O2026" s="79">
        <v>0</v>
      </c>
      <c r="P2026" s="107"/>
      <c r="R2026" s="79"/>
    </row>
    <row r="2027" spans="1:18">
      <c r="A2027" s="148">
        <v>850004</v>
      </c>
      <c r="B2027" s="121">
        <v>8500041</v>
      </c>
      <c r="C2027" s="79" t="s">
        <v>4016</v>
      </c>
      <c r="D2027" s="121">
        <f t="shared" si="188"/>
        <v>8500042</v>
      </c>
      <c r="E2027" s="92" t="s">
        <v>4017</v>
      </c>
      <c r="F2027" s="79">
        <v>16</v>
      </c>
      <c r="G2027" s="79">
        <v>0</v>
      </c>
      <c r="H2027" s="92" t="s">
        <v>4018</v>
      </c>
      <c r="I2027" s="79"/>
      <c r="J2027" s="79"/>
      <c r="K2027" s="79">
        <v>4</v>
      </c>
      <c r="L2027" s="79">
        <v>0</v>
      </c>
      <c r="M2027" s="127"/>
      <c r="N2027" s="79">
        <v>0</v>
      </c>
      <c r="O2027" s="79">
        <v>0</v>
      </c>
      <c r="P2027" s="107"/>
      <c r="R2027" s="79"/>
    </row>
    <row r="2028" spans="1:18">
      <c r="A2028" s="148">
        <v>850005</v>
      </c>
      <c r="B2028" s="121">
        <v>8500051</v>
      </c>
      <c r="C2028" s="79" t="s">
        <v>4019</v>
      </c>
      <c r="D2028" s="121">
        <f t="shared" si="188"/>
        <v>8500052</v>
      </c>
      <c r="E2028" s="92" t="s">
        <v>4020</v>
      </c>
      <c r="F2028" s="79">
        <v>16</v>
      </c>
      <c r="G2028" s="79">
        <v>0</v>
      </c>
      <c r="H2028" s="92" t="s">
        <v>4021</v>
      </c>
      <c r="I2028" s="79"/>
      <c r="J2028" s="79"/>
      <c r="K2028" s="79">
        <v>4</v>
      </c>
      <c r="L2028" s="79">
        <v>0</v>
      </c>
      <c r="M2028" s="127"/>
      <c r="N2028" s="79">
        <v>0</v>
      </c>
      <c r="O2028" s="79">
        <v>0</v>
      </c>
      <c r="P2028" s="107"/>
      <c r="R2028" s="79"/>
    </row>
    <row r="2029" spans="1:18">
      <c r="A2029" s="148">
        <v>850006</v>
      </c>
      <c r="B2029" s="121">
        <v>8500061</v>
      </c>
      <c r="C2029" s="79" t="s">
        <v>4022</v>
      </c>
      <c r="D2029" s="121">
        <f t="shared" si="188"/>
        <v>8500062</v>
      </c>
      <c r="E2029" s="92" t="s">
        <v>4023</v>
      </c>
      <c r="F2029" s="79">
        <v>16</v>
      </c>
      <c r="G2029" s="79">
        <v>0</v>
      </c>
      <c r="H2029" s="92" t="s">
        <v>4024</v>
      </c>
      <c r="I2029" s="79"/>
      <c r="J2029" s="79"/>
      <c r="K2029" s="79">
        <v>4</v>
      </c>
      <c r="L2029" s="79">
        <v>0</v>
      </c>
      <c r="M2029" s="127"/>
      <c r="N2029" s="79">
        <v>0</v>
      </c>
      <c r="O2029" s="79">
        <v>0</v>
      </c>
      <c r="P2029" s="107"/>
    </row>
    <row r="2030" spans="1:18">
      <c r="A2030" s="148">
        <v>850007</v>
      </c>
      <c r="B2030" s="121">
        <f>A2030*10+1</f>
        <v>8500071</v>
      </c>
      <c r="C2030" s="79" t="s">
        <v>4025</v>
      </c>
      <c r="D2030" s="121">
        <f t="shared" si="188"/>
        <v>8500072</v>
      </c>
      <c r="E2030" s="92" t="s">
        <v>4026</v>
      </c>
      <c r="F2030" s="79">
        <v>16</v>
      </c>
      <c r="G2030" s="79">
        <v>0</v>
      </c>
      <c r="H2030" s="92" t="s">
        <v>4027</v>
      </c>
      <c r="I2030" s="79"/>
      <c r="J2030" s="79"/>
      <c r="K2030" s="79">
        <v>4</v>
      </c>
      <c r="L2030" s="79">
        <v>0</v>
      </c>
      <c r="M2030" s="127"/>
      <c r="N2030" s="79">
        <v>0</v>
      </c>
      <c r="O2030" s="79">
        <v>0</v>
      </c>
      <c r="P2030" s="107"/>
    </row>
    <row r="2031" spans="1:18">
      <c r="A2031" s="148">
        <v>850008</v>
      </c>
      <c r="B2031" s="121">
        <v>8500081</v>
      </c>
      <c r="C2031" s="79" t="s">
        <v>4028</v>
      </c>
      <c r="D2031" s="121">
        <f t="shared" si="188"/>
        <v>8500082</v>
      </c>
      <c r="E2031" s="92" t="s">
        <v>4029</v>
      </c>
      <c r="F2031" s="79">
        <v>16</v>
      </c>
      <c r="G2031" s="79">
        <v>0</v>
      </c>
      <c r="H2031" s="92" t="s">
        <v>4030</v>
      </c>
      <c r="I2031" s="79"/>
      <c r="J2031" s="79"/>
      <c r="K2031" s="79">
        <v>4</v>
      </c>
      <c r="L2031" s="79">
        <v>0</v>
      </c>
      <c r="M2031" s="127"/>
      <c r="N2031" s="79">
        <v>0</v>
      </c>
      <c r="O2031" s="79">
        <v>0</v>
      </c>
      <c r="P2031" s="107"/>
    </row>
    <row r="2032" spans="1:18">
      <c r="A2032" s="148">
        <v>850009</v>
      </c>
      <c r="B2032" s="121">
        <f t="shared" ref="B2032:B2049" si="189">A2032*10+1</f>
        <v>8500091</v>
      </c>
      <c r="C2032" s="79" t="s">
        <v>4031</v>
      </c>
      <c r="D2032" s="121">
        <f t="shared" si="188"/>
        <v>8500092</v>
      </c>
      <c r="E2032" s="79" t="s">
        <v>4032</v>
      </c>
      <c r="F2032" s="79">
        <v>16</v>
      </c>
      <c r="G2032" s="79">
        <v>0</v>
      </c>
      <c r="H2032" s="92" t="s">
        <v>4033</v>
      </c>
      <c r="I2032" s="79"/>
      <c r="J2032" s="79"/>
      <c r="K2032" s="79">
        <v>4</v>
      </c>
      <c r="L2032" s="79">
        <v>0</v>
      </c>
      <c r="M2032" s="127"/>
      <c r="N2032" s="79">
        <v>0</v>
      </c>
      <c r="O2032" s="79">
        <v>0</v>
      </c>
      <c r="P2032" s="107"/>
    </row>
    <row r="2033" spans="1:16">
      <c r="A2033" s="148">
        <v>850010</v>
      </c>
      <c r="B2033" s="121">
        <f t="shared" si="189"/>
        <v>8500101</v>
      </c>
      <c r="C2033" s="79" t="s">
        <v>4034</v>
      </c>
      <c r="D2033" s="121">
        <f t="shared" si="188"/>
        <v>8500102</v>
      </c>
      <c r="E2033" s="79" t="s">
        <v>4035</v>
      </c>
      <c r="F2033" s="79">
        <v>16</v>
      </c>
      <c r="G2033" s="79">
        <v>0</v>
      </c>
      <c r="H2033" s="92" t="s">
        <v>4036</v>
      </c>
      <c r="I2033" s="79"/>
      <c r="J2033" s="79"/>
      <c r="K2033" s="79">
        <v>4</v>
      </c>
      <c r="L2033" s="79">
        <v>0</v>
      </c>
      <c r="M2033" s="127"/>
      <c r="N2033" s="79">
        <v>0</v>
      </c>
      <c r="O2033" s="79">
        <v>0</v>
      </c>
      <c r="P2033" s="107"/>
    </row>
    <row r="2034" spans="1:16">
      <c r="A2034" s="149">
        <v>850011</v>
      </c>
      <c r="B2034" s="141">
        <v>8500111</v>
      </c>
      <c r="C2034" s="93" t="s">
        <v>4037</v>
      </c>
      <c r="D2034" s="141">
        <f t="shared" si="188"/>
        <v>8500112</v>
      </c>
      <c r="E2034" s="93" t="s">
        <v>4038</v>
      </c>
      <c r="F2034" s="93">
        <v>16</v>
      </c>
      <c r="G2034" s="93">
        <v>0</v>
      </c>
      <c r="H2034" s="92" t="s">
        <v>4039</v>
      </c>
      <c r="K2034" s="93">
        <v>4</v>
      </c>
      <c r="L2034" s="93">
        <v>0</v>
      </c>
      <c r="N2034" s="93">
        <v>0</v>
      </c>
      <c r="O2034" s="93">
        <v>0</v>
      </c>
      <c r="P2034" s="98"/>
    </row>
    <row r="2035" spans="1:16" s="79" customFormat="1">
      <c r="A2035" s="148">
        <v>850012</v>
      </c>
      <c r="B2035" s="121">
        <v>8500121</v>
      </c>
      <c r="C2035" s="79" t="s">
        <v>4040</v>
      </c>
      <c r="D2035" s="121">
        <f t="shared" si="188"/>
        <v>8500122</v>
      </c>
      <c r="E2035" s="79" t="s">
        <v>4041</v>
      </c>
      <c r="F2035" s="79">
        <v>16</v>
      </c>
      <c r="G2035" s="79">
        <v>0</v>
      </c>
      <c r="H2035" s="101" t="s">
        <v>4042</v>
      </c>
      <c r="K2035" s="79">
        <v>4</v>
      </c>
      <c r="L2035" s="79">
        <v>0</v>
      </c>
      <c r="M2035" s="127"/>
      <c r="N2035" s="79">
        <v>0</v>
      </c>
      <c r="O2035" s="79">
        <v>0</v>
      </c>
      <c r="P2035" s="107"/>
    </row>
    <row r="2036" spans="1:16" s="79" customFormat="1">
      <c r="A2036" s="148">
        <v>850013</v>
      </c>
      <c r="B2036" s="121">
        <v>8500131</v>
      </c>
      <c r="C2036" s="79" t="s">
        <v>4043</v>
      </c>
      <c r="D2036" s="121">
        <f t="shared" ref="D2036" si="190">A2036*10+2</f>
        <v>8500132</v>
      </c>
      <c r="E2036" s="79" t="s">
        <v>4044</v>
      </c>
      <c r="F2036" s="79">
        <v>16</v>
      </c>
      <c r="G2036" s="79">
        <v>0</v>
      </c>
      <c r="H2036" s="101" t="s">
        <v>4045</v>
      </c>
      <c r="K2036" s="79">
        <v>4</v>
      </c>
      <c r="L2036" s="79">
        <v>0</v>
      </c>
      <c r="M2036" s="127"/>
      <c r="N2036" s="79">
        <v>0</v>
      </c>
      <c r="O2036" s="79">
        <v>0</v>
      </c>
      <c r="P2036" s="107"/>
    </row>
    <row r="2037" spans="1:16" s="79" customFormat="1">
      <c r="A2037" s="148">
        <v>850014</v>
      </c>
      <c r="B2037" s="121">
        <v>8500141</v>
      </c>
      <c r="C2037" s="79" t="s">
        <v>4046</v>
      </c>
      <c r="D2037" s="121">
        <f t="shared" ref="D2037" si="191">A2037*10+2</f>
        <v>8500142</v>
      </c>
      <c r="E2037" s="79" t="s">
        <v>4047</v>
      </c>
      <c r="F2037" s="79">
        <v>16</v>
      </c>
      <c r="G2037" s="79">
        <v>0</v>
      </c>
      <c r="H2037" s="101" t="s">
        <v>4048</v>
      </c>
      <c r="K2037" s="79">
        <v>4</v>
      </c>
      <c r="L2037" s="79">
        <v>0</v>
      </c>
      <c r="M2037" s="127"/>
      <c r="N2037" s="79">
        <v>0</v>
      </c>
      <c r="O2037" s="79">
        <v>0</v>
      </c>
      <c r="P2037" s="107"/>
    </row>
    <row r="2038" spans="1:16" s="79" customFormat="1">
      <c r="A2038" s="148">
        <v>860001</v>
      </c>
      <c r="B2038" s="121">
        <f t="shared" si="189"/>
        <v>8600011</v>
      </c>
      <c r="C2038" s="79" t="s">
        <v>4049</v>
      </c>
      <c r="D2038" s="121">
        <f t="shared" si="188"/>
        <v>8600012</v>
      </c>
      <c r="E2038" s="101" t="s">
        <v>4050</v>
      </c>
      <c r="F2038" s="79">
        <v>17</v>
      </c>
      <c r="G2038" s="79">
        <v>0</v>
      </c>
      <c r="H2038" s="101" t="s">
        <v>4009</v>
      </c>
      <c r="K2038" s="79">
        <v>4</v>
      </c>
      <c r="L2038" s="79">
        <v>0</v>
      </c>
      <c r="M2038" s="127"/>
      <c r="N2038" s="79">
        <v>0</v>
      </c>
      <c r="O2038" s="79">
        <v>0</v>
      </c>
      <c r="P2038" s="107"/>
    </row>
    <row r="2039" spans="1:16">
      <c r="A2039" s="149">
        <v>860002</v>
      </c>
      <c r="B2039" s="141">
        <f t="shared" si="189"/>
        <v>8600021</v>
      </c>
      <c r="C2039" s="93" t="s">
        <v>4051</v>
      </c>
      <c r="D2039" s="141">
        <f t="shared" si="188"/>
        <v>8600022</v>
      </c>
      <c r="E2039" s="92" t="s">
        <v>4052</v>
      </c>
      <c r="F2039" s="93">
        <v>17</v>
      </c>
      <c r="G2039" s="93">
        <v>0</v>
      </c>
      <c r="H2039" s="92" t="s">
        <v>4012</v>
      </c>
      <c r="K2039" s="93">
        <v>4</v>
      </c>
      <c r="L2039" s="93">
        <v>0</v>
      </c>
      <c r="N2039" s="93">
        <v>0</v>
      </c>
      <c r="O2039" s="93">
        <v>0</v>
      </c>
      <c r="P2039" s="98"/>
    </row>
    <row r="2040" spans="1:16">
      <c r="A2040" s="149">
        <v>860003</v>
      </c>
      <c r="B2040" s="141">
        <f t="shared" si="189"/>
        <v>8600031</v>
      </c>
      <c r="C2040" s="93" t="s">
        <v>4053</v>
      </c>
      <c r="D2040" s="141">
        <f t="shared" si="188"/>
        <v>8600032</v>
      </c>
      <c r="E2040" s="92" t="s">
        <v>4054</v>
      </c>
      <c r="F2040" s="93">
        <v>17</v>
      </c>
      <c r="G2040" s="93">
        <v>0</v>
      </c>
      <c r="H2040" s="92" t="s">
        <v>4015</v>
      </c>
      <c r="K2040" s="93">
        <v>4</v>
      </c>
      <c r="L2040" s="93">
        <v>0</v>
      </c>
      <c r="N2040" s="93">
        <v>0</v>
      </c>
      <c r="O2040" s="93">
        <v>0</v>
      </c>
      <c r="P2040" s="98"/>
    </row>
    <row r="2041" spans="1:16">
      <c r="A2041" s="149">
        <v>860004</v>
      </c>
      <c r="B2041" s="141">
        <f t="shared" si="189"/>
        <v>8600041</v>
      </c>
      <c r="C2041" s="93" t="s">
        <v>4055</v>
      </c>
      <c r="D2041" s="141">
        <f t="shared" si="188"/>
        <v>8600042</v>
      </c>
      <c r="E2041" s="92" t="s">
        <v>4017</v>
      </c>
      <c r="F2041" s="93">
        <v>17</v>
      </c>
      <c r="G2041" s="93">
        <v>0</v>
      </c>
      <c r="H2041" s="92" t="s">
        <v>4018</v>
      </c>
      <c r="K2041" s="93">
        <v>4</v>
      </c>
      <c r="L2041" s="93">
        <v>0</v>
      </c>
      <c r="N2041" s="93">
        <v>0</v>
      </c>
      <c r="O2041" s="93">
        <v>0</v>
      </c>
      <c r="P2041" s="98"/>
    </row>
    <row r="2042" spans="1:16">
      <c r="A2042" s="149">
        <v>860005</v>
      </c>
      <c r="B2042" s="141">
        <f t="shared" si="189"/>
        <v>8600051</v>
      </c>
      <c r="C2042" s="93" t="s">
        <v>4056</v>
      </c>
      <c r="D2042" s="141">
        <f t="shared" si="188"/>
        <v>8600052</v>
      </c>
      <c r="E2042" s="92" t="s">
        <v>4020</v>
      </c>
      <c r="F2042" s="93">
        <v>17</v>
      </c>
      <c r="G2042" s="93">
        <v>0</v>
      </c>
      <c r="H2042" s="92" t="s">
        <v>4021</v>
      </c>
      <c r="K2042" s="93">
        <v>4</v>
      </c>
      <c r="L2042" s="93">
        <v>0</v>
      </c>
      <c r="N2042" s="93">
        <v>0</v>
      </c>
      <c r="O2042" s="93">
        <v>0</v>
      </c>
      <c r="P2042" s="98"/>
    </row>
    <row r="2043" spans="1:16">
      <c r="A2043" s="149">
        <v>860006</v>
      </c>
      <c r="B2043" s="141">
        <f t="shared" si="189"/>
        <v>8600061</v>
      </c>
      <c r="C2043" s="93" t="s">
        <v>4057</v>
      </c>
      <c r="D2043" s="141">
        <f t="shared" si="188"/>
        <v>8600062</v>
      </c>
      <c r="E2043" s="92" t="s">
        <v>4058</v>
      </c>
      <c r="F2043" s="93">
        <v>17</v>
      </c>
      <c r="G2043" s="93">
        <v>0</v>
      </c>
      <c r="H2043" s="92" t="s">
        <v>4024</v>
      </c>
      <c r="K2043" s="93">
        <v>4</v>
      </c>
      <c r="L2043" s="93">
        <v>0</v>
      </c>
      <c r="N2043" s="93">
        <v>0</v>
      </c>
      <c r="O2043" s="93">
        <v>0</v>
      </c>
      <c r="P2043" s="98"/>
    </row>
    <row r="2044" spans="1:16">
      <c r="A2044" s="149">
        <v>860007</v>
      </c>
      <c r="B2044" s="141">
        <f t="shared" si="189"/>
        <v>8600071</v>
      </c>
      <c r="C2044" s="93" t="s">
        <v>4059</v>
      </c>
      <c r="D2044" s="141">
        <f t="shared" si="188"/>
        <v>8600072</v>
      </c>
      <c r="E2044" s="92" t="s">
        <v>4060</v>
      </c>
      <c r="F2044" s="93">
        <v>17</v>
      </c>
      <c r="G2044" s="93">
        <v>0</v>
      </c>
      <c r="H2044" s="92" t="s">
        <v>4027</v>
      </c>
      <c r="K2044" s="93">
        <v>4</v>
      </c>
      <c r="L2044" s="93">
        <v>0</v>
      </c>
      <c r="N2044" s="93">
        <v>0</v>
      </c>
      <c r="O2044" s="93">
        <v>0</v>
      </c>
      <c r="P2044" s="98"/>
    </row>
    <row r="2045" spans="1:16">
      <c r="A2045" s="149">
        <v>860008</v>
      </c>
      <c r="B2045" s="141">
        <f t="shared" si="189"/>
        <v>8600081</v>
      </c>
      <c r="C2045" s="93" t="s">
        <v>4061</v>
      </c>
      <c r="D2045" s="141">
        <f t="shared" si="188"/>
        <v>8600082</v>
      </c>
      <c r="E2045" s="92" t="s">
        <v>4062</v>
      </c>
      <c r="F2045" s="93">
        <v>17</v>
      </c>
      <c r="G2045" s="93">
        <v>0</v>
      </c>
      <c r="H2045" s="92" t="s">
        <v>4030</v>
      </c>
      <c r="K2045" s="93">
        <v>4</v>
      </c>
      <c r="L2045" s="93">
        <v>0</v>
      </c>
      <c r="N2045" s="93">
        <v>0</v>
      </c>
      <c r="O2045" s="93">
        <v>0</v>
      </c>
      <c r="P2045" s="98"/>
    </row>
    <row r="2046" spans="1:16">
      <c r="A2046" s="149">
        <v>860009</v>
      </c>
      <c r="B2046" s="141">
        <f t="shared" si="189"/>
        <v>8600091</v>
      </c>
      <c r="C2046" s="93" t="s">
        <v>4063</v>
      </c>
      <c r="D2046" s="141">
        <f t="shared" si="188"/>
        <v>8600092</v>
      </c>
      <c r="E2046" s="93" t="s">
        <v>4064</v>
      </c>
      <c r="F2046" s="93">
        <v>17</v>
      </c>
      <c r="G2046" s="93">
        <v>0</v>
      </c>
      <c r="H2046" s="92" t="s">
        <v>4033</v>
      </c>
      <c r="K2046" s="93">
        <v>4</v>
      </c>
      <c r="L2046" s="93">
        <v>0</v>
      </c>
      <c r="N2046" s="93">
        <v>0</v>
      </c>
      <c r="O2046" s="93">
        <v>0</v>
      </c>
      <c r="P2046" s="98"/>
    </row>
    <row r="2047" spans="1:16">
      <c r="A2047" s="149">
        <v>860010</v>
      </c>
      <c r="B2047" s="141">
        <f t="shared" si="189"/>
        <v>8600101</v>
      </c>
      <c r="C2047" s="93" t="s">
        <v>4065</v>
      </c>
      <c r="D2047" s="141">
        <f t="shared" si="188"/>
        <v>8600102</v>
      </c>
      <c r="E2047" s="93" t="s">
        <v>4035</v>
      </c>
      <c r="F2047" s="93">
        <v>17</v>
      </c>
      <c r="G2047" s="93">
        <v>0</v>
      </c>
      <c r="H2047" s="92" t="s">
        <v>4036</v>
      </c>
      <c r="K2047" s="93">
        <v>4</v>
      </c>
      <c r="L2047" s="93">
        <v>0</v>
      </c>
      <c r="N2047" s="93">
        <v>0</v>
      </c>
      <c r="O2047" s="93">
        <v>0</v>
      </c>
      <c r="P2047" s="98"/>
    </row>
    <row r="2048" spans="1:16">
      <c r="A2048" s="149">
        <v>860011</v>
      </c>
      <c r="B2048" s="141">
        <f t="shared" si="189"/>
        <v>8600111</v>
      </c>
      <c r="C2048" s="93" t="s">
        <v>4066</v>
      </c>
      <c r="D2048" s="141">
        <f t="shared" si="188"/>
        <v>8600112</v>
      </c>
      <c r="E2048" s="93" t="s">
        <v>4038</v>
      </c>
      <c r="F2048" s="93">
        <v>17</v>
      </c>
      <c r="G2048" s="93">
        <v>0</v>
      </c>
      <c r="H2048" s="92" t="s">
        <v>4039</v>
      </c>
      <c r="K2048" s="93">
        <v>4</v>
      </c>
      <c r="L2048" s="93">
        <v>0</v>
      </c>
      <c r="N2048" s="93">
        <v>0</v>
      </c>
      <c r="O2048" s="93">
        <v>0</v>
      </c>
      <c r="P2048" s="98"/>
    </row>
    <row r="2049" spans="1:16" s="79" customFormat="1">
      <c r="A2049" s="148">
        <v>860012</v>
      </c>
      <c r="B2049" s="121">
        <f t="shared" si="189"/>
        <v>8600121</v>
      </c>
      <c r="C2049" s="79" t="s">
        <v>4067</v>
      </c>
      <c r="D2049" s="121">
        <f t="shared" si="188"/>
        <v>8600122</v>
      </c>
      <c r="E2049" s="79" t="s">
        <v>4041</v>
      </c>
      <c r="F2049" s="79">
        <v>17</v>
      </c>
      <c r="G2049" s="79">
        <v>0</v>
      </c>
      <c r="H2049" s="101" t="s">
        <v>4042</v>
      </c>
      <c r="K2049" s="79">
        <v>4</v>
      </c>
      <c r="L2049" s="79">
        <v>0</v>
      </c>
      <c r="M2049" s="127"/>
      <c r="N2049" s="79">
        <v>0</v>
      </c>
      <c r="O2049" s="79">
        <v>0</v>
      </c>
      <c r="P2049" s="107"/>
    </row>
    <row r="2050" spans="1:16" s="79" customFormat="1">
      <c r="A2050" s="148">
        <v>860013</v>
      </c>
      <c r="B2050" s="121">
        <f t="shared" ref="B2050:B2051" si="192">A2050*10+1</f>
        <v>8600131</v>
      </c>
      <c r="C2050" s="79" t="s">
        <v>4068</v>
      </c>
      <c r="D2050" s="121">
        <f t="shared" ref="D2050:D2051" si="193">A2050*10+2</f>
        <v>8600132</v>
      </c>
      <c r="E2050" s="79" t="s">
        <v>4044</v>
      </c>
      <c r="F2050" s="79">
        <v>17</v>
      </c>
      <c r="G2050" s="79">
        <v>0</v>
      </c>
      <c r="H2050" s="101" t="s">
        <v>4045</v>
      </c>
      <c r="K2050" s="79">
        <v>4</v>
      </c>
      <c r="L2050" s="79">
        <v>0</v>
      </c>
      <c r="M2050" s="127"/>
      <c r="N2050" s="79">
        <v>0</v>
      </c>
      <c r="O2050" s="79">
        <v>0</v>
      </c>
      <c r="P2050" s="107"/>
    </row>
    <row r="2051" spans="1:16" s="79" customFormat="1">
      <c r="A2051" s="148">
        <v>860014</v>
      </c>
      <c r="B2051" s="121">
        <f t="shared" si="192"/>
        <v>8600141</v>
      </c>
      <c r="C2051" s="79" t="s">
        <v>4069</v>
      </c>
      <c r="D2051" s="121">
        <f t="shared" si="193"/>
        <v>8600142</v>
      </c>
      <c r="E2051" s="79" t="s">
        <v>4047</v>
      </c>
      <c r="F2051" s="79">
        <v>17</v>
      </c>
      <c r="G2051" s="79">
        <v>0</v>
      </c>
      <c r="H2051" s="101" t="s">
        <v>4048</v>
      </c>
      <c r="K2051" s="79">
        <v>4</v>
      </c>
      <c r="L2051" s="79">
        <v>0</v>
      </c>
      <c r="M2051" s="127"/>
      <c r="N2051" s="79">
        <v>0</v>
      </c>
      <c r="O2051" s="79">
        <v>0</v>
      </c>
      <c r="P2051" s="107"/>
    </row>
    <row r="2052" spans="1:16" s="79" customFormat="1">
      <c r="A2052" s="148">
        <v>870001</v>
      </c>
      <c r="B2052" s="121">
        <v>8700011</v>
      </c>
      <c r="C2052" s="79" t="s">
        <v>4070</v>
      </c>
      <c r="D2052" s="121">
        <v>8700012</v>
      </c>
      <c r="E2052" s="101" t="s">
        <v>4071</v>
      </c>
      <c r="F2052" s="79">
        <v>18</v>
      </c>
      <c r="G2052" s="79">
        <v>0</v>
      </c>
      <c r="H2052" s="79" t="s">
        <v>4072</v>
      </c>
      <c r="K2052" s="79">
        <v>4</v>
      </c>
      <c r="L2052" s="79">
        <v>9</v>
      </c>
      <c r="M2052" s="127" t="s">
        <v>4073</v>
      </c>
      <c r="N2052" s="79">
        <v>0</v>
      </c>
      <c r="O2052" s="79">
        <v>0</v>
      </c>
      <c r="P2052" s="107"/>
    </row>
    <row r="2053" spans="1:16" s="79" customFormat="1">
      <c r="A2053" s="148">
        <v>870002</v>
      </c>
      <c r="B2053" s="121">
        <v>8700021</v>
      </c>
      <c r="C2053" s="79" t="s">
        <v>4074</v>
      </c>
      <c r="D2053" s="121">
        <v>8700022</v>
      </c>
      <c r="E2053" s="79" t="s">
        <v>4075</v>
      </c>
      <c r="F2053" s="79">
        <v>18</v>
      </c>
      <c r="G2053" s="79">
        <v>0</v>
      </c>
      <c r="H2053" s="79" t="s">
        <v>2966</v>
      </c>
      <c r="K2053" s="79">
        <v>4</v>
      </c>
      <c r="L2053" s="79">
        <v>9</v>
      </c>
      <c r="M2053" s="127" t="s">
        <v>4076</v>
      </c>
      <c r="N2053" s="79">
        <v>0</v>
      </c>
      <c r="O2053" s="79">
        <v>0</v>
      </c>
      <c r="P2053" s="107"/>
    </row>
    <row r="2054" spans="1:16">
      <c r="A2054" s="148">
        <v>870003</v>
      </c>
      <c r="B2054" s="121">
        <v>8700031</v>
      </c>
      <c r="C2054" s="79" t="s">
        <v>339</v>
      </c>
      <c r="D2054" s="121">
        <v>8700032</v>
      </c>
      <c r="E2054" s="92" t="s">
        <v>4077</v>
      </c>
      <c r="F2054" s="79">
        <v>18</v>
      </c>
      <c r="G2054" s="79">
        <v>0</v>
      </c>
      <c r="H2054" s="79" t="s">
        <v>2979</v>
      </c>
      <c r="I2054" s="79"/>
      <c r="J2054" s="79"/>
      <c r="K2054" s="79">
        <v>4</v>
      </c>
      <c r="L2054" s="79">
        <v>9</v>
      </c>
      <c r="M2054" s="127" t="s">
        <v>4078</v>
      </c>
      <c r="N2054" s="79">
        <v>0</v>
      </c>
      <c r="O2054" s="79">
        <v>0</v>
      </c>
      <c r="P2054" s="107"/>
    </row>
    <row r="2055" spans="1:16">
      <c r="A2055" s="148">
        <v>870004</v>
      </c>
      <c r="B2055" s="121">
        <v>8700041</v>
      </c>
      <c r="C2055" s="79" t="s">
        <v>4079</v>
      </c>
      <c r="D2055" s="121">
        <v>8700042</v>
      </c>
      <c r="E2055" s="79" t="s">
        <v>4080</v>
      </c>
      <c r="F2055" s="79">
        <v>18</v>
      </c>
      <c r="G2055" s="79">
        <v>0</v>
      </c>
      <c r="H2055" s="79" t="s">
        <v>2992</v>
      </c>
      <c r="I2055" s="79"/>
      <c r="J2055" s="79"/>
      <c r="K2055" s="79">
        <v>4</v>
      </c>
      <c r="L2055" s="79">
        <v>9</v>
      </c>
      <c r="M2055" s="127" t="s">
        <v>4081</v>
      </c>
      <c r="N2055" s="79">
        <v>0</v>
      </c>
      <c r="O2055" s="79">
        <v>0</v>
      </c>
      <c r="P2055" s="107"/>
    </row>
    <row r="2056" spans="1:16">
      <c r="A2056" s="148">
        <v>870005</v>
      </c>
      <c r="B2056" s="121">
        <v>8700051</v>
      </c>
      <c r="C2056" s="79" t="s">
        <v>308</v>
      </c>
      <c r="D2056" s="121">
        <v>8700052</v>
      </c>
      <c r="E2056" s="92" t="s">
        <v>4082</v>
      </c>
      <c r="F2056" s="79">
        <v>18</v>
      </c>
      <c r="G2056" s="79">
        <v>0</v>
      </c>
      <c r="H2056" s="79" t="s">
        <v>3005</v>
      </c>
      <c r="I2056" s="79"/>
      <c r="J2056" s="79"/>
      <c r="K2056" s="79">
        <v>4</v>
      </c>
      <c r="L2056" s="79">
        <v>9</v>
      </c>
      <c r="M2056" s="127" t="s">
        <v>4081</v>
      </c>
      <c r="N2056" s="79">
        <v>0</v>
      </c>
      <c r="O2056" s="79">
        <v>0</v>
      </c>
      <c r="P2056" s="107"/>
    </row>
    <row r="2057" spans="1:16">
      <c r="A2057" s="148">
        <v>870006</v>
      </c>
      <c r="B2057" s="121">
        <v>8700061</v>
      </c>
      <c r="C2057" s="79" t="s">
        <v>4083</v>
      </c>
      <c r="D2057" s="121">
        <v>8700062</v>
      </c>
      <c r="E2057" s="79" t="s">
        <v>4084</v>
      </c>
      <c r="F2057" s="79">
        <v>18</v>
      </c>
      <c r="G2057" s="79">
        <v>0</v>
      </c>
      <c r="H2057" s="79" t="s">
        <v>3018</v>
      </c>
      <c r="I2057" s="79"/>
      <c r="J2057" s="79"/>
      <c r="K2057" s="79">
        <v>4</v>
      </c>
      <c r="L2057" s="79">
        <v>9</v>
      </c>
      <c r="M2057" s="127" t="s">
        <v>4085</v>
      </c>
      <c r="N2057" s="79">
        <v>0</v>
      </c>
      <c r="O2057" s="79">
        <v>0</v>
      </c>
      <c r="P2057" s="107"/>
    </row>
    <row r="2058" spans="1:16">
      <c r="A2058" s="148">
        <v>870007</v>
      </c>
      <c r="B2058" s="121">
        <v>8700071</v>
      </c>
      <c r="C2058" s="79" t="s">
        <v>4086</v>
      </c>
      <c r="D2058" s="121">
        <v>8700072</v>
      </c>
      <c r="E2058" s="92" t="s">
        <v>4087</v>
      </c>
      <c r="F2058" s="79">
        <v>18</v>
      </c>
      <c r="G2058" s="79">
        <v>0</v>
      </c>
      <c r="H2058" s="79" t="s">
        <v>3031</v>
      </c>
      <c r="I2058" s="79"/>
      <c r="J2058" s="79"/>
      <c r="K2058" s="79">
        <v>4</v>
      </c>
      <c r="L2058" s="79">
        <v>9</v>
      </c>
      <c r="M2058" s="127" t="s">
        <v>4073</v>
      </c>
      <c r="N2058" s="79">
        <v>0</v>
      </c>
      <c r="O2058" s="79">
        <v>0</v>
      </c>
      <c r="P2058" s="107"/>
    </row>
    <row r="2059" spans="1:16">
      <c r="A2059" s="148">
        <v>870008</v>
      </c>
      <c r="B2059" s="121">
        <v>8700081</v>
      </c>
      <c r="C2059" s="79" t="s">
        <v>4088</v>
      </c>
      <c r="D2059" s="121">
        <v>8700082</v>
      </c>
      <c r="E2059" s="79" t="s">
        <v>4089</v>
      </c>
      <c r="F2059" s="79">
        <v>18</v>
      </c>
      <c r="G2059" s="79">
        <v>0</v>
      </c>
      <c r="H2059" s="79" t="s">
        <v>3044</v>
      </c>
      <c r="I2059" s="79"/>
      <c r="J2059" s="79"/>
      <c r="K2059" s="79">
        <v>4</v>
      </c>
      <c r="L2059" s="79">
        <v>9</v>
      </c>
      <c r="M2059" s="127" t="s">
        <v>4073</v>
      </c>
      <c r="N2059" s="79">
        <v>0</v>
      </c>
      <c r="O2059" s="79">
        <v>0</v>
      </c>
      <c r="P2059" s="107">
        <v>10</v>
      </c>
    </row>
    <row r="2060" spans="1:16">
      <c r="A2060" s="148">
        <v>870009</v>
      </c>
      <c r="B2060" s="121">
        <v>8700091</v>
      </c>
      <c r="C2060" s="79" t="s">
        <v>4090</v>
      </c>
      <c r="D2060" s="121">
        <v>8700092</v>
      </c>
      <c r="E2060" s="92" t="s">
        <v>4091</v>
      </c>
      <c r="F2060" s="79">
        <v>18</v>
      </c>
      <c r="G2060" s="79">
        <v>0</v>
      </c>
      <c r="H2060" s="79" t="s">
        <v>3057</v>
      </c>
      <c r="I2060" s="79"/>
      <c r="J2060" s="79"/>
      <c r="K2060" s="79">
        <v>4</v>
      </c>
      <c r="L2060" s="79">
        <v>9</v>
      </c>
      <c r="M2060" s="127" t="s">
        <v>4073</v>
      </c>
      <c r="N2060" s="79">
        <v>0</v>
      </c>
      <c r="O2060" s="79">
        <v>0</v>
      </c>
      <c r="P2060" s="107"/>
    </row>
    <row r="2061" spans="1:16">
      <c r="A2061" s="148">
        <v>870010</v>
      </c>
      <c r="B2061" s="121">
        <v>8700101</v>
      </c>
      <c r="C2061" s="79" t="s">
        <v>4092</v>
      </c>
      <c r="D2061" s="121">
        <v>8700102</v>
      </c>
      <c r="E2061" s="79" t="s">
        <v>4093</v>
      </c>
      <c r="F2061" s="79">
        <v>18</v>
      </c>
      <c r="G2061" s="79">
        <v>0</v>
      </c>
      <c r="H2061" s="79" t="s">
        <v>3222</v>
      </c>
      <c r="I2061" s="79"/>
      <c r="J2061" s="79"/>
      <c r="K2061" s="79">
        <v>4</v>
      </c>
      <c r="L2061" s="79">
        <v>9</v>
      </c>
      <c r="M2061" s="127" t="s">
        <v>4094</v>
      </c>
      <c r="N2061" s="79"/>
      <c r="O2061" s="79"/>
      <c r="P2061" s="107"/>
    </row>
    <row r="2062" spans="1:16">
      <c r="A2062" s="148">
        <v>870011</v>
      </c>
      <c r="B2062" s="121">
        <v>8700111</v>
      </c>
      <c r="C2062" s="79" t="s">
        <v>4095</v>
      </c>
      <c r="D2062" s="121">
        <v>8700112</v>
      </c>
      <c r="E2062" s="79" t="s">
        <v>4095</v>
      </c>
      <c r="F2062" s="79">
        <v>18</v>
      </c>
      <c r="G2062" s="79">
        <v>0</v>
      </c>
      <c r="H2062" s="79" t="s">
        <v>4096</v>
      </c>
      <c r="I2062" s="79"/>
      <c r="J2062" s="79"/>
      <c r="K2062" s="79">
        <v>4</v>
      </c>
      <c r="L2062" s="79">
        <v>9</v>
      </c>
      <c r="M2062" s="127" t="s">
        <v>4073</v>
      </c>
      <c r="N2062" s="79">
        <v>0</v>
      </c>
      <c r="O2062" s="79">
        <v>0</v>
      </c>
      <c r="P2062" s="107"/>
    </row>
    <row r="2063" spans="1:16">
      <c r="A2063" s="148">
        <v>870012</v>
      </c>
      <c r="B2063" s="121">
        <v>8700121</v>
      </c>
      <c r="C2063" s="79" t="s">
        <v>4097</v>
      </c>
      <c r="D2063" s="121">
        <v>8700122</v>
      </c>
      <c r="E2063" s="79" t="s">
        <v>4097</v>
      </c>
      <c r="F2063" s="79">
        <v>18</v>
      </c>
      <c r="G2063" s="79">
        <v>0</v>
      </c>
      <c r="H2063" s="79" t="s">
        <v>4098</v>
      </c>
      <c r="I2063" s="79"/>
      <c r="J2063" s="79"/>
      <c r="K2063" s="79">
        <v>4</v>
      </c>
      <c r="L2063" s="79">
        <v>9</v>
      </c>
      <c r="M2063" s="127" t="s">
        <v>4073</v>
      </c>
      <c r="N2063" s="79">
        <v>0</v>
      </c>
      <c r="O2063" s="79">
        <v>0</v>
      </c>
      <c r="P2063" s="107"/>
    </row>
    <row r="2064" spans="1:16">
      <c r="A2064" s="148">
        <v>870013</v>
      </c>
      <c r="B2064" s="121">
        <v>8700131</v>
      </c>
      <c r="C2064" s="95" t="s">
        <v>4099</v>
      </c>
      <c r="D2064" s="121">
        <v>8700132</v>
      </c>
      <c r="E2064" s="95" t="s">
        <v>4100</v>
      </c>
      <c r="F2064" s="79">
        <v>18</v>
      </c>
      <c r="G2064" s="79">
        <v>0</v>
      </c>
      <c r="H2064" s="79" t="s">
        <v>3135</v>
      </c>
      <c r="I2064" s="79"/>
      <c r="J2064" s="79"/>
      <c r="K2064" s="79">
        <v>4</v>
      </c>
      <c r="L2064" s="79">
        <v>9</v>
      </c>
      <c r="M2064" s="127" t="s">
        <v>4073</v>
      </c>
      <c r="N2064" s="79">
        <v>0</v>
      </c>
      <c r="O2064" s="79">
        <v>0</v>
      </c>
      <c r="P2064" s="107"/>
    </row>
    <row r="2065" spans="1:25">
      <c r="A2065" s="148">
        <v>870014</v>
      </c>
      <c r="B2065" s="121">
        <v>8700141</v>
      </c>
      <c r="C2065" s="95" t="s">
        <v>4101</v>
      </c>
      <c r="D2065" s="121">
        <v>8700142</v>
      </c>
      <c r="E2065" s="95" t="s">
        <v>4102</v>
      </c>
      <c r="F2065" s="79">
        <v>18</v>
      </c>
      <c r="G2065" s="79">
        <v>0</v>
      </c>
      <c r="H2065" s="79" t="s">
        <v>3070</v>
      </c>
      <c r="I2065" s="79"/>
      <c r="J2065" s="79"/>
      <c r="K2065" s="79">
        <v>4</v>
      </c>
      <c r="L2065" s="79">
        <v>9</v>
      </c>
      <c r="M2065" s="127" t="s">
        <v>4103</v>
      </c>
      <c r="N2065" s="79">
        <v>0</v>
      </c>
      <c r="O2065" s="79">
        <v>0</v>
      </c>
      <c r="P2065" s="107"/>
    </row>
    <row r="2066" spans="1:25">
      <c r="A2066" s="148">
        <v>870015</v>
      </c>
      <c r="B2066" s="121">
        <v>8700151</v>
      </c>
      <c r="C2066" s="95" t="s">
        <v>4104</v>
      </c>
      <c r="D2066" s="121">
        <v>8700152</v>
      </c>
      <c r="E2066" s="95" t="s">
        <v>4105</v>
      </c>
      <c r="F2066" s="79">
        <v>18</v>
      </c>
      <c r="G2066" s="79">
        <v>0</v>
      </c>
      <c r="H2066" s="79" t="s">
        <v>3083</v>
      </c>
      <c r="I2066" s="79"/>
      <c r="J2066" s="79"/>
      <c r="K2066" s="79">
        <v>4</v>
      </c>
      <c r="L2066" s="79">
        <v>9</v>
      </c>
      <c r="M2066" s="127" t="s">
        <v>4106</v>
      </c>
      <c r="N2066" s="79">
        <v>0</v>
      </c>
      <c r="O2066" s="79">
        <v>0</v>
      </c>
      <c r="P2066" s="107"/>
    </row>
    <row r="2067" spans="1:25">
      <c r="A2067" s="148">
        <v>870016</v>
      </c>
      <c r="B2067" s="121">
        <v>8700161</v>
      </c>
      <c r="C2067" s="95" t="s">
        <v>4107</v>
      </c>
      <c r="D2067" s="121">
        <v>8700162</v>
      </c>
      <c r="E2067" s="95" t="s">
        <v>4108</v>
      </c>
      <c r="F2067" s="79">
        <v>18</v>
      </c>
      <c r="G2067" s="79">
        <v>0</v>
      </c>
      <c r="H2067" s="79" t="s">
        <v>3096</v>
      </c>
      <c r="I2067" s="79"/>
      <c r="J2067" s="79"/>
      <c r="K2067" s="79">
        <v>4</v>
      </c>
      <c r="L2067" s="79">
        <v>9</v>
      </c>
      <c r="M2067" s="127" t="s">
        <v>4106</v>
      </c>
      <c r="N2067" s="79">
        <v>0</v>
      </c>
      <c r="O2067" s="79">
        <v>0</v>
      </c>
      <c r="P2067" s="107"/>
    </row>
    <row r="2068" spans="1:25">
      <c r="A2068" s="148">
        <v>870017</v>
      </c>
      <c r="B2068" s="121">
        <v>8700171</v>
      </c>
      <c r="C2068" s="95" t="s">
        <v>4109</v>
      </c>
      <c r="D2068" s="121">
        <v>8700172</v>
      </c>
      <c r="E2068" s="95" t="s">
        <v>4110</v>
      </c>
      <c r="F2068" s="79">
        <v>18</v>
      </c>
      <c r="G2068" s="79">
        <v>0</v>
      </c>
      <c r="H2068" s="79" t="s">
        <v>3109</v>
      </c>
      <c r="I2068" s="79"/>
      <c r="J2068" s="79"/>
      <c r="K2068" s="79">
        <v>4</v>
      </c>
      <c r="L2068" s="79">
        <v>9</v>
      </c>
      <c r="M2068" s="127" t="s">
        <v>4073</v>
      </c>
      <c r="N2068" s="79">
        <v>0</v>
      </c>
      <c r="O2068" s="79">
        <v>0</v>
      </c>
      <c r="P2068" s="107"/>
    </row>
    <row r="2069" spans="1:25">
      <c r="A2069" s="148">
        <v>870018</v>
      </c>
      <c r="B2069" s="121">
        <v>8700181</v>
      </c>
      <c r="C2069" s="95" t="s">
        <v>4111</v>
      </c>
      <c r="D2069" s="121">
        <v>8700182</v>
      </c>
      <c r="E2069" s="95" t="s">
        <v>4112</v>
      </c>
      <c r="F2069" s="79">
        <v>18</v>
      </c>
      <c r="G2069" s="79">
        <v>0</v>
      </c>
      <c r="H2069" s="79" t="s">
        <v>3122</v>
      </c>
      <c r="I2069" s="79"/>
      <c r="J2069" s="79"/>
      <c r="K2069" s="79">
        <v>4</v>
      </c>
      <c r="L2069" s="79">
        <v>9</v>
      </c>
      <c r="M2069" s="127" t="s">
        <v>4106</v>
      </c>
      <c r="N2069" s="79">
        <v>0</v>
      </c>
      <c r="O2069" s="79">
        <v>0</v>
      </c>
      <c r="P2069" s="107"/>
    </row>
    <row r="2070" spans="1:25">
      <c r="A2070" s="148">
        <v>870019</v>
      </c>
      <c r="B2070" s="121">
        <f t="shared" ref="B2070:B2076" si="194">A2070*10+1</f>
        <v>8700191</v>
      </c>
      <c r="C2070" s="95" t="s">
        <v>4113</v>
      </c>
      <c r="D2070" s="121">
        <f t="shared" ref="D2070:D2076" si="195">A2070*10+2</f>
        <v>8700192</v>
      </c>
      <c r="E2070" s="95" t="s">
        <v>4114</v>
      </c>
      <c r="F2070" s="79">
        <v>18</v>
      </c>
      <c r="G2070" s="79">
        <v>0</v>
      </c>
      <c r="H2070" s="79" t="s">
        <v>3148</v>
      </c>
      <c r="I2070" s="79"/>
      <c r="J2070" s="79"/>
      <c r="K2070" s="79">
        <v>4</v>
      </c>
      <c r="L2070" s="79">
        <v>9</v>
      </c>
      <c r="M2070" s="92" t="s">
        <v>4115</v>
      </c>
      <c r="N2070" s="79">
        <v>0</v>
      </c>
      <c r="O2070" s="79">
        <v>0</v>
      </c>
      <c r="P2070" s="107"/>
    </row>
    <row r="2071" spans="1:25">
      <c r="A2071" s="93">
        <v>870020</v>
      </c>
      <c r="B2071" s="121">
        <f t="shared" si="194"/>
        <v>8700201</v>
      </c>
      <c r="C2071" s="95" t="s">
        <v>4116</v>
      </c>
      <c r="D2071" s="121">
        <f t="shared" si="195"/>
        <v>8700202</v>
      </c>
      <c r="E2071" s="95" t="s">
        <v>4117</v>
      </c>
      <c r="F2071" s="79">
        <v>18</v>
      </c>
      <c r="G2071" s="79">
        <v>0</v>
      </c>
      <c r="H2071" s="79" t="s">
        <v>4118</v>
      </c>
      <c r="I2071" s="79"/>
      <c r="J2071" s="79"/>
      <c r="K2071" s="79">
        <v>4</v>
      </c>
      <c r="L2071" s="79">
        <v>9</v>
      </c>
      <c r="M2071" s="95" t="s">
        <v>4119</v>
      </c>
      <c r="N2071" s="79">
        <v>0</v>
      </c>
      <c r="O2071" s="79">
        <v>0</v>
      </c>
      <c r="P2071" s="107"/>
    </row>
    <row r="2072" spans="1:25">
      <c r="A2072" s="93">
        <v>870021</v>
      </c>
      <c r="B2072" s="121">
        <f t="shared" si="194"/>
        <v>8700211</v>
      </c>
      <c r="C2072" s="95" t="s">
        <v>4120</v>
      </c>
      <c r="D2072" s="121">
        <f t="shared" si="195"/>
        <v>8700212</v>
      </c>
      <c r="E2072" s="95" t="s">
        <v>4121</v>
      </c>
      <c r="F2072" s="79">
        <v>18</v>
      </c>
      <c r="G2072" s="79">
        <v>0</v>
      </c>
      <c r="H2072" s="79" t="s">
        <v>3161</v>
      </c>
      <c r="I2072" s="79"/>
      <c r="J2072" s="79"/>
      <c r="K2072" s="79">
        <v>4</v>
      </c>
      <c r="L2072" s="79">
        <v>9</v>
      </c>
      <c r="M2072" s="95" t="s">
        <v>4122</v>
      </c>
      <c r="N2072" s="79">
        <v>0</v>
      </c>
      <c r="O2072" s="79">
        <v>0</v>
      </c>
      <c r="P2072" s="107"/>
    </row>
    <row r="2073" spans="1:25">
      <c r="A2073" s="148">
        <v>870022</v>
      </c>
      <c r="B2073" s="121">
        <f t="shared" si="194"/>
        <v>8700221</v>
      </c>
      <c r="C2073" s="95" t="s">
        <v>4123</v>
      </c>
      <c r="D2073" s="121">
        <f t="shared" si="195"/>
        <v>8700222</v>
      </c>
      <c r="E2073" s="95" t="s">
        <v>4124</v>
      </c>
      <c r="F2073" s="79">
        <v>18</v>
      </c>
      <c r="G2073" s="79">
        <v>0</v>
      </c>
      <c r="H2073" s="79" t="s">
        <v>3174</v>
      </c>
      <c r="I2073" s="79"/>
      <c r="J2073" s="79"/>
      <c r="K2073" s="79">
        <v>4</v>
      </c>
      <c r="L2073" s="79">
        <v>9</v>
      </c>
      <c r="M2073" s="95" t="s">
        <v>4115</v>
      </c>
      <c r="N2073" s="79">
        <v>0</v>
      </c>
      <c r="O2073" s="79">
        <v>0</v>
      </c>
      <c r="P2073" s="107"/>
    </row>
    <row r="2074" spans="1:25">
      <c r="A2074" s="148">
        <v>870023</v>
      </c>
      <c r="B2074" s="121">
        <f t="shared" si="194"/>
        <v>8700231</v>
      </c>
      <c r="C2074" s="95" t="s">
        <v>4125</v>
      </c>
      <c r="D2074" s="121">
        <f t="shared" si="195"/>
        <v>8700232</v>
      </c>
      <c r="E2074" s="95" t="s">
        <v>4126</v>
      </c>
      <c r="F2074" s="79">
        <v>18</v>
      </c>
      <c r="G2074" s="79">
        <v>0</v>
      </c>
      <c r="H2074" s="79" t="s">
        <v>4127</v>
      </c>
      <c r="I2074" s="79"/>
      <c r="J2074" s="79"/>
      <c r="K2074" s="79">
        <v>4</v>
      </c>
      <c r="L2074" s="79">
        <v>9</v>
      </c>
      <c r="M2074" s="95" t="s">
        <v>4128</v>
      </c>
      <c r="N2074" s="79">
        <v>0</v>
      </c>
      <c r="O2074" s="79">
        <v>0</v>
      </c>
      <c r="P2074" s="107"/>
    </row>
    <row r="2075" spans="1:25">
      <c r="A2075" s="148">
        <v>870024</v>
      </c>
      <c r="B2075" s="121">
        <f t="shared" si="194"/>
        <v>8700241</v>
      </c>
      <c r="C2075" s="95" t="s">
        <v>4129</v>
      </c>
      <c r="D2075" s="121">
        <f t="shared" si="195"/>
        <v>8700242</v>
      </c>
      <c r="E2075" s="95" t="s">
        <v>4130</v>
      </c>
      <c r="F2075" s="79">
        <v>18</v>
      </c>
      <c r="G2075" s="79">
        <v>0</v>
      </c>
      <c r="H2075" s="79" t="s">
        <v>4131</v>
      </c>
      <c r="I2075" s="79"/>
      <c r="J2075" s="79"/>
      <c r="K2075" s="79">
        <v>4</v>
      </c>
      <c r="L2075" s="79">
        <v>9</v>
      </c>
      <c r="M2075" s="95" t="s">
        <v>4132</v>
      </c>
      <c r="N2075" s="79">
        <v>0</v>
      </c>
      <c r="O2075" s="79">
        <v>0</v>
      </c>
      <c r="P2075" s="107"/>
    </row>
    <row r="2076" spans="1:25">
      <c r="A2076" s="149">
        <v>870025</v>
      </c>
      <c r="B2076" s="141">
        <f t="shared" si="194"/>
        <v>8700251</v>
      </c>
      <c r="C2076" s="95" t="s">
        <v>4133</v>
      </c>
      <c r="D2076" s="141">
        <f t="shared" si="195"/>
        <v>8700252</v>
      </c>
      <c r="E2076" s="95" t="s">
        <v>4134</v>
      </c>
      <c r="F2076" s="93">
        <v>18</v>
      </c>
      <c r="G2076" s="93">
        <v>0</v>
      </c>
      <c r="H2076" s="93" t="s">
        <v>4135</v>
      </c>
      <c r="K2076" s="93">
        <v>4</v>
      </c>
      <c r="L2076" s="93">
        <v>9</v>
      </c>
      <c r="M2076" s="95" t="s">
        <v>4136</v>
      </c>
      <c r="N2076" s="93">
        <v>0</v>
      </c>
      <c r="O2076" s="93">
        <v>0</v>
      </c>
      <c r="P2076" s="98"/>
    </row>
    <row r="2077" spans="1:25" s="116" customFormat="1" ht="15.75">
      <c r="A2077" s="103">
        <v>870026</v>
      </c>
      <c r="B2077" s="103">
        <v>8700261</v>
      </c>
      <c r="C2077" s="145" t="s">
        <v>4137</v>
      </c>
      <c r="D2077" s="103">
        <v>8700262</v>
      </c>
      <c r="E2077" s="145" t="s">
        <v>4138</v>
      </c>
      <c r="F2077" s="103">
        <v>18</v>
      </c>
      <c r="G2077" s="103">
        <v>0</v>
      </c>
      <c r="H2077" s="103" t="s">
        <v>3187</v>
      </c>
      <c r="I2077" s="103"/>
      <c r="J2077" s="103"/>
      <c r="K2077" s="103">
        <v>4</v>
      </c>
      <c r="L2077" s="103">
        <v>9</v>
      </c>
      <c r="M2077" s="145" t="s">
        <v>4132</v>
      </c>
      <c r="N2077" s="103">
        <v>0</v>
      </c>
      <c r="O2077" s="103">
        <v>0</v>
      </c>
      <c r="P2077" s="129"/>
      <c r="Q2077" s="114"/>
      <c r="R2077" s="114"/>
      <c r="S2077" s="114"/>
      <c r="T2077" s="114"/>
      <c r="U2077" s="114"/>
      <c r="V2077" s="114"/>
      <c r="W2077" s="114"/>
      <c r="X2077" s="114"/>
      <c r="Y2077" s="114"/>
    </row>
    <row r="2078" spans="1:25" s="116" customFormat="1" ht="15.75">
      <c r="A2078" s="103">
        <v>870027</v>
      </c>
      <c r="B2078" s="103">
        <v>8700271</v>
      </c>
      <c r="C2078" s="145" t="s">
        <v>4139</v>
      </c>
      <c r="D2078" s="103">
        <v>8700272</v>
      </c>
      <c r="E2078" s="145" t="s">
        <v>4140</v>
      </c>
      <c r="F2078" s="103">
        <v>18</v>
      </c>
      <c r="G2078" s="103">
        <v>0</v>
      </c>
      <c r="H2078" s="103" t="s">
        <v>3200</v>
      </c>
      <c r="I2078" s="103"/>
      <c r="J2078" s="103"/>
      <c r="K2078" s="103">
        <v>5</v>
      </c>
      <c r="L2078" s="103">
        <v>9</v>
      </c>
      <c r="M2078" s="145" t="s">
        <v>4132</v>
      </c>
      <c r="N2078" s="103">
        <v>0</v>
      </c>
      <c r="O2078" s="103">
        <v>0</v>
      </c>
      <c r="P2078" s="129"/>
      <c r="Q2078" s="114"/>
      <c r="R2078" s="114"/>
      <c r="S2078" s="114"/>
      <c r="T2078" s="114"/>
      <c r="U2078" s="114"/>
      <c r="V2078" s="114"/>
      <c r="W2078" s="114"/>
      <c r="X2078" s="114"/>
      <c r="Y2078" s="114"/>
    </row>
    <row r="2079" spans="1:25">
      <c r="A2079" s="93">
        <v>870028</v>
      </c>
      <c r="B2079" s="93">
        <v>8700281</v>
      </c>
      <c r="C2079" s="93" t="s">
        <v>4141</v>
      </c>
      <c r="D2079" s="93">
        <v>8700282</v>
      </c>
      <c r="E2079" s="93" t="s">
        <v>4142</v>
      </c>
      <c r="F2079" s="93">
        <v>18</v>
      </c>
      <c r="G2079" s="93">
        <v>0</v>
      </c>
      <c r="H2079" s="93" t="s">
        <v>3213</v>
      </c>
      <c r="K2079" s="93">
        <v>4</v>
      </c>
      <c r="L2079" s="93">
        <v>9</v>
      </c>
      <c r="M2079" s="93" t="s">
        <v>4136</v>
      </c>
      <c r="N2079" s="93">
        <v>0</v>
      </c>
      <c r="O2079" s="93">
        <v>0</v>
      </c>
    </row>
    <row r="2080" spans="1:25" s="79" customFormat="1">
      <c r="A2080" s="79">
        <v>870029</v>
      </c>
      <c r="B2080" s="79">
        <v>8700291</v>
      </c>
      <c r="C2080" s="79" t="s">
        <v>4143</v>
      </c>
      <c r="D2080" s="79">
        <v>8700292</v>
      </c>
      <c r="E2080" s="79" t="s">
        <v>4144</v>
      </c>
      <c r="F2080" s="79">
        <v>18</v>
      </c>
      <c r="G2080" s="79">
        <v>0</v>
      </c>
      <c r="H2080" s="79" t="s">
        <v>4145</v>
      </c>
      <c r="K2080" s="79">
        <v>4</v>
      </c>
      <c r="L2080" s="79">
        <v>9</v>
      </c>
      <c r="M2080" s="79" t="s">
        <v>4146</v>
      </c>
      <c r="N2080" s="79">
        <v>0</v>
      </c>
      <c r="O2080" s="79">
        <v>0</v>
      </c>
    </row>
    <row r="2081" spans="1:16" s="79" customFormat="1">
      <c r="A2081" s="79">
        <v>870030</v>
      </c>
      <c r="B2081" s="79">
        <v>8700301</v>
      </c>
      <c r="C2081" s="79" t="s">
        <v>1393</v>
      </c>
      <c r="D2081" s="79">
        <v>8700302</v>
      </c>
      <c r="F2081" s="79">
        <v>18</v>
      </c>
      <c r="G2081" s="79">
        <v>0</v>
      </c>
      <c r="H2081" s="79" t="s">
        <v>4147</v>
      </c>
      <c r="K2081" s="79">
        <v>4</v>
      </c>
      <c r="L2081" s="79">
        <v>9</v>
      </c>
      <c r="N2081" s="79">
        <v>0</v>
      </c>
      <c r="O2081" s="79">
        <v>0</v>
      </c>
    </row>
    <row r="2082" spans="1:16" s="79" customFormat="1">
      <c r="A2082" s="79">
        <v>870031</v>
      </c>
      <c r="B2082" s="79">
        <v>8700311</v>
      </c>
      <c r="C2082" s="79" t="s">
        <v>4148</v>
      </c>
      <c r="D2082" s="79">
        <v>8700312</v>
      </c>
      <c r="E2082" s="79" t="s">
        <v>4149</v>
      </c>
      <c r="F2082" s="79">
        <v>18</v>
      </c>
      <c r="G2082" s="79">
        <v>0</v>
      </c>
      <c r="H2082" s="79" t="s">
        <v>4150</v>
      </c>
      <c r="K2082" s="79">
        <v>4</v>
      </c>
      <c r="L2082" s="79">
        <v>9</v>
      </c>
      <c r="M2082" s="79" t="s">
        <v>4151</v>
      </c>
      <c r="N2082" s="79">
        <v>0</v>
      </c>
      <c r="O2082" s="79">
        <v>0</v>
      </c>
    </row>
    <row r="2083" spans="1:16" s="79" customFormat="1">
      <c r="A2083" s="79">
        <v>870032</v>
      </c>
      <c r="B2083" s="121">
        <f t="shared" ref="B2083" si="196">A2083*10+1</f>
        <v>8700321</v>
      </c>
      <c r="C2083" s="146" t="s">
        <v>4152</v>
      </c>
      <c r="D2083" s="121">
        <f t="shared" ref="D2083" si="197">A2083*10+2</f>
        <v>8700322</v>
      </c>
      <c r="E2083" s="146" t="s">
        <v>4153</v>
      </c>
      <c r="F2083" s="79">
        <v>18</v>
      </c>
      <c r="G2083" s="79">
        <v>0</v>
      </c>
      <c r="H2083" s="79" t="s">
        <v>3235</v>
      </c>
      <c r="K2083" s="79">
        <v>4</v>
      </c>
      <c r="L2083" s="79">
        <v>9</v>
      </c>
      <c r="M2083" s="146" t="s">
        <v>4154</v>
      </c>
      <c r="N2083" s="79">
        <v>0</v>
      </c>
      <c r="O2083" s="79">
        <v>0</v>
      </c>
      <c r="P2083" s="107"/>
    </row>
    <row r="2084" spans="1:16" s="79" customFormat="1">
      <c r="A2084" s="79">
        <v>870033</v>
      </c>
      <c r="B2084" s="121">
        <f t="shared" ref="B2084" si="198">A2084*10+1</f>
        <v>8700331</v>
      </c>
      <c r="C2084" s="146" t="s">
        <v>4155</v>
      </c>
      <c r="D2084" s="121">
        <f t="shared" ref="D2084" si="199">A2084*10+2</f>
        <v>8700332</v>
      </c>
      <c r="E2084" s="146" t="s">
        <v>4156</v>
      </c>
      <c r="F2084" s="79">
        <v>18</v>
      </c>
      <c r="G2084" s="79">
        <v>0</v>
      </c>
      <c r="H2084" s="79" t="s">
        <v>3248</v>
      </c>
      <c r="K2084" s="79">
        <v>4</v>
      </c>
      <c r="L2084" s="79">
        <v>9</v>
      </c>
      <c r="M2084" s="146" t="s">
        <v>4157</v>
      </c>
      <c r="N2084" s="79">
        <v>0</v>
      </c>
      <c r="O2084" s="79">
        <v>0</v>
      </c>
      <c r="P2084" s="107"/>
    </row>
    <row r="2085" spans="1:16" s="79" customFormat="1">
      <c r="A2085" s="79">
        <v>870034</v>
      </c>
      <c r="B2085" s="121">
        <f t="shared" ref="B2085:B2086" si="200">A2085*10+1</f>
        <v>8700341</v>
      </c>
      <c r="C2085" s="146" t="s">
        <v>4158</v>
      </c>
      <c r="D2085" s="121">
        <f t="shared" ref="D2085:D2086" si="201">A2085*10+2</f>
        <v>8700342</v>
      </c>
      <c r="E2085" s="146" t="s">
        <v>4159</v>
      </c>
      <c r="F2085" s="79">
        <v>18</v>
      </c>
      <c r="G2085" s="79">
        <v>0</v>
      </c>
      <c r="H2085" s="79" t="s">
        <v>3261</v>
      </c>
      <c r="K2085" s="79">
        <v>4</v>
      </c>
      <c r="L2085" s="79">
        <v>9</v>
      </c>
      <c r="M2085" s="146" t="s">
        <v>4160</v>
      </c>
      <c r="N2085" s="79">
        <v>0</v>
      </c>
      <c r="O2085" s="79">
        <v>0</v>
      </c>
      <c r="P2085" s="107"/>
    </row>
    <row r="2086" spans="1:16" s="79" customFormat="1">
      <c r="A2086" s="79">
        <v>870035</v>
      </c>
      <c r="B2086" s="121">
        <f t="shared" si="200"/>
        <v>8700351</v>
      </c>
      <c r="C2086" s="146" t="s">
        <v>4161</v>
      </c>
      <c r="D2086" s="121">
        <f t="shared" si="201"/>
        <v>8700352</v>
      </c>
      <c r="E2086" s="146" t="s">
        <v>4162</v>
      </c>
      <c r="F2086" s="79">
        <v>18</v>
      </c>
      <c r="G2086" s="79">
        <v>0</v>
      </c>
      <c r="H2086" s="79" t="s">
        <v>3274</v>
      </c>
      <c r="K2086" s="79">
        <v>4</v>
      </c>
      <c r="L2086" s="79">
        <v>9</v>
      </c>
      <c r="M2086" s="146" t="s">
        <v>4073</v>
      </c>
      <c r="N2086" s="79">
        <v>0</v>
      </c>
      <c r="O2086" s="79">
        <v>0</v>
      </c>
      <c r="P2086" s="107"/>
    </row>
    <row r="2087" spans="1:16" s="79" customFormat="1">
      <c r="A2087" s="79">
        <v>870036</v>
      </c>
      <c r="B2087" s="121">
        <f t="shared" ref="B2087" si="202">A2087*10+1</f>
        <v>8700361</v>
      </c>
      <c r="C2087" s="146" t="s">
        <v>4163</v>
      </c>
      <c r="D2087" s="121">
        <f t="shared" ref="D2087" si="203">A2087*10+2</f>
        <v>8700362</v>
      </c>
      <c r="E2087" s="146" t="s">
        <v>4164</v>
      </c>
      <c r="F2087" s="79">
        <v>18</v>
      </c>
      <c r="G2087" s="79">
        <v>0</v>
      </c>
      <c r="H2087" s="79" t="s">
        <v>3287</v>
      </c>
      <c r="K2087" s="79">
        <v>4</v>
      </c>
      <c r="L2087" s="79">
        <v>9</v>
      </c>
      <c r="M2087" s="146" t="s">
        <v>4073</v>
      </c>
      <c r="N2087" s="79">
        <v>0</v>
      </c>
      <c r="O2087" s="79">
        <v>0</v>
      </c>
      <c r="P2087" s="107"/>
    </row>
    <row r="2088" spans="1:16" s="79" customFormat="1">
      <c r="A2088" s="79">
        <v>870037</v>
      </c>
      <c r="B2088" s="121">
        <f t="shared" ref="B2088:B2092" si="204">A2088*10+1</f>
        <v>8700371</v>
      </c>
      <c r="C2088" s="146" t="s">
        <v>4165</v>
      </c>
      <c r="D2088" s="121">
        <f t="shared" ref="D2088" si="205">A2088*10+2</f>
        <v>8700372</v>
      </c>
      <c r="E2088" s="146" t="s">
        <v>4166</v>
      </c>
      <c r="F2088" s="79">
        <v>18</v>
      </c>
      <c r="G2088" s="79">
        <v>0</v>
      </c>
      <c r="H2088" s="79" t="s">
        <v>3300</v>
      </c>
      <c r="K2088" s="79">
        <v>4</v>
      </c>
      <c r="L2088" s="79">
        <v>9</v>
      </c>
      <c r="M2088" s="146" t="s">
        <v>4073</v>
      </c>
      <c r="N2088" s="79">
        <v>0</v>
      </c>
      <c r="O2088" s="79">
        <v>0</v>
      </c>
      <c r="P2088" s="107"/>
    </row>
    <row r="2089" spans="1:16" s="79" customFormat="1">
      <c r="A2089" s="79">
        <v>870038</v>
      </c>
      <c r="B2089" s="121">
        <f t="shared" ref="B2089:B2093" si="206">A2089*10+1</f>
        <v>8700381</v>
      </c>
      <c r="C2089" s="146" t="s">
        <v>4167</v>
      </c>
      <c r="D2089" s="121">
        <f t="shared" ref="D2089:D2093" si="207">A2089*10+2</f>
        <v>8700382</v>
      </c>
      <c r="E2089" s="146" t="s">
        <v>4168</v>
      </c>
      <c r="F2089" s="79">
        <v>18</v>
      </c>
      <c r="G2089" s="79">
        <v>0</v>
      </c>
      <c r="H2089" s="79" t="s">
        <v>3313</v>
      </c>
      <c r="K2089" s="79">
        <v>4</v>
      </c>
      <c r="L2089" s="79">
        <v>9</v>
      </c>
      <c r="M2089" s="146" t="s">
        <v>4122</v>
      </c>
      <c r="N2089" s="79">
        <v>0</v>
      </c>
      <c r="O2089" s="79">
        <v>0</v>
      </c>
      <c r="P2089" s="107"/>
    </row>
    <row r="2090" spans="1:16" s="79" customFormat="1">
      <c r="A2090" s="79">
        <v>870039</v>
      </c>
      <c r="B2090" s="121">
        <f t="shared" si="204"/>
        <v>8700391</v>
      </c>
      <c r="C2090" s="79" t="s">
        <v>4169</v>
      </c>
      <c r="D2090" s="121">
        <f t="shared" si="207"/>
        <v>8700392</v>
      </c>
      <c r="E2090" s="79" t="s">
        <v>4170</v>
      </c>
      <c r="F2090" s="79">
        <v>18</v>
      </c>
      <c r="G2090" s="79">
        <v>0</v>
      </c>
      <c r="H2090" s="79" t="s">
        <v>4171</v>
      </c>
      <c r="K2090" s="79">
        <v>4</v>
      </c>
      <c r="L2090" s="79">
        <v>9</v>
      </c>
      <c r="M2090" s="79" t="s">
        <v>4172</v>
      </c>
      <c r="N2090" s="79">
        <v>0</v>
      </c>
      <c r="O2090" s="79">
        <v>0</v>
      </c>
    </row>
    <row r="2091" spans="1:16" s="79" customFormat="1">
      <c r="A2091" s="79">
        <v>870040</v>
      </c>
      <c r="B2091" s="121">
        <f t="shared" si="206"/>
        <v>8700401</v>
      </c>
      <c r="C2091" s="79" t="s">
        <v>4173</v>
      </c>
      <c r="D2091" s="121">
        <f t="shared" si="207"/>
        <v>8700402</v>
      </c>
      <c r="E2091" s="151" t="s">
        <v>4174</v>
      </c>
      <c r="F2091" s="79">
        <v>18</v>
      </c>
      <c r="G2091" s="79">
        <v>0</v>
      </c>
      <c r="H2091" s="79" t="s">
        <v>3326</v>
      </c>
      <c r="K2091" s="79">
        <v>4</v>
      </c>
      <c r="L2091" s="79">
        <v>9</v>
      </c>
      <c r="M2091" s="79" t="s">
        <v>4175</v>
      </c>
      <c r="N2091" s="79">
        <v>0</v>
      </c>
      <c r="O2091" s="79">
        <v>0</v>
      </c>
    </row>
    <row r="2092" spans="1:16" s="79" customFormat="1">
      <c r="A2092" s="79">
        <v>870041</v>
      </c>
      <c r="B2092" s="121">
        <f t="shared" si="204"/>
        <v>8700411</v>
      </c>
      <c r="C2092" s="79" t="s">
        <v>4176</v>
      </c>
      <c r="D2092" s="121">
        <f t="shared" si="207"/>
        <v>8700412</v>
      </c>
      <c r="E2092" s="151" t="s">
        <v>4177</v>
      </c>
      <c r="F2092" s="79">
        <v>18</v>
      </c>
      <c r="G2092" s="79">
        <v>0</v>
      </c>
      <c r="H2092" s="79" t="s">
        <v>3339</v>
      </c>
      <c r="K2092" s="79">
        <v>4</v>
      </c>
      <c r="L2092" s="79">
        <v>9</v>
      </c>
      <c r="M2092" s="79" t="s">
        <v>4175</v>
      </c>
      <c r="N2092" s="79">
        <v>0</v>
      </c>
      <c r="O2092" s="79">
        <v>0</v>
      </c>
    </row>
    <row r="2093" spans="1:16" s="79" customFormat="1">
      <c r="A2093" s="79">
        <v>870042</v>
      </c>
      <c r="B2093" s="121">
        <f t="shared" si="206"/>
        <v>8700421</v>
      </c>
      <c r="C2093" s="79" t="s">
        <v>4178</v>
      </c>
      <c r="D2093" s="121">
        <f t="shared" si="207"/>
        <v>8700422</v>
      </c>
      <c r="E2093" s="151" t="s">
        <v>4179</v>
      </c>
      <c r="F2093" s="79">
        <v>18</v>
      </c>
      <c r="G2093" s="79">
        <v>0</v>
      </c>
      <c r="H2093" s="79" t="s">
        <v>3352</v>
      </c>
      <c r="K2093" s="79">
        <v>4</v>
      </c>
      <c r="L2093" s="79">
        <v>9</v>
      </c>
      <c r="M2093" s="79" t="s">
        <v>4180</v>
      </c>
      <c r="N2093" s="79">
        <v>0</v>
      </c>
      <c r="O2093" s="79">
        <v>0</v>
      </c>
    </row>
    <row r="2094" spans="1:16" s="79" customFormat="1">
      <c r="A2094" s="79">
        <v>870043</v>
      </c>
      <c r="B2094" s="121">
        <f t="shared" ref="B2094" si="208">A2094*10+1</f>
        <v>8700431</v>
      </c>
      <c r="C2094" s="79" t="s">
        <v>5543</v>
      </c>
      <c r="D2094" s="121">
        <f t="shared" ref="D2094" si="209">A2094*10+2</f>
        <v>8700432</v>
      </c>
      <c r="E2094" s="151" t="s">
        <v>5544</v>
      </c>
      <c r="F2094" s="79">
        <v>18</v>
      </c>
      <c r="G2094" s="79">
        <v>0</v>
      </c>
      <c r="H2094" s="79" t="s">
        <v>4181</v>
      </c>
      <c r="K2094" s="79">
        <v>4</v>
      </c>
      <c r="L2094" s="79">
        <v>9</v>
      </c>
      <c r="M2094" s="79" t="s">
        <v>4180</v>
      </c>
      <c r="N2094" s="79">
        <v>0</v>
      </c>
      <c r="O2094" s="79">
        <v>0</v>
      </c>
    </row>
    <row r="2095" spans="1:16" s="79" customFormat="1">
      <c r="A2095" s="148">
        <v>880001</v>
      </c>
      <c r="B2095" s="121">
        <v>8800011</v>
      </c>
      <c r="C2095" s="79" t="s">
        <v>4182</v>
      </c>
      <c r="D2095" s="121">
        <v>8800012</v>
      </c>
      <c r="E2095" s="79" t="s">
        <v>4183</v>
      </c>
      <c r="F2095" s="79">
        <v>21</v>
      </c>
      <c r="G2095" s="79">
        <v>0</v>
      </c>
      <c r="H2095" s="79" t="s">
        <v>4184</v>
      </c>
      <c r="I2095" s="79" t="s">
        <v>4184</v>
      </c>
      <c r="K2095" s="79">
        <v>4</v>
      </c>
      <c r="L2095" s="79">
        <v>0</v>
      </c>
      <c r="M2095" s="127" t="s">
        <v>86</v>
      </c>
      <c r="N2095" s="79">
        <v>0</v>
      </c>
      <c r="O2095" s="79">
        <v>0</v>
      </c>
      <c r="P2095" s="107"/>
    </row>
    <row r="2096" spans="1:16" s="79" customFormat="1">
      <c r="A2096" s="148">
        <v>880002</v>
      </c>
      <c r="B2096" s="121">
        <v>8800021</v>
      </c>
      <c r="C2096" s="79" t="s">
        <v>4185</v>
      </c>
      <c r="D2096" s="121">
        <v>8800022</v>
      </c>
      <c r="E2096" s="79" t="s">
        <v>4186</v>
      </c>
      <c r="F2096" s="79">
        <v>21</v>
      </c>
      <c r="G2096" s="79">
        <v>0</v>
      </c>
      <c r="H2096" s="79" t="s">
        <v>3365</v>
      </c>
      <c r="I2096" s="79" t="s">
        <v>3365</v>
      </c>
      <c r="K2096" s="79">
        <v>4</v>
      </c>
      <c r="L2096" s="79">
        <v>0</v>
      </c>
      <c r="M2096" s="127" t="s">
        <v>86</v>
      </c>
      <c r="N2096" s="79">
        <v>0</v>
      </c>
      <c r="O2096" s="79">
        <v>0</v>
      </c>
      <c r="P2096" s="107"/>
    </row>
    <row r="2097" spans="1:16">
      <c r="A2097" s="148">
        <v>880003</v>
      </c>
      <c r="B2097" s="121">
        <v>8800031</v>
      </c>
      <c r="C2097" s="79" t="s">
        <v>4187</v>
      </c>
      <c r="D2097" s="121">
        <v>8800032</v>
      </c>
      <c r="E2097" s="79" t="s">
        <v>4188</v>
      </c>
      <c r="F2097" s="79">
        <v>21</v>
      </c>
      <c r="G2097" s="79">
        <v>0</v>
      </c>
      <c r="H2097" s="79" t="s">
        <v>3369</v>
      </c>
      <c r="I2097" s="79" t="s">
        <v>3369</v>
      </c>
      <c r="J2097" s="79"/>
      <c r="K2097" s="79">
        <v>4</v>
      </c>
      <c r="L2097" s="79">
        <v>0</v>
      </c>
      <c r="M2097" s="127" t="s">
        <v>86</v>
      </c>
      <c r="N2097" s="79">
        <v>0</v>
      </c>
      <c r="O2097" s="79">
        <v>0</v>
      </c>
      <c r="P2097" s="107"/>
    </row>
    <row r="2098" spans="1:16">
      <c r="A2098" s="148">
        <v>880004</v>
      </c>
      <c r="B2098" s="121">
        <v>8800041</v>
      </c>
      <c r="D2098" s="121">
        <v>8800042</v>
      </c>
      <c r="F2098" s="79">
        <v>21</v>
      </c>
      <c r="G2098" s="79">
        <v>0</v>
      </c>
      <c r="H2098" s="79" t="s">
        <v>4189</v>
      </c>
      <c r="I2098" s="79" t="s">
        <v>4189</v>
      </c>
      <c r="J2098" s="79"/>
      <c r="K2098" s="79">
        <v>4</v>
      </c>
      <c r="L2098" s="79">
        <v>0</v>
      </c>
      <c r="M2098" s="127" t="s">
        <v>86</v>
      </c>
      <c r="N2098" s="79">
        <v>0</v>
      </c>
      <c r="O2098" s="79">
        <v>0</v>
      </c>
      <c r="P2098" s="107"/>
    </row>
    <row r="2099" spans="1:16">
      <c r="A2099" s="148">
        <v>880005</v>
      </c>
      <c r="B2099" s="121">
        <v>8800051</v>
      </c>
      <c r="C2099" s="79"/>
      <c r="D2099" s="121">
        <v>8800052</v>
      </c>
      <c r="E2099" s="79"/>
      <c r="F2099" s="79">
        <v>21</v>
      </c>
      <c r="G2099" s="79">
        <v>0</v>
      </c>
      <c r="H2099" s="79" t="s">
        <v>4190</v>
      </c>
      <c r="I2099" s="79" t="s">
        <v>4190</v>
      </c>
      <c r="J2099" s="79"/>
      <c r="K2099" s="79">
        <v>4</v>
      </c>
      <c r="L2099" s="79">
        <v>0</v>
      </c>
      <c r="M2099" s="127" t="s">
        <v>86</v>
      </c>
      <c r="N2099" s="79">
        <v>0</v>
      </c>
      <c r="O2099" s="79">
        <v>0</v>
      </c>
      <c r="P2099" s="107"/>
    </row>
    <row r="2100" spans="1:16">
      <c r="A2100" s="148">
        <v>880006</v>
      </c>
      <c r="B2100" s="121">
        <v>8800061</v>
      </c>
      <c r="C2100" s="79"/>
      <c r="D2100" s="121">
        <v>8800062</v>
      </c>
      <c r="E2100" s="79"/>
      <c r="F2100" s="79">
        <v>21</v>
      </c>
      <c r="G2100" s="79">
        <v>0</v>
      </c>
      <c r="H2100" s="79" t="s">
        <v>4191</v>
      </c>
      <c r="I2100" s="79" t="s">
        <v>4191</v>
      </c>
      <c r="J2100" s="79"/>
      <c r="K2100" s="79">
        <v>4</v>
      </c>
      <c r="L2100" s="79">
        <v>0</v>
      </c>
      <c r="M2100" s="127" t="s">
        <v>86</v>
      </c>
      <c r="N2100" s="79">
        <v>0</v>
      </c>
      <c r="O2100" s="79">
        <v>0</v>
      </c>
      <c r="P2100" s="107"/>
    </row>
    <row r="2101" spans="1:16">
      <c r="A2101" s="148">
        <v>880007</v>
      </c>
      <c r="B2101" s="121">
        <v>8800071</v>
      </c>
      <c r="C2101" s="79"/>
      <c r="D2101" s="121">
        <v>8800072</v>
      </c>
      <c r="E2101" s="79"/>
      <c r="F2101" s="79">
        <v>21</v>
      </c>
      <c r="G2101" s="79">
        <v>0</v>
      </c>
      <c r="H2101" s="79" t="s">
        <v>4192</v>
      </c>
      <c r="I2101" s="79" t="s">
        <v>4192</v>
      </c>
      <c r="J2101" s="79"/>
      <c r="K2101" s="79">
        <v>4</v>
      </c>
      <c r="L2101" s="79">
        <v>0</v>
      </c>
      <c r="M2101" s="127" t="s">
        <v>86</v>
      </c>
      <c r="N2101" s="79">
        <v>0</v>
      </c>
      <c r="O2101" s="79">
        <v>0</v>
      </c>
      <c r="P2101" s="107"/>
    </row>
    <row r="2102" spans="1:16">
      <c r="A2102" s="148">
        <v>880008</v>
      </c>
      <c r="B2102" s="121">
        <v>8800081</v>
      </c>
      <c r="C2102" s="79" t="s">
        <v>4193</v>
      </c>
      <c r="D2102" s="121">
        <v>8800082</v>
      </c>
      <c r="E2102" s="79" t="s">
        <v>4194</v>
      </c>
      <c r="F2102" s="79">
        <v>21</v>
      </c>
      <c r="G2102" s="79">
        <v>0</v>
      </c>
      <c r="H2102" s="79" t="s">
        <v>4195</v>
      </c>
      <c r="I2102" s="79" t="s">
        <v>4195</v>
      </c>
      <c r="J2102" s="79"/>
      <c r="K2102" s="79">
        <v>4</v>
      </c>
      <c r="L2102" s="79">
        <v>0</v>
      </c>
      <c r="M2102" s="127" t="s">
        <v>86</v>
      </c>
      <c r="N2102" s="79">
        <v>0</v>
      </c>
      <c r="O2102" s="79">
        <v>0</v>
      </c>
      <c r="P2102" s="107"/>
    </row>
    <row r="2103" spans="1:16">
      <c r="A2103" s="148">
        <v>880009</v>
      </c>
      <c r="B2103" s="121">
        <f>A2103*10+1</f>
        <v>8800091</v>
      </c>
      <c r="C2103" s="79" t="s">
        <v>4196</v>
      </c>
      <c r="D2103" s="121">
        <f>A2103*10+2</f>
        <v>8800092</v>
      </c>
      <c r="E2103" s="79" t="s">
        <v>4197</v>
      </c>
      <c r="F2103" s="79">
        <v>21</v>
      </c>
      <c r="G2103" s="79">
        <v>0</v>
      </c>
      <c r="H2103" s="79" t="s">
        <v>4198</v>
      </c>
      <c r="I2103" s="79" t="s">
        <v>4198</v>
      </c>
      <c r="J2103" s="79"/>
      <c r="K2103" s="79">
        <v>4</v>
      </c>
      <c r="L2103" s="79">
        <v>0</v>
      </c>
      <c r="M2103" s="127" t="s">
        <v>86</v>
      </c>
      <c r="N2103" s="79">
        <v>0</v>
      </c>
      <c r="O2103" s="79">
        <v>0</v>
      </c>
      <c r="P2103" s="107"/>
    </row>
    <row r="2104" spans="1:16">
      <c r="A2104" s="148">
        <v>880010</v>
      </c>
      <c r="B2104" s="121">
        <f>A2104*10+1</f>
        <v>8800101</v>
      </c>
      <c r="C2104" s="79" t="s">
        <v>4199</v>
      </c>
      <c r="D2104" s="121">
        <f>A2104*10+2</f>
        <v>8800102</v>
      </c>
      <c r="E2104" s="79" t="s">
        <v>4200</v>
      </c>
      <c r="F2104" s="79">
        <v>21</v>
      </c>
      <c r="G2104" s="79">
        <v>0</v>
      </c>
      <c r="H2104" s="79" t="s">
        <v>4201</v>
      </c>
      <c r="I2104" s="79" t="s">
        <v>4201</v>
      </c>
      <c r="J2104" s="79"/>
      <c r="K2104" s="79">
        <v>4</v>
      </c>
      <c r="L2104" s="79">
        <v>0</v>
      </c>
      <c r="M2104" s="127" t="s">
        <v>86</v>
      </c>
      <c r="N2104" s="79">
        <v>0</v>
      </c>
      <c r="O2104" s="79">
        <v>0</v>
      </c>
      <c r="P2104" s="107"/>
    </row>
    <row r="2105" spans="1:16">
      <c r="A2105" s="148">
        <v>880011</v>
      </c>
      <c r="B2105" s="121">
        <f>A2105*10+1</f>
        <v>8800111</v>
      </c>
      <c r="C2105" s="79" t="s">
        <v>4202</v>
      </c>
      <c r="D2105" s="121">
        <f>A2105*10+2</f>
        <v>8800112</v>
      </c>
      <c r="E2105" s="79" t="s">
        <v>4203</v>
      </c>
      <c r="F2105" s="79">
        <v>21</v>
      </c>
      <c r="G2105" s="79">
        <v>0</v>
      </c>
      <c r="H2105" s="79" t="s">
        <v>4204</v>
      </c>
      <c r="I2105" s="79" t="s">
        <v>4204</v>
      </c>
      <c r="J2105" s="79"/>
      <c r="K2105" s="79">
        <v>4</v>
      </c>
      <c r="L2105" s="79">
        <v>0</v>
      </c>
      <c r="M2105" s="127" t="s">
        <v>86</v>
      </c>
      <c r="N2105" s="79">
        <v>0</v>
      </c>
      <c r="O2105" s="79">
        <v>0</v>
      </c>
      <c r="P2105" s="107"/>
    </row>
    <row r="2106" spans="1:16" s="79" customFormat="1">
      <c r="A2106" s="148">
        <v>880012</v>
      </c>
      <c r="B2106" s="121">
        <v>8800121</v>
      </c>
      <c r="C2106" s="79" t="s">
        <v>4205</v>
      </c>
      <c r="D2106" s="121">
        <v>8800122</v>
      </c>
      <c r="E2106" s="79" t="s">
        <v>4206</v>
      </c>
      <c r="F2106" s="79">
        <v>21</v>
      </c>
      <c r="G2106" s="79">
        <v>0</v>
      </c>
      <c r="H2106" s="79" t="s">
        <v>4207</v>
      </c>
      <c r="I2106" s="79" t="s">
        <v>4207</v>
      </c>
      <c r="K2106" s="79">
        <v>4</v>
      </c>
      <c r="L2106" s="79">
        <v>0</v>
      </c>
      <c r="M2106" s="127" t="s">
        <v>86</v>
      </c>
      <c r="N2106" s="79">
        <v>0</v>
      </c>
      <c r="O2106" s="79">
        <v>0</v>
      </c>
      <c r="P2106" s="107"/>
    </row>
    <row r="2107" spans="1:16">
      <c r="A2107" s="148">
        <v>890001</v>
      </c>
      <c r="B2107" s="121">
        <v>8900011</v>
      </c>
      <c r="C2107" s="92" t="s">
        <v>4208</v>
      </c>
      <c r="D2107" s="121">
        <v>8900012</v>
      </c>
      <c r="E2107" s="92" t="s">
        <v>4209</v>
      </c>
      <c r="F2107" s="79">
        <v>23</v>
      </c>
      <c r="G2107" s="79">
        <v>0</v>
      </c>
      <c r="H2107" s="92" t="s">
        <v>4210</v>
      </c>
      <c r="I2107" s="79"/>
      <c r="K2107" s="79">
        <v>3</v>
      </c>
      <c r="L2107" s="79">
        <v>0</v>
      </c>
      <c r="M2107" s="79">
        <v>0</v>
      </c>
      <c r="N2107" s="79">
        <v>0</v>
      </c>
      <c r="O2107" s="79">
        <v>0</v>
      </c>
      <c r="P2107" s="107"/>
    </row>
    <row r="2108" spans="1:16">
      <c r="A2108" s="148">
        <f t="shared" ref="A2108:A2144" si="210">A2107+1</f>
        <v>890002</v>
      </c>
      <c r="B2108" s="121">
        <f t="shared" ref="B2108:B2144" si="211">B2107+10</f>
        <v>8900021</v>
      </c>
      <c r="C2108" s="92" t="s">
        <v>4211</v>
      </c>
      <c r="D2108" s="121">
        <f t="shared" ref="D2108:D2144" si="212">D2107+10</f>
        <v>8900022</v>
      </c>
      <c r="E2108" s="92" t="s">
        <v>4209</v>
      </c>
      <c r="F2108" s="79">
        <v>23</v>
      </c>
      <c r="G2108" s="79">
        <v>0</v>
      </c>
      <c r="H2108" s="92" t="s">
        <v>4212</v>
      </c>
      <c r="I2108" s="79"/>
      <c r="K2108" s="79">
        <f>K2107+1</f>
        <v>4</v>
      </c>
      <c r="L2108" s="79">
        <v>0</v>
      </c>
      <c r="M2108" s="79">
        <v>0</v>
      </c>
      <c r="N2108" s="79">
        <v>0</v>
      </c>
      <c r="O2108" s="79">
        <v>0</v>
      </c>
      <c r="P2108" s="107"/>
    </row>
    <row r="2109" spans="1:16">
      <c r="A2109" s="148">
        <f t="shared" si="210"/>
        <v>890003</v>
      </c>
      <c r="B2109" s="121">
        <f t="shared" si="211"/>
        <v>8900031</v>
      </c>
      <c r="C2109" s="92" t="s">
        <v>4213</v>
      </c>
      <c r="D2109" s="121">
        <f t="shared" si="212"/>
        <v>8900032</v>
      </c>
      <c r="E2109" s="92" t="s">
        <v>4209</v>
      </c>
      <c r="F2109" s="79">
        <v>23</v>
      </c>
      <c r="G2109" s="79">
        <v>0</v>
      </c>
      <c r="H2109" s="92" t="s">
        <v>4214</v>
      </c>
      <c r="I2109" s="79"/>
      <c r="K2109" s="79">
        <f t="shared" ref="K2109:K2111" si="213">K2108+1</f>
        <v>5</v>
      </c>
      <c r="L2109" s="79">
        <v>0</v>
      </c>
      <c r="M2109" s="79">
        <v>0</v>
      </c>
      <c r="N2109" s="79">
        <v>0</v>
      </c>
      <c r="O2109" s="79">
        <v>0</v>
      </c>
      <c r="P2109" s="107"/>
    </row>
    <row r="2110" spans="1:16">
      <c r="A2110" s="148">
        <f t="shared" si="210"/>
        <v>890004</v>
      </c>
      <c r="B2110" s="121">
        <f t="shared" si="211"/>
        <v>8900041</v>
      </c>
      <c r="C2110" s="92" t="s">
        <v>4215</v>
      </c>
      <c r="D2110" s="121">
        <f t="shared" si="212"/>
        <v>8900042</v>
      </c>
      <c r="E2110" s="92" t="s">
        <v>4209</v>
      </c>
      <c r="F2110" s="79">
        <v>23</v>
      </c>
      <c r="G2110" s="79">
        <v>0</v>
      </c>
      <c r="H2110" s="92" t="s">
        <v>4216</v>
      </c>
      <c r="I2110" s="79"/>
      <c r="K2110" s="79">
        <f t="shared" si="213"/>
        <v>6</v>
      </c>
      <c r="L2110" s="79">
        <v>0</v>
      </c>
      <c r="M2110" s="79">
        <v>0</v>
      </c>
      <c r="N2110" s="79">
        <v>0</v>
      </c>
      <c r="O2110" s="79">
        <v>0</v>
      </c>
      <c r="P2110" s="107"/>
    </row>
    <row r="2111" spans="1:16">
      <c r="A2111" s="148">
        <f t="shared" si="210"/>
        <v>890005</v>
      </c>
      <c r="B2111" s="121">
        <f t="shared" si="211"/>
        <v>8900051</v>
      </c>
      <c r="C2111" s="92" t="s">
        <v>4217</v>
      </c>
      <c r="D2111" s="121">
        <f t="shared" si="212"/>
        <v>8900052</v>
      </c>
      <c r="E2111" s="92" t="s">
        <v>4209</v>
      </c>
      <c r="F2111" s="79">
        <v>23</v>
      </c>
      <c r="G2111" s="79">
        <v>0</v>
      </c>
      <c r="H2111" s="92" t="s">
        <v>4218</v>
      </c>
      <c r="I2111" s="79"/>
      <c r="K2111" s="79">
        <f t="shared" si="213"/>
        <v>7</v>
      </c>
      <c r="L2111" s="79">
        <v>0</v>
      </c>
      <c r="M2111" s="79">
        <v>0</v>
      </c>
      <c r="N2111" s="79">
        <v>0</v>
      </c>
      <c r="O2111" s="79">
        <v>0</v>
      </c>
      <c r="P2111" s="107"/>
    </row>
    <row r="2112" spans="1:16">
      <c r="A2112" s="148">
        <f t="shared" si="210"/>
        <v>890006</v>
      </c>
      <c r="B2112" s="121">
        <f t="shared" si="211"/>
        <v>8900061</v>
      </c>
      <c r="C2112" s="92" t="s">
        <v>4219</v>
      </c>
      <c r="D2112" s="121">
        <f t="shared" si="212"/>
        <v>8900062</v>
      </c>
      <c r="E2112" s="92" t="s">
        <v>4220</v>
      </c>
      <c r="F2112" s="79">
        <v>23</v>
      </c>
      <c r="G2112" s="79">
        <v>0</v>
      </c>
      <c r="H2112" s="92" t="s">
        <v>4221</v>
      </c>
      <c r="I2112" s="79"/>
      <c r="K2112" s="79">
        <v>3</v>
      </c>
      <c r="L2112" s="79">
        <v>0</v>
      </c>
      <c r="M2112" s="79">
        <v>0</v>
      </c>
      <c r="N2112" s="79">
        <v>0</v>
      </c>
      <c r="O2112" s="79">
        <v>0</v>
      </c>
      <c r="P2112" s="107"/>
    </row>
    <row r="2113" spans="1:16">
      <c r="A2113" s="148">
        <f t="shared" si="210"/>
        <v>890007</v>
      </c>
      <c r="B2113" s="121">
        <f t="shared" si="211"/>
        <v>8900071</v>
      </c>
      <c r="C2113" s="92" t="s">
        <v>4222</v>
      </c>
      <c r="D2113" s="121">
        <f t="shared" si="212"/>
        <v>8900072</v>
      </c>
      <c r="E2113" s="92" t="s">
        <v>4220</v>
      </c>
      <c r="F2113" s="79">
        <v>23</v>
      </c>
      <c r="G2113" s="79">
        <v>0</v>
      </c>
      <c r="H2113" s="92" t="s">
        <v>4223</v>
      </c>
      <c r="I2113" s="79"/>
      <c r="K2113" s="79">
        <f>K2112+1</f>
        <v>4</v>
      </c>
      <c r="L2113" s="79">
        <v>0</v>
      </c>
      <c r="M2113" s="79">
        <v>0</v>
      </c>
      <c r="N2113" s="79">
        <v>0</v>
      </c>
      <c r="O2113" s="79">
        <v>0</v>
      </c>
      <c r="P2113" s="107"/>
    </row>
    <row r="2114" spans="1:16">
      <c r="A2114" s="148">
        <f t="shared" si="210"/>
        <v>890008</v>
      </c>
      <c r="B2114" s="121">
        <f t="shared" si="211"/>
        <v>8900081</v>
      </c>
      <c r="C2114" s="92" t="s">
        <v>4224</v>
      </c>
      <c r="D2114" s="121">
        <f t="shared" si="212"/>
        <v>8900082</v>
      </c>
      <c r="E2114" s="92" t="s">
        <v>4220</v>
      </c>
      <c r="F2114" s="79">
        <v>23</v>
      </c>
      <c r="G2114" s="79">
        <v>0</v>
      </c>
      <c r="H2114" s="92" t="s">
        <v>4225</v>
      </c>
      <c r="I2114" s="79"/>
      <c r="K2114" s="79">
        <f t="shared" ref="K2114:K2116" si="214">K2113+1</f>
        <v>5</v>
      </c>
      <c r="L2114" s="79">
        <v>0</v>
      </c>
      <c r="M2114" s="79">
        <v>0</v>
      </c>
      <c r="N2114" s="79">
        <v>0</v>
      </c>
      <c r="O2114" s="79">
        <v>0</v>
      </c>
      <c r="P2114" s="107"/>
    </row>
    <row r="2115" spans="1:16">
      <c r="A2115" s="148">
        <f t="shared" si="210"/>
        <v>890009</v>
      </c>
      <c r="B2115" s="121">
        <f t="shared" si="211"/>
        <v>8900091</v>
      </c>
      <c r="C2115" s="92" t="s">
        <v>4226</v>
      </c>
      <c r="D2115" s="121">
        <f t="shared" si="212"/>
        <v>8900092</v>
      </c>
      <c r="E2115" s="92" t="s">
        <v>4220</v>
      </c>
      <c r="F2115" s="79">
        <v>23</v>
      </c>
      <c r="G2115" s="79">
        <v>0</v>
      </c>
      <c r="H2115" s="92" t="s">
        <v>4227</v>
      </c>
      <c r="I2115" s="79"/>
      <c r="K2115" s="79">
        <f t="shared" si="214"/>
        <v>6</v>
      </c>
      <c r="L2115" s="79">
        <v>0</v>
      </c>
      <c r="M2115" s="79">
        <v>0</v>
      </c>
      <c r="N2115" s="79">
        <v>0</v>
      </c>
      <c r="O2115" s="79">
        <v>0</v>
      </c>
      <c r="P2115" s="107"/>
    </row>
    <row r="2116" spans="1:16">
      <c r="A2116" s="148">
        <f t="shared" si="210"/>
        <v>890010</v>
      </c>
      <c r="B2116" s="121">
        <f t="shared" si="211"/>
        <v>8900101</v>
      </c>
      <c r="C2116" s="92" t="s">
        <v>4228</v>
      </c>
      <c r="D2116" s="121">
        <f t="shared" si="212"/>
        <v>8900102</v>
      </c>
      <c r="E2116" s="92" t="s">
        <v>4220</v>
      </c>
      <c r="F2116" s="79">
        <v>23</v>
      </c>
      <c r="G2116" s="79">
        <v>0</v>
      </c>
      <c r="H2116" s="92" t="s">
        <v>4229</v>
      </c>
      <c r="I2116" s="79"/>
      <c r="K2116" s="79">
        <f t="shared" si="214"/>
        <v>7</v>
      </c>
      <c r="L2116" s="79">
        <v>0</v>
      </c>
      <c r="M2116" s="79">
        <v>0</v>
      </c>
      <c r="N2116" s="79">
        <v>0</v>
      </c>
      <c r="O2116" s="79">
        <v>0</v>
      </c>
      <c r="P2116" s="107"/>
    </row>
    <row r="2117" spans="1:16">
      <c r="A2117" s="148">
        <f t="shared" si="210"/>
        <v>890011</v>
      </c>
      <c r="B2117" s="121">
        <f t="shared" si="211"/>
        <v>8900111</v>
      </c>
      <c r="C2117" s="92" t="s">
        <v>4230</v>
      </c>
      <c r="D2117" s="121">
        <f t="shared" si="212"/>
        <v>8900112</v>
      </c>
      <c r="E2117" s="92" t="s">
        <v>4231</v>
      </c>
      <c r="F2117" s="79">
        <v>23</v>
      </c>
      <c r="G2117" s="79">
        <v>0</v>
      </c>
      <c r="H2117" s="92" t="s">
        <v>4232</v>
      </c>
      <c r="I2117" s="79"/>
      <c r="K2117" s="79">
        <v>3</v>
      </c>
      <c r="L2117" s="79">
        <v>0</v>
      </c>
      <c r="M2117" s="79">
        <v>0</v>
      </c>
      <c r="N2117" s="79">
        <v>0</v>
      </c>
      <c r="O2117" s="79">
        <v>0</v>
      </c>
      <c r="P2117" s="107"/>
    </row>
    <row r="2118" spans="1:16">
      <c r="A2118" s="148">
        <f t="shared" si="210"/>
        <v>890012</v>
      </c>
      <c r="B2118" s="121">
        <f t="shared" si="211"/>
        <v>8900121</v>
      </c>
      <c r="C2118" s="92" t="s">
        <v>4233</v>
      </c>
      <c r="D2118" s="121">
        <f t="shared" si="212"/>
        <v>8900122</v>
      </c>
      <c r="E2118" s="92" t="s">
        <v>4231</v>
      </c>
      <c r="F2118" s="79">
        <v>23</v>
      </c>
      <c r="G2118" s="79">
        <v>0</v>
      </c>
      <c r="H2118" s="92" t="s">
        <v>4234</v>
      </c>
      <c r="I2118" s="79"/>
      <c r="K2118" s="79">
        <f>K2117+1</f>
        <v>4</v>
      </c>
      <c r="L2118" s="79">
        <v>0</v>
      </c>
      <c r="M2118" s="79">
        <v>0</v>
      </c>
      <c r="N2118" s="79">
        <v>0</v>
      </c>
      <c r="O2118" s="79">
        <v>0</v>
      </c>
      <c r="P2118" s="107"/>
    </row>
    <row r="2119" spans="1:16">
      <c r="A2119" s="148">
        <f t="shared" si="210"/>
        <v>890013</v>
      </c>
      <c r="B2119" s="121">
        <f t="shared" si="211"/>
        <v>8900131</v>
      </c>
      <c r="C2119" s="92" t="s">
        <v>4235</v>
      </c>
      <c r="D2119" s="121">
        <f t="shared" si="212"/>
        <v>8900132</v>
      </c>
      <c r="E2119" s="92" t="s">
        <v>4231</v>
      </c>
      <c r="F2119" s="79">
        <v>23</v>
      </c>
      <c r="G2119" s="79">
        <v>0</v>
      </c>
      <c r="H2119" s="92" t="s">
        <v>4236</v>
      </c>
      <c r="I2119" s="79"/>
      <c r="K2119" s="79">
        <f t="shared" ref="K2119:K2121" si="215">K2118+1</f>
        <v>5</v>
      </c>
      <c r="L2119" s="79">
        <v>0</v>
      </c>
      <c r="M2119" s="79">
        <v>0</v>
      </c>
      <c r="N2119" s="79">
        <v>0</v>
      </c>
      <c r="O2119" s="79">
        <v>0</v>
      </c>
      <c r="P2119" s="107"/>
    </row>
    <row r="2120" spans="1:16">
      <c r="A2120" s="148">
        <f t="shared" si="210"/>
        <v>890014</v>
      </c>
      <c r="B2120" s="121">
        <f t="shared" si="211"/>
        <v>8900141</v>
      </c>
      <c r="C2120" s="92" t="s">
        <v>4237</v>
      </c>
      <c r="D2120" s="121">
        <f t="shared" si="212"/>
        <v>8900142</v>
      </c>
      <c r="E2120" s="92" t="s">
        <v>4231</v>
      </c>
      <c r="F2120" s="79">
        <v>23</v>
      </c>
      <c r="G2120" s="79">
        <v>0</v>
      </c>
      <c r="H2120" s="92" t="s">
        <v>4238</v>
      </c>
      <c r="I2120" s="79"/>
      <c r="K2120" s="79">
        <f t="shared" si="215"/>
        <v>6</v>
      </c>
      <c r="L2120" s="79">
        <v>0</v>
      </c>
      <c r="M2120" s="79">
        <v>0</v>
      </c>
      <c r="N2120" s="79">
        <v>0</v>
      </c>
      <c r="O2120" s="79">
        <v>0</v>
      </c>
      <c r="P2120" s="107"/>
    </row>
    <row r="2121" spans="1:16">
      <c r="A2121" s="148">
        <f t="shared" si="210"/>
        <v>890015</v>
      </c>
      <c r="B2121" s="121">
        <f t="shared" si="211"/>
        <v>8900151</v>
      </c>
      <c r="C2121" s="92" t="s">
        <v>4239</v>
      </c>
      <c r="D2121" s="121">
        <f t="shared" si="212"/>
        <v>8900152</v>
      </c>
      <c r="E2121" s="92" t="s">
        <v>4231</v>
      </c>
      <c r="F2121" s="79">
        <v>23</v>
      </c>
      <c r="G2121" s="79">
        <v>0</v>
      </c>
      <c r="H2121" s="92" t="s">
        <v>4240</v>
      </c>
      <c r="I2121" s="79"/>
      <c r="K2121" s="79">
        <f t="shared" si="215"/>
        <v>7</v>
      </c>
      <c r="L2121" s="79">
        <v>0</v>
      </c>
      <c r="M2121" s="79">
        <v>0</v>
      </c>
      <c r="N2121" s="79">
        <v>0</v>
      </c>
      <c r="O2121" s="79">
        <v>0</v>
      </c>
      <c r="P2121" s="107"/>
    </row>
    <row r="2122" spans="1:16">
      <c r="A2122" s="148">
        <f t="shared" si="210"/>
        <v>890016</v>
      </c>
      <c r="B2122" s="121">
        <f t="shared" si="211"/>
        <v>8900161</v>
      </c>
      <c r="C2122" s="92" t="s">
        <v>4241</v>
      </c>
      <c r="D2122" s="121">
        <f t="shared" si="212"/>
        <v>8900162</v>
      </c>
      <c r="E2122" s="92" t="s">
        <v>4242</v>
      </c>
      <c r="F2122" s="79">
        <v>23</v>
      </c>
      <c r="G2122" s="79">
        <v>0</v>
      </c>
      <c r="H2122" s="92" t="s">
        <v>4243</v>
      </c>
      <c r="I2122" s="79"/>
      <c r="K2122" s="79">
        <v>3</v>
      </c>
      <c r="L2122" s="79">
        <v>0</v>
      </c>
      <c r="M2122" s="79">
        <v>0</v>
      </c>
      <c r="N2122" s="79">
        <v>0</v>
      </c>
      <c r="O2122" s="79">
        <v>0</v>
      </c>
      <c r="P2122" s="107"/>
    </row>
    <row r="2123" spans="1:16">
      <c r="A2123" s="148">
        <f t="shared" si="210"/>
        <v>890017</v>
      </c>
      <c r="B2123" s="121">
        <f t="shared" si="211"/>
        <v>8900171</v>
      </c>
      <c r="C2123" s="92" t="s">
        <v>4244</v>
      </c>
      <c r="D2123" s="121">
        <f t="shared" si="212"/>
        <v>8900172</v>
      </c>
      <c r="E2123" s="92" t="s">
        <v>4242</v>
      </c>
      <c r="F2123" s="79">
        <v>23</v>
      </c>
      <c r="G2123" s="79">
        <v>0</v>
      </c>
      <c r="H2123" s="92" t="s">
        <v>4245</v>
      </c>
      <c r="I2123" s="79"/>
      <c r="K2123" s="79">
        <f>K2122+1</f>
        <v>4</v>
      </c>
      <c r="L2123" s="79">
        <v>0</v>
      </c>
      <c r="M2123" s="79">
        <v>0</v>
      </c>
      <c r="N2123" s="79">
        <v>0</v>
      </c>
      <c r="O2123" s="79">
        <v>0</v>
      </c>
      <c r="P2123" s="107"/>
    </row>
    <row r="2124" spans="1:16">
      <c r="A2124" s="148">
        <f t="shared" si="210"/>
        <v>890018</v>
      </c>
      <c r="B2124" s="121">
        <f t="shared" si="211"/>
        <v>8900181</v>
      </c>
      <c r="C2124" s="92" t="s">
        <v>4246</v>
      </c>
      <c r="D2124" s="121">
        <f t="shared" si="212"/>
        <v>8900182</v>
      </c>
      <c r="E2124" s="92" t="s">
        <v>4242</v>
      </c>
      <c r="F2124" s="79">
        <v>23</v>
      </c>
      <c r="G2124" s="79">
        <v>0</v>
      </c>
      <c r="H2124" s="92" t="s">
        <v>4247</v>
      </c>
      <c r="I2124" s="79"/>
      <c r="K2124" s="79">
        <f t="shared" ref="K2124:K2126" si="216">K2123+1</f>
        <v>5</v>
      </c>
      <c r="L2124" s="79">
        <v>0</v>
      </c>
      <c r="M2124" s="79">
        <v>0</v>
      </c>
      <c r="N2124" s="79">
        <v>0</v>
      </c>
      <c r="O2124" s="79">
        <v>0</v>
      </c>
      <c r="P2124" s="107"/>
    </row>
    <row r="2125" spans="1:16">
      <c r="A2125" s="148">
        <f t="shared" si="210"/>
        <v>890019</v>
      </c>
      <c r="B2125" s="121">
        <f t="shared" si="211"/>
        <v>8900191</v>
      </c>
      <c r="C2125" s="92" t="s">
        <v>4248</v>
      </c>
      <c r="D2125" s="121">
        <f t="shared" si="212"/>
        <v>8900192</v>
      </c>
      <c r="E2125" s="92" t="s">
        <v>4242</v>
      </c>
      <c r="F2125" s="79">
        <v>23</v>
      </c>
      <c r="G2125" s="79">
        <v>0</v>
      </c>
      <c r="H2125" s="92" t="s">
        <v>4249</v>
      </c>
      <c r="I2125" s="79"/>
      <c r="K2125" s="79">
        <f t="shared" si="216"/>
        <v>6</v>
      </c>
      <c r="L2125" s="79">
        <v>0</v>
      </c>
      <c r="M2125" s="79">
        <v>0</v>
      </c>
      <c r="N2125" s="79">
        <v>0</v>
      </c>
      <c r="O2125" s="79">
        <v>0</v>
      </c>
      <c r="P2125" s="107"/>
    </row>
    <row r="2126" spans="1:16">
      <c r="A2126" s="148">
        <f t="shared" si="210"/>
        <v>890020</v>
      </c>
      <c r="B2126" s="121">
        <f t="shared" si="211"/>
        <v>8900201</v>
      </c>
      <c r="C2126" s="92" t="s">
        <v>4250</v>
      </c>
      <c r="D2126" s="121">
        <f t="shared" si="212"/>
        <v>8900202</v>
      </c>
      <c r="E2126" s="92" t="s">
        <v>4242</v>
      </c>
      <c r="F2126" s="79">
        <v>23</v>
      </c>
      <c r="G2126" s="79">
        <v>0</v>
      </c>
      <c r="H2126" s="92" t="s">
        <v>4251</v>
      </c>
      <c r="I2126" s="79"/>
      <c r="K2126" s="79">
        <f t="shared" si="216"/>
        <v>7</v>
      </c>
      <c r="L2126" s="79">
        <v>0</v>
      </c>
      <c r="M2126" s="79">
        <v>0</v>
      </c>
      <c r="N2126" s="79">
        <v>0</v>
      </c>
      <c r="O2126" s="79">
        <v>0</v>
      </c>
      <c r="P2126" s="107"/>
    </row>
    <row r="2127" spans="1:16">
      <c r="A2127" s="148">
        <f t="shared" si="210"/>
        <v>890021</v>
      </c>
      <c r="B2127" s="121">
        <f t="shared" si="211"/>
        <v>8900211</v>
      </c>
      <c r="C2127" s="92" t="s">
        <v>4252</v>
      </c>
      <c r="D2127" s="121">
        <f t="shared" si="212"/>
        <v>8900212</v>
      </c>
      <c r="E2127" s="92" t="s">
        <v>4253</v>
      </c>
      <c r="F2127" s="79">
        <v>23</v>
      </c>
      <c r="G2127" s="79">
        <v>0</v>
      </c>
      <c r="H2127" s="92" t="s">
        <v>4254</v>
      </c>
      <c r="I2127" s="79"/>
      <c r="K2127" s="79">
        <v>3</v>
      </c>
      <c r="L2127" s="79">
        <v>0</v>
      </c>
      <c r="M2127" s="79">
        <v>0</v>
      </c>
      <c r="N2127" s="79">
        <v>0</v>
      </c>
      <c r="O2127" s="79">
        <v>0</v>
      </c>
      <c r="P2127" s="107"/>
    </row>
    <row r="2128" spans="1:16">
      <c r="A2128" s="148">
        <f t="shared" si="210"/>
        <v>890022</v>
      </c>
      <c r="B2128" s="121">
        <f t="shared" si="211"/>
        <v>8900221</v>
      </c>
      <c r="C2128" s="92" t="s">
        <v>4255</v>
      </c>
      <c r="D2128" s="121">
        <f t="shared" si="212"/>
        <v>8900222</v>
      </c>
      <c r="E2128" s="92" t="s">
        <v>4253</v>
      </c>
      <c r="F2128" s="79">
        <v>23</v>
      </c>
      <c r="G2128" s="79">
        <v>0</v>
      </c>
      <c r="H2128" s="92" t="s">
        <v>4256</v>
      </c>
      <c r="I2128" s="79"/>
      <c r="K2128" s="79">
        <f>K2127+1</f>
        <v>4</v>
      </c>
      <c r="L2128" s="79">
        <v>0</v>
      </c>
      <c r="M2128" s="79">
        <v>0</v>
      </c>
      <c r="N2128" s="79">
        <v>0</v>
      </c>
      <c r="O2128" s="79">
        <v>0</v>
      </c>
      <c r="P2128" s="107"/>
    </row>
    <row r="2129" spans="1:16">
      <c r="A2129" s="148">
        <f t="shared" si="210"/>
        <v>890023</v>
      </c>
      <c r="B2129" s="121">
        <f t="shared" si="211"/>
        <v>8900231</v>
      </c>
      <c r="C2129" s="92" t="s">
        <v>4257</v>
      </c>
      <c r="D2129" s="121">
        <f t="shared" si="212"/>
        <v>8900232</v>
      </c>
      <c r="E2129" s="92" t="s">
        <v>4253</v>
      </c>
      <c r="F2129" s="79">
        <v>23</v>
      </c>
      <c r="G2129" s="79">
        <v>0</v>
      </c>
      <c r="H2129" s="92" t="s">
        <v>4258</v>
      </c>
      <c r="I2129" s="79"/>
      <c r="K2129" s="79">
        <f t="shared" ref="K2129:K2131" si="217">K2128+1</f>
        <v>5</v>
      </c>
      <c r="L2129" s="79">
        <v>0</v>
      </c>
      <c r="M2129" s="79">
        <v>0</v>
      </c>
      <c r="N2129" s="79">
        <v>0</v>
      </c>
      <c r="O2129" s="79">
        <v>0</v>
      </c>
      <c r="P2129" s="107"/>
    </row>
    <row r="2130" spans="1:16">
      <c r="A2130" s="148">
        <f t="shared" si="210"/>
        <v>890024</v>
      </c>
      <c r="B2130" s="121">
        <f t="shared" si="211"/>
        <v>8900241</v>
      </c>
      <c r="C2130" s="92" t="s">
        <v>4259</v>
      </c>
      <c r="D2130" s="121">
        <f t="shared" si="212"/>
        <v>8900242</v>
      </c>
      <c r="E2130" s="92" t="s">
        <v>4253</v>
      </c>
      <c r="F2130" s="79">
        <v>23</v>
      </c>
      <c r="G2130" s="79">
        <v>0</v>
      </c>
      <c r="H2130" s="92" t="s">
        <v>4260</v>
      </c>
      <c r="I2130" s="79"/>
      <c r="K2130" s="79">
        <f t="shared" si="217"/>
        <v>6</v>
      </c>
      <c r="L2130" s="79">
        <v>0</v>
      </c>
      <c r="M2130" s="79">
        <v>0</v>
      </c>
      <c r="N2130" s="79">
        <v>0</v>
      </c>
      <c r="O2130" s="79">
        <v>0</v>
      </c>
      <c r="P2130" s="107"/>
    </row>
    <row r="2131" spans="1:16">
      <c r="A2131" s="148">
        <f t="shared" si="210"/>
        <v>890025</v>
      </c>
      <c r="B2131" s="121">
        <f t="shared" si="211"/>
        <v>8900251</v>
      </c>
      <c r="C2131" s="92" t="s">
        <v>4261</v>
      </c>
      <c r="D2131" s="121">
        <f t="shared" si="212"/>
        <v>8900252</v>
      </c>
      <c r="E2131" s="92" t="s">
        <v>4253</v>
      </c>
      <c r="F2131" s="79">
        <v>23</v>
      </c>
      <c r="G2131" s="79">
        <v>0</v>
      </c>
      <c r="H2131" s="92" t="s">
        <v>4262</v>
      </c>
      <c r="I2131" s="79"/>
      <c r="K2131" s="79">
        <f t="shared" si="217"/>
        <v>7</v>
      </c>
      <c r="L2131" s="79">
        <v>0</v>
      </c>
      <c r="M2131" s="79">
        <v>0</v>
      </c>
      <c r="N2131" s="79">
        <v>0</v>
      </c>
      <c r="O2131" s="79">
        <v>0</v>
      </c>
      <c r="P2131" s="107"/>
    </row>
    <row r="2132" spans="1:16">
      <c r="A2132" s="148">
        <f t="shared" si="210"/>
        <v>890026</v>
      </c>
      <c r="B2132" s="121">
        <f t="shared" si="211"/>
        <v>8900261</v>
      </c>
      <c r="C2132" s="92" t="s">
        <v>4263</v>
      </c>
      <c r="D2132" s="121">
        <f t="shared" si="212"/>
        <v>8900262</v>
      </c>
      <c r="E2132" s="92" t="s">
        <v>4264</v>
      </c>
      <c r="F2132" s="79">
        <v>23</v>
      </c>
      <c r="G2132" s="79">
        <v>0</v>
      </c>
      <c r="H2132" s="92" t="s">
        <v>4265</v>
      </c>
      <c r="I2132" s="79"/>
      <c r="K2132" s="79">
        <v>3</v>
      </c>
      <c r="L2132" s="79">
        <v>0</v>
      </c>
      <c r="M2132" s="79">
        <v>0</v>
      </c>
      <c r="N2132" s="79">
        <v>0</v>
      </c>
      <c r="O2132" s="79">
        <v>0</v>
      </c>
      <c r="P2132" s="107"/>
    </row>
    <row r="2133" spans="1:16">
      <c r="A2133" s="148">
        <f t="shared" si="210"/>
        <v>890027</v>
      </c>
      <c r="B2133" s="121">
        <f t="shared" si="211"/>
        <v>8900271</v>
      </c>
      <c r="C2133" s="92" t="s">
        <v>4266</v>
      </c>
      <c r="D2133" s="121">
        <f t="shared" si="212"/>
        <v>8900272</v>
      </c>
      <c r="E2133" s="92" t="s">
        <v>4264</v>
      </c>
      <c r="F2133" s="79">
        <v>23</v>
      </c>
      <c r="G2133" s="79">
        <v>0</v>
      </c>
      <c r="H2133" s="92" t="s">
        <v>4267</v>
      </c>
      <c r="I2133" s="79"/>
      <c r="K2133" s="79">
        <f>K2132+1</f>
        <v>4</v>
      </c>
      <c r="L2133" s="79">
        <v>0</v>
      </c>
      <c r="M2133" s="79">
        <v>0</v>
      </c>
      <c r="N2133" s="79">
        <v>0</v>
      </c>
      <c r="O2133" s="79">
        <v>0</v>
      </c>
      <c r="P2133" s="107"/>
    </row>
    <row r="2134" spans="1:16">
      <c r="A2134" s="148">
        <f t="shared" si="210"/>
        <v>890028</v>
      </c>
      <c r="B2134" s="121">
        <f t="shared" si="211"/>
        <v>8900281</v>
      </c>
      <c r="C2134" s="92" t="s">
        <v>4268</v>
      </c>
      <c r="D2134" s="121">
        <f t="shared" si="212"/>
        <v>8900282</v>
      </c>
      <c r="E2134" s="92" t="s">
        <v>4264</v>
      </c>
      <c r="F2134" s="79">
        <v>23</v>
      </c>
      <c r="G2134" s="79">
        <v>0</v>
      </c>
      <c r="H2134" s="92" t="s">
        <v>4269</v>
      </c>
      <c r="I2134" s="79"/>
      <c r="K2134" s="79">
        <f t="shared" ref="K2134:K2136" si="218">K2133+1</f>
        <v>5</v>
      </c>
      <c r="L2134" s="79">
        <v>0</v>
      </c>
      <c r="M2134" s="79">
        <v>0</v>
      </c>
      <c r="N2134" s="79">
        <v>0</v>
      </c>
      <c r="O2134" s="79">
        <v>0</v>
      </c>
      <c r="P2134" s="107"/>
    </row>
    <row r="2135" spans="1:16">
      <c r="A2135" s="148">
        <f t="shared" si="210"/>
        <v>890029</v>
      </c>
      <c r="B2135" s="121">
        <f t="shared" si="211"/>
        <v>8900291</v>
      </c>
      <c r="C2135" s="92" t="s">
        <v>4270</v>
      </c>
      <c r="D2135" s="121">
        <f t="shared" si="212"/>
        <v>8900292</v>
      </c>
      <c r="E2135" s="92" t="s">
        <v>4264</v>
      </c>
      <c r="F2135" s="79">
        <v>23</v>
      </c>
      <c r="G2135" s="79">
        <v>0</v>
      </c>
      <c r="H2135" s="92" t="s">
        <v>4271</v>
      </c>
      <c r="I2135" s="79"/>
      <c r="K2135" s="79">
        <f t="shared" si="218"/>
        <v>6</v>
      </c>
      <c r="L2135" s="79">
        <v>0</v>
      </c>
      <c r="M2135" s="79">
        <v>0</v>
      </c>
      <c r="N2135" s="79">
        <v>0</v>
      </c>
      <c r="O2135" s="79">
        <v>0</v>
      </c>
      <c r="P2135" s="107"/>
    </row>
    <row r="2136" spans="1:16">
      <c r="A2136" s="148">
        <f t="shared" si="210"/>
        <v>890030</v>
      </c>
      <c r="B2136" s="121">
        <f t="shared" si="211"/>
        <v>8900301</v>
      </c>
      <c r="C2136" s="92" t="s">
        <v>4272</v>
      </c>
      <c r="D2136" s="121">
        <f t="shared" si="212"/>
        <v>8900302</v>
      </c>
      <c r="E2136" s="92" t="s">
        <v>4264</v>
      </c>
      <c r="F2136" s="79">
        <v>23</v>
      </c>
      <c r="G2136" s="79">
        <v>0</v>
      </c>
      <c r="H2136" s="92" t="s">
        <v>4273</v>
      </c>
      <c r="I2136" s="79"/>
      <c r="K2136" s="79">
        <f t="shared" si="218"/>
        <v>7</v>
      </c>
      <c r="L2136" s="79">
        <v>0</v>
      </c>
      <c r="M2136" s="79">
        <v>0</v>
      </c>
      <c r="N2136" s="79">
        <v>0</v>
      </c>
      <c r="O2136" s="79">
        <v>0</v>
      </c>
      <c r="P2136" s="107"/>
    </row>
    <row r="2137" spans="1:16">
      <c r="A2137" s="148">
        <f t="shared" si="210"/>
        <v>890031</v>
      </c>
      <c r="B2137" s="78">
        <f t="shared" si="211"/>
        <v>8900311</v>
      </c>
      <c r="C2137" s="92" t="s">
        <v>4274</v>
      </c>
      <c r="D2137" s="78">
        <f t="shared" si="212"/>
        <v>8900312</v>
      </c>
      <c r="E2137" s="92" t="s">
        <v>4275</v>
      </c>
      <c r="F2137" s="79">
        <v>23</v>
      </c>
      <c r="G2137" s="79">
        <v>0</v>
      </c>
      <c r="H2137" s="92" t="s">
        <v>4276</v>
      </c>
      <c r="I2137" s="79"/>
      <c r="K2137" s="79">
        <v>1</v>
      </c>
      <c r="L2137" s="79">
        <v>0</v>
      </c>
      <c r="M2137" s="79">
        <v>0</v>
      </c>
      <c r="N2137" s="79">
        <v>0</v>
      </c>
      <c r="O2137" s="79">
        <v>0</v>
      </c>
      <c r="P2137" s="107"/>
    </row>
    <row r="2138" spans="1:16">
      <c r="A2138" s="148">
        <f t="shared" si="210"/>
        <v>890032</v>
      </c>
      <c r="B2138" s="78">
        <f t="shared" si="211"/>
        <v>8900321</v>
      </c>
      <c r="C2138" s="92" t="s">
        <v>4277</v>
      </c>
      <c r="D2138" s="78">
        <f t="shared" si="212"/>
        <v>8900322</v>
      </c>
      <c r="E2138" s="92" t="s">
        <v>4275</v>
      </c>
      <c r="F2138" s="79">
        <v>23</v>
      </c>
      <c r="G2138" s="79">
        <v>0</v>
      </c>
      <c r="H2138" s="92" t="s">
        <v>4278</v>
      </c>
      <c r="I2138" s="79"/>
      <c r="K2138" s="79">
        <v>2</v>
      </c>
      <c r="L2138" s="79">
        <v>0</v>
      </c>
      <c r="M2138" s="79">
        <v>0</v>
      </c>
      <c r="N2138" s="79">
        <v>0</v>
      </c>
      <c r="O2138" s="79">
        <v>0</v>
      </c>
      <c r="P2138" s="107"/>
    </row>
    <row r="2139" spans="1:16">
      <c r="A2139" s="148">
        <f t="shared" si="210"/>
        <v>890033</v>
      </c>
      <c r="B2139" s="78">
        <f t="shared" si="211"/>
        <v>8900331</v>
      </c>
      <c r="C2139" s="92" t="s">
        <v>4279</v>
      </c>
      <c r="D2139" s="78">
        <f t="shared" si="212"/>
        <v>8900332</v>
      </c>
      <c r="E2139" s="92" t="s">
        <v>4275</v>
      </c>
      <c r="F2139" s="79">
        <v>23</v>
      </c>
      <c r="G2139" s="79">
        <v>0</v>
      </c>
      <c r="H2139" s="92" t="s">
        <v>4280</v>
      </c>
      <c r="I2139" s="79"/>
      <c r="K2139" s="79">
        <v>3</v>
      </c>
      <c r="L2139" s="79">
        <v>0</v>
      </c>
      <c r="M2139" s="79">
        <v>0</v>
      </c>
      <c r="N2139" s="79">
        <v>0</v>
      </c>
      <c r="O2139" s="79">
        <v>0</v>
      </c>
      <c r="P2139" s="107"/>
    </row>
    <row r="2140" spans="1:16">
      <c r="A2140" s="148">
        <f t="shared" si="210"/>
        <v>890034</v>
      </c>
      <c r="B2140" s="78">
        <f t="shared" si="211"/>
        <v>8900341</v>
      </c>
      <c r="C2140" s="92" t="s">
        <v>4281</v>
      </c>
      <c r="D2140" s="78">
        <f t="shared" si="212"/>
        <v>8900342</v>
      </c>
      <c r="E2140" s="92" t="s">
        <v>4275</v>
      </c>
      <c r="F2140" s="79">
        <v>23</v>
      </c>
      <c r="G2140" s="79">
        <v>0</v>
      </c>
      <c r="H2140" s="92" t="s">
        <v>4282</v>
      </c>
      <c r="I2140" s="79"/>
      <c r="K2140" s="79">
        <f>K2139+1</f>
        <v>4</v>
      </c>
      <c r="L2140" s="79">
        <v>0</v>
      </c>
      <c r="M2140" s="79">
        <v>0</v>
      </c>
      <c r="N2140" s="79">
        <v>0</v>
      </c>
      <c r="O2140" s="79">
        <v>0</v>
      </c>
      <c r="P2140" s="107"/>
    </row>
    <row r="2141" spans="1:16">
      <c r="A2141" s="148">
        <f t="shared" si="210"/>
        <v>890035</v>
      </c>
      <c r="B2141" s="78">
        <f t="shared" si="211"/>
        <v>8900351</v>
      </c>
      <c r="C2141" s="92" t="s">
        <v>4283</v>
      </c>
      <c r="D2141" s="78">
        <f t="shared" si="212"/>
        <v>8900352</v>
      </c>
      <c r="E2141" s="92" t="s">
        <v>4275</v>
      </c>
      <c r="F2141" s="79">
        <v>23</v>
      </c>
      <c r="G2141" s="79">
        <v>0</v>
      </c>
      <c r="H2141" s="92" t="s">
        <v>4284</v>
      </c>
      <c r="I2141" s="79"/>
      <c r="K2141" s="79">
        <f t="shared" ref="K2141:K2142" si="219">K2140+1</f>
        <v>5</v>
      </c>
      <c r="L2141" s="79">
        <v>0</v>
      </c>
      <c r="M2141" s="79">
        <v>0</v>
      </c>
      <c r="N2141" s="79">
        <v>0</v>
      </c>
      <c r="O2141" s="79">
        <v>0</v>
      </c>
      <c r="P2141" s="107"/>
    </row>
    <row r="2142" spans="1:16">
      <c r="A2142" s="148">
        <f t="shared" si="210"/>
        <v>890036</v>
      </c>
      <c r="B2142" s="78">
        <f t="shared" si="211"/>
        <v>8900361</v>
      </c>
      <c r="C2142" s="92" t="s">
        <v>4285</v>
      </c>
      <c r="D2142" s="78">
        <f t="shared" si="212"/>
        <v>8900362</v>
      </c>
      <c r="E2142" s="92" t="s">
        <v>4275</v>
      </c>
      <c r="F2142" s="79">
        <v>23</v>
      </c>
      <c r="G2142" s="79">
        <v>0</v>
      </c>
      <c r="H2142" s="92" t="s">
        <v>4286</v>
      </c>
      <c r="I2142" s="79"/>
      <c r="K2142" s="79">
        <f t="shared" si="219"/>
        <v>6</v>
      </c>
      <c r="L2142" s="79">
        <v>0</v>
      </c>
      <c r="M2142" s="79">
        <v>0</v>
      </c>
      <c r="N2142" s="79">
        <v>0</v>
      </c>
      <c r="O2142" s="79">
        <v>0</v>
      </c>
      <c r="P2142" s="107"/>
    </row>
    <row r="2143" spans="1:16">
      <c r="A2143" s="148">
        <f t="shared" si="210"/>
        <v>890037</v>
      </c>
      <c r="B2143" s="78">
        <f t="shared" si="211"/>
        <v>8900371</v>
      </c>
      <c r="C2143" s="92" t="s">
        <v>4287</v>
      </c>
      <c r="D2143" s="78">
        <f t="shared" si="212"/>
        <v>8900372</v>
      </c>
      <c r="E2143" s="92" t="s">
        <v>4288</v>
      </c>
      <c r="F2143" s="79">
        <v>23</v>
      </c>
      <c r="G2143" s="79">
        <v>0</v>
      </c>
      <c r="H2143" s="92" t="s">
        <v>4289</v>
      </c>
      <c r="I2143" s="79"/>
      <c r="K2143" s="79">
        <v>1</v>
      </c>
      <c r="L2143" s="79">
        <v>0</v>
      </c>
      <c r="M2143" s="79">
        <v>0</v>
      </c>
      <c r="N2143" s="79">
        <v>0</v>
      </c>
      <c r="O2143" s="79">
        <v>0</v>
      </c>
      <c r="P2143" s="107"/>
    </row>
    <row r="2144" spans="1:16">
      <c r="A2144" s="148">
        <f t="shared" si="210"/>
        <v>890038</v>
      </c>
      <c r="B2144" s="78">
        <f t="shared" si="211"/>
        <v>8900381</v>
      </c>
      <c r="C2144" s="92" t="s">
        <v>4290</v>
      </c>
      <c r="D2144" s="78">
        <f t="shared" si="212"/>
        <v>8900382</v>
      </c>
      <c r="E2144" s="92" t="s">
        <v>4291</v>
      </c>
      <c r="F2144" s="79">
        <v>23</v>
      </c>
      <c r="G2144" s="79">
        <v>0</v>
      </c>
      <c r="H2144" s="92" t="s">
        <v>4292</v>
      </c>
      <c r="I2144" s="79"/>
      <c r="K2144" s="79">
        <v>2</v>
      </c>
      <c r="L2144" s="79">
        <v>0</v>
      </c>
      <c r="M2144" s="79">
        <v>0</v>
      </c>
      <c r="N2144" s="79">
        <v>0</v>
      </c>
      <c r="O2144" s="79">
        <v>0</v>
      </c>
      <c r="P2144" s="107">
        <v>50</v>
      </c>
    </row>
    <row r="2145" spans="1:16">
      <c r="A2145" s="148">
        <v>890041</v>
      </c>
      <c r="B2145" s="78">
        <v>8900411</v>
      </c>
      <c r="C2145" s="92" t="s">
        <v>4293</v>
      </c>
      <c r="D2145" s="78">
        <v>8900412</v>
      </c>
      <c r="E2145" s="92" t="s">
        <v>4294</v>
      </c>
      <c r="F2145" s="79">
        <v>23</v>
      </c>
      <c r="G2145" s="79">
        <v>0</v>
      </c>
      <c r="H2145" s="92" t="s">
        <v>4295</v>
      </c>
      <c r="I2145" s="79"/>
      <c r="K2145" s="79">
        <v>1</v>
      </c>
      <c r="L2145" s="79">
        <v>0</v>
      </c>
      <c r="M2145" s="79" t="s">
        <v>86</v>
      </c>
      <c r="N2145" s="79">
        <v>0</v>
      </c>
      <c r="O2145" s="79">
        <v>0</v>
      </c>
      <c r="P2145" s="107"/>
    </row>
    <row r="2146" spans="1:16">
      <c r="A2146" s="148">
        <v>890042</v>
      </c>
      <c r="B2146" s="78">
        <v>8900421</v>
      </c>
      <c r="C2146" s="92" t="s">
        <v>4296</v>
      </c>
      <c r="D2146" s="78">
        <v>8900422</v>
      </c>
      <c r="E2146" s="92" t="s">
        <v>4294</v>
      </c>
      <c r="F2146" s="79">
        <v>23</v>
      </c>
      <c r="G2146" s="79">
        <v>0</v>
      </c>
      <c r="H2146" s="92" t="s">
        <v>4297</v>
      </c>
      <c r="I2146" s="79"/>
      <c r="K2146" s="79">
        <v>2</v>
      </c>
      <c r="L2146" s="79">
        <v>0</v>
      </c>
      <c r="M2146" s="79" t="s">
        <v>86</v>
      </c>
      <c r="N2146" s="79">
        <v>0</v>
      </c>
      <c r="O2146" s="79">
        <v>0</v>
      </c>
      <c r="P2146" s="107"/>
    </row>
    <row r="2147" spans="1:16">
      <c r="A2147" s="148">
        <v>890043</v>
      </c>
      <c r="B2147" s="78">
        <v>8900431</v>
      </c>
      <c r="C2147" s="92" t="s">
        <v>4298</v>
      </c>
      <c r="D2147" s="78">
        <v>8900432</v>
      </c>
      <c r="E2147" s="92" t="s">
        <v>4294</v>
      </c>
      <c r="F2147" s="79">
        <v>23</v>
      </c>
      <c r="G2147" s="79">
        <v>0</v>
      </c>
      <c r="H2147" s="92" t="s">
        <v>4299</v>
      </c>
      <c r="I2147" s="79"/>
      <c r="K2147" s="79">
        <v>3</v>
      </c>
      <c r="L2147" s="79">
        <v>0</v>
      </c>
      <c r="M2147" s="79" t="s">
        <v>86</v>
      </c>
      <c r="N2147" s="79">
        <v>0</v>
      </c>
      <c r="O2147" s="79">
        <v>0</v>
      </c>
      <c r="P2147" s="107"/>
    </row>
    <row r="2148" spans="1:16">
      <c r="A2148" s="148">
        <v>890044</v>
      </c>
      <c r="B2148" s="78">
        <v>8900441</v>
      </c>
      <c r="C2148" s="92" t="s">
        <v>4300</v>
      </c>
      <c r="D2148" s="78">
        <v>8900442</v>
      </c>
      <c r="E2148" s="92" t="s">
        <v>4294</v>
      </c>
      <c r="F2148" s="79">
        <v>23</v>
      </c>
      <c r="G2148" s="79">
        <v>0</v>
      </c>
      <c r="H2148" s="92" t="s">
        <v>4301</v>
      </c>
      <c r="I2148" s="79"/>
      <c r="K2148" s="79">
        <v>4</v>
      </c>
      <c r="L2148" s="79">
        <v>0</v>
      </c>
      <c r="M2148" s="79" t="s">
        <v>86</v>
      </c>
      <c r="N2148" s="79">
        <v>0</v>
      </c>
      <c r="O2148" s="79">
        <v>0</v>
      </c>
      <c r="P2148" s="107"/>
    </row>
    <row r="2149" spans="1:16">
      <c r="A2149" s="148">
        <v>890045</v>
      </c>
      <c r="B2149" s="78">
        <v>8900451</v>
      </c>
      <c r="C2149" s="92" t="s">
        <v>4302</v>
      </c>
      <c r="D2149" s="78">
        <v>8900452</v>
      </c>
      <c r="E2149" s="92" t="s">
        <v>4294</v>
      </c>
      <c r="F2149" s="79">
        <v>23</v>
      </c>
      <c r="G2149" s="79">
        <v>0</v>
      </c>
      <c r="H2149" s="92" t="s">
        <v>4303</v>
      </c>
      <c r="I2149" s="79"/>
      <c r="K2149" s="79">
        <v>5</v>
      </c>
      <c r="L2149" s="79">
        <v>0</v>
      </c>
      <c r="M2149" s="79" t="s">
        <v>86</v>
      </c>
      <c r="N2149" s="79">
        <v>0</v>
      </c>
      <c r="O2149" s="79">
        <v>0</v>
      </c>
      <c r="P2149" s="107"/>
    </row>
    <row r="2150" spans="1:16">
      <c r="A2150" s="148">
        <v>890046</v>
      </c>
      <c r="B2150" s="78">
        <v>8900461</v>
      </c>
      <c r="C2150" s="92" t="s">
        <v>4304</v>
      </c>
      <c r="D2150" s="78">
        <v>8900462</v>
      </c>
      <c r="E2150" s="92" t="s">
        <v>4305</v>
      </c>
      <c r="F2150" s="79">
        <v>23</v>
      </c>
      <c r="G2150" s="79">
        <v>0</v>
      </c>
      <c r="H2150" s="92" t="s">
        <v>4306</v>
      </c>
      <c r="I2150" s="79"/>
      <c r="K2150" s="79">
        <v>6</v>
      </c>
      <c r="L2150" s="79">
        <v>0</v>
      </c>
      <c r="M2150" s="79" t="s">
        <v>86</v>
      </c>
      <c r="N2150" s="79">
        <v>0</v>
      </c>
      <c r="O2150" s="79">
        <v>0</v>
      </c>
      <c r="P2150" s="107"/>
    </row>
    <row r="2151" spans="1:16">
      <c r="A2151" s="148">
        <v>890047</v>
      </c>
      <c r="B2151" s="78">
        <v>8900471</v>
      </c>
      <c r="C2151" s="92" t="s">
        <v>4307</v>
      </c>
      <c r="D2151" s="78">
        <v>8900472</v>
      </c>
      <c r="E2151" s="92" t="s">
        <v>4308</v>
      </c>
      <c r="F2151" s="79">
        <v>23</v>
      </c>
      <c r="G2151" s="79">
        <v>0</v>
      </c>
      <c r="H2151" s="92" t="s">
        <v>4309</v>
      </c>
      <c r="I2151" s="79"/>
      <c r="K2151" s="79">
        <v>6</v>
      </c>
      <c r="L2151" s="79">
        <v>0</v>
      </c>
      <c r="M2151" s="79" t="s">
        <v>86</v>
      </c>
      <c r="N2151" s="79">
        <v>0</v>
      </c>
      <c r="O2151" s="79">
        <v>0</v>
      </c>
      <c r="P2151" s="107"/>
    </row>
    <row r="2152" spans="1:16">
      <c r="A2152" s="148">
        <v>890048</v>
      </c>
      <c r="B2152" s="78">
        <v>8900481</v>
      </c>
      <c r="C2152" s="92" t="s">
        <v>4310</v>
      </c>
      <c r="D2152" s="78">
        <v>8900482</v>
      </c>
      <c r="E2152" s="92" t="s">
        <v>4311</v>
      </c>
      <c r="F2152" s="79">
        <v>23</v>
      </c>
      <c r="G2152" s="79">
        <v>0</v>
      </c>
      <c r="H2152" s="92" t="s">
        <v>4312</v>
      </c>
      <c r="I2152" s="79"/>
      <c r="K2152" s="79">
        <v>6</v>
      </c>
      <c r="L2152" s="79">
        <v>0</v>
      </c>
      <c r="M2152" s="79" t="s">
        <v>86</v>
      </c>
      <c r="N2152" s="79">
        <v>0</v>
      </c>
      <c r="O2152" s="79">
        <v>0</v>
      </c>
      <c r="P2152" s="107"/>
    </row>
    <row r="2153" spans="1:16">
      <c r="A2153" s="148">
        <v>890049</v>
      </c>
      <c r="B2153" s="155">
        <v>8900491</v>
      </c>
      <c r="C2153" s="156" t="s">
        <v>4137</v>
      </c>
      <c r="D2153" s="78">
        <v>8900492</v>
      </c>
      <c r="E2153" s="92" t="s">
        <v>4313</v>
      </c>
      <c r="F2153" s="79">
        <v>23</v>
      </c>
      <c r="G2153" s="79">
        <v>0</v>
      </c>
      <c r="H2153" s="92" t="s">
        <v>4314</v>
      </c>
      <c r="I2153" s="79"/>
      <c r="K2153" s="79">
        <v>5</v>
      </c>
      <c r="L2153" s="79">
        <v>0</v>
      </c>
      <c r="M2153" s="79" t="s">
        <v>86</v>
      </c>
      <c r="N2153" s="79">
        <v>0</v>
      </c>
      <c r="O2153" s="79">
        <v>0</v>
      </c>
      <c r="P2153" s="107"/>
    </row>
    <row r="2154" spans="1:16">
      <c r="A2154" s="148">
        <v>890050</v>
      </c>
      <c r="B2154" s="155">
        <v>8900501</v>
      </c>
      <c r="C2154" s="156" t="s">
        <v>4139</v>
      </c>
      <c r="D2154" s="78">
        <v>8900502</v>
      </c>
      <c r="E2154" s="92" t="s">
        <v>4315</v>
      </c>
      <c r="F2154" s="79">
        <v>23</v>
      </c>
      <c r="G2154" s="79">
        <v>0</v>
      </c>
      <c r="H2154" s="92" t="s">
        <v>4316</v>
      </c>
      <c r="I2154" s="79"/>
      <c r="K2154" s="79">
        <v>5</v>
      </c>
      <c r="L2154" s="79">
        <v>0</v>
      </c>
      <c r="M2154" s="79" t="s">
        <v>86</v>
      </c>
      <c r="N2154" s="79">
        <v>0</v>
      </c>
      <c r="O2154" s="79">
        <v>0</v>
      </c>
      <c r="P2154" s="107"/>
    </row>
    <row r="2155" spans="1:16">
      <c r="A2155" s="79">
        <v>900001</v>
      </c>
      <c r="B2155" s="121">
        <v>9000011</v>
      </c>
      <c r="C2155" s="79" t="s">
        <v>4317</v>
      </c>
      <c r="D2155" s="121">
        <f t="shared" ref="D2155:D2178" si="220">A2155*10+2</f>
        <v>9000012</v>
      </c>
      <c r="E2155" s="79" t="s">
        <v>4318</v>
      </c>
      <c r="F2155" s="79">
        <v>11</v>
      </c>
      <c r="G2155" s="79">
        <v>1</v>
      </c>
      <c r="H2155" s="79" t="str">
        <f t="shared" ref="H2155:H2177" si="221">"icon_"&amp;A2155</f>
        <v>icon_900001</v>
      </c>
      <c r="I2155" s="79"/>
      <c r="J2155" s="79"/>
      <c r="K2155" s="79">
        <v>2</v>
      </c>
      <c r="L2155" s="79">
        <v>1</v>
      </c>
      <c r="M2155" s="127">
        <v>900001</v>
      </c>
      <c r="N2155" s="79">
        <v>2</v>
      </c>
      <c r="O2155" s="79">
        <v>1</v>
      </c>
      <c r="P2155" s="107">
        <v>100</v>
      </c>
    </row>
    <row r="2156" spans="1:16">
      <c r="A2156" s="79">
        <v>900002</v>
      </c>
      <c r="B2156" s="121">
        <v>9000021</v>
      </c>
      <c r="C2156" s="79" t="s">
        <v>4319</v>
      </c>
      <c r="D2156" s="121">
        <f t="shared" si="220"/>
        <v>9000022</v>
      </c>
      <c r="E2156" s="79" t="s">
        <v>4320</v>
      </c>
      <c r="F2156" s="79">
        <v>11</v>
      </c>
      <c r="G2156" s="79">
        <v>1</v>
      </c>
      <c r="H2156" s="79" t="str">
        <f t="shared" si="221"/>
        <v>icon_900002</v>
      </c>
      <c r="I2156" s="79"/>
      <c r="J2156" s="79"/>
      <c r="K2156" s="79">
        <v>2</v>
      </c>
      <c r="L2156" s="79">
        <v>1</v>
      </c>
      <c r="M2156" s="127">
        <v>900002</v>
      </c>
      <c r="N2156" s="79">
        <v>2</v>
      </c>
      <c r="O2156" s="79">
        <v>5</v>
      </c>
      <c r="P2156" s="107">
        <v>150</v>
      </c>
    </row>
    <row r="2157" spans="1:16">
      <c r="A2157" s="79">
        <v>900003</v>
      </c>
      <c r="B2157" s="121">
        <v>9000031</v>
      </c>
      <c r="C2157" s="79" t="s">
        <v>4321</v>
      </c>
      <c r="D2157" s="121">
        <f t="shared" si="220"/>
        <v>9000032</v>
      </c>
      <c r="E2157" s="79" t="s">
        <v>4322</v>
      </c>
      <c r="F2157" s="79">
        <v>11</v>
      </c>
      <c r="G2157" s="79">
        <v>1</v>
      </c>
      <c r="H2157" s="79" t="str">
        <f t="shared" si="221"/>
        <v>icon_900003</v>
      </c>
      <c r="I2157" s="79"/>
      <c r="J2157" s="79"/>
      <c r="K2157" s="79">
        <v>3</v>
      </c>
      <c r="L2157" s="79">
        <v>1</v>
      </c>
      <c r="M2157" s="127">
        <v>900003</v>
      </c>
      <c r="N2157" s="79">
        <v>2</v>
      </c>
      <c r="O2157" s="79">
        <v>10</v>
      </c>
      <c r="P2157" s="107">
        <v>200</v>
      </c>
    </row>
    <row r="2158" spans="1:16">
      <c r="A2158" s="79">
        <v>900004</v>
      </c>
      <c r="B2158" s="121">
        <v>9000041</v>
      </c>
      <c r="C2158" s="79" t="s">
        <v>4323</v>
      </c>
      <c r="D2158" s="121">
        <f t="shared" si="220"/>
        <v>9000042</v>
      </c>
      <c r="E2158" s="79" t="s">
        <v>4324</v>
      </c>
      <c r="F2158" s="79">
        <v>11</v>
      </c>
      <c r="G2158" s="79">
        <v>1</v>
      </c>
      <c r="H2158" s="79" t="str">
        <f t="shared" si="221"/>
        <v>icon_900004</v>
      </c>
      <c r="I2158" s="79"/>
      <c r="J2158" s="79"/>
      <c r="K2158" s="79">
        <v>3</v>
      </c>
      <c r="L2158" s="79">
        <v>1</v>
      </c>
      <c r="M2158" s="127">
        <v>900004</v>
      </c>
      <c r="N2158" s="79">
        <v>2</v>
      </c>
      <c r="O2158" s="79">
        <v>15</v>
      </c>
      <c r="P2158" s="107">
        <v>250</v>
      </c>
    </row>
    <row r="2159" spans="1:16">
      <c r="A2159" s="79">
        <v>900005</v>
      </c>
      <c r="B2159" s="121">
        <v>9000051</v>
      </c>
      <c r="C2159" s="79" t="s">
        <v>4325</v>
      </c>
      <c r="D2159" s="121">
        <f t="shared" si="220"/>
        <v>9000052</v>
      </c>
      <c r="E2159" s="79" t="s">
        <v>4326</v>
      </c>
      <c r="F2159" s="79">
        <v>11</v>
      </c>
      <c r="G2159" s="79">
        <v>1</v>
      </c>
      <c r="H2159" s="79" t="str">
        <f t="shared" si="221"/>
        <v>icon_900005</v>
      </c>
      <c r="I2159" s="79"/>
      <c r="J2159" s="79"/>
      <c r="K2159" s="79">
        <v>4</v>
      </c>
      <c r="L2159" s="79">
        <v>1</v>
      </c>
      <c r="M2159" s="127">
        <v>900005</v>
      </c>
      <c r="N2159" s="79">
        <v>2</v>
      </c>
      <c r="O2159" s="79">
        <v>20</v>
      </c>
      <c r="P2159" s="107">
        <v>300</v>
      </c>
    </row>
    <row r="2160" spans="1:16">
      <c r="A2160" s="79">
        <v>900006</v>
      </c>
      <c r="B2160" s="121">
        <v>9000061</v>
      </c>
      <c r="C2160" s="79" t="s">
        <v>4327</v>
      </c>
      <c r="D2160" s="121">
        <f t="shared" si="220"/>
        <v>9000062</v>
      </c>
      <c r="E2160" s="79" t="s">
        <v>4328</v>
      </c>
      <c r="F2160" s="79">
        <v>11</v>
      </c>
      <c r="G2160" s="79">
        <v>1</v>
      </c>
      <c r="H2160" s="79" t="str">
        <f t="shared" si="221"/>
        <v>icon_900006</v>
      </c>
      <c r="I2160" s="79"/>
      <c r="J2160" s="79"/>
      <c r="K2160" s="79">
        <v>4</v>
      </c>
      <c r="L2160" s="79">
        <v>1</v>
      </c>
      <c r="M2160" s="127">
        <v>900006</v>
      </c>
      <c r="N2160" s="79">
        <v>2</v>
      </c>
      <c r="O2160" s="79">
        <v>25</v>
      </c>
      <c r="P2160" s="107">
        <v>0.1</v>
      </c>
    </row>
    <row r="2161" spans="1:16">
      <c r="A2161" s="79">
        <v>900007</v>
      </c>
      <c r="B2161" s="121">
        <v>9000071</v>
      </c>
      <c r="C2161" s="79" t="s">
        <v>4329</v>
      </c>
      <c r="D2161" s="121">
        <f t="shared" si="220"/>
        <v>9000072</v>
      </c>
      <c r="E2161" s="79" t="s">
        <v>4330</v>
      </c>
      <c r="F2161" s="79">
        <v>11</v>
      </c>
      <c r="G2161" s="79">
        <v>1</v>
      </c>
      <c r="H2161" s="79" t="str">
        <f t="shared" si="221"/>
        <v>icon_900007</v>
      </c>
      <c r="I2161" s="79"/>
      <c r="J2161" s="79"/>
      <c r="K2161" s="79">
        <v>5</v>
      </c>
      <c r="L2161" s="79">
        <v>1</v>
      </c>
      <c r="M2161" s="127">
        <v>900007</v>
      </c>
      <c r="N2161" s="79">
        <v>2</v>
      </c>
      <c r="O2161" s="79">
        <v>30</v>
      </c>
      <c r="P2161" s="107">
        <v>10</v>
      </c>
    </row>
    <row r="2162" spans="1:16">
      <c r="A2162" s="79">
        <v>910001</v>
      </c>
      <c r="B2162" s="121">
        <v>9100011</v>
      </c>
      <c r="C2162" s="79" t="s">
        <v>4331</v>
      </c>
      <c r="D2162" s="121">
        <f t="shared" si="220"/>
        <v>9100012</v>
      </c>
      <c r="E2162" s="79" t="s">
        <v>4332</v>
      </c>
      <c r="F2162" s="79">
        <v>11</v>
      </c>
      <c r="G2162" s="79">
        <v>1</v>
      </c>
      <c r="H2162" s="79" t="str">
        <f t="shared" si="221"/>
        <v>icon_910001</v>
      </c>
      <c r="I2162" s="79"/>
      <c r="J2162" s="79"/>
      <c r="K2162" s="79">
        <v>5</v>
      </c>
      <c r="L2162" s="79">
        <v>1</v>
      </c>
      <c r="M2162" s="127">
        <v>910001</v>
      </c>
      <c r="N2162" s="79">
        <v>2</v>
      </c>
      <c r="O2162" s="79">
        <v>0</v>
      </c>
      <c r="P2162" s="107">
        <v>10</v>
      </c>
    </row>
    <row r="2163" spans="1:16">
      <c r="A2163" s="79">
        <v>910002</v>
      </c>
      <c r="B2163" s="121">
        <v>9100021</v>
      </c>
      <c r="C2163" s="79" t="s">
        <v>4333</v>
      </c>
      <c r="D2163" s="121">
        <f t="shared" si="220"/>
        <v>9100022</v>
      </c>
      <c r="E2163" s="79" t="s">
        <v>4334</v>
      </c>
      <c r="F2163" s="79">
        <v>11</v>
      </c>
      <c r="G2163" s="79">
        <v>1</v>
      </c>
      <c r="H2163" s="79" t="str">
        <f t="shared" si="221"/>
        <v>icon_910002</v>
      </c>
      <c r="I2163" s="79"/>
      <c r="J2163" s="79"/>
      <c r="K2163" s="79">
        <v>4</v>
      </c>
      <c r="L2163" s="79">
        <v>1</v>
      </c>
      <c r="M2163" s="127">
        <v>910002</v>
      </c>
      <c r="N2163" s="79">
        <v>2</v>
      </c>
      <c r="O2163" s="79">
        <v>0</v>
      </c>
      <c r="P2163" s="107">
        <v>10</v>
      </c>
    </row>
    <row r="2164" spans="1:16">
      <c r="A2164" s="79">
        <v>910003</v>
      </c>
      <c r="B2164" s="121">
        <v>9100031</v>
      </c>
      <c r="C2164" s="79" t="s">
        <v>4335</v>
      </c>
      <c r="D2164" s="121">
        <f t="shared" si="220"/>
        <v>9100032</v>
      </c>
      <c r="E2164" s="79" t="s">
        <v>4336</v>
      </c>
      <c r="F2164" s="79">
        <v>11</v>
      </c>
      <c r="G2164" s="79">
        <v>1</v>
      </c>
      <c r="H2164" s="79" t="str">
        <f t="shared" si="221"/>
        <v>icon_910003</v>
      </c>
      <c r="I2164" s="79"/>
      <c r="J2164" s="79"/>
      <c r="K2164" s="79">
        <v>4</v>
      </c>
      <c r="L2164" s="79">
        <v>1</v>
      </c>
      <c r="M2164" s="127">
        <v>910003</v>
      </c>
      <c r="N2164" s="79">
        <v>0</v>
      </c>
      <c r="O2164" s="79">
        <v>0</v>
      </c>
      <c r="P2164" s="107">
        <v>10</v>
      </c>
    </row>
    <row r="2165" spans="1:16">
      <c r="A2165" s="79">
        <v>910004</v>
      </c>
      <c r="B2165" s="121">
        <v>9100041</v>
      </c>
      <c r="C2165" s="79" t="s">
        <v>4337</v>
      </c>
      <c r="D2165" s="121">
        <f t="shared" si="220"/>
        <v>9100042</v>
      </c>
      <c r="E2165" s="79" t="s">
        <v>4338</v>
      </c>
      <c r="F2165" s="79">
        <v>11</v>
      </c>
      <c r="G2165" s="79">
        <v>1</v>
      </c>
      <c r="H2165" s="79" t="str">
        <f t="shared" si="221"/>
        <v>icon_910004</v>
      </c>
      <c r="I2165" s="79"/>
      <c r="J2165" s="79"/>
      <c r="K2165" s="79">
        <v>4</v>
      </c>
      <c r="L2165" s="79">
        <v>1</v>
      </c>
      <c r="M2165" s="127">
        <v>910004</v>
      </c>
      <c r="N2165" s="79">
        <v>0</v>
      </c>
      <c r="O2165" s="79">
        <v>0</v>
      </c>
      <c r="P2165" s="107">
        <v>10</v>
      </c>
    </row>
    <row r="2166" spans="1:16">
      <c r="A2166" s="79">
        <v>910005</v>
      </c>
      <c r="B2166" s="121">
        <v>9100051</v>
      </c>
      <c r="C2166" s="79" t="s">
        <v>4339</v>
      </c>
      <c r="D2166" s="121">
        <f t="shared" si="220"/>
        <v>9100052</v>
      </c>
      <c r="E2166" s="79" t="s">
        <v>4340</v>
      </c>
      <c r="F2166" s="79">
        <v>11</v>
      </c>
      <c r="G2166" s="79">
        <v>1</v>
      </c>
      <c r="H2166" s="79" t="str">
        <f t="shared" si="221"/>
        <v>icon_910005</v>
      </c>
      <c r="I2166" s="79"/>
      <c r="J2166" s="79"/>
      <c r="K2166" s="79">
        <v>4</v>
      </c>
      <c r="L2166" s="79">
        <v>1</v>
      </c>
      <c r="M2166" s="127">
        <v>910005</v>
      </c>
      <c r="N2166" s="79">
        <v>0</v>
      </c>
      <c r="O2166" s="79">
        <v>0</v>
      </c>
      <c r="P2166" s="107">
        <v>10</v>
      </c>
    </row>
    <row r="2167" spans="1:16">
      <c r="A2167" s="79">
        <v>910006</v>
      </c>
      <c r="B2167" s="121">
        <v>9100061</v>
      </c>
      <c r="C2167" s="79" t="s">
        <v>4341</v>
      </c>
      <c r="D2167" s="121">
        <f t="shared" si="220"/>
        <v>9100062</v>
      </c>
      <c r="E2167" s="79" t="s">
        <v>4342</v>
      </c>
      <c r="F2167" s="79">
        <v>11</v>
      </c>
      <c r="G2167" s="79">
        <v>1</v>
      </c>
      <c r="H2167" s="79" t="str">
        <f t="shared" si="221"/>
        <v>icon_910006</v>
      </c>
      <c r="I2167" s="79"/>
      <c r="J2167" s="79"/>
      <c r="K2167" s="79">
        <v>5</v>
      </c>
      <c r="L2167" s="79">
        <v>1</v>
      </c>
      <c r="M2167" s="127">
        <v>910006</v>
      </c>
      <c r="N2167" s="79">
        <v>0</v>
      </c>
      <c r="O2167" s="79">
        <v>0</v>
      </c>
      <c r="P2167" s="107">
        <v>10</v>
      </c>
    </row>
    <row r="2168" spans="1:16">
      <c r="A2168" s="79">
        <v>910007</v>
      </c>
      <c r="B2168" s="121">
        <v>9100071</v>
      </c>
      <c r="C2168" s="79" t="s">
        <v>4343</v>
      </c>
      <c r="D2168" s="121">
        <f t="shared" si="220"/>
        <v>9100072</v>
      </c>
      <c r="E2168" s="79" t="s">
        <v>4344</v>
      </c>
      <c r="F2168" s="79">
        <v>11</v>
      </c>
      <c r="G2168" s="79">
        <v>1</v>
      </c>
      <c r="H2168" s="79" t="str">
        <f t="shared" si="221"/>
        <v>icon_910007</v>
      </c>
      <c r="I2168" s="79"/>
      <c r="J2168" s="79"/>
      <c r="K2168" s="79">
        <v>5</v>
      </c>
      <c r="L2168" s="79">
        <v>1</v>
      </c>
      <c r="M2168" s="127">
        <v>910007</v>
      </c>
      <c r="N2168" s="79">
        <v>0</v>
      </c>
      <c r="O2168" s="79">
        <v>0</v>
      </c>
      <c r="P2168" s="107">
        <v>10</v>
      </c>
    </row>
    <row r="2169" spans="1:16">
      <c r="A2169" s="79">
        <v>910008</v>
      </c>
      <c r="B2169" s="121">
        <v>9100081</v>
      </c>
      <c r="C2169" s="79" t="s">
        <v>4345</v>
      </c>
      <c r="D2169" s="121">
        <f t="shared" si="220"/>
        <v>9100082</v>
      </c>
      <c r="E2169" s="79" t="s">
        <v>4346</v>
      </c>
      <c r="F2169" s="79">
        <v>11</v>
      </c>
      <c r="G2169" s="79">
        <v>1</v>
      </c>
      <c r="H2169" s="79" t="str">
        <f t="shared" si="221"/>
        <v>icon_910008</v>
      </c>
      <c r="I2169" s="79"/>
      <c r="J2169" s="79"/>
      <c r="K2169" s="79">
        <v>5</v>
      </c>
      <c r="L2169" s="79">
        <v>1</v>
      </c>
      <c r="M2169" s="127">
        <v>910008</v>
      </c>
      <c r="N2169" s="79">
        <v>0</v>
      </c>
      <c r="O2169" s="79">
        <v>0</v>
      </c>
      <c r="P2169" s="107">
        <v>10</v>
      </c>
    </row>
    <row r="2170" spans="1:16">
      <c r="A2170" s="79">
        <v>910009</v>
      </c>
      <c r="B2170" s="121">
        <v>9100091</v>
      </c>
      <c r="C2170" s="79" t="s">
        <v>4347</v>
      </c>
      <c r="D2170" s="121">
        <f t="shared" si="220"/>
        <v>9100092</v>
      </c>
      <c r="E2170" s="79" t="s">
        <v>4348</v>
      </c>
      <c r="F2170" s="79">
        <v>11</v>
      </c>
      <c r="G2170" s="79">
        <v>1</v>
      </c>
      <c r="H2170" s="79" t="str">
        <f t="shared" si="221"/>
        <v>icon_910009</v>
      </c>
      <c r="I2170" s="79"/>
      <c r="J2170" s="79"/>
      <c r="K2170" s="79">
        <v>6</v>
      </c>
      <c r="L2170" s="79">
        <v>1</v>
      </c>
      <c r="M2170" s="127">
        <v>910009</v>
      </c>
      <c r="N2170" s="79">
        <v>0</v>
      </c>
      <c r="O2170" s="79">
        <v>0</v>
      </c>
      <c r="P2170" s="107">
        <v>10</v>
      </c>
    </row>
    <row r="2171" spans="1:16">
      <c r="A2171" s="79">
        <v>910010</v>
      </c>
      <c r="B2171" s="121">
        <v>9100101</v>
      </c>
      <c r="C2171" s="79" t="s">
        <v>4349</v>
      </c>
      <c r="D2171" s="121">
        <f t="shared" si="220"/>
        <v>9100102</v>
      </c>
      <c r="E2171" s="79" t="s">
        <v>4350</v>
      </c>
      <c r="F2171" s="79">
        <v>11</v>
      </c>
      <c r="G2171" s="79">
        <v>1</v>
      </c>
      <c r="H2171" s="79" t="str">
        <f t="shared" si="221"/>
        <v>icon_910010</v>
      </c>
      <c r="I2171" s="79"/>
      <c r="J2171" s="79"/>
      <c r="K2171" s="79">
        <v>6</v>
      </c>
      <c r="L2171" s="79">
        <v>1</v>
      </c>
      <c r="M2171" s="127">
        <v>910010</v>
      </c>
      <c r="N2171" s="79">
        <v>0</v>
      </c>
      <c r="O2171" s="79">
        <v>0</v>
      </c>
      <c r="P2171" s="107">
        <v>10</v>
      </c>
    </row>
    <row r="2172" spans="1:16">
      <c r="A2172" s="79">
        <v>910011</v>
      </c>
      <c r="B2172" s="121">
        <v>9100111</v>
      </c>
      <c r="C2172" s="79" t="s">
        <v>4351</v>
      </c>
      <c r="D2172" s="121">
        <f t="shared" si="220"/>
        <v>9100112</v>
      </c>
      <c r="E2172" s="79" t="s">
        <v>4352</v>
      </c>
      <c r="F2172" s="79">
        <v>11</v>
      </c>
      <c r="G2172" s="79">
        <v>1</v>
      </c>
      <c r="H2172" s="79" t="str">
        <f t="shared" si="221"/>
        <v>icon_910011</v>
      </c>
      <c r="I2172" s="79"/>
      <c r="J2172" s="79"/>
      <c r="K2172" s="79">
        <v>7</v>
      </c>
      <c r="L2172" s="79">
        <v>1</v>
      </c>
      <c r="M2172" s="127" t="s">
        <v>4353</v>
      </c>
      <c r="N2172" s="79">
        <v>0</v>
      </c>
      <c r="O2172" s="79">
        <v>0</v>
      </c>
      <c r="P2172" s="107">
        <v>10</v>
      </c>
    </row>
    <row r="2173" spans="1:16">
      <c r="A2173" s="79">
        <v>910012</v>
      </c>
      <c r="B2173" s="79">
        <f t="shared" ref="B2173:B2183" si="222">A2173*10+1</f>
        <v>9100121</v>
      </c>
      <c r="C2173" s="79" t="s">
        <v>4354</v>
      </c>
      <c r="D2173" s="121">
        <f t="shared" si="220"/>
        <v>9100122</v>
      </c>
      <c r="E2173" s="79" t="s">
        <v>4355</v>
      </c>
      <c r="F2173" s="79">
        <v>11</v>
      </c>
      <c r="G2173" s="79">
        <v>1</v>
      </c>
      <c r="H2173" s="79" t="str">
        <f t="shared" si="221"/>
        <v>icon_910012</v>
      </c>
      <c r="I2173" s="79"/>
      <c r="J2173" s="79"/>
      <c r="K2173" s="79">
        <v>5</v>
      </c>
      <c r="L2173" s="79">
        <v>1</v>
      </c>
      <c r="M2173" s="127">
        <v>920001</v>
      </c>
      <c r="N2173" s="79">
        <v>0</v>
      </c>
      <c r="O2173" s="79">
        <v>0</v>
      </c>
      <c r="P2173" s="107">
        <v>10</v>
      </c>
    </row>
    <row r="2174" spans="1:16">
      <c r="A2174" s="79">
        <v>910013</v>
      </c>
      <c r="B2174" s="79">
        <f t="shared" si="222"/>
        <v>9100131</v>
      </c>
      <c r="C2174" s="79" t="s">
        <v>4356</v>
      </c>
      <c r="D2174" s="121">
        <f t="shared" si="220"/>
        <v>9100132</v>
      </c>
      <c r="E2174" s="79" t="s">
        <v>4355</v>
      </c>
      <c r="F2174" s="79">
        <v>11</v>
      </c>
      <c r="G2174" s="79">
        <v>1</v>
      </c>
      <c r="H2174" s="79" t="str">
        <f t="shared" si="221"/>
        <v>icon_910013</v>
      </c>
      <c r="I2174" s="79"/>
      <c r="J2174" s="79"/>
      <c r="K2174" s="79">
        <v>5</v>
      </c>
      <c r="L2174" s="79">
        <v>1</v>
      </c>
      <c r="M2174" s="127">
        <v>920002</v>
      </c>
      <c r="N2174" s="79">
        <v>0</v>
      </c>
      <c r="O2174" s="79">
        <v>0</v>
      </c>
      <c r="P2174" s="107">
        <v>10</v>
      </c>
    </row>
    <row r="2175" spans="1:16">
      <c r="A2175" s="79">
        <v>910014</v>
      </c>
      <c r="B2175" s="79">
        <f t="shared" si="222"/>
        <v>9100141</v>
      </c>
      <c r="C2175" s="79" t="s">
        <v>4357</v>
      </c>
      <c r="D2175" s="121">
        <f t="shared" si="220"/>
        <v>9100142</v>
      </c>
      <c r="E2175" s="79" t="s">
        <v>4358</v>
      </c>
      <c r="F2175" s="79">
        <v>11</v>
      </c>
      <c r="G2175" s="79">
        <v>1</v>
      </c>
      <c r="H2175" s="79" t="str">
        <f t="shared" si="221"/>
        <v>icon_910014</v>
      </c>
      <c r="I2175" s="79"/>
      <c r="J2175" s="79"/>
      <c r="K2175" s="79">
        <v>6</v>
      </c>
      <c r="L2175" s="79">
        <v>1</v>
      </c>
      <c r="M2175" s="127">
        <v>920003</v>
      </c>
      <c r="N2175" s="79">
        <v>0</v>
      </c>
      <c r="O2175" s="79">
        <v>0</v>
      </c>
    </row>
    <row r="2176" spans="1:16">
      <c r="A2176" s="79">
        <v>910015</v>
      </c>
      <c r="B2176" s="79">
        <f t="shared" si="222"/>
        <v>9100151</v>
      </c>
      <c r="C2176" s="79" t="s">
        <v>4359</v>
      </c>
      <c r="D2176" s="121">
        <f t="shared" si="220"/>
        <v>9100152</v>
      </c>
      <c r="E2176" s="79" t="s">
        <v>4360</v>
      </c>
      <c r="F2176" s="79">
        <v>11</v>
      </c>
      <c r="G2176" s="79">
        <v>1</v>
      </c>
      <c r="H2176" s="79" t="str">
        <f t="shared" si="221"/>
        <v>icon_910015</v>
      </c>
      <c r="I2176" s="79"/>
      <c r="J2176" s="79"/>
      <c r="K2176" s="79">
        <v>7</v>
      </c>
      <c r="L2176" s="79">
        <v>1</v>
      </c>
      <c r="M2176" s="127">
        <v>920004</v>
      </c>
      <c r="N2176" s="79">
        <v>0</v>
      </c>
      <c r="O2176" s="79">
        <v>0</v>
      </c>
    </row>
    <row r="2177" spans="1:15">
      <c r="A2177" s="93">
        <v>910016</v>
      </c>
      <c r="B2177" s="93">
        <f t="shared" si="222"/>
        <v>9100161</v>
      </c>
      <c r="C2177" s="93" t="s">
        <v>4361</v>
      </c>
      <c r="D2177" s="93">
        <f t="shared" si="220"/>
        <v>9100162</v>
      </c>
      <c r="E2177" s="93" t="s">
        <v>4362</v>
      </c>
      <c r="F2177" s="79">
        <v>11</v>
      </c>
      <c r="G2177" s="79">
        <v>1</v>
      </c>
      <c r="H2177" s="93" t="str">
        <f t="shared" si="221"/>
        <v>icon_910016</v>
      </c>
      <c r="K2177" s="93">
        <v>6</v>
      </c>
      <c r="L2177" s="93">
        <v>1</v>
      </c>
      <c r="M2177" s="117">
        <v>5599</v>
      </c>
      <c r="N2177" s="79">
        <v>0</v>
      </c>
      <c r="O2177" s="93">
        <v>0</v>
      </c>
    </row>
    <row r="2178" spans="1:15">
      <c r="A2178" s="93">
        <v>910017</v>
      </c>
      <c r="B2178" s="93">
        <f t="shared" si="222"/>
        <v>9100171</v>
      </c>
      <c r="C2178" s="93" t="s">
        <v>4363</v>
      </c>
      <c r="D2178" s="93">
        <f t="shared" si="220"/>
        <v>9100172</v>
      </c>
      <c r="E2178" s="93" t="s">
        <v>4364</v>
      </c>
      <c r="F2178" s="79">
        <v>20</v>
      </c>
      <c r="G2178" s="79">
        <v>4</v>
      </c>
      <c r="H2178" s="93" t="s">
        <v>4365</v>
      </c>
      <c r="K2178" s="93">
        <v>6</v>
      </c>
      <c r="L2178" s="93">
        <v>10</v>
      </c>
      <c r="M2178" s="117" t="s">
        <v>4366</v>
      </c>
      <c r="N2178" s="79">
        <v>0</v>
      </c>
      <c r="O2178" s="93">
        <v>0</v>
      </c>
    </row>
    <row r="2179" spans="1:15">
      <c r="A2179" s="93">
        <v>910018</v>
      </c>
      <c r="B2179" s="93">
        <f t="shared" si="222"/>
        <v>9100181</v>
      </c>
      <c r="C2179" s="93" t="s">
        <v>4367</v>
      </c>
      <c r="D2179" s="93">
        <v>9100182</v>
      </c>
      <c r="E2179" s="93" t="s">
        <v>4368</v>
      </c>
      <c r="F2179" s="79">
        <v>11</v>
      </c>
      <c r="G2179" s="79">
        <v>1</v>
      </c>
      <c r="H2179" s="79" t="str">
        <f>"icon_"&amp;A2179</f>
        <v>icon_910018</v>
      </c>
      <c r="K2179" s="93">
        <v>7</v>
      </c>
      <c r="L2179" s="93">
        <v>1</v>
      </c>
      <c r="M2179" s="127" t="s">
        <v>4369</v>
      </c>
      <c r="N2179" s="79">
        <v>0</v>
      </c>
      <c r="O2179" s="93">
        <v>0</v>
      </c>
    </row>
    <row r="2180" spans="1:15">
      <c r="A2180" s="93">
        <v>910019</v>
      </c>
      <c r="B2180" s="93">
        <f t="shared" si="222"/>
        <v>9100191</v>
      </c>
      <c r="C2180" s="79" t="s">
        <v>4370</v>
      </c>
      <c r="D2180" s="93">
        <v>9100192</v>
      </c>
      <c r="E2180" s="93" t="s">
        <v>4371</v>
      </c>
      <c r="F2180" s="79">
        <v>11</v>
      </c>
      <c r="G2180" s="79">
        <v>1</v>
      </c>
      <c r="H2180" s="79" t="str">
        <f>"icon_"&amp;A2180</f>
        <v>icon_910019</v>
      </c>
      <c r="K2180" s="93">
        <v>7</v>
      </c>
      <c r="L2180" s="93">
        <v>1</v>
      </c>
      <c r="M2180" s="127" t="s">
        <v>4372</v>
      </c>
      <c r="N2180" s="79">
        <v>0</v>
      </c>
      <c r="O2180" s="93">
        <v>0</v>
      </c>
    </row>
    <row r="2181" spans="1:15">
      <c r="A2181" s="93">
        <v>910101</v>
      </c>
      <c r="B2181" s="93">
        <f t="shared" si="222"/>
        <v>9101011</v>
      </c>
      <c r="C2181" s="93" t="s">
        <v>4373</v>
      </c>
      <c r="D2181" s="93">
        <f>A2181*10+2</f>
        <v>9101012</v>
      </c>
      <c r="E2181" s="93" t="s">
        <v>4374</v>
      </c>
      <c r="F2181" s="79">
        <v>8</v>
      </c>
      <c r="G2181" s="79">
        <v>0</v>
      </c>
      <c r="H2181" s="93" t="s">
        <v>4375</v>
      </c>
      <c r="K2181" s="93">
        <v>7</v>
      </c>
      <c r="L2181" s="93">
        <v>0</v>
      </c>
      <c r="M2181" s="117" t="s">
        <v>86</v>
      </c>
      <c r="N2181" s="79">
        <v>0</v>
      </c>
      <c r="O2181" s="93">
        <v>0</v>
      </c>
    </row>
    <row r="2182" spans="1:15">
      <c r="A2182" s="93">
        <v>910102</v>
      </c>
      <c r="B2182" s="93">
        <f t="shared" si="222"/>
        <v>9101021</v>
      </c>
      <c r="C2182" s="93" t="s">
        <v>4376</v>
      </c>
      <c r="D2182" s="93">
        <f>A2182*10+2</f>
        <v>9101022</v>
      </c>
      <c r="E2182" s="93" t="s">
        <v>4377</v>
      </c>
      <c r="F2182" s="79">
        <v>8</v>
      </c>
      <c r="G2182" s="79">
        <v>0</v>
      </c>
      <c r="H2182" s="93" t="s">
        <v>4375</v>
      </c>
      <c r="K2182" s="93">
        <v>7</v>
      </c>
      <c r="L2182" s="93">
        <v>0</v>
      </c>
      <c r="M2182" s="117" t="s">
        <v>86</v>
      </c>
      <c r="N2182" s="79">
        <v>0</v>
      </c>
      <c r="O2182" s="93">
        <v>0</v>
      </c>
    </row>
    <row r="2183" spans="1:15">
      <c r="A2183" s="93">
        <v>910103</v>
      </c>
      <c r="B2183" s="93">
        <f t="shared" si="222"/>
        <v>9101031</v>
      </c>
      <c r="C2183" s="93" t="s">
        <v>4378</v>
      </c>
      <c r="D2183" s="93">
        <f>A2183*10+2</f>
        <v>9101032</v>
      </c>
      <c r="E2183" s="93" t="s">
        <v>4379</v>
      </c>
      <c r="F2183" s="79">
        <v>7</v>
      </c>
      <c r="G2183" s="79">
        <v>0</v>
      </c>
      <c r="H2183" s="93" t="s">
        <v>4375</v>
      </c>
      <c r="K2183" s="93">
        <v>7</v>
      </c>
      <c r="L2183" s="93">
        <v>0</v>
      </c>
      <c r="M2183" s="117" t="s">
        <v>86</v>
      </c>
      <c r="N2183" s="79">
        <v>0</v>
      </c>
      <c r="O2183" s="93">
        <v>0</v>
      </c>
    </row>
    <row r="2184" spans="1:15">
      <c r="A2184" s="93">
        <v>920001</v>
      </c>
      <c r="C2184" s="93" t="s">
        <v>4380</v>
      </c>
      <c r="F2184" s="93">
        <v>11</v>
      </c>
      <c r="G2184" s="93">
        <v>1</v>
      </c>
      <c r="H2184" s="93" t="s">
        <v>4381</v>
      </c>
      <c r="K2184" s="93">
        <v>2</v>
      </c>
      <c r="L2184" s="93">
        <v>1</v>
      </c>
      <c r="M2184" s="117">
        <v>0</v>
      </c>
      <c r="N2184" s="93">
        <v>0</v>
      </c>
      <c r="O2184" s="93">
        <v>0</v>
      </c>
    </row>
    <row r="2185" spans="1:15">
      <c r="A2185" s="93">
        <v>920002</v>
      </c>
      <c r="C2185" s="93" t="s">
        <v>4382</v>
      </c>
      <c r="F2185" s="93">
        <v>11</v>
      </c>
      <c r="G2185" s="93">
        <v>1</v>
      </c>
      <c r="H2185" s="93" t="s">
        <v>4383</v>
      </c>
      <c r="K2185" s="93">
        <v>2</v>
      </c>
      <c r="L2185" s="79">
        <v>1</v>
      </c>
      <c r="M2185" s="117">
        <v>0</v>
      </c>
      <c r="N2185" s="93">
        <v>0</v>
      </c>
      <c r="O2185" s="93">
        <v>0</v>
      </c>
    </row>
    <row r="2186" spans="1:15">
      <c r="A2186" s="93">
        <v>920003</v>
      </c>
      <c r="C2186" s="93" t="s">
        <v>4384</v>
      </c>
      <c r="F2186" s="93">
        <v>11</v>
      </c>
      <c r="G2186" s="93">
        <v>1</v>
      </c>
      <c r="H2186" s="93" t="s">
        <v>4385</v>
      </c>
      <c r="K2186" s="93">
        <v>2</v>
      </c>
      <c r="L2186" s="93">
        <v>1</v>
      </c>
      <c r="M2186" s="117">
        <v>0</v>
      </c>
      <c r="N2186" s="93">
        <v>0</v>
      </c>
      <c r="O2186" s="93">
        <v>0</v>
      </c>
    </row>
    <row r="2187" spans="1:15">
      <c r="A2187" s="93">
        <v>920004</v>
      </c>
      <c r="C2187" s="93" t="s">
        <v>4386</v>
      </c>
      <c r="F2187" s="93">
        <v>11</v>
      </c>
      <c r="G2187" s="93">
        <v>1</v>
      </c>
      <c r="H2187" s="93" t="s">
        <v>4387</v>
      </c>
      <c r="K2187" s="93">
        <v>2</v>
      </c>
      <c r="L2187" s="93">
        <v>1</v>
      </c>
      <c r="M2187" s="117">
        <v>0</v>
      </c>
      <c r="N2187" s="93">
        <v>0</v>
      </c>
      <c r="O2187" s="93">
        <v>0</v>
      </c>
    </row>
    <row r="2188" spans="1:15">
      <c r="A2188" s="93">
        <v>920005</v>
      </c>
      <c r="C2188" s="93" t="s">
        <v>4388</v>
      </c>
      <c r="F2188" s="93">
        <v>11</v>
      </c>
      <c r="G2188" s="93">
        <v>1</v>
      </c>
      <c r="H2188" s="93" t="s">
        <v>4389</v>
      </c>
      <c r="K2188" s="93">
        <v>2</v>
      </c>
      <c r="L2188" s="79">
        <v>1</v>
      </c>
      <c r="M2188" s="117">
        <v>0</v>
      </c>
      <c r="N2188" s="93">
        <v>0</v>
      </c>
      <c r="O2188" s="93">
        <v>0</v>
      </c>
    </row>
    <row r="2189" spans="1:15">
      <c r="A2189" s="93">
        <v>920006</v>
      </c>
      <c r="C2189" s="93" t="s">
        <v>4390</v>
      </c>
      <c r="F2189" s="93">
        <v>11</v>
      </c>
      <c r="G2189" s="93">
        <v>1</v>
      </c>
      <c r="H2189" s="93" t="s">
        <v>4391</v>
      </c>
      <c r="K2189" s="93">
        <v>2</v>
      </c>
      <c r="L2189" s="93">
        <v>1</v>
      </c>
      <c r="M2189" s="117">
        <v>0</v>
      </c>
      <c r="N2189" s="93">
        <v>0</v>
      </c>
      <c r="O2189" s="93">
        <v>0</v>
      </c>
    </row>
    <row r="2190" spans="1:15">
      <c r="A2190" s="93">
        <v>920007</v>
      </c>
      <c r="C2190" s="93" t="s">
        <v>4392</v>
      </c>
      <c r="F2190" s="93">
        <v>11</v>
      </c>
      <c r="G2190" s="93">
        <v>1</v>
      </c>
      <c r="H2190" s="93" t="s">
        <v>4393</v>
      </c>
      <c r="K2190" s="93">
        <v>2</v>
      </c>
      <c r="L2190" s="93">
        <v>1</v>
      </c>
      <c r="M2190" s="117">
        <v>0</v>
      </c>
      <c r="N2190" s="93">
        <v>0</v>
      </c>
      <c r="O2190" s="93">
        <v>0</v>
      </c>
    </row>
    <row r="2191" spans="1:15">
      <c r="A2191" s="93">
        <v>930003</v>
      </c>
      <c r="B2191" s="93">
        <v>9300031</v>
      </c>
      <c r="C2191" s="93" t="s">
        <v>4394</v>
      </c>
      <c r="D2191" s="93">
        <v>9300032</v>
      </c>
      <c r="E2191" s="93" t="s">
        <v>4395</v>
      </c>
      <c r="F2191" s="93">
        <v>11</v>
      </c>
      <c r="G2191" s="93">
        <v>1</v>
      </c>
      <c r="H2191" s="93" t="s">
        <v>4396</v>
      </c>
      <c r="K2191" s="93">
        <v>4</v>
      </c>
      <c r="L2191" s="93">
        <v>1</v>
      </c>
      <c r="M2191" s="117" t="s">
        <v>4397</v>
      </c>
      <c r="N2191" s="93">
        <v>2</v>
      </c>
      <c r="O2191" s="93">
        <v>0</v>
      </c>
    </row>
    <row r="2192" spans="1:15">
      <c r="A2192" s="93">
        <v>930005</v>
      </c>
      <c r="B2192" s="93">
        <v>9300051</v>
      </c>
      <c r="C2192" s="93" t="s">
        <v>4398</v>
      </c>
      <c r="D2192" s="93">
        <v>9300052</v>
      </c>
      <c r="E2192" s="93" t="s">
        <v>4399</v>
      </c>
      <c r="F2192" s="93">
        <v>11</v>
      </c>
      <c r="G2192" s="93">
        <v>1</v>
      </c>
      <c r="H2192" s="93" t="s">
        <v>4400</v>
      </c>
      <c r="K2192" s="93">
        <v>5</v>
      </c>
      <c r="L2192" s="93">
        <v>1</v>
      </c>
      <c r="M2192" s="117" t="s">
        <v>4401</v>
      </c>
      <c r="N2192" s="93">
        <v>2</v>
      </c>
      <c r="O2192" s="93">
        <v>0</v>
      </c>
    </row>
    <row r="2193" spans="1:21">
      <c r="A2193" s="93">
        <v>930006</v>
      </c>
      <c r="B2193" s="93">
        <v>9300061</v>
      </c>
      <c r="C2193" s="93" t="s">
        <v>4402</v>
      </c>
      <c r="D2193" s="93">
        <v>9300062</v>
      </c>
      <c r="E2193" s="93" t="s">
        <v>4403</v>
      </c>
      <c r="F2193" s="93">
        <v>11</v>
      </c>
      <c r="G2193" s="93">
        <v>1</v>
      </c>
      <c r="H2193" s="93" t="s">
        <v>4404</v>
      </c>
      <c r="K2193" s="93">
        <v>4</v>
      </c>
      <c r="L2193" s="93">
        <v>1</v>
      </c>
      <c r="M2193" s="117" t="s">
        <v>4405</v>
      </c>
      <c r="N2193" s="93">
        <v>2</v>
      </c>
      <c r="O2193" s="93">
        <v>0</v>
      </c>
    </row>
    <row r="2194" spans="1:21" s="114" customFormat="1" ht="15.75">
      <c r="A2194" s="114">
        <v>930007</v>
      </c>
      <c r="B2194" s="114">
        <v>9300071</v>
      </c>
      <c r="C2194" s="114" t="s">
        <v>4406</v>
      </c>
      <c r="D2194" s="114">
        <v>9300072</v>
      </c>
      <c r="E2194" s="114" t="s">
        <v>4407</v>
      </c>
      <c r="F2194" s="114">
        <v>11</v>
      </c>
      <c r="G2194" s="114">
        <v>1</v>
      </c>
      <c r="H2194" s="115" t="s">
        <v>4404</v>
      </c>
      <c r="K2194" s="114">
        <v>5</v>
      </c>
      <c r="L2194" s="114">
        <v>1</v>
      </c>
      <c r="M2194" s="157" t="s">
        <v>4408</v>
      </c>
      <c r="N2194" s="114">
        <v>2</v>
      </c>
      <c r="O2194" s="114">
        <v>0</v>
      </c>
    </row>
    <row r="2195" spans="1:21" s="114" customFormat="1" ht="15.75">
      <c r="A2195" s="114">
        <v>940000</v>
      </c>
      <c r="B2195" s="114">
        <v>9400001</v>
      </c>
      <c r="D2195" s="114">
        <v>9400002</v>
      </c>
      <c r="F2195" s="114">
        <v>26</v>
      </c>
      <c r="G2195" s="114">
        <v>0</v>
      </c>
      <c r="H2195" s="115" t="s">
        <v>4409</v>
      </c>
      <c r="K2195" s="114">
        <v>3</v>
      </c>
      <c r="L2195" s="114">
        <v>13</v>
      </c>
      <c r="M2195" s="157" t="s">
        <v>4410</v>
      </c>
      <c r="N2195" s="114">
        <v>1</v>
      </c>
      <c r="O2195" s="114">
        <v>0</v>
      </c>
    </row>
    <row r="2196" spans="1:21">
      <c r="A2196" s="93">
        <v>940001</v>
      </c>
      <c r="B2196" s="93">
        <v>9400011</v>
      </c>
      <c r="C2196" s="93" t="s">
        <v>4411</v>
      </c>
      <c r="D2196" s="93">
        <v>9400012</v>
      </c>
      <c r="E2196" s="95" t="s">
        <v>4412</v>
      </c>
      <c r="F2196" s="93">
        <v>26</v>
      </c>
      <c r="G2196" s="93">
        <v>0</v>
      </c>
      <c r="H2196" s="93" t="s">
        <v>3373</v>
      </c>
      <c r="K2196" s="93">
        <v>5</v>
      </c>
      <c r="L2196" s="93">
        <v>13</v>
      </c>
      <c r="M2196" s="117" t="s">
        <v>4413</v>
      </c>
      <c r="N2196" s="93">
        <v>1</v>
      </c>
      <c r="O2196" s="93">
        <v>0</v>
      </c>
    </row>
    <row r="2197" spans="1:21">
      <c r="A2197" s="93">
        <v>940002</v>
      </c>
      <c r="B2197" s="93">
        <v>9400021</v>
      </c>
      <c r="C2197" s="95" t="s">
        <v>4414</v>
      </c>
      <c r="D2197" s="93">
        <v>9400022</v>
      </c>
      <c r="E2197" s="95" t="s">
        <v>4415</v>
      </c>
      <c r="F2197" s="93">
        <v>26</v>
      </c>
      <c r="G2197" s="93">
        <v>0</v>
      </c>
      <c r="H2197" s="93" t="s">
        <v>4416</v>
      </c>
      <c r="K2197" s="93">
        <v>5</v>
      </c>
      <c r="L2197" s="93">
        <v>13</v>
      </c>
      <c r="M2197" s="117" t="s">
        <v>4417</v>
      </c>
      <c r="N2197" s="93">
        <v>1</v>
      </c>
      <c r="O2197" s="93">
        <v>0</v>
      </c>
    </row>
    <row r="2198" spans="1:21">
      <c r="A2198" s="93">
        <v>940003</v>
      </c>
      <c r="B2198" s="93">
        <v>9400031</v>
      </c>
      <c r="C2198" s="95" t="s">
        <v>4418</v>
      </c>
      <c r="D2198" s="93">
        <v>9400032</v>
      </c>
      <c r="E2198" s="95" t="s">
        <v>4419</v>
      </c>
      <c r="F2198" s="93">
        <v>26</v>
      </c>
      <c r="G2198" s="93">
        <v>0</v>
      </c>
      <c r="H2198" s="93" t="s">
        <v>4420</v>
      </c>
      <c r="K2198" s="93">
        <v>5</v>
      </c>
      <c r="L2198" s="93">
        <v>13</v>
      </c>
      <c r="M2198" s="117" t="s">
        <v>4421</v>
      </c>
      <c r="N2198" s="93">
        <v>1</v>
      </c>
      <c r="O2198" s="93">
        <v>0</v>
      </c>
    </row>
    <row r="2199" spans="1:21">
      <c r="A2199" s="93">
        <v>940004</v>
      </c>
      <c r="B2199" s="93">
        <v>9400041</v>
      </c>
      <c r="C2199" s="93" t="s">
        <v>4422</v>
      </c>
      <c r="D2199" s="93">
        <v>9400042</v>
      </c>
      <c r="E2199" s="95" t="s">
        <v>4423</v>
      </c>
      <c r="F2199" s="93">
        <v>26</v>
      </c>
      <c r="G2199" s="93">
        <v>0</v>
      </c>
      <c r="H2199" s="93" t="s">
        <v>4424</v>
      </c>
      <c r="K2199" s="93">
        <v>4</v>
      </c>
      <c r="L2199" s="93">
        <v>13</v>
      </c>
      <c r="M2199" s="117" t="s">
        <v>4425</v>
      </c>
      <c r="N2199" s="93">
        <v>1</v>
      </c>
      <c r="O2199" s="93">
        <v>0</v>
      </c>
    </row>
    <row r="2200" spans="1:21">
      <c r="A2200" s="93">
        <v>940005</v>
      </c>
      <c r="B2200" s="93">
        <v>9400051</v>
      </c>
      <c r="C2200" s="95" t="s">
        <v>4426</v>
      </c>
      <c r="D2200" s="93">
        <v>9400052</v>
      </c>
      <c r="E2200" s="95" t="s">
        <v>4427</v>
      </c>
      <c r="F2200" s="93">
        <v>26</v>
      </c>
      <c r="G2200" s="93">
        <v>0</v>
      </c>
      <c r="H2200" s="93" t="s">
        <v>4428</v>
      </c>
      <c r="K2200" s="93">
        <v>4</v>
      </c>
      <c r="L2200" s="93">
        <v>13</v>
      </c>
      <c r="M2200" s="117" t="s">
        <v>4429</v>
      </c>
      <c r="N2200" s="93">
        <v>1</v>
      </c>
      <c r="O2200" s="93">
        <v>0</v>
      </c>
    </row>
    <row r="2201" spans="1:21">
      <c r="A2201" s="93">
        <v>940006</v>
      </c>
      <c r="B2201" s="93">
        <v>9400061</v>
      </c>
      <c r="C2201" s="93" t="s">
        <v>4430</v>
      </c>
      <c r="D2201" s="93">
        <v>9400062</v>
      </c>
      <c r="E2201" s="95" t="s">
        <v>4431</v>
      </c>
      <c r="F2201" s="93">
        <v>26</v>
      </c>
      <c r="G2201" s="93">
        <v>0</v>
      </c>
      <c r="H2201" s="93" t="s">
        <v>4432</v>
      </c>
      <c r="K2201" s="93">
        <v>4</v>
      </c>
      <c r="L2201" s="93">
        <v>13</v>
      </c>
      <c r="M2201" s="117" t="s">
        <v>4433</v>
      </c>
      <c r="N2201" s="93">
        <v>1</v>
      </c>
      <c r="O2201" s="93">
        <v>0</v>
      </c>
      <c r="S2201" s="92"/>
      <c r="T2201" s="92"/>
      <c r="U2201" s="92"/>
    </row>
    <row r="2202" spans="1:21">
      <c r="A2202" s="78">
        <v>940007</v>
      </c>
      <c r="B2202" s="93">
        <v>9400071</v>
      </c>
      <c r="C2202" s="93" t="s">
        <v>4434</v>
      </c>
      <c r="D2202" s="93">
        <v>9400072</v>
      </c>
      <c r="E2202" s="95" t="s">
        <v>4435</v>
      </c>
      <c r="F2202" s="93">
        <v>26</v>
      </c>
      <c r="G2202" s="93">
        <v>0</v>
      </c>
      <c r="H2202" s="93" t="s">
        <v>4436</v>
      </c>
      <c r="K2202" s="93">
        <v>4</v>
      </c>
      <c r="L2202" s="93">
        <v>13</v>
      </c>
      <c r="M2202" s="117" t="s">
        <v>4437</v>
      </c>
      <c r="N2202" s="93">
        <v>1</v>
      </c>
      <c r="O2202" s="93">
        <v>0</v>
      </c>
      <c r="S2202" s="92"/>
      <c r="T2202" s="92"/>
      <c r="U2202" s="92"/>
    </row>
    <row r="2203" spans="1:21">
      <c r="A2203" s="78">
        <v>940008</v>
      </c>
      <c r="B2203" s="93">
        <v>9400081</v>
      </c>
      <c r="C2203" s="93" t="s">
        <v>4438</v>
      </c>
      <c r="D2203" s="93">
        <v>9400082</v>
      </c>
      <c r="E2203" s="95" t="s">
        <v>4439</v>
      </c>
      <c r="F2203" s="93">
        <v>26</v>
      </c>
      <c r="G2203" s="93">
        <v>0</v>
      </c>
      <c r="H2203" s="93" t="s">
        <v>4440</v>
      </c>
      <c r="K2203" s="93">
        <v>5</v>
      </c>
      <c r="L2203" s="93">
        <v>13</v>
      </c>
      <c r="M2203" s="117" t="s">
        <v>4441</v>
      </c>
      <c r="N2203" s="93">
        <v>1</v>
      </c>
      <c r="O2203" s="93">
        <v>0</v>
      </c>
      <c r="S2203" s="92"/>
      <c r="T2203" s="92"/>
      <c r="U2203" s="92"/>
    </row>
    <row r="2204" spans="1:21">
      <c r="A2204" s="93">
        <v>940009</v>
      </c>
      <c r="B2204" s="93">
        <v>9400091</v>
      </c>
      <c r="C2204" s="93" t="s">
        <v>4442</v>
      </c>
      <c r="D2204" s="93">
        <v>9400092</v>
      </c>
      <c r="E2204" s="95" t="s">
        <v>4443</v>
      </c>
      <c r="F2204" s="93">
        <v>26</v>
      </c>
      <c r="G2204" s="93">
        <v>0</v>
      </c>
      <c r="H2204" s="93" t="s">
        <v>4444</v>
      </c>
      <c r="K2204" s="93">
        <v>5</v>
      </c>
      <c r="L2204" s="93">
        <v>13</v>
      </c>
      <c r="M2204" s="117" t="s">
        <v>4445</v>
      </c>
      <c r="N2204" s="93">
        <v>1</v>
      </c>
      <c r="O2204" s="93">
        <v>0</v>
      </c>
      <c r="S2204" s="92"/>
      <c r="T2204" s="92"/>
      <c r="U2204" s="92"/>
    </row>
    <row r="2205" spans="1:21">
      <c r="A2205" s="78">
        <v>940010</v>
      </c>
      <c r="B2205" s="121">
        <f t="shared" ref="B2205:B2218" si="223">A2205*10+1</f>
        <v>9400101</v>
      </c>
      <c r="C2205" s="93" t="s">
        <v>4446</v>
      </c>
      <c r="D2205" s="121">
        <f t="shared" ref="D2205:D2218" si="224">A2205*10+2</f>
        <v>9400102</v>
      </c>
      <c r="E2205" s="95" t="str">
        <f t="shared" ref="E2205:E2217" si="225">"可在背包、对局内替换使用【"&amp;C2205&amp;"】拖尾效果"</f>
        <v>可在背包、对局内替换使用【龙凤飞掠】拖尾效果</v>
      </c>
      <c r="F2205" s="93">
        <v>26</v>
      </c>
      <c r="G2205" s="93">
        <v>0</v>
      </c>
      <c r="H2205" s="93" t="s">
        <v>4447</v>
      </c>
      <c r="K2205" s="93">
        <v>5</v>
      </c>
      <c r="L2205" s="93">
        <v>13</v>
      </c>
      <c r="M2205" s="117" t="s">
        <v>4448</v>
      </c>
      <c r="N2205" s="93">
        <v>1</v>
      </c>
      <c r="O2205" s="93">
        <v>0</v>
      </c>
    </row>
    <row r="2206" spans="1:21">
      <c r="A2206" s="78">
        <v>940011</v>
      </c>
      <c r="B2206" s="121">
        <f t="shared" si="223"/>
        <v>9400111</v>
      </c>
      <c r="C2206" s="93" t="s">
        <v>4449</v>
      </c>
      <c r="D2206" s="121">
        <f t="shared" si="224"/>
        <v>9400112</v>
      </c>
      <c r="E2206" s="95" t="str">
        <f t="shared" si="225"/>
        <v>可在背包、对局内替换使用【吉兔送福】拖尾效果</v>
      </c>
      <c r="F2206" s="93">
        <v>26</v>
      </c>
      <c r="G2206" s="93">
        <v>0</v>
      </c>
      <c r="H2206" s="93" t="s">
        <v>4450</v>
      </c>
      <c r="K2206" s="93">
        <v>5</v>
      </c>
      <c r="L2206" s="93">
        <v>13</v>
      </c>
      <c r="M2206" s="117" t="s">
        <v>4451</v>
      </c>
      <c r="N2206" s="93">
        <v>1</v>
      </c>
      <c r="O2206" s="93">
        <v>0</v>
      </c>
    </row>
    <row r="2207" spans="1:21">
      <c r="A2207" s="78">
        <v>940012</v>
      </c>
      <c r="B2207" s="121">
        <f t="shared" si="223"/>
        <v>9400121</v>
      </c>
      <c r="C2207" s="93" t="s">
        <v>4452</v>
      </c>
      <c r="D2207" s="121">
        <f t="shared" si="224"/>
        <v>9400122</v>
      </c>
      <c r="E2207" s="95" t="str">
        <f t="shared" si="225"/>
        <v>可在背包、对局内替换使用【红玫瑰】拖尾效果</v>
      </c>
      <c r="F2207" s="93">
        <v>26</v>
      </c>
      <c r="G2207" s="93">
        <v>0</v>
      </c>
      <c r="H2207" s="93" t="s">
        <v>4453</v>
      </c>
      <c r="K2207" s="93">
        <v>5</v>
      </c>
      <c r="L2207" s="93">
        <v>13</v>
      </c>
      <c r="M2207" s="117" t="s">
        <v>4454</v>
      </c>
      <c r="N2207" s="93">
        <v>1</v>
      </c>
      <c r="O2207" s="93">
        <v>0</v>
      </c>
    </row>
    <row r="2208" spans="1:21">
      <c r="A2208" s="78">
        <v>940013</v>
      </c>
      <c r="B2208" s="121">
        <f t="shared" si="223"/>
        <v>9400131</v>
      </c>
      <c r="C2208" s="93" t="s">
        <v>4455</v>
      </c>
      <c r="D2208" s="121">
        <f t="shared" si="224"/>
        <v>9400132</v>
      </c>
      <c r="E2208" s="95" t="str">
        <f t="shared" si="225"/>
        <v>可在背包、对局内替换使用【皇龙之炎】拖尾效果</v>
      </c>
      <c r="F2208" s="93">
        <v>26</v>
      </c>
      <c r="G2208" s="93">
        <v>0</v>
      </c>
      <c r="H2208" s="93" t="s">
        <v>4456</v>
      </c>
      <c r="K2208" s="93">
        <v>5</v>
      </c>
      <c r="L2208" s="93">
        <v>13</v>
      </c>
      <c r="M2208" s="117" t="s">
        <v>4457</v>
      </c>
      <c r="N2208" s="93">
        <v>1</v>
      </c>
      <c r="O2208" s="93">
        <v>0</v>
      </c>
    </row>
    <row r="2209" spans="1:15">
      <c r="A2209" s="78">
        <v>940014</v>
      </c>
      <c r="B2209" s="121">
        <f t="shared" si="223"/>
        <v>9400141</v>
      </c>
      <c r="C2209" s="93" t="s">
        <v>4458</v>
      </c>
      <c r="D2209" s="121">
        <f t="shared" si="224"/>
        <v>9400142</v>
      </c>
      <c r="E2209" s="95" t="str">
        <f t="shared" si="225"/>
        <v>可在背包、对局内替换使用【欢庆劳动】拖尾效果</v>
      </c>
      <c r="F2209" s="93">
        <v>26</v>
      </c>
      <c r="G2209" s="93">
        <v>0</v>
      </c>
      <c r="H2209" s="93" t="s">
        <v>4459</v>
      </c>
      <c r="K2209" s="93">
        <v>5</v>
      </c>
      <c r="L2209" s="93">
        <v>13</v>
      </c>
      <c r="M2209" s="117" t="s">
        <v>4460</v>
      </c>
      <c r="N2209" s="93">
        <v>1</v>
      </c>
      <c r="O2209" s="93">
        <v>0</v>
      </c>
    </row>
    <row r="2210" spans="1:15">
      <c r="A2210" s="78">
        <v>940015</v>
      </c>
      <c r="B2210" s="121">
        <f t="shared" si="223"/>
        <v>9400151</v>
      </c>
      <c r="C2210" s="93" t="s">
        <v>4461</v>
      </c>
      <c r="D2210" s="121">
        <f t="shared" si="224"/>
        <v>9400152</v>
      </c>
      <c r="E2210" s="95" t="str">
        <f t="shared" si="225"/>
        <v>可在背包、对局内替换使用【青葱岁月】拖尾效果</v>
      </c>
      <c r="F2210" s="93">
        <v>26</v>
      </c>
      <c r="G2210" s="93">
        <v>0</v>
      </c>
      <c r="H2210" s="93" t="s">
        <v>4462</v>
      </c>
      <c r="K2210" s="93">
        <v>5</v>
      </c>
      <c r="L2210" s="93">
        <v>13</v>
      </c>
      <c r="M2210" s="117" t="s">
        <v>4463</v>
      </c>
      <c r="N2210" s="93">
        <v>1</v>
      </c>
      <c r="O2210" s="93">
        <v>0</v>
      </c>
    </row>
    <row r="2211" spans="1:15">
      <c r="A2211" s="78">
        <v>940016</v>
      </c>
      <c r="B2211" s="141">
        <f t="shared" si="223"/>
        <v>9400161</v>
      </c>
      <c r="C2211" s="93" t="s">
        <v>4464</v>
      </c>
      <c r="D2211" s="141">
        <f t="shared" si="224"/>
        <v>9400162</v>
      </c>
      <c r="E2211" s="95" t="str">
        <f t="shared" si="225"/>
        <v>可在背包、对局内替换使用【蒸汽齿轮】拖尾效果</v>
      </c>
      <c r="F2211" s="93">
        <v>26</v>
      </c>
      <c r="G2211" s="93">
        <v>0</v>
      </c>
      <c r="H2211" s="93" t="s">
        <v>4465</v>
      </c>
      <c r="K2211" s="93">
        <v>5</v>
      </c>
      <c r="L2211" s="93">
        <v>13</v>
      </c>
      <c r="M2211" s="117" t="s">
        <v>4466</v>
      </c>
      <c r="N2211" s="93">
        <v>1</v>
      </c>
      <c r="O2211" s="93">
        <v>0</v>
      </c>
    </row>
    <row r="2212" spans="1:15">
      <c r="A2212" s="78">
        <v>940017</v>
      </c>
      <c r="B2212" s="141">
        <f t="shared" si="223"/>
        <v>9400171</v>
      </c>
      <c r="C2212" s="93" t="s">
        <v>4467</v>
      </c>
      <c r="D2212" s="141">
        <f t="shared" si="224"/>
        <v>9400172</v>
      </c>
      <c r="E2212" s="95" t="str">
        <f t="shared" si="225"/>
        <v>可在背包、对局内替换使用【穿云竞渡】拖尾效果</v>
      </c>
      <c r="F2212" s="93">
        <v>26</v>
      </c>
      <c r="G2212" s="93">
        <v>0</v>
      </c>
      <c r="H2212" s="93" t="s">
        <v>4468</v>
      </c>
      <c r="K2212" s="93">
        <v>5</v>
      </c>
      <c r="L2212" s="93">
        <v>13</v>
      </c>
      <c r="M2212" s="117" t="s">
        <v>4469</v>
      </c>
      <c r="N2212" s="93">
        <v>1</v>
      </c>
      <c r="O2212" s="93">
        <v>0</v>
      </c>
    </row>
    <row r="2213" spans="1:15" s="79" customFormat="1">
      <c r="A2213" s="80">
        <v>940018</v>
      </c>
      <c r="B2213" s="121">
        <f t="shared" si="223"/>
        <v>9400181</v>
      </c>
      <c r="C2213" s="79" t="s">
        <v>3860</v>
      </c>
      <c r="D2213" s="121">
        <f t="shared" si="224"/>
        <v>9400182</v>
      </c>
      <c r="E2213" s="146" t="str">
        <f t="shared" si="225"/>
        <v>可在背包、对局内替换使用【古风1】拖尾效果</v>
      </c>
      <c r="F2213" s="79">
        <v>26</v>
      </c>
      <c r="G2213" s="79">
        <v>0</v>
      </c>
      <c r="H2213" s="79" t="s">
        <v>4470</v>
      </c>
      <c r="K2213" s="79">
        <v>5</v>
      </c>
      <c r="L2213" s="79">
        <v>13</v>
      </c>
      <c r="M2213" s="127" t="s">
        <v>4471</v>
      </c>
      <c r="N2213" s="79">
        <v>1</v>
      </c>
      <c r="O2213" s="79">
        <v>0</v>
      </c>
    </row>
    <row r="2214" spans="1:15" s="79" customFormat="1">
      <c r="A2214" s="80">
        <v>940019</v>
      </c>
      <c r="B2214" s="121">
        <f t="shared" si="223"/>
        <v>9400191</v>
      </c>
      <c r="C2214" s="79" t="s">
        <v>1393</v>
      </c>
      <c r="D2214" s="121">
        <f t="shared" si="224"/>
        <v>9400192</v>
      </c>
      <c r="E2214" s="146" t="str">
        <f t="shared" si="225"/>
        <v>可在背包、对局内替换使用【古风2】拖尾效果</v>
      </c>
      <c r="F2214" s="79">
        <v>26</v>
      </c>
      <c r="G2214" s="79">
        <v>0</v>
      </c>
      <c r="H2214" s="79" t="s">
        <v>4472</v>
      </c>
      <c r="K2214" s="79">
        <v>5</v>
      </c>
      <c r="L2214" s="79">
        <v>13</v>
      </c>
      <c r="M2214" s="127" t="s">
        <v>4473</v>
      </c>
      <c r="N2214" s="79">
        <v>1</v>
      </c>
      <c r="O2214" s="79">
        <v>0</v>
      </c>
    </row>
    <row r="2215" spans="1:15" s="79" customFormat="1">
      <c r="A2215" s="80">
        <v>940020</v>
      </c>
      <c r="B2215" s="121">
        <f t="shared" si="223"/>
        <v>9400201</v>
      </c>
      <c r="C2215" s="79" t="s">
        <v>4474</v>
      </c>
      <c r="D2215" s="121">
        <f t="shared" si="224"/>
        <v>9400202</v>
      </c>
      <c r="E2215" s="146" t="str">
        <f t="shared" si="225"/>
        <v>可在背包、对局内替换使用【枪出如龙】拖尾效果</v>
      </c>
      <c r="F2215" s="79">
        <v>26</v>
      </c>
      <c r="G2215" s="79">
        <v>0</v>
      </c>
      <c r="H2215" s="79" t="s">
        <v>4475</v>
      </c>
      <c r="K2215" s="79">
        <v>5</v>
      </c>
      <c r="L2215" s="79">
        <v>13</v>
      </c>
      <c r="M2215" s="127" t="s">
        <v>4476</v>
      </c>
      <c r="N2215" s="79">
        <v>1</v>
      </c>
      <c r="O2215" s="79">
        <v>0</v>
      </c>
    </row>
    <row r="2216" spans="1:15" s="79" customFormat="1">
      <c r="A2216" s="80">
        <v>940021</v>
      </c>
      <c r="B2216" s="121">
        <f t="shared" si="223"/>
        <v>9400211</v>
      </c>
      <c r="C2216" s="79" t="s">
        <v>4477</v>
      </c>
      <c r="D2216" s="121">
        <f t="shared" si="224"/>
        <v>9400212</v>
      </c>
      <c r="E2216" s="146" t="str">
        <f t="shared" si="225"/>
        <v>可在背包、对局内替换使用【天外来客】拖尾效果</v>
      </c>
      <c r="F2216" s="79">
        <v>26</v>
      </c>
      <c r="G2216" s="79">
        <v>0</v>
      </c>
      <c r="H2216" s="79" t="s">
        <v>4478</v>
      </c>
      <c r="K2216" s="79">
        <v>5</v>
      </c>
      <c r="L2216" s="79">
        <v>13</v>
      </c>
      <c r="M2216" s="127" t="s">
        <v>4479</v>
      </c>
      <c r="N2216" s="79">
        <v>1</v>
      </c>
      <c r="O2216" s="79">
        <v>0</v>
      </c>
    </row>
    <row r="2217" spans="1:15" s="79" customFormat="1">
      <c r="A2217" s="80">
        <v>940022</v>
      </c>
      <c r="B2217" s="121">
        <f t="shared" si="223"/>
        <v>9400221</v>
      </c>
      <c r="C2217" s="79" t="s">
        <v>4480</v>
      </c>
      <c r="D2217" s="121">
        <f t="shared" si="224"/>
        <v>9400222</v>
      </c>
      <c r="E2217" s="146" t="str">
        <f t="shared" si="225"/>
        <v>可在背包、对局内替换使用【萝卜寄语】拖尾效果</v>
      </c>
      <c r="F2217" s="79">
        <v>26</v>
      </c>
      <c r="G2217" s="79">
        <v>0</v>
      </c>
      <c r="H2217" s="79" t="s">
        <v>4481</v>
      </c>
      <c r="K2217" s="79">
        <v>5</v>
      </c>
      <c r="L2217" s="79">
        <v>13</v>
      </c>
      <c r="M2217" s="127" t="s">
        <v>4482</v>
      </c>
      <c r="N2217" s="79">
        <v>1</v>
      </c>
      <c r="O2217" s="79">
        <v>0</v>
      </c>
    </row>
    <row r="2218" spans="1:15" s="175" customFormat="1">
      <c r="A2218" s="180">
        <v>940023</v>
      </c>
      <c r="B2218" s="181">
        <f t="shared" si="223"/>
        <v>9400231</v>
      </c>
      <c r="C2218" s="175" t="s">
        <v>4483</v>
      </c>
      <c r="D2218" s="181">
        <f t="shared" si="224"/>
        <v>9400232</v>
      </c>
      <c r="E2218" s="182" t="str">
        <f t="shared" ref="E2218" si="226">"可在背包、对局内替换使用【"&amp;C2218&amp;"】拖尾效果"</f>
        <v>可在背包、对局内替换使用【寒花辇路】拖尾效果</v>
      </c>
      <c r="F2218" s="175">
        <v>26</v>
      </c>
      <c r="G2218" s="175">
        <v>0</v>
      </c>
      <c r="H2218" s="175" t="s">
        <v>4484</v>
      </c>
      <c r="K2218" s="175">
        <v>5</v>
      </c>
      <c r="L2218" s="175">
        <v>13</v>
      </c>
      <c r="M2218" s="179" t="s">
        <v>4485</v>
      </c>
      <c r="N2218" s="175">
        <v>1</v>
      </c>
      <c r="O2218" s="175">
        <v>0</v>
      </c>
    </row>
    <row r="2219" spans="1:15" s="175" customFormat="1">
      <c r="A2219" s="180">
        <v>940024</v>
      </c>
      <c r="B2219" s="181">
        <f t="shared" ref="B2219" si="227">A2219*10+1</f>
        <v>9400241</v>
      </c>
      <c r="C2219" s="175" t="s">
        <v>4486</v>
      </c>
      <c r="D2219" s="181">
        <f t="shared" ref="D2219" si="228">A2219*10+2</f>
        <v>9400242</v>
      </c>
      <c r="E2219" s="182" t="str">
        <f t="shared" ref="E2219" si="229">"可在背包、对局内替换使用【"&amp;C2219&amp;"】拖尾效果"</f>
        <v>可在背包、对局内替换使用【踏紫幽】拖尾效果</v>
      </c>
      <c r="F2219" s="175">
        <v>26</v>
      </c>
      <c r="G2219" s="175">
        <v>0</v>
      </c>
      <c r="H2219" s="175" t="s">
        <v>4487</v>
      </c>
      <c r="K2219" s="175">
        <v>5</v>
      </c>
      <c r="L2219" s="175">
        <v>13</v>
      </c>
      <c r="M2219" s="179" t="s">
        <v>4488</v>
      </c>
      <c r="N2219" s="175">
        <v>1</v>
      </c>
      <c r="O2219" s="175">
        <v>0</v>
      </c>
    </row>
    <row r="2220" spans="1:15" s="175" customFormat="1">
      <c r="A2220" s="180">
        <v>940025</v>
      </c>
      <c r="B2220" s="181">
        <f t="shared" ref="B2220" si="230">A2220*10+1</f>
        <v>9400251</v>
      </c>
      <c r="C2220" s="175" t="s">
        <v>4489</v>
      </c>
      <c r="D2220" s="181">
        <f t="shared" ref="D2220" si="231">A2220*10+2</f>
        <v>9400252</v>
      </c>
      <c r="E2220" s="182" t="str">
        <f t="shared" ref="E2220" si="232">"可在背包、对局内替换使用【"&amp;C2220&amp;"】拖尾效果"</f>
        <v>可在背包、对局内替换使用【千灯誓约】拖尾效果</v>
      </c>
      <c r="F2220" s="175">
        <v>26</v>
      </c>
      <c r="G2220" s="175">
        <v>0</v>
      </c>
      <c r="H2220" s="175" t="s">
        <v>4490</v>
      </c>
      <c r="K2220" s="175">
        <v>5</v>
      </c>
      <c r="L2220" s="175">
        <v>13</v>
      </c>
      <c r="M2220" s="179" t="s">
        <v>4491</v>
      </c>
      <c r="N2220" s="175">
        <v>1</v>
      </c>
      <c r="O2220" s="175">
        <v>0</v>
      </c>
    </row>
    <row r="2221" spans="1:15" s="175" customFormat="1">
      <c r="A2221" s="180">
        <v>940026</v>
      </c>
      <c r="B2221" s="181">
        <f t="shared" ref="B2221" si="233">A2221*10+1</f>
        <v>9400261</v>
      </c>
      <c r="C2221" s="175" t="s">
        <v>5532</v>
      </c>
      <c r="D2221" s="181">
        <f t="shared" ref="D2221" si="234">A2221*10+2</f>
        <v>9400262</v>
      </c>
      <c r="E2221" s="182" t="str">
        <f t="shared" ref="E2221" si="235">"可在背包、对局内替换使用【"&amp;C2221&amp;"】拖尾效果"</f>
        <v>可在背包、对局内替换使用【龙腾】拖尾效果</v>
      </c>
      <c r="F2221" s="175">
        <v>26</v>
      </c>
      <c r="G2221" s="175">
        <v>0</v>
      </c>
      <c r="H2221" s="175" t="s">
        <v>4492</v>
      </c>
      <c r="K2221" s="175">
        <v>5</v>
      </c>
      <c r="L2221" s="175">
        <v>13</v>
      </c>
      <c r="M2221" s="179" t="s">
        <v>4493</v>
      </c>
      <c r="N2221" s="175">
        <v>1</v>
      </c>
      <c r="O2221" s="175">
        <v>0</v>
      </c>
    </row>
    <row r="2222" spans="1:15" s="175" customFormat="1">
      <c r="A2222" s="180">
        <v>940027</v>
      </c>
      <c r="B2222" s="181">
        <f t="shared" ref="B2222:B2224" si="236">A2222*10+1</f>
        <v>9400271</v>
      </c>
      <c r="C2222" s="175" t="s">
        <v>5530</v>
      </c>
      <c r="D2222" s="181">
        <f t="shared" ref="D2222:D2224" si="237">A2222*10+2</f>
        <v>9400272</v>
      </c>
      <c r="E2222" s="182" t="str">
        <f t="shared" ref="E2222:E2224" si="238">"可在背包、对局内替换使用【"&amp;C2222&amp;"】拖尾效果"</f>
        <v>可在背包、对局内替换使用【魔镰拖尾】拖尾效果</v>
      </c>
      <c r="F2222" s="175">
        <v>26</v>
      </c>
      <c r="G2222" s="175">
        <v>0</v>
      </c>
      <c r="H2222" s="175" t="s">
        <v>4494</v>
      </c>
      <c r="K2222" s="175">
        <v>5</v>
      </c>
      <c r="L2222" s="175">
        <v>13</v>
      </c>
      <c r="M2222" s="179" t="s">
        <v>4495</v>
      </c>
      <c r="N2222" s="175">
        <v>1</v>
      </c>
      <c r="O2222" s="175">
        <v>0</v>
      </c>
    </row>
    <row r="2223" spans="1:15" s="175" customFormat="1">
      <c r="A2223" s="180">
        <v>940028</v>
      </c>
      <c r="B2223" s="181">
        <f t="shared" si="236"/>
        <v>9400281</v>
      </c>
      <c r="C2223" s="175" t="s">
        <v>5600</v>
      </c>
      <c r="D2223" s="181">
        <f t="shared" si="237"/>
        <v>9400282</v>
      </c>
      <c r="E2223" s="182" t="str">
        <f t="shared" si="238"/>
        <v>可在背包、对局内替换使用【像素光韵】拖尾效果</v>
      </c>
      <c r="F2223" s="175">
        <v>26</v>
      </c>
      <c r="G2223" s="175">
        <v>0</v>
      </c>
      <c r="H2223" s="175" t="s">
        <v>5601</v>
      </c>
      <c r="K2223" s="175">
        <v>5</v>
      </c>
      <c r="L2223" s="175">
        <v>13</v>
      </c>
      <c r="M2223" s="179" t="s">
        <v>5602</v>
      </c>
      <c r="N2223" s="175">
        <v>1</v>
      </c>
      <c r="O2223" s="175">
        <v>0</v>
      </c>
    </row>
    <row r="2224" spans="1:15" s="175" customFormat="1">
      <c r="A2224" s="180">
        <v>940029</v>
      </c>
      <c r="B2224" s="181">
        <f t="shared" si="236"/>
        <v>9400291</v>
      </c>
      <c r="C2224" s="175" t="s">
        <v>5650</v>
      </c>
      <c r="D2224" s="181">
        <f t="shared" si="237"/>
        <v>9400292</v>
      </c>
      <c r="E2224" s="182" t="str">
        <f t="shared" si="238"/>
        <v>可在背包、对局内替换使用【量子轨迹】拖尾效果</v>
      </c>
      <c r="F2224" s="175">
        <v>26</v>
      </c>
      <c r="G2224" s="175">
        <v>0</v>
      </c>
      <c r="H2224" s="175" t="s">
        <v>5629</v>
      </c>
      <c r="K2224" s="175">
        <v>5</v>
      </c>
      <c r="L2224" s="175">
        <v>13</v>
      </c>
      <c r="M2224" s="179" t="s">
        <v>5630</v>
      </c>
      <c r="N2224" s="175">
        <v>1</v>
      </c>
      <c r="O2224" s="175">
        <v>0</v>
      </c>
    </row>
    <row r="2225" spans="1:18" s="175" customFormat="1">
      <c r="A2225" s="180">
        <v>950000</v>
      </c>
      <c r="B2225" s="181">
        <v>9500001</v>
      </c>
      <c r="D2225" s="181">
        <v>9500002</v>
      </c>
      <c r="E2225" s="182"/>
      <c r="F2225" s="175">
        <v>27</v>
      </c>
      <c r="G2225" s="175">
        <v>0</v>
      </c>
      <c r="H2225" s="175" t="s">
        <v>4496</v>
      </c>
      <c r="K2225" s="175">
        <v>3</v>
      </c>
      <c r="L2225" s="175">
        <v>14</v>
      </c>
      <c r="M2225" s="179" t="s">
        <v>4497</v>
      </c>
      <c r="N2225" s="175">
        <v>1</v>
      </c>
      <c r="O2225" s="175">
        <v>0</v>
      </c>
    </row>
    <row r="2226" spans="1:18">
      <c r="A2226" s="93">
        <v>950001</v>
      </c>
      <c r="B2226" s="93">
        <v>9500011</v>
      </c>
      <c r="C2226" s="95" t="s">
        <v>4498</v>
      </c>
      <c r="D2226" s="93">
        <v>9500012</v>
      </c>
      <c r="E2226" s="95" t="s">
        <v>4499</v>
      </c>
      <c r="F2226" s="93">
        <v>27</v>
      </c>
      <c r="G2226" s="93">
        <v>0</v>
      </c>
      <c r="H2226" s="93" t="s">
        <v>4500</v>
      </c>
      <c r="K2226" s="93">
        <v>5</v>
      </c>
      <c r="L2226" s="93">
        <v>14</v>
      </c>
      <c r="M2226" s="117" t="s">
        <v>4501</v>
      </c>
      <c r="N2226" s="93">
        <v>1</v>
      </c>
      <c r="O2226" s="93">
        <v>0</v>
      </c>
      <c r="R2226" s="142"/>
    </row>
    <row r="2227" spans="1:18">
      <c r="A2227" s="93">
        <v>950002</v>
      </c>
      <c r="B2227" s="93">
        <v>9500021</v>
      </c>
      <c r="C2227" s="93" t="s">
        <v>4502</v>
      </c>
      <c r="D2227" s="93">
        <v>9500022</v>
      </c>
      <c r="E2227" s="95" t="s">
        <v>4503</v>
      </c>
      <c r="F2227" s="93">
        <v>27</v>
      </c>
      <c r="G2227" s="93">
        <v>0</v>
      </c>
      <c r="H2227" s="93" t="s">
        <v>4504</v>
      </c>
      <c r="K2227" s="93">
        <v>5</v>
      </c>
      <c r="L2227" s="93">
        <v>14</v>
      </c>
      <c r="M2227" s="117" t="s">
        <v>4505</v>
      </c>
      <c r="N2227" s="93">
        <v>1</v>
      </c>
      <c r="O2227" s="93">
        <v>0</v>
      </c>
      <c r="R2227" s="92"/>
    </row>
    <row r="2228" spans="1:18">
      <c r="A2228" s="93">
        <v>950003</v>
      </c>
      <c r="B2228" s="93">
        <v>9500031</v>
      </c>
      <c r="C2228" s="93" t="s">
        <v>4506</v>
      </c>
      <c r="D2228" s="93">
        <v>9500032</v>
      </c>
      <c r="E2228" s="95" t="s">
        <v>4507</v>
      </c>
      <c r="F2228" s="93">
        <v>27</v>
      </c>
      <c r="G2228" s="93">
        <v>0</v>
      </c>
      <c r="H2228" s="93" t="s">
        <v>4508</v>
      </c>
      <c r="K2228" s="93">
        <v>5</v>
      </c>
      <c r="L2228" s="93">
        <v>14</v>
      </c>
      <c r="M2228" s="117" t="s">
        <v>4509</v>
      </c>
      <c r="N2228" s="93">
        <v>1</v>
      </c>
      <c r="O2228" s="93">
        <v>0</v>
      </c>
      <c r="R2228" s="92"/>
    </row>
    <row r="2229" spans="1:18">
      <c r="A2229" s="93">
        <v>950004</v>
      </c>
      <c r="B2229" s="93">
        <v>9500041</v>
      </c>
      <c r="C2229" s="95" t="s">
        <v>4510</v>
      </c>
      <c r="D2229" s="93">
        <v>9500042</v>
      </c>
      <c r="E2229" s="95" t="s">
        <v>4511</v>
      </c>
      <c r="F2229" s="93">
        <v>27</v>
      </c>
      <c r="G2229" s="93">
        <v>0</v>
      </c>
      <c r="H2229" s="93" t="s">
        <v>4512</v>
      </c>
      <c r="K2229" s="93">
        <v>4</v>
      </c>
      <c r="L2229" s="93">
        <v>14</v>
      </c>
      <c r="M2229" s="117" t="s">
        <v>4513</v>
      </c>
      <c r="N2229" s="93">
        <v>1</v>
      </c>
      <c r="O2229" s="93">
        <v>0</v>
      </c>
      <c r="R2229" s="92"/>
    </row>
    <row r="2230" spans="1:18">
      <c r="A2230" s="93">
        <v>950005</v>
      </c>
      <c r="B2230" s="93">
        <v>9500051</v>
      </c>
      <c r="C2230" s="95" t="s">
        <v>4514</v>
      </c>
      <c r="D2230" s="93">
        <v>9500052</v>
      </c>
      <c r="E2230" s="95" t="s">
        <v>4515</v>
      </c>
      <c r="F2230" s="93">
        <v>27</v>
      </c>
      <c r="G2230" s="93">
        <v>0</v>
      </c>
      <c r="H2230" s="93" t="s">
        <v>4516</v>
      </c>
      <c r="K2230" s="93">
        <v>4</v>
      </c>
      <c r="L2230" s="93">
        <v>14</v>
      </c>
      <c r="M2230" s="117" t="s">
        <v>4517</v>
      </c>
      <c r="N2230" s="93">
        <v>1</v>
      </c>
      <c r="O2230" s="93">
        <v>0</v>
      </c>
    </row>
    <row r="2231" spans="1:18">
      <c r="A2231" s="93">
        <v>950006</v>
      </c>
      <c r="B2231" s="93">
        <v>9500061</v>
      </c>
      <c r="C2231" s="95" t="s">
        <v>4518</v>
      </c>
      <c r="D2231" s="93">
        <v>9500062</v>
      </c>
      <c r="E2231" s="95" t="s">
        <v>4519</v>
      </c>
      <c r="F2231" s="93">
        <v>27</v>
      </c>
      <c r="G2231" s="93">
        <v>0</v>
      </c>
      <c r="H2231" s="93" t="s">
        <v>4520</v>
      </c>
      <c r="K2231" s="93">
        <v>4</v>
      </c>
      <c r="L2231" s="93">
        <v>14</v>
      </c>
      <c r="M2231" s="117" t="s">
        <v>4521</v>
      </c>
      <c r="N2231" s="93">
        <v>1</v>
      </c>
      <c r="O2231" s="93">
        <v>0</v>
      </c>
    </row>
    <row r="2232" spans="1:18">
      <c r="A2232" s="78">
        <v>950007</v>
      </c>
      <c r="B2232" s="93">
        <v>9500071</v>
      </c>
      <c r="C2232" s="95" t="s">
        <v>4522</v>
      </c>
      <c r="D2232" s="93">
        <v>9500072</v>
      </c>
      <c r="E2232" s="95" t="s">
        <v>4523</v>
      </c>
      <c r="F2232" s="93">
        <v>27</v>
      </c>
      <c r="G2232" s="93">
        <v>0</v>
      </c>
      <c r="H2232" s="93" t="s">
        <v>4524</v>
      </c>
      <c r="K2232" s="93">
        <v>5</v>
      </c>
      <c r="L2232" s="93">
        <v>14</v>
      </c>
      <c r="M2232" s="117" t="s">
        <v>4525</v>
      </c>
      <c r="N2232" s="93">
        <v>1</v>
      </c>
      <c r="O2232" s="93">
        <v>0</v>
      </c>
    </row>
    <row r="2233" spans="1:18">
      <c r="A2233" s="78">
        <v>950020</v>
      </c>
      <c r="B2233" s="93">
        <v>9500201</v>
      </c>
      <c r="C2233" s="95" t="s">
        <v>4526</v>
      </c>
      <c r="D2233" s="93">
        <v>9500202</v>
      </c>
      <c r="E2233" s="95" t="s">
        <v>4527</v>
      </c>
      <c r="F2233" s="93">
        <v>27</v>
      </c>
      <c r="G2233" s="93">
        <v>0</v>
      </c>
      <c r="H2233" s="93" t="s">
        <v>4528</v>
      </c>
      <c r="K2233" s="93">
        <v>5</v>
      </c>
      <c r="L2233" s="93">
        <v>14</v>
      </c>
      <c r="M2233" s="117" t="s">
        <v>4529</v>
      </c>
      <c r="N2233" s="93">
        <v>1</v>
      </c>
      <c r="O2233" s="93">
        <v>0</v>
      </c>
    </row>
    <row r="2234" spans="1:18">
      <c r="A2234" s="78">
        <v>950028</v>
      </c>
      <c r="B2234" s="93">
        <v>9500281</v>
      </c>
      <c r="C2234" s="95" t="s">
        <v>5603</v>
      </c>
      <c r="D2234" s="93">
        <v>9500282</v>
      </c>
      <c r="E2234" s="95" t="s">
        <v>5604</v>
      </c>
      <c r="F2234" s="93">
        <v>27</v>
      </c>
      <c r="G2234" s="93">
        <v>0</v>
      </c>
      <c r="H2234" s="93" t="s">
        <v>5615</v>
      </c>
      <c r="K2234" s="93">
        <v>5</v>
      </c>
      <c r="L2234" s="93">
        <v>14</v>
      </c>
      <c r="M2234" s="117" t="s">
        <v>5605</v>
      </c>
      <c r="N2234" s="93">
        <v>1</v>
      </c>
      <c r="O2234" s="93">
        <v>0</v>
      </c>
    </row>
    <row r="2235" spans="1:18">
      <c r="A2235" s="78">
        <v>950029</v>
      </c>
      <c r="B2235" s="93">
        <v>9500291</v>
      </c>
      <c r="C2235" s="95" t="s">
        <v>5651</v>
      </c>
      <c r="D2235" s="93">
        <v>9500292</v>
      </c>
      <c r="E2235" s="95" t="s">
        <v>5652</v>
      </c>
      <c r="F2235" s="93">
        <v>27</v>
      </c>
      <c r="G2235" s="93">
        <v>0</v>
      </c>
      <c r="H2235" s="93" t="s">
        <v>5631</v>
      </c>
      <c r="K2235" s="93">
        <v>5</v>
      </c>
      <c r="L2235" s="93">
        <v>14</v>
      </c>
      <c r="M2235" s="117" t="s">
        <v>5632</v>
      </c>
      <c r="N2235" s="93">
        <v>1</v>
      </c>
      <c r="O2235" s="93">
        <v>0</v>
      </c>
    </row>
    <row r="2236" spans="1:18">
      <c r="A2236" s="78">
        <v>952009</v>
      </c>
      <c r="B2236" s="93">
        <f t="shared" ref="B2236:B2271" si="239">A2236*10+1</f>
        <v>9520091</v>
      </c>
      <c r="C2236" s="92" t="s">
        <v>4530</v>
      </c>
      <c r="D2236" s="93">
        <f t="shared" ref="D2236:D2271" si="240">A2236*10+2</f>
        <v>9520092</v>
      </c>
      <c r="E2236" s="95" t="str">
        <f t="shared" ref="E2236:E2267" si="241">"可在背包、对局内替换使用【"&amp;C2236&amp;"】进洞效果"</f>
        <v>可在背包、对局内替换使用【燎原烈火】进洞效果</v>
      </c>
      <c r="F2236" s="93">
        <v>27</v>
      </c>
      <c r="G2236" s="93">
        <v>0</v>
      </c>
      <c r="H2236" s="92" t="s">
        <v>4531</v>
      </c>
      <c r="I2236" s="92"/>
      <c r="J2236" s="92"/>
      <c r="K2236" s="78">
        <v>5</v>
      </c>
      <c r="L2236" s="93">
        <v>14</v>
      </c>
      <c r="M2236" s="92" t="s">
        <v>4532</v>
      </c>
      <c r="N2236" s="93">
        <v>1</v>
      </c>
      <c r="O2236" s="93">
        <v>0</v>
      </c>
    </row>
    <row r="2237" spans="1:18">
      <c r="A2237" s="78">
        <v>952010</v>
      </c>
      <c r="B2237" s="93">
        <f t="shared" si="239"/>
        <v>9520101</v>
      </c>
      <c r="C2237" s="92" t="s">
        <v>4533</v>
      </c>
      <c r="D2237" s="93">
        <f t="shared" si="240"/>
        <v>9520102</v>
      </c>
      <c r="E2237" s="95" t="str">
        <f t="shared" si="241"/>
        <v>可在背包、对局内替换使用【昙花一现】进洞效果</v>
      </c>
      <c r="F2237" s="93">
        <v>27</v>
      </c>
      <c r="G2237" s="93">
        <v>0</v>
      </c>
      <c r="H2237" s="92" t="s">
        <v>4534</v>
      </c>
      <c r="I2237" s="92"/>
      <c r="J2237" s="92"/>
      <c r="K2237" s="78">
        <v>4</v>
      </c>
      <c r="L2237" s="93">
        <v>14</v>
      </c>
      <c r="M2237" s="92" t="s">
        <v>4535</v>
      </c>
      <c r="N2237" s="93">
        <v>1</v>
      </c>
      <c r="O2237" s="93">
        <v>0</v>
      </c>
    </row>
    <row r="2238" spans="1:18">
      <c r="A2238" s="78">
        <v>952011</v>
      </c>
      <c r="B2238" s="93">
        <f t="shared" si="239"/>
        <v>9520111</v>
      </c>
      <c r="C2238" s="92" t="s">
        <v>4536</v>
      </c>
      <c r="D2238" s="93">
        <f t="shared" si="240"/>
        <v>9520112</v>
      </c>
      <c r="E2238" s="95" t="str">
        <f t="shared" si="241"/>
        <v>可在背包、对局内替换使用【霜寒凌天】进洞效果</v>
      </c>
      <c r="F2238" s="93">
        <v>27</v>
      </c>
      <c r="G2238" s="93">
        <v>0</v>
      </c>
      <c r="H2238" s="92" t="s">
        <v>4537</v>
      </c>
      <c r="I2238" s="92"/>
      <c r="J2238" s="92"/>
      <c r="K2238" s="78">
        <v>5</v>
      </c>
      <c r="L2238" s="93">
        <v>14</v>
      </c>
      <c r="M2238" s="92" t="s">
        <v>4538</v>
      </c>
      <c r="N2238" s="93">
        <v>1</v>
      </c>
      <c r="O2238" s="93">
        <v>0</v>
      </c>
    </row>
    <row r="2239" spans="1:18">
      <c r="A2239" s="78">
        <v>952012</v>
      </c>
      <c r="B2239" s="93">
        <f t="shared" si="239"/>
        <v>9520121</v>
      </c>
      <c r="C2239" s="92" t="s">
        <v>4539</v>
      </c>
      <c r="D2239" s="93">
        <f t="shared" si="240"/>
        <v>9520122</v>
      </c>
      <c r="E2239" s="95" t="str">
        <f t="shared" si="241"/>
        <v>可在背包、对局内替换使用【电玩律动】进洞效果</v>
      </c>
      <c r="F2239" s="93">
        <v>27</v>
      </c>
      <c r="G2239" s="93">
        <v>0</v>
      </c>
      <c r="H2239" s="92" t="s">
        <v>4540</v>
      </c>
      <c r="I2239" s="92"/>
      <c r="J2239" s="92"/>
      <c r="K2239" s="78">
        <v>5</v>
      </c>
      <c r="L2239" s="93">
        <v>14</v>
      </c>
      <c r="M2239" s="92" t="s">
        <v>4541</v>
      </c>
      <c r="N2239" s="93">
        <v>1</v>
      </c>
      <c r="O2239" s="93">
        <v>0</v>
      </c>
    </row>
    <row r="2240" spans="1:18">
      <c r="A2240" s="78">
        <v>952013</v>
      </c>
      <c r="B2240" s="93">
        <f t="shared" si="239"/>
        <v>9520131</v>
      </c>
      <c r="C2240" s="92" t="s">
        <v>4542</v>
      </c>
      <c r="D2240" s="93">
        <f t="shared" si="240"/>
        <v>9520132</v>
      </c>
      <c r="E2240" s="95" t="str">
        <f t="shared" si="241"/>
        <v>可在背包、对局内替换使用【悦动音符】进洞效果</v>
      </c>
      <c r="F2240" s="93">
        <v>27</v>
      </c>
      <c r="G2240" s="93">
        <v>0</v>
      </c>
      <c r="H2240" s="92" t="s">
        <v>4543</v>
      </c>
      <c r="I2240" s="92"/>
      <c r="J2240" s="92"/>
      <c r="K2240" s="78">
        <v>5</v>
      </c>
      <c r="L2240" s="93">
        <v>14</v>
      </c>
      <c r="M2240" s="92" t="s">
        <v>4544</v>
      </c>
      <c r="N2240" s="93">
        <v>1</v>
      </c>
      <c r="O2240" s="93">
        <v>0</v>
      </c>
    </row>
    <row r="2241" spans="1:15">
      <c r="A2241" s="78">
        <v>952014</v>
      </c>
      <c r="B2241" s="93">
        <f t="shared" si="239"/>
        <v>9520141</v>
      </c>
      <c r="C2241" s="92" t="s">
        <v>4545</v>
      </c>
      <c r="D2241" s="93">
        <f t="shared" si="240"/>
        <v>9520142</v>
      </c>
      <c r="E2241" s="95" t="str">
        <f t="shared" si="241"/>
        <v>可在背包、对局内替换使用【火龙吟】进洞效果</v>
      </c>
      <c r="F2241" s="93">
        <v>27</v>
      </c>
      <c r="G2241" s="93">
        <v>0</v>
      </c>
      <c r="H2241" s="92" t="s">
        <v>4546</v>
      </c>
      <c r="I2241" s="92"/>
      <c r="J2241" s="92"/>
      <c r="K2241" s="78">
        <v>5</v>
      </c>
      <c r="L2241" s="93">
        <v>14</v>
      </c>
      <c r="M2241" s="92" t="s">
        <v>4547</v>
      </c>
      <c r="N2241" s="93">
        <v>1</v>
      </c>
      <c r="O2241" s="93">
        <v>0</v>
      </c>
    </row>
    <row r="2242" spans="1:15">
      <c r="A2242" s="78">
        <v>952015</v>
      </c>
      <c r="B2242" s="93">
        <f t="shared" si="239"/>
        <v>9520151</v>
      </c>
      <c r="C2242" s="92" t="s">
        <v>4548</v>
      </c>
      <c r="D2242" s="93">
        <f t="shared" si="240"/>
        <v>9520152</v>
      </c>
      <c r="E2242" s="95" t="str">
        <f t="shared" si="241"/>
        <v>可在背包、对局内替换使用【大星】进洞效果</v>
      </c>
      <c r="F2242" s="93">
        <v>27</v>
      </c>
      <c r="G2242" s="93">
        <v>0</v>
      </c>
      <c r="H2242" s="92" t="s">
        <v>4549</v>
      </c>
      <c r="I2242" s="92"/>
      <c r="J2242" s="92"/>
      <c r="K2242" s="78">
        <v>4</v>
      </c>
      <c r="L2242" s="93">
        <v>14</v>
      </c>
      <c r="M2242" s="92" t="s">
        <v>4550</v>
      </c>
      <c r="N2242" s="93">
        <v>1</v>
      </c>
      <c r="O2242" s="93">
        <v>0</v>
      </c>
    </row>
    <row r="2243" spans="1:15">
      <c r="A2243" s="78">
        <v>952016</v>
      </c>
      <c r="B2243" s="93">
        <f t="shared" si="239"/>
        <v>9520161</v>
      </c>
      <c r="C2243" s="92" t="s">
        <v>4551</v>
      </c>
      <c r="D2243" s="93">
        <f t="shared" si="240"/>
        <v>9520162</v>
      </c>
      <c r="E2243" s="95" t="str">
        <f t="shared" si="241"/>
        <v>可在背包、对局内替换使用【星散】进洞效果</v>
      </c>
      <c r="F2243" s="93">
        <v>27</v>
      </c>
      <c r="G2243" s="93">
        <v>0</v>
      </c>
      <c r="H2243" s="92" t="s">
        <v>4552</v>
      </c>
      <c r="I2243" s="92"/>
      <c r="J2243" s="92"/>
      <c r="K2243" s="78">
        <v>4</v>
      </c>
      <c r="L2243" s="93">
        <v>14</v>
      </c>
      <c r="M2243" s="92" t="s">
        <v>4553</v>
      </c>
      <c r="N2243" s="93">
        <v>1</v>
      </c>
      <c r="O2243" s="93">
        <v>0</v>
      </c>
    </row>
    <row r="2244" spans="1:15">
      <c r="A2244" s="78">
        <v>952017</v>
      </c>
      <c r="B2244" s="93">
        <f t="shared" si="239"/>
        <v>9520171</v>
      </c>
      <c r="C2244" s="92" t="s">
        <v>4554</v>
      </c>
      <c r="D2244" s="93">
        <f t="shared" si="240"/>
        <v>9520172</v>
      </c>
      <c r="E2244" s="95" t="str">
        <f t="shared" si="241"/>
        <v>可在背包、对局内替换使用【烈焰飞羽】进洞效果</v>
      </c>
      <c r="F2244" s="93">
        <v>27</v>
      </c>
      <c r="G2244" s="93">
        <v>0</v>
      </c>
      <c r="H2244" s="92" t="s">
        <v>4555</v>
      </c>
      <c r="I2244" s="92"/>
      <c r="J2244" s="92"/>
      <c r="K2244" s="78">
        <v>5</v>
      </c>
      <c r="L2244" s="93">
        <v>14</v>
      </c>
      <c r="M2244" s="92" t="s">
        <v>4556</v>
      </c>
      <c r="N2244" s="93">
        <v>1</v>
      </c>
      <c r="O2244" s="93">
        <v>0</v>
      </c>
    </row>
    <row r="2245" spans="1:15">
      <c r="A2245" s="78">
        <v>952018</v>
      </c>
      <c r="B2245" s="93">
        <f t="shared" si="239"/>
        <v>9520181</v>
      </c>
      <c r="C2245" s="92" t="s">
        <v>4557</v>
      </c>
      <c r="D2245" s="93">
        <f t="shared" si="240"/>
        <v>9520182</v>
      </c>
      <c r="E2245" s="95" t="str">
        <f t="shared" si="241"/>
        <v>可在背包、对局内替换使用【掠影浮光】进洞效果</v>
      </c>
      <c r="F2245" s="93">
        <v>27</v>
      </c>
      <c r="G2245" s="93">
        <v>0</v>
      </c>
      <c r="H2245" s="92" t="s">
        <v>4558</v>
      </c>
      <c r="I2245" s="92"/>
      <c r="J2245" s="92"/>
      <c r="K2245" s="78">
        <v>5</v>
      </c>
      <c r="L2245" s="93">
        <v>14</v>
      </c>
      <c r="M2245" s="92" t="s">
        <v>4559</v>
      </c>
      <c r="N2245" s="93">
        <v>1</v>
      </c>
      <c r="O2245" s="93">
        <v>0</v>
      </c>
    </row>
    <row r="2246" spans="1:15">
      <c r="A2246" s="78">
        <v>952019</v>
      </c>
      <c r="B2246" s="93">
        <f t="shared" si="239"/>
        <v>9520191</v>
      </c>
      <c r="C2246" s="92" t="s">
        <v>4560</v>
      </c>
      <c r="D2246" s="93">
        <f t="shared" si="240"/>
        <v>9520192</v>
      </c>
      <c r="E2246" s="95" t="str">
        <f t="shared" si="241"/>
        <v>可在背包、对局内替换使用【圣十字】进洞效果</v>
      </c>
      <c r="F2246" s="93">
        <v>27</v>
      </c>
      <c r="G2246" s="93">
        <v>0</v>
      </c>
      <c r="H2246" s="92" t="s">
        <v>4561</v>
      </c>
      <c r="I2246" s="92"/>
      <c r="J2246" s="92"/>
      <c r="K2246" s="78">
        <v>5</v>
      </c>
      <c r="L2246" s="93">
        <v>14</v>
      </c>
      <c r="M2246" s="92" t="s">
        <v>4562</v>
      </c>
      <c r="N2246" s="93">
        <v>1</v>
      </c>
      <c r="O2246" s="93">
        <v>0</v>
      </c>
    </row>
    <row r="2247" spans="1:15">
      <c r="A2247" s="78">
        <v>952020</v>
      </c>
      <c r="B2247" s="93">
        <f t="shared" si="239"/>
        <v>9520201</v>
      </c>
      <c r="C2247" s="92" t="s">
        <v>4563</v>
      </c>
      <c r="D2247" s="93">
        <f t="shared" si="240"/>
        <v>9520202</v>
      </c>
      <c r="E2247" s="95" t="str">
        <f t="shared" si="241"/>
        <v>可在背包、对局内替换使用【辉光】进洞效果</v>
      </c>
      <c r="F2247" s="93">
        <v>27</v>
      </c>
      <c r="G2247" s="93">
        <v>0</v>
      </c>
      <c r="H2247" s="92" t="s">
        <v>4564</v>
      </c>
      <c r="I2247" s="92"/>
      <c r="J2247" s="92"/>
      <c r="K2247" s="78">
        <v>5</v>
      </c>
      <c r="L2247" s="93">
        <v>14</v>
      </c>
      <c r="M2247" s="92" t="s">
        <v>4565</v>
      </c>
      <c r="N2247" s="93">
        <v>1</v>
      </c>
      <c r="O2247" s="93">
        <v>0</v>
      </c>
    </row>
    <row r="2248" spans="1:15">
      <c r="A2248" s="78">
        <v>952021</v>
      </c>
      <c r="B2248" s="93">
        <f t="shared" si="239"/>
        <v>9520211</v>
      </c>
      <c r="C2248" s="92" t="s">
        <v>4566</v>
      </c>
      <c r="D2248" s="93">
        <f t="shared" si="240"/>
        <v>9520212</v>
      </c>
      <c r="E2248" s="95" t="str">
        <f t="shared" si="241"/>
        <v>可在背包、对局内替换使用【焚炎】进洞效果</v>
      </c>
      <c r="F2248" s="93">
        <v>27</v>
      </c>
      <c r="G2248" s="93">
        <v>0</v>
      </c>
      <c r="H2248" s="92" t="s">
        <v>4567</v>
      </c>
      <c r="I2248" s="92"/>
      <c r="J2248" s="92"/>
      <c r="K2248" s="78">
        <v>5</v>
      </c>
      <c r="L2248" s="93">
        <v>14</v>
      </c>
      <c r="M2248" s="92" t="s">
        <v>4568</v>
      </c>
      <c r="N2248" s="93">
        <v>1</v>
      </c>
      <c r="O2248" s="93">
        <v>0</v>
      </c>
    </row>
    <row r="2249" spans="1:15">
      <c r="A2249" s="78">
        <v>952022</v>
      </c>
      <c r="B2249" s="93">
        <f t="shared" si="239"/>
        <v>9520221</v>
      </c>
      <c r="C2249" s="92" t="s">
        <v>4569</v>
      </c>
      <c r="D2249" s="93">
        <f t="shared" si="240"/>
        <v>9520222</v>
      </c>
      <c r="E2249" s="95" t="str">
        <f t="shared" si="241"/>
        <v>可在背包、对局内替换使用【星辰极光】进洞效果</v>
      </c>
      <c r="F2249" s="93">
        <v>27</v>
      </c>
      <c r="G2249" s="93">
        <v>0</v>
      </c>
      <c r="H2249" s="92" t="s">
        <v>3383</v>
      </c>
      <c r="I2249" s="92"/>
      <c r="J2249" s="92"/>
      <c r="K2249" s="78">
        <v>5</v>
      </c>
      <c r="L2249" s="93">
        <v>14</v>
      </c>
      <c r="M2249" s="92" t="s">
        <v>4570</v>
      </c>
      <c r="N2249" s="93">
        <v>1</v>
      </c>
      <c r="O2249" s="93">
        <v>0</v>
      </c>
    </row>
    <row r="2250" spans="1:15">
      <c r="A2250" s="78">
        <v>952023</v>
      </c>
      <c r="B2250" s="93">
        <f t="shared" si="239"/>
        <v>9520231</v>
      </c>
      <c r="C2250" s="92" t="s">
        <v>4571</v>
      </c>
      <c r="D2250" s="93">
        <f t="shared" si="240"/>
        <v>9520232</v>
      </c>
      <c r="E2250" s="95" t="str">
        <f t="shared" si="241"/>
        <v>可在背包、对局内替换使用【日冕】进洞效果</v>
      </c>
      <c r="F2250" s="93">
        <v>27</v>
      </c>
      <c r="G2250" s="93">
        <v>0</v>
      </c>
      <c r="H2250" s="92" t="s">
        <v>4572</v>
      </c>
      <c r="I2250" s="92"/>
      <c r="J2250" s="92"/>
      <c r="K2250" s="78">
        <v>5</v>
      </c>
      <c r="L2250" s="93">
        <v>14</v>
      </c>
      <c r="M2250" s="92" t="s">
        <v>4573</v>
      </c>
      <c r="N2250" s="93">
        <v>1</v>
      </c>
      <c r="O2250" s="93">
        <v>0</v>
      </c>
    </row>
    <row r="2251" spans="1:15">
      <c r="A2251" s="78">
        <v>952024</v>
      </c>
      <c r="B2251" s="93">
        <f t="shared" si="239"/>
        <v>9520241</v>
      </c>
      <c r="C2251" s="92" t="s">
        <v>4574</v>
      </c>
      <c r="D2251" s="93">
        <f t="shared" si="240"/>
        <v>9520242</v>
      </c>
      <c r="E2251" s="95" t="str">
        <f t="shared" si="241"/>
        <v>可在背包、对局内替换使用【捣蛋瓜】进洞效果</v>
      </c>
      <c r="F2251" s="93">
        <v>27</v>
      </c>
      <c r="G2251" s="93">
        <v>0</v>
      </c>
      <c r="H2251" s="92" t="s">
        <v>4575</v>
      </c>
      <c r="I2251" s="92"/>
      <c r="J2251" s="92"/>
      <c r="K2251" s="78">
        <v>5</v>
      </c>
      <c r="L2251" s="93">
        <v>14</v>
      </c>
      <c r="M2251" s="92" t="s">
        <v>4576</v>
      </c>
      <c r="N2251" s="93">
        <v>1</v>
      </c>
      <c r="O2251" s="93">
        <v>0</v>
      </c>
    </row>
    <row r="2252" spans="1:15">
      <c r="A2252" s="78">
        <v>952025</v>
      </c>
      <c r="B2252" s="93">
        <f t="shared" si="239"/>
        <v>9520251</v>
      </c>
      <c r="C2252" s="92" t="s">
        <v>4577</v>
      </c>
      <c r="D2252" s="93">
        <f t="shared" si="240"/>
        <v>9520252</v>
      </c>
      <c r="E2252" s="95" t="str">
        <f t="shared" si="241"/>
        <v>可在背包、对局内替换使用【甜蜜心情】进洞效果</v>
      </c>
      <c r="F2252" s="93">
        <v>27</v>
      </c>
      <c r="G2252" s="93">
        <v>0</v>
      </c>
      <c r="H2252" s="92" t="s">
        <v>4578</v>
      </c>
      <c r="I2252" s="92"/>
      <c r="J2252" s="92"/>
      <c r="K2252" s="78">
        <v>5</v>
      </c>
      <c r="L2252" s="93">
        <v>14</v>
      </c>
      <c r="M2252" s="92" t="s">
        <v>4579</v>
      </c>
      <c r="N2252" s="93">
        <v>1</v>
      </c>
      <c r="O2252" s="93">
        <v>0</v>
      </c>
    </row>
    <row r="2253" spans="1:15">
      <c r="A2253" s="78">
        <v>952026</v>
      </c>
      <c r="B2253" s="93">
        <f t="shared" si="239"/>
        <v>9520261</v>
      </c>
      <c r="C2253" s="92" t="s">
        <v>4580</v>
      </c>
      <c r="D2253" s="93">
        <f t="shared" si="240"/>
        <v>9520262</v>
      </c>
      <c r="E2253" s="95" t="str">
        <f t="shared" si="241"/>
        <v>可在背包、对局内替换使用【秋光叶落】进洞效果</v>
      </c>
      <c r="F2253" s="93">
        <v>27</v>
      </c>
      <c r="G2253" s="93">
        <v>0</v>
      </c>
      <c r="H2253" s="92" t="s">
        <v>4581</v>
      </c>
      <c r="I2253" s="92"/>
      <c r="J2253" s="92"/>
      <c r="K2253" s="78">
        <v>4</v>
      </c>
      <c r="L2253" s="93">
        <v>14</v>
      </c>
      <c r="M2253" s="92" t="s">
        <v>4582</v>
      </c>
      <c r="N2253" s="93">
        <v>1</v>
      </c>
      <c r="O2253" s="93">
        <v>0</v>
      </c>
    </row>
    <row r="2254" spans="1:15">
      <c r="A2254" s="78">
        <v>952027</v>
      </c>
      <c r="B2254" s="93">
        <f t="shared" si="239"/>
        <v>9520271</v>
      </c>
      <c r="C2254" s="92" t="s">
        <v>4583</v>
      </c>
      <c r="D2254" s="93">
        <f t="shared" si="240"/>
        <v>9520272</v>
      </c>
      <c r="E2254" s="95" t="str">
        <f t="shared" si="241"/>
        <v>可在背包、对局内替换使用【清莲绽放】进洞效果</v>
      </c>
      <c r="F2254" s="93">
        <v>27</v>
      </c>
      <c r="G2254" s="93">
        <v>0</v>
      </c>
      <c r="H2254" s="92" t="s">
        <v>4584</v>
      </c>
      <c r="I2254" s="92"/>
      <c r="J2254" s="92"/>
      <c r="K2254" s="78">
        <v>4</v>
      </c>
      <c r="L2254" s="93">
        <v>14</v>
      </c>
      <c r="M2254" s="92" t="s">
        <v>4585</v>
      </c>
      <c r="N2254" s="93">
        <v>1</v>
      </c>
      <c r="O2254" s="93">
        <v>0</v>
      </c>
    </row>
    <row r="2255" spans="1:15">
      <c r="A2255" s="78">
        <v>952028</v>
      </c>
      <c r="B2255" s="93">
        <f t="shared" si="239"/>
        <v>9520281</v>
      </c>
      <c r="C2255" s="92" t="s">
        <v>4586</v>
      </c>
      <c r="D2255" s="93">
        <f t="shared" si="240"/>
        <v>9520282</v>
      </c>
      <c r="E2255" s="95" t="str">
        <f t="shared" si="241"/>
        <v>可在背包、对局内替换使用【幻蝶】进洞效果</v>
      </c>
      <c r="F2255" s="93">
        <v>27</v>
      </c>
      <c r="G2255" s="93">
        <v>0</v>
      </c>
      <c r="H2255" s="92" t="s">
        <v>4587</v>
      </c>
      <c r="I2255" s="92"/>
      <c r="J2255" s="92"/>
      <c r="K2255" s="78">
        <v>5</v>
      </c>
      <c r="L2255" s="93">
        <v>14</v>
      </c>
      <c r="M2255" s="92" t="s">
        <v>4588</v>
      </c>
      <c r="N2255" s="93">
        <v>1</v>
      </c>
      <c r="O2255" s="93">
        <v>0</v>
      </c>
    </row>
    <row r="2256" spans="1:15">
      <c r="A2256" s="78">
        <v>952029</v>
      </c>
      <c r="B2256" s="93">
        <f t="shared" si="239"/>
        <v>9520291</v>
      </c>
      <c r="C2256" s="92" t="s">
        <v>4589</v>
      </c>
      <c r="D2256" s="93">
        <f t="shared" si="240"/>
        <v>9520292</v>
      </c>
      <c r="E2256" s="95" t="str">
        <f t="shared" si="241"/>
        <v>可在背包、对局内替换使用【幽冥火】进洞效果</v>
      </c>
      <c r="F2256" s="93">
        <v>27</v>
      </c>
      <c r="G2256" s="93">
        <v>0</v>
      </c>
      <c r="H2256" s="92" t="s">
        <v>4590</v>
      </c>
      <c r="I2256" s="92"/>
      <c r="J2256" s="92"/>
      <c r="K2256" s="78">
        <v>5</v>
      </c>
      <c r="L2256" s="93">
        <v>14</v>
      </c>
      <c r="M2256" s="92" t="s">
        <v>4591</v>
      </c>
      <c r="N2256" s="93">
        <v>1</v>
      </c>
      <c r="O2256" s="93">
        <v>0</v>
      </c>
    </row>
    <row r="2257" spans="1:15">
      <c r="A2257" s="78">
        <v>952030</v>
      </c>
      <c r="B2257" s="93">
        <f t="shared" si="239"/>
        <v>9520301</v>
      </c>
      <c r="C2257" s="92" t="s">
        <v>4592</v>
      </c>
      <c r="D2257" s="93">
        <f t="shared" si="240"/>
        <v>9520302</v>
      </c>
      <c r="E2257" s="95" t="str">
        <f t="shared" si="241"/>
        <v>可在背包、对局内替换使用【爆竹】进洞效果</v>
      </c>
      <c r="F2257" s="93">
        <v>27</v>
      </c>
      <c r="G2257" s="93">
        <v>0</v>
      </c>
      <c r="H2257" s="92" t="s">
        <v>4593</v>
      </c>
      <c r="I2257" s="92"/>
      <c r="J2257" s="92"/>
      <c r="K2257" s="78">
        <v>4</v>
      </c>
      <c r="L2257" s="93">
        <v>14</v>
      </c>
      <c r="M2257" s="92" t="s">
        <v>4594</v>
      </c>
      <c r="N2257" s="93">
        <v>1</v>
      </c>
      <c r="O2257" s="93">
        <v>0</v>
      </c>
    </row>
    <row r="2258" spans="1:15">
      <c r="A2258" s="78">
        <v>952031</v>
      </c>
      <c r="B2258" s="93">
        <f t="shared" si="239"/>
        <v>9520311</v>
      </c>
      <c r="C2258" s="92" t="s">
        <v>4595</v>
      </c>
      <c r="D2258" s="93">
        <f t="shared" si="240"/>
        <v>9520312</v>
      </c>
      <c r="E2258" s="95" t="str">
        <f t="shared" si="241"/>
        <v>可在背包、对局内替换使用【叮铃铛】进洞效果</v>
      </c>
      <c r="F2258" s="93">
        <v>27</v>
      </c>
      <c r="G2258" s="93">
        <v>0</v>
      </c>
      <c r="H2258" s="92" t="s">
        <v>4596</v>
      </c>
      <c r="I2258" s="92"/>
      <c r="J2258" s="92"/>
      <c r="K2258" s="78">
        <v>5</v>
      </c>
      <c r="L2258" s="93">
        <v>14</v>
      </c>
      <c r="M2258" s="95" t="s">
        <v>4597</v>
      </c>
      <c r="N2258" s="93">
        <v>1</v>
      </c>
      <c r="O2258" s="93">
        <v>0</v>
      </c>
    </row>
    <row r="2259" spans="1:15">
      <c r="A2259" s="78">
        <v>952032</v>
      </c>
      <c r="B2259" s="93">
        <f t="shared" si="239"/>
        <v>9520321</v>
      </c>
      <c r="C2259" s="92" t="s">
        <v>4598</v>
      </c>
      <c r="D2259" s="93">
        <f t="shared" si="240"/>
        <v>9520322</v>
      </c>
      <c r="E2259" s="95" t="str">
        <f t="shared" si="241"/>
        <v>可在背包、对局内替换使用【凤舞龙翔】进洞效果</v>
      </c>
      <c r="F2259" s="93">
        <v>27</v>
      </c>
      <c r="G2259" s="93">
        <v>0</v>
      </c>
      <c r="H2259" s="92" t="s">
        <v>4599</v>
      </c>
      <c r="I2259" s="92"/>
      <c r="J2259" s="92"/>
      <c r="K2259" s="78">
        <v>5</v>
      </c>
      <c r="L2259" s="93">
        <v>14</v>
      </c>
      <c r="M2259" s="117" t="s">
        <v>4600</v>
      </c>
      <c r="N2259" s="93">
        <v>1</v>
      </c>
      <c r="O2259" s="93">
        <v>0</v>
      </c>
    </row>
    <row r="2260" spans="1:15">
      <c r="A2260" s="78">
        <v>952033</v>
      </c>
      <c r="B2260" s="93">
        <f t="shared" si="239"/>
        <v>9520331</v>
      </c>
      <c r="C2260" s="92" t="s">
        <v>4601</v>
      </c>
      <c r="D2260" s="93">
        <f t="shared" si="240"/>
        <v>9520332</v>
      </c>
      <c r="E2260" s="95" t="str">
        <f t="shared" si="241"/>
        <v>可在背包、对局内替换使用【玉兔迎春】进洞效果</v>
      </c>
      <c r="F2260" s="93">
        <v>27</v>
      </c>
      <c r="G2260" s="93">
        <v>0</v>
      </c>
      <c r="H2260" s="92" t="s">
        <v>4602</v>
      </c>
      <c r="I2260" s="92"/>
      <c r="J2260" s="92"/>
      <c r="K2260" s="78">
        <v>5</v>
      </c>
      <c r="L2260" s="93">
        <v>14</v>
      </c>
      <c r="M2260" s="117" t="s">
        <v>4603</v>
      </c>
      <c r="N2260" s="93">
        <v>1</v>
      </c>
      <c r="O2260" s="93">
        <v>0</v>
      </c>
    </row>
    <row r="2261" spans="1:15">
      <c r="A2261" s="78">
        <v>952034</v>
      </c>
      <c r="B2261" s="93">
        <f t="shared" si="239"/>
        <v>9520341</v>
      </c>
      <c r="C2261" s="92" t="s">
        <v>4604</v>
      </c>
      <c r="D2261" s="93">
        <f t="shared" si="240"/>
        <v>9520342</v>
      </c>
      <c r="E2261" s="95" t="str">
        <f t="shared" si="241"/>
        <v>可在背包、对局内替换使用【玫瑰之恋】进洞效果</v>
      </c>
      <c r="F2261" s="93">
        <v>27</v>
      </c>
      <c r="G2261" s="93">
        <v>0</v>
      </c>
      <c r="H2261" s="92" t="s">
        <v>4605</v>
      </c>
      <c r="I2261" s="92"/>
      <c r="J2261" s="92"/>
      <c r="K2261" s="78">
        <v>5</v>
      </c>
      <c r="L2261" s="93">
        <v>14</v>
      </c>
      <c r="M2261" s="117" t="s">
        <v>4606</v>
      </c>
      <c r="N2261" s="93">
        <v>1</v>
      </c>
      <c r="O2261" s="93">
        <v>0</v>
      </c>
    </row>
    <row r="2262" spans="1:15">
      <c r="A2262" s="78">
        <v>952035</v>
      </c>
      <c r="B2262" s="93">
        <f t="shared" si="239"/>
        <v>9520351</v>
      </c>
      <c r="C2262" s="92" t="s">
        <v>4607</v>
      </c>
      <c r="D2262" s="93">
        <f t="shared" si="240"/>
        <v>9520352</v>
      </c>
      <c r="E2262" s="95" t="str">
        <f t="shared" si="241"/>
        <v>可在背包、对局内替换使用【皇龙啸】进洞效果</v>
      </c>
      <c r="F2262" s="93">
        <v>27</v>
      </c>
      <c r="G2262" s="93">
        <v>0</v>
      </c>
      <c r="H2262" s="92" t="s">
        <v>4608</v>
      </c>
      <c r="I2262" s="92"/>
      <c r="J2262" s="92"/>
      <c r="K2262" s="78">
        <v>5</v>
      </c>
      <c r="L2262" s="93">
        <v>14</v>
      </c>
      <c r="M2262" s="117" t="s">
        <v>4609</v>
      </c>
      <c r="N2262" s="93">
        <v>1</v>
      </c>
      <c r="O2262" s="93">
        <v>0</v>
      </c>
    </row>
    <row r="2263" spans="1:15">
      <c r="A2263" s="78">
        <v>952036</v>
      </c>
      <c r="B2263" s="93">
        <f t="shared" si="239"/>
        <v>9520361</v>
      </c>
      <c r="C2263" s="92" t="s">
        <v>4610</v>
      </c>
      <c r="D2263" s="93">
        <f t="shared" si="240"/>
        <v>9520362</v>
      </c>
      <c r="E2263" s="95" t="str">
        <f t="shared" si="241"/>
        <v>可在背包、对局内替换使用【荣光绽放】进洞效果</v>
      </c>
      <c r="F2263" s="93">
        <v>27</v>
      </c>
      <c r="G2263" s="93">
        <v>0</v>
      </c>
      <c r="H2263" s="92" t="s">
        <v>4611</v>
      </c>
      <c r="I2263" s="92"/>
      <c r="J2263" s="92"/>
      <c r="K2263" s="78">
        <v>5</v>
      </c>
      <c r="L2263" s="93">
        <v>14</v>
      </c>
      <c r="M2263" s="117" t="s">
        <v>4612</v>
      </c>
      <c r="N2263" s="93">
        <v>1</v>
      </c>
      <c r="O2263" s="93">
        <v>0</v>
      </c>
    </row>
    <row r="2264" spans="1:15">
      <c r="A2264" s="78">
        <v>952037</v>
      </c>
      <c r="B2264" s="93">
        <f t="shared" si="239"/>
        <v>9520371</v>
      </c>
      <c r="C2264" s="92" t="s">
        <v>4613</v>
      </c>
      <c r="D2264" s="93">
        <f t="shared" si="240"/>
        <v>9520372</v>
      </c>
      <c r="E2264" s="95" t="str">
        <f t="shared" si="241"/>
        <v>可在背包、对局内替换使用【纸上航线】进洞效果</v>
      </c>
      <c r="F2264" s="93">
        <v>27</v>
      </c>
      <c r="G2264" s="93">
        <v>0</v>
      </c>
      <c r="H2264" s="92" t="s">
        <v>4614</v>
      </c>
      <c r="I2264" s="92"/>
      <c r="J2264" s="92"/>
      <c r="K2264" s="78">
        <v>5</v>
      </c>
      <c r="L2264" s="93">
        <v>14</v>
      </c>
      <c r="M2264" s="117" t="s">
        <v>4615</v>
      </c>
      <c r="N2264" s="93">
        <v>1</v>
      </c>
      <c r="O2264" s="93">
        <v>0</v>
      </c>
    </row>
    <row r="2265" spans="1:15">
      <c r="A2265" s="78">
        <v>952038</v>
      </c>
      <c r="B2265" s="93">
        <f t="shared" si="239"/>
        <v>9520381</v>
      </c>
      <c r="C2265" s="92" t="s">
        <v>4616</v>
      </c>
      <c r="D2265" s="93">
        <f t="shared" si="240"/>
        <v>9520382</v>
      </c>
      <c r="E2265" s="95" t="str">
        <f t="shared" si="241"/>
        <v>可在背包、对局内替换使用【逆转时光】进洞效果</v>
      </c>
      <c r="F2265" s="93">
        <v>27</v>
      </c>
      <c r="G2265" s="93">
        <v>0</v>
      </c>
      <c r="H2265" s="92" t="s">
        <v>4617</v>
      </c>
      <c r="I2265" s="92"/>
      <c r="J2265" s="92"/>
      <c r="K2265" s="78">
        <v>5</v>
      </c>
      <c r="L2265" s="93">
        <v>14</v>
      </c>
      <c r="M2265" s="117" t="s">
        <v>4618</v>
      </c>
      <c r="N2265" s="93">
        <v>1</v>
      </c>
      <c r="O2265" s="93">
        <v>0</v>
      </c>
    </row>
    <row r="2266" spans="1:15">
      <c r="A2266" s="78">
        <v>952039</v>
      </c>
      <c r="B2266" s="93">
        <f t="shared" si="239"/>
        <v>9520391</v>
      </c>
      <c r="C2266" s="92" t="s">
        <v>4619</v>
      </c>
      <c r="D2266" s="93">
        <f t="shared" si="240"/>
        <v>9520392</v>
      </c>
      <c r="E2266" s="95" t="str">
        <f t="shared" si="241"/>
        <v>可在背包、对局内替换使用【燕环角粽】进洞效果</v>
      </c>
      <c r="F2266" s="93">
        <v>27</v>
      </c>
      <c r="G2266" s="93">
        <v>0</v>
      </c>
      <c r="H2266" s="92" t="s">
        <v>4620</v>
      </c>
      <c r="I2266" s="92"/>
      <c r="J2266" s="92"/>
      <c r="K2266" s="78">
        <v>5</v>
      </c>
      <c r="L2266" s="93">
        <v>14</v>
      </c>
      <c r="M2266" s="117" t="s">
        <v>4621</v>
      </c>
      <c r="N2266" s="93">
        <v>1</v>
      </c>
      <c r="O2266" s="93">
        <v>0</v>
      </c>
    </row>
    <row r="2267" spans="1:15" s="79" customFormat="1">
      <c r="A2267" s="80">
        <v>952040</v>
      </c>
      <c r="B2267" s="79">
        <f t="shared" si="239"/>
        <v>9520401</v>
      </c>
      <c r="C2267" s="101" t="s">
        <v>3860</v>
      </c>
      <c r="D2267" s="79">
        <f t="shared" si="240"/>
        <v>9520402</v>
      </c>
      <c r="E2267" s="146" t="str">
        <f t="shared" si="241"/>
        <v>可在背包、对局内替换使用【古风1】进洞效果</v>
      </c>
      <c r="F2267" s="79">
        <v>27</v>
      </c>
      <c r="G2267" s="79">
        <v>0</v>
      </c>
      <c r="H2267" s="101" t="s">
        <v>4622</v>
      </c>
      <c r="I2267" s="101"/>
      <c r="J2267" s="101"/>
      <c r="K2267" s="80">
        <v>5</v>
      </c>
      <c r="L2267" s="79">
        <v>14</v>
      </c>
      <c r="M2267" s="127" t="s">
        <v>4623</v>
      </c>
      <c r="N2267" s="79">
        <v>1</v>
      </c>
      <c r="O2267" s="79">
        <v>0</v>
      </c>
    </row>
    <row r="2268" spans="1:15" s="79" customFormat="1">
      <c r="A2268" s="80">
        <v>952041</v>
      </c>
      <c r="B2268" s="79">
        <f t="shared" si="239"/>
        <v>9520411</v>
      </c>
      <c r="C2268" s="101" t="s">
        <v>1393</v>
      </c>
      <c r="D2268" s="79">
        <f t="shared" si="240"/>
        <v>9520412</v>
      </c>
      <c r="E2268" s="146" t="str">
        <f t="shared" ref="E2268:E2270" si="242">"可在背包、对局内替换使用【"&amp;C2268&amp;"】进洞效果"</f>
        <v>可在背包、对局内替换使用【古风2】进洞效果</v>
      </c>
      <c r="F2268" s="79">
        <v>27</v>
      </c>
      <c r="G2268" s="79">
        <v>0</v>
      </c>
      <c r="H2268" s="101" t="s">
        <v>4624</v>
      </c>
      <c r="I2268" s="101"/>
      <c r="J2268" s="101"/>
      <c r="K2268" s="80">
        <v>5</v>
      </c>
      <c r="L2268" s="79">
        <v>14</v>
      </c>
      <c r="M2268" s="127" t="s">
        <v>4625</v>
      </c>
      <c r="N2268" s="79">
        <v>1</v>
      </c>
      <c r="O2268" s="79">
        <v>0</v>
      </c>
    </row>
    <row r="2269" spans="1:15" s="79" customFormat="1">
      <c r="A2269" s="80">
        <v>952042</v>
      </c>
      <c r="B2269" s="79">
        <f t="shared" si="239"/>
        <v>9520421</v>
      </c>
      <c r="C2269" s="101" t="s">
        <v>4626</v>
      </c>
      <c r="D2269" s="79">
        <f t="shared" si="240"/>
        <v>9520422</v>
      </c>
      <c r="E2269" s="146" t="str">
        <f t="shared" si="242"/>
        <v>可在背包、对局内替换使用【石破天惊】进洞效果</v>
      </c>
      <c r="F2269" s="79">
        <v>27</v>
      </c>
      <c r="G2269" s="79">
        <v>0</v>
      </c>
      <c r="H2269" s="101" t="s">
        <v>4627</v>
      </c>
      <c r="I2269" s="101"/>
      <c r="J2269" s="101"/>
      <c r="K2269" s="80">
        <v>5</v>
      </c>
      <c r="L2269" s="79">
        <v>14</v>
      </c>
      <c r="M2269" s="127" t="s">
        <v>4628</v>
      </c>
      <c r="N2269" s="79">
        <v>1</v>
      </c>
      <c r="O2269" s="79">
        <v>0</v>
      </c>
    </row>
    <row r="2270" spans="1:15" s="79" customFormat="1">
      <c r="A2270" s="80">
        <v>952043</v>
      </c>
      <c r="B2270" s="79">
        <f t="shared" si="239"/>
        <v>9520431</v>
      </c>
      <c r="C2270" s="101" t="s">
        <v>4629</v>
      </c>
      <c r="D2270" s="79">
        <f t="shared" si="240"/>
        <v>9520432</v>
      </c>
      <c r="E2270" s="146" t="str">
        <f t="shared" si="242"/>
        <v>可在背包、对局内替换使用【烘云托月】进洞效果</v>
      </c>
      <c r="F2270" s="79">
        <v>27</v>
      </c>
      <c r="G2270" s="79">
        <v>0</v>
      </c>
      <c r="H2270" s="101" t="s">
        <v>4630</v>
      </c>
      <c r="I2270" s="101"/>
      <c r="J2270" s="101"/>
      <c r="K2270" s="80">
        <v>5</v>
      </c>
      <c r="L2270" s="79">
        <v>14</v>
      </c>
      <c r="M2270" s="127" t="s">
        <v>4631</v>
      </c>
      <c r="N2270" s="79">
        <v>1</v>
      </c>
      <c r="O2270" s="79">
        <v>0</v>
      </c>
    </row>
    <row r="2271" spans="1:15" s="79" customFormat="1">
      <c r="A2271" s="80">
        <v>952044</v>
      </c>
      <c r="B2271" s="79">
        <f t="shared" si="239"/>
        <v>9520441</v>
      </c>
      <c r="C2271" s="101" t="s">
        <v>4632</v>
      </c>
      <c r="D2271" s="79">
        <f t="shared" si="240"/>
        <v>9520442</v>
      </c>
      <c r="E2271" s="146" t="str">
        <f t="shared" ref="E2271" si="243">"可在背包、对局内替换使用【"&amp;C2271&amp;"】进洞效果"</f>
        <v>可在背包、对局内替换使用【时菊耀秋】进洞效果</v>
      </c>
      <c r="F2271" s="79">
        <v>27</v>
      </c>
      <c r="G2271" s="79">
        <v>0</v>
      </c>
      <c r="H2271" s="101" t="s">
        <v>4633</v>
      </c>
      <c r="I2271" s="101"/>
      <c r="J2271" s="101"/>
      <c r="K2271" s="80">
        <v>5</v>
      </c>
      <c r="L2271" s="79">
        <v>14</v>
      </c>
      <c r="M2271" s="127" t="s">
        <v>4634</v>
      </c>
      <c r="N2271" s="79">
        <v>1</v>
      </c>
      <c r="O2271" s="79">
        <v>0</v>
      </c>
    </row>
    <row r="2272" spans="1:15" s="79" customFormat="1">
      <c r="A2272" s="80">
        <v>952045</v>
      </c>
      <c r="B2272" s="79">
        <f t="shared" ref="B2272" si="244">A2272*10+1</f>
        <v>9520451</v>
      </c>
      <c r="C2272" s="101" t="s">
        <v>4635</v>
      </c>
      <c r="D2272" s="79">
        <f t="shared" ref="D2272" si="245">A2272*10+2</f>
        <v>9520452</v>
      </c>
      <c r="E2272" s="146" t="str">
        <f t="shared" ref="E2272" si="246">"可在背包、对局内替换使用【"&amp;C2272&amp;"】进洞效果"</f>
        <v>可在背包、对局内替换使用【紫魅流光】进洞效果</v>
      </c>
      <c r="F2272" s="79">
        <v>27</v>
      </c>
      <c r="G2272" s="79">
        <v>0</v>
      </c>
      <c r="H2272" s="101" t="s">
        <v>4636</v>
      </c>
      <c r="I2272" s="101"/>
      <c r="J2272" s="101"/>
      <c r="K2272" s="80">
        <v>5</v>
      </c>
      <c r="L2272" s="79">
        <v>14</v>
      </c>
      <c r="M2272" s="127" t="s">
        <v>4637</v>
      </c>
      <c r="N2272" s="79">
        <v>1</v>
      </c>
      <c r="O2272" s="79">
        <v>0</v>
      </c>
    </row>
    <row r="2273" spans="1:16" s="79" customFormat="1">
      <c r="A2273" s="80">
        <v>952046</v>
      </c>
      <c r="B2273" s="79">
        <f t="shared" ref="B2273" si="247">A2273*10+1</f>
        <v>9520461</v>
      </c>
      <c r="C2273" s="101" t="s">
        <v>4638</v>
      </c>
      <c r="D2273" s="79">
        <f t="shared" ref="D2273" si="248">A2273*10+2</f>
        <v>9520462</v>
      </c>
      <c r="E2273" s="146" t="str">
        <f t="shared" ref="E2273" si="249">"可在背包、对局内替换使用【"&amp;C2273&amp;"】进洞效果"</f>
        <v>可在背包、对局内替换使用【万家灯火】进洞效果</v>
      </c>
      <c r="F2273" s="79">
        <v>27</v>
      </c>
      <c r="G2273" s="79">
        <v>0</v>
      </c>
      <c r="H2273" s="101" t="s">
        <v>4639</v>
      </c>
      <c r="I2273" s="101"/>
      <c r="J2273" s="101"/>
      <c r="K2273" s="80">
        <v>5</v>
      </c>
      <c r="L2273" s="79">
        <v>14</v>
      </c>
      <c r="M2273" s="127" t="s">
        <v>4640</v>
      </c>
      <c r="N2273" s="79">
        <v>1</v>
      </c>
      <c r="O2273" s="79">
        <v>0</v>
      </c>
    </row>
    <row r="2274" spans="1:16" s="79" customFormat="1">
      <c r="A2274" s="80">
        <v>952047</v>
      </c>
      <c r="B2274" s="79">
        <f t="shared" ref="B2274" si="250">A2274*10+1</f>
        <v>9520471</v>
      </c>
      <c r="C2274" s="101" t="s">
        <v>5533</v>
      </c>
      <c r="D2274" s="79">
        <f t="shared" ref="D2274" si="251">A2274*10+2</f>
        <v>9520472</v>
      </c>
      <c r="E2274" s="146" t="str">
        <f t="shared" ref="E2274" si="252">"可在背包、对局内替换使用【"&amp;C2274&amp;"】进洞效果"</f>
        <v>可在背包、对局内替换使用【炽烈金光】进洞效果</v>
      </c>
      <c r="F2274" s="79">
        <v>27</v>
      </c>
      <c r="G2274" s="79">
        <v>0</v>
      </c>
      <c r="H2274" s="101" t="s">
        <v>4641</v>
      </c>
      <c r="I2274" s="101"/>
      <c r="J2274" s="101"/>
      <c r="K2274" s="80">
        <v>5</v>
      </c>
      <c r="L2274" s="79">
        <v>14</v>
      </c>
      <c r="M2274" s="127" t="s">
        <v>4642</v>
      </c>
      <c r="N2274" s="79">
        <v>1</v>
      </c>
      <c r="O2274" s="79">
        <v>0</v>
      </c>
    </row>
    <row r="2275" spans="1:16" s="79" customFormat="1">
      <c r="A2275" s="80">
        <v>952048</v>
      </c>
      <c r="B2275" s="79">
        <f t="shared" ref="B2275" si="253">A2275*10+1</f>
        <v>9520481</v>
      </c>
      <c r="C2275" s="101" t="s">
        <v>5531</v>
      </c>
      <c r="D2275" s="79">
        <f t="shared" ref="D2275" si="254">A2275*10+2</f>
        <v>9520482</v>
      </c>
      <c r="E2275" s="146" t="str">
        <f t="shared" ref="E2275" si="255">"可在背包、对局内替换使用【"&amp;C2275&amp;"】进洞效果"</f>
        <v>可在背包、对局内替换使用【魔镰进洞】进洞效果</v>
      </c>
      <c r="F2275" s="79">
        <v>27</v>
      </c>
      <c r="G2275" s="79">
        <v>0</v>
      </c>
      <c r="H2275" s="101" t="s">
        <v>4643</v>
      </c>
      <c r="I2275" s="101"/>
      <c r="J2275" s="101"/>
      <c r="K2275" s="80">
        <v>5</v>
      </c>
      <c r="L2275" s="79">
        <v>14</v>
      </c>
      <c r="M2275" s="127" t="s">
        <v>5592</v>
      </c>
      <c r="N2275" s="79">
        <v>1</v>
      </c>
      <c r="O2275" s="79">
        <v>0</v>
      </c>
    </row>
    <row r="2276" spans="1:16" s="79" customFormat="1">
      <c r="A2276" s="79">
        <v>960001</v>
      </c>
      <c r="B2276" s="79">
        <v>9600011</v>
      </c>
      <c r="C2276" s="79" t="s">
        <v>4644</v>
      </c>
      <c r="D2276" s="79">
        <v>9600012</v>
      </c>
      <c r="E2276" s="146" t="str">
        <f t="shared" ref="E2276:E2281" si="256">"可在背包、对局内替换使用【"&amp;C2276&amp;"】母球"</f>
        <v>可在背包、对局内替换使用【经典母球】母球</v>
      </c>
      <c r="F2276" s="79">
        <v>28</v>
      </c>
      <c r="G2276" s="79">
        <v>0</v>
      </c>
      <c r="H2276" s="79" t="s">
        <v>4645</v>
      </c>
      <c r="K2276" s="79">
        <v>3</v>
      </c>
      <c r="L2276" s="79">
        <v>15</v>
      </c>
      <c r="M2276" s="146" t="s">
        <v>4646</v>
      </c>
      <c r="N2276" s="79">
        <v>1</v>
      </c>
      <c r="O2276" s="79">
        <v>0</v>
      </c>
    </row>
    <row r="2277" spans="1:16" s="79" customFormat="1">
      <c r="A2277" s="79">
        <v>960002</v>
      </c>
      <c r="B2277" s="79">
        <v>9600021</v>
      </c>
      <c r="C2277" s="79" t="s">
        <v>4647</v>
      </c>
      <c r="D2277" s="79">
        <v>9600022</v>
      </c>
      <c r="E2277" s="146" t="str">
        <f t="shared" si="256"/>
        <v>可在背包、对局内替换使用【足球】母球</v>
      </c>
      <c r="F2277" s="79">
        <v>28</v>
      </c>
      <c r="G2277" s="79">
        <v>0</v>
      </c>
      <c r="H2277" s="79" t="s">
        <v>4648</v>
      </c>
      <c r="K2277" s="79">
        <v>4</v>
      </c>
      <c r="L2277" s="79">
        <v>15</v>
      </c>
      <c r="M2277" s="146" t="s">
        <v>4649</v>
      </c>
      <c r="N2277" s="79">
        <v>1</v>
      </c>
      <c r="O2277" s="79">
        <v>0</v>
      </c>
    </row>
    <row r="2278" spans="1:16" s="79" customFormat="1">
      <c r="A2278" s="79">
        <v>960003</v>
      </c>
      <c r="B2278" s="79">
        <v>9600031</v>
      </c>
      <c r="C2278" s="79" t="s">
        <v>4650</v>
      </c>
      <c r="D2278" s="79">
        <v>9600032</v>
      </c>
      <c r="E2278" s="146" t="str">
        <f t="shared" si="256"/>
        <v>可在背包、对局内替换使用【闪耀足球】母球</v>
      </c>
      <c r="F2278" s="79">
        <v>28</v>
      </c>
      <c r="G2278" s="79">
        <v>0</v>
      </c>
      <c r="H2278" s="79" t="s">
        <v>4651</v>
      </c>
      <c r="K2278" s="79">
        <v>5</v>
      </c>
      <c r="L2278" s="79">
        <v>15</v>
      </c>
      <c r="M2278" s="79" t="s">
        <v>4652</v>
      </c>
      <c r="N2278" s="79">
        <v>1</v>
      </c>
      <c r="O2278" s="79">
        <v>0</v>
      </c>
      <c r="P2278" s="107"/>
    </row>
    <row r="2279" spans="1:16">
      <c r="A2279" s="93">
        <v>960004</v>
      </c>
      <c r="B2279" s="93">
        <v>9600041</v>
      </c>
      <c r="C2279" s="93" t="s">
        <v>4653</v>
      </c>
      <c r="D2279" s="93">
        <v>9600042</v>
      </c>
      <c r="E2279" s="95" t="str">
        <f t="shared" si="256"/>
        <v>可在背包、对局内替换使用【圣诞彩球】母球</v>
      </c>
      <c r="F2279" s="93">
        <v>28</v>
      </c>
      <c r="G2279" s="93">
        <v>0</v>
      </c>
      <c r="H2279" s="93" t="s">
        <v>4654</v>
      </c>
      <c r="K2279" s="93">
        <v>5</v>
      </c>
      <c r="L2279" s="93">
        <v>15</v>
      </c>
      <c r="M2279" s="93" t="s">
        <v>4655</v>
      </c>
      <c r="N2279" s="93">
        <v>1</v>
      </c>
      <c r="O2279" s="93">
        <v>0</v>
      </c>
      <c r="P2279" s="107"/>
    </row>
    <row r="2280" spans="1:16">
      <c r="A2280" s="93">
        <v>960005</v>
      </c>
      <c r="B2280" s="93">
        <f t="shared" ref="B2280:B2346" si="257">A2280*10+1</f>
        <v>9600051</v>
      </c>
      <c r="C2280" s="92" t="s">
        <v>4656</v>
      </c>
      <c r="D2280" s="93">
        <f t="shared" ref="D2280:D2346" si="258">A2280*10+2</f>
        <v>9600052</v>
      </c>
      <c r="E2280" s="95" t="str">
        <f t="shared" si="256"/>
        <v>可在背包、对局内替换使用【绣球】母球</v>
      </c>
      <c r="F2280" s="93">
        <v>28</v>
      </c>
      <c r="G2280" s="93">
        <v>0</v>
      </c>
      <c r="H2280" s="93" t="s">
        <v>4657</v>
      </c>
      <c r="K2280" s="93">
        <v>5</v>
      </c>
      <c r="L2280" s="93">
        <v>15</v>
      </c>
      <c r="M2280" s="93" t="s">
        <v>4658</v>
      </c>
      <c r="N2280" s="93">
        <v>1</v>
      </c>
      <c r="O2280" s="93">
        <v>0</v>
      </c>
      <c r="P2280" s="107"/>
    </row>
    <row r="2281" spans="1:16">
      <c r="A2281" s="93">
        <v>960006</v>
      </c>
      <c r="B2281" s="93">
        <f t="shared" si="257"/>
        <v>9600061</v>
      </c>
      <c r="C2281" s="92" t="s">
        <v>4659</v>
      </c>
      <c r="D2281" s="93">
        <f t="shared" si="258"/>
        <v>9600062</v>
      </c>
      <c r="E2281" s="95" t="str">
        <f t="shared" si="256"/>
        <v>可在背包、对局内替换使用【劳动荣誉】母球</v>
      </c>
      <c r="F2281" s="93">
        <v>28</v>
      </c>
      <c r="G2281" s="93">
        <v>0</v>
      </c>
      <c r="H2281" s="93" t="s">
        <v>4660</v>
      </c>
      <c r="K2281" s="93">
        <v>5</v>
      </c>
      <c r="L2281" s="93">
        <v>15</v>
      </c>
      <c r="M2281" s="93" t="s">
        <v>4661</v>
      </c>
      <c r="N2281" s="93">
        <v>1</v>
      </c>
      <c r="O2281" s="93">
        <v>0</v>
      </c>
      <c r="P2281" s="107"/>
    </row>
    <row r="2282" spans="1:16">
      <c r="A2282" s="93">
        <v>960007</v>
      </c>
      <c r="B2282" s="93">
        <f t="shared" si="257"/>
        <v>9600071</v>
      </c>
      <c r="C2282" s="92" t="s">
        <v>4662</v>
      </c>
      <c r="D2282" s="93">
        <f t="shared" si="258"/>
        <v>9600072</v>
      </c>
      <c r="E2282" s="95" t="s">
        <v>4663</v>
      </c>
      <c r="F2282" s="93">
        <v>28</v>
      </c>
      <c r="G2282" s="93">
        <v>0</v>
      </c>
      <c r="H2282" s="93" t="s">
        <v>4664</v>
      </c>
      <c r="K2282" s="93">
        <v>5</v>
      </c>
      <c r="L2282" s="93">
        <v>15</v>
      </c>
      <c r="M2282" s="93" t="s">
        <v>4665</v>
      </c>
      <c r="N2282" s="93">
        <v>1</v>
      </c>
      <c r="O2282" s="93">
        <v>0</v>
      </c>
      <c r="P2282" s="98"/>
    </row>
    <row r="2283" spans="1:16" s="79" customFormat="1">
      <c r="A2283" s="79">
        <v>960008</v>
      </c>
      <c r="B2283" s="79">
        <f t="shared" si="257"/>
        <v>9600081</v>
      </c>
      <c r="C2283" s="101" t="s">
        <v>4666</v>
      </c>
      <c r="D2283" s="79">
        <f t="shared" si="258"/>
        <v>9600082</v>
      </c>
      <c r="E2283" s="146"/>
      <c r="P2283" s="107"/>
    </row>
    <row r="2284" spans="1:16" s="79" customFormat="1">
      <c r="A2284" s="79">
        <v>960009</v>
      </c>
      <c r="B2284" s="79">
        <f t="shared" si="257"/>
        <v>9600091</v>
      </c>
      <c r="C2284" s="101" t="s">
        <v>4667</v>
      </c>
      <c r="D2284" s="79">
        <f t="shared" si="258"/>
        <v>9600092</v>
      </c>
      <c r="E2284" s="146" t="s">
        <v>4668</v>
      </c>
      <c r="F2284" s="79">
        <v>28</v>
      </c>
      <c r="G2284" s="79">
        <v>0</v>
      </c>
      <c r="H2284" s="79" t="s">
        <v>4669</v>
      </c>
      <c r="K2284" s="79">
        <v>5</v>
      </c>
      <c r="L2284" s="79">
        <v>15</v>
      </c>
      <c r="M2284" s="79" t="s">
        <v>4670</v>
      </c>
      <c r="N2284" s="79">
        <v>1</v>
      </c>
      <c r="O2284" s="79">
        <v>0</v>
      </c>
      <c r="P2284" s="107"/>
    </row>
    <row r="2285" spans="1:16" s="79" customFormat="1">
      <c r="A2285" s="79">
        <v>960010</v>
      </c>
      <c r="B2285" s="79">
        <f t="shared" si="257"/>
        <v>9600101</v>
      </c>
      <c r="C2285" s="101" t="s">
        <v>4671</v>
      </c>
      <c r="D2285" s="79">
        <f t="shared" si="258"/>
        <v>9600102</v>
      </c>
      <c r="E2285" s="146" t="s">
        <v>4672</v>
      </c>
      <c r="F2285" s="79">
        <v>28</v>
      </c>
      <c r="G2285" s="79">
        <v>0</v>
      </c>
      <c r="H2285" s="79" t="s">
        <v>4673</v>
      </c>
      <c r="K2285" s="79">
        <v>5</v>
      </c>
      <c r="L2285" s="79">
        <v>15</v>
      </c>
      <c r="M2285" s="79" t="s">
        <v>4674</v>
      </c>
      <c r="N2285" s="79">
        <v>1</v>
      </c>
      <c r="O2285" s="79">
        <v>0</v>
      </c>
      <c r="P2285" s="107"/>
    </row>
    <row r="2286" spans="1:16" s="79" customFormat="1">
      <c r="A2286" s="79">
        <v>960011</v>
      </c>
      <c r="B2286" s="79">
        <f t="shared" ref="B2286" si="259">A2286*10+1</f>
        <v>9600111</v>
      </c>
      <c r="C2286" s="101" t="s">
        <v>4675</v>
      </c>
      <c r="D2286" s="79">
        <f t="shared" ref="D2286" si="260">A2286*10+2</f>
        <v>9600112</v>
      </c>
      <c r="E2286" s="146" t="str">
        <f t="shared" ref="E2286" si="261">"可在背包、对局内替换使用【"&amp;C2286&amp;"】母球"</f>
        <v>可在背包、对局内替换使用【元旦祈愿】母球</v>
      </c>
      <c r="F2286" s="79">
        <v>28</v>
      </c>
      <c r="G2286" s="79">
        <v>0</v>
      </c>
      <c r="H2286" s="79" t="s">
        <v>4676</v>
      </c>
      <c r="K2286" s="79">
        <v>5</v>
      </c>
      <c r="L2286" s="79">
        <v>15</v>
      </c>
      <c r="M2286" s="79" t="s">
        <v>4677</v>
      </c>
      <c r="N2286" s="79">
        <v>1</v>
      </c>
      <c r="O2286" s="79">
        <v>0</v>
      </c>
      <c r="P2286" s="107"/>
    </row>
    <row r="2287" spans="1:16" s="79" customFormat="1">
      <c r="A2287" s="79">
        <v>960012</v>
      </c>
      <c r="B2287" s="79">
        <f t="shared" ref="B2287:B2288" si="262">A2287*10+1</f>
        <v>9600121</v>
      </c>
      <c r="C2287" s="101" t="s">
        <v>5534</v>
      </c>
      <c r="D2287" s="79">
        <f t="shared" ref="D2287:D2288" si="263">A2287*10+2</f>
        <v>9600122</v>
      </c>
      <c r="E2287" s="146" t="str">
        <f t="shared" ref="E2287" si="264">"可在背包、对局内替换使用【"&amp;C2287&amp;"】母球"</f>
        <v>可在背包、对局内替换使用【盘龙】母球</v>
      </c>
      <c r="F2287" s="79">
        <v>28</v>
      </c>
      <c r="G2287" s="79">
        <v>0</v>
      </c>
      <c r="H2287" s="79" t="s">
        <v>4678</v>
      </c>
      <c r="K2287" s="79">
        <v>5</v>
      </c>
      <c r="L2287" s="79">
        <v>15</v>
      </c>
      <c r="M2287" s="79" t="s">
        <v>4679</v>
      </c>
      <c r="N2287" s="79">
        <v>1</v>
      </c>
      <c r="O2287" s="79">
        <v>0</v>
      </c>
      <c r="P2287" s="107"/>
    </row>
    <row r="2288" spans="1:16" s="79" customFormat="1">
      <c r="A2288" s="79">
        <v>970052</v>
      </c>
      <c r="B2288" s="79">
        <f t="shared" si="262"/>
        <v>9700521</v>
      </c>
      <c r="C2288" s="101" t="s">
        <v>5499</v>
      </c>
      <c r="D2288" s="79">
        <f t="shared" si="263"/>
        <v>9700522</v>
      </c>
      <c r="E2288" s="79" t="s">
        <v>5500</v>
      </c>
      <c r="F2288" s="79">
        <v>5</v>
      </c>
      <c r="G2288" s="79">
        <v>4</v>
      </c>
      <c r="H2288" s="79" t="s">
        <v>5501</v>
      </c>
      <c r="K2288" s="79">
        <v>4</v>
      </c>
      <c r="L2288" s="79">
        <v>8</v>
      </c>
      <c r="M2288" s="79" t="s">
        <v>5502</v>
      </c>
      <c r="N2288" s="79">
        <v>0</v>
      </c>
      <c r="O2288" s="79">
        <v>0</v>
      </c>
      <c r="P2288" s="107"/>
    </row>
    <row r="2289" spans="1:24" s="79" customFormat="1">
      <c r="A2289" s="80">
        <v>970071</v>
      </c>
      <c r="B2289" s="79">
        <f t="shared" si="257"/>
        <v>9700711</v>
      </c>
      <c r="C2289" s="79" t="s">
        <v>4680</v>
      </c>
      <c r="D2289" s="79">
        <f t="shared" si="258"/>
        <v>9700712</v>
      </c>
      <c r="E2289" s="79" t="s">
        <v>4681</v>
      </c>
      <c r="F2289" s="79">
        <v>5</v>
      </c>
      <c r="G2289" s="79">
        <v>4</v>
      </c>
      <c r="H2289" s="79" t="s">
        <v>4436</v>
      </c>
      <c r="I2289" s="101"/>
      <c r="J2289" s="101"/>
      <c r="K2289" s="79">
        <v>4</v>
      </c>
      <c r="L2289" s="79">
        <v>8</v>
      </c>
      <c r="M2289" s="127" t="s">
        <v>4682</v>
      </c>
      <c r="N2289" s="79">
        <v>0</v>
      </c>
      <c r="O2289" s="79">
        <v>0</v>
      </c>
      <c r="P2289" s="107"/>
    </row>
    <row r="2290" spans="1:24" s="79" customFormat="1">
      <c r="A2290" s="80">
        <v>970072</v>
      </c>
      <c r="B2290" s="79">
        <f t="shared" si="257"/>
        <v>9700721</v>
      </c>
      <c r="C2290" s="101" t="s">
        <v>4683</v>
      </c>
      <c r="D2290" s="79">
        <f t="shared" si="258"/>
        <v>9700722</v>
      </c>
      <c r="E2290" s="79" t="s">
        <v>4684</v>
      </c>
      <c r="F2290" s="79">
        <v>5</v>
      </c>
      <c r="G2290" s="79">
        <v>4</v>
      </c>
      <c r="H2290" s="79" t="s">
        <v>4436</v>
      </c>
      <c r="I2290" s="101"/>
      <c r="J2290" s="101"/>
      <c r="K2290" s="79">
        <v>4</v>
      </c>
      <c r="L2290" s="79">
        <v>8</v>
      </c>
      <c r="M2290" s="127" t="s">
        <v>4685</v>
      </c>
      <c r="N2290" s="79">
        <v>0</v>
      </c>
      <c r="O2290" s="79">
        <v>0</v>
      </c>
      <c r="P2290" s="107"/>
    </row>
    <row r="2291" spans="1:24">
      <c r="A2291" s="78">
        <v>970073</v>
      </c>
      <c r="B2291" s="93">
        <f t="shared" si="257"/>
        <v>9700731</v>
      </c>
      <c r="C2291" s="92" t="s">
        <v>4686</v>
      </c>
      <c r="D2291" s="93">
        <f t="shared" si="258"/>
        <v>9700732</v>
      </c>
      <c r="E2291" s="79" t="s">
        <v>4687</v>
      </c>
      <c r="F2291" s="79">
        <v>5</v>
      </c>
      <c r="G2291" s="79">
        <v>4</v>
      </c>
      <c r="H2291" s="93" t="s">
        <v>4436</v>
      </c>
      <c r="I2291" s="92"/>
      <c r="J2291" s="92"/>
      <c r="K2291" s="79">
        <v>4</v>
      </c>
      <c r="L2291" s="79">
        <v>8</v>
      </c>
      <c r="M2291" s="127" t="s">
        <v>4688</v>
      </c>
      <c r="N2291" s="79">
        <v>0</v>
      </c>
      <c r="O2291" s="79">
        <v>0</v>
      </c>
      <c r="P2291" s="107"/>
    </row>
    <row r="2292" spans="1:24">
      <c r="A2292" s="78">
        <v>970074</v>
      </c>
      <c r="B2292" s="93">
        <f t="shared" si="257"/>
        <v>9700741</v>
      </c>
      <c r="C2292" s="92" t="s">
        <v>4689</v>
      </c>
      <c r="D2292" s="93">
        <f t="shared" si="258"/>
        <v>9700742</v>
      </c>
      <c r="E2292" s="79" t="s">
        <v>4690</v>
      </c>
      <c r="F2292" s="79">
        <v>5</v>
      </c>
      <c r="G2292" s="79">
        <v>4</v>
      </c>
      <c r="H2292" s="93" t="s">
        <v>4436</v>
      </c>
      <c r="I2292" s="92"/>
      <c r="J2292" s="92"/>
      <c r="K2292" s="79">
        <v>4</v>
      </c>
      <c r="L2292" s="79">
        <v>8</v>
      </c>
      <c r="M2292" s="127" t="s">
        <v>4691</v>
      </c>
      <c r="N2292" s="79">
        <v>0</v>
      </c>
      <c r="O2292" s="79">
        <v>0</v>
      </c>
      <c r="P2292" s="107"/>
    </row>
    <row r="2293" spans="1:24">
      <c r="A2293" s="78">
        <v>970081</v>
      </c>
      <c r="B2293" s="93">
        <f t="shared" si="257"/>
        <v>9700811</v>
      </c>
      <c r="C2293" s="93" t="s">
        <v>4692</v>
      </c>
      <c r="D2293" s="93">
        <f t="shared" si="258"/>
        <v>9700812</v>
      </c>
      <c r="E2293" s="79" t="s">
        <v>4693</v>
      </c>
      <c r="F2293" s="79">
        <v>5</v>
      </c>
      <c r="G2293" s="79">
        <v>4</v>
      </c>
      <c r="H2293" s="93" t="s">
        <v>4440</v>
      </c>
      <c r="I2293" s="92"/>
      <c r="J2293" s="92"/>
      <c r="K2293" s="79">
        <v>5</v>
      </c>
      <c r="L2293" s="79">
        <v>8</v>
      </c>
      <c r="M2293" s="127" t="s">
        <v>4694</v>
      </c>
      <c r="N2293" s="79">
        <v>0</v>
      </c>
      <c r="O2293" s="79">
        <v>0</v>
      </c>
      <c r="P2293" s="107"/>
    </row>
    <row r="2294" spans="1:24">
      <c r="A2294" s="78">
        <v>970082</v>
      </c>
      <c r="B2294" s="93">
        <f t="shared" si="257"/>
        <v>9700821</v>
      </c>
      <c r="C2294" s="93" t="s">
        <v>4695</v>
      </c>
      <c r="D2294" s="93">
        <f t="shared" si="258"/>
        <v>9700822</v>
      </c>
      <c r="E2294" s="79" t="s">
        <v>4696</v>
      </c>
      <c r="F2294" s="79">
        <v>5</v>
      </c>
      <c r="G2294" s="79">
        <v>4</v>
      </c>
      <c r="H2294" s="93" t="s">
        <v>4440</v>
      </c>
      <c r="I2294" s="92"/>
      <c r="J2294" s="92"/>
      <c r="K2294" s="79">
        <v>5</v>
      </c>
      <c r="L2294" s="79">
        <v>8</v>
      </c>
      <c r="M2294" s="127" t="s">
        <v>4697</v>
      </c>
      <c r="N2294" s="79">
        <v>0</v>
      </c>
      <c r="O2294" s="79">
        <v>0</v>
      </c>
      <c r="P2294" s="107"/>
    </row>
    <row r="2295" spans="1:24">
      <c r="A2295" s="78">
        <v>970083</v>
      </c>
      <c r="B2295" s="93">
        <f t="shared" si="257"/>
        <v>9700831</v>
      </c>
      <c r="C2295" s="93" t="s">
        <v>4698</v>
      </c>
      <c r="D2295" s="93">
        <f t="shared" si="258"/>
        <v>9700832</v>
      </c>
      <c r="E2295" s="79" t="s">
        <v>4699</v>
      </c>
      <c r="F2295" s="79">
        <v>5</v>
      </c>
      <c r="G2295" s="79">
        <v>4</v>
      </c>
      <c r="H2295" s="93" t="s">
        <v>4440</v>
      </c>
      <c r="I2295" s="92"/>
      <c r="J2295" s="92"/>
      <c r="K2295" s="79">
        <v>5</v>
      </c>
      <c r="L2295" s="79">
        <v>8</v>
      </c>
      <c r="M2295" s="127" t="s">
        <v>4700</v>
      </c>
      <c r="N2295" s="79">
        <v>0</v>
      </c>
      <c r="O2295" s="79">
        <v>0</v>
      </c>
      <c r="P2295" s="107"/>
      <c r="S2295" s="92"/>
      <c r="T2295" s="92"/>
      <c r="U2295" s="92"/>
      <c r="V2295" s="92"/>
      <c r="W2295" s="92"/>
      <c r="X2295" s="92"/>
    </row>
    <row r="2296" spans="1:24">
      <c r="A2296" s="78">
        <v>970084</v>
      </c>
      <c r="B2296" s="93">
        <f t="shared" si="257"/>
        <v>9700841</v>
      </c>
      <c r="C2296" s="93" t="s">
        <v>4701</v>
      </c>
      <c r="D2296" s="93">
        <f t="shared" si="258"/>
        <v>9700842</v>
      </c>
      <c r="E2296" s="79" t="s">
        <v>4702</v>
      </c>
      <c r="F2296" s="79">
        <v>5</v>
      </c>
      <c r="G2296" s="79">
        <v>4</v>
      </c>
      <c r="H2296" s="93" t="s">
        <v>4440</v>
      </c>
      <c r="I2296" s="92"/>
      <c r="J2296" s="92"/>
      <c r="K2296" s="79">
        <v>5</v>
      </c>
      <c r="L2296" s="79">
        <v>8</v>
      </c>
      <c r="M2296" s="127" t="s">
        <v>4703</v>
      </c>
      <c r="N2296" s="79">
        <v>0</v>
      </c>
      <c r="O2296" s="79">
        <v>0</v>
      </c>
      <c r="P2296" s="107"/>
      <c r="S2296" s="92"/>
      <c r="T2296" s="92"/>
      <c r="U2296" s="92"/>
      <c r="V2296" s="92"/>
      <c r="W2296" s="92"/>
      <c r="X2296" s="92"/>
    </row>
    <row r="2297" spans="1:24">
      <c r="A2297" s="78">
        <v>970091</v>
      </c>
      <c r="B2297" s="93">
        <f t="shared" si="257"/>
        <v>9700911</v>
      </c>
      <c r="C2297" s="93" t="s">
        <v>4704</v>
      </c>
      <c r="D2297" s="93">
        <f t="shared" si="258"/>
        <v>9700912</v>
      </c>
      <c r="E2297" s="79" t="s">
        <v>4705</v>
      </c>
      <c r="F2297" s="79">
        <v>5</v>
      </c>
      <c r="G2297" s="79">
        <v>4</v>
      </c>
      <c r="H2297" s="93" t="s">
        <v>4444</v>
      </c>
      <c r="I2297" s="92"/>
      <c r="J2297" s="92"/>
      <c r="K2297" s="79">
        <v>5</v>
      </c>
      <c r="L2297" s="79">
        <v>8</v>
      </c>
      <c r="M2297" s="127" t="s">
        <v>4706</v>
      </c>
      <c r="N2297" s="79">
        <v>0</v>
      </c>
      <c r="O2297" s="79">
        <v>0</v>
      </c>
      <c r="P2297" s="107"/>
      <c r="R2297" s="92"/>
      <c r="S2297" s="92"/>
      <c r="T2297" s="92"/>
      <c r="U2297" s="92"/>
      <c r="V2297" s="92"/>
      <c r="W2297" s="92"/>
      <c r="X2297" s="92"/>
    </row>
    <row r="2298" spans="1:24">
      <c r="A2298" s="78">
        <v>970092</v>
      </c>
      <c r="B2298" s="93">
        <f t="shared" si="257"/>
        <v>9700921</v>
      </c>
      <c r="C2298" s="93" t="s">
        <v>4707</v>
      </c>
      <c r="D2298" s="93">
        <f t="shared" si="258"/>
        <v>9700922</v>
      </c>
      <c r="E2298" s="79" t="s">
        <v>4708</v>
      </c>
      <c r="F2298" s="79">
        <v>5</v>
      </c>
      <c r="G2298" s="79">
        <v>4</v>
      </c>
      <c r="H2298" s="93" t="s">
        <v>4444</v>
      </c>
      <c r="I2298" s="92"/>
      <c r="J2298" s="92"/>
      <c r="K2298" s="79">
        <v>5</v>
      </c>
      <c r="L2298" s="79">
        <v>8</v>
      </c>
      <c r="M2298" s="127" t="s">
        <v>4709</v>
      </c>
      <c r="N2298" s="79">
        <v>0</v>
      </c>
      <c r="O2298" s="79">
        <v>0</v>
      </c>
      <c r="P2298" s="107"/>
      <c r="R2298" s="92"/>
      <c r="S2298" s="92"/>
      <c r="T2298" s="92"/>
      <c r="U2298" s="92"/>
      <c r="V2298" s="92"/>
      <c r="W2298" s="92"/>
      <c r="X2298" s="92"/>
    </row>
    <row r="2299" spans="1:24">
      <c r="A2299" s="78">
        <v>970093</v>
      </c>
      <c r="B2299" s="93">
        <f t="shared" si="257"/>
        <v>9700931</v>
      </c>
      <c r="C2299" s="93" t="s">
        <v>4710</v>
      </c>
      <c r="D2299" s="93">
        <f t="shared" si="258"/>
        <v>9700932</v>
      </c>
      <c r="E2299" s="79" t="s">
        <v>4711</v>
      </c>
      <c r="F2299" s="79">
        <v>5</v>
      </c>
      <c r="G2299" s="79">
        <v>4</v>
      </c>
      <c r="H2299" s="93" t="s">
        <v>4444</v>
      </c>
      <c r="I2299" s="92"/>
      <c r="J2299" s="92"/>
      <c r="K2299" s="79">
        <v>5</v>
      </c>
      <c r="L2299" s="79">
        <v>8</v>
      </c>
      <c r="M2299" s="127" t="s">
        <v>4712</v>
      </c>
      <c r="N2299" s="79">
        <v>0</v>
      </c>
      <c r="O2299" s="79">
        <v>0</v>
      </c>
      <c r="P2299" s="107"/>
      <c r="R2299" s="92"/>
    </row>
    <row r="2300" spans="1:24">
      <c r="A2300" s="78">
        <v>970094</v>
      </c>
      <c r="B2300" s="93">
        <f t="shared" si="257"/>
        <v>9700941</v>
      </c>
      <c r="C2300" s="93" t="s">
        <v>4713</v>
      </c>
      <c r="D2300" s="93">
        <f t="shared" si="258"/>
        <v>9700942</v>
      </c>
      <c r="E2300" s="79" t="s">
        <v>4714</v>
      </c>
      <c r="F2300" s="79">
        <v>5</v>
      </c>
      <c r="G2300" s="79">
        <v>4</v>
      </c>
      <c r="H2300" s="93" t="s">
        <v>4444</v>
      </c>
      <c r="I2300" s="92"/>
      <c r="J2300" s="92"/>
      <c r="K2300" s="79">
        <v>5</v>
      </c>
      <c r="L2300" s="79">
        <v>8</v>
      </c>
      <c r="M2300" s="127" t="s">
        <v>4715</v>
      </c>
      <c r="N2300" s="79">
        <v>0</v>
      </c>
      <c r="O2300" s="79">
        <v>0</v>
      </c>
      <c r="P2300" s="107"/>
      <c r="R2300" s="92"/>
    </row>
    <row r="2301" spans="1:24">
      <c r="A2301" s="78">
        <v>970111</v>
      </c>
      <c r="B2301" s="93">
        <f t="shared" si="257"/>
        <v>9701111</v>
      </c>
      <c r="C2301" s="93" t="s">
        <v>4716</v>
      </c>
      <c r="D2301" s="93">
        <f t="shared" si="258"/>
        <v>9701112</v>
      </c>
      <c r="E2301" s="79" t="s">
        <v>4717</v>
      </c>
      <c r="F2301" s="79">
        <v>5</v>
      </c>
      <c r="G2301" s="79">
        <v>4</v>
      </c>
      <c r="H2301" s="93" t="s">
        <v>4450</v>
      </c>
      <c r="I2301" s="92"/>
      <c r="J2301" s="92"/>
      <c r="K2301" s="79">
        <v>5</v>
      </c>
      <c r="L2301" s="79">
        <v>8</v>
      </c>
      <c r="M2301" s="127" t="s">
        <v>4718</v>
      </c>
      <c r="N2301" s="79">
        <v>0</v>
      </c>
      <c r="O2301" s="79">
        <v>0</v>
      </c>
      <c r="P2301" s="107"/>
      <c r="Q2301" s="92"/>
    </row>
    <row r="2302" spans="1:24">
      <c r="A2302" s="78">
        <v>970112</v>
      </c>
      <c r="B2302" s="93">
        <f t="shared" si="257"/>
        <v>9701121</v>
      </c>
      <c r="C2302" s="93" t="s">
        <v>4719</v>
      </c>
      <c r="D2302" s="93">
        <f t="shared" si="258"/>
        <v>9701122</v>
      </c>
      <c r="E2302" s="79" t="s">
        <v>4720</v>
      </c>
      <c r="F2302" s="79">
        <v>5</v>
      </c>
      <c r="G2302" s="79">
        <v>4</v>
      </c>
      <c r="H2302" s="93" t="s">
        <v>4450</v>
      </c>
      <c r="I2302" s="92"/>
      <c r="J2302" s="92"/>
      <c r="K2302" s="79">
        <v>5</v>
      </c>
      <c r="L2302" s="79">
        <v>8</v>
      </c>
      <c r="M2302" s="127" t="s">
        <v>4721</v>
      </c>
      <c r="N2302" s="79">
        <v>0</v>
      </c>
      <c r="O2302" s="79">
        <v>0</v>
      </c>
      <c r="P2302" s="107"/>
      <c r="Q2302" s="92"/>
    </row>
    <row r="2303" spans="1:24">
      <c r="A2303" s="78">
        <v>970113</v>
      </c>
      <c r="B2303" s="93">
        <f t="shared" si="257"/>
        <v>9701131</v>
      </c>
      <c r="C2303" s="93" t="s">
        <v>4722</v>
      </c>
      <c r="D2303" s="93">
        <f t="shared" si="258"/>
        <v>9701132</v>
      </c>
      <c r="E2303" s="79" t="s">
        <v>4723</v>
      </c>
      <c r="F2303" s="79">
        <v>5</v>
      </c>
      <c r="G2303" s="79">
        <v>4</v>
      </c>
      <c r="H2303" s="93" t="s">
        <v>4450</v>
      </c>
      <c r="I2303" s="92"/>
      <c r="J2303" s="92"/>
      <c r="K2303" s="79">
        <v>5</v>
      </c>
      <c r="L2303" s="79">
        <v>8</v>
      </c>
      <c r="M2303" s="127" t="s">
        <v>4724</v>
      </c>
      <c r="N2303" s="79">
        <v>0</v>
      </c>
      <c r="O2303" s="79">
        <v>0</v>
      </c>
      <c r="P2303" s="107"/>
      <c r="Q2303" s="92"/>
    </row>
    <row r="2304" spans="1:24">
      <c r="A2304" s="78">
        <v>970114</v>
      </c>
      <c r="B2304" s="93">
        <f t="shared" si="257"/>
        <v>9701141</v>
      </c>
      <c r="C2304" s="93" t="s">
        <v>4725</v>
      </c>
      <c r="D2304" s="93">
        <f t="shared" si="258"/>
        <v>9701142</v>
      </c>
      <c r="E2304" s="79" t="s">
        <v>4726</v>
      </c>
      <c r="F2304" s="79">
        <v>5</v>
      </c>
      <c r="G2304" s="79">
        <v>4</v>
      </c>
      <c r="H2304" s="93" t="s">
        <v>4450</v>
      </c>
      <c r="I2304" s="92"/>
      <c r="J2304" s="92"/>
      <c r="K2304" s="79">
        <v>5</v>
      </c>
      <c r="L2304" s="79">
        <v>8</v>
      </c>
      <c r="M2304" s="127" t="s">
        <v>4727</v>
      </c>
      <c r="N2304" s="79">
        <v>0</v>
      </c>
      <c r="O2304" s="79">
        <v>0</v>
      </c>
      <c r="P2304" s="107"/>
      <c r="Q2304" s="92"/>
    </row>
    <row r="2305" spans="1:17">
      <c r="A2305" s="78">
        <v>970131</v>
      </c>
      <c r="B2305" s="93">
        <f t="shared" si="257"/>
        <v>9701311</v>
      </c>
      <c r="C2305" s="93" t="s">
        <v>4728</v>
      </c>
      <c r="D2305" s="93">
        <f t="shared" si="258"/>
        <v>9701312</v>
      </c>
      <c r="E2305" s="79" t="s">
        <v>4729</v>
      </c>
      <c r="F2305" s="79">
        <v>5</v>
      </c>
      <c r="G2305" s="79">
        <v>4</v>
      </c>
      <c r="H2305" s="93" t="s">
        <v>4456</v>
      </c>
      <c r="I2305" s="92"/>
      <c r="J2305" s="92"/>
      <c r="K2305" s="79">
        <v>5</v>
      </c>
      <c r="L2305" s="79">
        <v>8</v>
      </c>
      <c r="M2305" s="127" t="s">
        <v>4730</v>
      </c>
      <c r="N2305" s="79">
        <v>0</v>
      </c>
      <c r="O2305" s="79">
        <v>0</v>
      </c>
      <c r="P2305" s="107"/>
      <c r="Q2305" s="92"/>
    </row>
    <row r="2306" spans="1:17">
      <c r="A2306" s="78">
        <v>970141</v>
      </c>
      <c r="B2306" s="93">
        <f t="shared" si="257"/>
        <v>9701411</v>
      </c>
      <c r="C2306" s="93" t="s">
        <v>4731</v>
      </c>
      <c r="D2306" s="93">
        <f t="shared" si="258"/>
        <v>9701412</v>
      </c>
      <c r="E2306" s="79" t="s">
        <v>4732</v>
      </c>
      <c r="F2306" s="79">
        <v>5</v>
      </c>
      <c r="G2306" s="79">
        <v>4</v>
      </c>
      <c r="H2306" s="93" t="s">
        <v>4459</v>
      </c>
      <c r="I2306" s="92"/>
      <c r="J2306" s="92"/>
      <c r="K2306" s="79">
        <v>5</v>
      </c>
      <c r="L2306" s="79">
        <v>8</v>
      </c>
      <c r="M2306" s="127" t="s">
        <v>4733</v>
      </c>
      <c r="N2306" s="79">
        <v>0</v>
      </c>
      <c r="O2306" s="79">
        <v>0</v>
      </c>
      <c r="P2306" s="107"/>
      <c r="Q2306" s="92"/>
    </row>
    <row r="2307" spans="1:17">
      <c r="A2307" s="78">
        <v>970142</v>
      </c>
      <c r="B2307" s="93">
        <f t="shared" si="257"/>
        <v>9701421</v>
      </c>
      <c r="C2307" s="93" t="s">
        <v>4734</v>
      </c>
      <c r="D2307" s="93">
        <f t="shared" si="258"/>
        <v>9701422</v>
      </c>
      <c r="E2307" s="79" t="s">
        <v>4735</v>
      </c>
      <c r="F2307" s="79">
        <v>5</v>
      </c>
      <c r="G2307" s="79">
        <v>4</v>
      </c>
      <c r="H2307" s="93" t="s">
        <v>4459</v>
      </c>
      <c r="I2307" s="92"/>
      <c r="J2307" s="92"/>
      <c r="K2307" s="79">
        <v>5</v>
      </c>
      <c r="L2307" s="79">
        <v>8</v>
      </c>
      <c r="M2307" s="127" t="s">
        <v>4736</v>
      </c>
      <c r="N2307" s="79">
        <v>0</v>
      </c>
      <c r="O2307" s="79">
        <v>0</v>
      </c>
      <c r="P2307" s="107"/>
      <c r="Q2307" s="92"/>
    </row>
    <row r="2308" spans="1:17">
      <c r="A2308" s="78">
        <v>970143</v>
      </c>
      <c r="B2308" s="93">
        <f t="shared" si="257"/>
        <v>9701431</v>
      </c>
      <c r="C2308" s="93" t="s">
        <v>4737</v>
      </c>
      <c r="D2308" s="93">
        <f t="shared" si="258"/>
        <v>9701432</v>
      </c>
      <c r="E2308" s="79" t="s">
        <v>4738</v>
      </c>
      <c r="F2308" s="79">
        <v>5</v>
      </c>
      <c r="G2308" s="79">
        <v>4</v>
      </c>
      <c r="H2308" s="93" t="s">
        <v>4459</v>
      </c>
      <c r="I2308" s="92"/>
      <c r="J2308" s="92"/>
      <c r="K2308" s="79">
        <v>5</v>
      </c>
      <c r="L2308" s="79">
        <v>8</v>
      </c>
      <c r="M2308" s="127" t="s">
        <v>4739</v>
      </c>
      <c r="N2308" s="79">
        <v>0</v>
      </c>
      <c r="O2308" s="79">
        <v>0</v>
      </c>
      <c r="P2308" s="107"/>
      <c r="Q2308" s="92"/>
    </row>
    <row r="2309" spans="1:17">
      <c r="A2309" s="78">
        <v>970144</v>
      </c>
      <c r="B2309" s="93">
        <f t="shared" si="257"/>
        <v>9701441</v>
      </c>
      <c r="C2309" s="93" t="s">
        <v>4740</v>
      </c>
      <c r="D2309" s="93">
        <f t="shared" si="258"/>
        <v>9701442</v>
      </c>
      <c r="E2309" s="79" t="s">
        <v>4741</v>
      </c>
      <c r="F2309" s="79">
        <v>5</v>
      </c>
      <c r="G2309" s="79">
        <v>4</v>
      </c>
      <c r="H2309" s="93" t="s">
        <v>4459</v>
      </c>
      <c r="I2309" s="92"/>
      <c r="J2309" s="92"/>
      <c r="K2309" s="79">
        <v>5</v>
      </c>
      <c r="L2309" s="79">
        <v>8</v>
      </c>
      <c r="M2309" s="127" t="s">
        <v>4742</v>
      </c>
      <c r="N2309" s="79">
        <v>0</v>
      </c>
      <c r="O2309" s="79">
        <v>0</v>
      </c>
      <c r="P2309" s="107"/>
      <c r="Q2309" s="92"/>
    </row>
    <row r="2310" spans="1:17">
      <c r="A2310" s="78">
        <v>970145</v>
      </c>
      <c r="B2310" s="93">
        <f t="shared" si="257"/>
        <v>9701451</v>
      </c>
      <c r="C2310" s="93" t="s">
        <v>4743</v>
      </c>
      <c r="D2310" s="93">
        <f t="shared" si="258"/>
        <v>9701452</v>
      </c>
      <c r="E2310" s="93" t="s">
        <v>4744</v>
      </c>
      <c r="F2310" s="93">
        <v>5</v>
      </c>
      <c r="G2310" s="93">
        <v>4</v>
      </c>
      <c r="H2310" s="93" t="s">
        <v>4420</v>
      </c>
      <c r="I2310" s="92"/>
      <c r="J2310" s="92"/>
      <c r="K2310" s="93">
        <v>5</v>
      </c>
      <c r="L2310" s="93">
        <v>8</v>
      </c>
      <c r="M2310" s="117" t="s">
        <v>4745</v>
      </c>
      <c r="N2310" s="93">
        <v>0</v>
      </c>
      <c r="O2310" s="93">
        <v>0</v>
      </c>
      <c r="P2310" s="98"/>
      <c r="Q2310" s="92"/>
    </row>
    <row r="2311" spans="1:17">
      <c r="A2311" s="78">
        <v>970146</v>
      </c>
      <c r="B2311" s="93">
        <f t="shared" si="257"/>
        <v>9701461</v>
      </c>
      <c r="C2311" s="93" t="s">
        <v>4746</v>
      </c>
      <c r="D2311" s="93">
        <f t="shared" si="258"/>
        <v>9701462</v>
      </c>
      <c r="E2311" s="93" t="s">
        <v>4747</v>
      </c>
      <c r="F2311" s="93">
        <v>5</v>
      </c>
      <c r="G2311" s="93">
        <v>4</v>
      </c>
      <c r="H2311" s="93" t="s">
        <v>4420</v>
      </c>
      <c r="I2311" s="92"/>
      <c r="J2311" s="92"/>
      <c r="K2311" s="93">
        <v>5</v>
      </c>
      <c r="L2311" s="93">
        <v>8</v>
      </c>
      <c r="M2311" s="117" t="s">
        <v>4748</v>
      </c>
      <c r="N2311" s="93">
        <v>0</v>
      </c>
      <c r="O2311" s="93">
        <v>0</v>
      </c>
      <c r="P2311" s="98"/>
      <c r="Q2311" s="92"/>
    </row>
    <row r="2312" spans="1:17">
      <c r="A2312" s="78">
        <v>970147</v>
      </c>
      <c r="B2312" s="93">
        <f t="shared" si="257"/>
        <v>9701471</v>
      </c>
      <c r="C2312" s="93" t="s">
        <v>4749</v>
      </c>
      <c r="D2312" s="93">
        <f t="shared" si="258"/>
        <v>9701472</v>
      </c>
      <c r="E2312" s="93" t="s">
        <v>4750</v>
      </c>
      <c r="F2312" s="93">
        <v>5</v>
      </c>
      <c r="G2312" s="93">
        <v>4</v>
      </c>
      <c r="H2312" s="93" t="s">
        <v>4420</v>
      </c>
      <c r="I2312" s="92"/>
      <c r="J2312" s="92"/>
      <c r="K2312" s="93">
        <v>5</v>
      </c>
      <c r="L2312" s="93">
        <v>8</v>
      </c>
      <c r="M2312" s="117" t="s">
        <v>4751</v>
      </c>
      <c r="N2312" s="93">
        <v>0</v>
      </c>
      <c r="O2312" s="93">
        <v>0</v>
      </c>
      <c r="P2312" s="98"/>
      <c r="Q2312" s="92"/>
    </row>
    <row r="2313" spans="1:17">
      <c r="A2313" s="78">
        <v>970148</v>
      </c>
      <c r="B2313" s="93">
        <f t="shared" si="257"/>
        <v>9701481</v>
      </c>
      <c r="C2313" s="93" t="s">
        <v>4752</v>
      </c>
      <c r="D2313" s="93">
        <f t="shared" si="258"/>
        <v>9701482</v>
      </c>
      <c r="E2313" s="93" t="s">
        <v>4753</v>
      </c>
      <c r="F2313" s="93">
        <v>5</v>
      </c>
      <c r="G2313" s="93">
        <v>4</v>
      </c>
      <c r="H2313" s="93" t="s">
        <v>4420</v>
      </c>
      <c r="I2313" s="92"/>
      <c r="J2313" s="92"/>
      <c r="K2313" s="93">
        <v>5</v>
      </c>
      <c r="L2313" s="93">
        <v>8</v>
      </c>
      <c r="M2313" s="117" t="s">
        <v>4754</v>
      </c>
      <c r="N2313" s="93">
        <v>0</v>
      </c>
      <c r="O2313" s="93">
        <v>0</v>
      </c>
      <c r="P2313" s="98"/>
      <c r="Q2313" s="92"/>
    </row>
    <row r="2314" spans="1:17">
      <c r="A2314" s="78">
        <v>970151</v>
      </c>
      <c r="B2314" s="93">
        <f t="shared" si="257"/>
        <v>9701511</v>
      </c>
      <c r="C2314" s="93" t="s">
        <v>4755</v>
      </c>
      <c r="D2314" s="93">
        <f t="shared" si="258"/>
        <v>9701512</v>
      </c>
      <c r="E2314" s="93" t="s">
        <v>4756</v>
      </c>
      <c r="F2314" s="93">
        <v>5</v>
      </c>
      <c r="G2314" s="93">
        <v>4</v>
      </c>
      <c r="H2314" s="93" t="s">
        <v>4468</v>
      </c>
      <c r="I2314" s="92"/>
      <c r="J2314" s="92"/>
      <c r="K2314" s="93">
        <v>5</v>
      </c>
      <c r="L2314" s="93">
        <v>8</v>
      </c>
      <c r="M2314" s="117" t="s">
        <v>4757</v>
      </c>
      <c r="N2314" s="93">
        <v>0</v>
      </c>
      <c r="O2314" s="93">
        <v>0</v>
      </c>
      <c r="P2314" s="98"/>
      <c r="Q2314" s="92"/>
    </row>
    <row r="2315" spans="1:17">
      <c r="A2315" s="78">
        <v>970152</v>
      </c>
      <c r="B2315" s="93">
        <f t="shared" si="257"/>
        <v>9701521</v>
      </c>
      <c r="C2315" s="93" t="s">
        <v>4758</v>
      </c>
      <c r="D2315" s="93">
        <f t="shared" si="258"/>
        <v>9701522</v>
      </c>
      <c r="E2315" s="93" t="s">
        <v>4759</v>
      </c>
      <c r="F2315" s="93">
        <v>5</v>
      </c>
      <c r="G2315" s="93">
        <v>4</v>
      </c>
      <c r="H2315" s="93" t="s">
        <v>4468</v>
      </c>
      <c r="I2315" s="92"/>
      <c r="J2315" s="92"/>
      <c r="K2315" s="93">
        <v>5</v>
      </c>
      <c r="L2315" s="93">
        <v>8</v>
      </c>
      <c r="M2315" s="117" t="s">
        <v>4760</v>
      </c>
      <c r="N2315" s="93">
        <v>0</v>
      </c>
      <c r="O2315" s="93">
        <v>0</v>
      </c>
      <c r="P2315" s="98"/>
      <c r="Q2315" s="92"/>
    </row>
    <row r="2316" spans="1:17">
      <c r="A2316" s="78">
        <v>970153</v>
      </c>
      <c r="B2316" s="93">
        <f t="shared" si="257"/>
        <v>9701531</v>
      </c>
      <c r="C2316" s="93" t="s">
        <v>4761</v>
      </c>
      <c r="D2316" s="93">
        <f t="shared" si="258"/>
        <v>9701532</v>
      </c>
      <c r="E2316" s="93" t="s">
        <v>4762</v>
      </c>
      <c r="F2316" s="93">
        <v>5</v>
      </c>
      <c r="G2316" s="93">
        <v>4</v>
      </c>
      <c r="H2316" s="93" t="s">
        <v>4468</v>
      </c>
      <c r="I2316" s="92"/>
      <c r="J2316" s="92"/>
      <c r="K2316" s="93">
        <v>5</v>
      </c>
      <c r="L2316" s="93">
        <v>8</v>
      </c>
      <c r="M2316" s="117" t="s">
        <v>4763</v>
      </c>
      <c r="N2316" s="93">
        <v>0</v>
      </c>
      <c r="O2316" s="93">
        <v>0</v>
      </c>
      <c r="P2316" s="98"/>
      <c r="Q2316" s="92"/>
    </row>
    <row r="2317" spans="1:17">
      <c r="A2317" s="78">
        <v>970154</v>
      </c>
      <c r="B2317" s="93">
        <f t="shared" si="257"/>
        <v>9701541</v>
      </c>
      <c r="C2317" s="93" t="s">
        <v>4764</v>
      </c>
      <c r="D2317" s="93">
        <f t="shared" si="258"/>
        <v>9701542</v>
      </c>
      <c r="E2317" s="93" t="s">
        <v>4765</v>
      </c>
      <c r="F2317" s="93">
        <v>5</v>
      </c>
      <c r="G2317" s="93">
        <v>4</v>
      </c>
      <c r="H2317" s="93" t="s">
        <v>4468</v>
      </c>
      <c r="I2317" s="92"/>
      <c r="J2317" s="92"/>
      <c r="K2317" s="93">
        <v>5</v>
      </c>
      <c r="L2317" s="93">
        <v>8</v>
      </c>
      <c r="M2317" s="117" t="s">
        <v>4766</v>
      </c>
      <c r="N2317" s="93">
        <v>0</v>
      </c>
      <c r="O2317" s="93">
        <v>0</v>
      </c>
      <c r="P2317" s="98"/>
      <c r="Q2317" s="92"/>
    </row>
    <row r="2318" spans="1:17" s="79" customFormat="1">
      <c r="A2318" s="80">
        <v>970161</v>
      </c>
      <c r="B2318" s="79">
        <f t="shared" si="257"/>
        <v>9701611</v>
      </c>
      <c r="C2318" s="79" t="s">
        <v>4767</v>
      </c>
      <c r="D2318" s="79">
        <f t="shared" si="258"/>
        <v>9701612</v>
      </c>
      <c r="E2318" s="79" t="s">
        <v>4768</v>
      </c>
      <c r="F2318" s="79">
        <v>5</v>
      </c>
      <c r="G2318" s="79">
        <v>4</v>
      </c>
      <c r="H2318" s="79" t="s">
        <v>4481</v>
      </c>
      <c r="I2318" s="101"/>
      <c r="J2318" s="101"/>
      <c r="K2318" s="79">
        <v>5</v>
      </c>
      <c r="L2318" s="79">
        <v>8</v>
      </c>
      <c r="M2318" s="127" t="s">
        <v>4769</v>
      </c>
      <c r="N2318" s="79">
        <v>0</v>
      </c>
      <c r="O2318" s="79">
        <v>0</v>
      </c>
      <c r="P2318" s="107"/>
      <c r="Q2318" s="101"/>
    </row>
    <row r="2319" spans="1:17" s="79" customFormat="1">
      <c r="A2319" s="80">
        <v>970162</v>
      </c>
      <c r="B2319" s="79">
        <f t="shared" si="257"/>
        <v>9701621</v>
      </c>
      <c r="C2319" s="79" t="s">
        <v>4770</v>
      </c>
      <c r="D2319" s="79">
        <f t="shared" si="258"/>
        <v>9701622</v>
      </c>
      <c r="E2319" s="79" t="s">
        <v>4771</v>
      </c>
      <c r="F2319" s="79">
        <v>5</v>
      </c>
      <c r="G2319" s="79">
        <v>4</v>
      </c>
      <c r="H2319" s="79" t="s">
        <v>4481</v>
      </c>
      <c r="I2319" s="101"/>
      <c r="J2319" s="101"/>
      <c r="K2319" s="79">
        <v>5</v>
      </c>
      <c r="L2319" s="79">
        <v>8</v>
      </c>
      <c r="M2319" s="127" t="s">
        <v>4772</v>
      </c>
      <c r="N2319" s="79">
        <v>0</v>
      </c>
      <c r="O2319" s="79">
        <v>0</v>
      </c>
      <c r="P2319" s="107"/>
      <c r="Q2319" s="101"/>
    </row>
    <row r="2320" spans="1:17" s="79" customFormat="1">
      <c r="A2320" s="80">
        <v>970163</v>
      </c>
      <c r="B2320" s="79">
        <f t="shared" si="257"/>
        <v>9701631</v>
      </c>
      <c r="C2320" s="79" t="s">
        <v>4773</v>
      </c>
      <c r="D2320" s="79">
        <f t="shared" si="258"/>
        <v>9701632</v>
      </c>
      <c r="E2320" s="79" t="s">
        <v>4774</v>
      </c>
      <c r="F2320" s="79">
        <v>5</v>
      </c>
      <c r="G2320" s="79">
        <v>4</v>
      </c>
      <c r="H2320" s="79" t="s">
        <v>4481</v>
      </c>
      <c r="I2320" s="101"/>
      <c r="J2320" s="101"/>
      <c r="K2320" s="79">
        <v>5</v>
      </c>
      <c r="L2320" s="79">
        <v>8</v>
      </c>
      <c r="M2320" s="127" t="s">
        <v>4775</v>
      </c>
      <c r="N2320" s="79">
        <v>0</v>
      </c>
      <c r="O2320" s="79">
        <v>0</v>
      </c>
      <c r="P2320" s="107"/>
      <c r="Q2320" s="101"/>
    </row>
    <row r="2321" spans="1:17" s="79" customFormat="1">
      <c r="A2321" s="80">
        <v>970164</v>
      </c>
      <c r="B2321" s="79">
        <f t="shared" si="257"/>
        <v>9701641</v>
      </c>
      <c r="C2321" s="79" t="s">
        <v>4776</v>
      </c>
      <c r="D2321" s="79">
        <f t="shared" si="258"/>
        <v>9701642</v>
      </c>
      <c r="E2321" s="79" t="s">
        <v>4777</v>
      </c>
      <c r="F2321" s="79">
        <v>5</v>
      </c>
      <c r="G2321" s="79">
        <v>4</v>
      </c>
      <c r="H2321" s="79" t="s">
        <v>4481</v>
      </c>
      <c r="I2321" s="101"/>
      <c r="J2321" s="101"/>
      <c r="K2321" s="79">
        <v>5</v>
      </c>
      <c r="L2321" s="79">
        <v>8</v>
      </c>
      <c r="M2321" s="127" t="s">
        <v>4778</v>
      </c>
      <c r="N2321" s="79">
        <v>0</v>
      </c>
      <c r="O2321" s="79">
        <v>0</v>
      </c>
      <c r="P2321" s="107"/>
      <c r="Q2321" s="101"/>
    </row>
    <row r="2322" spans="1:17" s="79" customFormat="1">
      <c r="A2322" s="80">
        <v>970231</v>
      </c>
      <c r="B2322" s="79">
        <f t="shared" ref="B2322:B2325" si="265">A2322*10+1</f>
        <v>9702311</v>
      </c>
      <c r="C2322" s="79" t="s">
        <v>4779</v>
      </c>
      <c r="D2322" s="79">
        <f t="shared" ref="D2322:D2325" si="266">A2322*10+2</f>
        <v>9702312</v>
      </c>
      <c r="E2322" s="79" t="s">
        <v>4780</v>
      </c>
      <c r="F2322" s="79">
        <v>5</v>
      </c>
      <c r="G2322" s="79">
        <v>4</v>
      </c>
      <c r="H2322" s="79" t="s">
        <v>4484</v>
      </c>
      <c r="I2322" s="101"/>
      <c r="J2322" s="101"/>
      <c r="K2322" s="79">
        <v>5</v>
      </c>
      <c r="L2322" s="79">
        <v>8</v>
      </c>
      <c r="M2322" s="127" t="s">
        <v>4781</v>
      </c>
      <c r="N2322" s="79">
        <v>0</v>
      </c>
      <c r="O2322" s="79">
        <v>0</v>
      </c>
      <c r="P2322" s="107"/>
      <c r="Q2322" s="101"/>
    </row>
    <row r="2323" spans="1:17" s="79" customFormat="1">
      <c r="A2323" s="80">
        <v>970232</v>
      </c>
      <c r="B2323" s="79">
        <f t="shared" si="265"/>
        <v>9702321</v>
      </c>
      <c r="C2323" s="79" t="s">
        <v>4782</v>
      </c>
      <c r="D2323" s="79">
        <f t="shared" si="266"/>
        <v>9702322</v>
      </c>
      <c r="E2323" s="79" t="s">
        <v>4783</v>
      </c>
      <c r="F2323" s="79">
        <v>5</v>
      </c>
      <c r="G2323" s="79">
        <v>4</v>
      </c>
      <c r="H2323" s="79" t="s">
        <v>4484</v>
      </c>
      <c r="I2323" s="101"/>
      <c r="J2323" s="101"/>
      <c r="K2323" s="79">
        <v>5</v>
      </c>
      <c r="L2323" s="79">
        <v>8</v>
      </c>
      <c r="M2323" s="127" t="s">
        <v>4784</v>
      </c>
      <c r="N2323" s="79">
        <v>0</v>
      </c>
      <c r="O2323" s="79">
        <v>0</v>
      </c>
      <c r="P2323" s="107"/>
      <c r="Q2323" s="101"/>
    </row>
    <row r="2324" spans="1:17" s="79" customFormat="1">
      <c r="A2324" s="80">
        <v>970233</v>
      </c>
      <c r="B2324" s="79">
        <f t="shared" si="265"/>
        <v>9702331</v>
      </c>
      <c r="C2324" s="79" t="s">
        <v>4785</v>
      </c>
      <c r="D2324" s="79">
        <f t="shared" si="266"/>
        <v>9702332</v>
      </c>
      <c r="E2324" s="79" t="s">
        <v>4786</v>
      </c>
      <c r="F2324" s="79">
        <v>5</v>
      </c>
      <c r="G2324" s="79">
        <v>4</v>
      </c>
      <c r="H2324" s="79" t="s">
        <v>4484</v>
      </c>
      <c r="I2324" s="101"/>
      <c r="J2324" s="101"/>
      <c r="K2324" s="79">
        <v>5</v>
      </c>
      <c r="L2324" s="79">
        <v>8</v>
      </c>
      <c r="M2324" s="127" t="s">
        <v>4787</v>
      </c>
      <c r="N2324" s="79">
        <v>0</v>
      </c>
      <c r="O2324" s="79">
        <v>0</v>
      </c>
      <c r="P2324" s="107"/>
      <c r="Q2324" s="101"/>
    </row>
    <row r="2325" spans="1:17" s="79" customFormat="1">
      <c r="A2325" s="80">
        <v>970234</v>
      </c>
      <c r="B2325" s="79">
        <f t="shared" si="265"/>
        <v>9702341</v>
      </c>
      <c r="C2325" s="79" t="s">
        <v>4788</v>
      </c>
      <c r="D2325" s="79">
        <f t="shared" si="266"/>
        <v>9702342</v>
      </c>
      <c r="E2325" s="79" t="s">
        <v>4789</v>
      </c>
      <c r="F2325" s="79">
        <v>5</v>
      </c>
      <c r="G2325" s="79">
        <v>4</v>
      </c>
      <c r="H2325" s="79" t="s">
        <v>4484</v>
      </c>
      <c r="I2325" s="101"/>
      <c r="J2325" s="101"/>
      <c r="K2325" s="79">
        <v>5</v>
      </c>
      <c r="L2325" s="79">
        <v>8</v>
      </c>
      <c r="M2325" s="127" t="s">
        <v>4790</v>
      </c>
      <c r="N2325" s="79">
        <v>0</v>
      </c>
      <c r="O2325" s="79">
        <v>0</v>
      </c>
      <c r="P2325" s="107"/>
      <c r="Q2325" s="101"/>
    </row>
    <row r="2326" spans="1:17" s="79" customFormat="1">
      <c r="A2326" s="80">
        <v>970251</v>
      </c>
      <c r="B2326" s="79">
        <f t="shared" ref="B2326:B2329" si="267">A2326*10+1</f>
        <v>9702511</v>
      </c>
      <c r="C2326" s="79" t="s">
        <v>4791</v>
      </c>
      <c r="D2326" s="79">
        <f t="shared" ref="D2326:D2329" si="268">A2326*10+2</f>
        <v>9702512</v>
      </c>
      <c r="E2326" s="79" t="s">
        <v>4792</v>
      </c>
      <c r="F2326" s="79">
        <v>5</v>
      </c>
      <c r="G2326" s="79">
        <v>4</v>
      </c>
      <c r="H2326" s="79" t="s">
        <v>4490</v>
      </c>
      <c r="I2326" s="101"/>
      <c r="J2326" s="101"/>
      <c r="K2326" s="79">
        <v>5</v>
      </c>
      <c r="L2326" s="79">
        <v>8</v>
      </c>
      <c r="M2326" s="127" t="s">
        <v>4793</v>
      </c>
      <c r="N2326" s="79">
        <v>0</v>
      </c>
      <c r="O2326" s="79">
        <v>0</v>
      </c>
      <c r="P2326" s="107"/>
      <c r="Q2326" s="101"/>
    </row>
    <row r="2327" spans="1:17" s="79" customFormat="1">
      <c r="A2327" s="80">
        <v>970252</v>
      </c>
      <c r="B2327" s="79">
        <f t="shared" si="267"/>
        <v>9702521</v>
      </c>
      <c r="C2327" s="79" t="s">
        <v>4794</v>
      </c>
      <c r="D2327" s="79">
        <f t="shared" si="268"/>
        <v>9702522</v>
      </c>
      <c r="E2327" s="79" t="s">
        <v>4795</v>
      </c>
      <c r="F2327" s="79">
        <v>5</v>
      </c>
      <c r="G2327" s="79">
        <v>4</v>
      </c>
      <c r="H2327" s="79" t="s">
        <v>4490</v>
      </c>
      <c r="I2327" s="101"/>
      <c r="J2327" s="101"/>
      <c r="K2327" s="79">
        <v>5</v>
      </c>
      <c r="L2327" s="79">
        <v>8</v>
      </c>
      <c r="M2327" s="127" t="s">
        <v>4796</v>
      </c>
      <c r="N2327" s="79">
        <v>0</v>
      </c>
      <c r="O2327" s="79">
        <v>0</v>
      </c>
      <c r="P2327" s="107"/>
      <c r="Q2327" s="101"/>
    </row>
    <row r="2328" spans="1:17" s="79" customFormat="1">
      <c r="A2328" s="80">
        <v>970253</v>
      </c>
      <c r="B2328" s="79">
        <f t="shared" si="267"/>
        <v>9702531</v>
      </c>
      <c r="C2328" s="79" t="s">
        <v>4797</v>
      </c>
      <c r="D2328" s="79">
        <f t="shared" si="268"/>
        <v>9702532</v>
      </c>
      <c r="E2328" s="79" t="s">
        <v>4798</v>
      </c>
      <c r="F2328" s="79">
        <v>5</v>
      </c>
      <c r="G2328" s="79">
        <v>4</v>
      </c>
      <c r="H2328" s="79" t="s">
        <v>4490</v>
      </c>
      <c r="I2328" s="101"/>
      <c r="J2328" s="101"/>
      <c r="K2328" s="79">
        <v>5</v>
      </c>
      <c r="L2328" s="79">
        <v>8</v>
      </c>
      <c r="M2328" s="127" t="s">
        <v>4799</v>
      </c>
      <c r="N2328" s="79">
        <v>0</v>
      </c>
      <c r="O2328" s="79">
        <v>0</v>
      </c>
      <c r="P2328" s="107"/>
      <c r="Q2328" s="101"/>
    </row>
    <row r="2329" spans="1:17" s="79" customFormat="1">
      <c r="A2329" s="80">
        <v>970254</v>
      </c>
      <c r="B2329" s="79">
        <f t="shared" si="267"/>
        <v>9702541</v>
      </c>
      <c r="C2329" s="79" t="s">
        <v>4800</v>
      </c>
      <c r="D2329" s="79">
        <f t="shared" si="268"/>
        <v>9702542</v>
      </c>
      <c r="E2329" s="79" t="s">
        <v>4801</v>
      </c>
      <c r="F2329" s="79">
        <v>5</v>
      </c>
      <c r="G2329" s="79">
        <v>4</v>
      </c>
      <c r="H2329" s="79" t="s">
        <v>4490</v>
      </c>
      <c r="I2329" s="101"/>
      <c r="J2329" s="101"/>
      <c r="K2329" s="79">
        <v>5</v>
      </c>
      <c r="L2329" s="79">
        <v>8</v>
      </c>
      <c r="M2329" s="127" t="s">
        <v>4802</v>
      </c>
      <c r="N2329" s="79">
        <v>0</v>
      </c>
      <c r="O2329" s="79">
        <v>0</v>
      </c>
      <c r="P2329" s="107"/>
      <c r="Q2329" s="101"/>
    </row>
    <row r="2330" spans="1:17" s="79" customFormat="1">
      <c r="A2330" s="80">
        <v>970261</v>
      </c>
      <c r="B2330" s="79">
        <f t="shared" ref="B2330:B2335" si="269">A2330*10+1</f>
        <v>9702611</v>
      </c>
      <c r="C2330" s="79" t="s">
        <v>5567</v>
      </c>
      <c r="D2330" s="79">
        <f t="shared" ref="D2330:D2335" si="270">A2330*10+2</f>
        <v>9702612</v>
      </c>
      <c r="E2330" s="79" t="s">
        <v>5568</v>
      </c>
      <c r="F2330" s="79">
        <v>5</v>
      </c>
      <c r="G2330" s="79">
        <v>4</v>
      </c>
      <c r="H2330" s="79" t="s">
        <v>4492</v>
      </c>
      <c r="I2330" s="101"/>
      <c r="J2330" s="101"/>
      <c r="K2330" s="79">
        <v>5</v>
      </c>
      <c r="L2330" s="79">
        <v>8</v>
      </c>
      <c r="M2330" s="127" t="s">
        <v>4803</v>
      </c>
      <c r="N2330" s="79">
        <v>0</v>
      </c>
      <c r="O2330" s="79">
        <v>0</v>
      </c>
      <c r="P2330" s="107"/>
      <c r="Q2330" s="101"/>
    </row>
    <row r="2331" spans="1:17" s="79" customFormat="1">
      <c r="A2331" s="80">
        <v>970262</v>
      </c>
      <c r="B2331" s="79">
        <f t="shared" si="269"/>
        <v>9702621</v>
      </c>
      <c r="C2331" s="79" t="s">
        <v>5569</v>
      </c>
      <c r="D2331" s="79">
        <f t="shared" si="270"/>
        <v>9702622</v>
      </c>
      <c r="E2331" s="79" t="s">
        <v>5570</v>
      </c>
      <c r="F2331" s="79">
        <v>5</v>
      </c>
      <c r="G2331" s="79">
        <v>4</v>
      </c>
      <c r="H2331" s="79" t="s">
        <v>4492</v>
      </c>
      <c r="I2331" s="101"/>
      <c r="J2331" s="101"/>
      <c r="K2331" s="79">
        <v>5</v>
      </c>
      <c r="L2331" s="79">
        <v>8</v>
      </c>
      <c r="M2331" s="127" t="s">
        <v>4804</v>
      </c>
      <c r="N2331" s="79">
        <v>0</v>
      </c>
      <c r="O2331" s="79">
        <v>0</v>
      </c>
      <c r="P2331" s="107"/>
      <c r="Q2331" s="101"/>
    </row>
    <row r="2332" spans="1:17" s="79" customFormat="1">
      <c r="A2332" s="80">
        <v>970263</v>
      </c>
      <c r="B2332" s="79">
        <f t="shared" si="269"/>
        <v>9702631</v>
      </c>
      <c r="C2332" s="79" t="s">
        <v>5571</v>
      </c>
      <c r="D2332" s="79">
        <f t="shared" si="270"/>
        <v>9702632</v>
      </c>
      <c r="E2332" s="79" t="s">
        <v>5572</v>
      </c>
      <c r="F2332" s="79">
        <v>5</v>
      </c>
      <c r="G2332" s="79">
        <v>4</v>
      </c>
      <c r="H2332" s="79" t="s">
        <v>4492</v>
      </c>
      <c r="I2332" s="101"/>
      <c r="J2332" s="101"/>
      <c r="K2332" s="79">
        <v>5</v>
      </c>
      <c r="L2332" s="79">
        <v>8</v>
      </c>
      <c r="M2332" s="127" t="s">
        <v>4805</v>
      </c>
      <c r="N2332" s="79">
        <v>0</v>
      </c>
      <c r="O2332" s="79">
        <v>0</v>
      </c>
      <c r="P2332" s="107"/>
      <c r="Q2332" s="101"/>
    </row>
    <row r="2333" spans="1:17" s="79" customFormat="1">
      <c r="A2333" s="80">
        <v>970264</v>
      </c>
      <c r="B2333" s="79">
        <f t="shared" si="269"/>
        <v>9702641</v>
      </c>
      <c r="C2333" s="79" t="s">
        <v>5573</v>
      </c>
      <c r="D2333" s="79">
        <f t="shared" si="270"/>
        <v>9702642</v>
      </c>
      <c r="E2333" s="79" t="s">
        <v>5574</v>
      </c>
      <c r="F2333" s="79">
        <v>5</v>
      </c>
      <c r="G2333" s="79">
        <v>4</v>
      </c>
      <c r="H2333" s="79" t="s">
        <v>4492</v>
      </c>
      <c r="I2333" s="101"/>
      <c r="J2333" s="101"/>
      <c r="K2333" s="79">
        <v>5</v>
      </c>
      <c r="L2333" s="79">
        <v>8</v>
      </c>
      <c r="M2333" s="127" t="s">
        <v>4806</v>
      </c>
      <c r="N2333" s="79">
        <v>0</v>
      </c>
      <c r="O2333" s="79">
        <v>0</v>
      </c>
      <c r="P2333" s="107"/>
      <c r="Q2333" s="101"/>
    </row>
    <row r="2334" spans="1:17" s="79" customFormat="1">
      <c r="A2334" s="80">
        <v>970283</v>
      </c>
      <c r="B2334" s="79">
        <f>A2334*10+1</f>
        <v>9702831</v>
      </c>
      <c r="C2334" s="79" t="s">
        <v>5606</v>
      </c>
      <c r="D2334" s="79">
        <f t="shared" si="270"/>
        <v>9702832</v>
      </c>
      <c r="E2334" s="79" t="s">
        <v>5607</v>
      </c>
      <c r="F2334" s="79">
        <v>5</v>
      </c>
      <c r="G2334" s="79">
        <v>4</v>
      </c>
      <c r="H2334" s="79" t="s">
        <v>5601</v>
      </c>
      <c r="I2334" s="101"/>
      <c r="J2334" s="101"/>
      <c r="K2334" s="79">
        <v>5</v>
      </c>
      <c r="L2334" s="79">
        <v>8</v>
      </c>
      <c r="M2334" s="127" t="s">
        <v>5608</v>
      </c>
      <c r="N2334" s="79">
        <v>0</v>
      </c>
      <c r="O2334" s="79">
        <v>0</v>
      </c>
      <c r="P2334" s="107"/>
      <c r="Q2334" s="101"/>
    </row>
    <row r="2335" spans="1:17" s="79" customFormat="1">
      <c r="A2335" s="80">
        <v>980052</v>
      </c>
      <c r="B2335" s="79">
        <f t="shared" si="269"/>
        <v>9800521</v>
      </c>
      <c r="C2335" s="79" t="s">
        <v>5503</v>
      </c>
      <c r="D2335" s="79">
        <f t="shared" si="270"/>
        <v>9800522</v>
      </c>
      <c r="E2335" s="79" t="s">
        <v>5504</v>
      </c>
      <c r="F2335" s="79">
        <v>5</v>
      </c>
      <c r="G2335" s="79">
        <v>4</v>
      </c>
      <c r="H2335" s="79" t="s">
        <v>5505</v>
      </c>
      <c r="I2335" s="101"/>
      <c r="J2335" s="101"/>
      <c r="K2335" s="79">
        <v>4</v>
      </c>
      <c r="L2335" s="79">
        <v>8</v>
      </c>
      <c r="M2335" s="127" t="s">
        <v>5506</v>
      </c>
      <c r="N2335" s="79">
        <v>0</v>
      </c>
      <c r="O2335" s="79">
        <v>0</v>
      </c>
      <c r="P2335" s="107"/>
      <c r="Q2335" s="101"/>
    </row>
    <row r="2336" spans="1:17">
      <c r="A2336" s="78">
        <v>980071</v>
      </c>
      <c r="B2336" s="93">
        <f t="shared" si="257"/>
        <v>9800711</v>
      </c>
      <c r="C2336" s="93" t="s">
        <v>4807</v>
      </c>
      <c r="D2336" s="93">
        <f t="shared" si="258"/>
        <v>9800712</v>
      </c>
      <c r="E2336" s="79" t="s">
        <v>4808</v>
      </c>
      <c r="F2336" s="79">
        <v>5</v>
      </c>
      <c r="G2336" s="79">
        <v>4</v>
      </c>
      <c r="H2336" s="93" t="s">
        <v>4524</v>
      </c>
      <c r="I2336" s="92"/>
      <c r="J2336" s="92"/>
      <c r="K2336" s="79">
        <v>5</v>
      </c>
      <c r="L2336" s="79">
        <v>8</v>
      </c>
      <c r="M2336" s="127" t="s">
        <v>4809</v>
      </c>
      <c r="N2336" s="79">
        <v>0</v>
      </c>
      <c r="O2336" s="79">
        <v>0</v>
      </c>
      <c r="P2336" s="107"/>
    </row>
    <row r="2337" spans="1:24">
      <c r="A2337" s="78">
        <v>980072</v>
      </c>
      <c r="B2337" s="93">
        <f t="shared" si="257"/>
        <v>9800721</v>
      </c>
      <c r="C2337" s="93" t="s">
        <v>4810</v>
      </c>
      <c r="D2337" s="93">
        <f t="shared" si="258"/>
        <v>9800722</v>
      </c>
      <c r="E2337" s="79" t="s">
        <v>4811</v>
      </c>
      <c r="F2337" s="79">
        <v>5</v>
      </c>
      <c r="G2337" s="79">
        <v>4</v>
      </c>
      <c r="H2337" s="93" t="s">
        <v>4524</v>
      </c>
      <c r="I2337" s="92"/>
      <c r="J2337" s="92"/>
      <c r="K2337" s="79">
        <v>5</v>
      </c>
      <c r="L2337" s="79">
        <v>8</v>
      </c>
      <c r="M2337" s="127" t="s">
        <v>4812</v>
      </c>
      <c r="N2337" s="79">
        <v>0</v>
      </c>
      <c r="O2337" s="79">
        <v>0</v>
      </c>
      <c r="P2337" s="107"/>
    </row>
    <row r="2338" spans="1:24">
      <c r="A2338" s="78">
        <v>980073</v>
      </c>
      <c r="B2338" s="93">
        <f t="shared" si="257"/>
        <v>9800731</v>
      </c>
      <c r="C2338" s="93" t="s">
        <v>4813</v>
      </c>
      <c r="D2338" s="93">
        <f t="shared" si="258"/>
        <v>9800732</v>
      </c>
      <c r="E2338" s="79" t="s">
        <v>4814</v>
      </c>
      <c r="F2338" s="79">
        <v>5</v>
      </c>
      <c r="G2338" s="79">
        <v>4</v>
      </c>
      <c r="H2338" s="93" t="s">
        <v>4524</v>
      </c>
      <c r="I2338" s="92"/>
      <c r="J2338" s="92"/>
      <c r="K2338" s="79">
        <v>5</v>
      </c>
      <c r="L2338" s="79">
        <v>8</v>
      </c>
      <c r="M2338" s="127" t="s">
        <v>4815</v>
      </c>
      <c r="N2338" s="79">
        <v>0</v>
      </c>
      <c r="O2338" s="79">
        <v>0</v>
      </c>
      <c r="P2338" s="107"/>
      <c r="S2338" s="92"/>
      <c r="T2338" s="92"/>
      <c r="U2338" s="92"/>
      <c r="V2338" s="92"/>
      <c r="W2338" s="92"/>
      <c r="X2338" s="92"/>
    </row>
    <row r="2339" spans="1:24">
      <c r="A2339" s="78">
        <v>980074</v>
      </c>
      <c r="B2339" s="93">
        <f t="shared" si="257"/>
        <v>9800741</v>
      </c>
      <c r="C2339" s="93" t="s">
        <v>4816</v>
      </c>
      <c r="D2339" s="93">
        <f t="shared" si="258"/>
        <v>9800742</v>
      </c>
      <c r="E2339" s="79" t="s">
        <v>4817</v>
      </c>
      <c r="F2339" s="79">
        <v>5</v>
      </c>
      <c r="G2339" s="79">
        <v>4</v>
      </c>
      <c r="H2339" s="93" t="s">
        <v>4524</v>
      </c>
      <c r="I2339" s="92"/>
      <c r="J2339" s="92"/>
      <c r="K2339" s="79">
        <v>5</v>
      </c>
      <c r="L2339" s="79">
        <v>8</v>
      </c>
      <c r="M2339" s="127" t="s">
        <v>4818</v>
      </c>
      <c r="N2339" s="79">
        <v>0</v>
      </c>
      <c r="O2339" s="79">
        <v>0</v>
      </c>
      <c r="P2339" s="107"/>
      <c r="S2339" s="92"/>
      <c r="T2339" s="92"/>
      <c r="U2339" s="92"/>
      <c r="V2339" s="92"/>
      <c r="W2339" s="92"/>
      <c r="X2339" s="92"/>
    </row>
    <row r="2340" spans="1:24">
      <c r="A2340" s="78">
        <v>980283</v>
      </c>
      <c r="B2340" s="93">
        <f>A2340*10+1</f>
        <v>9802831</v>
      </c>
      <c r="C2340" s="93" t="s">
        <v>5609</v>
      </c>
      <c r="D2340" s="93">
        <f t="shared" si="258"/>
        <v>9802832</v>
      </c>
      <c r="E2340" s="79" t="s">
        <v>5610</v>
      </c>
      <c r="F2340" s="79">
        <v>5</v>
      </c>
      <c r="G2340" s="79">
        <v>4</v>
      </c>
      <c r="H2340" s="93" t="s">
        <v>5615</v>
      </c>
      <c r="I2340" s="92"/>
      <c r="J2340" s="92"/>
      <c r="K2340" s="79">
        <v>5</v>
      </c>
      <c r="L2340" s="79">
        <v>8</v>
      </c>
      <c r="M2340" s="127" t="s">
        <v>5611</v>
      </c>
      <c r="N2340" s="79">
        <v>0</v>
      </c>
      <c r="O2340" s="79">
        <v>0</v>
      </c>
      <c r="P2340" s="107"/>
      <c r="S2340" s="92"/>
      <c r="T2340" s="92"/>
      <c r="U2340" s="92"/>
      <c r="V2340" s="92"/>
      <c r="W2340" s="92"/>
      <c r="X2340" s="92"/>
    </row>
    <row r="2341" spans="1:24">
      <c r="A2341" s="78">
        <v>980311</v>
      </c>
      <c r="B2341" s="93">
        <f t="shared" si="257"/>
        <v>9803111</v>
      </c>
      <c r="C2341" s="93" t="s">
        <v>4819</v>
      </c>
      <c r="D2341" s="93">
        <f t="shared" si="258"/>
        <v>9803112</v>
      </c>
      <c r="E2341" s="79" t="s">
        <v>4820</v>
      </c>
      <c r="F2341" s="79">
        <v>5</v>
      </c>
      <c r="G2341" s="79">
        <v>4</v>
      </c>
      <c r="H2341" s="93" t="s">
        <v>4596</v>
      </c>
      <c r="I2341" s="92"/>
      <c r="J2341" s="92"/>
      <c r="K2341" s="79">
        <v>5</v>
      </c>
      <c r="L2341" s="79">
        <v>8</v>
      </c>
      <c r="M2341" s="127" t="s">
        <v>4821</v>
      </c>
      <c r="N2341" s="79">
        <v>0</v>
      </c>
      <c r="O2341" s="79">
        <v>0</v>
      </c>
      <c r="P2341" s="107"/>
      <c r="R2341" s="92"/>
      <c r="S2341" s="92"/>
      <c r="T2341" s="92"/>
      <c r="U2341" s="92"/>
      <c r="V2341" s="92"/>
      <c r="W2341" s="92"/>
      <c r="X2341" s="92"/>
    </row>
    <row r="2342" spans="1:24">
      <c r="A2342" s="78">
        <v>980312</v>
      </c>
      <c r="B2342" s="93">
        <f t="shared" si="257"/>
        <v>9803121</v>
      </c>
      <c r="C2342" s="93" t="s">
        <v>4822</v>
      </c>
      <c r="D2342" s="93">
        <f t="shared" si="258"/>
        <v>9803122</v>
      </c>
      <c r="E2342" s="79" t="s">
        <v>4823</v>
      </c>
      <c r="F2342" s="79">
        <v>5</v>
      </c>
      <c r="G2342" s="79">
        <v>4</v>
      </c>
      <c r="H2342" s="93" t="s">
        <v>4596</v>
      </c>
      <c r="I2342" s="92"/>
      <c r="J2342" s="92"/>
      <c r="K2342" s="79">
        <v>5</v>
      </c>
      <c r="L2342" s="79">
        <v>8</v>
      </c>
      <c r="M2342" s="127" t="s">
        <v>4824</v>
      </c>
      <c r="N2342" s="79">
        <v>0</v>
      </c>
      <c r="O2342" s="79">
        <v>0</v>
      </c>
      <c r="P2342" s="107"/>
      <c r="R2342" s="92"/>
      <c r="S2342" s="92"/>
      <c r="T2342" s="92"/>
      <c r="U2342" s="92"/>
      <c r="V2342" s="92"/>
      <c r="W2342" s="92"/>
      <c r="X2342" s="92"/>
    </row>
    <row r="2343" spans="1:24">
      <c r="A2343" s="78">
        <v>980313</v>
      </c>
      <c r="B2343" s="93">
        <f t="shared" si="257"/>
        <v>9803131</v>
      </c>
      <c r="C2343" s="93" t="s">
        <v>4825</v>
      </c>
      <c r="D2343" s="93">
        <f t="shared" si="258"/>
        <v>9803132</v>
      </c>
      <c r="E2343" s="79" t="s">
        <v>4826</v>
      </c>
      <c r="F2343" s="79">
        <v>5</v>
      </c>
      <c r="G2343" s="79">
        <v>4</v>
      </c>
      <c r="H2343" s="93" t="s">
        <v>4596</v>
      </c>
      <c r="I2343" s="92"/>
      <c r="J2343" s="92"/>
      <c r="K2343" s="79">
        <v>5</v>
      </c>
      <c r="L2343" s="79">
        <v>8</v>
      </c>
      <c r="M2343" s="127" t="s">
        <v>4827</v>
      </c>
      <c r="N2343" s="79">
        <v>0</v>
      </c>
      <c r="O2343" s="79">
        <v>0</v>
      </c>
      <c r="P2343" s="107"/>
      <c r="R2343" s="92"/>
    </row>
    <row r="2344" spans="1:24">
      <c r="A2344" s="78">
        <v>980314</v>
      </c>
      <c r="B2344" s="93">
        <f t="shared" si="257"/>
        <v>9803141</v>
      </c>
      <c r="C2344" s="93" t="s">
        <v>4828</v>
      </c>
      <c r="D2344" s="93">
        <f t="shared" si="258"/>
        <v>9803142</v>
      </c>
      <c r="E2344" s="79" t="s">
        <v>4829</v>
      </c>
      <c r="F2344" s="79">
        <v>5</v>
      </c>
      <c r="G2344" s="79">
        <v>4</v>
      </c>
      <c r="H2344" s="93" t="s">
        <v>4596</v>
      </c>
      <c r="I2344" s="92"/>
      <c r="J2344" s="92"/>
      <c r="K2344" s="79">
        <v>5</v>
      </c>
      <c r="L2344" s="79">
        <v>8</v>
      </c>
      <c r="M2344" s="127" t="s">
        <v>4830</v>
      </c>
      <c r="N2344" s="79">
        <v>0</v>
      </c>
      <c r="O2344" s="79">
        <v>0</v>
      </c>
      <c r="P2344" s="107"/>
      <c r="R2344" s="92"/>
    </row>
    <row r="2345" spans="1:24">
      <c r="A2345" s="78">
        <v>980331</v>
      </c>
      <c r="B2345" s="93">
        <f t="shared" si="257"/>
        <v>9803311</v>
      </c>
      <c r="C2345" s="93" t="s">
        <v>4831</v>
      </c>
      <c r="D2345" s="93">
        <f t="shared" si="258"/>
        <v>9803312</v>
      </c>
      <c r="E2345" s="79" t="s">
        <v>4832</v>
      </c>
      <c r="F2345" s="79">
        <v>5</v>
      </c>
      <c r="G2345" s="79">
        <v>4</v>
      </c>
      <c r="H2345" s="93" t="s">
        <v>4602</v>
      </c>
      <c r="I2345" s="92"/>
      <c r="J2345" s="92"/>
      <c r="K2345" s="79">
        <v>5</v>
      </c>
      <c r="L2345" s="79">
        <v>8</v>
      </c>
      <c r="M2345" s="127" t="s">
        <v>4833</v>
      </c>
      <c r="N2345" s="79">
        <v>0</v>
      </c>
      <c r="O2345" s="79">
        <v>0</v>
      </c>
      <c r="P2345" s="107"/>
      <c r="Q2345" s="92"/>
    </row>
    <row r="2346" spans="1:24">
      <c r="A2346" s="78">
        <v>980332</v>
      </c>
      <c r="B2346" s="93">
        <f t="shared" si="257"/>
        <v>9803321</v>
      </c>
      <c r="C2346" s="93" t="s">
        <v>4834</v>
      </c>
      <c r="D2346" s="93">
        <f t="shared" si="258"/>
        <v>9803322</v>
      </c>
      <c r="E2346" s="79" t="s">
        <v>4835</v>
      </c>
      <c r="F2346" s="79">
        <v>5</v>
      </c>
      <c r="G2346" s="79">
        <v>4</v>
      </c>
      <c r="H2346" s="93" t="s">
        <v>4602</v>
      </c>
      <c r="I2346" s="92"/>
      <c r="J2346" s="92"/>
      <c r="K2346" s="79">
        <v>5</v>
      </c>
      <c r="L2346" s="79">
        <v>8</v>
      </c>
      <c r="M2346" s="127" t="s">
        <v>4836</v>
      </c>
      <c r="N2346" s="79">
        <v>0</v>
      </c>
      <c r="O2346" s="79">
        <v>0</v>
      </c>
      <c r="P2346" s="107"/>
      <c r="Q2346" s="92"/>
    </row>
    <row r="2347" spans="1:24">
      <c r="A2347" s="78">
        <v>980333</v>
      </c>
      <c r="B2347" s="93">
        <f t="shared" ref="B2347:B2408" si="271">A2347*10+1</f>
        <v>9803331</v>
      </c>
      <c r="C2347" s="93" t="s">
        <v>4837</v>
      </c>
      <c r="D2347" s="93">
        <f t="shared" ref="D2347:D2408" si="272">A2347*10+2</f>
        <v>9803332</v>
      </c>
      <c r="E2347" s="79" t="s">
        <v>4838</v>
      </c>
      <c r="F2347" s="79">
        <v>5</v>
      </c>
      <c r="G2347" s="79">
        <v>4</v>
      </c>
      <c r="H2347" s="93" t="s">
        <v>4602</v>
      </c>
      <c r="I2347" s="92"/>
      <c r="J2347" s="92"/>
      <c r="K2347" s="79">
        <v>5</v>
      </c>
      <c r="L2347" s="79">
        <v>8</v>
      </c>
      <c r="M2347" s="127" t="s">
        <v>4839</v>
      </c>
      <c r="N2347" s="79">
        <v>0</v>
      </c>
      <c r="O2347" s="79">
        <v>0</v>
      </c>
      <c r="P2347" s="107"/>
      <c r="Q2347" s="92"/>
    </row>
    <row r="2348" spans="1:24">
      <c r="A2348" s="78">
        <v>980334</v>
      </c>
      <c r="B2348" s="93">
        <f t="shared" si="271"/>
        <v>9803341</v>
      </c>
      <c r="C2348" s="93" t="s">
        <v>4840</v>
      </c>
      <c r="D2348" s="93">
        <f t="shared" si="272"/>
        <v>9803342</v>
      </c>
      <c r="E2348" s="79" t="s">
        <v>4841</v>
      </c>
      <c r="F2348" s="79">
        <v>5</v>
      </c>
      <c r="G2348" s="79">
        <v>4</v>
      </c>
      <c r="H2348" s="93" t="s">
        <v>4602</v>
      </c>
      <c r="I2348" s="92"/>
      <c r="J2348" s="92"/>
      <c r="K2348" s="79">
        <v>5</v>
      </c>
      <c r="L2348" s="79">
        <v>8</v>
      </c>
      <c r="M2348" s="127" t="s">
        <v>4842</v>
      </c>
      <c r="N2348" s="79">
        <v>0</v>
      </c>
      <c r="O2348" s="79">
        <v>0</v>
      </c>
      <c r="P2348" s="107"/>
      <c r="Q2348" s="92"/>
    </row>
    <row r="2349" spans="1:24" s="79" customFormat="1">
      <c r="A2349" s="80">
        <v>980351</v>
      </c>
      <c r="B2349" s="79">
        <f t="shared" si="271"/>
        <v>9803511</v>
      </c>
      <c r="C2349" s="79" t="s">
        <v>4843</v>
      </c>
      <c r="D2349" s="79">
        <f t="shared" si="272"/>
        <v>9803512</v>
      </c>
      <c r="E2349" s="79" t="s">
        <v>4844</v>
      </c>
      <c r="F2349" s="79">
        <v>5</v>
      </c>
      <c r="G2349" s="79">
        <v>4</v>
      </c>
      <c r="H2349" s="79" t="s">
        <v>4608</v>
      </c>
      <c r="I2349" s="101"/>
      <c r="J2349" s="101"/>
      <c r="K2349" s="79">
        <v>5</v>
      </c>
      <c r="L2349" s="79">
        <v>8</v>
      </c>
      <c r="M2349" s="127" t="s">
        <v>4845</v>
      </c>
      <c r="N2349" s="79">
        <v>0</v>
      </c>
      <c r="O2349" s="79">
        <v>0</v>
      </c>
      <c r="P2349" s="107"/>
      <c r="Q2349" s="101"/>
    </row>
    <row r="2350" spans="1:24" s="79" customFormat="1">
      <c r="A2350" s="80">
        <v>980352</v>
      </c>
      <c r="B2350" s="79">
        <f t="shared" si="271"/>
        <v>9803521</v>
      </c>
      <c r="C2350" s="79" t="s">
        <v>4846</v>
      </c>
      <c r="D2350" s="79">
        <f t="shared" si="272"/>
        <v>9803522</v>
      </c>
      <c r="E2350" s="79" t="s">
        <v>4847</v>
      </c>
      <c r="F2350" s="79">
        <v>5</v>
      </c>
      <c r="G2350" s="79">
        <v>4</v>
      </c>
      <c r="H2350" s="79" t="s">
        <v>4608</v>
      </c>
      <c r="I2350" s="101"/>
      <c r="J2350" s="101"/>
      <c r="K2350" s="79">
        <v>5</v>
      </c>
      <c r="L2350" s="79">
        <v>8</v>
      </c>
      <c r="M2350" s="127" t="s">
        <v>4848</v>
      </c>
      <c r="N2350" s="79">
        <v>0</v>
      </c>
      <c r="O2350" s="79">
        <v>0</v>
      </c>
      <c r="P2350" s="107"/>
      <c r="Q2350" s="101"/>
    </row>
    <row r="2351" spans="1:24" s="79" customFormat="1">
      <c r="A2351" s="80">
        <v>980353</v>
      </c>
      <c r="B2351" s="79">
        <f t="shared" ref="B2351:B2352" si="273">A2351*10+1</f>
        <v>9803531</v>
      </c>
      <c r="C2351" s="79" t="s">
        <v>4849</v>
      </c>
      <c r="D2351" s="79">
        <f t="shared" ref="D2351:D2352" si="274">A2351*10+2</f>
        <v>9803532</v>
      </c>
      <c r="E2351" s="79" t="s">
        <v>4850</v>
      </c>
      <c r="F2351" s="79">
        <v>5</v>
      </c>
      <c r="G2351" s="79">
        <v>4</v>
      </c>
      <c r="H2351" s="79" t="s">
        <v>4608</v>
      </c>
      <c r="I2351" s="101"/>
      <c r="J2351" s="101"/>
      <c r="K2351" s="79">
        <v>5</v>
      </c>
      <c r="L2351" s="79">
        <v>8</v>
      </c>
      <c r="M2351" s="127" t="s">
        <v>4851</v>
      </c>
      <c r="N2351" s="79">
        <v>0</v>
      </c>
      <c r="O2351" s="79">
        <v>0</v>
      </c>
      <c r="P2351" s="107"/>
      <c r="Q2351" s="101"/>
    </row>
    <row r="2352" spans="1:24" s="79" customFormat="1">
      <c r="A2352" s="80">
        <v>980354</v>
      </c>
      <c r="B2352" s="79">
        <f t="shared" si="273"/>
        <v>9803541</v>
      </c>
      <c r="C2352" s="79" t="s">
        <v>4852</v>
      </c>
      <c r="D2352" s="79">
        <f t="shared" si="274"/>
        <v>9803542</v>
      </c>
      <c r="E2352" s="79" t="s">
        <v>4853</v>
      </c>
      <c r="F2352" s="79">
        <v>5</v>
      </c>
      <c r="G2352" s="79">
        <v>4</v>
      </c>
      <c r="H2352" s="79" t="s">
        <v>4608</v>
      </c>
      <c r="I2352" s="101"/>
      <c r="J2352" s="101"/>
      <c r="K2352" s="79">
        <v>5</v>
      </c>
      <c r="L2352" s="79">
        <v>8</v>
      </c>
      <c r="M2352" s="127" t="s">
        <v>4854</v>
      </c>
      <c r="N2352" s="79">
        <v>0</v>
      </c>
      <c r="O2352" s="79">
        <v>0</v>
      </c>
      <c r="P2352" s="107"/>
      <c r="Q2352" s="101"/>
    </row>
    <row r="2353" spans="1:17">
      <c r="A2353" s="78">
        <v>980361</v>
      </c>
      <c r="B2353" s="93">
        <f t="shared" si="271"/>
        <v>9803611</v>
      </c>
      <c r="C2353" s="93" t="s">
        <v>4855</v>
      </c>
      <c r="D2353" s="93">
        <f t="shared" si="272"/>
        <v>9803612</v>
      </c>
      <c r="E2353" s="79" t="s">
        <v>4856</v>
      </c>
      <c r="F2353" s="79">
        <v>5</v>
      </c>
      <c r="G2353" s="79">
        <v>4</v>
      </c>
      <c r="H2353" s="92" t="s">
        <v>4611</v>
      </c>
      <c r="I2353" s="92"/>
      <c r="J2353" s="92"/>
      <c r="K2353" s="79">
        <v>5</v>
      </c>
      <c r="L2353" s="79">
        <v>8</v>
      </c>
      <c r="M2353" s="127" t="s">
        <v>4857</v>
      </c>
      <c r="N2353" s="79">
        <v>0</v>
      </c>
      <c r="O2353" s="79">
        <v>0</v>
      </c>
      <c r="P2353" s="107"/>
      <c r="Q2353" s="92"/>
    </row>
    <row r="2354" spans="1:17">
      <c r="A2354" s="78">
        <v>980362</v>
      </c>
      <c r="B2354" s="93">
        <f t="shared" si="271"/>
        <v>9803621</v>
      </c>
      <c r="C2354" s="93" t="s">
        <v>4858</v>
      </c>
      <c r="D2354" s="93">
        <f t="shared" si="272"/>
        <v>9803622</v>
      </c>
      <c r="E2354" s="79" t="s">
        <v>4859</v>
      </c>
      <c r="F2354" s="79">
        <v>5</v>
      </c>
      <c r="G2354" s="79">
        <v>4</v>
      </c>
      <c r="H2354" s="92" t="s">
        <v>4611</v>
      </c>
      <c r="I2354" s="92"/>
      <c r="J2354" s="92"/>
      <c r="K2354" s="79">
        <v>5</v>
      </c>
      <c r="L2354" s="79">
        <v>8</v>
      </c>
      <c r="M2354" s="127" t="s">
        <v>4860</v>
      </c>
      <c r="N2354" s="79">
        <v>0</v>
      </c>
      <c r="O2354" s="79">
        <v>0</v>
      </c>
      <c r="P2354" s="107"/>
      <c r="Q2354" s="92"/>
    </row>
    <row r="2355" spans="1:17">
      <c r="A2355" s="78">
        <v>980363</v>
      </c>
      <c r="B2355" s="93">
        <f t="shared" si="271"/>
        <v>9803631</v>
      </c>
      <c r="C2355" s="93" t="s">
        <v>4861</v>
      </c>
      <c r="D2355" s="93">
        <f t="shared" si="272"/>
        <v>9803632</v>
      </c>
      <c r="E2355" s="79" t="s">
        <v>4862</v>
      </c>
      <c r="F2355" s="79">
        <v>5</v>
      </c>
      <c r="G2355" s="79">
        <v>4</v>
      </c>
      <c r="H2355" s="92" t="s">
        <v>4611</v>
      </c>
      <c r="I2355" s="92"/>
      <c r="J2355" s="92"/>
      <c r="K2355" s="79">
        <v>5</v>
      </c>
      <c r="L2355" s="79">
        <v>8</v>
      </c>
      <c r="M2355" s="127" t="s">
        <v>4863</v>
      </c>
      <c r="N2355" s="79">
        <v>0</v>
      </c>
      <c r="O2355" s="79">
        <v>0</v>
      </c>
      <c r="P2355" s="107"/>
      <c r="Q2355" s="92"/>
    </row>
    <row r="2356" spans="1:17">
      <c r="A2356" s="78">
        <v>980364</v>
      </c>
      <c r="B2356" s="93">
        <f t="shared" si="271"/>
        <v>9803641</v>
      </c>
      <c r="C2356" s="93" t="s">
        <v>4864</v>
      </c>
      <c r="D2356" s="93">
        <f t="shared" si="272"/>
        <v>9803642</v>
      </c>
      <c r="E2356" s="79" t="s">
        <v>4865</v>
      </c>
      <c r="F2356" s="79">
        <v>5</v>
      </c>
      <c r="G2356" s="79">
        <v>4</v>
      </c>
      <c r="H2356" s="92" t="s">
        <v>4611</v>
      </c>
      <c r="I2356" s="92"/>
      <c r="J2356" s="92"/>
      <c r="K2356" s="79">
        <v>5</v>
      </c>
      <c r="L2356" s="79">
        <v>8</v>
      </c>
      <c r="M2356" s="127" t="s">
        <v>4866</v>
      </c>
      <c r="N2356" s="79">
        <v>0</v>
      </c>
      <c r="O2356" s="79">
        <v>0</v>
      </c>
      <c r="P2356" s="107"/>
      <c r="Q2356" s="92"/>
    </row>
    <row r="2357" spans="1:17">
      <c r="A2357" s="78">
        <v>980365</v>
      </c>
      <c r="B2357" s="93">
        <f t="shared" ref="B2357:B2364" si="275">A2357*10+1</f>
        <v>9803651</v>
      </c>
      <c r="C2357" s="93" t="s">
        <v>4867</v>
      </c>
      <c r="D2357" s="93">
        <f t="shared" si="272"/>
        <v>9803652</v>
      </c>
      <c r="E2357" s="93" t="s">
        <v>4868</v>
      </c>
      <c r="F2357" s="93">
        <v>5</v>
      </c>
      <c r="G2357" s="93">
        <v>4</v>
      </c>
      <c r="H2357" s="92" t="s">
        <v>4578</v>
      </c>
      <c r="I2357" s="92"/>
      <c r="J2357" s="92"/>
      <c r="K2357" s="93">
        <v>5</v>
      </c>
      <c r="L2357" s="93">
        <v>8</v>
      </c>
      <c r="M2357" s="117" t="s">
        <v>4869</v>
      </c>
      <c r="N2357" s="93">
        <v>0</v>
      </c>
      <c r="O2357" s="93">
        <v>0</v>
      </c>
      <c r="P2357" s="98"/>
      <c r="Q2357" s="92"/>
    </row>
    <row r="2358" spans="1:17">
      <c r="A2358" s="78">
        <v>980366</v>
      </c>
      <c r="B2358" s="93">
        <f t="shared" si="275"/>
        <v>9803661</v>
      </c>
      <c r="C2358" s="93" t="s">
        <v>4870</v>
      </c>
      <c r="D2358" s="93">
        <f t="shared" si="272"/>
        <v>9803662</v>
      </c>
      <c r="E2358" s="93" t="s">
        <v>4871</v>
      </c>
      <c r="F2358" s="93">
        <v>5</v>
      </c>
      <c r="G2358" s="93">
        <v>4</v>
      </c>
      <c r="H2358" s="92" t="s">
        <v>4578</v>
      </c>
      <c r="I2358" s="92"/>
      <c r="J2358" s="92"/>
      <c r="K2358" s="93">
        <v>5</v>
      </c>
      <c r="L2358" s="93">
        <v>8</v>
      </c>
      <c r="M2358" s="117" t="s">
        <v>4872</v>
      </c>
      <c r="N2358" s="93">
        <v>0</v>
      </c>
      <c r="O2358" s="93">
        <v>0</v>
      </c>
      <c r="P2358" s="98"/>
      <c r="Q2358" s="92"/>
    </row>
    <row r="2359" spans="1:17">
      <c r="A2359" s="78">
        <v>980367</v>
      </c>
      <c r="B2359" s="93">
        <f t="shared" si="275"/>
        <v>9803671</v>
      </c>
      <c r="C2359" s="93" t="s">
        <v>4873</v>
      </c>
      <c r="D2359" s="93">
        <f t="shared" si="272"/>
        <v>9803672</v>
      </c>
      <c r="E2359" s="93" t="s">
        <v>4874</v>
      </c>
      <c r="F2359" s="93">
        <v>5</v>
      </c>
      <c r="G2359" s="93">
        <v>4</v>
      </c>
      <c r="H2359" s="92" t="s">
        <v>4578</v>
      </c>
      <c r="I2359" s="92"/>
      <c r="J2359" s="92"/>
      <c r="K2359" s="93">
        <v>5</v>
      </c>
      <c r="L2359" s="93">
        <v>8</v>
      </c>
      <c r="M2359" s="117" t="s">
        <v>4875</v>
      </c>
      <c r="N2359" s="93">
        <v>0</v>
      </c>
      <c r="O2359" s="93">
        <v>0</v>
      </c>
      <c r="P2359" s="98"/>
      <c r="Q2359" s="92"/>
    </row>
    <row r="2360" spans="1:17">
      <c r="A2360" s="78">
        <v>980368</v>
      </c>
      <c r="B2360" s="93">
        <f t="shared" si="275"/>
        <v>9803681</v>
      </c>
      <c r="C2360" s="93" t="s">
        <v>4876</v>
      </c>
      <c r="D2360" s="93">
        <f t="shared" si="272"/>
        <v>9803682</v>
      </c>
      <c r="E2360" s="93" t="s">
        <v>4877</v>
      </c>
      <c r="F2360" s="93">
        <v>5</v>
      </c>
      <c r="G2360" s="93">
        <v>4</v>
      </c>
      <c r="H2360" s="92" t="s">
        <v>4578</v>
      </c>
      <c r="I2360" s="92"/>
      <c r="J2360" s="92"/>
      <c r="K2360" s="93">
        <v>5</v>
      </c>
      <c r="L2360" s="93">
        <v>8</v>
      </c>
      <c r="M2360" s="117" t="s">
        <v>4878</v>
      </c>
      <c r="N2360" s="93">
        <v>0</v>
      </c>
      <c r="O2360" s="93">
        <v>0</v>
      </c>
      <c r="P2360" s="98"/>
      <c r="Q2360" s="92"/>
    </row>
    <row r="2361" spans="1:17">
      <c r="A2361" s="78">
        <v>980371</v>
      </c>
      <c r="B2361" s="93">
        <f t="shared" si="275"/>
        <v>9803711</v>
      </c>
      <c r="C2361" s="93" t="s">
        <v>4879</v>
      </c>
      <c r="D2361" s="93">
        <f t="shared" si="272"/>
        <v>9803712</v>
      </c>
      <c r="E2361" s="93" t="s">
        <v>4880</v>
      </c>
      <c r="F2361" s="93">
        <v>5</v>
      </c>
      <c r="G2361" s="93">
        <v>4</v>
      </c>
      <c r="H2361" s="92" t="s">
        <v>4620</v>
      </c>
      <c r="I2361" s="92"/>
      <c r="J2361" s="92"/>
      <c r="K2361" s="93">
        <v>5</v>
      </c>
      <c r="L2361" s="93">
        <v>8</v>
      </c>
      <c r="M2361" s="117" t="s">
        <v>4881</v>
      </c>
      <c r="N2361" s="93">
        <v>0</v>
      </c>
      <c r="O2361" s="93">
        <v>0</v>
      </c>
      <c r="P2361" s="98"/>
      <c r="Q2361" s="92"/>
    </row>
    <row r="2362" spans="1:17">
      <c r="A2362" s="78">
        <v>980372</v>
      </c>
      <c r="B2362" s="93">
        <f t="shared" si="275"/>
        <v>9803721</v>
      </c>
      <c r="C2362" s="93" t="s">
        <v>4882</v>
      </c>
      <c r="D2362" s="93">
        <f t="shared" si="272"/>
        <v>9803722</v>
      </c>
      <c r="E2362" s="93" t="s">
        <v>4883</v>
      </c>
      <c r="F2362" s="93">
        <v>5</v>
      </c>
      <c r="G2362" s="93">
        <v>4</v>
      </c>
      <c r="H2362" s="92" t="s">
        <v>4620</v>
      </c>
      <c r="I2362" s="92"/>
      <c r="J2362" s="92"/>
      <c r="K2362" s="93">
        <v>5</v>
      </c>
      <c r="L2362" s="93">
        <v>8</v>
      </c>
      <c r="M2362" s="117" t="s">
        <v>4884</v>
      </c>
      <c r="N2362" s="93">
        <v>0</v>
      </c>
      <c r="O2362" s="93">
        <v>0</v>
      </c>
      <c r="P2362" s="98"/>
      <c r="Q2362" s="92"/>
    </row>
    <row r="2363" spans="1:17">
      <c r="A2363" s="78">
        <v>980373</v>
      </c>
      <c r="B2363" s="93">
        <f t="shared" si="275"/>
        <v>9803731</v>
      </c>
      <c r="C2363" s="93" t="s">
        <v>4885</v>
      </c>
      <c r="D2363" s="93">
        <f t="shared" si="272"/>
        <v>9803732</v>
      </c>
      <c r="E2363" s="93" t="s">
        <v>4886</v>
      </c>
      <c r="F2363" s="93">
        <v>5</v>
      </c>
      <c r="G2363" s="93">
        <v>4</v>
      </c>
      <c r="H2363" s="92" t="s">
        <v>4620</v>
      </c>
      <c r="I2363" s="92"/>
      <c r="J2363" s="92"/>
      <c r="K2363" s="93">
        <v>5</v>
      </c>
      <c r="L2363" s="93">
        <v>8</v>
      </c>
      <c r="M2363" s="117" t="s">
        <v>4887</v>
      </c>
      <c r="N2363" s="93">
        <v>0</v>
      </c>
      <c r="O2363" s="93">
        <v>0</v>
      </c>
      <c r="P2363" s="98"/>
      <c r="Q2363" s="92"/>
    </row>
    <row r="2364" spans="1:17">
      <c r="A2364" s="78">
        <v>980374</v>
      </c>
      <c r="B2364" s="93">
        <f t="shared" si="275"/>
        <v>9803741</v>
      </c>
      <c r="C2364" s="93" t="s">
        <v>4888</v>
      </c>
      <c r="D2364" s="93">
        <f t="shared" si="272"/>
        <v>9803742</v>
      </c>
      <c r="E2364" s="93" t="s">
        <v>4889</v>
      </c>
      <c r="F2364" s="93">
        <v>5</v>
      </c>
      <c r="G2364" s="93">
        <v>4</v>
      </c>
      <c r="H2364" s="92" t="s">
        <v>4620</v>
      </c>
      <c r="I2364" s="92"/>
      <c r="J2364" s="92"/>
      <c r="K2364" s="93">
        <v>5</v>
      </c>
      <c r="L2364" s="93">
        <v>8</v>
      </c>
      <c r="M2364" s="117" t="s">
        <v>4890</v>
      </c>
      <c r="N2364" s="93">
        <v>0</v>
      </c>
      <c r="O2364" s="93">
        <v>0</v>
      </c>
      <c r="P2364" s="98"/>
      <c r="Q2364" s="92"/>
    </row>
    <row r="2365" spans="1:17" s="79" customFormat="1">
      <c r="A2365" s="80">
        <v>980381</v>
      </c>
      <c r="B2365" s="79">
        <f t="shared" ref="B2365:B2368" si="276">A2365*10+1</f>
        <v>9803811</v>
      </c>
      <c r="C2365" s="79" t="s">
        <v>4891</v>
      </c>
      <c r="D2365" s="79">
        <f t="shared" ref="D2365:D2368" si="277">A2365*10+2</f>
        <v>9803812</v>
      </c>
      <c r="E2365" s="79" t="s">
        <v>4892</v>
      </c>
      <c r="F2365" s="79">
        <v>5</v>
      </c>
      <c r="G2365" s="79">
        <v>4</v>
      </c>
      <c r="H2365" s="101" t="s">
        <v>4630</v>
      </c>
      <c r="I2365" s="101"/>
      <c r="J2365" s="101"/>
      <c r="K2365" s="79">
        <v>5</v>
      </c>
      <c r="L2365" s="79">
        <v>8</v>
      </c>
      <c r="M2365" s="127" t="s">
        <v>4893</v>
      </c>
      <c r="N2365" s="79">
        <v>0</v>
      </c>
      <c r="O2365" s="79">
        <v>0</v>
      </c>
      <c r="P2365" s="107"/>
      <c r="Q2365" s="101"/>
    </row>
    <row r="2366" spans="1:17" s="79" customFormat="1">
      <c r="A2366" s="80">
        <v>980382</v>
      </c>
      <c r="B2366" s="79">
        <f t="shared" si="276"/>
        <v>9803821</v>
      </c>
      <c r="C2366" s="79" t="s">
        <v>4894</v>
      </c>
      <c r="D2366" s="79">
        <f t="shared" si="277"/>
        <v>9803822</v>
      </c>
      <c r="E2366" s="79" t="s">
        <v>4895</v>
      </c>
      <c r="F2366" s="79">
        <v>5</v>
      </c>
      <c r="G2366" s="79">
        <v>4</v>
      </c>
      <c r="H2366" s="101" t="s">
        <v>4630</v>
      </c>
      <c r="I2366" s="101"/>
      <c r="J2366" s="101"/>
      <c r="K2366" s="79">
        <v>5</v>
      </c>
      <c r="L2366" s="79">
        <v>8</v>
      </c>
      <c r="M2366" s="127" t="s">
        <v>4896</v>
      </c>
      <c r="N2366" s="79">
        <v>0</v>
      </c>
      <c r="O2366" s="79">
        <v>0</v>
      </c>
      <c r="P2366" s="107"/>
      <c r="Q2366" s="101"/>
    </row>
    <row r="2367" spans="1:17" s="79" customFormat="1">
      <c r="A2367" s="80">
        <v>980383</v>
      </c>
      <c r="B2367" s="79">
        <f t="shared" si="276"/>
        <v>9803831</v>
      </c>
      <c r="C2367" s="79" t="s">
        <v>4897</v>
      </c>
      <c r="D2367" s="79">
        <f t="shared" si="277"/>
        <v>9803832</v>
      </c>
      <c r="E2367" s="79" t="s">
        <v>4898</v>
      </c>
      <c r="F2367" s="79">
        <v>5</v>
      </c>
      <c r="G2367" s="79">
        <v>4</v>
      </c>
      <c r="H2367" s="101" t="s">
        <v>4630</v>
      </c>
      <c r="I2367" s="101"/>
      <c r="J2367" s="101"/>
      <c r="K2367" s="79">
        <v>5</v>
      </c>
      <c r="L2367" s="79">
        <v>8</v>
      </c>
      <c r="M2367" s="127" t="s">
        <v>4899</v>
      </c>
      <c r="N2367" s="79">
        <v>0</v>
      </c>
      <c r="O2367" s="79">
        <v>0</v>
      </c>
      <c r="P2367" s="107"/>
      <c r="Q2367" s="101"/>
    </row>
    <row r="2368" spans="1:17" s="79" customFormat="1">
      <c r="A2368" s="80">
        <v>980384</v>
      </c>
      <c r="B2368" s="79">
        <f t="shared" si="276"/>
        <v>9803841</v>
      </c>
      <c r="C2368" s="79" t="s">
        <v>4900</v>
      </c>
      <c r="D2368" s="79">
        <f t="shared" si="277"/>
        <v>9803842</v>
      </c>
      <c r="E2368" s="79" t="s">
        <v>4901</v>
      </c>
      <c r="F2368" s="79">
        <v>5</v>
      </c>
      <c r="G2368" s="79">
        <v>4</v>
      </c>
      <c r="H2368" s="101" t="s">
        <v>4630</v>
      </c>
      <c r="I2368" s="101"/>
      <c r="J2368" s="101"/>
      <c r="K2368" s="79">
        <v>5</v>
      </c>
      <c r="L2368" s="79">
        <v>8</v>
      </c>
      <c r="M2368" s="127" t="s">
        <v>4902</v>
      </c>
      <c r="N2368" s="79">
        <v>0</v>
      </c>
      <c r="O2368" s="79">
        <v>0</v>
      </c>
      <c r="P2368" s="107"/>
      <c r="Q2368" s="101"/>
    </row>
    <row r="2369" spans="1:17" s="79" customFormat="1">
      <c r="A2369" s="80">
        <v>980441</v>
      </c>
      <c r="B2369" s="79">
        <f t="shared" ref="B2369:B2372" si="278">A2369*10+1</f>
        <v>9804411</v>
      </c>
      <c r="C2369" s="79" t="s">
        <v>4903</v>
      </c>
      <c r="D2369" s="79">
        <f t="shared" ref="D2369:D2372" si="279">A2369*10+2</f>
        <v>9804412</v>
      </c>
      <c r="E2369" s="79" t="s">
        <v>4904</v>
      </c>
      <c r="F2369" s="79">
        <v>5</v>
      </c>
      <c r="G2369" s="79">
        <v>4</v>
      </c>
      <c r="H2369" s="101" t="s">
        <v>4633</v>
      </c>
      <c r="I2369" s="101"/>
      <c r="J2369" s="101"/>
      <c r="K2369" s="79">
        <v>5</v>
      </c>
      <c r="L2369" s="79">
        <v>8</v>
      </c>
      <c r="M2369" s="127" t="s">
        <v>4905</v>
      </c>
      <c r="N2369" s="79">
        <v>0</v>
      </c>
      <c r="O2369" s="79">
        <v>0</v>
      </c>
      <c r="P2369" s="107"/>
      <c r="Q2369" s="101"/>
    </row>
    <row r="2370" spans="1:17" s="79" customFormat="1">
      <c r="A2370" s="80">
        <v>980442</v>
      </c>
      <c r="B2370" s="79">
        <f t="shared" si="278"/>
        <v>9804421</v>
      </c>
      <c r="C2370" s="79" t="s">
        <v>4906</v>
      </c>
      <c r="D2370" s="79">
        <f t="shared" si="279"/>
        <v>9804422</v>
      </c>
      <c r="E2370" s="79" t="s">
        <v>4907</v>
      </c>
      <c r="F2370" s="79">
        <v>5</v>
      </c>
      <c r="G2370" s="79">
        <v>4</v>
      </c>
      <c r="H2370" s="101" t="s">
        <v>4633</v>
      </c>
      <c r="I2370" s="101"/>
      <c r="J2370" s="101"/>
      <c r="K2370" s="79">
        <v>5</v>
      </c>
      <c r="L2370" s="79">
        <v>8</v>
      </c>
      <c r="M2370" s="127" t="s">
        <v>4908</v>
      </c>
      <c r="N2370" s="79">
        <v>0</v>
      </c>
      <c r="O2370" s="79">
        <v>0</v>
      </c>
      <c r="P2370" s="107"/>
      <c r="Q2370" s="101"/>
    </row>
    <row r="2371" spans="1:17" s="79" customFormat="1">
      <c r="A2371" s="80">
        <v>980443</v>
      </c>
      <c r="B2371" s="79">
        <f t="shared" si="278"/>
        <v>9804431</v>
      </c>
      <c r="C2371" s="79" t="s">
        <v>4909</v>
      </c>
      <c r="D2371" s="79">
        <f t="shared" si="279"/>
        <v>9804432</v>
      </c>
      <c r="E2371" s="79" t="s">
        <v>4910</v>
      </c>
      <c r="F2371" s="79">
        <v>5</v>
      </c>
      <c r="G2371" s="79">
        <v>4</v>
      </c>
      <c r="H2371" s="101" t="s">
        <v>4633</v>
      </c>
      <c r="I2371" s="101"/>
      <c r="J2371" s="101"/>
      <c r="K2371" s="79">
        <v>5</v>
      </c>
      <c r="L2371" s="79">
        <v>8</v>
      </c>
      <c r="M2371" s="127" t="s">
        <v>4911</v>
      </c>
      <c r="N2371" s="79">
        <v>0</v>
      </c>
      <c r="O2371" s="79">
        <v>0</v>
      </c>
      <c r="P2371" s="107"/>
      <c r="Q2371" s="101"/>
    </row>
    <row r="2372" spans="1:17" s="79" customFormat="1">
      <c r="A2372" s="80">
        <v>980444</v>
      </c>
      <c r="B2372" s="79">
        <f t="shared" si="278"/>
        <v>9804441</v>
      </c>
      <c r="C2372" s="79" t="s">
        <v>4912</v>
      </c>
      <c r="D2372" s="79">
        <f t="shared" si="279"/>
        <v>9804442</v>
      </c>
      <c r="E2372" s="79" t="s">
        <v>4913</v>
      </c>
      <c r="F2372" s="79">
        <v>5</v>
      </c>
      <c r="G2372" s="79">
        <v>4</v>
      </c>
      <c r="H2372" s="101" t="s">
        <v>4633</v>
      </c>
      <c r="I2372" s="101"/>
      <c r="J2372" s="101"/>
      <c r="K2372" s="79">
        <v>5</v>
      </c>
      <c r="L2372" s="79">
        <v>8</v>
      </c>
      <c r="M2372" s="127" t="s">
        <v>4914</v>
      </c>
      <c r="N2372" s="79">
        <v>0</v>
      </c>
      <c r="O2372" s="79">
        <v>0</v>
      </c>
      <c r="P2372" s="107"/>
      <c r="Q2372" s="101"/>
    </row>
    <row r="2373" spans="1:17" s="79" customFormat="1">
      <c r="A2373" s="80">
        <v>980461</v>
      </c>
      <c r="B2373" s="79">
        <f t="shared" ref="B2373:B2376" si="280">A2373*10+1</f>
        <v>9804611</v>
      </c>
      <c r="C2373" s="79" t="s">
        <v>4915</v>
      </c>
      <c r="D2373" s="79">
        <f t="shared" ref="D2373:D2376" si="281">A2373*10+2</f>
        <v>9804612</v>
      </c>
      <c r="E2373" s="79" t="s">
        <v>4916</v>
      </c>
      <c r="F2373" s="79">
        <v>5</v>
      </c>
      <c r="G2373" s="79">
        <v>4</v>
      </c>
      <c r="H2373" s="101" t="s">
        <v>4639</v>
      </c>
      <c r="I2373" s="101"/>
      <c r="J2373" s="101"/>
      <c r="K2373" s="79">
        <v>5</v>
      </c>
      <c r="L2373" s="79">
        <v>8</v>
      </c>
      <c r="M2373" s="127" t="s">
        <v>4917</v>
      </c>
      <c r="N2373" s="79">
        <v>0</v>
      </c>
      <c r="O2373" s="79">
        <v>0</v>
      </c>
      <c r="P2373" s="107"/>
      <c r="Q2373" s="101"/>
    </row>
    <row r="2374" spans="1:17" s="79" customFormat="1">
      <c r="A2374" s="80">
        <v>980462</v>
      </c>
      <c r="B2374" s="79">
        <f t="shared" si="280"/>
        <v>9804621</v>
      </c>
      <c r="C2374" s="79" t="s">
        <v>4918</v>
      </c>
      <c r="D2374" s="79">
        <f t="shared" si="281"/>
        <v>9804622</v>
      </c>
      <c r="E2374" s="79" t="s">
        <v>4919</v>
      </c>
      <c r="F2374" s="79">
        <v>5</v>
      </c>
      <c r="G2374" s="79">
        <v>4</v>
      </c>
      <c r="H2374" s="101" t="s">
        <v>4639</v>
      </c>
      <c r="I2374" s="101"/>
      <c r="J2374" s="101"/>
      <c r="K2374" s="79">
        <v>5</v>
      </c>
      <c r="L2374" s="79">
        <v>8</v>
      </c>
      <c r="M2374" s="127" t="s">
        <v>4920</v>
      </c>
      <c r="N2374" s="79">
        <v>0</v>
      </c>
      <c r="O2374" s="79">
        <v>0</v>
      </c>
      <c r="P2374" s="107"/>
      <c r="Q2374" s="101"/>
    </row>
    <row r="2375" spans="1:17" s="79" customFormat="1">
      <c r="A2375" s="80">
        <v>980463</v>
      </c>
      <c r="B2375" s="79">
        <f t="shared" si="280"/>
        <v>9804631</v>
      </c>
      <c r="C2375" s="79" t="s">
        <v>4921</v>
      </c>
      <c r="D2375" s="79">
        <f t="shared" si="281"/>
        <v>9804632</v>
      </c>
      <c r="E2375" s="79" t="s">
        <v>4922</v>
      </c>
      <c r="F2375" s="79">
        <v>5</v>
      </c>
      <c r="G2375" s="79">
        <v>4</v>
      </c>
      <c r="H2375" s="101" t="s">
        <v>4639</v>
      </c>
      <c r="I2375" s="101"/>
      <c r="J2375" s="101"/>
      <c r="K2375" s="79">
        <v>5</v>
      </c>
      <c r="L2375" s="79">
        <v>8</v>
      </c>
      <c r="M2375" s="127" t="s">
        <v>4923</v>
      </c>
      <c r="N2375" s="79">
        <v>0</v>
      </c>
      <c r="O2375" s="79">
        <v>0</v>
      </c>
      <c r="P2375" s="107"/>
      <c r="Q2375" s="101"/>
    </row>
    <row r="2376" spans="1:17" s="79" customFormat="1">
      <c r="A2376" s="80">
        <v>980464</v>
      </c>
      <c r="B2376" s="79">
        <f t="shared" si="280"/>
        <v>9804641</v>
      </c>
      <c r="C2376" s="79" t="s">
        <v>4924</v>
      </c>
      <c r="D2376" s="79">
        <f t="shared" si="281"/>
        <v>9804642</v>
      </c>
      <c r="E2376" s="79" t="s">
        <v>4925</v>
      </c>
      <c r="F2376" s="79">
        <v>5</v>
      </c>
      <c r="G2376" s="79">
        <v>4</v>
      </c>
      <c r="H2376" s="101" t="s">
        <v>4639</v>
      </c>
      <c r="I2376" s="101"/>
      <c r="J2376" s="101"/>
      <c r="K2376" s="79">
        <v>5</v>
      </c>
      <c r="L2376" s="79">
        <v>8</v>
      </c>
      <c r="M2376" s="127" t="s">
        <v>4926</v>
      </c>
      <c r="N2376" s="79">
        <v>0</v>
      </c>
      <c r="O2376" s="79">
        <v>0</v>
      </c>
      <c r="P2376" s="107"/>
      <c r="Q2376" s="101"/>
    </row>
    <row r="2377" spans="1:17" s="79" customFormat="1">
      <c r="A2377" s="80">
        <v>980471</v>
      </c>
      <c r="B2377" s="79">
        <f t="shared" ref="B2377:B2380" si="282">A2377*10+1</f>
        <v>9804711</v>
      </c>
      <c r="C2377" s="79" t="s">
        <v>5559</v>
      </c>
      <c r="D2377" s="79">
        <f t="shared" ref="D2377:D2380" si="283">A2377*10+2</f>
        <v>9804712</v>
      </c>
      <c r="E2377" s="79" t="s">
        <v>5563</v>
      </c>
      <c r="F2377" s="79">
        <v>5</v>
      </c>
      <c r="G2377" s="79">
        <v>4</v>
      </c>
      <c r="H2377" s="101" t="s">
        <v>4641</v>
      </c>
      <c r="I2377" s="101"/>
      <c r="J2377" s="101"/>
      <c r="K2377" s="79">
        <v>5</v>
      </c>
      <c r="L2377" s="79">
        <v>8</v>
      </c>
      <c r="M2377" s="127" t="s">
        <v>4927</v>
      </c>
      <c r="N2377" s="79">
        <v>0</v>
      </c>
      <c r="O2377" s="79">
        <v>0</v>
      </c>
      <c r="P2377" s="107"/>
      <c r="Q2377" s="101"/>
    </row>
    <row r="2378" spans="1:17" s="79" customFormat="1">
      <c r="A2378" s="80">
        <v>980472</v>
      </c>
      <c r="B2378" s="79">
        <f t="shared" si="282"/>
        <v>9804721</v>
      </c>
      <c r="C2378" s="79" t="s">
        <v>5560</v>
      </c>
      <c r="D2378" s="79">
        <f t="shared" si="283"/>
        <v>9804722</v>
      </c>
      <c r="E2378" s="79" t="s">
        <v>5564</v>
      </c>
      <c r="F2378" s="79">
        <v>5</v>
      </c>
      <c r="G2378" s="79">
        <v>4</v>
      </c>
      <c r="H2378" s="101" t="s">
        <v>4641</v>
      </c>
      <c r="I2378" s="101"/>
      <c r="J2378" s="101"/>
      <c r="K2378" s="79">
        <v>5</v>
      </c>
      <c r="L2378" s="79">
        <v>8</v>
      </c>
      <c r="M2378" s="127" t="s">
        <v>4928</v>
      </c>
      <c r="N2378" s="79">
        <v>0</v>
      </c>
      <c r="O2378" s="79">
        <v>0</v>
      </c>
      <c r="P2378" s="107"/>
      <c r="Q2378" s="101"/>
    </row>
    <row r="2379" spans="1:17" s="79" customFormat="1">
      <c r="A2379" s="80">
        <v>980473</v>
      </c>
      <c r="B2379" s="79">
        <f t="shared" si="282"/>
        <v>9804731</v>
      </c>
      <c r="C2379" s="79" t="s">
        <v>5561</v>
      </c>
      <c r="D2379" s="79">
        <f t="shared" si="283"/>
        <v>9804732</v>
      </c>
      <c r="E2379" s="79" t="s">
        <v>5565</v>
      </c>
      <c r="F2379" s="79">
        <v>5</v>
      </c>
      <c r="G2379" s="79">
        <v>4</v>
      </c>
      <c r="H2379" s="101" t="s">
        <v>4641</v>
      </c>
      <c r="I2379" s="101"/>
      <c r="J2379" s="101"/>
      <c r="K2379" s="79">
        <v>5</v>
      </c>
      <c r="L2379" s="79">
        <v>8</v>
      </c>
      <c r="M2379" s="127" t="s">
        <v>4929</v>
      </c>
      <c r="N2379" s="79">
        <v>0</v>
      </c>
      <c r="O2379" s="79">
        <v>0</v>
      </c>
      <c r="P2379" s="107"/>
      <c r="Q2379" s="101"/>
    </row>
    <row r="2380" spans="1:17" s="79" customFormat="1">
      <c r="A2380" s="80">
        <v>980474</v>
      </c>
      <c r="B2380" s="79">
        <f t="shared" si="282"/>
        <v>9804741</v>
      </c>
      <c r="C2380" s="79" t="s">
        <v>5562</v>
      </c>
      <c r="D2380" s="79">
        <f t="shared" si="283"/>
        <v>9804742</v>
      </c>
      <c r="E2380" s="79" t="s">
        <v>5566</v>
      </c>
      <c r="F2380" s="79">
        <v>5</v>
      </c>
      <c r="G2380" s="79">
        <v>4</v>
      </c>
      <c r="H2380" s="101" t="s">
        <v>4641</v>
      </c>
      <c r="I2380" s="101"/>
      <c r="J2380" s="101"/>
      <c r="K2380" s="79">
        <v>5</v>
      </c>
      <c r="L2380" s="79">
        <v>8</v>
      </c>
      <c r="M2380" s="127" t="s">
        <v>4930</v>
      </c>
      <c r="N2380" s="79">
        <v>0</v>
      </c>
      <c r="O2380" s="79">
        <v>0</v>
      </c>
      <c r="P2380" s="107"/>
      <c r="Q2380" s="101"/>
    </row>
    <row r="2381" spans="1:17">
      <c r="A2381" s="93">
        <v>990021</v>
      </c>
      <c r="B2381" s="93">
        <f t="shared" si="271"/>
        <v>9900211</v>
      </c>
      <c r="C2381" s="93" t="s">
        <v>4931</v>
      </c>
      <c r="D2381" s="93">
        <f t="shared" si="272"/>
        <v>9900212</v>
      </c>
      <c r="E2381" s="79" t="s">
        <v>4932</v>
      </c>
      <c r="F2381" s="79">
        <v>5</v>
      </c>
      <c r="G2381" s="79">
        <v>4</v>
      </c>
      <c r="H2381" s="93" t="s">
        <v>4648</v>
      </c>
      <c r="I2381" s="92"/>
      <c r="J2381" s="92"/>
      <c r="K2381" s="79">
        <v>5</v>
      </c>
      <c r="L2381" s="79">
        <v>8</v>
      </c>
      <c r="M2381" s="127" t="s">
        <v>4933</v>
      </c>
      <c r="N2381" s="79">
        <v>0</v>
      </c>
      <c r="O2381" s="79">
        <v>0</v>
      </c>
      <c r="P2381" s="107"/>
    </row>
    <row r="2382" spans="1:17">
      <c r="A2382" s="93">
        <v>990022</v>
      </c>
      <c r="B2382" s="93">
        <f t="shared" si="271"/>
        <v>9900221</v>
      </c>
      <c r="C2382" s="93" t="s">
        <v>4934</v>
      </c>
      <c r="D2382" s="93">
        <f t="shared" si="272"/>
        <v>9900222</v>
      </c>
      <c r="E2382" s="79" t="s">
        <v>4935</v>
      </c>
      <c r="F2382" s="79">
        <v>5</v>
      </c>
      <c r="G2382" s="79">
        <v>4</v>
      </c>
      <c r="H2382" s="93" t="s">
        <v>4648</v>
      </c>
      <c r="I2382" s="92"/>
      <c r="J2382" s="92"/>
      <c r="K2382" s="79">
        <v>5</v>
      </c>
      <c r="L2382" s="79">
        <v>8</v>
      </c>
      <c r="M2382" s="127" t="s">
        <v>4936</v>
      </c>
      <c r="N2382" s="79">
        <v>0</v>
      </c>
      <c r="O2382" s="79">
        <v>0</v>
      </c>
      <c r="P2382" s="107"/>
    </row>
    <row r="2383" spans="1:17">
      <c r="A2383" s="93">
        <v>990023</v>
      </c>
      <c r="B2383" s="93">
        <f t="shared" si="271"/>
        <v>9900231</v>
      </c>
      <c r="C2383" s="93" t="s">
        <v>4937</v>
      </c>
      <c r="D2383" s="93">
        <f t="shared" si="272"/>
        <v>9900232</v>
      </c>
      <c r="E2383" s="79" t="s">
        <v>4938</v>
      </c>
      <c r="F2383" s="79">
        <v>5</v>
      </c>
      <c r="G2383" s="79">
        <v>4</v>
      </c>
      <c r="H2383" s="93" t="s">
        <v>4648</v>
      </c>
      <c r="I2383" s="92"/>
      <c r="J2383" s="92"/>
      <c r="K2383" s="79">
        <v>5</v>
      </c>
      <c r="L2383" s="79">
        <v>8</v>
      </c>
      <c r="M2383" s="127" t="s">
        <v>4939</v>
      </c>
      <c r="N2383" s="79">
        <v>0</v>
      </c>
      <c r="O2383" s="79">
        <v>0</v>
      </c>
      <c r="P2383" s="107"/>
    </row>
    <row r="2384" spans="1:17">
      <c r="A2384" s="93">
        <v>990024</v>
      </c>
      <c r="B2384" s="93">
        <f t="shared" si="271"/>
        <v>9900241</v>
      </c>
      <c r="C2384" s="93" t="s">
        <v>4940</v>
      </c>
      <c r="D2384" s="93">
        <f t="shared" si="272"/>
        <v>9900242</v>
      </c>
      <c r="E2384" s="79" t="s">
        <v>4941</v>
      </c>
      <c r="F2384" s="79">
        <v>5</v>
      </c>
      <c r="G2384" s="79">
        <v>4</v>
      </c>
      <c r="H2384" s="93" t="s">
        <v>4648</v>
      </c>
      <c r="I2384" s="92"/>
      <c r="J2384" s="92"/>
      <c r="K2384" s="79">
        <v>5</v>
      </c>
      <c r="L2384" s="79">
        <v>8</v>
      </c>
      <c r="M2384" s="127" t="s">
        <v>4942</v>
      </c>
      <c r="N2384" s="79">
        <v>0</v>
      </c>
      <c r="O2384" s="79">
        <v>0</v>
      </c>
      <c r="P2384" s="107"/>
    </row>
    <row r="2385" spans="1:24">
      <c r="A2385" s="93">
        <v>990031</v>
      </c>
      <c r="B2385" s="93">
        <f t="shared" si="271"/>
        <v>9900311</v>
      </c>
      <c r="C2385" s="93" t="s">
        <v>4943</v>
      </c>
      <c r="D2385" s="93">
        <f t="shared" si="272"/>
        <v>9900312</v>
      </c>
      <c r="E2385" s="79" t="s">
        <v>4944</v>
      </c>
      <c r="F2385" s="79">
        <v>5</v>
      </c>
      <c r="G2385" s="79">
        <v>4</v>
      </c>
      <c r="H2385" s="93" t="s">
        <v>4651</v>
      </c>
      <c r="I2385" s="92"/>
      <c r="J2385" s="92"/>
      <c r="K2385" s="79">
        <v>5</v>
      </c>
      <c r="L2385" s="79">
        <v>8</v>
      </c>
      <c r="M2385" s="127" t="s">
        <v>4945</v>
      </c>
      <c r="N2385" s="79">
        <v>0</v>
      </c>
      <c r="O2385" s="79">
        <v>0</v>
      </c>
      <c r="P2385" s="107"/>
    </row>
    <row r="2386" spans="1:24">
      <c r="A2386" s="93">
        <v>990032</v>
      </c>
      <c r="B2386" s="93">
        <f t="shared" si="271"/>
        <v>9900321</v>
      </c>
      <c r="C2386" s="93" t="s">
        <v>4946</v>
      </c>
      <c r="D2386" s="93">
        <f t="shared" si="272"/>
        <v>9900322</v>
      </c>
      <c r="E2386" s="79" t="s">
        <v>4947</v>
      </c>
      <c r="F2386" s="79">
        <v>5</v>
      </c>
      <c r="G2386" s="79">
        <v>4</v>
      </c>
      <c r="H2386" s="93" t="s">
        <v>4651</v>
      </c>
      <c r="I2386" s="92"/>
      <c r="J2386" s="92"/>
      <c r="K2386" s="79">
        <v>5</v>
      </c>
      <c r="L2386" s="79">
        <v>8</v>
      </c>
      <c r="M2386" s="127" t="s">
        <v>4948</v>
      </c>
      <c r="N2386" s="79">
        <v>0</v>
      </c>
      <c r="O2386" s="79">
        <v>0</v>
      </c>
      <c r="P2386" s="107"/>
    </row>
    <row r="2387" spans="1:24">
      <c r="A2387" s="93">
        <v>990033</v>
      </c>
      <c r="B2387" s="93">
        <f t="shared" si="271"/>
        <v>9900331</v>
      </c>
      <c r="C2387" s="93" t="s">
        <v>4949</v>
      </c>
      <c r="D2387" s="93">
        <f t="shared" si="272"/>
        <v>9900332</v>
      </c>
      <c r="E2387" s="79" t="s">
        <v>4950</v>
      </c>
      <c r="F2387" s="79">
        <v>5</v>
      </c>
      <c r="G2387" s="79">
        <v>4</v>
      </c>
      <c r="H2387" s="93" t="s">
        <v>4651</v>
      </c>
      <c r="I2387" s="92"/>
      <c r="J2387" s="92"/>
      <c r="K2387" s="79">
        <v>5</v>
      </c>
      <c r="L2387" s="79">
        <v>8</v>
      </c>
      <c r="M2387" s="127" t="s">
        <v>4951</v>
      </c>
      <c r="N2387" s="79">
        <v>0</v>
      </c>
      <c r="O2387" s="79">
        <v>0</v>
      </c>
      <c r="P2387" s="107"/>
      <c r="S2387" s="92"/>
      <c r="T2387" s="92"/>
      <c r="U2387" s="92"/>
      <c r="V2387" s="92"/>
      <c r="W2387" s="92"/>
      <c r="X2387" s="92"/>
    </row>
    <row r="2388" spans="1:24">
      <c r="A2388" s="93">
        <v>990034</v>
      </c>
      <c r="B2388" s="93">
        <f t="shared" si="271"/>
        <v>9900341</v>
      </c>
      <c r="C2388" s="93" t="s">
        <v>4952</v>
      </c>
      <c r="D2388" s="93">
        <f t="shared" si="272"/>
        <v>9900342</v>
      </c>
      <c r="E2388" s="79" t="s">
        <v>4953</v>
      </c>
      <c r="F2388" s="79">
        <v>5</v>
      </c>
      <c r="G2388" s="79">
        <v>4</v>
      </c>
      <c r="H2388" s="93" t="s">
        <v>4651</v>
      </c>
      <c r="I2388" s="92"/>
      <c r="J2388" s="92"/>
      <c r="K2388" s="79">
        <v>5</v>
      </c>
      <c r="L2388" s="79">
        <v>8</v>
      </c>
      <c r="M2388" s="127" t="s">
        <v>4954</v>
      </c>
      <c r="N2388" s="79">
        <v>0</v>
      </c>
      <c r="O2388" s="79">
        <v>0</v>
      </c>
      <c r="P2388" s="107"/>
      <c r="S2388" s="92"/>
      <c r="T2388" s="92"/>
      <c r="U2388" s="92"/>
      <c r="V2388" s="92"/>
      <c r="W2388" s="92"/>
      <c r="X2388" s="92"/>
    </row>
    <row r="2389" spans="1:24">
      <c r="A2389" s="93">
        <v>990041</v>
      </c>
      <c r="B2389" s="93">
        <f t="shared" si="271"/>
        <v>9900411</v>
      </c>
      <c r="C2389" s="93" t="s">
        <v>4955</v>
      </c>
      <c r="D2389" s="93">
        <f t="shared" si="272"/>
        <v>9900412</v>
      </c>
      <c r="E2389" s="79" t="s">
        <v>4956</v>
      </c>
      <c r="F2389" s="79">
        <v>5</v>
      </c>
      <c r="G2389" s="79">
        <v>4</v>
      </c>
      <c r="H2389" s="93" t="s">
        <v>4654</v>
      </c>
      <c r="I2389" s="92"/>
      <c r="J2389" s="92"/>
      <c r="K2389" s="79">
        <v>5</v>
      </c>
      <c r="L2389" s="79">
        <v>8</v>
      </c>
      <c r="M2389" s="127" t="s">
        <v>4957</v>
      </c>
      <c r="N2389" s="79">
        <v>0</v>
      </c>
      <c r="O2389" s="79">
        <v>0</v>
      </c>
      <c r="P2389" s="107"/>
      <c r="R2389" s="92"/>
      <c r="S2389" s="92"/>
      <c r="T2389" s="92"/>
      <c r="U2389" s="92"/>
      <c r="V2389" s="92"/>
      <c r="W2389" s="92"/>
      <c r="X2389" s="92"/>
    </row>
    <row r="2390" spans="1:24">
      <c r="A2390" s="93">
        <v>990042</v>
      </c>
      <c r="B2390" s="93">
        <f t="shared" si="271"/>
        <v>9900421</v>
      </c>
      <c r="C2390" s="93" t="s">
        <v>4958</v>
      </c>
      <c r="D2390" s="93">
        <f t="shared" si="272"/>
        <v>9900422</v>
      </c>
      <c r="E2390" s="79" t="s">
        <v>4959</v>
      </c>
      <c r="F2390" s="79">
        <v>5</v>
      </c>
      <c r="G2390" s="79">
        <v>4</v>
      </c>
      <c r="H2390" s="93" t="s">
        <v>4654</v>
      </c>
      <c r="I2390" s="92"/>
      <c r="J2390" s="92"/>
      <c r="K2390" s="79">
        <v>5</v>
      </c>
      <c r="L2390" s="79">
        <v>8</v>
      </c>
      <c r="M2390" s="127" t="s">
        <v>4960</v>
      </c>
      <c r="N2390" s="79">
        <v>0</v>
      </c>
      <c r="O2390" s="79">
        <v>0</v>
      </c>
      <c r="P2390" s="107"/>
      <c r="R2390" s="92"/>
      <c r="S2390" s="92"/>
      <c r="T2390" s="92"/>
      <c r="U2390" s="92"/>
      <c r="V2390" s="92"/>
      <c r="W2390" s="92"/>
      <c r="X2390" s="92"/>
    </row>
    <row r="2391" spans="1:24">
      <c r="A2391" s="93">
        <v>990043</v>
      </c>
      <c r="B2391" s="93">
        <f t="shared" si="271"/>
        <v>9900431</v>
      </c>
      <c r="C2391" s="93" t="s">
        <v>4961</v>
      </c>
      <c r="D2391" s="93">
        <f t="shared" si="272"/>
        <v>9900432</v>
      </c>
      <c r="E2391" s="79" t="s">
        <v>4962</v>
      </c>
      <c r="F2391" s="79">
        <v>5</v>
      </c>
      <c r="G2391" s="79">
        <v>4</v>
      </c>
      <c r="H2391" s="93" t="s">
        <v>4654</v>
      </c>
      <c r="I2391" s="92"/>
      <c r="J2391" s="92"/>
      <c r="K2391" s="79">
        <v>5</v>
      </c>
      <c r="L2391" s="79">
        <v>8</v>
      </c>
      <c r="M2391" s="127" t="s">
        <v>4963</v>
      </c>
      <c r="N2391" s="79">
        <v>0</v>
      </c>
      <c r="O2391" s="79">
        <v>0</v>
      </c>
      <c r="R2391" s="92"/>
    </row>
    <row r="2392" spans="1:24">
      <c r="A2392" s="93">
        <v>990044</v>
      </c>
      <c r="B2392" s="93">
        <f t="shared" si="271"/>
        <v>9900441</v>
      </c>
      <c r="C2392" s="93" t="s">
        <v>4964</v>
      </c>
      <c r="D2392" s="93">
        <f t="shared" si="272"/>
        <v>9900442</v>
      </c>
      <c r="E2392" s="79" t="s">
        <v>4965</v>
      </c>
      <c r="F2392" s="79">
        <v>5</v>
      </c>
      <c r="G2392" s="79">
        <v>4</v>
      </c>
      <c r="H2392" s="93" t="s">
        <v>4654</v>
      </c>
      <c r="I2392" s="92"/>
      <c r="J2392" s="92"/>
      <c r="K2392" s="79">
        <v>5</v>
      </c>
      <c r="L2392" s="79">
        <v>8</v>
      </c>
      <c r="M2392" s="127" t="s">
        <v>4966</v>
      </c>
      <c r="N2392" s="79">
        <v>0</v>
      </c>
      <c r="O2392" s="79">
        <v>0</v>
      </c>
      <c r="R2392" s="92"/>
    </row>
    <row r="2393" spans="1:24">
      <c r="A2393" s="93">
        <v>990051</v>
      </c>
      <c r="B2393" s="93">
        <f t="shared" si="271"/>
        <v>9900511</v>
      </c>
      <c r="C2393" s="93" t="s">
        <v>4967</v>
      </c>
      <c r="D2393" s="93">
        <f t="shared" si="272"/>
        <v>9900512</v>
      </c>
      <c r="E2393" s="79" t="s">
        <v>4968</v>
      </c>
      <c r="F2393" s="79">
        <v>5</v>
      </c>
      <c r="G2393" s="79">
        <v>4</v>
      </c>
      <c r="H2393" s="93" t="s">
        <v>4657</v>
      </c>
      <c r="I2393" s="92"/>
      <c r="J2393" s="92"/>
      <c r="K2393" s="79">
        <v>5</v>
      </c>
      <c r="L2393" s="79">
        <v>8</v>
      </c>
      <c r="M2393" s="127" t="s">
        <v>4969</v>
      </c>
      <c r="N2393" s="79">
        <v>0</v>
      </c>
      <c r="O2393" s="79">
        <v>0</v>
      </c>
      <c r="P2393" s="107"/>
      <c r="Q2393" s="92"/>
    </row>
    <row r="2394" spans="1:24">
      <c r="A2394" s="93">
        <v>990052</v>
      </c>
      <c r="B2394" s="93">
        <f t="shared" si="271"/>
        <v>9900521</v>
      </c>
      <c r="C2394" s="93" t="s">
        <v>4970</v>
      </c>
      <c r="D2394" s="93">
        <f t="shared" si="272"/>
        <v>9900522</v>
      </c>
      <c r="E2394" s="79" t="s">
        <v>4971</v>
      </c>
      <c r="F2394" s="79">
        <v>5</v>
      </c>
      <c r="G2394" s="79">
        <v>4</v>
      </c>
      <c r="H2394" s="93" t="s">
        <v>4657</v>
      </c>
      <c r="I2394" s="92"/>
      <c r="J2394" s="92"/>
      <c r="K2394" s="79">
        <v>5</v>
      </c>
      <c r="L2394" s="79">
        <v>8</v>
      </c>
      <c r="M2394" s="127" t="s">
        <v>4972</v>
      </c>
      <c r="N2394" s="79">
        <v>0</v>
      </c>
      <c r="O2394" s="79">
        <v>0</v>
      </c>
      <c r="P2394" s="107"/>
      <c r="Q2394" s="92"/>
    </row>
    <row r="2395" spans="1:24">
      <c r="A2395" s="93">
        <v>990053</v>
      </c>
      <c r="B2395" s="93">
        <f t="shared" si="271"/>
        <v>9900531</v>
      </c>
      <c r="C2395" s="93" t="s">
        <v>4973</v>
      </c>
      <c r="D2395" s="93">
        <f t="shared" si="272"/>
        <v>9900532</v>
      </c>
      <c r="E2395" s="79" t="s">
        <v>4974</v>
      </c>
      <c r="F2395" s="79">
        <v>5</v>
      </c>
      <c r="G2395" s="79">
        <v>4</v>
      </c>
      <c r="H2395" s="93" t="s">
        <v>4657</v>
      </c>
      <c r="I2395" s="92"/>
      <c r="J2395" s="92"/>
      <c r="K2395" s="79">
        <v>5</v>
      </c>
      <c r="L2395" s="79">
        <v>8</v>
      </c>
      <c r="M2395" s="127" t="s">
        <v>4975</v>
      </c>
      <c r="N2395" s="79">
        <v>0</v>
      </c>
      <c r="O2395" s="79">
        <v>0</v>
      </c>
      <c r="P2395" s="107"/>
      <c r="Q2395" s="92"/>
    </row>
    <row r="2396" spans="1:24">
      <c r="A2396" s="93">
        <v>990054</v>
      </c>
      <c r="B2396" s="93">
        <f t="shared" si="271"/>
        <v>9900541</v>
      </c>
      <c r="C2396" s="93" t="s">
        <v>4976</v>
      </c>
      <c r="D2396" s="93">
        <f t="shared" si="272"/>
        <v>9900542</v>
      </c>
      <c r="E2396" s="79" t="s">
        <v>4977</v>
      </c>
      <c r="F2396" s="79">
        <v>5</v>
      </c>
      <c r="G2396" s="79">
        <v>4</v>
      </c>
      <c r="H2396" s="93" t="s">
        <v>4657</v>
      </c>
      <c r="I2396" s="92"/>
      <c r="J2396" s="92"/>
      <c r="K2396" s="79">
        <v>5</v>
      </c>
      <c r="L2396" s="79">
        <v>8</v>
      </c>
      <c r="M2396" s="127" t="s">
        <v>4978</v>
      </c>
      <c r="N2396" s="79">
        <v>0</v>
      </c>
      <c r="O2396" s="79">
        <v>0</v>
      </c>
      <c r="P2396" s="107"/>
      <c r="Q2396" s="92"/>
    </row>
    <row r="2397" spans="1:24">
      <c r="A2397" s="93">
        <v>990061</v>
      </c>
      <c r="B2397" s="93">
        <f t="shared" si="271"/>
        <v>9900611</v>
      </c>
      <c r="C2397" s="93" t="s">
        <v>4979</v>
      </c>
      <c r="D2397" s="93">
        <f t="shared" si="272"/>
        <v>9900612</v>
      </c>
      <c r="E2397" s="79" t="s">
        <v>4980</v>
      </c>
      <c r="F2397" s="79">
        <v>5</v>
      </c>
      <c r="G2397" s="79">
        <v>4</v>
      </c>
      <c r="H2397" s="93" t="s">
        <v>4660</v>
      </c>
      <c r="I2397" s="92"/>
      <c r="J2397" s="92"/>
      <c r="K2397" s="79">
        <v>5</v>
      </c>
      <c r="L2397" s="79">
        <v>8</v>
      </c>
      <c r="M2397" s="127" t="s">
        <v>4981</v>
      </c>
      <c r="N2397" s="79">
        <v>0</v>
      </c>
      <c r="O2397" s="79">
        <v>0</v>
      </c>
      <c r="P2397" s="107"/>
      <c r="Q2397" s="92"/>
    </row>
    <row r="2398" spans="1:24">
      <c r="A2398" s="93">
        <v>990062</v>
      </c>
      <c r="B2398" s="93">
        <f t="shared" si="271"/>
        <v>9900621</v>
      </c>
      <c r="C2398" s="93" t="s">
        <v>4982</v>
      </c>
      <c r="D2398" s="93">
        <f t="shared" si="272"/>
        <v>9900622</v>
      </c>
      <c r="E2398" s="79" t="s">
        <v>4983</v>
      </c>
      <c r="F2398" s="79">
        <v>5</v>
      </c>
      <c r="G2398" s="79">
        <v>4</v>
      </c>
      <c r="H2398" s="93" t="s">
        <v>4660</v>
      </c>
      <c r="I2398" s="92"/>
      <c r="J2398" s="92"/>
      <c r="K2398" s="79">
        <v>5</v>
      </c>
      <c r="L2398" s="79">
        <v>8</v>
      </c>
      <c r="M2398" s="127" t="s">
        <v>4984</v>
      </c>
      <c r="N2398" s="79">
        <v>0</v>
      </c>
      <c r="O2398" s="79">
        <v>0</v>
      </c>
      <c r="P2398" s="107"/>
      <c r="Q2398" s="92"/>
    </row>
    <row r="2399" spans="1:24">
      <c r="A2399" s="93">
        <v>990063</v>
      </c>
      <c r="B2399" s="93">
        <f t="shared" si="271"/>
        <v>9900631</v>
      </c>
      <c r="C2399" s="93" t="s">
        <v>4985</v>
      </c>
      <c r="D2399" s="93">
        <f t="shared" si="272"/>
        <v>9900632</v>
      </c>
      <c r="E2399" s="79" t="s">
        <v>4986</v>
      </c>
      <c r="F2399" s="79">
        <v>5</v>
      </c>
      <c r="G2399" s="79">
        <v>4</v>
      </c>
      <c r="H2399" s="93" t="s">
        <v>4660</v>
      </c>
      <c r="I2399" s="92"/>
      <c r="J2399" s="92"/>
      <c r="K2399" s="79">
        <v>5</v>
      </c>
      <c r="L2399" s="79">
        <v>8</v>
      </c>
      <c r="M2399" s="127" t="s">
        <v>4987</v>
      </c>
      <c r="N2399" s="79">
        <v>0</v>
      </c>
      <c r="O2399" s="79">
        <v>0</v>
      </c>
      <c r="P2399" s="107"/>
      <c r="Q2399" s="92"/>
    </row>
    <row r="2400" spans="1:24">
      <c r="A2400" s="93">
        <v>990064</v>
      </c>
      <c r="B2400" s="93">
        <f t="shared" si="271"/>
        <v>9900641</v>
      </c>
      <c r="C2400" s="93" t="s">
        <v>4988</v>
      </c>
      <c r="D2400" s="93">
        <f t="shared" si="272"/>
        <v>9900642</v>
      </c>
      <c r="E2400" s="79" t="s">
        <v>4989</v>
      </c>
      <c r="F2400" s="79">
        <v>5</v>
      </c>
      <c r="G2400" s="79">
        <v>4</v>
      </c>
      <c r="H2400" s="93" t="s">
        <v>4660</v>
      </c>
      <c r="I2400" s="92"/>
      <c r="J2400" s="92"/>
      <c r="K2400" s="79">
        <v>5</v>
      </c>
      <c r="L2400" s="79">
        <v>8</v>
      </c>
      <c r="M2400" s="127" t="s">
        <v>4990</v>
      </c>
      <c r="N2400" s="79">
        <v>0</v>
      </c>
      <c r="O2400" s="79">
        <v>0</v>
      </c>
      <c r="P2400" s="107"/>
      <c r="Q2400" s="92"/>
    </row>
    <row r="2401" spans="1:17">
      <c r="A2401" s="93">
        <v>990071</v>
      </c>
      <c r="B2401" s="93">
        <f t="shared" si="271"/>
        <v>9900711</v>
      </c>
      <c r="C2401" s="93" t="s">
        <v>4991</v>
      </c>
      <c r="D2401" s="93">
        <f t="shared" si="272"/>
        <v>9900712</v>
      </c>
      <c r="E2401" s="93" t="s">
        <v>4992</v>
      </c>
      <c r="F2401" s="93">
        <v>5</v>
      </c>
      <c r="G2401" s="93">
        <v>4</v>
      </c>
      <c r="H2401" s="93" t="s">
        <v>4664</v>
      </c>
      <c r="I2401" s="92"/>
      <c r="J2401" s="92"/>
      <c r="K2401" s="93">
        <v>5</v>
      </c>
      <c r="L2401" s="93">
        <v>8</v>
      </c>
      <c r="M2401" s="117" t="s">
        <v>4993</v>
      </c>
      <c r="N2401" s="93">
        <v>0</v>
      </c>
      <c r="O2401" s="93">
        <v>0</v>
      </c>
      <c r="P2401" s="98"/>
      <c r="Q2401" s="92"/>
    </row>
    <row r="2402" spans="1:17">
      <c r="A2402" s="93">
        <v>990072</v>
      </c>
      <c r="B2402" s="93">
        <f t="shared" si="271"/>
        <v>9900721</v>
      </c>
      <c r="C2402" s="93" t="s">
        <v>4994</v>
      </c>
      <c r="D2402" s="93">
        <f t="shared" si="272"/>
        <v>9900722</v>
      </c>
      <c r="E2402" s="93" t="s">
        <v>4995</v>
      </c>
      <c r="F2402" s="93">
        <v>5</v>
      </c>
      <c r="G2402" s="93">
        <v>4</v>
      </c>
      <c r="H2402" s="93" t="s">
        <v>4664</v>
      </c>
      <c r="I2402" s="92"/>
      <c r="J2402" s="92"/>
      <c r="K2402" s="93">
        <v>5</v>
      </c>
      <c r="L2402" s="93">
        <v>8</v>
      </c>
      <c r="M2402" s="117" t="s">
        <v>4996</v>
      </c>
      <c r="N2402" s="93">
        <v>0</v>
      </c>
      <c r="O2402" s="93">
        <v>0</v>
      </c>
      <c r="P2402" s="98"/>
      <c r="Q2402" s="92"/>
    </row>
    <row r="2403" spans="1:17">
      <c r="A2403" s="93">
        <v>990073</v>
      </c>
      <c r="B2403" s="93">
        <f t="shared" si="271"/>
        <v>9900731</v>
      </c>
      <c r="C2403" s="93" t="s">
        <v>4997</v>
      </c>
      <c r="D2403" s="93">
        <f t="shared" si="272"/>
        <v>9900732</v>
      </c>
      <c r="E2403" s="93" t="s">
        <v>4998</v>
      </c>
      <c r="F2403" s="93">
        <v>5</v>
      </c>
      <c r="G2403" s="93">
        <v>4</v>
      </c>
      <c r="H2403" s="93" t="s">
        <v>4664</v>
      </c>
      <c r="I2403" s="92"/>
      <c r="J2403" s="92"/>
      <c r="K2403" s="93">
        <v>5</v>
      </c>
      <c r="L2403" s="93">
        <v>8</v>
      </c>
      <c r="M2403" s="117" t="s">
        <v>4999</v>
      </c>
      <c r="N2403" s="93">
        <v>0</v>
      </c>
      <c r="O2403" s="93">
        <v>0</v>
      </c>
      <c r="P2403" s="98"/>
      <c r="Q2403" s="92"/>
    </row>
    <row r="2404" spans="1:17">
      <c r="A2404" s="93">
        <v>990074</v>
      </c>
      <c r="B2404" s="93">
        <f t="shared" si="271"/>
        <v>9900741</v>
      </c>
      <c r="C2404" s="93" t="s">
        <v>5000</v>
      </c>
      <c r="D2404" s="93">
        <f t="shared" si="272"/>
        <v>9900742</v>
      </c>
      <c r="E2404" s="93" t="s">
        <v>5001</v>
      </c>
      <c r="F2404" s="93">
        <v>5</v>
      </c>
      <c r="G2404" s="93">
        <v>4</v>
      </c>
      <c r="H2404" s="93" t="s">
        <v>4664</v>
      </c>
      <c r="I2404" s="92"/>
      <c r="J2404" s="92"/>
      <c r="K2404" s="93">
        <v>5</v>
      </c>
      <c r="L2404" s="93">
        <v>8</v>
      </c>
      <c r="M2404" s="117" t="s">
        <v>5002</v>
      </c>
      <c r="N2404" s="93">
        <v>0</v>
      </c>
      <c r="O2404" s="93">
        <v>0</v>
      </c>
      <c r="P2404" s="98"/>
      <c r="Q2404" s="92"/>
    </row>
    <row r="2405" spans="1:17" s="79" customFormat="1">
      <c r="A2405" s="79">
        <v>990081</v>
      </c>
      <c r="B2405" s="79">
        <f t="shared" si="271"/>
        <v>9900811</v>
      </c>
      <c r="C2405" s="79" t="s">
        <v>5003</v>
      </c>
      <c r="D2405" s="79">
        <f t="shared" si="272"/>
        <v>9900812</v>
      </c>
      <c r="E2405" s="79" t="s">
        <v>5004</v>
      </c>
      <c r="F2405" s="79">
        <v>5</v>
      </c>
      <c r="G2405" s="79">
        <v>4</v>
      </c>
      <c r="H2405" s="79" t="s">
        <v>4669</v>
      </c>
      <c r="I2405" s="101"/>
      <c r="J2405" s="101"/>
      <c r="K2405" s="79">
        <v>5</v>
      </c>
      <c r="L2405" s="79">
        <v>8</v>
      </c>
      <c r="M2405" s="127" t="s">
        <v>5005</v>
      </c>
      <c r="N2405" s="79">
        <v>0</v>
      </c>
      <c r="O2405" s="79">
        <v>0</v>
      </c>
      <c r="P2405" s="107"/>
      <c r="Q2405" s="101"/>
    </row>
    <row r="2406" spans="1:17" s="79" customFormat="1">
      <c r="A2406" s="79">
        <v>990082</v>
      </c>
      <c r="B2406" s="79">
        <f t="shared" si="271"/>
        <v>9900821</v>
      </c>
      <c r="C2406" s="79" t="s">
        <v>5006</v>
      </c>
      <c r="D2406" s="79">
        <f t="shared" si="272"/>
        <v>9900822</v>
      </c>
      <c r="E2406" s="79" t="s">
        <v>5007</v>
      </c>
      <c r="F2406" s="79">
        <v>5</v>
      </c>
      <c r="G2406" s="79">
        <v>4</v>
      </c>
      <c r="H2406" s="79" t="s">
        <v>4669</v>
      </c>
      <c r="I2406" s="101"/>
      <c r="J2406" s="101"/>
      <c r="K2406" s="79">
        <v>5</v>
      </c>
      <c r="L2406" s="79">
        <v>8</v>
      </c>
      <c r="M2406" s="127" t="s">
        <v>5008</v>
      </c>
      <c r="N2406" s="79">
        <v>0</v>
      </c>
      <c r="O2406" s="79">
        <v>0</v>
      </c>
      <c r="P2406" s="107"/>
      <c r="Q2406" s="101"/>
    </row>
    <row r="2407" spans="1:17" s="79" customFormat="1">
      <c r="A2407" s="79">
        <v>990083</v>
      </c>
      <c r="B2407" s="79">
        <f t="shared" si="271"/>
        <v>9900831</v>
      </c>
      <c r="C2407" s="79" t="s">
        <v>5009</v>
      </c>
      <c r="D2407" s="79">
        <f t="shared" si="272"/>
        <v>9900832</v>
      </c>
      <c r="E2407" s="79" t="s">
        <v>5010</v>
      </c>
      <c r="F2407" s="79">
        <v>5</v>
      </c>
      <c r="G2407" s="79">
        <v>4</v>
      </c>
      <c r="H2407" s="79" t="s">
        <v>4669</v>
      </c>
      <c r="I2407" s="101"/>
      <c r="J2407" s="101"/>
      <c r="K2407" s="79">
        <v>5</v>
      </c>
      <c r="L2407" s="79">
        <v>8</v>
      </c>
      <c r="M2407" s="127" t="s">
        <v>5011</v>
      </c>
      <c r="N2407" s="79">
        <v>0</v>
      </c>
      <c r="O2407" s="79">
        <v>0</v>
      </c>
      <c r="P2407" s="107"/>
      <c r="Q2407" s="101"/>
    </row>
    <row r="2408" spans="1:17" s="79" customFormat="1">
      <c r="A2408" s="79">
        <v>990084</v>
      </c>
      <c r="B2408" s="79">
        <f t="shared" si="271"/>
        <v>9900841</v>
      </c>
      <c r="C2408" s="79" t="s">
        <v>5012</v>
      </c>
      <c r="D2408" s="79">
        <f t="shared" si="272"/>
        <v>9900842</v>
      </c>
      <c r="E2408" s="79" t="s">
        <v>5013</v>
      </c>
      <c r="F2408" s="79">
        <v>5</v>
      </c>
      <c r="G2408" s="79">
        <v>4</v>
      </c>
      <c r="H2408" s="79" t="s">
        <v>4669</v>
      </c>
      <c r="I2408" s="101"/>
      <c r="J2408" s="101"/>
      <c r="K2408" s="79">
        <v>5</v>
      </c>
      <c r="L2408" s="79">
        <v>8</v>
      </c>
      <c r="M2408" s="127" t="s">
        <v>5014</v>
      </c>
      <c r="N2408" s="79">
        <v>0</v>
      </c>
      <c r="O2408" s="79">
        <v>0</v>
      </c>
      <c r="P2408" s="107"/>
      <c r="Q2408" s="101"/>
    </row>
    <row r="2409" spans="1:17" s="79" customFormat="1">
      <c r="A2409" s="79">
        <v>990101</v>
      </c>
      <c r="B2409" s="79">
        <f t="shared" ref="B2409:B2412" si="284">A2409*10+1</f>
        <v>9901011</v>
      </c>
      <c r="C2409" s="79" t="s">
        <v>5015</v>
      </c>
      <c r="D2409" s="79">
        <f t="shared" ref="D2409:D2412" si="285">A2409*10+2</f>
        <v>9901012</v>
      </c>
      <c r="E2409" s="79" t="s">
        <v>5016</v>
      </c>
      <c r="F2409" s="79">
        <v>5</v>
      </c>
      <c r="G2409" s="79">
        <v>4</v>
      </c>
      <c r="H2409" s="79" t="s">
        <v>4673</v>
      </c>
      <c r="I2409" s="101"/>
      <c r="J2409" s="101"/>
      <c r="K2409" s="79">
        <v>5</v>
      </c>
      <c r="L2409" s="79">
        <v>8</v>
      </c>
      <c r="M2409" s="127" t="s">
        <v>5017</v>
      </c>
      <c r="N2409" s="79">
        <v>0</v>
      </c>
      <c r="O2409" s="79">
        <v>0</v>
      </c>
      <c r="P2409" s="107"/>
      <c r="Q2409" s="101"/>
    </row>
    <row r="2410" spans="1:17" s="79" customFormat="1">
      <c r="A2410" s="79">
        <v>990102</v>
      </c>
      <c r="B2410" s="79">
        <f t="shared" si="284"/>
        <v>9901021</v>
      </c>
      <c r="C2410" s="79" t="s">
        <v>5018</v>
      </c>
      <c r="D2410" s="79">
        <f t="shared" si="285"/>
        <v>9901022</v>
      </c>
      <c r="E2410" s="79" t="s">
        <v>5019</v>
      </c>
      <c r="F2410" s="79">
        <v>5</v>
      </c>
      <c r="G2410" s="79">
        <v>4</v>
      </c>
      <c r="H2410" s="79" t="s">
        <v>4673</v>
      </c>
      <c r="I2410" s="101"/>
      <c r="J2410" s="101"/>
      <c r="K2410" s="79">
        <v>5</v>
      </c>
      <c r="L2410" s="79">
        <v>8</v>
      </c>
      <c r="M2410" s="127" t="s">
        <v>5020</v>
      </c>
      <c r="N2410" s="79">
        <v>0</v>
      </c>
      <c r="O2410" s="79">
        <v>0</v>
      </c>
      <c r="P2410" s="107"/>
      <c r="Q2410" s="101"/>
    </row>
    <row r="2411" spans="1:17" s="79" customFormat="1">
      <c r="A2411" s="79">
        <v>990103</v>
      </c>
      <c r="B2411" s="79">
        <f t="shared" si="284"/>
        <v>9901031</v>
      </c>
      <c r="C2411" s="79" t="s">
        <v>5021</v>
      </c>
      <c r="D2411" s="79">
        <f t="shared" si="285"/>
        <v>9901032</v>
      </c>
      <c r="E2411" s="79" t="s">
        <v>5022</v>
      </c>
      <c r="F2411" s="79">
        <v>5</v>
      </c>
      <c r="G2411" s="79">
        <v>4</v>
      </c>
      <c r="H2411" s="79" t="s">
        <v>4673</v>
      </c>
      <c r="I2411" s="101"/>
      <c r="J2411" s="101"/>
      <c r="K2411" s="79">
        <v>5</v>
      </c>
      <c r="L2411" s="79">
        <v>8</v>
      </c>
      <c r="M2411" s="127" t="s">
        <v>5023</v>
      </c>
      <c r="N2411" s="79">
        <v>0</v>
      </c>
      <c r="O2411" s="79">
        <v>0</v>
      </c>
      <c r="P2411" s="107"/>
      <c r="Q2411" s="101"/>
    </row>
    <row r="2412" spans="1:17" s="79" customFormat="1">
      <c r="A2412" s="79">
        <v>990104</v>
      </c>
      <c r="B2412" s="79">
        <f t="shared" si="284"/>
        <v>9901041</v>
      </c>
      <c r="C2412" s="79" t="s">
        <v>5024</v>
      </c>
      <c r="D2412" s="79">
        <f t="shared" si="285"/>
        <v>9901042</v>
      </c>
      <c r="E2412" s="79" t="s">
        <v>5025</v>
      </c>
      <c r="F2412" s="79">
        <v>5</v>
      </c>
      <c r="G2412" s="79">
        <v>4</v>
      </c>
      <c r="H2412" s="79" t="s">
        <v>4673</v>
      </c>
      <c r="I2412" s="101"/>
      <c r="J2412" s="101"/>
      <c r="K2412" s="79">
        <v>5</v>
      </c>
      <c r="L2412" s="79">
        <v>8</v>
      </c>
      <c r="M2412" s="127" t="s">
        <v>5026</v>
      </c>
      <c r="N2412" s="79">
        <v>0</v>
      </c>
      <c r="O2412" s="79">
        <v>0</v>
      </c>
      <c r="P2412" s="107"/>
      <c r="Q2412" s="101"/>
    </row>
    <row r="2413" spans="1:17" s="79" customFormat="1">
      <c r="A2413" s="79">
        <v>990111</v>
      </c>
      <c r="B2413" s="79">
        <f t="shared" ref="B2413:B2416" si="286">A2413*10+1</f>
        <v>9901111</v>
      </c>
      <c r="C2413" s="79" t="s">
        <v>5027</v>
      </c>
      <c r="D2413" s="79">
        <f t="shared" ref="D2413:D2416" si="287">A2413*10+2</f>
        <v>9901112</v>
      </c>
      <c r="E2413" s="79" t="s">
        <v>5028</v>
      </c>
      <c r="F2413" s="79">
        <v>5</v>
      </c>
      <c r="G2413" s="79">
        <v>4</v>
      </c>
      <c r="H2413" s="79" t="s">
        <v>4676</v>
      </c>
      <c r="I2413" s="101"/>
      <c r="J2413" s="101"/>
      <c r="K2413" s="79">
        <v>5</v>
      </c>
      <c r="L2413" s="79">
        <v>8</v>
      </c>
      <c r="M2413" s="127" t="s">
        <v>5029</v>
      </c>
      <c r="N2413" s="79">
        <v>0</v>
      </c>
      <c r="O2413" s="79">
        <v>0</v>
      </c>
      <c r="P2413" s="107"/>
      <c r="Q2413" s="101"/>
    </row>
    <row r="2414" spans="1:17" s="79" customFormat="1">
      <c r="A2414" s="79">
        <v>990112</v>
      </c>
      <c r="B2414" s="79">
        <f t="shared" si="286"/>
        <v>9901121</v>
      </c>
      <c r="C2414" s="79" t="s">
        <v>5030</v>
      </c>
      <c r="D2414" s="79">
        <f t="shared" si="287"/>
        <v>9901122</v>
      </c>
      <c r="E2414" s="79" t="s">
        <v>5031</v>
      </c>
      <c r="F2414" s="79">
        <v>5</v>
      </c>
      <c r="G2414" s="79">
        <v>4</v>
      </c>
      <c r="H2414" s="79" t="s">
        <v>4676</v>
      </c>
      <c r="I2414" s="101"/>
      <c r="J2414" s="101"/>
      <c r="K2414" s="79">
        <v>5</v>
      </c>
      <c r="L2414" s="79">
        <v>8</v>
      </c>
      <c r="M2414" s="127" t="s">
        <v>5032</v>
      </c>
      <c r="N2414" s="79">
        <v>0</v>
      </c>
      <c r="O2414" s="79">
        <v>0</v>
      </c>
      <c r="P2414" s="107"/>
      <c r="Q2414" s="101"/>
    </row>
    <row r="2415" spans="1:17" s="79" customFormat="1">
      <c r="A2415" s="79">
        <v>990113</v>
      </c>
      <c r="B2415" s="79">
        <f t="shared" si="286"/>
        <v>9901131</v>
      </c>
      <c r="C2415" s="79" t="s">
        <v>5033</v>
      </c>
      <c r="D2415" s="79">
        <f t="shared" si="287"/>
        <v>9901132</v>
      </c>
      <c r="E2415" s="79" t="s">
        <v>5034</v>
      </c>
      <c r="F2415" s="79">
        <v>5</v>
      </c>
      <c r="G2415" s="79">
        <v>4</v>
      </c>
      <c r="H2415" s="79" t="s">
        <v>4676</v>
      </c>
      <c r="I2415" s="101"/>
      <c r="J2415" s="101"/>
      <c r="K2415" s="79">
        <v>5</v>
      </c>
      <c r="L2415" s="79">
        <v>8</v>
      </c>
      <c r="M2415" s="127" t="s">
        <v>5035</v>
      </c>
      <c r="N2415" s="79">
        <v>0</v>
      </c>
      <c r="O2415" s="79">
        <v>0</v>
      </c>
      <c r="P2415" s="107"/>
      <c r="Q2415" s="101"/>
    </row>
    <row r="2416" spans="1:17" s="79" customFormat="1">
      <c r="A2416" s="79">
        <v>990114</v>
      </c>
      <c r="B2416" s="79">
        <f t="shared" si="286"/>
        <v>9901141</v>
      </c>
      <c r="C2416" s="79" t="s">
        <v>5036</v>
      </c>
      <c r="D2416" s="79">
        <f t="shared" si="287"/>
        <v>9901142</v>
      </c>
      <c r="E2416" s="79" t="s">
        <v>5037</v>
      </c>
      <c r="F2416" s="79">
        <v>5</v>
      </c>
      <c r="G2416" s="79">
        <v>4</v>
      </c>
      <c r="H2416" s="79" t="s">
        <v>4676</v>
      </c>
      <c r="I2416" s="101"/>
      <c r="J2416" s="101"/>
      <c r="K2416" s="79">
        <v>5</v>
      </c>
      <c r="L2416" s="79">
        <v>8</v>
      </c>
      <c r="M2416" s="127" t="s">
        <v>5038</v>
      </c>
      <c r="N2416" s="79">
        <v>0</v>
      </c>
      <c r="O2416" s="79">
        <v>0</v>
      </c>
      <c r="P2416" s="107"/>
      <c r="Q2416" s="101"/>
    </row>
    <row r="2417" spans="1:17" s="79" customFormat="1">
      <c r="A2417" s="79">
        <v>990121</v>
      </c>
      <c r="B2417" s="79">
        <f t="shared" ref="B2417:B2420" si="288">A2417*10+1</f>
        <v>9901211</v>
      </c>
      <c r="C2417" s="79" t="s">
        <v>5580</v>
      </c>
      <c r="D2417" s="79">
        <f t="shared" ref="D2417:D2420" si="289">A2417*10+2</f>
        <v>9901212</v>
      </c>
      <c r="E2417" s="79" t="s">
        <v>5581</v>
      </c>
      <c r="F2417" s="79">
        <v>5</v>
      </c>
      <c r="G2417" s="79">
        <v>4</v>
      </c>
      <c r="H2417" s="79" t="s">
        <v>4678</v>
      </c>
      <c r="I2417" s="101"/>
      <c r="J2417" s="101"/>
      <c r="K2417" s="79">
        <v>5</v>
      </c>
      <c r="L2417" s="79">
        <v>8</v>
      </c>
      <c r="M2417" s="127" t="s">
        <v>5039</v>
      </c>
      <c r="N2417" s="79">
        <v>0</v>
      </c>
      <c r="O2417" s="79">
        <v>0</v>
      </c>
      <c r="P2417" s="107"/>
      <c r="Q2417" s="101"/>
    </row>
    <row r="2418" spans="1:17" s="79" customFormat="1">
      <c r="A2418" s="79">
        <v>990122</v>
      </c>
      <c r="B2418" s="79">
        <f t="shared" si="288"/>
        <v>9901221</v>
      </c>
      <c r="C2418" s="79" t="s">
        <v>5582</v>
      </c>
      <c r="D2418" s="79">
        <f t="shared" si="289"/>
        <v>9901222</v>
      </c>
      <c r="E2418" s="79" t="s">
        <v>5583</v>
      </c>
      <c r="F2418" s="79">
        <v>5</v>
      </c>
      <c r="G2418" s="79">
        <v>4</v>
      </c>
      <c r="H2418" s="79" t="s">
        <v>4678</v>
      </c>
      <c r="I2418" s="101"/>
      <c r="J2418" s="101"/>
      <c r="K2418" s="79">
        <v>5</v>
      </c>
      <c r="L2418" s="79">
        <v>8</v>
      </c>
      <c r="M2418" s="127" t="s">
        <v>5040</v>
      </c>
      <c r="N2418" s="79">
        <v>0</v>
      </c>
      <c r="O2418" s="79">
        <v>0</v>
      </c>
      <c r="P2418" s="107"/>
      <c r="Q2418" s="101"/>
    </row>
    <row r="2419" spans="1:17" s="79" customFormat="1">
      <c r="A2419" s="79">
        <v>990123</v>
      </c>
      <c r="B2419" s="79">
        <f t="shared" si="288"/>
        <v>9901231</v>
      </c>
      <c r="C2419" s="79" t="s">
        <v>5584</v>
      </c>
      <c r="D2419" s="79">
        <f t="shared" si="289"/>
        <v>9901232</v>
      </c>
      <c r="E2419" s="79" t="s">
        <v>5585</v>
      </c>
      <c r="F2419" s="79">
        <v>5</v>
      </c>
      <c r="G2419" s="79">
        <v>4</v>
      </c>
      <c r="H2419" s="79" t="s">
        <v>4678</v>
      </c>
      <c r="I2419" s="101"/>
      <c r="J2419" s="101"/>
      <c r="K2419" s="79">
        <v>5</v>
      </c>
      <c r="L2419" s="79">
        <v>8</v>
      </c>
      <c r="M2419" s="127" t="s">
        <v>5041</v>
      </c>
      <c r="N2419" s="79">
        <v>0</v>
      </c>
      <c r="O2419" s="79">
        <v>0</v>
      </c>
      <c r="P2419" s="107"/>
      <c r="Q2419" s="101"/>
    </row>
    <row r="2420" spans="1:17" s="79" customFormat="1">
      <c r="A2420" s="79">
        <v>990124</v>
      </c>
      <c r="B2420" s="79">
        <f t="shared" si="288"/>
        <v>9901241</v>
      </c>
      <c r="C2420" s="79" t="s">
        <v>5586</v>
      </c>
      <c r="D2420" s="79">
        <f t="shared" si="289"/>
        <v>9901242</v>
      </c>
      <c r="E2420" s="79" t="s">
        <v>5587</v>
      </c>
      <c r="F2420" s="79">
        <v>5</v>
      </c>
      <c r="G2420" s="79">
        <v>4</v>
      </c>
      <c r="H2420" s="79" t="s">
        <v>4678</v>
      </c>
      <c r="I2420" s="101"/>
      <c r="J2420" s="101"/>
      <c r="K2420" s="79">
        <v>5</v>
      </c>
      <c r="L2420" s="79">
        <v>8</v>
      </c>
      <c r="M2420" s="127" t="s">
        <v>5042</v>
      </c>
      <c r="N2420" s="79">
        <v>0</v>
      </c>
      <c r="O2420" s="79">
        <v>0</v>
      </c>
      <c r="P2420" s="107"/>
      <c r="Q2420" s="101"/>
    </row>
    <row r="2421" spans="1:17" s="79" customFormat="1">
      <c r="A2421" s="79">
        <v>1000001</v>
      </c>
      <c r="B2421" s="79">
        <v>10000011</v>
      </c>
      <c r="C2421" s="79" t="s">
        <v>5043</v>
      </c>
      <c r="D2421" s="79">
        <v>10000012</v>
      </c>
      <c r="E2421" s="79" t="s">
        <v>5044</v>
      </c>
      <c r="F2421" s="79">
        <v>29</v>
      </c>
      <c r="G2421" s="79">
        <v>0</v>
      </c>
      <c r="H2421" s="79" t="s">
        <v>5045</v>
      </c>
      <c r="J2421" s="79">
        <v>0</v>
      </c>
      <c r="K2421" s="79">
        <v>2</v>
      </c>
      <c r="L2421" s="79">
        <v>0</v>
      </c>
      <c r="M2421" s="127" t="s">
        <v>86</v>
      </c>
      <c r="N2421" s="79">
        <v>0</v>
      </c>
      <c r="P2421" s="79">
        <v>29</v>
      </c>
    </row>
    <row r="2422" spans="1:17" s="79" customFormat="1">
      <c r="A2422" s="79">
        <v>1000002</v>
      </c>
      <c r="B2422" s="79">
        <v>10000021</v>
      </c>
      <c r="C2422" s="79" t="s">
        <v>5046</v>
      </c>
      <c r="D2422" s="79">
        <v>10000022</v>
      </c>
      <c r="E2422" s="79" t="s">
        <v>5047</v>
      </c>
      <c r="F2422" s="79">
        <v>29</v>
      </c>
      <c r="G2422" s="79">
        <v>0</v>
      </c>
      <c r="H2422" s="79" t="s">
        <v>5048</v>
      </c>
      <c r="K2422" s="79">
        <v>2</v>
      </c>
      <c r="M2422" s="127"/>
    </row>
    <row r="2423" spans="1:17">
      <c r="A2423" s="93">
        <v>1000003</v>
      </c>
      <c r="B2423" s="93">
        <v>10000031</v>
      </c>
      <c r="C2423" s="93" t="s">
        <v>146</v>
      </c>
      <c r="D2423" s="93">
        <v>10000032</v>
      </c>
      <c r="E2423" s="93" t="s">
        <v>5049</v>
      </c>
      <c r="F2423" s="93">
        <v>29</v>
      </c>
      <c r="G2423" s="93">
        <v>0</v>
      </c>
      <c r="H2423" s="93" t="s">
        <v>5050</v>
      </c>
      <c r="K2423" s="93">
        <v>3</v>
      </c>
    </row>
    <row r="2424" spans="1:17">
      <c r="A2424" s="93">
        <v>1000004</v>
      </c>
      <c r="B2424" s="93">
        <v>10000041</v>
      </c>
      <c r="C2424" s="93" t="s">
        <v>5051</v>
      </c>
      <c r="D2424" s="93">
        <v>10000042</v>
      </c>
      <c r="E2424" s="93" t="s">
        <v>5052</v>
      </c>
      <c r="F2424" s="93">
        <v>29</v>
      </c>
      <c r="G2424" s="93">
        <v>0</v>
      </c>
      <c r="H2424" s="93" t="s">
        <v>5053</v>
      </c>
      <c r="K2424" s="93">
        <v>3</v>
      </c>
    </row>
    <row r="2425" spans="1:17">
      <c r="A2425" s="93">
        <v>1000005</v>
      </c>
      <c r="B2425" s="93">
        <v>10000051</v>
      </c>
      <c r="C2425" s="93" t="s">
        <v>5054</v>
      </c>
      <c r="D2425" s="93">
        <v>10000052</v>
      </c>
      <c r="E2425" s="93" t="s">
        <v>5055</v>
      </c>
      <c r="F2425" s="93">
        <v>29</v>
      </c>
      <c r="G2425" s="93">
        <v>0</v>
      </c>
      <c r="H2425" s="93" t="s">
        <v>5056</v>
      </c>
      <c r="K2425" s="93">
        <v>4</v>
      </c>
    </row>
    <row r="2426" spans="1:17">
      <c r="A2426" s="93">
        <v>1000006</v>
      </c>
      <c r="B2426" s="93">
        <v>10000061</v>
      </c>
      <c r="C2426" s="93" t="s">
        <v>5057</v>
      </c>
      <c r="D2426" s="93">
        <v>10000062</v>
      </c>
      <c r="E2426" s="93" t="s">
        <v>5058</v>
      </c>
      <c r="F2426" s="93">
        <v>29</v>
      </c>
      <c r="G2426" s="93">
        <v>0</v>
      </c>
      <c r="H2426" s="93" t="s">
        <v>5059</v>
      </c>
      <c r="K2426" s="93">
        <v>4</v>
      </c>
    </row>
    <row r="2427" spans="1:17">
      <c r="A2427" s="93">
        <v>1000007</v>
      </c>
      <c r="B2427" s="93">
        <v>10000071</v>
      </c>
      <c r="C2427" s="93" t="s">
        <v>5060</v>
      </c>
      <c r="D2427" s="93">
        <v>10000072</v>
      </c>
      <c r="E2427" s="93" t="s">
        <v>5061</v>
      </c>
      <c r="F2427" s="93">
        <v>29</v>
      </c>
      <c r="G2427" s="93">
        <v>0</v>
      </c>
      <c r="H2427" s="93" t="s">
        <v>5062</v>
      </c>
      <c r="K2427" s="93">
        <v>4</v>
      </c>
    </row>
    <row r="2428" spans="1:17">
      <c r="A2428" s="93">
        <v>1000008</v>
      </c>
      <c r="B2428" s="93">
        <v>10000081</v>
      </c>
      <c r="C2428" s="93" t="s">
        <v>5063</v>
      </c>
      <c r="D2428" s="93">
        <v>10000082</v>
      </c>
      <c r="E2428" s="93" t="s">
        <v>5064</v>
      </c>
      <c r="F2428" s="93">
        <v>29</v>
      </c>
      <c r="G2428" s="93">
        <v>0</v>
      </c>
      <c r="H2428" s="93" t="s">
        <v>5065</v>
      </c>
      <c r="K2428" s="93">
        <v>5</v>
      </c>
    </row>
    <row r="2429" spans="1:17">
      <c r="A2429" s="93">
        <v>1000009</v>
      </c>
      <c r="B2429" s="93">
        <v>10000091</v>
      </c>
      <c r="C2429" s="93" t="s">
        <v>5066</v>
      </c>
      <c r="D2429" s="93">
        <v>10000092</v>
      </c>
      <c r="E2429" s="93" t="s">
        <v>5067</v>
      </c>
      <c r="F2429" s="93">
        <v>29</v>
      </c>
      <c r="G2429" s="93">
        <v>0</v>
      </c>
      <c r="H2429" s="93" t="s">
        <v>5068</v>
      </c>
      <c r="K2429" s="93">
        <v>2</v>
      </c>
    </row>
    <row r="2430" spans="1:17">
      <c r="A2430" s="93">
        <v>1010001</v>
      </c>
      <c r="B2430" s="93">
        <v>10100011</v>
      </c>
      <c r="C2430" s="93" t="s">
        <v>5069</v>
      </c>
      <c r="D2430" s="93">
        <v>10100012</v>
      </c>
      <c r="E2430" s="93" t="s">
        <v>5070</v>
      </c>
      <c r="F2430" s="93">
        <v>30</v>
      </c>
      <c r="G2430" s="93">
        <v>0</v>
      </c>
      <c r="H2430" s="93" t="s">
        <v>5071</v>
      </c>
      <c r="J2430" s="93">
        <v>0</v>
      </c>
      <c r="K2430" s="93">
        <v>4</v>
      </c>
      <c r="L2430" s="93">
        <v>17</v>
      </c>
      <c r="M2430" s="117" t="s">
        <v>5072</v>
      </c>
      <c r="N2430" s="93">
        <v>0</v>
      </c>
      <c r="P2430" s="93">
        <v>30</v>
      </c>
    </row>
    <row r="2431" spans="1:17">
      <c r="A2431" s="93">
        <v>1010002</v>
      </c>
      <c r="B2431" s="93">
        <v>10100021</v>
      </c>
      <c r="C2431" s="93" t="s">
        <v>5073</v>
      </c>
      <c r="D2431" s="93">
        <v>10100022</v>
      </c>
      <c r="E2431" s="93" t="s">
        <v>5074</v>
      </c>
      <c r="F2431" s="93">
        <v>30</v>
      </c>
      <c r="G2431" s="93">
        <v>0</v>
      </c>
      <c r="H2431" s="93" t="s">
        <v>5075</v>
      </c>
      <c r="K2431" s="93">
        <v>5</v>
      </c>
      <c r="L2431" s="93">
        <v>17</v>
      </c>
      <c r="M2431" s="117" t="s">
        <v>5076</v>
      </c>
    </row>
    <row r="2432" spans="1:17">
      <c r="A2432" s="93">
        <v>1020001</v>
      </c>
      <c r="B2432" s="93">
        <v>10200011</v>
      </c>
      <c r="C2432" s="93" t="s">
        <v>5077</v>
      </c>
      <c r="D2432" s="93">
        <v>10200012</v>
      </c>
      <c r="E2432" s="93" t="s">
        <v>5077</v>
      </c>
      <c r="F2432" s="93">
        <v>31</v>
      </c>
      <c r="G2432" s="93">
        <v>0</v>
      </c>
      <c r="H2432" s="93" t="s">
        <v>5078</v>
      </c>
      <c r="K2432" s="93">
        <v>4</v>
      </c>
    </row>
    <row r="2433" spans="1:11">
      <c r="A2433" s="93">
        <v>1020002</v>
      </c>
      <c r="B2433" s="93">
        <v>10200021</v>
      </c>
      <c r="C2433" s="93" t="s">
        <v>5079</v>
      </c>
      <c r="D2433" s="93">
        <v>10200022</v>
      </c>
      <c r="E2433" s="93" t="s">
        <v>5079</v>
      </c>
      <c r="F2433" s="93">
        <v>31</v>
      </c>
      <c r="G2433" s="93">
        <v>0</v>
      </c>
      <c r="H2433" s="93" t="s">
        <v>5080</v>
      </c>
      <c r="K2433" s="93">
        <v>4</v>
      </c>
    </row>
    <row r="2434" spans="1:11">
      <c r="A2434" s="93">
        <v>1020003</v>
      </c>
      <c r="B2434" s="93">
        <v>10200031</v>
      </c>
      <c r="C2434" s="93" t="s">
        <v>5081</v>
      </c>
      <c r="D2434" s="93">
        <v>10200032</v>
      </c>
      <c r="E2434" s="93" t="s">
        <v>5081</v>
      </c>
      <c r="F2434" s="93">
        <v>31</v>
      </c>
      <c r="G2434" s="93">
        <v>0</v>
      </c>
      <c r="H2434" s="93" t="s">
        <v>5082</v>
      </c>
      <c r="K2434" s="93">
        <v>4</v>
      </c>
    </row>
    <row r="2435" spans="1:11">
      <c r="A2435" s="93">
        <v>1020004</v>
      </c>
      <c r="B2435" s="93">
        <v>10200041</v>
      </c>
      <c r="C2435" s="93" t="s">
        <v>5083</v>
      </c>
      <c r="D2435" s="93">
        <v>10200042</v>
      </c>
      <c r="E2435" s="93" t="s">
        <v>5083</v>
      </c>
      <c r="F2435" s="93">
        <v>31</v>
      </c>
      <c r="G2435" s="93">
        <v>0</v>
      </c>
      <c r="H2435" s="93" t="s">
        <v>5084</v>
      </c>
      <c r="K2435" s="93">
        <v>4</v>
      </c>
    </row>
    <row r="2436" spans="1:11">
      <c r="A2436" s="93">
        <v>1030001</v>
      </c>
      <c r="B2436" s="93">
        <v>10300011</v>
      </c>
      <c r="C2436" s="93" t="s">
        <v>5085</v>
      </c>
      <c r="D2436" s="93">
        <v>10300012</v>
      </c>
      <c r="E2436" s="93" t="s">
        <v>5085</v>
      </c>
      <c r="F2436" s="93">
        <v>32</v>
      </c>
      <c r="G2436" s="93">
        <v>0</v>
      </c>
      <c r="H2436" s="93" t="s">
        <v>5086</v>
      </c>
      <c r="K2436" s="93">
        <v>4</v>
      </c>
    </row>
    <row r="2437" spans="1:11">
      <c r="A2437" s="93">
        <v>1030002</v>
      </c>
      <c r="B2437" s="93">
        <v>10300021</v>
      </c>
      <c r="C2437" s="93" t="s">
        <v>5087</v>
      </c>
      <c r="D2437" s="93">
        <v>10300022</v>
      </c>
      <c r="E2437" s="93" t="s">
        <v>5087</v>
      </c>
      <c r="F2437" s="93">
        <v>32</v>
      </c>
      <c r="G2437" s="93">
        <v>0</v>
      </c>
      <c r="H2437" s="93" t="s">
        <v>5088</v>
      </c>
      <c r="K2437" s="93">
        <v>4</v>
      </c>
    </row>
    <row r="2438" spans="1:11">
      <c r="A2438" s="93">
        <v>1030003</v>
      </c>
      <c r="B2438" s="93">
        <v>10300031</v>
      </c>
      <c r="C2438" s="93" t="s">
        <v>5089</v>
      </c>
      <c r="D2438" s="93">
        <v>10300032</v>
      </c>
      <c r="E2438" s="93" t="s">
        <v>5089</v>
      </c>
      <c r="F2438" s="93">
        <v>32</v>
      </c>
      <c r="G2438" s="93">
        <v>0</v>
      </c>
      <c r="H2438" s="93" t="s">
        <v>5090</v>
      </c>
      <c r="K2438" s="93">
        <v>4</v>
      </c>
    </row>
    <row r="2439" spans="1:11">
      <c r="A2439" s="93">
        <v>1030004</v>
      </c>
      <c r="B2439" s="93">
        <v>10300041</v>
      </c>
      <c r="C2439" s="93" t="s">
        <v>5091</v>
      </c>
      <c r="D2439" s="93">
        <v>10300042</v>
      </c>
      <c r="E2439" s="93" t="s">
        <v>5091</v>
      </c>
      <c r="F2439" s="93">
        <v>32</v>
      </c>
      <c r="G2439" s="93">
        <v>0</v>
      </c>
      <c r="H2439" s="93" t="s">
        <v>5092</v>
      </c>
      <c r="K2439" s="93">
        <v>4</v>
      </c>
    </row>
  </sheetData>
  <autoFilter ref="A11:P2439"/>
  <phoneticPr fontId="3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Z733"/>
  <sheetViews>
    <sheetView tabSelected="1" workbookViewId="0">
      <selection activeCell="G6" sqref="G6"/>
    </sheetView>
  </sheetViews>
  <sheetFormatPr defaultColWidth="11" defaultRowHeight="14.25"/>
  <cols>
    <col min="1" max="2" width="20.875" style="93" customWidth="1"/>
    <col min="3" max="3" width="11.25" style="93" customWidth="1"/>
    <col min="4" max="4" width="10" style="93" customWidth="1"/>
    <col min="5" max="5" width="10.375" style="93" customWidth="1"/>
    <col min="6" max="6" width="12.125" style="93" customWidth="1"/>
    <col min="7" max="7" width="10" style="93" customWidth="1"/>
    <col min="8" max="8" width="13.125" style="93" customWidth="1"/>
    <col min="9" max="11" width="7.125" style="93" customWidth="1"/>
    <col min="12" max="12" width="13.25" style="93" customWidth="1"/>
    <col min="13" max="13" width="11" style="93" customWidth="1"/>
    <col min="14" max="15" width="14.5" style="93" customWidth="1"/>
    <col min="16" max="16" width="19.875" style="93" customWidth="1"/>
    <col min="17" max="17" width="18.125" style="93" customWidth="1"/>
    <col min="18" max="18" width="20.125" style="93" bestFit="1" customWidth="1"/>
    <col min="19" max="19" width="17.125" style="93" bestFit="1" customWidth="1"/>
    <col min="20" max="20" width="14.625" style="93" customWidth="1"/>
    <col min="21" max="21" width="12.875" style="93" customWidth="1"/>
    <col min="22" max="22" width="11" style="93"/>
    <col min="23" max="23" width="20.375" style="93" customWidth="1"/>
    <col min="24" max="16384" width="11" style="93"/>
  </cols>
  <sheetData>
    <row r="1" spans="1:26">
      <c r="A1" s="165" t="s">
        <v>0</v>
      </c>
      <c r="B1" s="78" t="s">
        <v>5093</v>
      </c>
      <c r="C1" s="78" t="s">
        <v>2</v>
      </c>
      <c r="D1" s="78"/>
    </row>
    <row r="2" spans="1:26">
      <c r="A2" s="165" t="s">
        <v>3</v>
      </c>
      <c r="B2" s="78" t="s">
        <v>5093</v>
      </c>
      <c r="C2" s="78" t="s">
        <v>5</v>
      </c>
      <c r="D2" s="78"/>
    </row>
    <row r="3" spans="1:26" ht="15.75">
      <c r="A3" s="165" t="s">
        <v>6</v>
      </c>
      <c r="B3" s="3" t="s">
        <v>7</v>
      </c>
      <c r="C3" s="78" t="s">
        <v>8</v>
      </c>
      <c r="D3" s="78"/>
    </row>
    <row r="4" spans="1:26" ht="15.75">
      <c r="A4" s="165" t="s">
        <v>9</v>
      </c>
      <c r="B4" s="4" t="s">
        <v>10</v>
      </c>
      <c r="C4" s="78"/>
      <c r="D4" s="78"/>
    </row>
    <row r="5" spans="1:26">
      <c r="A5" s="165" t="s">
        <v>11</v>
      </c>
      <c r="B5" s="78"/>
      <c r="C5" s="78" t="s">
        <v>12</v>
      </c>
      <c r="D5" s="78"/>
    </row>
    <row r="6" spans="1:26">
      <c r="A6" s="165" t="s">
        <v>13</v>
      </c>
      <c r="B6" s="78">
        <v>4</v>
      </c>
      <c r="C6" s="78" t="s">
        <v>14</v>
      </c>
      <c r="D6" s="78"/>
    </row>
    <row r="7" spans="1:26">
      <c r="A7" s="165" t="s">
        <v>15</v>
      </c>
      <c r="B7" s="78"/>
      <c r="C7" s="78"/>
      <c r="D7" s="78"/>
    </row>
    <row r="8" spans="1:26">
      <c r="A8" s="165" t="s">
        <v>16</v>
      </c>
      <c r="B8" s="78"/>
      <c r="C8" s="78"/>
      <c r="D8" s="78"/>
    </row>
    <row r="9" spans="1:26">
      <c r="A9" s="78"/>
      <c r="B9" s="78"/>
      <c r="C9" s="78"/>
      <c r="D9" s="78"/>
      <c r="M9" s="93" t="s">
        <v>5094</v>
      </c>
      <c r="Q9" s="166"/>
      <c r="R9" s="166"/>
      <c r="S9" s="166"/>
    </row>
    <row r="10" spans="1:26">
      <c r="A10" s="78"/>
      <c r="B10" s="78"/>
      <c r="C10" s="78"/>
      <c r="D10" s="78"/>
    </row>
    <row r="11" spans="1:26">
      <c r="A11" s="78" t="s">
        <v>17</v>
      </c>
      <c r="B11" s="78" t="s">
        <v>19</v>
      </c>
      <c r="C11" s="78" t="s">
        <v>5095</v>
      </c>
      <c r="D11" s="78" t="s">
        <v>5096</v>
      </c>
      <c r="E11" s="78" t="s">
        <v>5097</v>
      </c>
      <c r="F11" s="78" t="s">
        <v>5098</v>
      </c>
      <c r="G11" s="78" t="s">
        <v>27</v>
      </c>
      <c r="H11" s="78" t="s">
        <v>5099</v>
      </c>
      <c r="I11" s="78" t="s">
        <v>5100</v>
      </c>
      <c r="J11" s="78" t="s">
        <v>5101</v>
      </c>
      <c r="K11" s="78" t="s">
        <v>5102</v>
      </c>
      <c r="L11" s="78" t="s">
        <v>5103</v>
      </c>
      <c r="M11" s="93" t="str">
        <f>I11&amp;"成长系数"</f>
        <v>力度成长系数</v>
      </c>
      <c r="N11" s="93" t="str">
        <f>J11&amp;"成长系数"</f>
        <v>加塞成长系数</v>
      </c>
      <c r="O11" s="93" t="str">
        <f>K11&amp;"成长系数"</f>
        <v>瞄准成长系数</v>
      </c>
      <c r="P11" s="93" t="str">
        <f>L11&amp;"成长系数"</f>
        <v>魅力评分成长系数</v>
      </c>
      <c r="Q11" s="93" t="s">
        <v>5104</v>
      </c>
      <c r="R11" s="93" t="s">
        <v>5105</v>
      </c>
      <c r="S11" s="93" t="s">
        <v>5699</v>
      </c>
      <c r="T11" s="93" t="s">
        <v>5106</v>
      </c>
      <c r="U11" s="93" t="s">
        <v>5107</v>
      </c>
      <c r="V11" s="93" t="s">
        <v>5108</v>
      </c>
      <c r="W11" s="93" t="s">
        <v>5109</v>
      </c>
    </row>
    <row r="12" spans="1:26">
      <c r="A12" s="96" t="s">
        <v>37</v>
      </c>
      <c r="B12" s="97" t="s">
        <v>39</v>
      </c>
      <c r="C12" s="96" t="s">
        <v>42</v>
      </c>
      <c r="D12" s="96" t="s">
        <v>5110</v>
      </c>
      <c r="E12" s="96" t="s">
        <v>5111</v>
      </c>
      <c r="F12" s="96" t="s">
        <v>5112</v>
      </c>
      <c r="G12" s="96" t="s">
        <v>47</v>
      </c>
      <c r="H12" s="96" t="s">
        <v>5113</v>
      </c>
      <c r="I12" s="96" t="s">
        <v>5114</v>
      </c>
      <c r="J12" s="96" t="s">
        <v>5115</v>
      </c>
      <c r="K12" s="96" t="s">
        <v>5116</v>
      </c>
      <c r="L12" s="96" t="s">
        <v>5117</v>
      </c>
      <c r="M12" s="96" t="s">
        <v>5118</v>
      </c>
      <c r="N12" s="96" t="s">
        <v>5119</v>
      </c>
      <c r="O12" s="96" t="s">
        <v>5120</v>
      </c>
      <c r="P12" s="96" t="s">
        <v>5121</v>
      </c>
      <c r="Q12" s="96" t="s">
        <v>5701</v>
      </c>
      <c r="R12" s="96" t="s">
        <v>5702</v>
      </c>
      <c r="S12" s="96" t="s">
        <v>5704</v>
      </c>
      <c r="T12" s="96" t="s">
        <v>5122</v>
      </c>
      <c r="U12" s="96" t="s">
        <v>5123</v>
      </c>
      <c r="V12" s="96" t="s">
        <v>5124</v>
      </c>
      <c r="W12" s="96" t="s">
        <v>5125</v>
      </c>
    </row>
    <row r="13" spans="1:26">
      <c r="A13" s="96" t="s">
        <v>56</v>
      </c>
      <c r="B13" s="97" t="s">
        <v>57</v>
      </c>
      <c r="C13" s="96" t="s">
        <v>56</v>
      </c>
      <c r="D13" s="96" t="s">
        <v>56</v>
      </c>
      <c r="E13" s="96" t="s">
        <v>57</v>
      </c>
      <c r="F13" s="96" t="s">
        <v>56</v>
      </c>
      <c r="G13" s="96" t="s">
        <v>56</v>
      </c>
      <c r="H13" s="96" t="s">
        <v>56</v>
      </c>
      <c r="I13" s="96" t="s">
        <v>56</v>
      </c>
      <c r="J13" s="96" t="s">
        <v>56</v>
      </c>
      <c r="K13" s="96" t="s">
        <v>56</v>
      </c>
      <c r="L13" s="96" t="s">
        <v>56</v>
      </c>
      <c r="M13" s="96" t="s">
        <v>56</v>
      </c>
      <c r="N13" s="96" t="s">
        <v>56</v>
      </c>
      <c r="O13" s="96" t="s">
        <v>56</v>
      </c>
      <c r="P13" s="96" t="s">
        <v>56</v>
      </c>
      <c r="Q13" s="96" t="s">
        <v>56</v>
      </c>
      <c r="R13" s="96" t="s">
        <v>56</v>
      </c>
      <c r="S13" s="96" t="s">
        <v>56</v>
      </c>
      <c r="T13" s="96" t="s">
        <v>56</v>
      </c>
      <c r="U13" s="96" t="s">
        <v>56</v>
      </c>
      <c r="V13" s="96" t="s">
        <v>56</v>
      </c>
      <c r="W13" s="96" t="s">
        <v>5126</v>
      </c>
    </row>
    <row r="14" spans="1:26">
      <c r="A14" s="96" t="s">
        <v>58</v>
      </c>
      <c r="B14" s="97"/>
      <c r="C14" s="96" t="s">
        <v>59</v>
      </c>
      <c r="D14" s="96" t="s">
        <v>59</v>
      </c>
      <c r="E14" s="96" t="s">
        <v>59</v>
      </c>
      <c r="F14" s="96" t="s">
        <v>59</v>
      </c>
      <c r="G14" s="96" t="s">
        <v>59</v>
      </c>
      <c r="H14" s="96" t="s">
        <v>59</v>
      </c>
      <c r="I14" s="96" t="s">
        <v>59</v>
      </c>
      <c r="J14" s="96" t="s">
        <v>59</v>
      </c>
      <c r="K14" s="96" t="s">
        <v>59</v>
      </c>
      <c r="L14" s="96" t="s">
        <v>59</v>
      </c>
      <c r="M14" s="96" t="s">
        <v>59</v>
      </c>
      <c r="N14" s="96" t="s">
        <v>59</v>
      </c>
      <c r="O14" s="96" t="s">
        <v>59</v>
      </c>
      <c r="P14" s="96" t="s">
        <v>59</v>
      </c>
      <c r="Q14" s="96" t="s">
        <v>59</v>
      </c>
      <c r="R14" s="96" t="s">
        <v>59</v>
      </c>
      <c r="S14" s="96" t="s">
        <v>59</v>
      </c>
      <c r="T14" s="96" t="s">
        <v>59</v>
      </c>
      <c r="U14" s="96" t="s">
        <v>59</v>
      </c>
      <c r="V14" s="96" t="s">
        <v>59</v>
      </c>
      <c r="W14" s="96" t="s">
        <v>59</v>
      </c>
      <c r="Y14" s="93" t="s">
        <v>5127</v>
      </c>
      <c r="Z14" s="93" t="s">
        <v>5128</v>
      </c>
    </row>
    <row r="15" spans="1:26" ht="14.25" customHeight="1">
      <c r="A15" s="96"/>
      <c r="B15" s="97">
        <v>0</v>
      </c>
      <c r="C15" s="96">
        <v>0</v>
      </c>
      <c r="D15" s="96">
        <v>0</v>
      </c>
      <c r="E15" s="96" t="s">
        <v>5129</v>
      </c>
      <c r="F15" s="96">
        <v>1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  <c r="N15" s="96">
        <v>0</v>
      </c>
      <c r="O15" s="96">
        <v>0</v>
      </c>
      <c r="P15" s="96">
        <v>0</v>
      </c>
      <c r="Q15" s="96">
        <v>0</v>
      </c>
      <c r="R15" s="96">
        <v>0</v>
      </c>
      <c r="S15" s="96">
        <v>0</v>
      </c>
      <c r="T15" s="96">
        <v>0</v>
      </c>
      <c r="U15" s="96">
        <v>0</v>
      </c>
      <c r="V15" s="96">
        <v>0</v>
      </c>
      <c r="W15" s="96" t="s">
        <v>5130</v>
      </c>
      <c r="Y15" s="93" t="s">
        <v>5131</v>
      </c>
      <c r="Z15" s="93">
        <v>6</v>
      </c>
    </row>
    <row r="16" spans="1:26">
      <c r="A16" s="93">
        <v>100001</v>
      </c>
      <c r="B16" s="93" t="s">
        <v>280</v>
      </c>
      <c r="C16" s="78">
        <v>1</v>
      </c>
      <c r="D16" s="78"/>
      <c r="E16" s="78" t="s">
        <v>5129</v>
      </c>
      <c r="F16" s="78">
        <f t="shared" ref="F16:F38" si="0">IF(G16&gt;3,2,1)</f>
        <v>1</v>
      </c>
      <c r="G16" s="93">
        <v>2</v>
      </c>
      <c r="H16" s="78">
        <f>A17</f>
        <v>100002</v>
      </c>
      <c r="I16" s="78">
        <v>400</v>
      </c>
      <c r="J16" s="78">
        <v>400</v>
      </c>
      <c r="K16" s="78">
        <v>42</v>
      </c>
      <c r="L16" s="78">
        <v>1000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510001</v>
      </c>
      <c r="S16" s="78"/>
      <c r="T16" s="93">
        <v>510001</v>
      </c>
      <c r="U16" s="78">
        <v>6</v>
      </c>
      <c r="V16" s="78">
        <v>3</v>
      </c>
      <c r="Y16" s="93" t="s">
        <v>5132</v>
      </c>
      <c r="Z16" s="93">
        <v>16</v>
      </c>
    </row>
    <row r="17" spans="1:26">
      <c r="A17" s="93">
        <v>100002</v>
      </c>
      <c r="B17" s="93" t="s">
        <v>280</v>
      </c>
      <c r="C17" s="78">
        <v>1</v>
      </c>
      <c r="D17" s="78"/>
      <c r="E17" s="78" t="s">
        <v>5129</v>
      </c>
      <c r="F17" s="78">
        <f t="shared" si="0"/>
        <v>1</v>
      </c>
      <c r="G17" s="93">
        <v>3</v>
      </c>
      <c r="H17" s="78">
        <f>A18</f>
        <v>100003</v>
      </c>
      <c r="I17" s="78">
        <v>440</v>
      </c>
      <c r="J17" s="78">
        <v>440</v>
      </c>
      <c r="K17" s="78">
        <v>48</v>
      </c>
      <c r="L17" s="78">
        <v>3000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510001</v>
      </c>
      <c r="S17" s="78"/>
      <c r="T17" s="93">
        <v>510001</v>
      </c>
      <c r="U17" s="78">
        <v>16</v>
      </c>
      <c r="V17" s="78">
        <v>3</v>
      </c>
      <c r="Y17" s="93" t="s">
        <v>5133</v>
      </c>
      <c r="Z17" s="93">
        <v>20</v>
      </c>
    </row>
    <row r="18" spans="1:26">
      <c r="A18" s="93">
        <v>100003</v>
      </c>
      <c r="B18" s="93" t="s">
        <v>280</v>
      </c>
      <c r="C18" s="78">
        <v>1</v>
      </c>
      <c r="D18" s="78"/>
      <c r="E18" s="78" t="s">
        <v>5129</v>
      </c>
      <c r="F18" s="78">
        <f t="shared" si="0"/>
        <v>2</v>
      </c>
      <c r="G18" s="93">
        <v>4</v>
      </c>
      <c r="H18" s="78">
        <v>0</v>
      </c>
      <c r="I18" s="78">
        <v>485</v>
      </c>
      <c r="J18" s="78">
        <v>485</v>
      </c>
      <c r="K18" s="78">
        <v>55</v>
      </c>
      <c r="L18" s="78">
        <v>6000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510001</v>
      </c>
      <c r="S18" s="78"/>
      <c r="T18" s="93">
        <v>510001</v>
      </c>
      <c r="U18" s="78">
        <v>20</v>
      </c>
      <c r="V18" s="78">
        <v>3</v>
      </c>
      <c r="Y18" s="93" t="s">
        <v>5134</v>
      </c>
      <c r="Z18" s="93">
        <v>100</v>
      </c>
    </row>
    <row r="19" spans="1:26">
      <c r="A19" s="93">
        <v>100011</v>
      </c>
      <c r="B19" s="93" t="s">
        <v>284</v>
      </c>
      <c r="C19" s="78">
        <v>1</v>
      </c>
      <c r="E19" s="78" t="s">
        <v>5129</v>
      </c>
      <c r="F19" s="78">
        <f t="shared" si="0"/>
        <v>2</v>
      </c>
      <c r="G19" s="93">
        <v>4</v>
      </c>
      <c r="H19" s="78">
        <v>100012</v>
      </c>
      <c r="I19" s="78">
        <v>526</v>
      </c>
      <c r="J19" s="78">
        <v>490</v>
      </c>
      <c r="K19" s="78">
        <v>41</v>
      </c>
      <c r="L19" s="78">
        <v>6000</v>
      </c>
      <c r="M19" s="78">
        <v>100</v>
      </c>
      <c r="N19" s="78">
        <v>100</v>
      </c>
      <c r="O19" s="78">
        <v>100</v>
      </c>
      <c r="P19" s="78">
        <v>0</v>
      </c>
      <c r="Q19" s="78">
        <v>0</v>
      </c>
      <c r="R19" s="78">
        <v>510011</v>
      </c>
      <c r="S19" s="78"/>
      <c r="T19" s="93">
        <v>510011</v>
      </c>
      <c r="U19" s="78">
        <v>20</v>
      </c>
      <c r="V19" s="78">
        <v>1</v>
      </c>
      <c r="Y19" s="93" t="s">
        <v>5135</v>
      </c>
      <c r="Z19" s="93">
        <v>200</v>
      </c>
    </row>
    <row r="20" spans="1:26">
      <c r="A20" s="93">
        <v>100012</v>
      </c>
      <c r="B20" s="93" t="s">
        <v>284</v>
      </c>
      <c r="C20" s="78">
        <v>1</v>
      </c>
      <c r="E20" s="78" t="s">
        <v>5129</v>
      </c>
      <c r="F20" s="78">
        <f t="shared" si="0"/>
        <v>2</v>
      </c>
      <c r="G20" s="93">
        <v>5</v>
      </c>
      <c r="H20" s="78">
        <v>100013</v>
      </c>
      <c r="I20" s="78">
        <v>572</v>
      </c>
      <c r="J20" s="78">
        <v>540</v>
      </c>
      <c r="K20" s="78">
        <v>52</v>
      </c>
      <c r="L20" s="78">
        <v>10500</v>
      </c>
      <c r="M20" s="78">
        <v>100</v>
      </c>
      <c r="N20" s="78">
        <v>100</v>
      </c>
      <c r="O20" s="78">
        <v>100</v>
      </c>
      <c r="P20" s="78">
        <v>0</v>
      </c>
      <c r="Q20" s="78">
        <v>0</v>
      </c>
      <c r="R20" s="78">
        <v>510011</v>
      </c>
      <c r="S20" s="78"/>
      <c r="T20" s="93">
        <v>510011</v>
      </c>
      <c r="U20" s="78">
        <v>100</v>
      </c>
      <c r="V20" s="78">
        <v>1</v>
      </c>
      <c r="Y20" s="93" t="s">
        <v>5136</v>
      </c>
      <c r="Z20" s="93">
        <v>400</v>
      </c>
    </row>
    <row r="21" spans="1:26">
      <c r="A21" s="93">
        <v>100013</v>
      </c>
      <c r="B21" s="93" t="s">
        <v>284</v>
      </c>
      <c r="C21" s="78">
        <v>1</v>
      </c>
      <c r="E21" s="78"/>
      <c r="F21" s="78">
        <f t="shared" si="0"/>
        <v>2</v>
      </c>
      <c r="G21" s="93">
        <v>6</v>
      </c>
      <c r="H21" s="78">
        <v>100014</v>
      </c>
      <c r="I21" s="78">
        <v>618</v>
      </c>
      <c r="J21" s="78">
        <v>590</v>
      </c>
      <c r="K21" s="78">
        <v>62</v>
      </c>
      <c r="L21" s="78">
        <v>15000</v>
      </c>
      <c r="M21" s="78">
        <v>100</v>
      </c>
      <c r="N21" s="78">
        <v>100</v>
      </c>
      <c r="O21" s="78">
        <v>100</v>
      </c>
      <c r="P21" s="78">
        <v>0</v>
      </c>
      <c r="Q21" s="78">
        <v>0</v>
      </c>
      <c r="R21" s="78">
        <v>510011</v>
      </c>
      <c r="S21" s="78"/>
      <c r="T21" s="93">
        <v>510011</v>
      </c>
      <c r="U21" s="78">
        <v>200</v>
      </c>
      <c r="V21" s="78">
        <v>1</v>
      </c>
    </row>
    <row r="22" spans="1:26">
      <c r="A22" s="93">
        <v>100014</v>
      </c>
      <c r="B22" s="93" t="s">
        <v>284</v>
      </c>
      <c r="C22" s="78">
        <v>1</v>
      </c>
      <c r="E22" s="78"/>
      <c r="F22" s="78">
        <f t="shared" si="0"/>
        <v>2</v>
      </c>
      <c r="G22" s="93">
        <v>7</v>
      </c>
      <c r="H22" s="78">
        <v>0</v>
      </c>
      <c r="I22" s="78">
        <v>666</v>
      </c>
      <c r="J22" s="78">
        <v>643</v>
      </c>
      <c r="K22" s="78">
        <v>72</v>
      </c>
      <c r="L22" s="78">
        <v>21000</v>
      </c>
      <c r="M22" s="78">
        <v>100</v>
      </c>
      <c r="N22" s="78">
        <v>100</v>
      </c>
      <c r="O22" s="78">
        <v>100</v>
      </c>
      <c r="P22" s="78">
        <v>0</v>
      </c>
      <c r="Q22" s="78">
        <v>0</v>
      </c>
      <c r="R22" s="78">
        <v>510011</v>
      </c>
      <c r="S22" s="78"/>
      <c r="T22" s="93">
        <v>510011</v>
      </c>
      <c r="U22" s="78">
        <v>400</v>
      </c>
      <c r="V22" s="78">
        <v>1</v>
      </c>
      <c r="Y22" s="93" t="s">
        <v>5137</v>
      </c>
    </row>
    <row r="23" spans="1:26">
      <c r="A23" s="93">
        <v>100018</v>
      </c>
      <c r="B23" s="93" t="s">
        <v>284</v>
      </c>
      <c r="C23" s="78">
        <v>1</v>
      </c>
      <c r="E23" s="78" t="s">
        <v>5129</v>
      </c>
      <c r="F23" s="78">
        <f t="shared" ref="F23" si="1">IF(G23&gt;3,2,1)</f>
        <v>2</v>
      </c>
      <c r="G23" s="93">
        <v>4</v>
      </c>
      <c r="H23" s="78">
        <v>100012</v>
      </c>
      <c r="I23" s="78">
        <v>526</v>
      </c>
      <c r="J23" s="78">
        <v>490</v>
      </c>
      <c r="K23" s="78">
        <v>41</v>
      </c>
      <c r="L23" s="78">
        <v>6000</v>
      </c>
      <c r="M23" s="78">
        <v>100</v>
      </c>
      <c r="N23" s="78">
        <v>100</v>
      </c>
      <c r="O23" s="78">
        <v>100</v>
      </c>
      <c r="P23" s="78">
        <v>0</v>
      </c>
      <c r="Q23" s="78">
        <v>0</v>
      </c>
      <c r="R23" s="78">
        <v>510011</v>
      </c>
      <c r="S23" s="78"/>
      <c r="T23" s="93">
        <v>510011</v>
      </c>
      <c r="U23" s="78">
        <v>20</v>
      </c>
      <c r="V23" s="78">
        <v>1</v>
      </c>
    </row>
    <row r="24" spans="1:26">
      <c r="A24" s="93">
        <v>100021</v>
      </c>
      <c r="B24" s="93" t="s">
        <v>291</v>
      </c>
      <c r="C24" s="93">
        <v>1</v>
      </c>
      <c r="F24" s="78">
        <f t="shared" si="0"/>
        <v>2</v>
      </c>
      <c r="G24" s="93">
        <v>5</v>
      </c>
      <c r="H24" s="93">
        <v>100022</v>
      </c>
      <c r="I24" s="78">
        <v>541</v>
      </c>
      <c r="J24" s="78">
        <v>578</v>
      </c>
      <c r="K24" s="78">
        <v>52</v>
      </c>
      <c r="L24" s="78">
        <v>10500</v>
      </c>
      <c r="M24" s="78">
        <v>100</v>
      </c>
      <c r="N24" s="78">
        <v>100</v>
      </c>
      <c r="O24" s="78">
        <v>100</v>
      </c>
      <c r="P24" s="78">
        <v>0</v>
      </c>
      <c r="Q24" s="78">
        <v>0</v>
      </c>
      <c r="R24" s="93">
        <v>510021</v>
      </c>
      <c r="T24" s="93">
        <v>510021</v>
      </c>
      <c r="U24" s="93">
        <v>100</v>
      </c>
      <c r="V24" s="78">
        <v>2</v>
      </c>
    </row>
    <row r="25" spans="1:26">
      <c r="A25" s="93">
        <v>100022</v>
      </c>
      <c r="B25" s="93" t="s">
        <v>291</v>
      </c>
      <c r="C25" s="93">
        <v>1</v>
      </c>
      <c r="F25" s="78">
        <f t="shared" si="0"/>
        <v>2</v>
      </c>
      <c r="G25" s="93">
        <v>6</v>
      </c>
      <c r="H25" s="93">
        <v>100023</v>
      </c>
      <c r="I25" s="78">
        <v>590</v>
      </c>
      <c r="J25" s="78">
        <v>621</v>
      </c>
      <c r="K25" s="78">
        <v>62</v>
      </c>
      <c r="L25" s="78">
        <v>15000</v>
      </c>
      <c r="M25" s="78">
        <v>100</v>
      </c>
      <c r="N25" s="78">
        <v>100</v>
      </c>
      <c r="O25" s="78">
        <v>100</v>
      </c>
      <c r="P25" s="78">
        <v>0</v>
      </c>
      <c r="Q25" s="78">
        <v>0</v>
      </c>
      <c r="R25" s="93">
        <v>510021</v>
      </c>
      <c r="T25" s="93">
        <v>510021</v>
      </c>
      <c r="U25" s="93">
        <v>200</v>
      </c>
      <c r="V25" s="78">
        <v>2</v>
      </c>
    </row>
    <row r="26" spans="1:26">
      <c r="A26" s="93">
        <v>100023</v>
      </c>
      <c r="B26" s="93" t="s">
        <v>291</v>
      </c>
      <c r="C26" s="93">
        <v>1</v>
      </c>
      <c r="F26" s="78">
        <f t="shared" si="0"/>
        <v>2</v>
      </c>
      <c r="G26" s="93">
        <v>7</v>
      </c>
      <c r="H26" s="93">
        <v>0</v>
      </c>
      <c r="I26" s="78">
        <v>645</v>
      </c>
      <c r="J26" s="78">
        <v>665</v>
      </c>
      <c r="K26" s="78">
        <v>72</v>
      </c>
      <c r="L26" s="78">
        <v>21000</v>
      </c>
      <c r="M26" s="78">
        <v>100</v>
      </c>
      <c r="N26" s="78">
        <v>100</v>
      </c>
      <c r="O26" s="78">
        <v>100</v>
      </c>
      <c r="P26" s="78">
        <v>0</v>
      </c>
      <c r="Q26" s="78">
        <v>0</v>
      </c>
      <c r="R26" s="93">
        <v>510021</v>
      </c>
      <c r="T26" s="93">
        <v>510021</v>
      </c>
      <c r="U26" s="93">
        <v>400</v>
      </c>
      <c r="V26" s="78">
        <v>2</v>
      </c>
    </row>
    <row r="27" spans="1:26">
      <c r="A27" s="93">
        <v>100027</v>
      </c>
      <c r="B27" s="93" t="s">
        <v>291</v>
      </c>
      <c r="C27" s="93">
        <v>1</v>
      </c>
      <c r="F27" s="78">
        <v>2</v>
      </c>
      <c r="G27" s="93">
        <v>5</v>
      </c>
      <c r="H27" s="93">
        <v>100022</v>
      </c>
      <c r="I27" s="78">
        <v>541</v>
      </c>
      <c r="J27" s="78">
        <v>578</v>
      </c>
      <c r="K27" s="78">
        <v>52</v>
      </c>
      <c r="L27" s="78">
        <v>10500</v>
      </c>
      <c r="M27" s="78">
        <v>100</v>
      </c>
      <c r="N27" s="78">
        <v>100</v>
      </c>
      <c r="O27" s="78">
        <v>100</v>
      </c>
      <c r="P27" s="78">
        <v>0</v>
      </c>
      <c r="Q27" s="78">
        <v>0</v>
      </c>
      <c r="R27" s="93">
        <v>510021</v>
      </c>
      <c r="T27" s="93">
        <v>510021</v>
      </c>
      <c r="U27" s="93">
        <v>100</v>
      </c>
      <c r="V27" s="78">
        <v>2</v>
      </c>
    </row>
    <row r="28" spans="1:26">
      <c r="A28" s="93">
        <v>100031</v>
      </c>
      <c r="B28" s="93" t="s">
        <v>296</v>
      </c>
      <c r="C28" s="78">
        <v>1</v>
      </c>
      <c r="E28" s="78"/>
      <c r="F28" s="78">
        <f t="shared" si="0"/>
        <v>1</v>
      </c>
      <c r="G28" s="93">
        <v>2</v>
      </c>
      <c r="H28" s="78">
        <v>100032</v>
      </c>
      <c r="I28" s="78">
        <v>410</v>
      </c>
      <c r="J28" s="78">
        <v>400</v>
      </c>
      <c r="K28" s="78">
        <v>40</v>
      </c>
      <c r="L28" s="78">
        <v>1000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510031</v>
      </c>
      <c r="S28" s="78"/>
      <c r="T28" s="93">
        <v>510031</v>
      </c>
      <c r="U28" s="78">
        <v>6</v>
      </c>
      <c r="V28" s="78">
        <v>3</v>
      </c>
    </row>
    <row r="29" spans="1:26">
      <c r="A29" s="93">
        <v>100032</v>
      </c>
      <c r="B29" s="93" t="s">
        <v>296</v>
      </c>
      <c r="C29" s="78">
        <v>1</v>
      </c>
      <c r="E29" s="78"/>
      <c r="F29" s="78">
        <f t="shared" si="0"/>
        <v>1</v>
      </c>
      <c r="G29" s="93">
        <v>3</v>
      </c>
      <c r="H29" s="78">
        <v>100033</v>
      </c>
      <c r="I29" s="78">
        <v>450</v>
      </c>
      <c r="J29" s="78">
        <v>440</v>
      </c>
      <c r="K29" s="78">
        <v>46</v>
      </c>
      <c r="L29" s="78">
        <v>3000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510031</v>
      </c>
      <c r="S29" s="78"/>
      <c r="T29" s="93">
        <v>510031</v>
      </c>
      <c r="U29" s="78">
        <v>16</v>
      </c>
      <c r="V29" s="78">
        <v>3</v>
      </c>
    </row>
    <row r="30" spans="1:26">
      <c r="A30" s="93">
        <v>100033</v>
      </c>
      <c r="B30" s="93" t="s">
        <v>296</v>
      </c>
      <c r="C30" s="78">
        <v>1</v>
      </c>
      <c r="E30" s="78"/>
      <c r="F30" s="78">
        <f t="shared" si="0"/>
        <v>2</v>
      </c>
      <c r="G30" s="93">
        <v>4</v>
      </c>
      <c r="H30" s="78">
        <v>0</v>
      </c>
      <c r="I30" s="78">
        <v>495</v>
      </c>
      <c r="J30" s="78">
        <v>485</v>
      </c>
      <c r="K30" s="78">
        <v>52</v>
      </c>
      <c r="L30" s="78">
        <v>6000</v>
      </c>
      <c r="M30" s="78">
        <v>100</v>
      </c>
      <c r="N30" s="78">
        <v>100</v>
      </c>
      <c r="O30" s="78">
        <v>100</v>
      </c>
      <c r="P30" s="78">
        <v>0</v>
      </c>
      <c r="Q30" s="78">
        <v>0</v>
      </c>
      <c r="R30" s="78">
        <v>510031</v>
      </c>
      <c r="S30" s="78"/>
      <c r="T30" s="93">
        <v>510031</v>
      </c>
      <c r="U30" s="78">
        <v>20</v>
      </c>
      <c r="V30" s="78">
        <v>3</v>
      </c>
    </row>
    <row r="31" spans="1:26">
      <c r="A31" s="93">
        <v>100041</v>
      </c>
      <c r="B31" s="93" t="s">
        <v>301</v>
      </c>
      <c r="C31" s="78">
        <v>1</v>
      </c>
      <c r="E31" s="78"/>
      <c r="F31" s="78">
        <f t="shared" si="0"/>
        <v>2</v>
      </c>
      <c r="G31" s="93">
        <v>4</v>
      </c>
      <c r="H31" s="78">
        <v>100042</v>
      </c>
      <c r="I31" s="78">
        <v>495</v>
      </c>
      <c r="J31" s="78">
        <v>492</v>
      </c>
      <c r="K31" s="78">
        <v>52</v>
      </c>
      <c r="L31" s="78">
        <v>6000</v>
      </c>
      <c r="M31" s="78">
        <v>100</v>
      </c>
      <c r="N31" s="78">
        <v>100</v>
      </c>
      <c r="O31" s="78">
        <v>100</v>
      </c>
      <c r="P31" s="78">
        <v>0</v>
      </c>
      <c r="Q31" s="78">
        <v>0</v>
      </c>
      <c r="R31" s="78">
        <v>510041</v>
      </c>
      <c r="S31" s="78"/>
      <c r="T31" s="93">
        <v>510041</v>
      </c>
      <c r="U31" s="78">
        <v>20</v>
      </c>
      <c r="V31" s="78">
        <v>3</v>
      </c>
    </row>
    <row r="32" spans="1:26">
      <c r="A32" s="93">
        <v>100042</v>
      </c>
      <c r="B32" s="93" t="s">
        <v>301</v>
      </c>
      <c r="C32" s="78">
        <v>1</v>
      </c>
      <c r="E32" s="78"/>
      <c r="F32" s="78">
        <f t="shared" si="0"/>
        <v>2</v>
      </c>
      <c r="G32" s="93">
        <v>5</v>
      </c>
      <c r="H32" s="78">
        <v>100043</v>
      </c>
      <c r="I32" s="78">
        <v>546</v>
      </c>
      <c r="J32" s="78">
        <v>541</v>
      </c>
      <c r="K32" s="78">
        <v>64</v>
      </c>
      <c r="L32" s="78">
        <v>10500</v>
      </c>
      <c r="M32" s="78">
        <v>100</v>
      </c>
      <c r="N32" s="78">
        <v>100</v>
      </c>
      <c r="O32" s="78">
        <v>100</v>
      </c>
      <c r="P32" s="78">
        <v>0</v>
      </c>
      <c r="Q32" s="78">
        <v>0</v>
      </c>
      <c r="R32" s="78">
        <v>510041</v>
      </c>
      <c r="S32" s="78"/>
      <c r="T32" s="93">
        <v>510041</v>
      </c>
      <c r="U32" s="78">
        <v>100</v>
      </c>
      <c r="V32" s="78">
        <v>3</v>
      </c>
    </row>
    <row r="33" spans="1:22">
      <c r="A33" s="93">
        <v>100043</v>
      </c>
      <c r="B33" s="93" t="s">
        <v>301</v>
      </c>
      <c r="C33" s="78">
        <v>1</v>
      </c>
      <c r="E33" s="78"/>
      <c r="F33" s="78">
        <f t="shared" si="0"/>
        <v>2</v>
      </c>
      <c r="G33" s="93">
        <v>6</v>
      </c>
      <c r="H33" s="78">
        <v>100044</v>
      </c>
      <c r="I33" s="78">
        <v>592</v>
      </c>
      <c r="J33" s="78">
        <v>594</v>
      </c>
      <c r="K33" s="78">
        <v>74</v>
      </c>
      <c r="L33" s="78">
        <v>15000</v>
      </c>
      <c r="M33" s="78">
        <v>100</v>
      </c>
      <c r="N33" s="78">
        <v>100</v>
      </c>
      <c r="O33" s="78">
        <v>100</v>
      </c>
      <c r="P33" s="78">
        <v>0</v>
      </c>
      <c r="Q33" s="78">
        <v>0</v>
      </c>
      <c r="R33" s="78">
        <v>510041</v>
      </c>
      <c r="S33" s="78"/>
      <c r="T33" s="93">
        <v>510041</v>
      </c>
      <c r="U33" s="78">
        <v>200</v>
      </c>
      <c r="V33" s="78">
        <v>3</v>
      </c>
    </row>
    <row r="34" spans="1:22">
      <c r="A34" s="93">
        <v>100044</v>
      </c>
      <c r="B34" s="93" t="s">
        <v>301</v>
      </c>
      <c r="C34" s="78">
        <v>1</v>
      </c>
      <c r="E34" s="78"/>
      <c r="F34" s="78">
        <f t="shared" si="0"/>
        <v>2</v>
      </c>
      <c r="G34" s="93">
        <v>7</v>
      </c>
      <c r="H34" s="78">
        <v>0</v>
      </c>
      <c r="I34" s="78">
        <v>640</v>
      </c>
      <c r="J34" s="78">
        <v>641</v>
      </c>
      <c r="K34" s="78">
        <v>84</v>
      </c>
      <c r="L34" s="78">
        <v>21000</v>
      </c>
      <c r="M34" s="78">
        <v>100</v>
      </c>
      <c r="N34" s="78">
        <v>100</v>
      </c>
      <c r="O34" s="78">
        <v>100</v>
      </c>
      <c r="P34" s="78">
        <v>0</v>
      </c>
      <c r="Q34" s="78">
        <v>0</v>
      </c>
      <c r="R34" s="78">
        <v>510041</v>
      </c>
      <c r="S34" s="78"/>
      <c r="T34" s="93">
        <v>510041</v>
      </c>
      <c r="U34" s="78">
        <v>400</v>
      </c>
      <c r="V34" s="78">
        <v>3</v>
      </c>
    </row>
    <row r="35" spans="1:22">
      <c r="A35" s="93">
        <v>100048</v>
      </c>
      <c r="B35" s="93" t="s">
        <v>301</v>
      </c>
      <c r="C35" s="78">
        <v>1</v>
      </c>
      <c r="E35" s="78"/>
      <c r="F35" s="78">
        <f t="shared" ref="F35" si="2">IF(G35&gt;3,2,1)</f>
        <v>2</v>
      </c>
      <c r="G35" s="93">
        <v>4</v>
      </c>
      <c r="H35" s="78">
        <v>100042</v>
      </c>
      <c r="I35" s="78">
        <v>495</v>
      </c>
      <c r="J35" s="78">
        <v>492</v>
      </c>
      <c r="K35" s="78">
        <v>52</v>
      </c>
      <c r="L35" s="78">
        <v>6000</v>
      </c>
      <c r="M35" s="78">
        <v>100</v>
      </c>
      <c r="N35" s="78">
        <v>100</v>
      </c>
      <c r="O35" s="78">
        <v>100</v>
      </c>
      <c r="P35" s="78">
        <v>0</v>
      </c>
      <c r="Q35" s="78">
        <v>0</v>
      </c>
      <c r="R35" s="78">
        <v>510041</v>
      </c>
      <c r="S35" s="78"/>
      <c r="T35" s="93">
        <v>510041</v>
      </c>
      <c r="U35" s="78">
        <v>20</v>
      </c>
      <c r="V35" s="78">
        <v>3</v>
      </c>
    </row>
    <row r="36" spans="1:22">
      <c r="A36" s="93">
        <v>100051</v>
      </c>
      <c r="B36" s="93" t="s">
        <v>308</v>
      </c>
      <c r="C36" s="93">
        <v>1</v>
      </c>
      <c r="F36" s="78">
        <f t="shared" si="0"/>
        <v>2</v>
      </c>
      <c r="G36" s="93">
        <v>5</v>
      </c>
      <c r="H36" s="93">
        <v>100052</v>
      </c>
      <c r="I36" s="78">
        <v>543</v>
      </c>
      <c r="J36" s="78">
        <v>538</v>
      </c>
      <c r="K36" s="78">
        <v>63</v>
      </c>
      <c r="L36" s="78">
        <v>10500</v>
      </c>
      <c r="M36" s="78">
        <v>100</v>
      </c>
      <c r="N36" s="78">
        <v>100</v>
      </c>
      <c r="O36" s="78">
        <v>100</v>
      </c>
      <c r="P36" s="78">
        <v>0</v>
      </c>
      <c r="Q36" s="78">
        <v>0</v>
      </c>
      <c r="R36" s="93">
        <v>510051</v>
      </c>
      <c r="T36" s="93">
        <v>510051</v>
      </c>
      <c r="U36" s="93">
        <v>100</v>
      </c>
      <c r="V36" s="78">
        <v>3</v>
      </c>
    </row>
    <row r="37" spans="1:22">
      <c r="A37" s="93">
        <v>100052</v>
      </c>
      <c r="B37" s="93" t="s">
        <v>308</v>
      </c>
      <c r="C37" s="93">
        <v>1</v>
      </c>
      <c r="F37" s="78">
        <f t="shared" si="0"/>
        <v>2</v>
      </c>
      <c r="G37" s="93">
        <v>6</v>
      </c>
      <c r="H37" s="93">
        <v>100053</v>
      </c>
      <c r="I37" s="78">
        <v>592</v>
      </c>
      <c r="J37" s="78">
        <v>584</v>
      </c>
      <c r="K37" s="78">
        <v>73</v>
      </c>
      <c r="L37" s="78">
        <v>15000</v>
      </c>
      <c r="M37" s="78">
        <v>100</v>
      </c>
      <c r="N37" s="78">
        <v>100</v>
      </c>
      <c r="O37" s="78">
        <v>100</v>
      </c>
      <c r="P37" s="78">
        <v>0</v>
      </c>
      <c r="Q37" s="78">
        <v>0</v>
      </c>
      <c r="R37" s="93">
        <v>510051</v>
      </c>
      <c r="T37" s="93">
        <v>510051</v>
      </c>
      <c r="U37" s="93">
        <v>200</v>
      </c>
      <c r="V37" s="78">
        <v>3</v>
      </c>
    </row>
    <row r="38" spans="1:22">
      <c r="A38" s="93">
        <v>100053</v>
      </c>
      <c r="B38" s="93" t="s">
        <v>308</v>
      </c>
      <c r="C38" s="93">
        <v>1</v>
      </c>
      <c r="F38" s="78">
        <f t="shared" si="0"/>
        <v>2</v>
      </c>
      <c r="G38" s="93">
        <v>7</v>
      </c>
      <c r="H38" s="93">
        <v>0</v>
      </c>
      <c r="I38" s="78">
        <v>644</v>
      </c>
      <c r="J38" s="78">
        <v>636</v>
      </c>
      <c r="K38" s="78">
        <v>83</v>
      </c>
      <c r="L38" s="78">
        <v>21000</v>
      </c>
      <c r="M38" s="78">
        <v>100</v>
      </c>
      <c r="N38" s="78">
        <v>100</v>
      </c>
      <c r="O38" s="78">
        <v>100</v>
      </c>
      <c r="P38" s="78">
        <v>0</v>
      </c>
      <c r="Q38" s="78">
        <v>0</v>
      </c>
      <c r="R38" s="93">
        <v>510051</v>
      </c>
      <c r="T38" s="93">
        <v>510051</v>
      </c>
      <c r="U38" s="93">
        <v>400</v>
      </c>
      <c r="V38" s="78">
        <v>3</v>
      </c>
    </row>
    <row r="39" spans="1:22">
      <c r="A39" s="93">
        <v>100055</v>
      </c>
      <c r="B39" s="93" t="s">
        <v>308</v>
      </c>
      <c r="C39" s="93">
        <v>1</v>
      </c>
      <c r="F39" s="78">
        <v>2</v>
      </c>
      <c r="G39" s="93">
        <v>4</v>
      </c>
      <c r="H39" s="93">
        <v>100051</v>
      </c>
      <c r="I39" s="78">
        <v>491</v>
      </c>
      <c r="J39" s="78">
        <v>486</v>
      </c>
      <c r="K39" s="78">
        <v>53</v>
      </c>
      <c r="L39" s="78">
        <v>6000</v>
      </c>
      <c r="M39" s="78">
        <v>100</v>
      </c>
      <c r="N39" s="78">
        <v>100</v>
      </c>
      <c r="O39" s="78">
        <v>100</v>
      </c>
      <c r="P39" s="78">
        <v>0</v>
      </c>
      <c r="Q39" s="78">
        <v>0</v>
      </c>
      <c r="R39" s="93">
        <v>510051</v>
      </c>
      <c r="T39" s="93">
        <v>510051</v>
      </c>
      <c r="U39" s="93">
        <v>20</v>
      </c>
      <c r="V39" s="78">
        <v>3</v>
      </c>
    </row>
    <row r="40" spans="1:22">
      <c r="A40" s="93">
        <v>100061</v>
      </c>
      <c r="B40" s="93" t="s">
        <v>314</v>
      </c>
      <c r="C40" s="78">
        <v>1</v>
      </c>
      <c r="E40" s="78"/>
      <c r="F40" s="78">
        <f t="shared" ref="F40:F79" si="3">IF(G40&gt;3,2,1)</f>
        <v>2</v>
      </c>
      <c r="G40" s="93">
        <v>4</v>
      </c>
      <c r="H40" s="78">
        <v>100062</v>
      </c>
      <c r="I40" s="78">
        <v>520</v>
      </c>
      <c r="J40" s="78">
        <v>489</v>
      </c>
      <c r="K40" s="78">
        <v>42</v>
      </c>
      <c r="L40" s="78">
        <v>6000</v>
      </c>
      <c r="M40" s="78">
        <v>100</v>
      </c>
      <c r="N40" s="78">
        <v>100</v>
      </c>
      <c r="O40" s="78">
        <v>100</v>
      </c>
      <c r="P40" s="78">
        <v>0</v>
      </c>
      <c r="Q40" s="78">
        <v>0</v>
      </c>
      <c r="R40" s="78">
        <v>510061</v>
      </c>
      <c r="S40" s="78"/>
      <c r="T40" s="93">
        <v>510061</v>
      </c>
      <c r="U40" s="78">
        <v>20</v>
      </c>
      <c r="V40" s="93">
        <v>1</v>
      </c>
    </row>
    <row r="41" spans="1:22">
      <c r="A41" s="93">
        <v>100062</v>
      </c>
      <c r="B41" s="93" t="s">
        <v>314</v>
      </c>
      <c r="C41" s="78">
        <v>1</v>
      </c>
      <c r="E41" s="78"/>
      <c r="F41" s="78">
        <f t="shared" si="3"/>
        <v>2</v>
      </c>
      <c r="G41" s="93">
        <v>5</v>
      </c>
      <c r="H41" s="78">
        <v>100063</v>
      </c>
      <c r="I41" s="78">
        <v>566</v>
      </c>
      <c r="J41" s="78">
        <v>540</v>
      </c>
      <c r="K41" s="78">
        <v>53</v>
      </c>
      <c r="L41" s="78">
        <v>10500</v>
      </c>
      <c r="M41" s="78">
        <v>100</v>
      </c>
      <c r="N41" s="78">
        <v>100</v>
      </c>
      <c r="O41" s="78">
        <v>100</v>
      </c>
      <c r="P41" s="78">
        <v>0</v>
      </c>
      <c r="Q41" s="78">
        <v>0</v>
      </c>
      <c r="R41" s="78">
        <v>510061</v>
      </c>
      <c r="S41" s="78"/>
      <c r="T41" s="93">
        <v>510061</v>
      </c>
      <c r="U41" s="78">
        <v>100</v>
      </c>
      <c r="V41" s="93">
        <v>1</v>
      </c>
    </row>
    <row r="42" spans="1:22">
      <c r="A42" s="93">
        <v>100063</v>
      </c>
      <c r="B42" s="93" t="s">
        <v>314</v>
      </c>
      <c r="C42" s="78">
        <v>1</v>
      </c>
      <c r="E42" s="78"/>
      <c r="F42" s="78">
        <f t="shared" si="3"/>
        <v>2</v>
      </c>
      <c r="G42" s="93">
        <v>6</v>
      </c>
      <c r="H42" s="78">
        <v>0</v>
      </c>
      <c r="I42" s="78">
        <v>615</v>
      </c>
      <c r="J42" s="78">
        <v>588</v>
      </c>
      <c r="K42" s="78">
        <v>63</v>
      </c>
      <c r="L42" s="78">
        <v>15000</v>
      </c>
      <c r="M42" s="78">
        <v>100</v>
      </c>
      <c r="N42" s="78">
        <v>100</v>
      </c>
      <c r="O42" s="78">
        <v>100</v>
      </c>
      <c r="P42" s="78">
        <v>0</v>
      </c>
      <c r="Q42" s="78">
        <v>0</v>
      </c>
      <c r="R42" s="78">
        <v>510061</v>
      </c>
      <c r="S42" s="78"/>
      <c r="T42" s="93">
        <v>510061</v>
      </c>
      <c r="U42" s="78">
        <v>200</v>
      </c>
      <c r="V42" s="93">
        <v>1</v>
      </c>
    </row>
    <row r="43" spans="1:22">
      <c r="A43" s="93">
        <v>100065</v>
      </c>
      <c r="B43" s="93" t="s">
        <v>314</v>
      </c>
      <c r="C43" s="78">
        <v>1</v>
      </c>
      <c r="E43" s="78"/>
      <c r="F43" s="78">
        <f t="shared" ref="F43" si="4">IF(G43&gt;3,2,1)</f>
        <v>2</v>
      </c>
      <c r="G43" s="93">
        <v>4</v>
      </c>
      <c r="H43" s="78">
        <v>100062</v>
      </c>
      <c r="I43" s="78">
        <v>520</v>
      </c>
      <c r="J43" s="78">
        <v>489</v>
      </c>
      <c r="K43" s="78">
        <v>42</v>
      </c>
      <c r="L43" s="78">
        <v>6000</v>
      </c>
      <c r="M43" s="78">
        <v>100</v>
      </c>
      <c r="N43" s="78">
        <v>100</v>
      </c>
      <c r="O43" s="78">
        <v>100</v>
      </c>
      <c r="P43" s="78">
        <v>0</v>
      </c>
      <c r="Q43" s="78">
        <v>0</v>
      </c>
      <c r="R43" s="78">
        <v>510061</v>
      </c>
      <c r="S43" s="78"/>
      <c r="T43" s="93">
        <v>510061</v>
      </c>
      <c r="U43" s="78">
        <v>20</v>
      </c>
      <c r="V43" s="93">
        <v>1</v>
      </c>
    </row>
    <row r="44" spans="1:22">
      <c r="A44" s="93">
        <v>100071</v>
      </c>
      <c r="B44" s="93" t="s">
        <v>319</v>
      </c>
      <c r="C44" s="78">
        <v>1</v>
      </c>
      <c r="E44" s="78"/>
      <c r="F44" s="78">
        <f t="shared" si="3"/>
        <v>2</v>
      </c>
      <c r="G44" s="93">
        <v>5</v>
      </c>
      <c r="H44" s="78">
        <v>100072</v>
      </c>
      <c r="I44" s="78">
        <v>541</v>
      </c>
      <c r="J44" s="78">
        <v>572</v>
      </c>
      <c r="K44" s="78">
        <v>52</v>
      </c>
      <c r="L44" s="78">
        <v>10500</v>
      </c>
      <c r="M44" s="78">
        <v>100</v>
      </c>
      <c r="N44" s="78">
        <v>100</v>
      </c>
      <c r="O44" s="78">
        <v>100</v>
      </c>
      <c r="P44" s="78">
        <v>0</v>
      </c>
      <c r="Q44" s="78">
        <v>0</v>
      </c>
      <c r="R44" s="78">
        <v>510071</v>
      </c>
      <c r="S44" s="78"/>
      <c r="T44" s="93">
        <v>510071</v>
      </c>
      <c r="U44" s="78">
        <v>100</v>
      </c>
      <c r="V44" s="78">
        <v>2</v>
      </c>
    </row>
    <row r="45" spans="1:22">
      <c r="A45" s="93">
        <v>100072</v>
      </c>
      <c r="B45" s="93" t="s">
        <v>319</v>
      </c>
      <c r="C45" s="78">
        <v>1</v>
      </c>
      <c r="E45" s="78"/>
      <c r="F45" s="78">
        <f t="shared" si="3"/>
        <v>2</v>
      </c>
      <c r="G45" s="93">
        <v>6</v>
      </c>
      <c r="H45" s="78">
        <v>100073</v>
      </c>
      <c r="I45" s="78">
        <v>595</v>
      </c>
      <c r="J45" s="78">
        <v>617</v>
      </c>
      <c r="K45" s="78">
        <v>63</v>
      </c>
      <c r="L45" s="78">
        <v>15000</v>
      </c>
      <c r="M45" s="78">
        <v>100</v>
      </c>
      <c r="N45" s="78">
        <v>100</v>
      </c>
      <c r="O45" s="78">
        <v>100</v>
      </c>
      <c r="P45" s="78">
        <v>0</v>
      </c>
      <c r="Q45" s="78">
        <v>0</v>
      </c>
      <c r="R45" s="78">
        <v>510071</v>
      </c>
      <c r="S45" s="78"/>
      <c r="T45" s="93">
        <v>510071</v>
      </c>
      <c r="U45" s="78">
        <v>200</v>
      </c>
      <c r="V45" s="78">
        <v>2</v>
      </c>
    </row>
    <row r="46" spans="1:22">
      <c r="A46" s="93">
        <v>100073</v>
      </c>
      <c r="B46" s="93" t="s">
        <v>319</v>
      </c>
      <c r="C46" s="78">
        <v>1</v>
      </c>
      <c r="E46" s="78"/>
      <c r="F46" s="78">
        <f t="shared" si="3"/>
        <v>2</v>
      </c>
      <c r="G46" s="93">
        <v>7</v>
      </c>
      <c r="H46" s="78">
        <v>0</v>
      </c>
      <c r="I46" s="78">
        <v>651</v>
      </c>
      <c r="J46" s="78">
        <v>669</v>
      </c>
      <c r="K46" s="78">
        <v>73</v>
      </c>
      <c r="L46" s="78">
        <v>21000</v>
      </c>
      <c r="M46" s="78">
        <v>100</v>
      </c>
      <c r="N46" s="78">
        <v>100</v>
      </c>
      <c r="O46" s="78">
        <v>100</v>
      </c>
      <c r="P46" s="78">
        <v>0</v>
      </c>
      <c r="Q46" s="78">
        <v>0</v>
      </c>
      <c r="R46" s="78">
        <v>510071</v>
      </c>
      <c r="S46" s="78"/>
      <c r="T46" s="93">
        <v>510071</v>
      </c>
      <c r="U46" s="78">
        <v>400</v>
      </c>
      <c r="V46" s="78">
        <v>2</v>
      </c>
    </row>
    <row r="47" spans="1:22">
      <c r="A47" s="93">
        <v>100081</v>
      </c>
      <c r="B47" s="93" t="s">
        <v>324</v>
      </c>
      <c r="C47" s="78">
        <v>1</v>
      </c>
      <c r="E47" s="78"/>
      <c r="F47" s="78">
        <f t="shared" si="3"/>
        <v>2</v>
      </c>
      <c r="G47" s="93">
        <v>5</v>
      </c>
      <c r="H47" s="78">
        <v>100082</v>
      </c>
      <c r="I47" s="78">
        <v>576</v>
      </c>
      <c r="J47" s="78">
        <v>543</v>
      </c>
      <c r="K47" s="78">
        <v>54</v>
      </c>
      <c r="L47" s="78">
        <v>10500</v>
      </c>
      <c r="M47" s="78">
        <v>100</v>
      </c>
      <c r="N47" s="78">
        <v>100</v>
      </c>
      <c r="O47" s="78">
        <v>100</v>
      </c>
      <c r="P47" s="78">
        <v>0</v>
      </c>
      <c r="Q47" s="78">
        <v>0</v>
      </c>
      <c r="R47" s="78">
        <v>510081</v>
      </c>
      <c r="S47" s="78"/>
      <c r="T47" s="93">
        <v>510081</v>
      </c>
      <c r="U47" s="78">
        <v>100</v>
      </c>
      <c r="V47" s="78">
        <v>1</v>
      </c>
    </row>
    <row r="48" spans="1:22">
      <c r="A48" s="93">
        <v>100082</v>
      </c>
      <c r="B48" s="93" t="s">
        <v>324</v>
      </c>
      <c r="C48" s="78">
        <v>1</v>
      </c>
      <c r="E48" s="78"/>
      <c r="F48" s="78">
        <f t="shared" si="3"/>
        <v>2</v>
      </c>
      <c r="G48" s="93">
        <v>6</v>
      </c>
      <c r="H48" s="78">
        <v>100083</v>
      </c>
      <c r="I48" s="78">
        <v>623</v>
      </c>
      <c r="J48" s="78">
        <v>588</v>
      </c>
      <c r="K48" s="78">
        <v>64</v>
      </c>
      <c r="L48" s="78">
        <v>15000</v>
      </c>
      <c r="M48" s="78">
        <v>100</v>
      </c>
      <c r="N48" s="78">
        <v>100</v>
      </c>
      <c r="O48" s="78">
        <v>100</v>
      </c>
      <c r="P48" s="78">
        <v>0</v>
      </c>
      <c r="Q48" s="78">
        <v>0</v>
      </c>
      <c r="R48" s="78">
        <v>510081</v>
      </c>
      <c r="S48" s="78"/>
      <c r="T48" s="93">
        <v>510081</v>
      </c>
      <c r="U48" s="78">
        <v>200</v>
      </c>
      <c r="V48" s="78">
        <v>1</v>
      </c>
    </row>
    <row r="49" spans="1:22">
      <c r="A49" s="93">
        <v>100083</v>
      </c>
      <c r="B49" s="93" t="s">
        <v>324</v>
      </c>
      <c r="C49" s="78">
        <v>1</v>
      </c>
      <c r="E49" s="78"/>
      <c r="F49" s="78">
        <f t="shared" si="3"/>
        <v>2</v>
      </c>
      <c r="G49" s="93">
        <v>7</v>
      </c>
      <c r="H49" s="78">
        <v>0</v>
      </c>
      <c r="I49" s="78">
        <v>665</v>
      </c>
      <c r="J49" s="78">
        <v>633</v>
      </c>
      <c r="K49" s="78">
        <v>74</v>
      </c>
      <c r="L49" s="78">
        <v>21000</v>
      </c>
      <c r="M49" s="78">
        <v>100</v>
      </c>
      <c r="N49" s="78">
        <v>100</v>
      </c>
      <c r="O49" s="78">
        <v>100</v>
      </c>
      <c r="P49" s="78">
        <v>0</v>
      </c>
      <c r="Q49" s="78">
        <v>0</v>
      </c>
      <c r="R49" s="78">
        <v>510081</v>
      </c>
      <c r="S49" s="78"/>
      <c r="T49" s="93">
        <v>510081</v>
      </c>
      <c r="U49" s="78">
        <v>400</v>
      </c>
      <c r="V49" s="78">
        <v>1</v>
      </c>
    </row>
    <row r="50" spans="1:22">
      <c r="A50" s="93">
        <v>100091</v>
      </c>
      <c r="B50" s="93" t="s">
        <v>329</v>
      </c>
      <c r="C50" s="78">
        <v>1</v>
      </c>
      <c r="E50" s="78"/>
      <c r="F50" s="78">
        <f t="shared" si="3"/>
        <v>2</v>
      </c>
      <c r="G50" s="93">
        <v>5</v>
      </c>
      <c r="H50" s="78">
        <v>100092</v>
      </c>
      <c r="I50" s="78">
        <v>563</v>
      </c>
      <c r="J50" s="78">
        <v>547</v>
      </c>
      <c r="K50" s="78">
        <v>52</v>
      </c>
      <c r="L50" s="78">
        <v>10500</v>
      </c>
      <c r="M50" s="78">
        <v>100</v>
      </c>
      <c r="N50" s="78">
        <v>100</v>
      </c>
      <c r="O50" s="78">
        <v>100</v>
      </c>
      <c r="P50" s="78">
        <v>0</v>
      </c>
      <c r="Q50" s="78">
        <v>0</v>
      </c>
      <c r="R50" s="78">
        <v>510091</v>
      </c>
      <c r="S50" s="78"/>
      <c r="T50" s="93">
        <v>510091</v>
      </c>
      <c r="U50" s="78">
        <v>100</v>
      </c>
      <c r="V50" s="78">
        <v>1</v>
      </c>
    </row>
    <row r="51" spans="1:22">
      <c r="A51" s="93">
        <v>100092</v>
      </c>
      <c r="B51" s="93" t="s">
        <v>329</v>
      </c>
      <c r="C51" s="78">
        <v>1</v>
      </c>
      <c r="E51" s="78"/>
      <c r="F51" s="78">
        <f t="shared" si="3"/>
        <v>2</v>
      </c>
      <c r="G51" s="93">
        <v>6</v>
      </c>
      <c r="H51" s="78">
        <v>100093</v>
      </c>
      <c r="I51" s="78">
        <v>612</v>
      </c>
      <c r="J51" s="78">
        <v>595</v>
      </c>
      <c r="K51" s="78">
        <v>62</v>
      </c>
      <c r="L51" s="78">
        <v>15000</v>
      </c>
      <c r="M51" s="78">
        <v>100</v>
      </c>
      <c r="N51" s="78">
        <v>100</v>
      </c>
      <c r="O51" s="78">
        <v>100</v>
      </c>
      <c r="P51" s="78">
        <v>0</v>
      </c>
      <c r="Q51" s="78">
        <v>0</v>
      </c>
      <c r="R51" s="78">
        <v>510091</v>
      </c>
      <c r="S51" s="78"/>
      <c r="T51" s="93">
        <v>510091</v>
      </c>
      <c r="U51" s="78">
        <v>200</v>
      </c>
      <c r="V51" s="78">
        <v>1</v>
      </c>
    </row>
    <row r="52" spans="1:22">
      <c r="A52" s="93">
        <v>100093</v>
      </c>
      <c r="B52" s="93" t="s">
        <v>329</v>
      </c>
      <c r="C52" s="78">
        <v>1</v>
      </c>
      <c r="E52" s="78"/>
      <c r="F52" s="78">
        <f t="shared" si="3"/>
        <v>2</v>
      </c>
      <c r="G52" s="93">
        <v>7</v>
      </c>
      <c r="H52" s="78">
        <v>0</v>
      </c>
      <c r="I52" s="78">
        <v>660</v>
      </c>
      <c r="J52" s="78">
        <v>643</v>
      </c>
      <c r="K52" s="78">
        <v>72</v>
      </c>
      <c r="L52" s="78">
        <v>21000</v>
      </c>
      <c r="M52" s="78">
        <v>100</v>
      </c>
      <c r="N52" s="78">
        <v>100</v>
      </c>
      <c r="O52" s="78">
        <v>100</v>
      </c>
      <c r="P52" s="78">
        <v>0</v>
      </c>
      <c r="Q52" s="78">
        <v>0</v>
      </c>
      <c r="R52" s="78">
        <v>510091</v>
      </c>
      <c r="S52" s="78"/>
      <c r="T52" s="93">
        <v>510091</v>
      </c>
      <c r="U52" s="78">
        <v>400</v>
      </c>
      <c r="V52" s="78">
        <v>1</v>
      </c>
    </row>
    <row r="53" spans="1:22">
      <c r="A53" s="93">
        <v>100101</v>
      </c>
      <c r="B53" s="93" t="s">
        <v>334</v>
      </c>
      <c r="C53" s="78">
        <v>1</v>
      </c>
      <c r="E53" s="78"/>
      <c r="F53" s="78">
        <f t="shared" si="3"/>
        <v>2</v>
      </c>
      <c r="G53" s="93">
        <v>5</v>
      </c>
      <c r="H53" s="78">
        <v>100102</v>
      </c>
      <c r="I53" s="78">
        <v>564</v>
      </c>
      <c r="J53" s="78">
        <v>545</v>
      </c>
      <c r="K53" s="78">
        <v>52</v>
      </c>
      <c r="L53" s="78">
        <v>10500</v>
      </c>
      <c r="M53" s="78">
        <v>100</v>
      </c>
      <c r="N53" s="78">
        <v>100</v>
      </c>
      <c r="O53" s="78">
        <v>100</v>
      </c>
      <c r="P53" s="78">
        <v>0</v>
      </c>
      <c r="Q53" s="78">
        <v>0</v>
      </c>
      <c r="R53" s="78">
        <v>510101</v>
      </c>
      <c r="S53" s="78"/>
      <c r="T53" s="93">
        <v>510101</v>
      </c>
      <c r="U53" s="78">
        <v>100</v>
      </c>
      <c r="V53" s="78">
        <v>1</v>
      </c>
    </row>
    <row r="54" spans="1:22">
      <c r="A54" s="93">
        <v>100102</v>
      </c>
      <c r="B54" s="93" t="s">
        <v>334</v>
      </c>
      <c r="C54" s="78">
        <v>1</v>
      </c>
      <c r="E54" s="78"/>
      <c r="F54" s="78">
        <f t="shared" si="3"/>
        <v>2</v>
      </c>
      <c r="G54" s="93">
        <v>6</v>
      </c>
      <c r="H54" s="78">
        <v>100103</v>
      </c>
      <c r="I54" s="78">
        <v>613</v>
      </c>
      <c r="J54" s="78">
        <v>596</v>
      </c>
      <c r="K54" s="78">
        <v>63</v>
      </c>
      <c r="L54" s="78">
        <v>15000</v>
      </c>
      <c r="M54" s="78">
        <v>100</v>
      </c>
      <c r="N54" s="78">
        <v>100</v>
      </c>
      <c r="O54" s="78">
        <v>100</v>
      </c>
      <c r="P54" s="78">
        <v>0</v>
      </c>
      <c r="Q54" s="78">
        <v>0</v>
      </c>
      <c r="R54" s="78">
        <v>510101</v>
      </c>
      <c r="S54" s="78"/>
      <c r="T54" s="93">
        <v>510101</v>
      </c>
      <c r="U54" s="78">
        <v>200</v>
      </c>
      <c r="V54" s="78">
        <v>1</v>
      </c>
    </row>
    <row r="55" spans="1:22">
      <c r="A55" s="93">
        <v>100103</v>
      </c>
      <c r="B55" s="93" t="s">
        <v>334</v>
      </c>
      <c r="C55" s="78">
        <v>1</v>
      </c>
      <c r="E55" s="78"/>
      <c r="F55" s="78">
        <f t="shared" si="3"/>
        <v>2</v>
      </c>
      <c r="G55" s="93">
        <v>7</v>
      </c>
      <c r="H55" s="78">
        <v>0</v>
      </c>
      <c r="I55" s="78">
        <v>664</v>
      </c>
      <c r="J55" s="78">
        <v>649</v>
      </c>
      <c r="K55" s="78">
        <v>73</v>
      </c>
      <c r="L55" s="78">
        <v>21000</v>
      </c>
      <c r="M55" s="78">
        <v>100</v>
      </c>
      <c r="N55" s="78">
        <v>100</v>
      </c>
      <c r="O55" s="78">
        <v>100</v>
      </c>
      <c r="P55" s="78">
        <v>0</v>
      </c>
      <c r="Q55" s="78">
        <v>0</v>
      </c>
      <c r="R55" s="78">
        <v>510101</v>
      </c>
      <c r="S55" s="78"/>
      <c r="T55" s="93">
        <v>510101</v>
      </c>
      <c r="U55" s="78">
        <v>400</v>
      </c>
      <c r="V55" s="78">
        <v>1</v>
      </c>
    </row>
    <row r="56" spans="1:22">
      <c r="A56" s="93">
        <v>100111</v>
      </c>
      <c r="B56" s="93" t="s">
        <v>339</v>
      </c>
      <c r="C56" s="93">
        <v>1</v>
      </c>
      <c r="E56" s="78"/>
      <c r="F56" s="78">
        <f t="shared" si="3"/>
        <v>2</v>
      </c>
      <c r="G56" s="93">
        <v>6</v>
      </c>
      <c r="H56" s="93">
        <v>100113</v>
      </c>
      <c r="I56" s="78">
        <v>584</v>
      </c>
      <c r="J56" s="78">
        <v>627</v>
      </c>
      <c r="K56" s="78">
        <v>62</v>
      </c>
      <c r="L56" s="78">
        <v>15000</v>
      </c>
      <c r="M56" s="78">
        <v>100</v>
      </c>
      <c r="N56" s="78">
        <v>100</v>
      </c>
      <c r="O56" s="78">
        <v>100</v>
      </c>
      <c r="P56" s="78">
        <v>0</v>
      </c>
      <c r="Q56" s="78">
        <v>0</v>
      </c>
      <c r="R56" s="93">
        <v>510111</v>
      </c>
      <c r="T56" s="93">
        <v>510111</v>
      </c>
      <c r="U56" s="93">
        <v>200</v>
      </c>
      <c r="V56" s="93">
        <v>2</v>
      </c>
    </row>
    <row r="57" spans="1:22" s="97" customFormat="1">
      <c r="A57" s="93">
        <v>100113</v>
      </c>
      <c r="B57" s="93" t="s">
        <v>339</v>
      </c>
      <c r="C57" s="93">
        <v>1</v>
      </c>
      <c r="D57" s="93"/>
      <c r="E57" s="78"/>
      <c r="F57" s="78">
        <f t="shared" ref="F57" si="5">IF(G57&gt;3,2,1)</f>
        <v>2</v>
      </c>
      <c r="G57" s="93">
        <v>7</v>
      </c>
      <c r="H57" s="93">
        <v>0</v>
      </c>
      <c r="I57" s="78">
        <v>633</v>
      </c>
      <c r="J57" s="78">
        <v>672</v>
      </c>
      <c r="K57" s="78">
        <v>72</v>
      </c>
      <c r="L57" s="78">
        <v>21000</v>
      </c>
      <c r="M57" s="78">
        <v>100</v>
      </c>
      <c r="N57" s="78">
        <v>100</v>
      </c>
      <c r="O57" s="78">
        <v>100</v>
      </c>
      <c r="P57" s="78">
        <v>0</v>
      </c>
      <c r="Q57" s="78">
        <v>0</v>
      </c>
      <c r="R57" s="93">
        <v>510111</v>
      </c>
      <c r="S57" s="93"/>
      <c r="T57" s="93">
        <v>510111</v>
      </c>
      <c r="U57" s="93">
        <v>400</v>
      </c>
      <c r="V57" s="93">
        <v>2</v>
      </c>
    </row>
    <row r="58" spans="1:22">
      <c r="A58" s="93">
        <v>100114</v>
      </c>
      <c r="B58" s="93" t="s">
        <v>339</v>
      </c>
      <c r="C58" s="93">
        <v>1</v>
      </c>
      <c r="E58" s="78"/>
      <c r="F58" s="78">
        <f t="shared" ref="F58" si="6">IF(G58&gt;3,2,1)</f>
        <v>2</v>
      </c>
      <c r="G58" s="93">
        <v>5</v>
      </c>
      <c r="H58" s="93">
        <v>100111</v>
      </c>
      <c r="I58" s="78">
        <v>537</v>
      </c>
      <c r="J58" s="78">
        <v>584</v>
      </c>
      <c r="K58" s="78">
        <v>51</v>
      </c>
      <c r="L58" s="78">
        <v>10500</v>
      </c>
      <c r="M58" s="78">
        <v>100</v>
      </c>
      <c r="N58" s="78">
        <v>100</v>
      </c>
      <c r="O58" s="78">
        <v>100</v>
      </c>
      <c r="P58" s="78">
        <v>0</v>
      </c>
      <c r="Q58" s="78">
        <v>0</v>
      </c>
      <c r="R58" s="93">
        <v>510111</v>
      </c>
      <c r="T58" s="93">
        <v>510111</v>
      </c>
      <c r="U58" s="93">
        <v>100</v>
      </c>
      <c r="V58" s="93">
        <v>2</v>
      </c>
    </row>
    <row r="59" spans="1:22">
      <c r="A59" s="93">
        <v>100121</v>
      </c>
      <c r="B59" s="78" t="s">
        <v>344</v>
      </c>
      <c r="C59" s="78">
        <v>1</v>
      </c>
      <c r="D59" s="78"/>
      <c r="E59" s="78"/>
      <c r="F59" s="78">
        <f t="shared" si="3"/>
        <v>2</v>
      </c>
      <c r="G59" s="93">
        <v>5</v>
      </c>
      <c r="H59" s="78">
        <v>100122</v>
      </c>
      <c r="I59" s="78">
        <v>548</v>
      </c>
      <c r="J59" s="78">
        <v>553</v>
      </c>
      <c r="K59" s="78">
        <v>63</v>
      </c>
      <c r="L59" s="78">
        <v>10500</v>
      </c>
      <c r="M59" s="78">
        <v>100</v>
      </c>
      <c r="N59" s="78">
        <v>100</v>
      </c>
      <c r="O59" s="78">
        <v>100</v>
      </c>
      <c r="P59" s="78">
        <v>0</v>
      </c>
      <c r="Q59" s="78">
        <v>0</v>
      </c>
      <c r="R59" s="78">
        <v>510121</v>
      </c>
      <c r="S59" s="78"/>
      <c r="T59" s="78">
        <v>510121</v>
      </c>
      <c r="U59" s="78">
        <v>100</v>
      </c>
      <c r="V59" s="78">
        <v>3</v>
      </c>
    </row>
    <row r="60" spans="1:22">
      <c r="A60" s="93">
        <v>100122</v>
      </c>
      <c r="B60" s="78" t="s">
        <v>344</v>
      </c>
      <c r="C60" s="78">
        <v>1</v>
      </c>
      <c r="D60" s="78"/>
      <c r="E60" s="78"/>
      <c r="F60" s="78">
        <f t="shared" si="3"/>
        <v>2</v>
      </c>
      <c r="G60" s="93">
        <v>6</v>
      </c>
      <c r="H60" s="78">
        <v>100123</v>
      </c>
      <c r="I60" s="78">
        <v>595</v>
      </c>
      <c r="J60" s="78">
        <v>601</v>
      </c>
      <c r="K60" s="78">
        <v>73</v>
      </c>
      <c r="L60" s="78">
        <v>15000</v>
      </c>
      <c r="M60" s="78">
        <v>100</v>
      </c>
      <c r="N60" s="78">
        <v>100</v>
      </c>
      <c r="O60" s="78">
        <v>100</v>
      </c>
      <c r="P60" s="78">
        <v>0</v>
      </c>
      <c r="Q60" s="78">
        <v>0</v>
      </c>
      <c r="R60" s="78">
        <v>510121</v>
      </c>
      <c r="S60" s="78"/>
      <c r="T60" s="78">
        <v>510121</v>
      </c>
      <c r="U60" s="78">
        <v>200</v>
      </c>
      <c r="V60" s="78">
        <v>3</v>
      </c>
    </row>
    <row r="61" spans="1:22">
      <c r="A61" s="93">
        <v>100123</v>
      </c>
      <c r="B61" s="78" t="s">
        <v>344</v>
      </c>
      <c r="C61" s="78">
        <v>1</v>
      </c>
      <c r="D61" s="78"/>
      <c r="E61" s="78"/>
      <c r="F61" s="78">
        <f t="shared" si="3"/>
        <v>2</v>
      </c>
      <c r="G61" s="93">
        <v>7</v>
      </c>
      <c r="H61" s="78">
        <v>0</v>
      </c>
      <c r="I61" s="78">
        <v>644</v>
      </c>
      <c r="J61" s="78">
        <v>646</v>
      </c>
      <c r="K61" s="78">
        <v>83</v>
      </c>
      <c r="L61" s="78">
        <v>21000</v>
      </c>
      <c r="M61" s="78">
        <v>100</v>
      </c>
      <c r="N61" s="78">
        <v>100</v>
      </c>
      <c r="O61" s="78">
        <v>100</v>
      </c>
      <c r="P61" s="78">
        <v>0</v>
      </c>
      <c r="Q61" s="78">
        <v>0</v>
      </c>
      <c r="R61" s="78">
        <v>510121</v>
      </c>
      <c r="S61" s="78"/>
      <c r="T61" s="78">
        <v>510121</v>
      </c>
      <c r="U61" s="78">
        <v>400</v>
      </c>
      <c r="V61" s="78">
        <v>3</v>
      </c>
    </row>
    <row r="62" spans="1:22">
      <c r="A62" s="93">
        <v>100131</v>
      </c>
      <c r="B62" s="93" t="s">
        <v>350</v>
      </c>
      <c r="C62" s="78">
        <v>1</v>
      </c>
      <c r="E62" s="78"/>
      <c r="F62" s="78">
        <f t="shared" si="3"/>
        <v>2</v>
      </c>
      <c r="G62" s="93">
        <v>5</v>
      </c>
      <c r="H62" s="78">
        <v>100132</v>
      </c>
      <c r="I62" s="78">
        <v>550</v>
      </c>
      <c r="J62" s="78">
        <v>577</v>
      </c>
      <c r="K62" s="78">
        <v>51</v>
      </c>
      <c r="L62" s="78">
        <v>10500</v>
      </c>
      <c r="M62" s="78">
        <v>100</v>
      </c>
      <c r="N62" s="78">
        <v>100</v>
      </c>
      <c r="O62" s="78">
        <v>100</v>
      </c>
      <c r="P62" s="78">
        <v>0</v>
      </c>
      <c r="Q62" s="78">
        <v>0</v>
      </c>
      <c r="R62" s="78">
        <v>510131</v>
      </c>
      <c r="S62" s="78"/>
      <c r="T62" s="93">
        <v>510131</v>
      </c>
      <c r="U62" s="78">
        <v>100</v>
      </c>
      <c r="V62" s="93">
        <v>2</v>
      </c>
    </row>
    <row r="63" spans="1:22">
      <c r="A63" s="93">
        <v>100132</v>
      </c>
      <c r="B63" s="93" t="s">
        <v>350</v>
      </c>
      <c r="C63" s="78">
        <v>1</v>
      </c>
      <c r="E63" s="78"/>
      <c r="F63" s="78">
        <f t="shared" si="3"/>
        <v>2</v>
      </c>
      <c r="G63" s="93">
        <v>6</v>
      </c>
      <c r="H63" s="78">
        <v>100133</v>
      </c>
      <c r="I63" s="78">
        <v>595</v>
      </c>
      <c r="J63" s="78">
        <v>625</v>
      </c>
      <c r="K63" s="78">
        <v>62</v>
      </c>
      <c r="L63" s="78">
        <v>15000</v>
      </c>
      <c r="M63" s="78">
        <v>100</v>
      </c>
      <c r="N63" s="78">
        <v>100</v>
      </c>
      <c r="O63" s="78">
        <v>100</v>
      </c>
      <c r="P63" s="78">
        <v>0</v>
      </c>
      <c r="Q63" s="78">
        <v>0</v>
      </c>
      <c r="R63" s="78">
        <v>510131</v>
      </c>
      <c r="S63" s="78"/>
      <c r="T63" s="93">
        <v>510131</v>
      </c>
      <c r="U63" s="78">
        <v>200</v>
      </c>
      <c r="V63" s="93">
        <v>2</v>
      </c>
    </row>
    <row r="64" spans="1:22">
      <c r="A64" s="93">
        <v>100133</v>
      </c>
      <c r="B64" s="93" t="s">
        <v>350</v>
      </c>
      <c r="C64" s="78">
        <v>1</v>
      </c>
      <c r="E64" s="78"/>
      <c r="F64" s="78">
        <f t="shared" si="3"/>
        <v>2</v>
      </c>
      <c r="G64" s="93">
        <v>7</v>
      </c>
      <c r="H64" s="78">
        <v>0</v>
      </c>
      <c r="I64" s="78">
        <v>640</v>
      </c>
      <c r="J64" s="78">
        <v>670</v>
      </c>
      <c r="K64" s="78">
        <v>72</v>
      </c>
      <c r="L64" s="78">
        <v>21000</v>
      </c>
      <c r="M64" s="78">
        <v>100</v>
      </c>
      <c r="N64" s="78">
        <v>100</v>
      </c>
      <c r="O64" s="78">
        <v>100</v>
      </c>
      <c r="P64" s="78">
        <v>0</v>
      </c>
      <c r="Q64" s="78">
        <v>0</v>
      </c>
      <c r="R64" s="78">
        <v>510131</v>
      </c>
      <c r="S64" s="78"/>
      <c r="T64" s="93">
        <v>510131</v>
      </c>
      <c r="U64" s="78">
        <v>400</v>
      </c>
      <c r="V64" s="93">
        <v>2</v>
      </c>
    </row>
    <row r="65" spans="1:22">
      <c r="A65" s="93">
        <v>100141</v>
      </c>
      <c r="B65" s="93" t="s">
        <v>355</v>
      </c>
      <c r="C65" s="78">
        <v>1</v>
      </c>
      <c r="E65" s="78"/>
      <c r="F65" s="78">
        <f t="shared" si="3"/>
        <v>2</v>
      </c>
      <c r="G65" s="93">
        <v>5</v>
      </c>
      <c r="H65" s="78">
        <v>100142</v>
      </c>
      <c r="I65" s="78">
        <v>549</v>
      </c>
      <c r="J65" s="78">
        <v>579</v>
      </c>
      <c r="K65" s="78">
        <v>51</v>
      </c>
      <c r="L65" s="78">
        <v>10500</v>
      </c>
      <c r="M65" s="78">
        <v>100</v>
      </c>
      <c r="N65" s="78">
        <v>100</v>
      </c>
      <c r="O65" s="78">
        <v>100</v>
      </c>
      <c r="P65" s="78">
        <v>0</v>
      </c>
      <c r="Q65" s="78">
        <v>0</v>
      </c>
      <c r="R65" s="78">
        <v>510141</v>
      </c>
      <c r="S65" s="78"/>
      <c r="T65" s="93">
        <v>510141</v>
      </c>
      <c r="U65" s="78">
        <v>100</v>
      </c>
      <c r="V65" s="93">
        <v>2</v>
      </c>
    </row>
    <row r="66" spans="1:22">
      <c r="A66" s="93">
        <v>100142</v>
      </c>
      <c r="B66" s="93" t="s">
        <v>355</v>
      </c>
      <c r="C66" s="78">
        <v>1</v>
      </c>
      <c r="E66" s="78"/>
      <c r="F66" s="78">
        <f t="shared" si="3"/>
        <v>2</v>
      </c>
      <c r="G66" s="93">
        <v>6</v>
      </c>
      <c r="H66" s="78">
        <v>100143</v>
      </c>
      <c r="I66" s="78">
        <v>597</v>
      </c>
      <c r="J66" s="78">
        <v>623</v>
      </c>
      <c r="K66" s="78">
        <v>62</v>
      </c>
      <c r="L66" s="78">
        <v>15000</v>
      </c>
      <c r="M66" s="78">
        <v>100</v>
      </c>
      <c r="N66" s="78">
        <v>100</v>
      </c>
      <c r="O66" s="78">
        <v>100</v>
      </c>
      <c r="P66" s="78">
        <v>0</v>
      </c>
      <c r="Q66" s="78">
        <v>0</v>
      </c>
      <c r="R66" s="78">
        <v>510141</v>
      </c>
      <c r="S66" s="78"/>
      <c r="T66" s="93">
        <v>510141</v>
      </c>
      <c r="U66" s="78">
        <v>200</v>
      </c>
      <c r="V66" s="93">
        <v>2</v>
      </c>
    </row>
    <row r="67" spans="1:22">
      <c r="A67" s="93">
        <v>100143</v>
      </c>
      <c r="B67" s="93" t="s">
        <v>355</v>
      </c>
      <c r="C67" s="78">
        <v>1</v>
      </c>
      <c r="E67" s="78"/>
      <c r="F67" s="78">
        <f t="shared" si="3"/>
        <v>2</v>
      </c>
      <c r="G67" s="93">
        <v>7</v>
      </c>
      <c r="H67" s="78">
        <v>0</v>
      </c>
      <c r="I67" s="78">
        <v>647</v>
      </c>
      <c r="J67" s="78">
        <v>669</v>
      </c>
      <c r="K67" s="78">
        <v>73</v>
      </c>
      <c r="L67" s="78">
        <v>21000</v>
      </c>
      <c r="M67" s="78">
        <v>100</v>
      </c>
      <c r="N67" s="78">
        <v>100</v>
      </c>
      <c r="O67" s="78">
        <v>100</v>
      </c>
      <c r="P67" s="78">
        <v>0</v>
      </c>
      <c r="Q67" s="78">
        <v>0</v>
      </c>
      <c r="R67" s="78">
        <v>510141</v>
      </c>
      <c r="S67" s="78"/>
      <c r="T67" s="93">
        <v>510141</v>
      </c>
      <c r="U67" s="78">
        <v>400</v>
      </c>
      <c r="V67" s="93">
        <v>2</v>
      </c>
    </row>
    <row r="68" spans="1:22">
      <c r="A68" s="93">
        <v>100147</v>
      </c>
      <c r="B68" s="93" t="s">
        <v>355</v>
      </c>
      <c r="C68" s="78">
        <v>1</v>
      </c>
      <c r="E68" s="78"/>
      <c r="F68" s="78">
        <v>2</v>
      </c>
      <c r="G68" s="93">
        <v>4</v>
      </c>
      <c r="H68" s="78">
        <v>100141</v>
      </c>
      <c r="I68" s="78">
        <v>496</v>
      </c>
      <c r="J68" s="78">
        <v>528</v>
      </c>
      <c r="K68" s="78">
        <v>40</v>
      </c>
      <c r="L68" s="78">
        <v>6000</v>
      </c>
      <c r="M68" s="78">
        <v>100</v>
      </c>
      <c r="N68" s="78">
        <v>100</v>
      </c>
      <c r="O68" s="78">
        <v>100</v>
      </c>
      <c r="P68" s="78">
        <v>0</v>
      </c>
      <c r="Q68" s="78">
        <v>0</v>
      </c>
      <c r="R68" s="78">
        <v>510141</v>
      </c>
      <c r="S68" s="78"/>
      <c r="T68" s="93">
        <v>510141</v>
      </c>
      <c r="U68" s="78">
        <v>20</v>
      </c>
      <c r="V68" s="93">
        <v>2</v>
      </c>
    </row>
    <row r="69" spans="1:22">
      <c r="A69" s="93">
        <v>100151</v>
      </c>
      <c r="B69" s="93" t="s">
        <v>360</v>
      </c>
      <c r="C69" s="78">
        <v>1</v>
      </c>
      <c r="E69" s="78"/>
      <c r="F69" s="78">
        <f t="shared" si="3"/>
        <v>1</v>
      </c>
      <c r="G69" s="93">
        <v>2</v>
      </c>
      <c r="H69" s="93">
        <v>100152</v>
      </c>
      <c r="I69" s="78">
        <v>400</v>
      </c>
      <c r="J69" s="78">
        <v>430</v>
      </c>
      <c r="K69" s="78">
        <v>35</v>
      </c>
      <c r="L69" s="78">
        <v>1000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510151</v>
      </c>
      <c r="S69" s="78"/>
      <c r="T69" s="78">
        <v>510151</v>
      </c>
      <c r="U69" s="78">
        <v>6</v>
      </c>
      <c r="V69" s="93">
        <v>2</v>
      </c>
    </row>
    <row r="70" spans="1:22">
      <c r="A70" s="93">
        <v>100152</v>
      </c>
      <c r="B70" s="93" t="s">
        <v>360</v>
      </c>
      <c r="C70" s="78">
        <v>1</v>
      </c>
      <c r="E70" s="78"/>
      <c r="F70" s="78">
        <f t="shared" si="3"/>
        <v>1</v>
      </c>
      <c r="G70" s="93">
        <v>3</v>
      </c>
      <c r="H70" s="93">
        <v>100153</v>
      </c>
      <c r="I70" s="78">
        <v>435</v>
      </c>
      <c r="J70" s="78">
        <v>460</v>
      </c>
      <c r="K70" s="78">
        <v>40</v>
      </c>
      <c r="L70" s="78">
        <v>3000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510151</v>
      </c>
      <c r="S70" s="78"/>
      <c r="T70" s="78">
        <v>510151</v>
      </c>
      <c r="U70" s="78">
        <v>16</v>
      </c>
      <c r="V70" s="93">
        <v>2</v>
      </c>
    </row>
    <row r="71" spans="1:22">
      <c r="A71" s="93">
        <v>100153</v>
      </c>
      <c r="B71" s="93" t="s">
        <v>360</v>
      </c>
      <c r="C71" s="78">
        <v>1</v>
      </c>
      <c r="E71" s="78"/>
      <c r="F71" s="78">
        <f t="shared" si="3"/>
        <v>2</v>
      </c>
      <c r="G71" s="93">
        <v>4</v>
      </c>
      <c r="H71" s="78">
        <v>0</v>
      </c>
      <c r="I71" s="78">
        <v>480</v>
      </c>
      <c r="J71" s="78">
        <v>519</v>
      </c>
      <c r="K71" s="78">
        <v>45</v>
      </c>
      <c r="L71" s="78">
        <v>6000</v>
      </c>
      <c r="M71" s="78">
        <v>100</v>
      </c>
      <c r="N71" s="78">
        <v>100</v>
      </c>
      <c r="O71" s="78">
        <v>100</v>
      </c>
      <c r="P71" s="78">
        <v>0</v>
      </c>
      <c r="Q71" s="78">
        <v>0</v>
      </c>
      <c r="R71" s="78">
        <v>510151</v>
      </c>
      <c r="S71" s="78"/>
      <c r="T71" s="78">
        <v>510151</v>
      </c>
      <c r="U71" s="78">
        <v>20</v>
      </c>
      <c r="V71" s="93">
        <v>2</v>
      </c>
    </row>
    <row r="72" spans="1:22">
      <c r="A72" s="93">
        <v>100161</v>
      </c>
      <c r="B72" s="93" t="s">
        <v>365</v>
      </c>
      <c r="C72" s="78">
        <v>1</v>
      </c>
      <c r="E72" s="78"/>
      <c r="F72" s="78">
        <f t="shared" si="3"/>
        <v>2</v>
      </c>
      <c r="G72" s="93">
        <v>4</v>
      </c>
      <c r="H72" s="93">
        <v>100162</v>
      </c>
      <c r="I72" s="78">
        <v>497</v>
      </c>
      <c r="J72" s="78">
        <v>521</v>
      </c>
      <c r="K72" s="78">
        <v>43</v>
      </c>
      <c r="L72" s="78">
        <v>6000</v>
      </c>
      <c r="M72" s="78">
        <v>100</v>
      </c>
      <c r="N72" s="78">
        <v>100</v>
      </c>
      <c r="O72" s="78">
        <v>100</v>
      </c>
      <c r="P72" s="78">
        <v>0</v>
      </c>
      <c r="Q72" s="78">
        <v>0</v>
      </c>
      <c r="R72" s="93">
        <v>510161</v>
      </c>
      <c r="T72" s="93">
        <v>510161</v>
      </c>
      <c r="U72" s="93">
        <v>20</v>
      </c>
      <c r="V72" s="93">
        <v>2</v>
      </c>
    </row>
    <row r="73" spans="1:22">
      <c r="A73" s="93">
        <v>100162</v>
      </c>
      <c r="B73" s="93" t="s">
        <v>365</v>
      </c>
      <c r="C73" s="78">
        <v>1</v>
      </c>
      <c r="E73" s="78"/>
      <c r="F73" s="78">
        <f t="shared" si="3"/>
        <v>2</v>
      </c>
      <c r="G73" s="93">
        <v>5</v>
      </c>
      <c r="H73" s="93">
        <v>0</v>
      </c>
      <c r="I73" s="78">
        <v>543</v>
      </c>
      <c r="J73" s="78">
        <v>570</v>
      </c>
      <c r="K73" s="78">
        <v>53</v>
      </c>
      <c r="L73" s="78">
        <v>10500</v>
      </c>
      <c r="M73" s="78">
        <v>100</v>
      </c>
      <c r="N73" s="78">
        <v>100</v>
      </c>
      <c r="O73" s="78">
        <v>100</v>
      </c>
      <c r="P73" s="78">
        <v>0</v>
      </c>
      <c r="Q73" s="78">
        <v>0</v>
      </c>
      <c r="R73" s="93">
        <v>510161</v>
      </c>
      <c r="T73" s="93">
        <v>510161</v>
      </c>
      <c r="U73" s="93">
        <v>100</v>
      </c>
      <c r="V73" s="93">
        <v>2</v>
      </c>
    </row>
    <row r="74" spans="1:22" s="86" customFormat="1">
      <c r="A74" s="86">
        <v>100170</v>
      </c>
      <c r="B74" s="86" t="s">
        <v>369</v>
      </c>
      <c r="C74" s="87">
        <v>1</v>
      </c>
      <c r="E74" s="87"/>
      <c r="F74" s="87">
        <f t="shared" ref="F74" si="7">IF(G74&gt;3,2,1)</f>
        <v>2</v>
      </c>
      <c r="G74" s="86">
        <v>4</v>
      </c>
      <c r="H74" s="86">
        <v>100173</v>
      </c>
      <c r="I74" s="87">
        <v>495</v>
      </c>
      <c r="J74" s="87">
        <v>489</v>
      </c>
      <c r="K74" s="87">
        <v>52</v>
      </c>
      <c r="L74" s="87">
        <v>6000</v>
      </c>
      <c r="M74" s="87">
        <v>100</v>
      </c>
      <c r="N74" s="87">
        <v>100</v>
      </c>
      <c r="O74" s="87">
        <v>100</v>
      </c>
      <c r="P74" s="87">
        <v>0</v>
      </c>
      <c r="Q74" s="87">
        <v>0</v>
      </c>
      <c r="R74" s="86">
        <v>510171</v>
      </c>
      <c r="T74" s="86">
        <v>510171</v>
      </c>
      <c r="U74" s="86">
        <v>20</v>
      </c>
      <c r="V74" s="86">
        <v>3</v>
      </c>
    </row>
    <row r="75" spans="1:22">
      <c r="A75" s="93">
        <v>100171</v>
      </c>
      <c r="B75" s="93" t="s">
        <v>369</v>
      </c>
      <c r="C75" s="78">
        <v>1</v>
      </c>
      <c r="E75" s="78"/>
      <c r="F75" s="78">
        <f t="shared" si="3"/>
        <v>1</v>
      </c>
      <c r="G75" s="93">
        <v>3</v>
      </c>
      <c r="H75" s="93">
        <v>100172</v>
      </c>
      <c r="I75" s="78">
        <v>469</v>
      </c>
      <c r="J75" s="78">
        <v>463</v>
      </c>
      <c r="K75" s="78">
        <v>47</v>
      </c>
      <c r="L75" s="78">
        <v>3000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93">
        <v>510171</v>
      </c>
      <c r="T75" s="93">
        <v>510171</v>
      </c>
      <c r="U75" s="93">
        <v>16</v>
      </c>
      <c r="V75" s="93">
        <v>3</v>
      </c>
    </row>
    <row r="76" spans="1:22">
      <c r="A76" s="93">
        <v>100172</v>
      </c>
      <c r="B76" s="93" t="s">
        <v>369</v>
      </c>
      <c r="C76" s="78">
        <v>1</v>
      </c>
      <c r="E76" s="78"/>
      <c r="F76" s="78">
        <f t="shared" si="3"/>
        <v>2</v>
      </c>
      <c r="G76" s="93">
        <v>4</v>
      </c>
      <c r="H76" s="93">
        <v>100173</v>
      </c>
      <c r="I76" s="78">
        <v>495</v>
      </c>
      <c r="J76" s="78">
        <v>489</v>
      </c>
      <c r="K76" s="78">
        <v>52</v>
      </c>
      <c r="L76" s="78">
        <v>6000</v>
      </c>
      <c r="M76" s="78">
        <v>100</v>
      </c>
      <c r="N76" s="78">
        <v>100</v>
      </c>
      <c r="O76" s="78">
        <v>100</v>
      </c>
      <c r="P76" s="78">
        <v>0</v>
      </c>
      <c r="Q76" s="78">
        <v>0</v>
      </c>
      <c r="R76" s="93">
        <v>510171</v>
      </c>
      <c r="T76" s="93">
        <v>510171</v>
      </c>
      <c r="U76" s="93">
        <v>20</v>
      </c>
      <c r="V76" s="93">
        <v>3</v>
      </c>
    </row>
    <row r="77" spans="1:22">
      <c r="A77" s="93">
        <v>100173</v>
      </c>
      <c r="B77" s="93" t="s">
        <v>369</v>
      </c>
      <c r="C77" s="78">
        <v>1</v>
      </c>
      <c r="E77" s="78"/>
      <c r="F77" s="78">
        <f t="shared" si="3"/>
        <v>2</v>
      </c>
      <c r="G77" s="93">
        <v>5</v>
      </c>
      <c r="H77" s="93">
        <v>100174</v>
      </c>
      <c r="I77" s="78">
        <v>541</v>
      </c>
      <c r="J77" s="78">
        <v>535</v>
      </c>
      <c r="K77" s="78">
        <v>62</v>
      </c>
      <c r="L77" s="78">
        <v>10500</v>
      </c>
      <c r="M77" s="78">
        <v>100</v>
      </c>
      <c r="N77" s="78">
        <v>100</v>
      </c>
      <c r="O77" s="78">
        <v>100</v>
      </c>
      <c r="P77" s="78">
        <v>0</v>
      </c>
      <c r="Q77" s="78">
        <v>0</v>
      </c>
      <c r="R77" s="93">
        <v>510171</v>
      </c>
      <c r="T77" s="93">
        <v>510171</v>
      </c>
      <c r="U77" s="93">
        <v>100</v>
      </c>
      <c r="V77" s="93">
        <v>3</v>
      </c>
    </row>
    <row r="78" spans="1:22">
      <c r="A78" s="93">
        <v>100174</v>
      </c>
      <c r="B78" s="93" t="s">
        <v>369</v>
      </c>
      <c r="C78" s="78">
        <v>1</v>
      </c>
      <c r="E78" s="78"/>
      <c r="F78" s="78">
        <f t="shared" si="3"/>
        <v>2</v>
      </c>
      <c r="G78" s="93">
        <v>6</v>
      </c>
      <c r="H78" s="93">
        <v>100175</v>
      </c>
      <c r="I78" s="78">
        <v>587</v>
      </c>
      <c r="J78" s="78">
        <v>581</v>
      </c>
      <c r="K78" s="78">
        <v>72</v>
      </c>
      <c r="L78" s="78">
        <v>15000</v>
      </c>
      <c r="M78" s="78">
        <v>100</v>
      </c>
      <c r="N78" s="78">
        <v>100</v>
      </c>
      <c r="O78" s="78">
        <v>100</v>
      </c>
      <c r="P78" s="78">
        <v>0</v>
      </c>
      <c r="Q78" s="78">
        <v>0</v>
      </c>
      <c r="R78" s="93">
        <v>510171</v>
      </c>
      <c r="T78" s="93">
        <v>510171</v>
      </c>
      <c r="U78" s="93">
        <v>200</v>
      </c>
      <c r="V78" s="93">
        <v>3</v>
      </c>
    </row>
    <row r="79" spans="1:22">
      <c r="A79" s="93">
        <v>100175</v>
      </c>
      <c r="B79" s="93" t="s">
        <v>369</v>
      </c>
      <c r="C79" s="78">
        <v>1</v>
      </c>
      <c r="E79" s="78"/>
      <c r="F79" s="78">
        <f t="shared" si="3"/>
        <v>2</v>
      </c>
      <c r="G79" s="93">
        <v>7</v>
      </c>
      <c r="H79" s="93">
        <v>0</v>
      </c>
      <c r="I79" s="78">
        <v>635</v>
      </c>
      <c r="J79" s="78">
        <v>629</v>
      </c>
      <c r="K79" s="78">
        <v>83</v>
      </c>
      <c r="L79" s="78">
        <v>21000</v>
      </c>
      <c r="M79" s="78">
        <v>100</v>
      </c>
      <c r="N79" s="78">
        <v>100</v>
      </c>
      <c r="O79" s="78">
        <v>100</v>
      </c>
      <c r="P79" s="78">
        <v>0</v>
      </c>
      <c r="Q79" s="78">
        <v>0</v>
      </c>
      <c r="R79" s="93">
        <v>510171</v>
      </c>
      <c r="T79" s="93">
        <v>510171</v>
      </c>
      <c r="U79" s="93">
        <v>400</v>
      </c>
      <c r="V79" s="93">
        <v>3</v>
      </c>
    </row>
    <row r="80" spans="1:22">
      <c r="A80" s="93">
        <v>100181</v>
      </c>
      <c r="B80" s="93" t="s">
        <v>376</v>
      </c>
      <c r="C80" s="78">
        <v>1</v>
      </c>
      <c r="E80" s="78"/>
      <c r="F80" s="78">
        <v>2</v>
      </c>
      <c r="G80" s="93">
        <v>6</v>
      </c>
      <c r="H80" s="93">
        <v>0</v>
      </c>
      <c r="I80" s="78">
        <v>610</v>
      </c>
      <c r="J80" s="78">
        <v>605</v>
      </c>
      <c r="K80" s="78">
        <v>73</v>
      </c>
      <c r="L80" s="78">
        <v>15000</v>
      </c>
      <c r="M80" s="78">
        <v>100</v>
      </c>
      <c r="N80" s="78">
        <v>100</v>
      </c>
      <c r="O80" s="78">
        <v>100</v>
      </c>
      <c r="P80" s="78">
        <v>0</v>
      </c>
      <c r="Q80" s="78">
        <v>0</v>
      </c>
      <c r="R80" s="93">
        <v>510181</v>
      </c>
      <c r="T80" s="93">
        <v>510181</v>
      </c>
      <c r="U80" s="93">
        <v>200</v>
      </c>
      <c r="V80" s="93">
        <v>3</v>
      </c>
    </row>
    <row r="81" spans="1:22">
      <c r="A81" s="93">
        <v>100191</v>
      </c>
      <c r="B81" s="93" t="s">
        <v>379</v>
      </c>
      <c r="C81" s="78">
        <v>1</v>
      </c>
      <c r="E81" s="78"/>
      <c r="F81" s="78">
        <v>1</v>
      </c>
      <c r="G81" s="93">
        <v>3</v>
      </c>
      <c r="H81" s="93">
        <v>100192</v>
      </c>
      <c r="I81" s="78">
        <v>471</v>
      </c>
      <c r="J81" s="78">
        <v>480</v>
      </c>
      <c r="K81" s="78">
        <v>46</v>
      </c>
      <c r="L81" s="78">
        <v>3000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93">
        <v>510191</v>
      </c>
      <c r="T81" s="93">
        <v>510191</v>
      </c>
      <c r="U81" s="93">
        <v>16</v>
      </c>
      <c r="V81" s="93">
        <v>3</v>
      </c>
    </row>
    <row r="82" spans="1:22">
      <c r="A82" s="93">
        <v>100192</v>
      </c>
      <c r="B82" s="93" t="s">
        <v>379</v>
      </c>
      <c r="C82" s="78">
        <v>1</v>
      </c>
      <c r="E82" s="78"/>
      <c r="F82" s="78">
        <v>2</v>
      </c>
      <c r="G82" s="93">
        <v>4</v>
      </c>
      <c r="H82" s="93">
        <v>100193</v>
      </c>
      <c r="I82" s="78">
        <v>496</v>
      </c>
      <c r="J82" s="78">
        <v>505</v>
      </c>
      <c r="K82" s="78">
        <v>51</v>
      </c>
      <c r="L82" s="78">
        <v>6000</v>
      </c>
      <c r="M82" s="78">
        <v>100</v>
      </c>
      <c r="N82" s="78">
        <v>100</v>
      </c>
      <c r="O82" s="78">
        <v>100</v>
      </c>
      <c r="P82" s="78">
        <v>0</v>
      </c>
      <c r="Q82" s="78">
        <v>0</v>
      </c>
      <c r="R82" s="93">
        <v>510191</v>
      </c>
      <c r="T82" s="93">
        <v>510191</v>
      </c>
      <c r="U82" s="93">
        <v>20</v>
      </c>
      <c r="V82" s="93">
        <v>3</v>
      </c>
    </row>
    <row r="83" spans="1:22">
      <c r="A83" s="93">
        <v>100193</v>
      </c>
      <c r="B83" s="93" t="s">
        <v>379</v>
      </c>
      <c r="C83" s="78">
        <v>1</v>
      </c>
      <c r="E83" s="78"/>
      <c r="F83" s="78">
        <v>2</v>
      </c>
      <c r="G83" s="93">
        <v>5</v>
      </c>
      <c r="H83" s="93">
        <v>100194</v>
      </c>
      <c r="I83" s="78">
        <v>541</v>
      </c>
      <c r="J83" s="78">
        <v>550</v>
      </c>
      <c r="K83" s="78">
        <v>61</v>
      </c>
      <c r="L83" s="78">
        <v>10500</v>
      </c>
      <c r="M83" s="78">
        <v>100</v>
      </c>
      <c r="N83" s="78">
        <v>100</v>
      </c>
      <c r="O83" s="78">
        <v>100</v>
      </c>
      <c r="P83" s="78">
        <v>0</v>
      </c>
      <c r="Q83" s="78">
        <v>0</v>
      </c>
      <c r="R83" s="93">
        <v>510191</v>
      </c>
      <c r="T83" s="93">
        <v>510191</v>
      </c>
      <c r="U83" s="93">
        <v>100</v>
      </c>
      <c r="V83" s="93">
        <v>3</v>
      </c>
    </row>
    <row r="84" spans="1:22">
      <c r="A84" s="93">
        <v>100194</v>
      </c>
      <c r="B84" s="93" t="s">
        <v>379</v>
      </c>
      <c r="C84" s="78">
        <v>1</v>
      </c>
      <c r="E84" s="78"/>
      <c r="F84" s="78">
        <v>2</v>
      </c>
      <c r="G84" s="93">
        <v>6</v>
      </c>
      <c r="H84" s="93">
        <v>100195</v>
      </c>
      <c r="I84" s="78">
        <v>586</v>
      </c>
      <c r="J84" s="78">
        <v>595</v>
      </c>
      <c r="K84" s="78">
        <v>71</v>
      </c>
      <c r="L84" s="78">
        <v>15000</v>
      </c>
      <c r="M84" s="78">
        <v>100</v>
      </c>
      <c r="N84" s="78">
        <v>100</v>
      </c>
      <c r="O84" s="78">
        <v>100</v>
      </c>
      <c r="P84" s="78">
        <v>0</v>
      </c>
      <c r="Q84" s="78">
        <v>0</v>
      </c>
      <c r="R84" s="93">
        <v>510191</v>
      </c>
      <c r="T84" s="93">
        <v>510191</v>
      </c>
      <c r="U84" s="93">
        <v>200</v>
      </c>
      <c r="V84" s="93">
        <v>3</v>
      </c>
    </row>
    <row r="85" spans="1:22">
      <c r="A85" s="93">
        <v>100195</v>
      </c>
      <c r="B85" s="93" t="s">
        <v>379</v>
      </c>
      <c r="C85" s="78">
        <v>1</v>
      </c>
      <c r="E85" s="78"/>
      <c r="F85" s="78">
        <v>2</v>
      </c>
      <c r="G85" s="93">
        <v>7</v>
      </c>
      <c r="H85" s="93">
        <v>0</v>
      </c>
      <c r="I85" s="78">
        <v>631</v>
      </c>
      <c r="J85" s="78">
        <v>640</v>
      </c>
      <c r="K85" s="78">
        <v>81</v>
      </c>
      <c r="L85" s="78">
        <v>21000</v>
      </c>
      <c r="M85" s="78">
        <v>100</v>
      </c>
      <c r="N85" s="78">
        <v>100</v>
      </c>
      <c r="O85" s="78">
        <v>100</v>
      </c>
      <c r="P85" s="78">
        <v>0</v>
      </c>
      <c r="Q85" s="78">
        <v>0</v>
      </c>
      <c r="R85" s="93">
        <v>510191</v>
      </c>
      <c r="T85" s="93">
        <v>510191</v>
      </c>
      <c r="U85" s="93">
        <v>400</v>
      </c>
      <c r="V85" s="93">
        <v>3</v>
      </c>
    </row>
    <row r="86" spans="1:22">
      <c r="A86" s="93">
        <v>100201</v>
      </c>
      <c r="B86" s="93" t="s">
        <v>386</v>
      </c>
      <c r="C86" s="78">
        <v>1</v>
      </c>
      <c r="E86" s="78"/>
      <c r="F86" s="78">
        <v>2</v>
      </c>
      <c r="G86" s="93">
        <v>5</v>
      </c>
      <c r="H86" s="93">
        <v>100202</v>
      </c>
      <c r="I86" s="78">
        <v>560</v>
      </c>
      <c r="J86" s="78">
        <v>540</v>
      </c>
      <c r="K86" s="78">
        <v>50</v>
      </c>
      <c r="L86" s="78">
        <v>10500</v>
      </c>
      <c r="M86" s="78">
        <v>100</v>
      </c>
      <c r="N86" s="78">
        <v>100</v>
      </c>
      <c r="O86" s="78">
        <v>100</v>
      </c>
      <c r="P86" s="78">
        <v>0</v>
      </c>
      <c r="Q86" s="78">
        <v>0</v>
      </c>
      <c r="R86" s="93">
        <v>510201</v>
      </c>
      <c r="T86" s="93">
        <v>510201</v>
      </c>
      <c r="U86" s="93">
        <v>100</v>
      </c>
      <c r="V86" s="93">
        <v>1</v>
      </c>
    </row>
    <row r="87" spans="1:22">
      <c r="A87" s="93">
        <v>100202</v>
      </c>
      <c r="B87" s="93" t="s">
        <v>386</v>
      </c>
      <c r="C87" s="78">
        <v>1</v>
      </c>
      <c r="E87" s="78"/>
      <c r="F87" s="78">
        <v>2</v>
      </c>
      <c r="G87" s="93">
        <v>6</v>
      </c>
      <c r="H87" s="93">
        <v>100203</v>
      </c>
      <c r="I87" s="78">
        <v>612</v>
      </c>
      <c r="J87" s="78">
        <v>588</v>
      </c>
      <c r="K87" s="78">
        <v>62</v>
      </c>
      <c r="L87" s="78">
        <v>15000</v>
      </c>
      <c r="M87" s="78">
        <v>100</v>
      </c>
      <c r="N87" s="78">
        <v>100</v>
      </c>
      <c r="O87" s="78">
        <v>100</v>
      </c>
      <c r="P87" s="78">
        <v>0</v>
      </c>
      <c r="Q87" s="78">
        <v>0</v>
      </c>
      <c r="R87" s="93">
        <v>510201</v>
      </c>
      <c r="T87" s="93">
        <v>510201</v>
      </c>
      <c r="U87" s="93">
        <v>200</v>
      </c>
      <c r="V87" s="93">
        <v>1</v>
      </c>
    </row>
    <row r="88" spans="1:22">
      <c r="A88" s="93">
        <v>100203</v>
      </c>
      <c r="B88" s="93" t="s">
        <v>386</v>
      </c>
      <c r="C88" s="78">
        <v>1</v>
      </c>
      <c r="E88" s="78"/>
      <c r="F88" s="78">
        <v>2</v>
      </c>
      <c r="G88" s="93">
        <v>7</v>
      </c>
      <c r="H88" s="93">
        <v>0</v>
      </c>
      <c r="I88" s="78">
        <v>663</v>
      </c>
      <c r="J88" s="78">
        <v>642</v>
      </c>
      <c r="K88" s="78">
        <v>72</v>
      </c>
      <c r="L88" s="78">
        <v>21000</v>
      </c>
      <c r="M88" s="78">
        <v>100</v>
      </c>
      <c r="N88" s="78">
        <v>100</v>
      </c>
      <c r="O88" s="78">
        <v>100</v>
      </c>
      <c r="P88" s="78">
        <v>0</v>
      </c>
      <c r="Q88" s="78">
        <v>0</v>
      </c>
      <c r="R88" s="93">
        <v>510201</v>
      </c>
      <c r="T88" s="93">
        <v>510201</v>
      </c>
      <c r="U88" s="93">
        <v>400</v>
      </c>
      <c r="V88" s="93">
        <v>1</v>
      </c>
    </row>
    <row r="89" spans="1:22">
      <c r="A89" s="93">
        <v>100221</v>
      </c>
      <c r="B89" s="93" t="s">
        <v>391</v>
      </c>
      <c r="C89" s="78">
        <v>1</v>
      </c>
      <c r="F89" s="78">
        <v>2</v>
      </c>
      <c r="G89" s="93">
        <v>4</v>
      </c>
      <c r="H89" s="93">
        <v>100222</v>
      </c>
      <c r="I89" s="78">
        <v>523</v>
      </c>
      <c r="J89" s="78">
        <v>495</v>
      </c>
      <c r="K89" s="78">
        <v>42</v>
      </c>
      <c r="L89" s="78">
        <v>6000</v>
      </c>
      <c r="M89" s="78">
        <v>100</v>
      </c>
      <c r="N89" s="78">
        <v>100</v>
      </c>
      <c r="O89" s="78">
        <v>100</v>
      </c>
      <c r="P89" s="78">
        <v>0</v>
      </c>
      <c r="Q89" s="78">
        <v>0</v>
      </c>
      <c r="R89" s="93">
        <v>510221</v>
      </c>
      <c r="T89" s="93">
        <v>510221</v>
      </c>
      <c r="U89" s="93">
        <v>4</v>
      </c>
      <c r="V89" s="93">
        <v>1</v>
      </c>
    </row>
    <row r="90" spans="1:22">
      <c r="A90" s="93">
        <v>100222</v>
      </c>
      <c r="B90" s="93" t="s">
        <v>391</v>
      </c>
      <c r="C90" s="78">
        <v>1</v>
      </c>
      <c r="F90" s="78">
        <v>2</v>
      </c>
      <c r="G90" s="93">
        <v>5</v>
      </c>
      <c r="H90" s="93">
        <v>100223</v>
      </c>
      <c r="I90" s="78">
        <v>571</v>
      </c>
      <c r="J90" s="78">
        <v>545</v>
      </c>
      <c r="K90" s="78">
        <v>52</v>
      </c>
      <c r="L90" s="78">
        <v>10500</v>
      </c>
      <c r="M90" s="78">
        <v>100</v>
      </c>
      <c r="N90" s="78">
        <v>100</v>
      </c>
      <c r="O90" s="78">
        <v>100</v>
      </c>
      <c r="P90" s="78">
        <v>0</v>
      </c>
      <c r="Q90" s="78">
        <v>0</v>
      </c>
      <c r="R90" s="93">
        <v>510221</v>
      </c>
      <c r="T90" s="93">
        <v>510221</v>
      </c>
      <c r="U90" s="93">
        <v>5</v>
      </c>
      <c r="V90" s="93">
        <v>1</v>
      </c>
    </row>
    <row r="91" spans="1:22">
      <c r="A91" s="93">
        <v>100223</v>
      </c>
      <c r="B91" s="93" t="s">
        <v>391</v>
      </c>
      <c r="C91" s="78">
        <v>1</v>
      </c>
      <c r="F91" s="78">
        <v>2</v>
      </c>
      <c r="G91" s="93">
        <v>6</v>
      </c>
      <c r="H91" s="93">
        <v>0</v>
      </c>
      <c r="I91" s="78">
        <v>618</v>
      </c>
      <c r="J91" s="78">
        <v>595</v>
      </c>
      <c r="K91" s="78">
        <v>62</v>
      </c>
      <c r="L91" s="78">
        <v>15000</v>
      </c>
      <c r="M91" s="78">
        <v>100</v>
      </c>
      <c r="N91" s="78">
        <v>100</v>
      </c>
      <c r="O91" s="78">
        <v>100</v>
      </c>
      <c r="P91" s="78">
        <v>0</v>
      </c>
      <c r="Q91" s="78">
        <v>0</v>
      </c>
      <c r="R91" s="93">
        <v>510221</v>
      </c>
      <c r="T91" s="93">
        <v>510221</v>
      </c>
      <c r="U91" s="93">
        <v>6</v>
      </c>
      <c r="V91" s="93">
        <v>1</v>
      </c>
    </row>
    <row r="92" spans="1:22">
      <c r="A92" s="93">
        <v>100231</v>
      </c>
      <c r="B92" s="93" t="s">
        <v>396</v>
      </c>
      <c r="C92" s="78">
        <v>1</v>
      </c>
      <c r="F92" s="78">
        <v>2</v>
      </c>
      <c r="G92" s="93">
        <v>4</v>
      </c>
      <c r="H92" s="93">
        <v>100232</v>
      </c>
      <c r="I92" s="78">
        <v>491</v>
      </c>
      <c r="J92" s="78">
        <v>499</v>
      </c>
      <c r="K92" s="78">
        <v>53</v>
      </c>
      <c r="L92" s="78">
        <v>6000</v>
      </c>
      <c r="M92" s="78">
        <v>100</v>
      </c>
      <c r="N92" s="78">
        <v>100</v>
      </c>
      <c r="O92" s="78">
        <v>100</v>
      </c>
      <c r="P92" s="78">
        <v>0</v>
      </c>
      <c r="Q92" s="78">
        <v>0</v>
      </c>
      <c r="R92" s="93">
        <v>510231</v>
      </c>
      <c r="T92" s="93">
        <v>510231</v>
      </c>
      <c r="U92" s="93">
        <v>4</v>
      </c>
      <c r="V92" s="93">
        <v>3</v>
      </c>
    </row>
    <row r="93" spans="1:22">
      <c r="A93" s="93">
        <v>100232</v>
      </c>
      <c r="B93" s="93" t="s">
        <v>396</v>
      </c>
      <c r="C93" s="78">
        <v>1</v>
      </c>
      <c r="F93" s="78">
        <v>2</v>
      </c>
      <c r="G93" s="93">
        <v>5</v>
      </c>
      <c r="H93" s="93">
        <v>0</v>
      </c>
      <c r="I93" s="78">
        <v>539</v>
      </c>
      <c r="J93" s="78">
        <v>542</v>
      </c>
      <c r="K93" s="78">
        <v>64</v>
      </c>
      <c r="L93" s="78">
        <v>10500</v>
      </c>
      <c r="M93" s="78">
        <v>100</v>
      </c>
      <c r="N93" s="78">
        <v>100</v>
      </c>
      <c r="O93" s="78">
        <v>100</v>
      </c>
      <c r="P93" s="78">
        <v>0</v>
      </c>
      <c r="Q93" s="78">
        <v>0</v>
      </c>
      <c r="R93" s="93">
        <v>510231</v>
      </c>
      <c r="T93" s="93">
        <v>510231</v>
      </c>
      <c r="U93" s="93">
        <v>5</v>
      </c>
      <c r="V93" s="93">
        <v>3</v>
      </c>
    </row>
    <row r="94" spans="1:22" s="86" customFormat="1">
      <c r="A94" s="86">
        <v>100240</v>
      </c>
      <c r="B94" s="86" t="s">
        <v>400</v>
      </c>
      <c r="C94" s="87">
        <v>1</v>
      </c>
      <c r="F94" s="87">
        <v>1</v>
      </c>
      <c r="G94" s="86">
        <v>3</v>
      </c>
      <c r="H94" s="86">
        <v>100241</v>
      </c>
      <c r="I94" s="87">
        <v>460</v>
      </c>
      <c r="J94" s="87">
        <v>505</v>
      </c>
      <c r="K94" s="87">
        <v>37</v>
      </c>
      <c r="L94" s="87">
        <v>3000</v>
      </c>
      <c r="M94" s="87">
        <v>0</v>
      </c>
      <c r="N94" s="87">
        <v>0</v>
      </c>
      <c r="O94" s="87">
        <v>0</v>
      </c>
      <c r="P94" s="87">
        <v>0</v>
      </c>
      <c r="Q94" s="87">
        <v>600008</v>
      </c>
      <c r="R94" s="86">
        <v>510241</v>
      </c>
      <c r="S94" s="86">
        <v>61</v>
      </c>
      <c r="T94" s="86">
        <v>510241</v>
      </c>
      <c r="U94" s="86">
        <v>3</v>
      </c>
      <c r="V94" s="86">
        <v>2</v>
      </c>
    </row>
    <row r="95" spans="1:22">
      <c r="A95" s="93">
        <v>100241</v>
      </c>
      <c r="B95" s="93" t="s">
        <v>400</v>
      </c>
      <c r="C95" s="78">
        <v>1</v>
      </c>
      <c r="F95" s="78">
        <v>2</v>
      </c>
      <c r="G95" s="93">
        <v>4</v>
      </c>
      <c r="H95" s="93">
        <v>100242</v>
      </c>
      <c r="I95" s="78">
        <v>485</v>
      </c>
      <c r="J95" s="78">
        <v>530</v>
      </c>
      <c r="K95" s="78">
        <v>44</v>
      </c>
      <c r="L95" s="78">
        <v>6000</v>
      </c>
      <c r="M95" s="78">
        <v>100</v>
      </c>
      <c r="N95" s="78">
        <v>100</v>
      </c>
      <c r="O95" s="78">
        <v>100</v>
      </c>
      <c r="P95" s="78">
        <v>0</v>
      </c>
      <c r="Q95" s="87">
        <v>600008</v>
      </c>
      <c r="R95" s="93">
        <v>510241</v>
      </c>
      <c r="S95" s="86">
        <v>61</v>
      </c>
      <c r="T95" s="93">
        <v>510241</v>
      </c>
      <c r="U95" s="93">
        <v>4</v>
      </c>
      <c r="V95" s="93">
        <v>2</v>
      </c>
    </row>
    <row r="96" spans="1:22">
      <c r="A96" s="93">
        <v>100242</v>
      </c>
      <c r="B96" s="93" t="s">
        <v>400</v>
      </c>
      <c r="C96" s="78">
        <v>1</v>
      </c>
      <c r="F96" s="78">
        <v>2</v>
      </c>
      <c r="G96" s="93">
        <v>5</v>
      </c>
      <c r="H96" s="93">
        <v>0</v>
      </c>
      <c r="I96" s="78">
        <v>531</v>
      </c>
      <c r="J96" s="78">
        <v>576</v>
      </c>
      <c r="K96" s="78">
        <v>56</v>
      </c>
      <c r="L96" s="78">
        <v>10500</v>
      </c>
      <c r="M96" s="78">
        <v>100</v>
      </c>
      <c r="N96" s="78">
        <v>100</v>
      </c>
      <c r="O96" s="78">
        <v>100</v>
      </c>
      <c r="P96" s="78">
        <v>0</v>
      </c>
      <c r="Q96" s="87">
        <v>600008</v>
      </c>
      <c r="R96" s="93">
        <v>510241</v>
      </c>
      <c r="S96" s="86">
        <v>61</v>
      </c>
      <c r="T96" s="93">
        <v>510241</v>
      </c>
      <c r="U96" s="93">
        <v>5</v>
      </c>
      <c r="V96" s="93">
        <v>2</v>
      </c>
    </row>
    <row r="97" spans="1:22">
      <c r="A97" s="93">
        <v>100251</v>
      </c>
      <c r="B97" s="93" t="s">
        <v>404</v>
      </c>
      <c r="C97" s="78">
        <v>1</v>
      </c>
      <c r="F97" s="78">
        <v>1</v>
      </c>
      <c r="G97" s="93">
        <v>3</v>
      </c>
      <c r="H97" s="93">
        <v>100252</v>
      </c>
      <c r="I97" s="78">
        <v>450</v>
      </c>
      <c r="J97" s="78">
        <v>480</v>
      </c>
      <c r="K97" s="78">
        <v>39</v>
      </c>
      <c r="L97" s="78">
        <v>3000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93">
        <v>510251</v>
      </c>
      <c r="T97" s="93">
        <v>510251</v>
      </c>
      <c r="U97" s="93">
        <v>3</v>
      </c>
      <c r="V97" s="93">
        <v>2</v>
      </c>
    </row>
    <row r="98" spans="1:22">
      <c r="A98" s="93">
        <v>100252</v>
      </c>
      <c r="B98" s="93" t="s">
        <v>404</v>
      </c>
      <c r="C98" s="78">
        <v>1</v>
      </c>
      <c r="F98" s="78">
        <v>2</v>
      </c>
      <c r="G98" s="93">
        <v>4</v>
      </c>
      <c r="H98" s="93">
        <v>100253</v>
      </c>
      <c r="I98" s="78">
        <v>480</v>
      </c>
      <c r="J98" s="78">
        <v>510</v>
      </c>
      <c r="K98" s="78">
        <v>44</v>
      </c>
      <c r="L98" s="78">
        <v>6000</v>
      </c>
      <c r="M98" s="78">
        <v>100</v>
      </c>
      <c r="N98" s="78">
        <v>100</v>
      </c>
      <c r="O98" s="78">
        <v>100</v>
      </c>
      <c r="P98" s="78">
        <v>0</v>
      </c>
      <c r="Q98" s="78">
        <v>0</v>
      </c>
      <c r="R98" s="93">
        <v>510251</v>
      </c>
      <c r="T98" s="93">
        <v>510251</v>
      </c>
      <c r="U98" s="93">
        <v>20</v>
      </c>
      <c r="V98" s="93">
        <v>2</v>
      </c>
    </row>
    <row r="99" spans="1:22">
      <c r="A99" s="93">
        <v>100253</v>
      </c>
      <c r="B99" s="93" t="s">
        <v>404</v>
      </c>
      <c r="C99" s="78">
        <v>1</v>
      </c>
      <c r="F99" s="78">
        <v>2</v>
      </c>
      <c r="G99" s="93">
        <v>5</v>
      </c>
      <c r="H99" s="93">
        <v>100254</v>
      </c>
      <c r="I99" s="78">
        <v>535</v>
      </c>
      <c r="J99" s="78">
        <v>565</v>
      </c>
      <c r="K99" s="78">
        <v>54</v>
      </c>
      <c r="L99" s="78">
        <v>10500</v>
      </c>
      <c r="M99" s="78">
        <v>100</v>
      </c>
      <c r="N99" s="78">
        <v>100</v>
      </c>
      <c r="O99" s="78">
        <v>100</v>
      </c>
      <c r="P99" s="78">
        <v>0</v>
      </c>
      <c r="Q99" s="78">
        <v>0</v>
      </c>
      <c r="R99" s="93">
        <v>510251</v>
      </c>
      <c r="T99" s="93">
        <v>510251</v>
      </c>
      <c r="U99" s="93">
        <v>100</v>
      </c>
      <c r="V99" s="93">
        <v>2</v>
      </c>
    </row>
    <row r="100" spans="1:22">
      <c r="A100" s="93">
        <v>100254</v>
      </c>
      <c r="B100" s="93" t="s">
        <v>404</v>
      </c>
      <c r="C100" s="78">
        <v>1</v>
      </c>
      <c r="E100" s="78"/>
      <c r="F100" s="78">
        <v>2</v>
      </c>
      <c r="G100" s="93">
        <v>6</v>
      </c>
      <c r="H100" s="93">
        <v>100256</v>
      </c>
      <c r="I100" s="78">
        <v>585</v>
      </c>
      <c r="J100" s="78">
        <v>635</v>
      </c>
      <c r="K100" s="78">
        <v>64</v>
      </c>
      <c r="L100" s="78">
        <v>15000</v>
      </c>
      <c r="M100" s="78">
        <v>100</v>
      </c>
      <c r="N100" s="78">
        <v>100</v>
      </c>
      <c r="O100" s="78">
        <v>100</v>
      </c>
      <c r="P100" s="78">
        <v>0</v>
      </c>
      <c r="Q100" s="78">
        <v>0</v>
      </c>
      <c r="R100" s="93">
        <v>510251</v>
      </c>
      <c r="T100" s="93">
        <v>510251</v>
      </c>
      <c r="U100" s="93">
        <v>200</v>
      </c>
      <c r="V100" s="93">
        <v>2</v>
      </c>
    </row>
    <row r="101" spans="1:22">
      <c r="A101" s="93">
        <v>100256</v>
      </c>
      <c r="B101" s="93" t="s">
        <v>404</v>
      </c>
      <c r="C101" s="78">
        <v>1</v>
      </c>
      <c r="E101" s="78"/>
      <c r="F101" s="78">
        <v>2</v>
      </c>
      <c r="G101" s="93">
        <v>7</v>
      </c>
      <c r="H101" s="93">
        <v>0</v>
      </c>
      <c r="I101" s="78">
        <v>640</v>
      </c>
      <c r="J101" s="78">
        <v>698</v>
      </c>
      <c r="K101" s="78">
        <v>74</v>
      </c>
      <c r="L101" s="78">
        <v>21000</v>
      </c>
      <c r="M101" s="78">
        <v>100</v>
      </c>
      <c r="N101" s="78">
        <v>100</v>
      </c>
      <c r="O101" s="78">
        <v>100</v>
      </c>
      <c r="P101" s="78">
        <v>0</v>
      </c>
      <c r="Q101" s="78">
        <v>0</v>
      </c>
      <c r="R101" s="93">
        <v>510251</v>
      </c>
      <c r="T101" s="93">
        <v>510251</v>
      </c>
      <c r="U101" s="93">
        <v>400</v>
      </c>
      <c r="V101" s="93">
        <v>2</v>
      </c>
    </row>
    <row r="102" spans="1:22">
      <c r="A102" s="93">
        <v>100261</v>
      </c>
      <c r="B102" s="93" t="s">
        <v>412</v>
      </c>
      <c r="C102" s="78">
        <v>1</v>
      </c>
      <c r="F102" s="78">
        <v>1</v>
      </c>
      <c r="G102" s="93">
        <v>2</v>
      </c>
      <c r="H102" s="93">
        <v>100262</v>
      </c>
      <c r="I102" s="78">
        <v>410</v>
      </c>
      <c r="J102" s="78">
        <v>435</v>
      </c>
      <c r="K102" s="78">
        <v>30</v>
      </c>
      <c r="L102" s="78">
        <v>1000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93">
        <v>510261</v>
      </c>
      <c r="T102" s="93">
        <v>510261</v>
      </c>
      <c r="U102" s="93">
        <v>2</v>
      </c>
      <c r="V102" s="93">
        <v>2</v>
      </c>
    </row>
    <row r="103" spans="1:22">
      <c r="A103" s="93">
        <v>100262</v>
      </c>
      <c r="B103" s="93" t="s">
        <v>412</v>
      </c>
      <c r="C103" s="78">
        <v>1</v>
      </c>
      <c r="F103" s="78">
        <v>1</v>
      </c>
      <c r="G103" s="93">
        <v>3</v>
      </c>
      <c r="H103" s="93">
        <v>100263</v>
      </c>
      <c r="I103" s="78">
        <v>445</v>
      </c>
      <c r="J103" s="78">
        <v>476</v>
      </c>
      <c r="K103" s="78">
        <v>36</v>
      </c>
      <c r="L103" s="78">
        <v>3000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93">
        <v>510261</v>
      </c>
      <c r="T103" s="93">
        <v>510261</v>
      </c>
      <c r="U103" s="93">
        <v>3</v>
      </c>
      <c r="V103" s="93">
        <v>2</v>
      </c>
    </row>
    <row r="104" spans="1:22">
      <c r="A104" s="93">
        <v>100263</v>
      </c>
      <c r="B104" s="93" t="s">
        <v>412</v>
      </c>
      <c r="C104" s="78">
        <v>1</v>
      </c>
      <c r="F104" s="78">
        <v>2</v>
      </c>
      <c r="G104" s="93">
        <v>4</v>
      </c>
      <c r="H104" s="93">
        <v>0</v>
      </c>
      <c r="I104" s="78">
        <v>475</v>
      </c>
      <c r="J104" s="78">
        <v>518</v>
      </c>
      <c r="K104" s="78">
        <v>44</v>
      </c>
      <c r="L104" s="78">
        <v>6000</v>
      </c>
      <c r="M104" s="78">
        <v>100</v>
      </c>
      <c r="N104" s="78">
        <v>100</v>
      </c>
      <c r="O104" s="78">
        <v>100</v>
      </c>
      <c r="P104" s="78">
        <v>0</v>
      </c>
      <c r="Q104" s="78">
        <v>0</v>
      </c>
      <c r="R104" s="93">
        <v>510261</v>
      </c>
      <c r="T104" s="93">
        <v>510261</v>
      </c>
      <c r="U104" s="93">
        <v>4</v>
      </c>
      <c r="V104" s="93">
        <v>2</v>
      </c>
    </row>
    <row r="105" spans="1:22">
      <c r="A105" s="93">
        <v>100271</v>
      </c>
      <c r="B105" s="93" t="s">
        <v>416</v>
      </c>
      <c r="C105" s="78">
        <v>1</v>
      </c>
      <c r="F105" s="78">
        <v>2</v>
      </c>
      <c r="G105" s="93">
        <v>2</v>
      </c>
      <c r="H105" s="93">
        <v>100272</v>
      </c>
      <c r="I105" s="78">
        <v>430</v>
      </c>
      <c r="J105" s="78">
        <v>420</v>
      </c>
      <c r="K105" s="78">
        <v>30</v>
      </c>
      <c r="L105" s="78">
        <v>1000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93">
        <v>510271</v>
      </c>
      <c r="T105" s="93">
        <v>510271</v>
      </c>
      <c r="U105" s="93">
        <v>2</v>
      </c>
      <c r="V105" s="93">
        <v>1</v>
      </c>
    </row>
    <row r="106" spans="1:22">
      <c r="A106" s="93">
        <v>100272</v>
      </c>
      <c r="B106" s="93" t="s">
        <v>416</v>
      </c>
      <c r="C106" s="78">
        <v>1</v>
      </c>
      <c r="F106" s="78">
        <v>2</v>
      </c>
      <c r="G106" s="93">
        <v>3</v>
      </c>
      <c r="H106" s="93">
        <v>100273</v>
      </c>
      <c r="I106" s="78">
        <v>471</v>
      </c>
      <c r="J106" s="78">
        <v>450</v>
      </c>
      <c r="K106" s="78">
        <v>36</v>
      </c>
      <c r="L106" s="78">
        <v>3000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93">
        <v>510271</v>
      </c>
      <c r="T106" s="93">
        <v>510271</v>
      </c>
      <c r="U106" s="93">
        <v>3</v>
      </c>
      <c r="V106" s="93">
        <v>1</v>
      </c>
    </row>
    <row r="107" spans="1:22">
      <c r="A107" s="93">
        <v>100273</v>
      </c>
      <c r="B107" s="93" t="s">
        <v>416</v>
      </c>
      <c r="C107" s="78">
        <v>1</v>
      </c>
      <c r="F107" s="78">
        <v>2</v>
      </c>
      <c r="G107" s="93">
        <v>4</v>
      </c>
      <c r="H107" s="93">
        <v>0</v>
      </c>
      <c r="I107" s="78">
        <v>521</v>
      </c>
      <c r="J107" s="78">
        <v>475</v>
      </c>
      <c r="K107" s="78">
        <v>45</v>
      </c>
      <c r="L107" s="78">
        <v>6000</v>
      </c>
      <c r="M107" s="78">
        <v>100</v>
      </c>
      <c r="N107" s="78">
        <v>100</v>
      </c>
      <c r="O107" s="78">
        <v>100</v>
      </c>
      <c r="P107" s="78">
        <v>0</v>
      </c>
      <c r="Q107" s="78">
        <v>0</v>
      </c>
      <c r="R107" s="93">
        <v>510271</v>
      </c>
      <c r="T107" s="93">
        <v>510271</v>
      </c>
      <c r="U107" s="93">
        <v>4</v>
      </c>
      <c r="V107" s="93">
        <v>1</v>
      </c>
    </row>
    <row r="108" spans="1:22">
      <c r="A108" s="93">
        <v>100281</v>
      </c>
      <c r="B108" s="93" t="s">
        <v>421</v>
      </c>
      <c r="C108" s="78">
        <v>1</v>
      </c>
      <c r="F108" s="78">
        <v>1</v>
      </c>
      <c r="G108" s="93">
        <v>2</v>
      </c>
      <c r="H108" s="93">
        <v>100282</v>
      </c>
      <c r="I108" s="78">
        <v>440</v>
      </c>
      <c r="J108" s="78">
        <v>410</v>
      </c>
      <c r="K108" s="78">
        <v>31</v>
      </c>
      <c r="L108" s="78">
        <v>1000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93">
        <v>510281</v>
      </c>
      <c r="T108" s="93">
        <v>510281</v>
      </c>
      <c r="U108" s="93">
        <v>2</v>
      </c>
      <c r="V108" s="93">
        <v>1</v>
      </c>
    </row>
    <row r="109" spans="1:22">
      <c r="A109" s="93">
        <v>100282</v>
      </c>
      <c r="B109" s="93" t="s">
        <v>421</v>
      </c>
      <c r="C109" s="78">
        <v>1</v>
      </c>
      <c r="F109" s="78">
        <v>1</v>
      </c>
      <c r="G109" s="93">
        <v>3</v>
      </c>
      <c r="H109" s="93">
        <v>100283</v>
      </c>
      <c r="I109" s="78">
        <v>479</v>
      </c>
      <c r="J109" s="78">
        <v>440</v>
      </c>
      <c r="K109" s="78">
        <v>38</v>
      </c>
      <c r="L109" s="78">
        <v>3000</v>
      </c>
      <c r="M109" s="78">
        <v>0</v>
      </c>
      <c r="N109" s="78">
        <v>0</v>
      </c>
      <c r="O109" s="78">
        <v>0</v>
      </c>
      <c r="P109" s="78">
        <v>0</v>
      </c>
      <c r="Q109" s="78">
        <v>0</v>
      </c>
      <c r="R109" s="93">
        <v>510281</v>
      </c>
      <c r="T109" s="93">
        <v>510281</v>
      </c>
      <c r="U109" s="93">
        <v>3</v>
      </c>
      <c r="V109" s="93">
        <v>1</v>
      </c>
    </row>
    <row r="110" spans="1:22">
      <c r="A110" s="93">
        <v>100283</v>
      </c>
      <c r="B110" s="93" t="s">
        <v>421</v>
      </c>
      <c r="C110" s="78">
        <v>1</v>
      </c>
      <c r="F110" s="78">
        <v>2</v>
      </c>
      <c r="G110" s="93">
        <v>4</v>
      </c>
      <c r="H110" s="93">
        <v>0</v>
      </c>
      <c r="I110" s="78">
        <v>522</v>
      </c>
      <c r="J110" s="78">
        <v>486</v>
      </c>
      <c r="K110" s="78">
        <v>45</v>
      </c>
      <c r="L110" s="78">
        <v>6000</v>
      </c>
      <c r="M110" s="78">
        <v>100</v>
      </c>
      <c r="N110" s="78">
        <v>100</v>
      </c>
      <c r="O110" s="78">
        <v>100</v>
      </c>
      <c r="P110" s="78">
        <v>0</v>
      </c>
      <c r="Q110" s="78">
        <v>0</v>
      </c>
      <c r="R110" s="93">
        <v>510281</v>
      </c>
      <c r="T110" s="93">
        <v>510281</v>
      </c>
      <c r="U110" s="93">
        <v>4</v>
      </c>
      <c r="V110" s="93">
        <v>1</v>
      </c>
    </row>
    <row r="111" spans="1:22">
      <c r="A111" s="93">
        <v>100291</v>
      </c>
      <c r="B111" s="93" t="s">
        <v>426</v>
      </c>
      <c r="C111" s="78">
        <v>1</v>
      </c>
      <c r="F111" s="78">
        <v>1</v>
      </c>
      <c r="G111" s="93">
        <v>2</v>
      </c>
      <c r="H111" s="93">
        <v>100292</v>
      </c>
      <c r="I111" s="78">
        <v>400</v>
      </c>
      <c r="J111" s="78">
        <v>410</v>
      </c>
      <c r="K111" s="78">
        <v>39</v>
      </c>
      <c r="L111" s="78">
        <v>1000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93">
        <v>510291</v>
      </c>
      <c r="T111" s="93">
        <v>510291</v>
      </c>
      <c r="U111" s="93">
        <v>2</v>
      </c>
      <c r="V111" s="93">
        <v>3</v>
      </c>
    </row>
    <row r="112" spans="1:22">
      <c r="A112" s="93">
        <v>100292</v>
      </c>
      <c r="B112" s="93" t="s">
        <v>426</v>
      </c>
      <c r="C112" s="78">
        <v>1</v>
      </c>
      <c r="F112" s="78">
        <v>1</v>
      </c>
      <c r="G112" s="93">
        <v>3</v>
      </c>
      <c r="H112" s="93">
        <v>100293</v>
      </c>
      <c r="I112" s="78">
        <v>435</v>
      </c>
      <c r="J112" s="78">
        <v>451</v>
      </c>
      <c r="K112" s="78">
        <v>45</v>
      </c>
      <c r="L112" s="78">
        <v>3000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93">
        <v>510291</v>
      </c>
      <c r="T112" s="93">
        <v>510291</v>
      </c>
      <c r="U112" s="93">
        <v>3</v>
      </c>
      <c r="V112" s="93">
        <v>3</v>
      </c>
    </row>
    <row r="113" spans="1:23">
      <c r="A113" s="93">
        <v>100293</v>
      </c>
      <c r="B113" s="93" t="s">
        <v>426</v>
      </c>
      <c r="C113" s="78">
        <v>1</v>
      </c>
      <c r="F113" s="78">
        <v>2</v>
      </c>
      <c r="G113" s="93">
        <v>4</v>
      </c>
      <c r="H113" s="93">
        <v>0</v>
      </c>
      <c r="I113" s="78">
        <v>477</v>
      </c>
      <c r="J113" s="78">
        <v>495</v>
      </c>
      <c r="K113" s="78">
        <v>53</v>
      </c>
      <c r="L113" s="78">
        <v>6000</v>
      </c>
      <c r="M113" s="78">
        <v>100</v>
      </c>
      <c r="N113" s="78">
        <v>100</v>
      </c>
      <c r="O113" s="78">
        <v>100</v>
      </c>
      <c r="P113" s="78">
        <v>0</v>
      </c>
      <c r="Q113" s="78">
        <v>0</v>
      </c>
      <c r="R113" s="93">
        <v>510291</v>
      </c>
      <c r="T113" s="93">
        <v>510291</v>
      </c>
      <c r="U113" s="93">
        <v>4</v>
      </c>
      <c r="V113" s="93">
        <v>3</v>
      </c>
    </row>
    <row r="114" spans="1:23">
      <c r="A114" s="93">
        <v>100321</v>
      </c>
      <c r="B114" s="93" t="s">
        <v>431</v>
      </c>
      <c r="C114" s="78">
        <v>1</v>
      </c>
      <c r="F114" s="78">
        <v>2</v>
      </c>
      <c r="G114" s="93">
        <v>5</v>
      </c>
      <c r="H114" s="93">
        <v>100322</v>
      </c>
      <c r="I114" s="78">
        <v>592</v>
      </c>
      <c r="J114" s="78">
        <v>566</v>
      </c>
      <c r="K114" s="78">
        <v>57</v>
      </c>
      <c r="L114" s="78">
        <v>10500</v>
      </c>
      <c r="M114" s="78">
        <v>100</v>
      </c>
      <c r="N114" s="78">
        <v>100</v>
      </c>
      <c r="O114" s="78">
        <v>100</v>
      </c>
      <c r="P114" s="78"/>
      <c r="Q114" s="78"/>
      <c r="R114" s="93">
        <v>510321</v>
      </c>
      <c r="T114" s="93">
        <v>510321</v>
      </c>
      <c r="U114" s="93">
        <v>100</v>
      </c>
      <c r="V114" s="93">
        <v>1</v>
      </c>
      <c r="W114" s="93" t="s">
        <v>5138</v>
      </c>
    </row>
    <row r="115" spans="1:23">
      <c r="A115" s="93">
        <v>100322</v>
      </c>
      <c r="B115" s="93" t="s">
        <v>431</v>
      </c>
      <c r="C115" s="78">
        <v>1</v>
      </c>
      <c r="F115" s="78">
        <v>2</v>
      </c>
      <c r="G115" s="93">
        <v>6</v>
      </c>
      <c r="H115" s="93">
        <v>100323</v>
      </c>
      <c r="I115" s="78">
        <v>635</v>
      </c>
      <c r="J115" s="78">
        <v>610</v>
      </c>
      <c r="K115" s="78">
        <v>69</v>
      </c>
      <c r="L115" s="78">
        <v>15000</v>
      </c>
      <c r="M115" s="78">
        <v>100</v>
      </c>
      <c r="N115" s="78">
        <v>100</v>
      </c>
      <c r="O115" s="78">
        <v>100</v>
      </c>
      <c r="P115" s="78"/>
      <c r="Q115" s="78"/>
      <c r="R115" s="93">
        <v>510321</v>
      </c>
      <c r="T115" s="93">
        <v>510321</v>
      </c>
      <c r="U115" s="93">
        <v>200</v>
      </c>
      <c r="V115" s="93">
        <v>1</v>
      </c>
      <c r="W115" s="93" t="s">
        <v>5138</v>
      </c>
    </row>
    <row r="116" spans="1:23">
      <c r="A116" s="93">
        <v>100323</v>
      </c>
      <c r="B116" s="93" t="s">
        <v>431</v>
      </c>
      <c r="C116" s="78">
        <v>1</v>
      </c>
      <c r="F116" s="78">
        <v>2</v>
      </c>
      <c r="G116" s="93">
        <v>7</v>
      </c>
      <c r="I116" s="78">
        <v>678</v>
      </c>
      <c r="J116" s="78">
        <v>654</v>
      </c>
      <c r="K116" s="78">
        <v>81</v>
      </c>
      <c r="L116" s="78">
        <v>21000</v>
      </c>
      <c r="M116" s="78">
        <v>100</v>
      </c>
      <c r="N116" s="78">
        <v>100</v>
      </c>
      <c r="O116" s="78">
        <v>100</v>
      </c>
      <c r="P116" s="78"/>
      <c r="Q116" s="78"/>
      <c r="R116" s="93">
        <v>510321</v>
      </c>
      <c r="T116" s="93">
        <v>510321</v>
      </c>
      <c r="U116" s="93">
        <v>400</v>
      </c>
      <c r="V116" s="93">
        <v>1</v>
      </c>
      <c r="W116" s="93" t="s">
        <v>5138</v>
      </c>
    </row>
    <row r="117" spans="1:23">
      <c r="A117" s="93">
        <v>100331</v>
      </c>
      <c r="B117" s="93" t="s">
        <v>436</v>
      </c>
      <c r="C117" s="78">
        <v>1</v>
      </c>
      <c r="F117" s="78">
        <v>2</v>
      </c>
      <c r="G117" s="93">
        <v>5</v>
      </c>
      <c r="H117" s="93">
        <v>100332</v>
      </c>
      <c r="I117" s="78">
        <v>590</v>
      </c>
      <c r="J117" s="78">
        <v>570</v>
      </c>
      <c r="K117" s="78">
        <v>56</v>
      </c>
      <c r="L117" s="78">
        <v>10500</v>
      </c>
      <c r="M117" s="78">
        <v>100</v>
      </c>
      <c r="N117" s="78">
        <v>100</v>
      </c>
      <c r="O117" s="78">
        <v>100</v>
      </c>
      <c r="P117" s="78"/>
      <c r="Q117" s="78"/>
      <c r="R117" s="93">
        <v>510331</v>
      </c>
      <c r="T117" s="93">
        <v>510331</v>
      </c>
      <c r="U117" s="93">
        <v>100</v>
      </c>
      <c r="V117" s="93">
        <v>1</v>
      </c>
      <c r="W117" s="93" t="s">
        <v>5139</v>
      </c>
    </row>
    <row r="118" spans="1:23">
      <c r="A118" s="93">
        <v>100332</v>
      </c>
      <c r="B118" s="93" t="s">
        <v>436</v>
      </c>
      <c r="C118" s="78">
        <v>1</v>
      </c>
      <c r="F118" s="78">
        <v>2</v>
      </c>
      <c r="G118" s="93">
        <v>6</v>
      </c>
      <c r="H118" s="93">
        <v>100333</v>
      </c>
      <c r="I118" s="78">
        <v>630</v>
      </c>
      <c r="J118" s="78">
        <v>610</v>
      </c>
      <c r="K118" s="78">
        <v>66</v>
      </c>
      <c r="L118" s="78">
        <v>15000</v>
      </c>
      <c r="M118" s="78">
        <v>100</v>
      </c>
      <c r="N118" s="78">
        <v>100</v>
      </c>
      <c r="O118" s="78">
        <v>100</v>
      </c>
      <c r="P118" s="78"/>
      <c r="Q118" s="78"/>
      <c r="R118" s="93">
        <v>510331</v>
      </c>
      <c r="T118" s="93">
        <v>510331</v>
      </c>
      <c r="U118" s="93">
        <v>200</v>
      </c>
      <c r="V118" s="93">
        <v>1</v>
      </c>
      <c r="W118" s="93" t="s">
        <v>5139</v>
      </c>
    </row>
    <row r="119" spans="1:23">
      <c r="A119" s="93">
        <v>100333</v>
      </c>
      <c r="B119" s="93" t="s">
        <v>436</v>
      </c>
      <c r="C119" s="78">
        <v>1</v>
      </c>
      <c r="F119" s="78">
        <v>2</v>
      </c>
      <c r="G119" s="93">
        <v>7</v>
      </c>
      <c r="H119" s="93">
        <v>100334</v>
      </c>
      <c r="I119" s="78">
        <v>675</v>
      </c>
      <c r="J119" s="78">
        <v>660</v>
      </c>
      <c r="K119" s="78">
        <v>76</v>
      </c>
      <c r="L119" s="78">
        <v>21000</v>
      </c>
      <c r="M119" s="78">
        <v>100</v>
      </c>
      <c r="N119" s="78">
        <v>100</v>
      </c>
      <c r="O119" s="78">
        <v>100</v>
      </c>
      <c r="P119" s="78"/>
      <c r="Q119" s="78"/>
      <c r="R119" s="93">
        <v>510331</v>
      </c>
      <c r="T119" s="93">
        <v>510331</v>
      </c>
      <c r="U119" s="93">
        <v>400</v>
      </c>
      <c r="V119" s="93">
        <v>1</v>
      </c>
      <c r="W119" s="93" t="s">
        <v>5139</v>
      </c>
    </row>
    <row r="120" spans="1:23">
      <c r="A120" s="93">
        <v>100334</v>
      </c>
      <c r="B120" s="93" t="s">
        <v>436</v>
      </c>
      <c r="C120" s="78">
        <v>1</v>
      </c>
      <c r="F120" s="78">
        <v>2</v>
      </c>
      <c r="G120" s="93">
        <v>8</v>
      </c>
      <c r="H120" s="93">
        <v>0</v>
      </c>
      <c r="I120" s="78">
        <v>710</v>
      </c>
      <c r="J120" s="78">
        <v>700</v>
      </c>
      <c r="K120" s="78">
        <v>90</v>
      </c>
      <c r="L120" s="78">
        <v>50000</v>
      </c>
      <c r="M120" s="78">
        <v>100</v>
      </c>
      <c r="N120" s="78">
        <v>100</v>
      </c>
      <c r="O120" s="78">
        <v>100</v>
      </c>
      <c r="P120" s="78"/>
      <c r="Q120" s="78"/>
      <c r="R120" s="93">
        <v>0</v>
      </c>
      <c r="T120" s="93">
        <v>0</v>
      </c>
      <c r="U120" s="93">
        <v>0</v>
      </c>
      <c r="V120" s="93">
        <v>1</v>
      </c>
      <c r="W120" s="93" t="s">
        <v>5139</v>
      </c>
    </row>
    <row r="121" spans="1:23">
      <c r="A121" s="93">
        <v>100341</v>
      </c>
      <c r="B121" s="93" t="s">
        <v>442</v>
      </c>
      <c r="C121" s="78">
        <v>1</v>
      </c>
      <c r="F121" s="78">
        <v>2</v>
      </c>
      <c r="G121" s="93">
        <v>5</v>
      </c>
      <c r="H121" s="93">
        <v>100342</v>
      </c>
      <c r="I121" s="78">
        <v>543</v>
      </c>
      <c r="J121" s="78">
        <v>560</v>
      </c>
      <c r="K121" s="78">
        <v>61</v>
      </c>
      <c r="L121" s="78">
        <v>10500</v>
      </c>
      <c r="M121" s="78">
        <v>100</v>
      </c>
      <c r="N121" s="78">
        <v>100</v>
      </c>
      <c r="O121" s="78">
        <v>100</v>
      </c>
      <c r="P121" s="78"/>
      <c r="Q121" s="78"/>
      <c r="R121" s="93">
        <v>510341</v>
      </c>
      <c r="T121" s="93">
        <v>510341</v>
      </c>
      <c r="U121" s="93">
        <v>100</v>
      </c>
      <c r="V121" s="93">
        <v>3</v>
      </c>
      <c r="W121" s="93" t="s">
        <v>5138</v>
      </c>
    </row>
    <row r="122" spans="1:23">
      <c r="A122" s="93">
        <v>100342</v>
      </c>
      <c r="B122" s="93" t="s">
        <v>442</v>
      </c>
      <c r="C122" s="78">
        <v>1</v>
      </c>
      <c r="F122" s="78">
        <v>2</v>
      </c>
      <c r="G122" s="93">
        <v>6</v>
      </c>
      <c r="H122" s="93">
        <v>100343</v>
      </c>
      <c r="I122" s="78">
        <v>594</v>
      </c>
      <c r="J122" s="78">
        <v>601</v>
      </c>
      <c r="K122" s="78">
        <v>72</v>
      </c>
      <c r="L122" s="78">
        <v>15000</v>
      </c>
      <c r="M122" s="78">
        <v>100</v>
      </c>
      <c r="N122" s="78">
        <v>100</v>
      </c>
      <c r="O122" s="78">
        <v>100</v>
      </c>
      <c r="P122" s="78"/>
      <c r="Q122" s="78"/>
      <c r="R122" s="93">
        <v>510341</v>
      </c>
      <c r="T122" s="93">
        <v>510341</v>
      </c>
      <c r="U122" s="93">
        <v>200</v>
      </c>
      <c r="V122" s="93">
        <v>3</v>
      </c>
      <c r="W122" s="93" t="s">
        <v>5138</v>
      </c>
    </row>
    <row r="123" spans="1:23">
      <c r="A123" s="93">
        <v>100343</v>
      </c>
      <c r="B123" s="93" t="s">
        <v>442</v>
      </c>
      <c r="C123" s="78">
        <v>1</v>
      </c>
      <c r="F123" s="78">
        <v>2</v>
      </c>
      <c r="G123" s="93">
        <v>7</v>
      </c>
      <c r="I123" s="78">
        <v>645</v>
      </c>
      <c r="J123" s="78">
        <v>643</v>
      </c>
      <c r="K123" s="78">
        <v>82</v>
      </c>
      <c r="L123" s="78">
        <v>21000</v>
      </c>
      <c r="M123" s="78">
        <v>100</v>
      </c>
      <c r="N123" s="78">
        <v>100</v>
      </c>
      <c r="O123" s="78">
        <v>100</v>
      </c>
      <c r="P123" s="78"/>
      <c r="Q123" s="78"/>
      <c r="R123" s="93">
        <v>510341</v>
      </c>
      <c r="T123" s="93">
        <v>510341</v>
      </c>
      <c r="U123" s="93">
        <v>400</v>
      </c>
      <c r="V123" s="93">
        <v>3</v>
      </c>
      <c r="W123" s="93" t="s">
        <v>5138</v>
      </c>
    </row>
    <row r="124" spans="1:23">
      <c r="A124" s="93">
        <v>100351</v>
      </c>
      <c r="B124" s="93" t="s">
        <v>447</v>
      </c>
      <c r="C124" s="78">
        <v>1</v>
      </c>
      <c r="F124" s="78">
        <v>2</v>
      </c>
      <c r="G124" s="93">
        <v>5</v>
      </c>
      <c r="H124" s="93">
        <v>100352</v>
      </c>
      <c r="I124" s="78">
        <v>574</v>
      </c>
      <c r="J124" s="78">
        <v>560</v>
      </c>
      <c r="K124" s="78">
        <v>65</v>
      </c>
      <c r="L124" s="78">
        <v>10500</v>
      </c>
      <c r="M124" s="78">
        <v>100</v>
      </c>
      <c r="N124" s="78">
        <v>100</v>
      </c>
      <c r="O124" s="78">
        <v>100</v>
      </c>
      <c r="P124" s="78"/>
      <c r="Q124" s="78"/>
      <c r="R124" s="93">
        <v>510351</v>
      </c>
      <c r="T124" s="93">
        <v>510351</v>
      </c>
      <c r="U124" s="93">
        <v>100</v>
      </c>
      <c r="V124" s="93">
        <v>3</v>
      </c>
      <c r="W124" s="93" t="s">
        <v>5138</v>
      </c>
    </row>
    <row r="125" spans="1:23">
      <c r="A125" s="93">
        <v>100352</v>
      </c>
      <c r="B125" s="93" t="s">
        <v>447</v>
      </c>
      <c r="C125" s="78">
        <v>1</v>
      </c>
      <c r="F125" s="78">
        <v>2</v>
      </c>
      <c r="G125" s="93">
        <v>6</v>
      </c>
      <c r="H125" s="93">
        <v>100353</v>
      </c>
      <c r="I125" s="78">
        <v>616</v>
      </c>
      <c r="J125" s="78">
        <v>603</v>
      </c>
      <c r="K125" s="78">
        <v>75</v>
      </c>
      <c r="L125" s="78">
        <v>15000</v>
      </c>
      <c r="M125" s="78">
        <v>100</v>
      </c>
      <c r="N125" s="78">
        <v>100</v>
      </c>
      <c r="O125" s="78">
        <v>100</v>
      </c>
      <c r="P125" s="78"/>
      <c r="Q125" s="78"/>
      <c r="R125" s="93">
        <v>510351</v>
      </c>
      <c r="T125" s="93">
        <v>510351</v>
      </c>
      <c r="U125" s="93">
        <v>200</v>
      </c>
      <c r="V125" s="93">
        <v>3</v>
      </c>
      <c r="W125" s="93" t="s">
        <v>5138</v>
      </c>
    </row>
    <row r="126" spans="1:23">
      <c r="A126" s="93">
        <v>100353</v>
      </c>
      <c r="B126" s="93" t="s">
        <v>447</v>
      </c>
      <c r="C126" s="78">
        <v>1</v>
      </c>
      <c r="F126" s="78">
        <v>2</v>
      </c>
      <c r="G126" s="93">
        <v>7</v>
      </c>
      <c r="H126" s="93">
        <v>100354</v>
      </c>
      <c r="I126" s="78">
        <v>660</v>
      </c>
      <c r="J126" s="78">
        <v>645</v>
      </c>
      <c r="K126" s="78">
        <v>86</v>
      </c>
      <c r="L126" s="78">
        <v>21000</v>
      </c>
      <c r="M126" s="78">
        <v>100</v>
      </c>
      <c r="N126" s="78">
        <v>100</v>
      </c>
      <c r="O126" s="78">
        <v>100</v>
      </c>
      <c r="P126" s="78"/>
      <c r="Q126" s="78"/>
      <c r="R126" s="93">
        <v>510351</v>
      </c>
      <c r="T126" s="93">
        <v>510351</v>
      </c>
      <c r="U126" s="93">
        <v>400</v>
      </c>
      <c r="V126" s="93">
        <v>3</v>
      </c>
      <c r="W126" s="93" t="s">
        <v>5138</v>
      </c>
    </row>
    <row r="127" spans="1:23">
      <c r="A127" s="93">
        <v>100354</v>
      </c>
      <c r="B127" s="93" t="s">
        <v>447</v>
      </c>
      <c r="C127" s="78">
        <v>1</v>
      </c>
      <c r="F127" s="78">
        <v>2</v>
      </c>
      <c r="G127" s="93">
        <v>8</v>
      </c>
      <c r="I127" s="78">
        <v>690</v>
      </c>
      <c r="J127" s="78">
        <v>700</v>
      </c>
      <c r="K127" s="78">
        <v>100</v>
      </c>
      <c r="L127" s="78">
        <v>50000</v>
      </c>
      <c r="M127" s="78">
        <v>100</v>
      </c>
      <c r="N127" s="78">
        <v>100</v>
      </c>
      <c r="O127" s="78">
        <v>100</v>
      </c>
      <c r="P127" s="78"/>
      <c r="Q127" s="78"/>
      <c r="R127" s="93">
        <v>0</v>
      </c>
      <c r="T127" s="93">
        <v>0</v>
      </c>
      <c r="U127" s="93">
        <v>0</v>
      </c>
      <c r="V127" s="93">
        <v>3</v>
      </c>
      <c r="W127" s="93" t="s">
        <v>5138</v>
      </c>
    </row>
    <row r="128" spans="1:23">
      <c r="A128" s="93">
        <v>100361</v>
      </c>
      <c r="B128" s="93" t="s">
        <v>454</v>
      </c>
      <c r="C128" s="78">
        <v>1</v>
      </c>
      <c r="F128" s="78">
        <v>2</v>
      </c>
      <c r="G128" s="93">
        <v>5</v>
      </c>
      <c r="H128" s="93">
        <v>100362</v>
      </c>
      <c r="I128" s="78">
        <v>541</v>
      </c>
      <c r="J128" s="78">
        <v>587</v>
      </c>
      <c r="K128" s="78">
        <v>52</v>
      </c>
      <c r="L128" s="78">
        <v>10500</v>
      </c>
      <c r="M128" s="78">
        <v>100</v>
      </c>
      <c r="N128" s="78">
        <v>100</v>
      </c>
      <c r="O128" s="78">
        <v>100</v>
      </c>
      <c r="P128" s="78"/>
      <c r="Q128" s="78"/>
      <c r="R128" s="93">
        <v>510361</v>
      </c>
      <c r="T128" s="93">
        <v>510361</v>
      </c>
      <c r="U128" s="93">
        <v>100</v>
      </c>
      <c r="V128" s="93">
        <v>2</v>
      </c>
      <c r="W128" s="93" t="s">
        <v>5138</v>
      </c>
    </row>
    <row r="129" spans="1:23">
      <c r="A129" s="93">
        <v>100362</v>
      </c>
      <c r="B129" s="93" t="s">
        <v>454</v>
      </c>
      <c r="C129" s="78">
        <v>1</v>
      </c>
      <c r="F129" s="78">
        <v>2</v>
      </c>
      <c r="G129" s="93">
        <v>6</v>
      </c>
      <c r="H129" s="93">
        <v>100363</v>
      </c>
      <c r="I129" s="78">
        <v>587</v>
      </c>
      <c r="J129" s="78">
        <v>634</v>
      </c>
      <c r="K129" s="78">
        <v>64</v>
      </c>
      <c r="L129" s="78">
        <v>15000</v>
      </c>
      <c r="M129" s="78">
        <v>100</v>
      </c>
      <c r="N129" s="78">
        <v>100</v>
      </c>
      <c r="O129" s="78">
        <v>100</v>
      </c>
      <c r="P129" s="78"/>
      <c r="Q129" s="78"/>
      <c r="R129" s="93">
        <v>510361</v>
      </c>
      <c r="T129" s="93">
        <v>510361</v>
      </c>
      <c r="U129" s="93">
        <v>200</v>
      </c>
      <c r="V129" s="93">
        <v>2</v>
      </c>
      <c r="W129" s="93" t="s">
        <v>5138</v>
      </c>
    </row>
    <row r="130" spans="1:23">
      <c r="A130" s="93">
        <v>100363</v>
      </c>
      <c r="B130" s="93" t="s">
        <v>454</v>
      </c>
      <c r="C130" s="78">
        <v>1</v>
      </c>
      <c r="F130" s="78">
        <v>2</v>
      </c>
      <c r="G130" s="93">
        <v>7</v>
      </c>
      <c r="I130" s="78">
        <v>634</v>
      </c>
      <c r="J130" s="78">
        <v>677</v>
      </c>
      <c r="K130" s="78">
        <v>76</v>
      </c>
      <c r="L130" s="78">
        <v>21000</v>
      </c>
      <c r="M130" s="78">
        <v>100</v>
      </c>
      <c r="N130" s="78">
        <v>100</v>
      </c>
      <c r="O130" s="78">
        <v>100</v>
      </c>
      <c r="P130" s="78"/>
      <c r="Q130" s="78"/>
      <c r="R130" s="93">
        <v>510361</v>
      </c>
      <c r="T130" s="93">
        <v>510361</v>
      </c>
      <c r="U130" s="93">
        <v>400</v>
      </c>
      <c r="V130" s="93">
        <v>2</v>
      </c>
      <c r="W130" s="93" t="s">
        <v>5138</v>
      </c>
    </row>
    <row r="131" spans="1:23">
      <c r="A131" s="93">
        <v>100371</v>
      </c>
      <c r="B131" s="93" t="s">
        <v>459</v>
      </c>
      <c r="C131" s="78">
        <v>1</v>
      </c>
      <c r="F131" s="78">
        <v>2</v>
      </c>
      <c r="G131" s="93">
        <v>5</v>
      </c>
      <c r="H131" s="93">
        <v>100372</v>
      </c>
      <c r="I131" s="78">
        <v>545</v>
      </c>
      <c r="J131" s="78">
        <v>545</v>
      </c>
      <c r="K131" s="78">
        <v>63</v>
      </c>
      <c r="L131" s="78">
        <v>10500</v>
      </c>
      <c r="M131" s="78">
        <v>100</v>
      </c>
      <c r="N131" s="78">
        <v>100</v>
      </c>
      <c r="O131" s="78">
        <v>100</v>
      </c>
      <c r="P131" s="78"/>
      <c r="Q131" s="78"/>
      <c r="R131" s="93">
        <v>510371</v>
      </c>
      <c r="T131" s="93">
        <v>510371</v>
      </c>
      <c r="U131" s="93">
        <v>100</v>
      </c>
      <c r="V131" s="93">
        <v>3</v>
      </c>
      <c r="W131" s="93" t="s">
        <v>5138</v>
      </c>
    </row>
    <row r="132" spans="1:23">
      <c r="A132" s="93">
        <v>100372</v>
      </c>
      <c r="B132" s="93" t="s">
        <v>459</v>
      </c>
      <c r="C132" s="78">
        <v>1</v>
      </c>
      <c r="F132" s="78">
        <v>2</v>
      </c>
      <c r="G132" s="93">
        <v>6</v>
      </c>
      <c r="H132" s="93">
        <v>100373</v>
      </c>
      <c r="I132" s="78">
        <v>600</v>
      </c>
      <c r="J132" s="78">
        <v>600</v>
      </c>
      <c r="K132" s="78">
        <v>74</v>
      </c>
      <c r="L132" s="78">
        <v>15000</v>
      </c>
      <c r="M132" s="78">
        <v>100</v>
      </c>
      <c r="N132" s="78">
        <v>100</v>
      </c>
      <c r="O132" s="78">
        <v>100</v>
      </c>
      <c r="P132" s="78"/>
      <c r="Q132" s="78"/>
      <c r="R132" s="93">
        <v>510371</v>
      </c>
      <c r="T132" s="93">
        <v>510371</v>
      </c>
      <c r="U132" s="93">
        <v>200</v>
      </c>
      <c r="V132" s="93">
        <v>3</v>
      </c>
      <c r="W132" s="93" t="s">
        <v>5138</v>
      </c>
    </row>
    <row r="133" spans="1:23">
      <c r="A133" s="93">
        <v>100373</v>
      </c>
      <c r="B133" s="93" t="s">
        <v>459</v>
      </c>
      <c r="C133" s="78">
        <v>1</v>
      </c>
      <c r="F133" s="78">
        <v>2</v>
      </c>
      <c r="G133" s="93">
        <v>7</v>
      </c>
      <c r="I133" s="78">
        <v>660</v>
      </c>
      <c r="J133" s="78">
        <v>660</v>
      </c>
      <c r="K133" s="78">
        <v>86</v>
      </c>
      <c r="L133" s="78">
        <v>21000</v>
      </c>
      <c r="M133" s="78">
        <v>100</v>
      </c>
      <c r="N133" s="78">
        <v>100</v>
      </c>
      <c r="O133" s="78">
        <v>100</v>
      </c>
      <c r="P133" s="78"/>
      <c r="Q133" s="78"/>
      <c r="R133" s="93">
        <v>510371</v>
      </c>
      <c r="T133" s="93">
        <v>510371</v>
      </c>
      <c r="U133" s="93">
        <v>400</v>
      </c>
      <c r="V133" s="93">
        <v>3</v>
      </c>
      <c r="W133" s="93" t="s">
        <v>5138</v>
      </c>
    </row>
    <row r="134" spans="1:23">
      <c r="A134" s="93">
        <v>100381</v>
      </c>
      <c r="B134" s="93" t="s">
        <v>464</v>
      </c>
      <c r="C134" s="78">
        <v>1</v>
      </c>
      <c r="F134" s="78">
        <v>2</v>
      </c>
      <c r="G134" s="93">
        <v>4</v>
      </c>
      <c r="H134" s="93">
        <v>100382</v>
      </c>
      <c r="I134" s="78">
        <v>490</v>
      </c>
      <c r="J134" s="78">
        <v>490</v>
      </c>
      <c r="K134" s="78">
        <v>55</v>
      </c>
      <c r="L134" s="78">
        <v>6000</v>
      </c>
      <c r="M134" s="78">
        <v>100</v>
      </c>
      <c r="N134" s="78">
        <v>100</v>
      </c>
      <c r="O134" s="78">
        <v>100</v>
      </c>
      <c r="P134" s="78"/>
      <c r="Q134" s="78"/>
      <c r="R134" s="93">
        <v>510381</v>
      </c>
      <c r="T134" s="93">
        <v>510381</v>
      </c>
      <c r="U134" s="93">
        <v>20</v>
      </c>
      <c r="V134" s="93">
        <v>3</v>
      </c>
      <c r="W134" s="93" t="s">
        <v>5138</v>
      </c>
    </row>
    <row r="135" spans="1:23">
      <c r="A135" s="93">
        <v>100382</v>
      </c>
      <c r="B135" s="93" t="s">
        <v>464</v>
      </c>
      <c r="C135" s="78">
        <v>1</v>
      </c>
      <c r="F135" s="78">
        <v>2</v>
      </c>
      <c r="G135" s="93">
        <v>5</v>
      </c>
      <c r="I135" s="78">
        <v>545</v>
      </c>
      <c r="J135" s="78">
        <v>545</v>
      </c>
      <c r="K135" s="78">
        <v>65</v>
      </c>
      <c r="L135" s="78">
        <v>10500</v>
      </c>
      <c r="M135" s="78">
        <v>100</v>
      </c>
      <c r="N135" s="78">
        <v>100</v>
      </c>
      <c r="O135" s="78">
        <v>100</v>
      </c>
      <c r="P135" s="78"/>
      <c r="Q135" s="78"/>
      <c r="R135" s="93">
        <v>510381</v>
      </c>
      <c r="T135" s="93">
        <v>510381</v>
      </c>
      <c r="U135" s="93">
        <v>100</v>
      </c>
      <c r="V135" s="93">
        <v>3</v>
      </c>
      <c r="W135" s="93" t="s">
        <v>5138</v>
      </c>
    </row>
    <row r="136" spans="1:23">
      <c r="A136" s="93">
        <v>100391</v>
      </c>
      <c r="B136" s="93" t="s">
        <v>468</v>
      </c>
      <c r="C136" s="78">
        <v>1</v>
      </c>
      <c r="F136" s="78">
        <v>2</v>
      </c>
      <c r="G136" s="93">
        <v>5</v>
      </c>
      <c r="H136" s="93">
        <v>100392</v>
      </c>
      <c r="I136" s="78">
        <v>591</v>
      </c>
      <c r="J136" s="78">
        <v>561</v>
      </c>
      <c r="K136" s="78">
        <v>53</v>
      </c>
      <c r="L136" s="78">
        <v>10500</v>
      </c>
      <c r="M136" s="78">
        <v>100</v>
      </c>
      <c r="N136" s="78">
        <v>100</v>
      </c>
      <c r="O136" s="78">
        <v>100</v>
      </c>
      <c r="P136" s="78"/>
      <c r="Q136" s="78"/>
      <c r="R136" s="93">
        <v>510391</v>
      </c>
      <c r="T136" s="93">
        <v>510391</v>
      </c>
      <c r="U136" s="93">
        <v>100</v>
      </c>
      <c r="V136" s="93">
        <v>1</v>
      </c>
      <c r="W136" s="93" t="s">
        <v>5138</v>
      </c>
    </row>
    <row r="137" spans="1:23">
      <c r="A137" s="93">
        <v>100392</v>
      </c>
      <c r="B137" s="93" t="s">
        <v>468</v>
      </c>
      <c r="C137" s="78">
        <v>1</v>
      </c>
      <c r="F137" s="78">
        <v>2</v>
      </c>
      <c r="G137" s="93">
        <v>6</v>
      </c>
      <c r="H137" s="93">
        <v>100393</v>
      </c>
      <c r="I137" s="78">
        <v>633</v>
      </c>
      <c r="J137" s="78">
        <v>603</v>
      </c>
      <c r="K137" s="78">
        <v>64</v>
      </c>
      <c r="L137" s="78">
        <v>15000</v>
      </c>
      <c r="M137" s="78">
        <v>100</v>
      </c>
      <c r="N137" s="78">
        <v>100</v>
      </c>
      <c r="O137" s="78">
        <v>100</v>
      </c>
      <c r="P137" s="78"/>
      <c r="Q137" s="78"/>
      <c r="R137" s="93">
        <v>510391</v>
      </c>
      <c r="T137" s="93">
        <v>510391</v>
      </c>
      <c r="U137" s="93">
        <v>200</v>
      </c>
      <c r="V137" s="93">
        <v>1</v>
      </c>
      <c r="W137" s="93" t="s">
        <v>5138</v>
      </c>
    </row>
    <row r="138" spans="1:23">
      <c r="A138" s="93">
        <v>100393</v>
      </c>
      <c r="B138" s="93" t="s">
        <v>468</v>
      </c>
      <c r="C138" s="78">
        <v>1</v>
      </c>
      <c r="F138" s="78">
        <v>2</v>
      </c>
      <c r="G138" s="93">
        <v>7</v>
      </c>
      <c r="I138" s="78">
        <v>676</v>
      </c>
      <c r="J138" s="78">
        <v>651</v>
      </c>
      <c r="K138" s="78">
        <v>75</v>
      </c>
      <c r="L138" s="78">
        <v>21000</v>
      </c>
      <c r="M138" s="78">
        <v>100</v>
      </c>
      <c r="N138" s="78">
        <v>100</v>
      </c>
      <c r="O138" s="78">
        <v>100</v>
      </c>
      <c r="P138" s="78"/>
      <c r="Q138" s="78"/>
      <c r="R138" s="93">
        <v>510391</v>
      </c>
      <c r="T138" s="93">
        <v>510391</v>
      </c>
      <c r="U138" s="93">
        <v>400</v>
      </c>
      <c r="V138" s="93">
        <v>1</v>
      </c>
      <c r="W138" s="93" t="s">
        <v>5138</v>
      </c>
    </row>
    <row r="139" spans="1:23">
      <c r="A139" s="93">
        <v>100401</v>
      </c>
      <c r="B139" s="93" t="s">
        <v>473</v>
      </c>
      <c r="C139" s="78">
        <v>1</v>
      </c>
      <c r="F139" s="78">
        <v>2</v>
      </c>
      <c r="G139" s="93">
        <v>5</v>
      </c>
      <c r="H139" s="93">
        <v>100402</v>
      </c>
      <c r="I139" s="78">
        <v>574</v>
      </c>
      <c r="J139" s="78">
        <v>536</v>
      </c>
      <c r="K139" s="78">
        <v>51</v>
      </c>
      <c r="L139" s="78">
        <v>10500</v>
      </c>
      <c r="M139" s="78">
        <v>100</v>
      </c>
      <c r="N139" s="78">
        <v>100</v>
      </c>
      <c r="O139" s="78">
        <v>100</v>
      </c>
      <c r="P139" s="78"/>
      <c r="Q139" s="78"/>
      <c r="R139" s="93">
        <v>510401</v>
      </c>
      <c r="T139" s="93">
        <v>510401</v>
      </c>
      <c r="U139" s="93">
        <v>100</v>
      </c>
      <c r="V139" s="93">
        <v>1</v>
      </c>
    </row>
    <row r="140" spans="1:23">
      <c r="A140" s="93">
        <v>100402</v>
      </c>
      <c r="B140" s="93" t="s">
        <v>473</v>
      </c>
      <c r="C140" s="78">
        <v>1</v>
      </c>
      <c r="F140" s="78">
        <v>2</v>
      </c>
      <c r="G140" s="93">
        <v>6</v>
      </c>
      <c r="H140" s="93">
        <v>100403</v>
      </c>
      <c r="I140" s="78">
        <v>620</v>
      </c>
      <c r="J140" s="78">
        <v>588</v>
      </c>
      <c r="K140" s="78">
        <v>62</v>
      </c>
      <c r="L140" s="78">
        <v>15000</v>
      </c>
      <c r="M140" s="78">
        <v>100</v>
      </c>
      <c r="N140" s="78">
        <v>100</v>
      </c>
      <c r="O140" s="78">
        <v>100</v>
      </c>
      <c r="P140" s="78"/>
      <c r="Q140" s="78"/>
      <c r="R140" s="93">
        <v>510401</v>
      </c>
      <c r="T140" s="93">
        <v>510401</v>
      </c>
      <c r="U140" s="93">
        <v>200</v>
      </c>
      <c r="V140" s="93">
        <v>1</v>
      </c>
    </row>
    <row r="141" spans="1:23">
      <c r="A141" s="93">
        <v>100403</v>
      </c>
      <c r="B141" s="93" t="s">
        <v>473</v>
      </c>
      <c r="C141" s="78">
        <v>1</v>
      </c>
      <c r="F141" s="78">
        <v>2</v>
      </c>
      <c r="G141" s="93">
        <v>7</v>
      </c>
      <c r="I141" s="78">
        <v>668</v>
      </c>
      <c r="J141" s="78">
        <v>642</v>
      </c>
      <c r="K141" s="78">
        <v>72</v>
      </c>
      <c r="L141" s="78">
        <v>21000</v>
      </c>
      <c r="M141" s="78">
        <v>100</v>
      </c>
      <c r="N141" s="78">
        <v>100</v>
      </c>
      <c r="O141" s="78">
        <v>100</v>
      </c>
      <c r="P141" s="78"/>
      <c r="Q141" s="78"/>
      <c r="R141" s="93">
        <v>510401</v>
      </c>
      <c r="T141" s="93">
        <v>510401</v>
      </c>
      <c r="U141" s="93">
        <v>400</v>
      </c>
      <c r="V141" s="93">
        <v>1</v>
      </c>
    </row>
    <row r="142" spans="1:23">
      <c r="A142" s="93">
        <v>100411</v>
      </c>
      <c r="B142" s="93" t="s">
        <v>478</v>
      </c>
      <c r="C142" s="78">
        <v>1</v>
      </c>
      <c r="F142" s="78">
        <v>2</v>
      </c>
      <c r="G142" s="93">
        <v>5</v>
      </c>
      <c r="H142" s="93">
        <v>100412</v>
      </c>
      <c r="I142" s="78">
        <v>539</v>
      </c>
      <c r="J142" s="78">
        <v>568</v>
      </c>
      <c r="K142" s="78">
        <v>54</v>
      </c>
      <c r="L142" s="78">
        <v>10500</v>
      </c>
      <c r="M142" s="78">
        <v>100</v>
      </c>
      <c r="N142" s="78">
        <v>100</v>
      </c>
      <c r="O142" s="78">
        <v>100</v>
      </c>
      <c r="P142" s="78"/>
      <c r="Q142" s="78"/>
      <c r="R142" s="93">
        <v>510411</v>
      </c>
      <c r="T142" s="93">
        <v>510411</v>
      </c>
      <c r="U142" s="93">
        <v>100</v>
      </c>
      <c r="V142" s="93">
        <v>2</v>
      </c>
    </row>
    <row r="143" spans="1:23">
      <c r="A143" s="93">
        <v>100412</v>
      </c>
      <c r="B143" s="93" t="s">
        <v>478</v>
      </c>
      <c r="C143" s="78">
        <v>1</v>
      </c>
      <c r="F143" s="78">
        <v>2</v>
      </c>
      <c r="G143" s="93">
        <v>6</v>
      </c>
      <c r="H143" s="93">
        <v>100413</v>
      </c>
      <c r="I143" s="78">
        <v>591</v>
      </c>
      <c r="J143" s="78">
        <v>619</v>
      </c>
      <c r="K143" s="78">
        <v>64</v>
      </c>
      <c r="L143" s="78">
        <v>15000</v>
      </c>
      <c r="M143" s="78">
        <v>100</v>
      </c>
      <c r="N143" s="78">
        <v>100</v>
      </c>
      <c r="O143" s="78">
        <v>100</v>
      </c>
      <c r="P143" s="78"/>
      <c r="Q143" s="78"/>
      <c r="R143" s="93">
        <v>510411</v>
      </c>
      <c r="T143" s="93">
        <v>510411</v>
      </c>
      <c r="U143" s="93">
        <v>200</v>
      </c>
      <c r="V143" s="93">
        <v>2</v>
      </c>
    </row>
    <row r="144" spans="1:23">
      <c r="A144" s="93">
        <v>100413</v>
      </c>
      <c r="B144" s="93" t="s">
        <v>478</v>
      </c>
      <c r="C144" s="78">
        <v>1</v>
      </c>
      <c r="F144" s="78">
        <v>2</v>
      </c>
      <c r="G144" s="93">
        <v>7</v>
      </c>
      <c r="I144" s="78">
        <v>644</v>
      </c>
      <c r="J144" s="78">
        <v>671</v>
      </c>
      <c r="K144" s="78">
        <v>74</v>
      </c>
      <c r="L144" s="78">
        <v>21000</v>
      </c>
      <c r="M144" s="78">
        <v>100</v>
      </c>
      <c r="N144" s="78">
        <v>100</v>
      </c>
      <c r="O144" s="78">
        <v>100</v>
      </c>
      <c r="P144" s="78"/>
      <c r="Q144" s="78"/>
      <c r="R144" s="93">
        <v>510411</v>
      </c>
      <c r="T144" s="93">
        <v>510411</v>
      </c>
      <c r="U144" s="93">
        <v>400</v>
      </c>
      <c r="V144" s="93">
        <v>2</v>
      </c>
    </row>
    <row r="145" spans="1:22">
      <c r="A145" s="93">
        <v>100414</v>
      </c>
      <c r="B145" s="93" t="s">
        <v>478</v>
      </c>
      <c r="C145" s="78">
        <v>1</v>
      </c>
      <c r="F145" s="78">
        <v>2</v>
      </c>
      <c r="G145" s="93">
        <v>4</v>
      </c>
      <c r="H145" s="93">
        <v>100411</v>
      </c>
      <c r="I145" s="78">
        <v>499</v>
      </c>
      <c r="J145" s="78">
        <v>525</v>
      </c>
      <c r="K145" s="78">
        <v>43</v>
      </c>
      <c r="L145" s="78">
        <v>6000</v>
      </c>
      <c r="M145" s="78">
        <v>100</v>
      </c>
      <c r="N145" s="78">
        <v>100</v>
      </c>
      <c r="O145" s="78">
        <v>100</v>
      </c>
      <c r="P145" s="78"/>
      <c r="Q145" s="78"/>
      <c r="R145" s="93">
        <v>510411</v>
      </c>
      <c r="T145" s="93">
        <v>510411</v>
      </c>
      <c r="U145" s="93">
        <v>20</v>
      </c>
      <c r="V145" s="93">
        <v>2</v>
      </c>
    </row>
    <row r="146" spans="1:22">
      <c r="A146" s="93">
        <v>100421</v>
      </c>
      <c r="B146" s="93" t="s">
        <v>484</v>
      </c>
      <c r="C146" s="78">
        <v>1</v>
      </c>
      <c r="F146" s="78">
        <v>2</v>
      </c>
      <c r="G146" s="93">
        <v>5</v>
      </c>
      <c r="H146" s="93">
        <v>100422</v>
      </c>
      <c r="I146" s="78">
        <v>561</v>
      </c>
      <c r="J146" s="78">
        <v>550</v>
      </c>
      <c r="K146" s="78">
        <v>51</v>
      </c>
      <c r="L146" s="78">
        <v>10500</v>
      </c>
      <c r="M146" s="78">
        <v>100</v>
      </c>
      <c r="N146" s="78">
        <v>100</v>
      </c>
      <c r="O146" s="78">
        <v>100</v>
      </c>
      <c r="P146" s="78"/>
      <c r="Q146" s="78"/>
      <c r="R146" s="93">
        <v>510421</v>
      </c>
      <c r="T146" s="93">
        <v>510421</v>
      </c>
      <c r="U146" s="93">
        <v>100</v>
      </c>
      <c r="V146" s="93">
        <v>1</v>
      </c>
    </row>
    <row r="147" spans="1:22">
      <c r="A147" s="93">
        <v>100422</v>
      </c>
      <c r="B147" s="93" t="s">
        <v>484</v>
      </c>
      <c r="C147" s="78">
        <v>1</v>
      </c>
      <c r="F147" s="78">
        <v>2</v>
      </c>
      <c r="G147" s="93">
        <v>6</v>
      </c>
      <c r="H147" s="93">
        <v>100423</v>
      </c>
      <c r="I147" s="78">
        <v>608</v>
      </c>
      <c r="J147" s="78">
        <v>597</v>
      </c>
      <c r="K147" s="78">
        <v>63</v>
      </c>
      <c r="L147" s="78">
        <v>15000</v>
      </c>
      <c r="M147" s="78">
        <v>100</v>
      </c>
      <c r="N147" s="78">
        <v>100</v>
      </c>
      <c r="O147" s="78">
        <v>100</v>
      </c>
      <c r="P147" s="78"/>
      <c r="Q147" s="78"/>
      <c r="R147" s="93">
        <v>510421</v>
      </c>
      <c r="T147" s="93">
        <v>510421</v>
      </c>
      <c r="U147" s="93">
        <v>200</v>
      </c>
      <c r="V147" s="93">
        <v>1</v>
      </c>
    </row>
    <row r="148" spans="1:22">
      <c r="A148" s="93">
        <v>100423</v>
      </c>
      <c r="B148" s="93" t="s">
        <v>484</v>
      </c>
      <c r="C148" s="78">
        <v>1</v>
      </c>
      <c r="F148" s="78">
        <v>2</v>
      </c>
      <c r="G148" s="93">
        <v>7</v>
      </c>
      <c r="I148" s="78">
        <v>661</v>
      </c>
      <c r="J148" s="78">
        <v>651</v>
      </c>
      <c r="K148" s="78">
        <v>74</v>
      </c>
      <c r="L148" s="78">
        <v>21000</v>
      </c>
      <c r="M148" s="78">
        <v>100</v>
      </c>
      <c r="N148" s="78">
        <v>100</v>
      </c>
      <c r="O148" s="78">
        <v>100</v>
      </c>
      <c r="P148" s="78"/>
      <c r="Q148" s="78"/>
      <c r="R148" s="93">
        <v>510421</v>
      </c>
      <c r="T148" s="93">
        <v>510421</v>
      </c>
      <c r="U148" s="93">
        <v>400</v>
      </c>
      <c r="V148" s="93">
        <v>1</v>
      </c>
    </row>
    <row r="149" spans="1:22">
      <c r="A149" s="93">
        <v>100431</v>
      </c>
      <c r="B149" s="93" t="s">
        <v>489</v>
      </c>
      <c r="C149" s="78">
        <v>1</v>
      </c>
      <c r="F149" s="78">
        <v>2</v>
      </c>
      <c r="G149" s="93">
        <v>5</v>
      </c>
      <c r="H149" s="93">
        <v>100432</v>
      </c>
      <c r="I149" s="78">
        <v>548</v>
      </c>
      <c r="J149" s="78">
        <v>575</v>
      </c>
      <c r="K149" s="78">
        <v>54</v>
      </c>
      <c r="L149" s="78">
        <v>10500</v>
      </c>
      <c r="M149" s="78">
        <v>100</v>
      </c>
      <c r="N149" s="78">
        <v>100</v>
      </c>
      <c r="O149" s="78">
        <v>100</v>
      </c>
      <c r="P149" s="78"/>
      <c r="Q149" s="78"/>
      <c r="R149" s="93">
        <v>510431</v>
      </c>
      <c r="T149" s="93">
        <v>510431</v>
      </c>
      <c r="U149" s="93">
        <v>100</v>
      </c>
      <c r="V149" s="93">
        <v>2</v>
      </c>
    </row>
    <row r="150" spans="1:22">
      <c r="A150" s="93">
        <v>100432</v>
      </c>
      <c r="B150" s="93" t="s">
        <v>489</v>
      </c>
      <c r="C150" s="78">
        <v>1</v>
      </c>
      <c r="F150" s="78">
        <v>2</v>
      </c>
      <c r="G150" s="93">
        <v>6</v>
      </c>
      <c r="H150" s="93">
        <v>100433</v>
      </c>
      <c r="I150" s="78">
        <v>594</v>
      </c>
      <c r="J150" s="78">
        <v>623</v>
      </c>
      <c r="K150" s="78">
        <v>64</v>
      </c>
      <c r="L150" s="78">
        <v>15000</v>
      </c>
      <c r="M150" s="78">
        <v>100</v>
      </c>
      <c r="N150" s="78">
        <v>100</v>
      </c>
      <c r="O150" s="78">
        <v>100</v>
      </c>
      <c r="P150" s="78"/>
      <c r="Q150" s="78"/>
      <c r="R150" s="93">
        <v>510431</v>
      </c>
      <c r="T150" s="93">
        <v>510431</v>
      </c>
      <c r="U150" s="93">
        <v>200</v>
      </c>
      <c r="V150" s="93">
        <v>2</v>
      </c>
    </row>
    <row r="151" spans="1:22">
      <c r="A151" s="93">
        <v>100433</v>
      </c>
      <c r="B151" s="93" t="s">
        <v>489</v>
      </c>
      <c r="C151" s="78">
        <v>1</v>
      </c>
      <c r="F151" s="78">
        <v>2</v>
      </c>
      <c r="G151" s="93">
        <v>7</v>
      </c>
      <c r="I151" s="78">
        <v>643</v>
      </c>
      <c r="J151" s="78">
        <v>672</v>
      </c>
      <c r="K151" s="78">
        <v>74</v>
      </c>
      <c r="L151" s="78">
        <v>21000</v>
      </c>
      <c r="M151" s="78">
        <v>100</v>
      </c>
      <c r="N151" s="78">
        <v>100</v>
      </c>
      <c r="O151" s="78">
        <v>100</v>
      </c>
      <c r="P151" s="78"/>
      <c r="Q151" s="78"/>
      <c r="R151" s="93">
        <v>510431</v>
      </c>
      <c r="T151" s="93">
        <v>510431</v>
      </c>
      <c r="U151" s="93">
        <v>400</v>
      </c>
      <c r="V151" s="93">
        <v>2</v>
      </c>
    </row>
    <row r="152" spans="1:22">
      <c r="A152" s="93">
        <v>100434</v>
      </c>
      <c r="B152" s="93" t="s">
        <v>489</v>
      </c>
      <c r="C152" s="78">
        <v>1</v>
      </c>
      <c r="F152" s="78">
        <v>2</v>
      </c>
      <c r="G152" s="93">
        <v>4</v>
      </c>
      <c r="H152" s="93">
        <v>100431</v>
      </c>
      <c r="I152" s="78">
        <v>500</v>
      </c>
      <c r="J152" s="78">
        <v>530</v>
      </c>
      <c r="K152" s="78">
        <v>43</v>
      </c>
      <c r="L152" s="78">
        <v>6000</v>
      </c>
      <c r="M152" s="78">
        <v>100</v>
      </c>
      <c r="N152" s="78">
        <v>100</v>
      </c>
      <c r="O152" s="78">
        <v>100</v>
      </c>
      <c r="P152" s="78"/>
      <c r="Q152" s="78"/>
      <c r="R152" s="93">
        <v>510431</v>
      </c>
      <c r="T152" s="93">
        <v>510431</v>
      </c>
      <c r="U152" s="93">
        <v>20</v>
      </c>
      <c r="V152" s="93">
        <v>2</v>
      </c>
    </row>
    <row r="153" spans="1:22">
      <c r="A153" s="93">
        <v>100441</v>
      </c>
      <c r="B153" s="93" t="s">
        <v>495</v>
      </c>
      <c r="C153" s="78">
        <v>1</v>
      </c>
      <c r="F153" s="78">
        <v>2</v>
      </c>
      <c r="G153" s="93">
        <v>5</v>
      </c>
      <c r="H153" s="93">
        <v>100442</v>
      </c>
      <c r="I153" s="78">
        <v>542</v>
      </c>
      <c r="J153" s="78">
        <v>580</v>
      </c>
      <c r="K153" s="78">
        <v>54</v>
      </c>
      <c r="L153" s="78">
        <v>10500</v>
      </c>
      <c r="M153" s="78">
        <v>100</v>
      </c>
      <c r="N153" s="78">
        <v>100</v>
      </c>
      <c r="O153" s="78">
        <v>100</v>
      </c>
      <c r="P153" s="78"/>
      <c r="Q153" s="78"/>
      <c r="R153" s="93">
        <v>510441</v>
      </c>
      <c r="T153" s="93">
        <v>510441</v>
      </c>
      <c r="U153" s="93">
        <v>100</v>
      </c>
      <c r="V153" s="93">
        <v>2</v>
      </c>
    </row>
    <row r="154" spans="1:22">
      <c r="A154" s="93">
        <v>100442</v>
      </c>
      <c r="B154" s="93" t="s">
        <v>495</v>
      </c>
      <c r="C154" s="78">
        <v>1</v>
      </c>
      <c r="F154" s="78">
        <v>2</v>
      </c>
      <c r="G154" s="93">
        <v>6</v>
      </c>
      <c r="H154" s="93">
        <v>100443</v>
      </c>
      <c r="I154" s="78">
        <v>592</v>
      </c>
      <c r="J154" s="78">
        <v>625</v>
      </c>
      <c r="K154" s="78">
        <v>64</v>
      </c>
      <c r="L154" s="78">
        <v>15000</v>
      </c>
      <c r="M154" s="78">
        <v>100</v>
      </c>
      <c r="N154" s="78">
        <v>100</v>
      </c>
      <c r="O154" s="78">
        <v>100</v>
      </c>
      <c r="P154" s="78"/>
      <c r="Q154" s="78"/>
      <c r="R154" s="93">
        <v>510441</v>
      </c>
      <c r="T154" s="93">
        <v>510441</v>
      </c>
      <c r="U154" s="93">
        <v>200</v>
      </c>
      <c r="V154" s="93">
        <v>2</v>
      </c>
    </row>
    <row r="155" spans="1:22">
      <c r="A155" s="93">
        <v>100443</v>
      </c>
      <c r="B155" s="93" t="s">
        <v>495</v>
      </c>
      <c r="C155" s="78">
        <v>1</v>
      </c>
      <c r="F155" s="78">
        <v>2</v>
      </c>
      <c r="G155" s="93">
        <v>7</v>
      </c>
      <c r="I155" s="78">
        <v>642</v>
      </c>
      <c r="J155" s="78">
        <v>670</v>
      </c>
      <c r="K155" s="78">
        <v>74</v>
      </c>
      <c r="L155" s="78">
        <v>21000</v>
      </c>
      <c r="M155" s="78">
        <v>100</v>
      </c>
      <c r="N155" s="78">
        <v>100</v>
      </c>
      <c r="O155" s="78">
        <v>100</v>
      </c>
      <c r="P155" s="78"/>
      <c r="Q155" s="78"/>
      <c r="R155" s="93">
        <v>510441</v>
      </c>
      <c r="T155" s="93">
        <v>510441</v>
      </c>
      <c r="U155" s="93">
        <v>400</v>
      </c>
      <c r="V155" s="93">
        <v>2</v>
      </c>
    </row>
    <row r="156" spans="1:22">
      <c r="A156" s="93">
        <v>100444</v>
      </c>
      <c r="B156" s="93" t="s">
        <v>495</v>
      </c>
      <c r="C156" s="78">
        <v>1</v>
      </c>
      <c r="F156" s="78">
        <v>2</v>
      </c>
      <c r="G156" s="93">
        <v>4</v>
      </c>
      <c r="H156" s="93">
        <v>100441</v>
      </c>
      <c r="I156" s="78">
        <v>496</v>
      </c>
      <c r="J156" s="78">
        <v>536</v>
      </c>
      <c r="K156" s="78">
        <v>44</v>
      </c>
      <c r="L156" s="78">
        <v>6000</v>
      </c>
      <c r="M156" s="78">
        <v>100</v>
      </c>
      <c r="N156" s="78">
        <v>100</v>
      </c>
      <c r="O156" s="78">
        <v>100</v>
      </c>
      <c r="P156" s="78"/>
      <c r="Q156" s="78"/>
      <c r="R156" s="93">
        <v>510441</v>
      </c>
      <c r="T156" s="93">
        <v>510441</v>
      </c>
      <c r="U156" s="93">
        <v>20</v>
      </c>
      <c r="V156" s="93">
        <v>2</v>
      </c>
    </row>
    <row r="157" spans="1:22">
      <c r="A157" s="93">
        <v>100451</v>
      </c>
      <c r="B157" s="93" t="s">
        <v>501</v>
      </c>
      <c r="C157" s="78">
        <v>1</v>
      </c>
      <c r="F157" s="78">
        <v>2</v>
      </c>
      <c r="G157" s="93">
        <v>5</v>
      </c>
      <c r="H157" s="93">
        <v>100452</v>
      </c>
      <c r="I157" s="78">
        <v>546</v>
      </c>
      <c r="J157" s="78">
        <v>576</v>
      </c>
      <c r="K157" s="78">
        <v>56</v>
      </c>
      <c r="L157" s="78">
        <v>10500</v>
      </c>
      <c r="M157" s="78">
        <v>100</v>
      </c>
      <c r="N157" s="78">
        <v>100</v>
      </c>
      <c r="O157" s="78">
        <v>100</v>
      </c>
      <c r="P157" s="78"/>
      <c r="Q157" s="78"/>
      <c r="R157" s="93">
        <v>510451</v>
      </c>
      <c r="T157" s="93">
        <v>510451</v>
      </c>
      <c r="U157" s="93">
        <v>100</v>
      </c>
      <c r="V157" s="93">
        <v>2</v>
      </c>
    </row>
    <row r="158" spans="1:22">
      <c r="A158" s="93">
        <v>100452</v>
      </c>
      <c r="B158" s="93" t="s">
        <v>501</v>
      </c>
      <c r="C158" s="78">
        <v>1</v>
      </c>
      <c r="F158" s="78">
        <v>2</v>
      </c>
      <c r="G158" s="93">
        <v>6</v>
      </c>
      <c r="H158" s="93">
        <v>100453</v>
      </c>
      <c r="I158" s="78">
        <v>601</v>
      </c>
      <c r="J158" s="78">
        <v>636</v>
      </c>
      <c r="K158" s="78">
        <v>66</v>
      </c>
      <c r="L158" s="78">
        <v>15000</v>
      </c>
      <c r="M158" s="78">
        <v>100</v>
      </c>
      <c r="N158" s="78">
        <v>100</v>
      </c>
      <c r="O158" s="78">
        <v>100</v>
      </c>
      <c r="P158" s="78"/>
      <c r="Q158" s="78"/>
      <c r="R158" s="93">
        <v>510451</v>
      </c>
      <c r="T158" s="93">
        <v>510451</v>
      </c>
      <c r="U158" s="93">
        <v>200</v>
      </c>
      <c r="V158" s="93">
        <v>2</v>
      </c>
    </row>
    <row r="159" spans="1:22">
      <c r="A159" s="93">
        <v>100453</v>
      </c>
      <c r="B159" s="93" t="s">
        <v>501</v>
      </c>
      <c r="C159" s="78">
        <v>1</v>
      </c>
      <c r="F159" s="78">
        <v>2</v>
      </c>
      <c r="G159" s="93">
        <v>7</v>
      </c>
      <c r="I159" s="78">
        <v>656</v>
      </c>
      <c r="J159" s="78">
        <v>696</v>
      </c>
      <c r="K159" s="78">
        <v>76</v>
      </c>
      <c r="L159" s="78">
        <v>21000</v>
      </c>
      <c r="M159" s="78">
        <v>100</v>
      </c>
      <c r="N159" s="78">
        <v>100</v>
      </c>
      <c r="O159" s="78">
        <v>100</v>
      </c>
      <c r="P159" s="78"/>
      <c r="Q159" s="78"/>
      <c r="R159" s="93">
        <v>510451</v>
      </c>
      <c r="T159" s="93">
        <v>510451</v>
      </c>
      <c r="U159" s="93">
        <v>400</v>
      </c>
      <c r="V159" s="93">
        <v>2</v>
      </c>
    </row>
    <row r="160" spans="1:22">
      <c r="A160" s="93">
        <v>100461</v>
      </c>
      <c r="B160" s="93" t="s">
        <v>506</v>
      </c>
      <c r="C160" s="78">
        <v>1</v>
      </c>
      <c r="F160" s="78">
        <v>2</v>
      </c>
      <c r="G160" s="93">
        <v>5</v>
      </c>
      <c r="H160" s="93">
        <v>100462</v>
      </c>
      <c r="I160" s="78">
        <v>556</v>
      </c>
      <c r="J160" s="78">
        <v>552</v>
      </c>
      <c r="K160" s="78">
        <v>61</v>
      </c>
      <c r="L160" s="78">
        <v>10500</v>
      </c>
      <c r="M160" s="78">
        <v>100</v>
      </c>
      <c r="N160" s="78">
        <v>100</v>
      </c>
      <c r="O160" s="78">
        <v>100</v>
      </c>
      <c r="P160" s="78"/>
      <c r="Q160" s="78"/>
      <c r="R160" s="93">
        <v>510461</v>
      </c>
      <c r="T160" s="93">
        <v>510461</v>
      </c>
      <c r="U160" s="93">
        <v>100</v>
      </c>
      <c r="V160" s="93">
        <v>3</v>
      </c>
    </row>
    <row r="161" spans="1:22">
      <c r="A161" s="93">
        <v>100462</v>
      </c>
      <c r="B161" s="93" t="s">
        <v>506</v>
      </c>
      <c r="C161" s="78">
        <v>1</v>
      </c>
      <c r="F161" s="78">
        <v>2</v>
      </c>
      <c r="G161" s="93">
        <v>6</v>
      </c>
      <c r="H161" s="93">
        <v>100463</v>
      </c>
      <c r="I161" s="78">
        <v>601</v>
      </c>
      <c r="J161" s="78">
        <v>594</v>
      </c>
      <c r="K161" s="78">
        <v>72</v>
      </c>
      <c r="L161" s="78">
        <v>15000</v>
      </c>
      <c r="M161" s="78">
        <v>100</v>
      </c>
      <c r="N161" s="78">
        <v>100</v>
      </c>
      <c r="O161" s="78">
        <v>100</v>
      </c>
      <c r="P161" s="78"/>
      <c r="Q161" s="78"/>
      <c r="R161" s="93">
        <v>510461</v>
      </c>
      <c r="T161" s="93">
        <v>510461</v>
      </c>
      <c r="U161" s="93">
        <v>200</v>
      </c>
      <c r="V161" s="93">
        <v>3</v>
      </c>
    </row>
    <row r="162" spans="1:22">
      <c r="A162" s="93">
        <v>100463</v>
      </c>
      <c r="B162" s="93" t="s">
        <v>506</v>
      </c>
      <c r="C162" s="78">
        <v>1</v>
      </c>
      <c r="F162" s="78">
        <v>2</v>
      </c>
      <c r="G162" s="93">
        <v>7</v>
      </c>
      <c r="I162" s="78">
        <v>646</v>
      </c>
      <c r="J162" s="78">
        <v>640</v>
      </c>
      <c r="K162" s="78">
        <v>82</v>
      </c>
      <c r="L162" s="78">
        <v>21000</v>
      </c>
      <c r="M162" s="78">
        <v>100</v>
      </c>
      <c r="N162" s="78">
        <v>100</v>
      </c>
      <c r="O162" s="78">
        <v>100</v>
      </c>
      <c r="P162" s="78"/>
      <c r="Q162" s="78"/>
      <c r="R162" s="93">
        <v>510461</v>
      </c>
      <c r="T162" s="93">
        <v>510461</v>
      </c>
      <c r="U162" s="93">
        <v>400</v>
      </c>
      <c r="V162" s="93">
        <v>3</v>
      </c>
    </row>
    <row r="163" spans="1:22">
      <c r="A163" s="98">
        <v>100511</v>
      </c>
      <c r="B163" s="93" t="s">
        <v>511</v>
      </c>
      <c r="C163" s="78">
        <v>1</v>
      </c>
      <c r="D163" s="78"/>
      <c r="E163" s="78"/>
      <c r="F163" s="78">
        <f t="shared" ref="F163" si="8">IF(G163&gt;3,2,1)</f>
        <v>2</v>
      </c>
      <c r="G163" s="93">
        <v>4</v>
      </c>
      <c r="H163" s="78">
        <v>0</v>
      </c>
      <c r="I163" s="78">
        <v>517</v>
      </c>
      <c r="J163" s="78">
        <v>478</v>
      </c>
      <c r="K163" s="78">
        <v>46</v>
      </c>
      <c r="L163" s="78">
        <v>6000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93">
        <v>510001</v>
      </c>
      <c r="T163" s="93">
        <v>510001</v>
      </c>
      <c r="U163" s="78">
        <v>20</v>
      </c>
      <c r="V163" s="98">
        <v>1</v>
      </c>
    </row>
    <row r="164" spans="1:22">
      <c r="A164" s="98">
        <v>100521</v>
      </c>
      <c r="B164" s="93" t="s">
        <v>513</v>
      </c>
      <c r="C164" s="78">
        <v>1</v>
      </c>
      <c r="D164" s="78"/>
      <c r="E164" s="78"/>
      <c r="F164" s="78">
        <f t="shared" ref="F164:F364" si="9">IF(G164&gt;3,2,1)</f>
        <v>2</v>
      </c>
      <c r="G164" s="93">
        <v>4</v>
      </c>
      <c r="H164" s="78">
        <v>0</v>
      </c>
      <c r="I164" s="78">
        <v>525</v>
      </c>
      <c r="J164" s="78">
        <v>480</v>
      </c>
      <c r="K164" s="78">
        <v>48</v>
      </c>
      <c r="L164" s="78">
        <v>6000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93">
        <v>510001</v>
      </c>
      <c r="T164" s="93">
        <v>510001</v>
      </c>
      <c r="U164" s="78">
        <v>20</v>
      </c>
      <c r="V164" s="98">
        <v>1</v>
      </c>
    </row>
    <row r="165" spans="1:22">
      <c r="A165" s="98">
        <v>100531</v>
      </c>
      <c r="B165" s="93" t="s">
        <v>515</v>
      </c>
      <c r="C165" s="78">
        <v>1</v>
      </c>
      <c r="D165" s="78"/>
      <c r="E165" s="78"/>
      <c r="F165" s="78">
        <f t="shared" si="9"/>
        <v>2</v>
      </c>
      <c r="G165" s="93">
        <v>4</v>
      </c>
      <c r="H165" s="78">
        <v>0</v>
      </c>
      <c r="I165" s="78">
        <v>525</v>
      </c>
      <c r="J165" s="78">
        <v>485</v>
      </c>
      <c r="K165" s="78">
        <v>47</v>
      </c>
      <c r="L165" s="78">
        <v>6000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93">
        <v>510001</v>
      </c>
      <c r="T165" s="93">
        <v>510001</v>
      </c>
      <c r="U165" s="78">
        <v>20</v>
      </c>
      <c r="V165" s="98">
        <v>1</v>
      </c>
    </row>
    <row r="166" spans="1:22">
      <c r="A166" s="93">
        <v>100541</v>
      </c>
      <c r="B166" s="93" t="s">
        <v>517</v>
      </c>
      <c r="C166" s="78">
        <v>1</v>
      </c>
      <c r="D166" s="78"/>
      <c r="E166" s="78"/>
      <c r="F166" s="78">
        <f t="shared" si="9"/>
        <v>2</v>
      </c>
      <c r="G166" s="93">
        <v>4</v>
      </c>
      <c r="H166" s="78">
        <v>0</v>
      </c>
      <c r="I166" s="78">
        <v>487</v>
      </c>
      <c r="J166" s="78">
        <v>477</v>
      </c>
      <c r="K166" s="78">
        <v>54</v>
      </c>
      <c r="L166" s="78">
        <v>6000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93">
        <v>510001</v>
      </c>
      <c r="T166" s="93">
        <v>510001</v>
      </c>
      <c r="U166" s="78">
        <v>20</v>
      </c>
      <c r="V166" s="78">
        <v>3</v>
      </c>
    </row>
    <row r="167" spans="1:22">
      <c r="A167" s="93">
        <v>100551</v>
      </c>
      <c r="B167" s="93" t="s">
        <v>519</v>
      </c>
      <c r="C167" s="78">
        <v>1</v>
      </c>
      <c r="D167" s="78"/>
      <c r="E167" s="78"/>
      <c r="F167" s="78">
        <f t="shared" si="9"/>
        <v>2</v>
      </c>
      <c r="G167" s="93">
        <v>4</v>
      </c>
      <c r="H167" s="78">
        <v>0</v>
      </c>
      <c r="I167" s="78">
        <v>530</v>
      </c>
      <c r="J167" s="78">
        <v>467</v>
      </c>
      <c r="K167" s="78">
        <v>42</v>
      </c>
      <c r="L167" s="78">
        <v>6000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93">
        <v>510001</v>
      </c>
      <c r="T167" s="93">
        <v>510001</v>
      </c>
      <c r="U167" s="78">
        <v>20</v>
      </c>
      <c r="V167" s="78">
        <v>1</v>
      </c>
    </row>
    <row r="168" spans="1:22">
      <c r="A168" s="93">
        <v>100561</v>
      </c>
      <c r="B168" s="93" t="s">
        <v>521</v>
      </c>
      <c r="C168" s="78">
        <v>1</v>
      </c>
      <c r="D168" s="78"/>
      <c r="E168" s="78"/>
      <c r="F168" s="78">
        <f t="shared" si="9"/>
        <v>2</v>
      </c>
      <c r="G168" s="93">
        <v>4</v>
      </c>
      <c r="H168" s="78">
        <v>0</v>
      </c>
      <c r="I168" s="78">
        <v>480</v>
      </c>
      <c r="J168" s="78">
        <v>490</v>
      </c>
      <c r="K168" s="78">
        <v>56</v>
      </c>
      <c r="L168" s="78">
        <v>6000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93">
        <v>510001</v>
      </c>
      <c r="T168" s="93">
        <v>510001</v>
      </c>
      <c r="U168" s="78">
        <v>20</v>
      </c>
      <c r="V168" s="78">
        <v>3</v>
      </c>
    </row>
    <row r="169" spans="1:22">
      <c r="A169" s="93">
        <v>100571</v>
      </c>
      <c r="B169" s="93" t="s">
        <v>523</v>
      </c>
      <c r="C169" s="78">
        <v>1</v>
      </c>
      <c r="D169" s="78"/>
      <c r="E169" s="78"/>
      <c r="F169" s="78">
        <f t="shared" si="9"/>
        <v>2</v>
      </c>
      <c r="G169" s="93">
        <v>4</v>
      </c>
      <c r="H169" s="78">
        <v>0</v>
      </c>
      <c r="I169" s="78">
        <v>480</v>
      </c>
      <c r="J169" s="78">
        <v>482</v>
      </c>
      <c r="K169" s="78">
        <v>54</v>
      </c>
      <c r="L169" s="78">
        <v>6000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93">
        <v>510001</v>
      </c>
      <c r="T169" s="93">
        <v>510001</v>
      </c>
      <c r="U169" s="78">
        <v>20</v>
      </c>
      <c r="V169" s="78">
        <v>3</v>
      </c>
    </row>
    <row r="170" spans="1:22">
      <c r="A170" s="93">
        <v>100581</v>
      </c>
      <c r="B170" s="93" t="s">
        <v>525</v>
      </c>
      <c r="C170" s="78">
        <v>1</v>
      </c>
      <c r="D170" s="78"/>
      <c r="E170" s="78"/>
      <c r="F170" s="78">
        <f t="shared" si="9"/>
        <v>2</v>
      </c>
      <c r="G170" s="93">
        <v>4</v>
      </c>
      <c r="H170" s="78">
        <v>0</v>
      </c>
      <c r="I170" s="78">
        <v>500</v>
      </c>
      <c r="J170" s="78">
        <v>470</v>
      </c>
      <c r="K170" s="78">
        <v>54</v>
      </c>
      <c r="L170" s="78">
        <v>6000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93">
        <v>510001</v>
      </c>
      <c r="T170" s="93">
        <v>510001</v>
      </c>
      <c r="U170" s="78">
        <v>20</v>
      </c>
      <c r="V170" s="78">
        <v>3</v>
      </c>
    </row>
    <row r="171" spans="1:22">
      <c r="A171" s="93">
        <v>100591</v>
      </c>
      <c r="B171" s="93" t="s">
        <v>527</v>
      </c>
      <c r="C171" s="78">
        <v>1</v>
      </c>
      <c r="D171" s="78"/>
      <c r="E171" s="78"/>
      <c r="F171" s="78">
        <f t="shared" si="9"/>
        <v>2</v>
      </c>
      <c r="G171" s="93">
        <v>4</v>
      </c>
      <c r="H171" s="78">
        <v>0</v>
      </c>
      <c r="I171" s="78">
        <v>481</v>
      </c>
      <c r="J171" s="78">
        <v>476</v>
      </c>
      <c r="K171" s="78">
        <v>53</v>
      </c>
      <c r="L171" s="78">
        <v>6000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93">
        <v>510001</v>
      </c>
      <c r="T171" s="93">
        <v>510001</v>
      </c>
      <c r="U171" s="78">
        <v>20</v>
      </c>
      <c r="V171" s="78">
        <v>3</v>
      </c>
    </row>
    <row r="172" spans="1:22">
      <c r="A172" s="93">
        <v>100601</v>
      </c>
      <c r="B172" s="93" t="s">
        <v>529</v>
      </c>
      <c r="C172" s="78">
        <v>1</v>
      </c>
      <c r="D172" s="78"/>
      <c r="E172" s="78"/>
      <c r="F172" s="78">
        <f t="shared" si="9"/>
        <v>2</v>
      </c>
      <c r="G172" s="93">
        <v>4</v>
      </c>
      <c r="H172" s="78">
        <v>0</v>
      </c>
      <c r="I172" s="78">
        <v>489</v>
      </c>
      <c r="J172" s="78">
        <v>491</v>
      </c>
      <c r="K172" s="78">
        <v>52</v>
      </c>
      <c r="L172" s="78">
        <v>6000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93">
        <v>510001</v>
      </c>
      <c r="T172" s="93">
        <v>510001</v>
      </c>
      <c r="U172" s="78">
        <v>20</v>
      </c>
      <c r="V172" s="93">
        <v>3</v>
      </c>
    </row>
    <row r="173" spans="1:22">
      <c r="A173" s="93">
        <v>100611</v>
      </c>
      <c r="B173" s="93" t="s">
        <v>531</v>
      </c>
      <c r="C173" s="78">
        <v>1</v>
      </c>
      <c r="D173" s="78"/>
      <c r="E173" s="78"/>
      <c r="F173" s="78">
        <f t="shared" si="9"/>
        <v>2</v>
      </c>
      <c r="G173" s="93">
        <v>4</v>
      </c>
      <c r="H173" s="78">
        <v>0</v>
      </c>
      <c r="I173" s="78">
        <v>522</v>
      </c>
      <c r="J173" s="78">
        <v>487</v>
      </c>
      <c r="K173" s="78">
        <v>44</v>
      </c>
      <c r="L173" s="78">
        <v>6000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93">
        <v>510001</v>
      </c>
      <c r="T173" s="93">
        <v>510001</v>
      </c>
      <c r="U173" s="78">
        <v>20</v>
      </c>
      <c r="V173" s="78">
        <v>1</v>
      </c>
    </row>
    <row r="174" spans="1:22">
      <c r="A174" s="93">
        <v>100621</v>
      </c>
      <c r="B174" s="93" t="s">
        <v>533</v>
      </c>
      <c r="C174" s="78">
        <v>1</v>
      </c>
      <c r="D174" s="78"/>
      <c r="E174" s="78"/>
      <c r="F174" s="78">
        <f t="shared" si="9"/>
        <v>2</v>
      </c>
      <c r="G174" s="93">
        <v>4</v>
      </c>
      <c r="H174" s="78">
        <v>0</v>
      </c>
      <c r="I174" s="78">
        <v>498</v>
      </c>
      <c r="J174" s="78">
        <v>470</v>
      </c>
      <c r="K174" s="78">
        <v>53</v>
      </c>
      <c r="L174" s="78">
        <v>6000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93">
        <v>510001</v>
      </c>
      <c r="T174" s="93">
        <v>510001</v>
      </c>
      <c r="U174" s="78">
        <v>20</v>
      </c>
      <c r="V174" s="78">
        <v>3</v>
      </c>
    </row>
    <row r="175" spans="1:22">
      <c r="A175" s="93">
        <v>100631</v>
      </c>
      <c r="B175" s="93" t="s">
        <v>535</v>
      </c>
      <c r="C175" s="78">
        <v>1</v>
      </c>
      <c r="D175" s="78"/>
      <c r="E175" s="78"/>
      <c r="F175" s="78">
        <f t="shared" si="9"/>
        <v>2</v>
      </c>
      <c r="G175" s="93">
        <v>4</v>
      </c>
      <c r="H175" s="78">
        <v>0</v>
      </c>
      <c r="I175" s="78">
        <v>496</v>
      </c>
      <c r="J175" s="78">
        <v>513</v>
      </c>
      <c r="K175" s="78">
        <v>46</v>
      </c>
      <c r="L175" s="78">
        <v>6000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93">
        <v>510001</v>
      </c>
      <c r="T175" s="93">
        <v>510001</v>
      </c>
      <c r="U175" s="78">
        <v>20</v>
      </c>
      <c r="V175" s="78">
        <v>2</v>
      </c>
    </row>
    <row r="176" spans="1:22">
      <c r="A176" s="93">
        <v>100641</v>
      </c>
      <c r="B176" s="93" t="s">
        <v>537</v>
      </c>
      <c r="C176" s="78">
        <v>1</v>
      </c>
      <c r="D176" s="78"/>
      <c r="E176" s="78"/>
      <c r="F176" s="78">
        <f t="shared" si="9"/>
        <v>2</v>
      </c>
      <c r="G176" s="93">
        <v>4</v>
      </c>
      <c r="H176" s="78">
        <v>0</v>
      </c>
      <c r="I176" s="78">
        <v>483</v>
      </c>
      <c r="J176" s="78">
        <v>519</v>
      </c>
      <c r="K176" s="78">
        <v>46</v>
      </c>
      <c r="L176" s="78">
        <v>6000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93">
        <v>510001</v>
      </c>
      <c r="T176" s="93">
        <v>510001</v>
      </c>
      <c r="U176" s="78">
        <v>20</v>
      </c>
      <c r="V176" s="78">
        <v>2</v>
      </c>
    </row>
    <row r="177" spans="1:23">
      <c r="A177" s="93">
        <v>100651</v>
      </c>
      <c r="B177" s="93" t="s">
        <v>539</v>
      </c>
      <c r="C177" s="78">
        <v>1</v>
      </c>
      <c r="D177" s="78"/>
      <c r="E177" s="78"/>
      <c r="F177" s="78">
        <f t="shared" si="9"/>
        <v>2</v>
      </c>
      <c r="G177" s="93">
        <v>4</v>
      </c>
      <c r="H177" s="78">
        <v>0</v>
      </c>
      <c r="I177" s="78">
        <v>480</v>
      </c>
      <c r="J177" s="78">
        <v>536</v>
      </c>
      <c r="K177" s="78">
        <v>46</v>
      </c>
      <c r="L177" s="78">
        <v>6000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93">
        <v>510001</v>
      </c>
      <c r="T177" s="93">
        <v>510001</v>
      </c>
      <c r="U177" s="78">
        <v>20</v>
      </c>
      <c r="V177" s="78">
        <v>2</v>
      </c>
    </row>
    <row r="178" spans="1:23">
      <c r="A178" s="93">
        <v>100661</v>
      </c>
      <c r="B178" s="93" t="s">
        <v>541</v>
      </c>
      <c r="C178" s="78">
        <v>1</v>
      </c>
      <c r="D178" s="78"/>
      <c r="E178" s="78"/>
      <c r="F178" s="78">
        <f t="shared" si="9"/>
        <v>2</v>
      </c>
      <c r="G178" s="93">
        <v>4</v>
      </c>
      <c r="H178" s="78">
        <v>0</v>
      </c>
      <c r="I178" s="78">
        <v>489</v>
      </c>
      <c r="J178" s="78">
        <v>517</v>
      </c>
      <c r="K178" s="78">
        <v>46</v>
      </c>
      <c r="L178" s="78">
        <v>6000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93">
        <v>510001</v>
      </c>
      <c r="T178" s="93">
        <v>510001</v>
      </c>
      <c r="U178" s="78">
        <v>20</v>
      </c>
      <c r="V178" s="78">
        <v>2</v>
      </c>
    </row>
    <row r="179" spans="1:23">
      <c r="A179" s="93">
        <v>100671</v>
      </c>
      <c r="B179" s="93" t="s">
        <v>543</v>
      </c>
      <c r="C179" s="78">
        <v>1</v>
      </c>
      <c r="D179" s="78"/>
      <c r="E179" s="78"/>
      <c r="F179" s="78">
        <f t="shared" si="9"/>
        <v>2</v>
      </c>
      <c r="G179" s="93">
        <v>4</v>
      </c>
      <c r="H179" s="78">
        <v>0</v>
      </c>
      <c r="I179" s="78">
        <v>490</v>
      </c>
      <c r="J179" s="78">
        <v>520</v>
      </c>
      <c r="K179" s="78">
        <v>48</v>
      </c>
      <c r="L179" s="78">
        <v>6000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93">
        <v>510001</v>
      </c>
      <c r="T179" s="93">
        <v>510001</v>
      </c>
      <c r="U179" s="78">
        <v>20</v>
      </c>
      <c r="V179" s="78">
        <v>2</v>
      </c>
    </row>
    <row r="180" spans="1:23">
      <c r="A180" s="93">
        <v>100681</v>
      </c>
      <c r="B180" s="93" t="s">
        <v>545</v>
      </c>
      <c r="C180" s="78">
        <v>1</v>
      </c>
      <c r="D180" s="78"/>
      <c r="E180" s="78"/>
      <c r="F180" s="78">
        <f t="shared" si="9"/>
        <v>2</v>
      </c>
      <c r="G180" s="93">
        <v>4</v>
      </c>
      <c r="H180" s="78">
        <v>0</v>
      </c>
      <c r="I180" s="78">
        <v>518</v>
      </c>
      <c r="J180" s="78">
        <v>482</v>
      </c>
      <c r="K180" s="78">
        <v>45</v>
      </c>
      <c r="L180" s="78">
        <v>6000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93">
        <v>510001</v>
      </c>
      <c r="T180" s="93">
        <v>510001</v>
      </c>
      <c r="U180" s="78">
        <v>20</v>
      </c>
      <c r="V180" s="78">
        <v>1</v>
      </c>
    </row>
    <row r="181" spans="1:23">
      <c r="A181" s="93">
        <v>100691</v>
      </c>
      <c r="B181" s="93" t="s">
        <v>547</v>
      </c>
      <c r="C181" s="78">
        <v>1</v>
      </c>
      <c r="D181" s="78"/>
      <c r="E181" s="78"/>
      <c r="F181" s="78">
        <f t="shared" si="9"/>
        <v>2</v>
      </c>
      <c r="G181" s="93">
        <v>4</v>
      </c>
      <c r="H181" s="78">
        <v>0</v>
      </c>
      <c r="I181" s="78">
        <v>523</v>
      </c>
      <c r="J181" s="78">
        <v>482</v>
      </c>
      <c r="K181" s="78">
        <v>44</v>
      </c>
      <c r="L181" s="78">
        <v>6000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93">
        <v>510001</v>
      </c>
      <c r="T181" s="93">
        <v>510001</v>
      </c>
      <c r="U181" s="78">
        <v>20</v>
      </c>
      <c r="V181" s="78">
        <v>1</v>
      </c>
    </row>
    <row r="182" spans="1:23">
      <c r="A182" s="93">
        <v>100701</v>
      </c>
      <c r="B182" s="93" t="s">
        <v>549</v>
      </c>
      <c r="C182" s="78">
        <v>1</v>
      </c>
      <c r="D182" s="78"/>
      <c r="E182" s="78"/>
      <c r="F182" s="78">
        <f t="shared" si="9"/>
        <v>2</v>
      </c>
      <c r="G182" s="93">
        <v>4</v>
      </c>
      <c r="H182" s="78">
        <v>0</v>
      </c>
      <c r="I182" s="78">
        <v>525</v>
      </c>
      <c r="J182" s="78">
        <v>485</v>
      </c>
      <c r="K182" s="78">
        <v>47</v>
      </c>
      <c r="L182" s="78">
        <v>6000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93">
        <v>510001</v>
      </c>
      <c r="T182" s="93">
        <v>510001</v>
      </c>
      <c r="U182" s="78">
        <v>20</v>
      </c>
      <c r="V182" s="78">
        <v>1</v>
      </c>
    </row>
    <row r="183" spans="1:23">
      <c r="A183" s="93">
        <v>100711</v>
      </c>
      <c r="B183" s="93" t="s">
        <v>551</v>
      </c>
      <c r="C183" s="78">
        <v>1</v>
      </c>
      <c r="D183" s="78"/>
      <c r="E183" s="78"/>
      <c r="F183" s="78">
        <f t="shared" si="9"/>
        <v>2</v>
      </c>
      <c r="G183" s="93">
        <v>4</v>
      </c>
      <c r="H183" s="78">
        <v>0</v>
      </c>
      <c r="I183" s="78">
        <v>521</v>
      </c>
      <c r="J183" s="78">
        <v>485</v>
      </c>
      <c r="K183" s="78">
        <v>46</v>
      </c>
      <c r="L183" s="78">
        <v>6000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93">
        <v>510001</v>
      </c>
      <c r="T183" s="93">
        <v>510001</v>
      </c>
      <c r="U183" s="78">
        <v>20</v>
      </c>
      <c r="V183" s="78">
        <v>1</v>
      </c>
    </row>
    <row r="184" spans="1:23">
      <c r="A184" s="93">
        <v>100721</v>
      </c>
      <c r="B184" s="93" t="s">
        <v>553</v>
      </c>
      <c r="C184" s="78">
        <v>1</v>
      </c>
      <c r="D184" s="78"/>
      <c r="E184" s="78"/>
      <c r="F184" s="78">
        <f t="shared" si="9"/>
        <v>2</v>
      </c>
      <c r="G184" s="93">
        <v>4</v>
      </c>
      <c r="H184" s="78">
        <v>0</v>
      </c>
      <c r="I184" s="78">
        <v>519</v>
      </c>
      <c r="J184" s="78">
        <v>495</v>
      </c>
      <c r="K184" s="78">
        <v>47</v>
      </c>
      <c r="L184" s="78">
        <v>6000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93">
        <v>510001</v>
      </c>
      <c r="T184" s="93">
        <v>510001</v>
      </c>
      <c r="U184" s="78">
        <v>20</v>
      </c>
      <c r="V184" s="78">
        <v>1</v>
      </c>
    </row>
    <row r="185" spans="1:23">
      <c r="A185" s="93">
        <v>100731</v>
      </c>
      <c r="B185" s="93" t="s">
        <v>555</v>
      </c>
      <c r="C185" s="78">
        <v>1</v>
      </c>
      <c r="D185" s="78"/>
      <c r="E185" s="78"/>
      <c r="F185" s="78">
        <f t="shared" si="9"/>
        <v>2</v>
      </c>
      <c r="G185" s="93">
        <v>4</v>
      </c>
      <c r="H185" s="78">
        <v>0</v>
      </c>
      <c r="I185" s="78">
        <v>516</v>
      </c>
      <c r="J185" s="78">
        <v>491</v>
      </c>
      <c r="K185" s="78">
        <v>44</v>
      </c>
      <c r="L185" s="78">
        <v>6000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93">
        <v>510001</v>
      </c>
      <c r="T185" s="93">
        <v>510001</v>
      </c>
      <c r="U185" s="78">
        <v>20</v>
      </c>
      <c r="V185" s="78">
        <v>1</v>
      </c>
    </row>
    <row r="186" spans="1:23">
      <c r="A186" s="93">
        <v>100741</v>
      </c>
      <c r="B186" s="93" t="s">
        <v>557</v>
      </c>
      <c r="C186" s="78">
        <v>1</v>
      </c>
      <c r="D186" s="78"/>
      <c r="E186" s="78"/>
      <c r="F186" s="78">
        <f t="shared" si="9"/>
        <v>2</v>
      </c>
      <c r="G186" s="93">
        <v>4</v>
      </c>
      <c r="H186" s="78">
        <v>0</v>
      </c>
      <c r="I186" s="78">
        <v>523</v>
      </c>
      <c r="J186" s="78">
        <v>487</v>
      </c>
      <c r="K186" s="78">
        <v>45</v>
      </c>
      <c r="L186" s="78">
        <v>6000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93">
        <v>510001</v>
      </c>
      <c r="T186" s="93">
        <v>510001</v>
      </c>
      <c r="U186" s="78">
        <v>20</v>
      </c>
      <c r="V186" s="78">
        <v>1</v>
      </c>
    </row>
    <row r="187" spans="1:23">
      <c r="A187" s="93">
        <v>100751</v>
      </c>
      <c r="B187" s="93" t="s">
        <v>559</v>
      </c>
      <c r="C187" s="78">
        <v>1</v>
      </c>
      <c r="D187" s="78"/>
      <c r="E187" s="78"/>
      <c r="F187" s="78">
        <f t="shared" si="9"/>
        <v>2</v>
      </c>
      <c r="G187" s="93">
        <v>4</v>
      </c>
      <c r="H187" s="78">
        <v>0</v>
      </c>
      <c r="I187" s="78">
        <v>472</v>
      </c>
      <c r="J187" s="78">
        <v>530</v>
      </c>
      <c r="K187" s="78">
        <v>41</v>
      </c>
      <c r="L187" s="78">
        <v>6000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93">
        <v>510001</v>
      </c>
      <c r="T187" s="93">
        <v>510001</v>
      </c>
      <c r="U187" s="78">
        <v>20</v>
      </c>
      <c r="V187" s="78">
        <v>2</v>
      </c>
    </row>
    <row r="188" spans="1:23">
      <c r="A188" s="93">
        <v>100761</v>
      </c>
      <c r="B188" s="93" t="s">
        <v>561</v>
      </c>
      <c r="C188" s="78">
        <v>1</v>
      </c>
      <c r="D188" s="78"/>
      <c r="E188" s="78"/>
      <c r="F188" s="78">
        <f t="shared" si="9"/>
        <v>2</v>
      </c>
      <c r="G188" s="93">
        <v>4</v>
      </c>
      <c r="H188" s="78">
        <v>0</v>
      </c>
      <c r="I188" s="78">
        <v>470</v>
      </c>
      <c r="J188" s="78">
        <v>515</v>
      </c>
      <c r="K188" s="78">
        <v>46</v>
      </c>
      <c r="L188" s="78">
        <v>6000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93">
        <v>510001</v>
      </c>
      <c r="T188" s="93">
        <v>510001</v>
      </c>
      <c r="U188" s="78">
        <v>20</v>
      </c>
      <c r="V188" s="78">
        <v>2</v>
      </c>
    </row>
    <row r="189" spans="1:23">
      <c r="A189" s="93">
        <v>100771</v>
      </c>
      <c r="B189" s="93" t="s">
        <v>563</v>
      </c>
      <c r="C189" s="78">
        <v>1</v>
      </c>
      <c r="D189" s="78"/>
      <c r="E189" s="78"/>
      <c r="F189" s="78">
        <f t="shared" si="9"/>
        <v>2</v>
      </c>
      <c r="G189" s="93">
        <v>4</v>
      </c>
      <c r="H189" s="78">
        <v>0</v>
      </c>
      <c r="I189" s="78">
        <v>475</v>
      </c>
      <c r="J189" s="78">
        <v>519</v>
      </c>
      <c r="K189" s="78">
        <v>46</v>
      </c>
      <c r="L189" s="78">
        <v>6000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93">
        <v>510001</v>
      </c>
      <c r="T189" s="93">
        <v>510001</v>
      </c>
      <c r="U189" s="78">
        <v>20</v>
      </c>
      <c r="V189" s="78">
        <v>2</v>
      </c>
    </row>
    <row r="190" spans="1:23">
      <c r="A190" s="93">
        <v>100781</v>
      </c>
      <c r="B190" s="93" t="s">
        <v>565</v>
      </c>
      <c r="C190" s="78">
        <v>1</v>
      </c>
      <c r="D190" s="78"/>
      <c r="E190" s="78"/>
      <c r="F190" s="78">
        <f t="shared" si="9"/>
        <v>2</v>
      </c>
      <c r="G190" s="93">
        <v>4</v>
      </c>
      <c r="H190" s="78">
        <v>0</v>
      </c>
      <c r="I190" s="78">
        <v>489</v>
      </c>
      <c r="J190" s="78">
        <v>488</v>
      </c>
      <c r="K190" s="78">
        <v>55</v>
      </c>
      <c r="L190" s="78">
        <v>6000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93">
        <v>510001</v>
      </c>
      <c r="T190" s="93">
        <v>510001</v>
      </c>
      <c r="U190" s="78">
        <v>20</v>
      </c>
      <c r="V190" s="78">
        <v>3</v>
      </c>
    </row>
    <row r="191" spans="1:23" s="78" customFormat="1">
      <c r="A191" s="93">
        <v>100791</v>
      </c>
      <c r="B191" s="93" t="s">
        <v>567</v>
      </c>
      <c r="C191" s="78">
        <v>1</v>
      </c>
      <c r="F191" s="78">
        <f t="shared" si="9"/>
        <v>2</v>
      </c>
      <c r="G191" s="93">
        <v>4</v>
      </c>
      <c r="H191" s="78">
        <v>0</v>
      </c>
      <c r="I191" s="78">
        <v>495</v>
      </c>
      <c r="J191" s="78">
        <v>497</v>
      </c>
      <c r="K191" s="78">
        <v>52</v>
      </c>
      <c r="L191" s="78">
        <v>6000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93">
        <v>510001</v>
      </c>
      <c r="S191" s="93"/>
      <c r="T191" s="93">
        <v>510001</v>
      </c>
      <c r="U191" s="78">
        <v>20</v>
      </c>
      <c r="V191" s="78">
        <v>3</v>
      </c>
      <c r="W191" s="93"/>
    </row>
    <row r="192" spans="1:23" s="78" customFormat="1">
      <c r="A192" s="93">
        <v>100801</v>
      </c>
      <c r="B192" s="93" t="s">
        <v>569</v>
      </c>
      <c r="C192" s="78">
        <v>1</v>
      </c>
      <c r="F192" s="78">
        <f t="shared" si="9"/>
        <v>2</v>
      </c>
      <c r="G192" s="93">
        <v>4</v>
      </c>
      <c r="H192" s="78">
        <v>0</v>
      </c>
      <c r="I192" s="78">
        <v>488</v>
      </c>
      <c r="J192" s="78">
        <v>521</v>
      </c>
      <c r="K192" s="78">
        <v>44</v>
      </c>
      <c r="L192" s="78">
        <v>6000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93">
        <v>510001</v>
      </c>
      <c r="S192" s="93"/>
      <c r="T192" s="93">
        <v>510001</v>
      </c>
      <c r="U192" s="78">
        <v>20</v>
      </c>
      <c r="V192" s="78">
        <v>2</v>
      </c>
      <c r="W192" s="93"/>
    </row>
    <row r="193" spans="1:23" s="78" customFormat="1">
      <c r="A193" s="93">
        <v>100811</v>
      </c>
      <c r="B193" s="78" t="s">
        <v>571</v>
      </c>
      <c r="C193" s="78">
        <v>1</v>
      </c>
      <c r="D193" s="93"/>
      <c r="E193" s="93"/>
      <c r="F193" s="78">
        <v>2</v>
      </c>
      <c r="G193" s="93">
        <v>5</v>
      </c>
      <c r="H193" s="93">
        <v>100812</v>
      </c>
      <c r="I193" s="78">
        <v>580</v>
      </c>
      <c r="J193" s="78">
        <v>563</v>
      </c>
      <c r="K193" s="78">
        <v>53</v>
      </c>
      <c r="L193" s="78">
        <v>10500</v>
      </c>
      <c r="M193" s="78">
        <v>100</v>
      </c>
      <c r="N193" s="78">
        <v>100</v>
      </c>
      <c r="O193" s="78">
        <v>100</v>
      </c>
      <c r="P193" s="78">
        <v>0</v>
      </c>
      <c r="R193" s="93">
        <v>510811</v>
      </c>
      <c r="S193" s="93"/>
      <c r="T193" s="93">
        <v>510811</v>
      </c>
      <c r="U193" s="93">
        <v>100</v>
      </c>
      <c r="V193" s="93">
        <v>1</v>
      </c>
      <c r="W193" s="93" t="s">
        <v>5138</v>
      </c>
    </row>
    <row r="194" spans="1:23" s="78" customFormat="1">
      <c r="A194" s="93">
        <v>100812</v>
      </c>
      <c r="B194" s="78" t="s">
        <v>571</v>
      </c>
      <c r="C194" s="78">
        <v>1</v>
      </c>
      <c r="D194" s="93"/>
      <c r="E194" s="93"/>
      <c r="F194" s="78">
        <v>2</v>
      </c>
      <c r="G194" s="93">
        <v>6</v>
      </c>
      <c r="H194" s="93">
        <v>100813</v>
      </c>
      <c r="I194" s="78">
        <v>627</v>
      </c>
      <c r="J194" s="78">
        <v>604</v>
      </c>
      <c r="K194" s="78">
        <v>63</v>
      </c>
      <c r="L194" s="78">
        <v>15000</v>
      </c>
      <c r="M194" s="78">
        <v>100</v>
      </c>
      <c r="N194" s="78">
        <v>100</v>
      </c>
      <c r="O194" s="78">
        <v>100</v>
      </c>
      <c r="P194" s="78">
        <v>0</v>
      </c>
      <c r="R194" s="93">
        <v>510811</v>
      </c>
      <c r="S194" s="93"/>
      <c r="T194" s="93">
        <v>510811</v>
      </c>
      <c r="U194" s="93">
        <v>200</v>
      </c>
      <c r="V194" s="93">
        <v>1</v>
      </c>
      <c r="W194" s="93" t="s">
        <v>5138</v>
      </c>
    </row>
    <row r="195" spans="1:23" s="78" customFormat="1">
      <c r="A195" s="93">
        <v>100813</v>
      </c>
      <c r="B195" s="78" t="s">
        <v>571</v>
      </c>
      <c r="C195" s="78">
        <v>1</v>
      </c>
      <c r="D195" s="93"/>
      <c r="E195" s="93"/>
      <c r="F195" s="78">
        <v>2</v>
      </c>
      <c r="G195" s="93">
        <v>7</v>
      </c>
      <c r="H195" s="93">
        <v>0</v>
      </c>
      <c r="I195" s="78">
        <v>672</v>
      </c>
      <c r="J195" s="78">
        <v>654</v>
      </c>
      <c r="K195" s="78">
        <v>74</v>
      </c>
      <c r="L195" s="78">
        <v>21000</v>
      </c>
      <c r="M195" s="78">
        <v>100</v>
      </c>
      <c r="N195" s="78">
        <v>100</v>
      </c>
      <c r="O195" s="78">
        <v>100</v>
      </c>
      <c r="P195" s="78">
        <v>0</v>
      </c>
      <c r="R195" s="93">
        <v>510811</v>
      </c>
      <c r="S195" s="93"/>
      <c r="T195" s="93">
        <v>510811</v>
      </c>
      <c r="U195" s="93">
        <v>400</v>
      </c>
      <c r="V195" s="93">
        <v>1</v>
      </c>
      <c r="W195" s="93" t="s">
        <v>5138</v>
      </c>
    </row>
    <row r="196" spans="1:23" s="78" customFormat="1">
      <c r="A196" s="78">
        <v>100814</v>
      </c>
      <c r="B196" s="78" t="s">
        <v>571</v>
      </c>
      <c r="C196" s="78">
        <v>1</v>
      </c>
      <c r="F196" s="78">
        <v>2</v>
      </c>
      <c r="G196" s="93">
        <v>4</v>
      </c>
      <c r="H196" s="78">
        <v>100811</v>
      </c>
      <c r="I196" s="78">
        <v>532</v>
      </c>
      <c r="J196" s="78">
        <v>510</v>
      </c>
      <c r="K196" s="78">
        <v>41</v>
      </c>
      <c r="L196" s="78">
        <v>6000</v>
      </c>
      <c r="M196" s="78">
        <v>100</v>
      </c>
      <c r="N196" s="78">
        <v>100</v>
      </c>
      <c r="O196" s="78">
        <v>100</v>
      </c>
      <c r="P196" s="78">
        <v>0</v>
      </c>
      <c r="R196" s="93">
        <v>510811</v>
      </c>
      <c r="S196" s="93"/>
      <c r="T196" s="93">
        <v>510811</v>
      </c>
      <c r="U196" s="93">
        <v>20</v>
      </c>
      <c r="V196" s="93">
        <v>1</v>
      </c>
      <c r="W196" s="93" t="s">
        <v>5138</v>
      </c>
    </row>
    <row r="197" spans="1:23" s="78" customFormat="1">
      <c r="A197" s="78">
        <v>100824</v>
      </c>
      <c r="B197" s="78" t="s">
        <v>579</v>
      </c>
      <c r="C197" s="78">
        <v>1</v>
      </c>
      <c r="F197" s="78">
        <v>2</v>
      </c>
      <c r="G197" s="93">
        <v>7</v>
      </c>
      <c r="H197" s="93">
        <v>0</v>
      </c>
      <c r="I197" s="78">
        <v>670</v>
      </c>
      <c r="J197" s="78">
        <v>650</v>
      </c>
      <c r="K197" s="78">
        <v>73</v>
      </c>
      <c r="L197" s="78">
        <v>21000</v>
      </c>
      <c r="M197" s="78">
        <v>100</v>
      </c>
      <c r="N197" s="78">
        <v>100</v>
      </c>
      <c r="O197" s="78">
        <v>100</v>
      </c>
      <c r="P197" s="78">
        <v>0</v>
      </c>
      <c r="Q197" s="78">
        <v>0</v>
      </c>
      <c r="R197" s="93">
        <v>510821</v>
      </c>
      <c r="S197" s="93"/>
      <c r="T197" s="93">
        <v>510821</v>
      </c>
      <c r="U197" s="93">
        <v>400</v>
      </c>
      <c r="V197" s="93">
        <v>1</v>
      </c>
      <c r="W197" s="93" t="s">
        <v>5138</v>
      </c>
    </row>
    <row r="198" spans="1:23" s="78" customFormat="1">
      <c r="A198" s="78">
        <v>100831</v>
      </c>
      <c r="B198" s="78" t="s">
        <v>582</v>
      </c>
      <c r="C198" s="78">
        <v>1</v>
      </c>
      <c r="D198" s="93"/>
      <c r="E198" s="78" t="s">
        <v>5129</v>
      </c>
      <c r="F198" s="78">
        <f t="shared" ref="F198:F201" si="10">IF(G198&gt;3,2,1)</f>
        <v>2</v>
      </c>
      <c r="G198" s="93">
        <v>4</v>
      </c>
      <c r="H198" s="78">
        <v>100832</v>
      </c>
      <c r="I198" s="78">
        <v>527</v>
      </c>
      <c r="J198" s="78">
        <v>491</v>
      </c>
      <c r="K198" s="78">
        <v>40</v>
      </c>
      <c r="L198" s="78">
        <v>6000</v>
      </c>
      <c r="M198" s="78">
        <v>100</v>
      </c>
      <c r="N198" s="78">
        <v>100</v>
      </c>
      <c r="O198" s="78">
        <v>100</v>
      </c>
      <c r="P198" s="78">
        <v>0</v>
      </c>
      <c r="Q198" s="78">
        <v>0</v>
      </c>
      <c r="R198" s="93">
        <v>510831</v>
      </c>
      <c r="S198" s="93"/>
      <c r="T198" s="93">
        <v>510831</v>
      </c>
      <c r="U198" s="78">
        <v>20</v>
      </c>
      <c r="V198" s="78">
        <v>1</v>
      </c>
      <c r="W198" s="93"/>
    </row>
    <row r="199" spans="1:23">
      <c r="A199" s="78">
        <v>100832</v>
      </c>
      <c r="B199" s="78" t="s">
        <v>582</v>
      </c>
      <c r="C199" s="78">
        <v>1</v>
      </c>
      <c r="E199" s="78" t="s">
        <v>5129</v>
      </c>
      <c r="F199" s="78">
        <f t="shared" si="10"/>
        <v>2</v>
      </c>
      <c r="G199" s="93">
        <v>5</v>
      </c>
      <c r="H199" s="78">
        <v>100833</v>
      </c>
      <c r="I199" s="78">
        <v>567</v>
      </c>
      <c r="J199" s="78">
        <v>544</v>
      </c>
      <c r="K199" s="78">
        <v>51</v>
      </c>
      <c r="L199" s="78">
        <v>10500</v>
      </c>
      <c r="M199" s="78">
        <v>100</v>
      </c>
      <c r="N199" s="78">
        <v>100</v>
      </c>
      <c r="O199" s="78">
        <v>100</v>
      </c>
      <c r="P199" s="78">
        <v>0</v>
      </c>
      <c r="Q199" s="78">
        <v>0</v>
      </c>
      <c r="R199" s="93">
        <v>510831</v>
      </c>
      <c r="T199" s="93">
        <v>510831</v>
      </c>
      <c r="U199" s="78">
        <v>100</v>
      </c>
      <c r="V199" s="78">
        <v>1</v>
      </c>
    </row>
    <row r="200" spans="1:23">
      <c r="A200" s="78">
        <v>100833</v>
      </c>
      <c r="B200" s="78" t="s">
        <v>582</v>
      </c>
      <c r="C200" s="78">
        <v>1</v>
      </c>
      <c r="E200" s="78"/>
      <c r="F200" s="78">
        <f t="shared" si="10"/>
        <v>2</v>
      </c>
      <c r="G200" s="93">
        <v>6</v>
      </c>
      <c r="H200" s="78">
        <v>100834</v>
      </c>
      <c r="I200" s="78">
        <v>609</v>
      </c>
      <c r="J200" s="78">
        <v>592</v>
      </c>
      <c r="K200" s="78">
        <v>62</v>
      </c>
      <c r="L200" s="78">
        <v>15000</v>
      </c>
      <c r="M200" s="78">
        <v>100</v>
      </c>
      <c r="N200" s="78">
        <v>100</v>
      </c>
      <c r="O200" s="78">
        <v>100</v>
      </c>
      <c r="P200" s="78">
        <v>0</v>
      </c>
      <c r="Q200" s="78">
        <v>0</v>
      </c>
      <c r="R200" s="93">
        <v>510831</v>
      </c>
      <c r="T200" s="93">
        <v>510831</v>
      </c>
      <c r="U200" s="78">
        <v>200</v>
      </c>
      <c r="V200" s="78">
        <v>1</v>
      </c>
    </row>
    <row r="201" spans="1:23">
      <c r="A201" s="78">
        <v>100834</v>
      </c>
      <c r="B201" s="78" t="s">
        <v>582</v>
      </c>
      <c r="C201" s="78">
        <v>1</v>
      </c>
      <c r="E201" s="78"/>
      <c r="F201" s="78">
        <f t="shared" si="10"/>
        <v>2</v>
      </c>
      <c r="G201" s="93">
        <v>7</v>
      </c>
      <c r="H201" s="78">
        <v>0</v>
      </c>
      <c r="I201" s="78">
        <v>655</v>
      </c>
      <c r="J201" s="78">
        <v>642</v>
      </c>
      <c r="K201" s="78">
        <v>73</v>
      </c>
      <c r="L201" s="78">
        <v>21000</v>
      </c>
      <c r="M201" s="78">
        <v>100</v>
      </c>
      <c r="N201" s="78">
        <v>100</v>
      </c>
      <c r="O201" s="78">
        <v>100</v>
      </c>
      <c r="P201" s="78">
        <v>0</v>
      </c>
      <c r="Q201" s="78">
        <v>0</v>
      </c>
      <c r="R201" s="93">
        <v>510831</v>
      </c>
      <c r="T201" s="93">
        <v>510831</v>
      </c>
      <c r="U201" s="78">
        <v>400</v>
      </c>
      <c r="V201" s="78">
        <v>1</v>
      </c>
    </row>
    <row r="202" spans="1:23">
      <c r="A202" s="78">
        <v>100841</v>
      </c>
      <c r="B202" s="78" t="s">
        <v>587</v>
      </c>
      <c r="C202" s="78">
        <v>1</v>
      </c>
      <c r="E202" s="78"/>
      <c r="F202" s="78">
        <f t="shared" ref="F202:F205" si="11">IF(G202&gt;3,2,1)</f>
        <v>2</v>
      </c>
      <c r="G202" s="93">
        <v>4</v>
      </c>
      <c r="H202" s="78">
        <v>100842</v>
      </c>
      <c r="I202" s="78">
        <v>495</v>
      </c>
      <c r="J202" s="78">
        <v>495</v>
      </c>
      <c r="K202" s="78">
        <v>53</v>
      </c>
      <c r="L202" s="78">
        <v>6000</v>
      </c>
      <c r="M202" s="78">
        <v>100</v>
      </c>
      <c r="N202" s="78">
        <v>100</v>
      </c>
      <c r="O202" s="78">
        <v>100</v>
      </c>
      <c r="P202" s="78">
        <v>0</v>
      </c>
      <c r="Q202" s="78">
        <v>0</v>
      </c>
      <c r="R202" s="93">
        <v>510841</v>
      </c>
      <c r="T202" s="93">
        <v>510841</v>
      </c>
      <c r="U202" s="78">
        <v>20</v>
      </c>
      <c r="V202" s="78">
        <v>3</v>
      </c>
      <c r="W202" s="93" t="s">
        <v>5138</v>
      </c>
    </row>
    <row r="203" spans="1:23">
      <c r="A203" s="78">
        <v>100842</v>
      </c>
      <c r="B203" s="78" t="s">
        <v>587</v>
      </c>
      <c r="C203" s="78">
        <v>1</v>
      </c>
      <c r="E203" s="78"/>
      <c r="F203" s="78">
        <f t="shared" si="11"/>
        <v>2</v>
      </c>
      <c r="G203" s="93">
        <v>5</v>
      </c>
      <c r="H203" s="78">
        <v>100843</v>
      </c>
      <c r="I203" s="78">
        <v>545</v>
      </c>
      <c r="J203" s="78">
        <v>545</v>
      </c>
      <c r="K203" s="78">
        <v>64</v>
      </c>
      <c r="L203" s="78">
        <v>10500</v>
      </c>
      <c r="M203" s="78">
        <v>100</v>
      </c>
      <c r="N203" s="78">
        <v>100</v>
      </c>
      <c r="O203" s="78">
        <v>100</v>
      </c>
      <c r="P203" s="78">
        <v>0</v>
      </c>
      <c r="Q203" s="78">
        <v>0</v>
      </c>
      <c r="R203" s="93">
        <v>510841</v>
      </c>
      <c r="T203" s="93">
        <v>510841</v>
      </c>
      <c r="U203" s="78">
        <v>100</v>
      </c>
      <c r="V203" s="78">
        <v>3</v>
      </c>
      <c r="W203" s="93" t="s">
        <v>5138</v>
      </c>
    </row>
    <row r="204" spans="1:23">
      <c r="A204" s="78">
        <v>100843</v>
      </c>
      <c r="B204" s="78" t="s">
        <v>587</v>
      </c>
      <c r="C204" s="78">
        <v>1</v>
      </c>
      <c r="E204" s="78"/>
      <c r="F204" s="78">
        <f t="shared" si="11"/>
        <v>2</v>
      </c>
      <c r="G204" s="93">
        <v>6</v>
      </c>
      <c r="H204" s="78">
        <v>100844</v>
      </c>
      <c r="I204" s="78">
        <v>595</v>
      </c>
      <c r="J204" s="78">
        <v>595</v>
      </c>
      <c r="K204" s="78">
        <v>74</v>
      </c>
      <c r="L204" s="78">
        <v>15000</v>
      </c>
      <c r="M204" s="78">
        <v>100</v>
      </c>
      <c r="N204" s="78">
        <v>100</v>
      </c>
      <c r="O204" s="78">
        <v>100</v>
      </c>
      <c r="P204" s="78">
        <v>0</v>
      </c>
      <c r="Q204" s="78">
        <v>0</v>
      </c>
      <c r="R204" s="93">
        <v>510841</v>
      </c>
      <c r="T204" s="93">
        <v>510841</v>
      </c>
      <c r="U204" s="78">
        <v>200</v>
      </c>
      <c r="V204" s="78">
        <v>3</v>
      </c>
      <c r="W204" s="93" t="s">
        <v>5138</v>
      </c>
    </row>
    <row r="205" spans="1:23">
      <c r="A205" s="78">
        <v>100844</v>
      </c>
      <c r="B205" s="78" t="s">
        <v>587</v>
      </c>
      <c r="C205" s="78">
        <v>1</v>
      </c>
      <c r="E205" s="78"/>
      <c r="F205" s="78">
        <f t="shared" si="11"/>
        <v>2</v>
      </c>
      <c r="G205" s="93">
        <v>7</v>
      </c>
      <c r="H205" s="78">
        <v>0</v>
      </c>
      <c r="I205" s="78">
        <v>646</v>
      </c>
      <c r="J205" s="78">
        <v>646</v>
      </c>
      <c r="K205" s="78">
        <v>84</v>
      </c>
      <c r="L205" s="78">
        <v>21000</v>
      </c>
      <c r="M205" s="78">
        <v>100</v>
      </c>
      <c r="N205" s="78">
        <v>100</v>
      </c>
      <c r="O205" s="78">
        <v>100</v>
      </c>
      <c r="P205" s="78">
        <v>0</v>
      </c>
      <c r="Q205" s="78">
        <v>0</v>
      </c>
      <c r="R205" s="93">
        <v>510841</v>
      </c>
      <c r="T205" s="93">
        <v>510841</v>
      </c>
      <c r="U205" s="78">
        <v>400</v>
      </c>
      <c r="V205" s="78">
        <v>3</v>
      </c>
      <c r="W205" s="93" t="s">
        <v>5138</v>
      </c>
    </row>
    <row r="206" spans="1:23" s="97" customFormat="1">
      <c r="A206" s="78">
        <v>100853</v>
      </c>
      <c r="B206" s="78" t="s">
        <v>592</v>
      </c>
      <c r="C206" s="78">
        <v>1</v>
      </c>
      <c r="D206" s="93"/>
      <c r="E206" s="93"/>
      <c r="F206" s="78">
        <v>2</v>
      </c>
      <c r="G206" s="93">
        <v>6</v>
      </c>
      <c r="H206" s="78">
        <v>100854</v>
      </c>
      <c r="I206" s="78">
        <v>591</v>
      </c>
      <c r="J206" s="78">
        <v>620</v>
      </c>
      <c r="K206" s="78">
        <v>63</v>
      </c>
      <c r="L206" s="78">
        <v>15000</v>
      </c>
      <c r="M206" s="78">
        <v>100</v>
      </c>
      <c r="N206" s="78">
        <v>100</v>
      </c>
      <c r="O206" s="78">
        <v>100</v>
      </c>
      <c r="P206" s="78">
        <v>0</v>
      </c>
      <c r="Q206" s="78">
        <v>0</v>
      </c>
      <c r="R206" s="93">
        <v>510851</v>
      </c>
      <c r="S206" s="93"/>
      <c r="T206" s="93">
        <v>510851</v>
      </c>
      <c r="U206" s="78">
        <v>200</v>
      </c>
      <c r="V206" s="93">
        <v>2</v>
      </c>
      <c r="W206" s="93" t="s">
        <v>5138</v>
      </c>
    </row>
    <row r="207" spans="1:23" s="97" customFormat="1">
      <c r="A207" s="78">
        <v>100854</v>
      </c>
      <c r="B207" s="78" t="s">
        <v>592</v>
      </c>
      <c r="C207" s="78">
        <v>1</v>
      </c>
      <c r="D207" s="93"/>
      <c r="E207" s="93"/>
      <c r="F207" s="78">
        <v>2</v>
      </c>
      <c r="G207" s="93">
        <v>7</v>
      </c>
      <c r="H207" s="93">
        <v>0</v>
      </c>
      <c r="I207" s="78">
        <v>646</v>
      </c>
      <c r="J207" s="78">
        <v>672</v>
      </c>
      <c r="K207" s="78">
        <v>73</v>
      </c>
      <c r="L207" s="78">
        <v>21000</v>
      </c>
      <c r="M207" s="78">
        <v>100</v>
      </c>
      <c r="N207" s="78">
        <v>100</v>
      </c>
      <c r="O207" s="78">
        <v>100</v>
      </c>
      <c r="P207" s="78">
        <v>0</v>
      </c>
      <c r="Q207" s="78">
        <v>0</v>
      </c>
      <c r="R207" s="93">
        <v>510851</v>
      </c>
      <c r="S207" s="93"/>
      <c r="T207" s="93">
        <v>510851</v>
      </c>
      <c r="U207" s="78">
        <v>400</v>
      </c>
      <c r="V207" s="93">
        <v>2</v>
      </c>
      <c r="W207" s="93" t="s">
        <v>5138</v>
      </c>
    </row>
    <row r="208" spans="1:23" s="97" customFormat="1">
      <c r="A208" s="93">
        <v>100861</v>
      </c>
      <c r="B208" s="93" t="s">
        <v>597</v>
      </c>
      <c r="C208" s="78">
        <v>1</v>
      </c>
      <c r="D208" s="78"/>
      <c r="E208" s="78"/>
      <c r="F208" s="78">
        <v>1</v>
      </c>
      <c r="G208" s="93">
        <v>3</v>
      </c>
      <c r="H208" s="93">
        <v>100862</v>
      </c>
      <c r="I208" s="78">
        <v>436</v>
      </c>
      <c r="J208" s="78">
        <v>452</v>
      </c>
      <c r="K208" s="78">
        <v>43</v>
      </c>
      <c r="L208" s="78">
        <v>3000</v>
      </c>
      <c r="M208" s="78">
        <v>100</v>
      </c>
      <c r="N208" s="78">
        <v>100</v>
      </c>
      <c r="O208" s="78">
        <v>100</v>
      </c>
      <c r="P208" s="78">
        <v>0</v>
      </c>
      <c r="Q208" s="78">
        <v>0</v>
      </c>
      <c r="R208" s="93">
        <v>510861</v>
      </c>
      <c r="S208" s="93"/>
      <c r="T208" s="93">
        <v>510861</v>
      </c>
      <c r="U208" s="93">
        <v>3</v>
      </c>
      <c r="V208" s="93">
        <v>3</v>
      </c>
      <c r="W208" s="93"/>
    </row>
    <row r="209" spans="1:23" s="97" customFormat="1">
      <c r="A209" s="93">
        <v>100862</v>
      </c>
      <c r="B209" s="93" t="s">
        <v>597</v>
      </c>
      <c r="C209" s="78">
        <v>1</v>
      </c>
      <c r="D209" s="78"/>
      <c r="E209" s="78"/>
      <c r="F209" s="78">
        <v>2</v>
      </c>
      <c r="G209" s="93">
        <v>4</v>
      </c>
      <c r="H209" s="93">
        <v>100863</v>
      </c>
      <c r="I209" s="78">
        <v>486</v>
      </c>
      <c r="J209" s="78">
        <v>500</v>
      </c>
      <c r="K209" s="78">
        <v>54</v>
      </c>
      <c r="L209" s="78">
        <v>6000</v>
      </c>
      <c r="M209" s="78">
        <v>100</v>
      </c>
      <c r="N209" s="78">
        <v>100</v>
      </c>
      <c r="O209" s="78">
        <v>100</v>
      </c>
      <c r="P209" s="78">
        <v>0</v>
      </c>
      <c r="Q209" s="78">
        <v>0</v>
      </c>
      <c r="R209" s="93">
        <v>510861</v>
      </c>
      <c r="S209" s="93"/>
      <c r="T209" s="93">
        <v>510861</v>
      </c>
      <c r="U209" s="93">
        <v>4</v>
      </c>
      <c r="V209" s="93">
        <v>3</v>
      </c>
      <c r="W209" s="93"/>
    </row>
    <row r="210" spans="1:23" s="97" customFormat="1">
      <c r="A210" s="93">
        <v>100863</v>
      </c>
      <c r="B210" s="93" t="s">
        <v>597</v>
      </c>
      <c r="C210" s="78">
        <v>1</v>
      </c>
      <c r="D210" s="78"/>
      <c r="E210" s="78"/>
      <c r="F210" s="78">
        <v>2</v>
      </c>
      <c r="G210" s="93">
        <v>5</v>
      </c>
      <c r="H210" s="93">
        <v>0</v>
      </c>
      <c r="I210" s="78">
        <v>548</v>
      </c>
      <c r="J210" s="78">
        <v>560</v>
      </c>
      <c r="K210" s="78">
        <v>64</v>
      </c>
      <c r="L210" s="78">
        <v>10500</v>
      </c>
      <c r="M210" s="78">
        <v>100</v>
      </c>
      <c r="N210" s="78">
        <v>100</v>
      </c>
      <c r="O210" s="78">
        <v>100</v>
      </c>
      <c r="P210" s="78">
        <v>0</v>
      </c>
      <c r="Q210" s="78">
        <v>0</v>
      </c>
      <c r="R210" s="93">
        <v>510861</v>
      </c>
      <c r="S210" s="93"/>
      <c r="T210" s="93">
        <v>510861</v>
      </c>
      <c r="U210" s="93">
        <v>100</v>
      </c>
      <c r="V210" s="93">
        <v>3</v>
      </c>
      <c r="W210" s="93"/>
    </row>
    <row r="211" spans="1:23" s="97" customFormat="1">
      <c r="A211" s="93">
        <v>100872</v>
      </c>
      <c r="B211" s="93" t="s">
        <v>602</v>
      </c>
      <c r="C211" s="78">
        <v>1</v>
      </c>
      <c r="D211" s="78"/>
      <c r="E211" s="78"/>
      <c r="F211" s="78">
        <v>2</v>
      </c>
      <c r="G211" s="93">
        <v>5</v>
      </c>
      <c r="H211" s="93">
        <v>100873</v>
      </c>
      <c r="I211" s="78">
        <v>548</v>
      </c>
      <c r="J211" s="78">
        <v>587</v>
      </c>
      <c r="K211" s="78">
        <v>52</v>
      </c>
      <c r="L211" s="78">
        <v>10500</v>
      </c>
      <c r="M211" s="78">
        <v>100</v>
      </c>
      <c r="N211" s="78">
        <v>100</v>
      </c>
      <c r="O211" s="78">
        <v>100</v>
      </c>
      <c r="P211" s="78">
        <v>0</v>
      </c>
      <c r="Q211" s="78">
        <v>0</v>
      </c>
      <c r="R211" s="93">
        <v>510871</v>
      </c>
      <c r="S211" s="93"/>
      <c r="T211" s="93">
        <v>510871</v>
      </c>
      <c r="U211" s="93">
        <v>100</v>
      </c>
      <c r="V211" s="93">
        <v>2</v>
      </c>
      <c r="W211" s="93" t="s">
        <v>5138</v>
      </c>
    </row>
    <row r="212" spans="1:23" s="97" customFormat="1">
      <c r="A212" s="93">
        <v>100873</v>
      </c>
      <c r="B212" s="93" t="s">
        <v>602</v>
      </c>
      <c r="C212" s="78">
        <v>1</v>
      </c>
      <c r="D212" s="78"/>
      <c r="E212" s="78"/>
      <c r="F212" s="78">
        <v>2</v>
      </c>
      <c r="G212" s="93">
        <v>6</v>
      </c>
      <c r="H212" s="93">
        <v>100874</v>
      </c>
      <c r="I212" s="78">
        <v>598</v>
      </c>
      <c r="J212" s="78">
        <v>630</v>
      </c>
      <c r="K212" s="78">
        <v>62</v>
      </c>
      <c r="L212" s="78">
        <v>15000</v>
      </c>
      <c r="M212" s="78">
        <v>100</v>
      </c>
      <c r="N212" s="78">
        <v>100</v>
      </c>
      <c r="O212" s="78">
        <v>100</v>
      </c>
      <c r="P212" s="78">
        <v>0</v>
      </c>
      <c r="Q212" s="78">
        <v>0</v>
      </c>
      <c r="R212" s="93">
        <v>510871</v>
      </c>
      <c r="S212" s="93"/>
      <c r="T212" s="93">
        <v>510871</v>
      </c>
      <c r="U212" s="93">
        <v>200</v>
      </c>
      <c r="V212" s="93">
        <v>2</v>
      </c>
      <c r="W212" s="93" t="s">
        <v>5138</v>
      </c>
    </row>
    <row r="213" spans="1:23" s="97" customFormat="1">
      <c r="A213" s="93">
        <v>100874</v>
      </c>
      <c r="B213" s="93" t="s">
        <v>602</v>
      </c>
      <c r="C213" s="78">
        <v>1</v>
      </c>
      <c r="D213" s="78"/>
      <c r="E213" s="78"/>
      <c r="F213" s="78">
        <v>2</v>
      </c>
      <c r="G213" s="93">
        <v>7</v>
      </c>
      <c r="H213" s="93">
        <v>0</v>
      </c>
      <c r="I213" s="78">
        <v>646</v>
      </c>
      <c r="J213" s="78">
        <v>672</v>
      </c>
      <c r="K213" s="78">
        <v>73</v>
      </c>
      <c r="L213" s="78">
        <v>21000</v>
      </c>
      <c r="M213" s="78">
        <v>100</v>
      </c>
      <c r="N213" s="78">
        <v>100</v>
      </c>
      <c r="O213" s="78">
        <v>100</v>
      </c>
      <c r="P213" s="78">
        <v>0</v>
      </c>
      <c r="Q213" s="78">
        <v>0</v>
      </c>
      <c r="R213" s="93">
        <v>510871</v>
      </c>
      <c r="S213" s="93"/>
      <c r="T213" s="93">
        <v>510871</v>
      </c>
      <c r="U213" s="93">
        <v>400</v>
      </c>
      <c r="V213" s="93">
        <v>2</v>
      </c>
      <c r="W213" s="93" t="s">
        <v>5138</v>
      </c>
    </row>
    <row r="214" spans="1:23" s="97" customFormat="1">
      <c r="A214" s="93">
        <v>100881</v>
      </c>
      <c r="B214" s="93" t="s">
        <v>607</v>
      </c>
      <c r="C214" s="78">
        <v>1</v>
      </c>
      <c r="D214" s="78"/>
      <c r="E214" s="78"/>
      <c r="F214" s="78">
        <v>2</v>
      </c>
      <c r="G214" s="93">
        <v>4</v>
      </c>
      <c r="H214" s="93">
        <v>100882</v>
      </c>
      <c r="I214" s="78">
        <v>532</v>
      </c>
      <c r="J214" s="78">
        <v>500</v>
      </c>
      <c r="K214" s="78">
        <v>42</v>
      </c>
      <c r="L214" s="78">
        <v>6000</v>
      </c>
      <c r="M214" s="78">
        <v>100</v>
      </c>
      <c r="N214" s="78">
        <v>100</v>
      </c>
      <c r="O214" s="78">
        <v>100</v>
      </c>
      <c r="P214" s="78">
        <v>0</v>
      </c>
      <c r="Q214" s="78">
        <v>0</v>
      </c>
      <c r="R214" s="93">
        <v>510881</v>
      </c>
      <c r="S214" s="93"/>
      <c r="T214" s="93">
        <v>510881</v>
      </c>
      <c r="U214" s="93">
        <v>80</v>
      </c>
      <c r="V214" s="93">
        <v>1</v>
      </c>
      <c r="W214" s="93" t="s">
        <v>5138</v>
      </c>
    </row>
    <row r="215" spans="1:23" s="97" customFormat="1">
      <c r="A215" s="93">
        <v>100882</v>
      </c>
      <c r="B215" s="93" t="s">
        <v>607</v>
      </c>
      <c r="C215" s="78">
        <v>1</v>
      </c>
      <c r="D215" s="78"/>
      <c r="E215" s="78"/>
      <c r="F215" s="78">
        <v>2</v>
      </c>
      <c r="G215" s="93">
        <v>5</v>
      </c>
      <c r="H215" s="93">
        <v>100883</v>
      </c>
      <c r="I215" s="78">
        <v>575</v>
      </c>
      <c r="J215" s="78">
        <v>550</v>
      </c>
      <c r="K215" s="78">
        <v>54</v>
      </c>
      <c r="L215" s="78">
        <v>10500</v>
      </c>
      <c r="M215" s="78">
        <v>100</v>
      </c>
      <c r="N215" s="78">
        <v>100</v>
      </c>
      <c r="O215" s="78">
        <v>100</v>
      </c>
      <c r="P215" s="78">
        <v>0</v>
      </c>
      <c r="Q215" s="78">
        <v>0</v>
      </c>
      <c r="R215" s="93">
        <v>510881</v>
      </c>
      <c r="S215" s="93"/>
      <c r="T215" s="93">
        <v>510881</v>
      </c>
      <c r="U215" s="93">
        <v>100</v>
      </c>
      <c r="V215" s="93">
        <v>1</v>
      </c>
      <c r="W215" s="93" t="s">
        <v>5138</v>
      </c>
    </row>
    <row r="216" spans="1:23" s="97" customFormat="1">
      <c r="A216" s="93">
        <v>100883</v>
      </c>
      <c r="B216" s="93" t="s">
        <v>607</v>
      </c>
      <c r="C216" s="78">
        <v>1</v>
      </c>
      <c r="D216" s="78"/>
      <c r="E216" s="78"/>
      <c r="F216" s="78">
        <v>2</v>
      </c>
      <c r="G216" s="93">
        <v>6</v>
      </c>
      <c r="H216" s="93">
        <v>100884</v>
      </c>
      <c r="I216" s="78">
        <v>620</v>
      </c>
      <c r="J216" s="78">
        <v>605</v>
      </c>
      <c r="K216" s="78">
        <v>65</v>
      </c>
      <c r="L216" s="78">
        <v>15000</v>
      </c>
      <c r="M216" s="78">
        <v>100</v>
      </c>
      <c r="N216" s="78">
        <v>100</v>
      </c>
      <c r="O216" s="78">
        <v>100</v>
      </c>
      <c r="P216" s="78">
        <v>0</v>
      </c>
      <c r="Q216" s="78">
        <v>0</v>
      </c>
      <c r="R216" s="93">
        <v>510881</v>
      </c>
      <c r="S216" s="93"/>
      <c r="T216" s="93">
        <v>510881</v>
      </c>
      <c r="U216" s="93">
        <v>200</v>
      </c>
      <c r="V216" s="93">
        <v>1</v>
      </c>
      <c r="W216" s="93" t="s">
        <v>5138</v>
      </c>
    </row>
    <row r="217" spans="1:23" s="97" customFormat="1">
      <c r="A217" s="93">
        <v>100884</v>
      </c>
      <c r="B217" s="93" t="s">
        <v>607</v>
      </c>
      <c r="C217" s="78">
        <v>1</v>
      </c>
      <c r="D217" s="78"/>
      <c r="E217" s="78"/>
      <c r="F217" s="78">
        <v>2</v>
      </c>
      <c r="G217" s="93">
        <v>7</v>
      </c>
      <c r="H217" s="93">
        <v>0</v>
      </c>
      <c r="I217" s="78">
        <v>675</v>
      </c>
      <c r="J217" s="78">
        <v>657</v>
      </c>
      <c r="K217" s="78">
        <v>76</v>
      </c>
      <c r="L217" s="78">
        <v>21000</v>
      </c>
      <c r="M217" s="78">
        <v>100</v>
      </c>
      <c r="N217" s="78">
        <v>100</v>
      </c>
      <c r="O217" s="78">
        <v>100</v>
      </c>
      <c r="P217" s="78">
        <v>0</v>
      </c>
      <c r="Q217" s="78">
        <v>0</v>
      </c>
      <c r="R217" s="93">
        <v>510881</v>
      </c>
      <c r="S217" s="93"/>
      <c r="T217" s="93">
        <v>510881</v>
      </c>
      <c r="U217" s="93">
        <v>400</v>
      </c>
      <c r="V217" s="93">
        <v>1</v>
      </c>
      <c r="W217" s="93" t="s">
        <v>5138</v>
      </c>
    </row>
    <row r="218" spans="1:23" s="97" customFormat="1">
      <c r="A218" s="93">
        <v>100894</v>
      </c>
      <c r="B218" s="93" t="s">
        <v>613</v>
      </c>
      <c r="C218" s="78">
        <v>1</v>
      </c>
      <c r="D218" s="78"/>
      <c r="E218" s="78"/>
      <c r="F218" s="78">
        <v>2</v>
      </c>
      <c r="G218" s="93">
        <v>7</v>
      </c>
      <c r="H218" s="93">
        <v>0</v>
      </c>
      <c r="I218" s="78">
        <v>650</v>
      </c>
      <c r="J218" s="78">
        <v>645</v>
      </c>
      <c r="K218" s="78">
        <v>83</v>
      </c>
      <c r="L218" s="78">
        <v>21000</v>
      </c>
      <c r="M218" s="78">
        <v>100</v>
      </c>
      <c r="N218" s="78">
        <v>100</v>
      </c>
      <c r="O218" s="78">
        <v>100</v>
      </c>
      <c r="P218" s="78">
        <v>0</v>
      </c>
      <c r="Q218" s="78">
        <v>0</v>
      </c>
      <c r="R218" s="93">
        <v>510891</v>
      </c>
      <c r="S218" s="93"/>
      <c r="T218" s="93">
        <v>510891</v>
      </c>
      <c r="U218" s="93">
        <v>400</v>
      </c>
      <c r="V218" s="93">
        <v>3</v>
      </c>
      <c r="W218" s="93" t="s">
        <v>5138</v>
      </c>
    </row>
    <row r="219" spans="1:23" s="97" customFormat="1">
      <c r="A219" s="93">
        <v>100912</v>
      </c>
      <c r="B219" s="93" t="s">
        <v>616</v>
      </c>
      <c r="C219" s="78">
        <v>1</v>
      </c>
      <c r="D219" s="78"/>
      <c r="E219" s="78"/>
      <c r="F219" s="78">
        <v>2</v>
      </c>
      <c r="G219" s="93">
        <v>5</v>
      </c>
      <c r="H219" s="93">
        <v>100913</v>
      </c>
      <c r="I219" s="78">
        <v>570</v>
      </c>
      <c r="J219" s="78">
        <v>545</v>
      </c>
      <c r="K219" s="78">
        <v>55</v>
      </c>
      <c r="L219" s="78">
        <v>10500</v>
      </c>
      <c r="M219" s="78">
        <v>100</v>
      </c>
      <c r="N219" s="78">
        <v>100</v>
      </c>
      <c r="O219" s="78">
        <v>100</v>
      </c>
      <c r="P219" s="78">
        <v>0</v>
      </c>
      <c r="Q219" s="78">
        <v>0</v>
      </c>
      <c r="R219" s="93">
        <v>510911</v>
      </c>
      <c r="S219" s="93"/>
      <c r="T219" s="93">
        <v>510911</v>
      </c>
      <c r="U219" s="93">
        <v>100</v>
      </c>
      <c r="V219" s="93">
        <v>1</v>
      </c>
      <c r="W219" s="93" t="s">
        <v>5138</v>
      </c>
    </row>
    <row r="220" spans="1:23" s="97" customFormat="1">
      <c r="A220" s="93">
        <v>100913</v>
      </c>
      <c r="B220" s="93" t="s">
        <v>616</v>
      </c>
      <c r="C220" s="78">
        <v>1</v>
      </c>
      <c r="D220" s="78"/>
      <c r="E220" s="78"/>
      <c r="F220" s="78">
        <v>2</v>
      </c>
      <c r="G220" s="93">
        <v>6</v>
      </c>
      <c r="H220" s="93">
        <v>100914</v>
      </c>
      <c r="I220" s="78">
        <v>618</v>
      </c>
      <c r="J220" s="78">
        <v>594</v>
      </c>
      <c r="K220" s="78">
        <v>65</v>
      </c>
      <c r="L220" s="78">
        <v>15000</v>
      </c>
      <c r="M220" s="78">
        <v>100</v>
      </c>
      <c r="N220" s="78">
        <v>100</v>
      </c>
      <c r="O220" s="78">
        <v>100</v>
      </c>
      <c r="P220" s="78">
        <v>0</v>
      </c>
      <c r="Q220" s="78">
        <v>0</v>
      </c>
      <c r="R220" s="93">
        <v>510911</v>
      </c>
      <c r="S220" s="93"/>
      <c r="T220" s="93">
        <v>510911</v>
      </c>
      <c r="U220" s="93">
        <v>200</v>
      </c>
      <c r="V220" s="93">
        <v>1</v>
      </c>
      <c r="W220" s="93" t="s">
        <v>5138</v>
      </c>
    </row>
    <row r="221" spans="1:23" s="97" customFormat="1">
      <c r="A221" s="93">
        <v>100914</v>
      </c>
      <c r="B221" s="93" t="s">
        <v>616</v>
      </c>
      <c r="C221" s="78">
        <v>1</v>
      </c>
      <c r="D221" s="78"/>
      <c r="E221" s="78"/>
      <c r="F221" s="78">
        <v>2</v>
      </c>
      <c r="G221" s="93">
        <v>7</v>
      </c>
      <c r="H221" s="93">
        <v>0</v>
      </c>
      <c r="I221" s="78">
        <v>670</v>
      </c>
      <c r="J221" s="78">
        <v>645</v>
      </c>
      <c r="K221" s="78">
        <v>75</v>
      </c>
      <c r="L221" s="78">
        <v>21000</v>
      </c>
      <c r="M221" s="78">
        <v>100</v>
      </c>
      <c r="N221" s="78">
        <v>100</v>
      </c>
      <c r="O221" s="78">
        <v>100</v>
      </c>
      <c r="P221" s="78">
        <v>0</v>
      </c>
      <c r="Q221" s="78">
        <v>0</v>
      </c>
      <c r="R221" s="93">
        <v>510911</v>
      </c>
      <c r="S221" s="93"/>
      <c r="T221" s="93">
        <v>510911</v>
      </c>
      <c r="U221" s="93">
        <v>400</v>
      </c>
      <c r="V221" s="93">
        <v>1</v>
      </c>
      <c r="W221" s="93" t="s">
        <v>5138</v>
      </c>
    </row>
    <row r="222" spans="1:23" s="97" customFormat="1">
      <c r="A222" s="93">
        <v>100922</v>
      </c>
      <c r="B222" s="93" t="s">
        <v>621</v>
      </c>
      <c r="C222" s="78">
        <v>1</v>
      </c>
      <c r="D222" s="78"/>
      <c r="E222" s="78"/>
      <c r="F222" s="78">
        <v>2</v>
      </c>
      <c r="G222" s="93">
        <v>5</v>
      </c>
      <c r="H222" s="93">
        <v>100923</v>
      </c>
      <c r="I222" s="78">
        <v>564</v>
      </c>
      <c r="J222" s="78">
        <v>545</v>
      </c>
      <c r="K222" s="78">
        <v>52</v>
      </c>
      <c r="L222" s="78">
        <v>10500</v>
      </c>
      <c r="M222" s="78">
        <v>100</v>
      </c>
      <c r="N222" s="78">
        <v>100</v>
      </c>
      <c r="O222" s="78">
        <v>100</v>
      </c>
      <c r="P222" s="78">
        <v>0</v>
      </c>
      <c r="Q222" s="78">
        <v>0</v>
      </c>
      <c r="R222" s="93">
        <v>510921</v>
      </c>
      <c r="S222" s="93"/>
      <c r="T222" s="93">
        <v>510921</v>
      </c>
      <c r="U222" s="93">
        <v>100</v>
      </c>
      <c r="V222" s="93">
        <v>1</v>
      </c>
      <c r="W222" s="93" t="s">
        <v>5138</v>
      </c>
    </row>
    <row r="223" spans="1:23" s="97" customFormat="1">
      <c r="A223" s="93">
        <v>100923</v>
      </c>
      <c r="B223" s="93" t="s">
        <v>621</v>
      </c>
      <c r="C223" s="78">
        <v>1</v>
      </c>
      <c r="D223" s="78"/>
      <c r="E223" s="78"/>
      <c r="F223" s="78">
        <v>2</v>
      </c>
      <c r="G223" s="93">
        <v>6</v>
      </c>
      <c r="H223" s="93">
        <v>100924</v>
      </c>
      <c r="I223" s="78">
        <v>613</v>
      </c>
      <c r="J223" s="78">
        <v>596</v>
      </c>
      <c r="K223" s="78">
        <v>63</v>
      </c>
      <c r="L223" s="78">
        <v>15000</v>
      </c>
      <c r="M223" s="78">
        <v>100</v>
      </c>
      <c r="N223" s="78">
        <v>100</v>
      </c>
      <c r="O223" s="78">
        <v>100</v>
      </c>
      <c r="P223" s="78">
        <v>0</v>
      </c>
      <c r="Q223" s="78">
        <v>0</v>
      </c>
      <c r="R223" s="93">
        <v>510921</v>
      </c>
      <c r="S223" s="93"/>
      <c r="T223" s="93">
        <v>510921</v>
      </c>
      <c r="U223" s="93">
        <v>200</v>
      </c>
      <c r="V223" s="93">
        <v>1</v>
      </c>
      <c r="W223" s="93" t="s">
        <v>5138</v>
      </c>
    </row>
    <row r="224" spans="1:23" s="97" customFormat="1">
      <c r="A224" s="93">
        <v>100924</v>
      </c>
      <c r="B224" s="93" t="s">
        <v>621</v>
      </c>
      <c r="C224" s="78">
        <v>1</v>
      </c>
      <c r="D224" s="78"/>
      <c r="E224" s="78"/>
      <c r="F224" s="78">
        <v>2</v>
      </c>
      <c r="G224" s="93">
        <v>7</v>
      </c>
      <c r="H224" s="93">
        <v>0</v>
      </c>
      <c r="I224" s="78">
        <v>664</v>
      </c>
      <c r="J224" s="78">
        <v>649</v>
      </c>
      <c r="K224" s="78">
        <v>73</v>
      </c>
      <c r="L224" s="78">
        <v>21000</v>
      </c>
      <c r="M224" s="78">
        <v>100</v>
      </c>
      <c r="N224" s="78">
        <v>100</v>
      </c>
      <c r="O224" s="78">
        <v>100</v>
      </c>
      <c r="P224" s="78">
        <v>0</v>
      </c>
      <c r="Q224" s="78">
        <v>0</v>
      </c>
      <c r="R224" s="93">
        <v>510921</v>
      </c>
      <c r="S224" s="93"/>
      <c r="T224" s="93">
        <v>510921</v>
      </c>
      <c r="U224" s="93">
        <v>400</v>
      </c>
      <c r="V224" s="93">
        <v>1</v>
      </c>
      <c r="W224" s="93" t="s">
        <v>5138</v>
      </c>
    </row>
    <row r="225" spans="1:23" s="97" customFormat="1">
      <c r="A225" s="93">
        <v>100932</v>
      </c>
      <c r="B225" s="93" t="s">
        <v>626</v>
      </c>
      <c r="C225" s="78">
        <v>1</v>
      </c>
      <c r="D225" s="78"/>
      <c r="E225" s="78"/>
      <c r="F225" s="78">
        <v>2</v>
      </c>
      <c r="G225" s="93">
        <v>5</v>
      </c>
      <c r="H225" s="93">
        <v>100933</v>
      </c>
      <c r="I225" s="78">
        <v>550</v>
      </c>
      <c r="J225" s="78">
        <v>530</v>
      </c>
      <c r="K225" s="78">
        <v>63</v>
      </c>
      <c r="L225" s="78">
        <v>10500</v>
      </c>
      <c r="M225" s="78">
        <v>100</v>
      </c>
      <c r="N225" s="78">
        <v>100</v>
      </c>
      <c r="O225" s="78">
        <v>100</v>
      </c>
      <c r="P225" s="78">
        <v>0</v>
      </c>
      <c r="Q225" s="78">
        <v>0</v>
      </c>
      <c r="R225" s="93">
        <v>510931</v>
      </c>
      <c r="S225" s="93"/>
      <c r="T225" s="93">
        <v>510931</v>
      </c>
      <c r="U225" s="93">
        <v>100</v>
      </c>
      <c r="V225" s="93">
        <v>3</v>
      </c>
      <c r="W225" s="93" t="s">
        <v>5138</v>
      </c>
    </row>
    <row r="226" spans="1:23" s="97" customFormat="1">
      <c r="A226" s="93">
        <v>100933</v>
      </c>
      <c r="B226" s="93" t="s">
        <v>626</v>
      </c>
      <c r="C226" s="78">
        <v>1</v>
      </c>
      <c r="D226" s="78"/>
      <c r="E226" s="78"/>
      <c r="F226" s="78">
        <v>2</v>
      </c>
      <c r="G226" s="93">
        <v>6</v>
      </c>
      <c r="H226" s="93">
        <v>100934</v>
      </c>
      <c r="I226" s="78">
        <v>600</v>
      </c>
      <c r="J226" s="78">
        <v>579</v>
      </c>
      <c r="K226" s="78">
        <v>73</v>
      </c>
      <c r="L226" s="78">
        <v>15000</v>
      </c>
      <c r="M226" s="78">
        <v>100</v>
      </c>
      <c r="N226" s="78">
        <v>100</v>
      </c>
      <c r="O226" s="78">
        <v>100</v>
      </c>
      <c r="P226" s="78">
        <v>0</v>
      </c>
      <c r="Q226" s="78">
        <v>0</v>
      </c>
      <c r="R226" s="93">
        <v>510931</v>
      </c>
      <c r="S226" s="93"/>
      <c r="T226" s="93">
        <v>510931</v>
      </c>
      <c r="U226" s="93">
        <v>200</v>
      </c>
      <c r="V226" s="93">
        <v>3</v>
      </c>
      <c r="W226" s="93" t="s">
        <v>5138</v>
      </c>
    </row>
    <row r="227" spans="1:23" s="97" customFormat="1">
      <c r="A227" s="93">
        <v>100934</v>
      </c>
      <c r="B227" s="93" t="s">
        <v>626</v>
      </c>
      <c r="C227" s="78">
        <v>1</v>
      </c>
      <c r="D227" s="78"/>
      <c r="E227" s="78"/>
      <c r="F227" s="78">
        <v>2</v>
      </c>
      <c r="G227" s="93">
        <v>7</v>
      </c>
      <c r="H227" s="93">
        <v>0</v>
      </c>
      <c r="I227" s="78">
        <v>640</v>
      </c>
      <c r="J227" s="78">
        <v>630</v>
      </c>
      <c r="K227" s="78">
        <v>90</v>
      </c>
      <c r="L227" s="78">
        <v>21000</v>
      </c>
      <c r="M227" s="78">
        <v>100</v>
      </c>
      <c r="N227" s="78">
        <v>100</v>
      </c>
      <c r="O227" s="78">
        <v>100</v>
      </c>
      <c r="P227" s="78">
        <v>0</v>
      </c>
      <c r="Q227" s="78">
        <v>0</v>
      </c>
      <c r="R227" s="93">
        <v>510931</v>
      </c>
      <c r="S227" s="93"/>
      <c r="T227" s="93">
        <v>510931</v>
      </c>
      <c r="U227" s="93">
        <v>400</v>
      </c>
      <c r="V227" s="93">
        <v>3</v>
      </c>
      <c r="W227" s="93" t="s">
        <v>5138</v>
      </c>
    </row>
    <row r="228" spans="1:23" s="97" customFormat="1">
      <c r="A228" s="93">
        <v>100942</v>
      </c>
      <c r="B228" s="93" t="s">
        <v>631</v>
      </c>
      <c r="C228" s="78">
        <v>1</v>
      </c>
      <c r="D228" s="78"/>
      <c r="E228" s="78"/>
      <c r="F228" s="78">
        <v>2</v>
      </c>
      <c r="G228" s="93">
        <v>5</v>
      </c>
      <c r="H228" s="93">
        <v>100943</v>
      </c>
      <c r="I228" s="78">
        <v>537</v>
      </c>
      <c r="J228" s="78">
        <v>584</v>
      </c>
      <c r="K228" s="78">
        <v>51</v>
      </c>
      <c r="L228" s="78">
        <v>10500</v>
      </c>
      <c r="M228" s="78">
        <v>100</v>
      </c>
      <c r="N228" s="78">
        <v>100</v>
      </c>
      <c r="O228" s="78">
        <v>100</v>
      </c>
      <c r="P228" s="78">
        <v>0</v>
      </c>
      <c r="Q228" s="78">
        <v>0</v>
      </c>
      <c r="R228" s="93">
        <v>510941</v>
      </c>
      <c r="S228" s="93"/>
      <c r="T228" s="93">
        <v>510941</v>
      </c>
      <c r="U228" s="93">
        <v>100</v>
      </c>
      <c r="V228" s="93">
        <v>2</v>
      </c>
      <c r="W228" s="93" t="s">
        <v>5138</v>
      </c>
    </row>
    <row r="229" spans="1:23" s="97" customFormat="1">
      <c r="A229" s="93">
        <v>100943</v>
      </c>
      <c r="B229" s="93" t="s">
        <v>631</v>
      </c>
      <c r="C229" s="78">
        <v>1</v>
      </c>
      <c r="D229" s="78"/>
      <c r="E229" s="78"/>
      <c r="F229" s="78">
        <v>2</v>
      </c>
      <c r="G229" s="93">
        <v>6</v>
      </c>
      <c r="H229" s="93">
        <v>100944</v>
      </c>
      <c r="I229" s="78">
        <v>581</v>
      </c>
      <c r="J229" s="78">
        <v>627</v>
      </c>
      <c r="K229" s="78">
        <v>62</v>
      </c>
      <c r="L229" s="78">
        <v>15000</v>
      </c>
      <c r="M229" s="78">
        <v>100</v>
      </c>
      <c r="N229" s="78">
        <v>100</v>
      </c>
      <c r="O229" s="78">
        <v>100</v>
      </c>
      <c r="P229" s="78">
        <v>0</v>
      </c>
      <c r="Q229" s="78">
        <v>0</v>
      </c>
      <c r="R229" s="93">
        <v>510941</v>
      </c>
      <c r="S229" s="93"/>
      <c r="T229" s="93">
        <v>510941</v>
      </c>
      <c r="U229" s="93">
        <v>200</v>
      </c>
      <c r="V229" s="93">
        <v>2</v>
      </c>
      <c r="W229" s="93" t="s">
        <v>5138</v>
      </c>
    </row>
    <row r="230" spans="1:23" s="97" customFormat="1">
      <c r="A230" s="93">
        <v>100944</v>
      </c>
      <c r="B230" s="93" t="s">
        <v>631</v>
      </c>
      <c r="C230" s="78">
        <v>1</v>
      </c>
      <c r="D230" s="78"/>
      <c r="E230" s="78"/>
      <c r="F230" s="78">
        <v>2</v>
      </c>
      <c r="G230" s="93">
        <v>7</v>
      </c>
      <c r="H230" s="93">
        <v>0</v>
      </c>
      <c r="I230" s="78">
        <v>633</v>
      </c>
      <c r="J230" s="78">
        <v>672</v>
      </c>
      <c r="K230" s="78">
        <v>72</v>
      </c>
      <c r="L230" s="78">
        <v>21000</v>
      </c>
      <c r="M230" s="78">
        <v>100</v>
      </c>
      <c r="N230" s="78">
        <v>100</v>
      </c>
      <c r="O230" s="78">
        <v>100</v>
      </c>
      <c r="P230" s="78">
        <v>0</v>
      </c>
      <c r="Q230" s="78">
        <v>0</v>
      </c>
      <c r="R230" s="93">
        <v>510941</v>
      </c>
      <c r="S230" s="93"/>
      <c r="T230" s="93">
        <v>510941</v>
      </c>
      <c r="U230" s="93">
        <v>400</v>
      </c>
      <c r="V230" s="93">
        <v>2</v>
      </c>
      <c r="W230" s="93" t="s">
        <v>5138</v>
      </c>
    </row>
    <row r="231" spans="1:23" s="97" customFormat="1">
      <c r="A231" s="93">
        <v>100952</v>
      </c>
      <c r="B231" s="93" t="s">
        <v>636</v>
      </c>
      <c r="C231" s="78">
        <v>1</v>
      </c>
      <c r="D231" s="78"/>
      <c r="E231" s="78"/>
      <c r="F231" s="78">
        <v>2</v>
      </c>
      <c r="G231" s="93">
        <v>5</v>
      </c>
      <c r="H231" s="93">
        <v>100953</v>
      </c>
      <c r="I231" s="78">
        <v>550</v>
      </c>
      <c r="J231" s="78">
        <v>555</v>
      </c>
      <c r="K231" s="78">
        <v>60</v>
      </c>
      <c r="L231" s="78">
        <v>10500</v>
      </c>
      <c r="M231" s="78">
        <v>100</v>
      </c>
      <c r="N231" s="78">
        <v>100</v>
      </c>
      <c r="O231" s="78">
        <v>100</v>
      </c>
      <c r="P231" s="78">
        <v>0</v>
      </c>
      <c r="Q231" s="78">
        <v>0</v>
      </c>
      <c r="R231" s="93">
        <v>510951</v>
      </c>
      <c r="S231" s="93"/>
      <c r="T231" s="93">
        <v>510951</v>
      </c>
      <c r="U231" s="93">
        <v>100</v>
      </c>
      <c r="V231" s="93">
        <v>3</v>
      </c>
      <c r="W231" s="93" t="s">
        <v>5138</v>
      </c>
    </row>
    <row r="232" spans="1:23" s="97" customFormat="1">
      <c r="A232" s="93">
        <v>100953</v>
      </c>
      <c r="B232" s="93" t="s">
        <v>636</v>
      </c>
      <c r="C232" s="78">
        <v>1</v>
      </c>
      <c r="D232" s="78"/>
      <c r="E232" s="78"/>
      <c r="F232" s="78">
        <v>2</v>
      </c>
      <c r="G232" s="93">
        <v>6</v>
      </c>
      <c r="H232" s="93">
        <v>100954</v>
      </c>
      <c r="I232" s="78">
        <v>598</v>
      </c>
      <c r="J232" s="78">
        <v>600</v>
      </c>
      <c r="K232" s="78">
        <v>75</v>
      </c>
      <c r="L232" s="78">
        <v>15000</v>
      </c>
      <c r="M232" s="78">
        <v>100</v>
      </c>
      <c r="N232" s="78">
        <v>100</v>
      </c>
      <c r="O232" s="78">
        <v>100</v>
      </c>
      <c r="P232" s="78">
        <v>0</v>
      </c>
      <c r="Q232" s="78">
        <v>0</v>
      </c>
      <c r="R232" s="93">
        <v>510951</v>
      </c>
      <c r="S232" s="93"/>
      <c r="T232" s="93">
        <v>510951</v>
      </c>
      <c r="U232" s="93">
        <v>200</v>
      </c>
      <c r="V232" s="93">
        <v>3</v>
      </c>
      <c r="W232" s="93" t="s">
        <v>5138</v>
      </c>
    </row>
    <row r="233" spans="1:23" s="97" customFormat="1">
      <c r="A233" s="93">
        <v>100954</v>
      </c>
      <c r="B233" s="93" t="s">
        <v>636</v>
      </c>
      <c r="C233" s="78">
        <v>1</v>
      </c>
      <c r="D233" s="78"/>
      <c r="E233" s="78"/>
      <c r="F233" s="78">
        <v>2</v>
      </c>
      <c r="G233" s="93">
        <v>7</v>
      </c>
      <c r="H233" s="93">
        <v>0</v>
      </c>
      <c r="I233" s="78">
        <v>642</v>
      </c>
      <c r="J233" s="78">
        <v>645</v>
      </c>
      <c r="K233" s="78">
        <v>90</v>
      </c>
      <c r="L233" s="78">
        <v>21000</v>
      </c>
      <c r="M233" s="78">
        <v>100</v>
      </c>
      <c r="N233" s="78">
        <v>100</v>
      </c>
      <c r="O233" s="78">
        <v>100</v>
      </c>
      <c r="P233" s="78">
        <v>0</v>
      </c>
      <c r="Q233" s="78">
        <v>0</v>
      </c>
      <c r="R233" s="93">
        <v>510951</v>
      </c>
      <c r="S233" s="93"/>
      <c r="T233" s="93">
        <v>510951</v>
      </c>
      <c r="U233" s="93">
        <v>400</v>
      </c>
      <c r="V233" s="93">
        <v>3</v>
      </c>
      <c r="W233" s="93" t="s">
        <v>5138</v>
      </c>
    </row>
    <row r="234" spans="1:23" s="97" customFormat="1">
      <c r="A234" s="93">
        <v>100962</v>
      </c>
      <c r="B234" s="93" t="s">
        <v>643</v>
      </c>
      <c r="C234" s="78">
        <v>1</v>
      </c>
      <c r="D234" s="78"/>
      <c r="E234" s="78"/>
      <c r="F234" s="78">
        <v>2</v>
      </c>
      <c r="G234" s="93">
        <v>5</v>
      </c>
      <c r="H234" s="93">
        <v>100963</v>
      </c>
      <c r="I234" s="78">
        <v>545</v>
      </c>
      <c r="J234" s="78">
        <v>580</v>
      </c>
      <c r="K234" s="78">
        <v>62</v>
      </c>
      <c r="L234" s="78">
        <v>10500</v>
      </c>
      <c r="M234" s="78">
        <v>100</v>
      </c>
      <c r="N234" s="78">
        <v>100</v>
      </c>
      <c r="O234" s="78">
        <v>100</v>
      </c>
      <c r="P234" s="78">
        <v>0</v>
      </c>
      <c r="Q234" s="78">
        <v>0</v>
      </c>
      <c r="R234" s="93">
        <v>510961</v>
      </c>
      <c r="S234" s="93"/>
      <c r="T234" s="93">
        <v>510961</v>
      </c>
      <c r="U234" s="93">
        <v>80</v>
      </c>
      <c r="V234" s="93">
        <v>2</v>
      </c>
      <c r="W234" s="93" t="s">
        <v>5138</v>
      </c>
    </row>
    <row r="235" spans="1:23" s="97" customFormat="1">
      <c r="A235" s="93">
        <v>100963</v>
      </c>
      <c r="B235" s="93" t="s">
        <v>643</v>
      </c>
      <c r="C235" s="78">
        <v>1</v>
      </c>
      <c r="D235" s="78"/>
      <c r="E235" s="78"/>
      <c r="F235" s="78">
        <v>2</v>
      </c>
      <c r="G235" s="93">
        <v>6</v>
      </c>
      <c r="H235" s="93">
        <v>100964</v>
      </c>
      <c r="I235" s="78">
        <v>610</v>
      </c>
      <c r="J235" s="78">
        <v>625</v>
      </c>
      <c r="K235" s="78">
        <v>73</v>
      </c>
      <c r="L235" s="78">
        <v>15000</v>
      </c>
      <c r="M235" s="78">
        <v>100</v>
      </c>
      <c r="N235" s="78">
        <v>100</v>
      </c>
      <c r="O235" s="78">
        <v>100</v>
      </c>
      <c r="P235" s="78">
        <v>0</v>
      </c>
      <c r="Q235" s="78">
        <v>0</v>
      </c>
      <c r="R235" s="93">
        <v>510961</v>
      </c>
      <c r="S235" s="93"/>
      <c r="T235" s="93">
        <v>510961</v>
      </c>
      <c r="U235" s="93">
        <v>100</v>
      </c>
      <c r="V235" s="93">
        <v>2</v>
      </c>
      <c r="W235" s="93" t="s">
        <v>5138</v>
      </c>
    </row>
    <row r="236" spans="1:23" s="97" customFormat="1">
      <c r="A236" s="93">
        <v>100964</v>
      </c>
      <c r="B236" s="93" t="s">
        <v>643</v>
      </c>
      <c r="C236" s="78">
        <v>1</v>
      </c>
      <c r="D236" s="78"/>
      <c r="E236" s="78"/>
      <c r="F236" s="78">
        <v>2</v>
      </c>
      <c r="G236" s="93">
        <v>7</v>
      </c>
      <c r="H236" s="93">
        <v>0</v>
      </c>
      <c r="I236" s="78">
        <v>650</v>
      </c>
      <c r="J236" s="78">
        <v>670</v>
      </c>
      <c r="K236" s="78">
        <v>88</v>
      </c>
      <c r="L236" s="78">
        <v>21000</v>
      </c>
      <c r="M236" s="78">
        <v>100</v>
      </c>
      <c r="N236" s="78">
        <v>100</v>
      </c>
      <c r="O236" s="78">
        <v>100</v>
      </c>
      <c r="P236" s="78">
        <v>0</v>
      </c>
      <c r="Q236" s="78">
        <v>0</v>
      </c>
      <c r="R236" s="93">
        <v>510961</v>
      </c>
      <c r="S236" s="93"/>
      <c r="T236" s="93">
        <v>510961</v>
      </c>
      <c r="U236" s="93">
        <v>200</v>
      </c>
      <c r="V236" s="93">
        <v>2</v>
      </c>
      <c r="W236" s="93" t="s">
        <v>5138</v>
      </c>
    </row>
    <row r="237" spans="1:23">
      <c r="A237" s="78">
        <v>100972</v>
      </c>
      <c r="B237" s="99" t="s">
        <v>650</v>
      </c>
      <c r="C237" s="78">
        <v>1</v>
      </c>
      <c r="F237" s="78">
        <v>2</v>
      </c>
      <c r="G237" s="93">
        <v>5</v>
      </c>
      <c r="H237" s="93">
        <f t="shared" ref="H237:H238" si="12">A238</f>
        <v>100973</v>
      </c>
      <c r="I237" s="167">
        <v>541</v>
      </c>
      <c r="J237" s="78">
        <v>540</v>
      </c>
      <c r="K237" s="78">
        <v>60</v>
      </c>
      <c r="L237" s="78">
        <v>10500</v>
      </c>
      <c r="M237" s="78">
        <v>100</v>
      </c>
      <c r="N237" s="78">
        <v>100</v>
      </c>
      <c r="O237" s="78">
        <v>100</v>
      </c>
      <c r="P237" s="78">
        <v>0</v>
      </c>
      <c r="Q237" s="78">
        <v>0</v>
      </c>
      <c r="R237" s="93">
        <v>510971</v>
      </c>
      <c r="T237" s="93">
        <v>510971</v>
      </c>
      <c r="U237" s="93">
        <v>100</v>
      </c>
      <c r="V237" s="99">
        <v>3</v>
      </c>
      <c r="W237" s="93" t="s">
        <v>5138</v>
      </c>
    </row>
    <row r="238" spans="1:23">
      <c r="A238" s="78">
        <v>100973</v>
      </c>
      <c r="B238" s="99" t="s">
        <v>650</v>
      </c>
      <c r="C238" s="78">
        <v>1</v>
      </c>
      <c r="F238" s="78">
        <v>2</v>
      </c>
      <c r="G238" s="93">
        <v>6</v>
      </c>
      <c r="H238" s="93">
        <f t="shared" si="12"/>
        <v>100974</v>
      </c>
      <c r="I238" s="167">
        <v>592</v>
      </c>
      <c r="J238" s="78">
        <v>585</v>
      </c>
      <c r="K238" s="78">
        <v>75</v>
      </c>
      <c r="L238" s="78">
        <v>15000</v>
      </c>
      <c r="M238" s="78">
        <v>100</v>
      </c>
      <c r="N238" s="78">
        <v>100</v>
      </c>
      <c r="O238" s="78">
        <v>100</v>
      </c>
      <c r="P238" s="78">
        <v>0</v>
      </c>
      <c r="Q238" s="78">
        <v>0</v>
      </c>
      <c r="R238" s="93">
        <v>510971</v>
      </c>
      <c r="T238" s="93">
        <v>510971</v>
      </c>
      <c r="U238" s="93">
        <v>200</v>
      </c>
      <c r="V238" s="99">
        <v>3</v>
      </c>
      <c r="W238" s="93" t="s">
        <v>5138</v>
      </c>
    </row>
    <row r="239" spans="1:23">
      <c r="A239" s="78">
        <v>100974</v>
      </c>
      <c r="B239" s="99" t="s">
        <v>650</v>
      </c>
      <c r="C239" s="78">
        <v>1</v>
      </c>
      <c r="F239" s="78">
        <v>2</v>
      </c>
      <c r="G239" s="93">
        <v>7</v>
      </c>
      <c r="H239" s="93">
        <v>0</v>
      </c>
      <c r="I239" s="167">
        <v>645</v>
      </c>
      <c r="J239" s="78">
        <v>625</v>
      </c>
      <c r="K239" s="78">
        <v>90</v>
      </c>
      <c r="L239" s="78">
        <v>21000</v>
      </c>
      <c r="M239" s="78">
        <v>100</v>
      </c>
      <c r="N239" s="78">
        <v>100</v>
      </c>
      <c r="O239" s="78">
        <v>100</v>
      </c>
      <c r="P239" s="78">
        <v>0</v>
      </c>
      <c r="Q239" s="78">
        <v>0</v>
      </c>
      <c r="R239" s="93">
        <v>510971</v>
      </c>
      <c r="T239" s="93">
        <v>510971</v>
      </c>
      <c r="U239" s="93">
        <v>400</v>
      </c>
      <c r="V239" s="99">
        <v>3</v>
      </c>
      <c r="W239" s="93" t="s">
        <v>5138</v>
      </c>
    </row>
    <row r="240" spans="1:23" s="97" customFormat="1">
      <c r="A240" s="78">
        <v>100982</v>
      </c>
      <c r="B240" s="93" t="s">
        <v>657</v>
      </c>
      <c r="C240" s="78">
        <v>1</v>
      </c>
      <c r="D240" s="78"/>
      <c r="E240" s="78"/>
      <c r="F240" s="78">
        <v>2</v>
      </c>
      <c r="G240" s="93">
        <v>5</v>
      </c>
      <c r="H240" s="93">
        <v>100983</v>
      </c>
      <c r="I240" s="78">
        <v>538</v>
      </c>
      <c r="J240" s="78">
        <v>584</v>
      </c>
      <c r="K240" s="78">
        <v>55</v>
      </c>
      <c r="L240" s="78">
        <v>10500</v>
      </c>
      <c r="M240" s="78">
        <v>100</v>
      </c>
      <c r="N240" s="78">
        <v>100</v>
      </c>
      <c r="O240" s="78">
        <v>100</v>
      </c>
      <c r="P240" s="78">
        <v>0</v>
      </c>
      <c r="Q240" s="78">
        <v>0</v>
      </c>
      <c r="R240" s="93">
        <v>510981</v>
      </c>
      <c r="S240" s="93"/>
      <c r="T240" s="93">
        <v>510981</v>
      </c>
      <c r="U240" s="93">
        <v>80</v>
      </c>
      <c r="V240" s="93">
        <v>2</v>
      </c>
      <c r="W240" s="93" t="s">
        <v>5138</v>
      </c>
    </row>
    <row r="241" spans="1:23" s="97" customFormat="1">
      <c r="A241" s="78">
        <v>100983</v>
      </c>
      <c r="B241" s="93" t="s">
        <v>657</v>
      </c>
      <c r="C241" s="78">
        <v>1</v>
      </c>
      <c r="D241" s="78"/>
      <c r="E241" s="78"/>
      <c r="F241" s="78">
        <v>2</v>
      </c>
      <c r="G241" s="93">
        <v>6</v>
      </c>
      <c r="H241" s="93">
        <v>100984</v>
      </c>
      <c r="I241" s="78">
        <v>582</v>
      </c>
      <c r="J241" s="78">
        <v>627</v>
      </c>
      <c r="K241" s="78">
        <v>65</v>
      </c>
      <c r="L241" s="78">
        <v>15000</v>
      </c>
      <c r="M241" s="78">
        <v>100</v>
      </c>
      <c r="N241" s="78">
        <v>100</v>
      </c>
      <c r="O241" s="78">
        <v>100</v>
      </c>
      <c r="P241" s="78">
        <v>0</v>
      </c>
      <c r="Q241" s="78">
        <v>0</v>
      </c>
      <c r="R241" s="93">
        <v>510981</v>
      </c>
      <c r="S241" s="93"/>
      <c r="T241" s="93">
        <v>510981</v>
      </c>
      <c r="U241" s="93">
        <v>100</v>
      </c>
      <c r="V241" s="93">
        <v>2</v>
      </c>
      <c r="W241" s="93" t="s">
        <v>5138</v>
      </c>
    </row>
    <row r="242" spans="1:23" s="97" customFormat="1">
      <c r="A242" s="78">
        <v>100984</v>
      </c>
      <c r="B242" s="93" t="s">
        <v>657</v>
      </c>
      <c r="C242" s="78">
        <v>1</v>
      </c>
      <c r="D242" s="78"/>
      <c r="E242" s="78"/>
      <c r="F242" s="78">
        <v>2</v>
      </c>
      <c r="G242" s="93">
        <v>7</v>
      </c>
      <c r="H242" s="93">
        <v>0</v>
      </c>
      <c r="I242" s="78">
        <v>635</v>
      </c>
      <c r="J242" s="78">
        <v>672</v>
      </c>
      <c r="K242" s="78">
        <v>75</v>
      </c>
      <c r="L242" s="78">
        <v>21000</v>
      </c>
      <c r="M242" s="78">
        <v>100</v>
      </c>
      <c r="N242" s="78">
        <v>100</v>
      </c>
      <c r="O242" s="78">
        <v>100</v>
      </c>
      <c r="P242" s="78">
        <v>0</v>
      </c>
      <c r="Q242" s="78">
        <v>0</v>
      </c>
      <c r="R242" s="93">
        <v>510981</v>
      </c>
      <c r="S242" s="93"/>
      <c r="T242" s="93">
        <v>510981</v>
      </c>
      <c r="U242" s="93">
        <v>200</v>
      </c>
      <c r="V242" s="93">
        <v>2</v>
      </c>
      <c r="W242" s="93" t="s">
        <v>5138</v>
      </c>
    </row>
    <row r="243" spans="1:23" s="97" customFormat="1">
      <c r="A243" s="78">
        <v>100992</v>
      </c>
      <c r="B243" s="93" t="s">
        <v>664</v>
      </c>
      <c r="C243" s="78">
        <v>1</v>
      </c>
      <c r="D243" s="78"/>
      <c r="E243" s="78"/>
      <c r="F243" s="78">
        <v>2</v>
      </c>
      <c r="G243" s="93">
        <v>5</v>
      </c>
      <c r="H243" s="78">
        <v>100993</v>
      </c>
      <c r="I243" s="78">
        <v>570</v>
      </c>
      <c r="J243" s="78">
        <v>545</v>
      </c>
      <c r="K243" s="78">
        <v>55</v>
      </c>
      <c r="L243" s="78">
        <v>10500</v>
      </c>
      <c r="M243" s="78">
        <v>100</v>
      </c>
      <c r="N243" s="78">
        <v>100</v>
      </c>
      <c r="O243" s="78">
        <v>100</v>
      </c>
      <c r="P243" s="78">
        <v>0</v>
      </c>
      <c r="Q243" s="78">
        <v>0</v>
      </c>
      <c r="R243" s="93">
        <v>510991</v>
      </c>
      <c r="S243" s="93"/>
      <c r="T243" s="93">
        <v>510991</v>
      </c>
      <c r="U243" s="93">
        <v>100</v>
      </c>
      <c r="V243" s="93">
        <v>1</v>
      </c>
      <c r="W243" s="93" t="s">
        <v>5138</v>
      </c>
    </row>
    <row r="244" spans="1:23" s="97" customFormat="1">
      <c r="A244" s="78">
        <v>100993</v>
      </c>
      <c r="B244" s="93" t="s">
        <v>664</v>
      </c>
      <c r="C244" s="78">
        <v>1</v>
      </c>
      <c r="D244" s="78"/>
      <c r="E244" s="78"/>
      <c r="F244" s="78">
        <v>2</v>
      </c>
      <c r="G244" s="93">
        <v>6</v>
      </c>
      <c r="H244" s="78">
        <v>100994</v>
      </c>
      <c r="I244" s="78">
        <v>618</v>
      </c>
      <c r="J244" s="78">
        <v>594</v>
      </c>
      <c r="K244" s="78">
        <v>65</v>
      </c>
      <c r="L244" s="78">
        <v>15000</v>
      </c>
      <c r="M244" s="78">
        <v>100</v>
      </c>
      <c r="N244" s="78">
        <v>100</v>
      </c>
      <c r="O244" s="78">
        <v>100</v>
      </c>
      <c r="P244" s="78">
        <v>0</v>
      </c>
      <c r="Q244" s="78">
        <v>0</v>
      </c>
      <c r="R244" s="93">
        <v>510991</v>
      </c>
      <c r="S244" s="93"/>
      <c r="T244" s="93">
        <v>510991</v>
      </c>
      <c r="U244" s="93">
        <v>200</v>
      </c>
      <c r="V244" s="93">
        <v>1</v>
      </c>
      <c r="W244" s="93" t="s">
        <v>5138</v>
      </c>
    </row>
    <row r="245" spans="1:23" s="97" customFormat="1">
      <c r="A245" s="78">
        <v>100994</v>
      </c>
      <c r="B245" s="93" t="s">
        <v>664</v>
      </c>
      <c r="C245" s="78">
        <v>1</v>
      </c>
      <c r="D245" s="78"/>
      <c r="E245" s="78"/>
      <c r="F245" s="78">
        <v>2</v>
      </c>
      <c r="G245" s="93">
        <v>7</v>
      </c>
      <c r="H245" s="78">
        <v>0</v>
      </c>
      <c r="I245" s="78">
        <v>670</v>
      </c>
      <c r="J245" s="78">
        <v>645</v>
      </c>
      <c r="K245" s="78">
        <v>75</v>
      </c>
      <c r="L245" s="78">
        <v>21000</v>
      </c>
      <c r="M245" s="78">
        <v>100</v>
      </c>
      <c r="N245" s="78">
        <v>100</v>
      </c>
      <c r="O245" s="78">
        <v>100</v>
      </c>
      <c r="P245" s="78">
        <v>0</v>
      </c>
      <c r="Q245" s="78">
        <v>0</v>
      </c>
      <c r="R245" s="93">
        <v>510991</v>
      </c>
      <c r="S245" s="93"/>
      <c r="T245" s="93">
        <v>510991</v>
      </c>
      <c r="U245" s="93">
        <v>400</v>
      </c>
      <c r="V245" s="93">
        <v>1</v>
      </c>
      <c r="W245" s="93" t="s">
        <v>5138</v>
      </c>
    </row>
    <row r="246" spans="1:23" s="97" customFormat="1">
      <c r="A246" s="93">
        <v>101002</v>
      </c>
      <c r="B246" s="93" t="s">
        <v>671</v>
      </c>
      <c r="C246" s="78">
        <v>1</v>
      </c>
      <c r="D246" s="78"/>
      <c r="E246" s="78"/>
      <c r="F246" s="78">
        <v>2</v>
      </c>
      <c r="G246" s="93">
        <v>5</v>
      </c>
      <c r="H246" s="93">
        <v>101003</v>
      </c>
      <c r="I246" s="78">
        <v>541</v>
      </c>
      <c r="J246" s="78">
        <v>578</v>
      </c>
      <c r="K246" s="78">
        <v>52</v>
      </c>
      <c r="L246" s="78">
        <v>10500</v>
      </c>
      <c r="M246" s="78">
        <v>100</v>
      </c>
      <c r="N246" s="78">
        <v>100</v>
      </c>
      <c r="O246" s="78">
        <v>100</v>
      </c>
      <c r="P246" s="78">
        <v>0</v>
      </c>
      <c r="Q246" s="78">
        <v>0</v>
      </c>
      <c r="R246" s="93">
        <v>511001</v>
      </c>
      <c r="S246" s="93"/>
      <c r="T246" s="93">
        <v>511001</v>
      </c>
      <c r="U246" s="93">
        <v>100</v>
      </c>
      <c r="V246" s="93">
        <v>2</v>
      </c>
      <c r="W246" s="93" t="s">
        <v>5138</v>
      </c>
    </row>
    <row r="247" spans="1:23" s="97" customFormat="1">
      <c r="A247" s="93">
        <v>101003</v>
      </c>
      <c r="B247" s="93" t="s">
        <v>671</v>
      </c>
      <c r="C247" s="78">
        <v>1</v>
      </c>
      <c r="D247" s="78"/>
      <c r="E247" s="78"/>
      <c r="F247" s="78">
        <v>2</v>
      </c>
      <c r="G247" s="93">
        <v>6</v>
      </c>
      <c r="H247" s="93">
        <v>101004</v>
      </c>
      <c r="I247" s="78">
        <v>588</v>
      </c>
      <c r="J247" s="78">
        <v>620</v>
      </c>
      <c r="K247" s="78">
        <v>62</v>
      </c>
      <c r="L247" s="78">
        <v>15000</v>
      </c>
      <c r="M247" s="78">
        <v>100</v>
      </c>
      <c r="N247" s="78">
        <v>100</v>
      </c>
      <c r="O247" s="78">
        <v>100</v>
      </c>
      <c r="P247" s="78">
        <v>0</v>
      </c>
      <c r="Q247" s="78">
        <v>0</v>
      </c>
      <c r="R247" s="93">
        <v>511001</v>
      </c>
      <c r="S247" s="93"/>
      <c r="T247" s="93">
        <v>511001</v>
      </c>
      <c r="U247" s="93">
        <v>200</v>
      </c>
      <c r="V247" s="93">
        <v>2</v>
      </c>
      <c r="W247" s="93" t="s">
        <v>5138</v>
      </c>
    </row>
    <row r="248" spans="1:23" s="97" customFormat="1">
      <c r="A248" s="93">
        <v>101004</v>
      </c>
      <c r="B248" s="93" t="s">
        <v>671</v>
      </c>
      <c r="C248" s="78">
        <v>1</v>
      </c>
      <c r="D248" s="78"/>
      <c r="E248" s="78"/>
      <c r="F248" s="78">
        <v>2</v>
      </c>
      <c r="G248" s="93">
        <v>7</v>
      </c>
      <c r="H248" s="93">
        <v>0</v>
      </c>
      <c r="I248" s="78">
        <v>645</v>
      </c>
      <c r="J248" s="78">
        <v>665</v>
      </c>
      <c r="K248" s="78">
        <v>72</v>
      </c>
      <c r="L248" s="78">
        <v>21000</v>
      </c>
      <c r="M248" s="78">
        <v>100</v>
      </c>
      <c r="N248" s="78">
        <v>100</v>
      </c>
      <c r="O248" s="78">
        <v>100</v>
      </c>
      <c r="P248" s="78">
        <v>0</v>
      </c>
      <c r="Q248" s="78">
        <v>0</v>
      </c>
      <c r="R248" s="93">
        <v>511001</v>
      </c>
      <c r="S248" s="93"/>
      <c r="T248" s="93">
        <v>511001</v>
      </c>
      <c r="U248" s="93">
        <v>400</v>
      </c>
      <c r="V248" s="93">
        <v>2</v>
      </c>
      <c r="W248" s="93" t="s">
        <v>5138</v>
      </c>
    </row>
    <row r="249" spans="1:23" s="168" customFormat="1">
      <c r="A249" s="87">
        <v>101012</v>
      </c>
      <c r="B249" s="86" t="s">
        <v>678</v>
      </c>
      <c r="C249" s="87">
        <v>1</v>
      </c>
      <c r="D249" s="87"/>
      <c r="E249" s="87"/>
      <c r="F249" s="87">
        <v>2</v>
      </c>
      <c r="G249" s="86">
        <v>5</v>
      </c>
      <c r="H249" s="86">
        <v>101013</v>
      </c>
      <c r="I249" s="87">
        <v>550</v>
      </c>
      <c r="J249" s="87">
        <v>590</v>
      </c>
      <c r="K249" s="87">
        <v>52</v>
      </c>
      <c r="L249" s="87">
        <v>10500</v>
      </c>
      <c r="M249" s="87">
        <v>100</v>
      </c>
      <c r="N249" s="87">
        <v>100</v>
      </c>
      <c r="O249" s="87">
        <v>100</v>
      </c>
      <c r="P249" s="87">
        <v>0</v>
      </c>
      <c r="Q249" s="87">
        <v>0</v>
      </c>
      <c r="R249" s="86">
        <v>511011</v>
      </c>
      <c r="S249" s="86"/>
      <c r="T249" s="86">
        <v>511011</v>
      </c>
      <c r="U249" s="86">
        <v>100</v>
      </c>
      <c r="V249" s="86">
        <v>2</v>
      </c>
      <c r="W249" s="86" t="s">
        <v>5138</v>
      </c>
    </row>
    <row r="250" spans="1:23" s="168" customFormat="1">
      <c r="A250" s="87">
        <v>101013</v>
      </c>
      <c r="B250" s="86" t="s">
        <v>678</v>
      </c>
      <c r="C250" s="87">
        <v>1</v>
      </c>
      <c r="D250" s="87"/>
      <c r="E250" s="87"/>
      <c r="F250" s="87">
        <v>2</v>
      </c>
      <c r="G250" s="86">
        <v>6</v>
      </c>
      <c r="H250" s="86">
        <v>101014</v>
      </c>
      <c r="I250" s="87">
        <v>595</v>
      </c>
      <c r="J250" s="87">
        <v>630</v>
      </c>
      <c r="K250" s="87">
        <v>62</v>
      </c>
      <c r="L250" s="87">
        <v>15000</v>
      </c>
      <c r="M250" s="87">
        <v>100</v>
      </c>
      <c r="N250" s="87">
        <v>100</v>
      </c>
      <c r="O250" s="87">
        <v>100</v>
      </c>
      <c r="P250" s="87">
        <v>0</v>
      </c>
      <c r="Q250" s="87">
        <v>0</v>
      </c>
      <c r="R250" s="86">
        <v>511011</v>
      </c>
      <c r="S250" s="86"/>
      <c r="T250" s="86">
        <v>511011</v>
      </c>
      <c r="U250" s="86">
        <v>200</v>
      </c>
      <c r="V250" s="86">
        <v>2</v>
      </c>
      <c r="W250" s="86" t="s">
        <v>5138</v>
      </c>
    </row>
    <row r="251" spans="1:23" s="168" customFormat="1">
      <c r="A251" s="87">
        <v>101014</v>
      </c>
      <c r="B251" s="86" t="s">
        <v>678</v>
      </c>
      <c r="C251" s="87">
        <v>1</v>
      </c>
      <c r="D251" s="87"/>
      <c r="E251" s="87"/>
      <c r="F251" s="87">
        <v>2</v>
      </c>
      <c r="G251" s="86">
        <v>7</v>
      </c>
      <c r="H251" s="86">
        <v>0</v>
      </c>
      <c r="I251" s="87">
        <v>650</v>
      </c>
      <c r="J251" s="87">
        <v>670</v>
      </c>
      <c r="K251" s="87">
        <v>72</v>
      </c>
      <c r="L251" s="87">
        <v>21000</v>
      </c>
      <c r="M251" s="87">
        <v>100</v>
      </c>
      <c r="N251" s="87">
        <v>100</v>
      </c>
      <c r="O251" s="87">
        <v>100</v>
      </c>
      <c r="P251" s="87">
        <v>0</v>
      </c>
      <c r="Q251" s="87">
        <v>0</v>
      </c>
      <c r="R251" s="86">
        <v>511011</v>
      </c>
      <c r="S251" s="86"/>
      <c r="T251" s="86">
        <v>511011</v>
      </c>
      <c r="U251" s="86">
        <v>400</v>
      </c>
      <c r="V251" s="86">
        <v>2</v>
      </c>
      <c r="W251" s="86" t="s">
        <v>5138</v>
      </c>
    </row>
    <row r="252" spans="1:23" s="97" customFormat="1">
      <c r="A252" s="78">
        <v>101022</v>
      </c>
      <c r="B252" s="93" t="s">
        <v>685</v>
      </c>
      <c r="C252" s="78">
        <v>1</v>
      </c>
      <c r="D252" s="78"/>
      <c r="E252" s="78"/>
      <c r="F252" s="78">
        <v>2</v>
      </c>
      <c r="G252" s="93">
        <v>5</v>
      </c>
      <c r="H252" s="93">
        <v>101023</v>
      </c>
      <c r="I252" s="78">
        <v>575</v>
      </c>
      <c r="J252" s="78">
        <v>548</v>
      </c>
      <c r="K252" s="78">
        <v>58</v>
      </c>
      <c r="L252" s="78">
        <v>10500</v>
      </c>
      <c r="M252" s="78">
        <v>100</v>
      </c>
      <c r="N252" s="78">
        <v>100</v>
      </c>
      <c r="O252" s="78">
        <v>100</v>
      </c>
      <c r="P252" s="87">
        <v>0</v>
      </c>
      <c r="Q252" s="87">
        <v>0</v>
      </c>
      <c r="R252" s="86">
        <v>511021</v>
      </c>
      <c r="S252" s="86"/>
      <c r="T252" s="86">
        <v>511021</v>
      </c>
      <c r="U252" s="86">
        <v>100</v>
      </c>
      <c r="V252" s="93">
        <v>1</v>
      </c>
      <c r="W252" s="93" t="s">
        <v>5138</v>
      </c>
    </row>
    <row r="253" spans="1:23" s="97" customFormat="1">
      <c r="A253" s="78">
        <v>101023</v>
      </c>
      <c r="B253" s="93" t="s">
        <v>685</v>
      </c>
      <c r="C253" s="78">
        <v>1</v>
      </c>
      <c r="D253" s="78"/>
      <c r="E253" s="78"/>
      <c r="F253" s="78">
        <v>2</v>
      </c>
      <c r="G253" s="93">
        <v>6</v>
      </c>
      <c r="H253" s="93">
        <v>101024</v>
      </c>
      <c r="I253" s="78">
        <v>620</v>
      </c>
      <c r="J253" s="78">
        <v>594</v>
      </c>
      <c r="K253" s="78">
        <v>68</v>
      </c>
      <c r="L253" s="78">
        <v>15000</v>
      </c>
      <c r="M253" s="78">
        <v>100</v>
      </c>
      <c r="N253" s="78">
        <v>100</v>
      </c>
      <c r="O253" s="78">
        <v>100</v>
      </c>
      <c r="P253" s="87">
        <v>0</v>
      </c>
      <c r="Q253" s="87">
        <v>0</v>
      </c>
      <c r="R253" s="86">
        <v>511021</v>
      </c>
      <c r="S253" s="86"/>
      <c r="T253" s="86">
        <v>511021</v>
      </c>
      <c r="U253" s="86">
        <v>200</v>
      </c>
      <c r="V253" s="93">
        <v>1</v>
      </c>
      <c r="W253" s="93" t="s">
        <v>5138</v>
      </c>
    </row>
    <row r="254" spans="1:23" s="97" customFormat="1">
      <c r="A254" s="78">
        <v>101024</v>
      </c>
      <c r="B254" s="93" t="s">
        <v>685</v>
      </c>
      <c r="C254" s="78">
        <v>1</v>
      </c>
      <c r="D254" s="78"/>
      <c r="E254" s="78"/>
      <c r="F254" s="78">
        <v>2</v>
      </c>
      <c r="G254" s="93">
        <v>7</v>
      </c>
      <c r="H254" s="93">
        <v>0</v>
      </c>
      <c r="I254" s="78">
        <v>675</v>
      </c>
      <c r="J254" s="78">
        <v>650</v>
      </c>
      <c r="K254" s="78">
        <v>78</v>
      </c>
      <c r="L254" s="78">
        <v>21000</v>
      </c>
      <c r="M254" s="78">
        <v>100</v>
      </c>
      <c r="N254" s="78">
        <v>100</v>
      </c>
      <c r="O254" s="78">
        <v>100</v>
      </c>
      <c r="P254" s="87">
        <v>0</v>
      </c>
      <c r="Q254" s="87">
        <v>0</v>
      </c>
      <c r="R254" s="86">
        <v>511021</v>
      </c>
      <c r="S254" s="86"/>
      <c r="T254" s="86">
        <v>511021</v>
      </c>
      <c r="U254" s="86">
        <v>400</v>
      </c>
      <c r="V254" s="93">
        <v>1</v>
      </c>
      <c r="W254" s="93" t="s">
        <v>5138</v>
      </c>
    </row>
    <row r="255" spans="1:23" s="168" customFormat="1">
      <c r="A255" s="87">
        <v>101032</v>
      </c>
      <c r="B255" s="86" t="s">
        <v>692</v>
      </c>
      <c r="C255" s="87">
        <v>1</v>
      </c>
      <c r="D255" s="87"/>
      <c r="E255" s="87"/>
      <c r="F255" s="87">
        <v>2</v>
      </c>
      <c r="G255" s="86">
        <v>5</v>
      </c>
      <c r="H255" s="86">
        <v>101033</v>
      </c>
      <c r="I255" s="87">
        <v>580</v>
      </c>
      <c r="J255" s="87">
        <v>550</v>
      </c>
      <c r="K255" s="87">
        <v>50</v>
      </c>
      <c r="L255" s="87">
        <v>10500</v>
      </c>
      <c r="M255" s="87">
        <v>100</v>
      </c>
      <c r="N255" s="87">
        <v>100</v>
      </c>
      <c r="O255" s="87">
        <v>100</v>
      </c>
      <c r="P255" s="87">
        <v>0</v>
      </c>
      <c r="Q255" s="87">
        <v>0</v>
      </c>
      <c r="R255" s="86">
        <v>511031</v>
      </c>
      <c r="S255" s="86"/>
      <c r="T255" s="86">
        <v>511031</v>
      </c>
      <c r="U255" s="86">
        <v>100</v>
      </c>
      <c r="V255" s="86">
        <v>1</v>
      </c>
      <c r="W255" s="86" t="s">
        <v>5138</v>
      </c>
    </row>
    <row r="256" spans="1:23" s="168" customFormat="1">
      <c r="A256" s="87">
        <v>101033</v>
      </c>
      <c r="B256" s="86" t="s">
        <v>692</v>
      </c>
      <c r="C256" s="87">
        <v>1</v>
      </c>
      <c r="D256" s="87"/>
      <c r="E256" s="87"/>
      <c r="F256" s="87">
        <v>2</v>
      </c>
      <c r="G256" s="86">
        <v>6</v>
      </c>
      <c r="H256" s="86">
        <v>101034</v>
      </c>
      <c r="I256" s="87">
        <v>630</v>
      </c>
      <c r="J256" s="87">
        <v>600</v>
      </c>
      <c r="K256" s="87">
        <v>60</v>
      </c>
      <c r="L256" s="87">
        <v>15000</v>
      </c>
      <c r="M256" s="87">
        <v>100</v>
      </c>
      <c r="N256" s="87">
        <v>100</v>
      </c>
      <c r="O256" s="87">
        <v>100</v>
      </c>
      <c r="P256" s="87">
        <v>0</v>
      </c>
      <c r="Q256" s="87">
        <v>0</v>
      </c>
      <c r="R256" s="86">
        <v>511031</v>
      </c>
      <c r="S256" s="86"/>
      <c r="T256" s="86">
        <v>511031</v>
      </c>
      <c r="U256" s="86">
        <v>200</v>
      </c>
      <c r="V256" s="86">
        <v>1</v>
      </c>
      <c r="W256" s="86" t="s">
        <v>5138</v>
      </c>
    </row>
    <row r="257" spans="1:23" s="168" customFormat="1">
      <c r="A257" s="87">
        <v>101034</v>
      </c>
      <c r="B257" s="86" t="s">
        <v>692</v>
      </c>
      <c r="C257" s="87">
        <v>1</v>
      </c>
      <c r="D257" s="87"/>
      <c r="E257" s="87"/>
      <c r="F257" s="87">
        <v>2</v>
      </c>
      <c r="G257" s="86">
        <v>7</v>
      </c>
      <c r="H257" s="86">
        <v>0</v>
      </c>
      <c r="I257" s="87">
        <v>685</v>
      </c>
      <c r="J257" s="87">
        <v>650</v>
      </c>
      <c r="K257" s="87">
        <v>70</v>
      </c>
      <c r="L257" s="87">
        <v>21000</v>
      </c>
      <c r="M257" s="87">
        <v>100</v>
      </c>
      <c r="N257" s="87">
        <v>100</v>
      </c>
      <c r="O257" s="87">
        <v>100</v>
      </c>
      <c r="P257" s="87">
        <v>0</v>
      </c>
      <c r="Q257" s="87">
        <v>0</v>
      </c>
      <c r="R257" s="86">
        <v>511031</v>
      </c>
      <c r="S257" s="86"/>
      <c r="T257" s="86">
        <v>511031</v>
      </c>
      <c r="U257" s="86">
        <v>400</v>
      </c>
      <c r="V257" s="86">
        <v>1</v>
      </c>
      <c r="W257" s="86" t="s">
        <v>5138</v>
      </c>
    </row>
    <row r="258" spans="1:23" s="97" customFormat="1">
      <c r="A258" s="78">
        <v>101042</v>
      </c>
      <c r="B258" s="93" t="s">
        <v>699</v>
      </c>
      <c r="C258" s="78">
        <v>1</v>
      </c>
      <c r="D258" s="78"/>
      <c r="E258" s="78"/>
      <c r="F258" s="78">
        <v>2</v>
      </c>
      <c r="G258" s="93">
        <v>5</v>
      </c>
      <c r="H258" s="93">
        <v>101043</v>
      </c>
      <c r="I258" s="78">
        <v>535</v>
      </c>
      <c r="J258" s="78">
        <v>600</v>
      </c>
      <c r="K258" s="78">
        <v>50</v>
      </c>
      <c r="L258" s="78">
        <v>10500</v>
      </c>
      <c r="M258" s="78">
        <v>100</v>
      </c>
      <c r="N258" s="78">
        <v>100</v>
      </c>
      <c r="O258" s="78">
        <v>100</v>
      </c>
      <c r="P258" s="87">
        <v>0</v>
      </c>
      <c r="Q258" s="87">
        <v>0</v>
      </c>
      <c r="R258" s="86">
        <v>511041</v>
      </c>
      <c r="S258" s="86"/>
      <c r="T258" s="86">
        <v>511041</v>
      </c>
      <c r="U258" s="93">
        <v>100</v>
      </c>
      <c r="V258" s="93">
        <v>2</v>
      </c>
      <c r="W258" s="93" t="s">
        <v>5138</v>
      </c>
    </row>
    <row r="259" spans="1:23" s="97" customFormat="1">
      <c r="A259" s="78">
        <v>101043</v>
      </c>
      <c r="B259" s="93" t="s">
        <v>699</v>
      </c>
      <c r="C259" s="78">
        <v>1</v>
      </c>
      <c r="D259" s="78"/>
      <c r="E259" s="78"/>
      <c r="F259" s="78">
        <v>2</v>
      </c>
      <c r="G259" s="93">
        <v>6</v>
      </c>
      <c r="H259" s="93">
        <v>101044</v>
      </c>
      <c r="I259" s="78">
        <v>575</v>
      </c>
      <c r="J259" s="78">
        <v>650</v>
      </c>
      <c r="K259" s="78">
        <v>60</v>
      </c>
      <c r="L259" s="78">
        <v>15000</v>
      </c>
      <c r="M259" s="78">
        <v>100</v>
      </c>
      <c r="N259" s="78">
        <v>100</v>
      </c>
      <c r="O259" s="78">
        <v>100</v>
      </c>
      <c r="P259" s="87">
        <v>0</v>
      </c>
      <c r="Q259" s="87">
        <v>0</v>
      </c>
      <c r="R259" s="86">
        <v>511041</v>
      </c>
      <c r="S259" s="86"/>
      <c r="T259" s="86">
        <v>511041</v>
      </c>
      <c r="U259" s="93">
        <v>200</v>
      </c>
      <c r="V259" s="93">
        <v>2</v>
      </c>
      <c r="W259" s="93" t="s">
        <v>5138</v>
      </c>
    </row>
    <row r="260" spans="1:23" s="97" customFormat="1">
      <c r="A260" s="78">
        <v>101044</v>
      </c>
      <c r="B260" s="93" t="s">
        <v>699</v>
      </c>
      <c r="C260" s="78">
        <v>1</v>
      </c>
      <c r="D260" s="78"/>
      <c r="E260" s="78"/>
      <c r="F260" s="78">
        <v>2</v>
      </c>
      <c r="G260" s="93">
        <v>7</v>
      </c>
      <c r="H260" s="93">
        <v>0</v>
      </c>
      <c r="I260" s="78">
        <v>630</v>
      </c>
      <c r="J260" s="78">
        <v>690</v>
      </c>
      <c r="K260" s="78">
        <v>70</v>
      </c>
      <c r="L260" s="78">
        <v>21000</v>
      </c>
      <c r="M260" s="78">
        <v>100</v>
      </c>
      <c r="N260" s="78">
        <v>100</v>
      </c>
      <c r="O260" s="78">
        <v>100</v>
      </c>
      <c r="P260" s="87">
        <v>0</v>
      </c>
      <c r="Q260" s="87">
        <v>0</v>
      </c>
      <c r="R260" s="86">
        <v>511041</v>
      </c>
      <c r="S260" s="86"/>
      <c r="T260" s="86">
        <v>511041</v>
      </c>
      <c r="U260" s="93">
        <v>400</v>
      </c>
      <c r="V260" s="93">
        <v>2</v>
      </c>
      <c r="W260" s="93" t="s">
        <v>5138</v>
      </c>
    </row>
    <row r="261" spans="1:23" s="97" customFormat="1">
      <c r="A261" s="78">
        <v>101052</v>
      </c>
      <c r="B261" s="93" t="s">
        <v>5140</v>
      </c>
      <c r="C261" s="78">
        <v>1</v>
      </c>
      <c r="D261" s="78"/>
      <c r="E261" s="78"/>
      <c r="F261" s="78">
        <v>2</v>
      </c>
      <c r="G261" s="93">
        <v>5</v>
      </c>
      <c r="H261" s="93">
        <v>101053</v>
      </c>
      <c r="I261" s="78">
        <v>582</v>
      </c>
      <c r="J261" s="78">
        <v>555</v>
      </c>
      <c r="K261" s="78">
        <v>52</v>
      </c>
      <c r="L261" s="78">
        <v>10500</v>
      </c>
      <c r="M261" s="78">
        <v>100</v>
      </c>
      <c r="N261" s="78">
        <v>100</v>
      </c>
      <c r="O261" s="78">
        <v>100</v>
      </c>
      <c r="P261" s="87">
        <v>0</v>
      </c>
      <c r="Q261" s="87">
        <v>0</v>
      </c>
      <c r="R261" s="86">
        <v>511052</v>
      </c>
      <c r="S261" s="86"/>
      <c r="T261" s="86">
        <v>511052</v>
      </c>
      <c r="U261" s="86">
        <v>100</v>
      </c>
      <c r="V261" s="93">
        <v>1</v>
      </c>
      <c r="W261" s="93" t="s">
        <v>5138</v>
      </c>
    </row>
    <row r="262" spans="1:23" s="97" customFormat="1">
      <c r="A262" s="78">
        <v>101053</v>
      </c>
      <c r="B262" s="93" t="s">
        <v>5140</v>
      </c>
      <c r="C262" s="78">
        <v>1</v>
      </c>
      <c r="D262" s="78"/>
      <c r="E262" s="78"/>
      <c r="F262" s="78">
        <v>2</v>
      </c>
      <c r="G262" s="93">
        <v>6</v>
      </c>
      <c r="H262" s="93">
        <v>101054</v>
      </c>
      <c r="I262" s="78">
        <v>628</v>
      </c>
      <c r="J262" s="78">
        <v>600</v>
      </c>
      <c r="K262" s="78">
        <v>65</v>
      </c>
      <c r="L262" s="78">
        <v>15000</v>
      </c>
      <c r="M262" s="78">
        <v>100</v>
      </c>
      <c r="N262" s="78">
        <v>100</v>
      </c>
      <c r="O262" s="78">
        <v>100</v>
      </c>
      <c r="P262" s="87">
        <v>0</v>
      </c>
      <c r="Q262" s="87">
        <v>0</v>
      </c>
      <c r="R262" s="86">
        <v>511052</v>
      </c>
      <c r="S262" s="86"/>
      <c r="T262" s="86">
        <v>511052</v>
      </c>
      <c r="U262" s="86">
        <v>200</v>
      </c>
      <c r="V262" s="93">
        <v>1</v>
      </c>
      <c r="W262" s="93" t="s">
        <v>5138</v>
      </c>
    </row>
    <row r="263" spans="1:23" s="97" customFormat="1">
      <c r="A263" s="78">
        <v>101054</v>
      </c>
      <c r="B263" s="93" t="s">
        <v>5140</v>
      </c>
      <c r="C263" s="78">
        <v>1</v>
      </c>
      <c r="D263" s="78"/>
      <c r="E263" s="78"/>
      <c r="F263" s="78">
        <v>2</v>
      </c>
      <c r="G263" s="93">
        <v>7</v>
      </c>
      <c r="H263" s="93">
        <v>0</v>
      </c>
      <c r="I263" s="78">
        <v>688</v>
      </c>
      <c r="J263" s="78">
        <v>645</v>
      </c>
      <c r="K263" s="78">
        <v>78</v>
      </c>
      <c r="L263" s="78">
        <v>21000</v>
      </c>
      <c r="M263" s="78">
        <v>100</v>
      </c>
      <c r="N263" s="78">
        <v>100</v>
      </c>
      <c r="O263" s="78">
        <v>100</v>
      </c>
      <c r="P263" s="87">
        <v>0</v>
      </c>
      <c r="Q263" s="87">
        <v>0</v>
      </c>
      <c r="R263" s="86">
        <v>511052</v>
      </c>
      <c r="S263" s="86"/>
      <c r="T263" s="86">
        <v>511052</v>
      </c>
      <c r="U263" s="86">
        <v>400</v>
      </c>
      <c r="V263" s="93">
        <v>1</v>
      </c>
      <c r="W263" s="93" t="s">
        <v>5138</v>
      </c>
    </row>
    <row r="264" spans="1:23" s="97" customFormat="1">
      <c r="A264" s="78">
        <v>101062</v>
      </c>
      <c r="B264" s="93" t="s">
        <v>713</v>
      </c>
      <c r="C264" s="78">
        <v>1</v>
      </c>
      <c r="D264" s="78"/>
      <c r="E264" s="78"/>
      <c r="F264" s="78">
        <v>2</v>
      </c>
      <c r="G264" s="93">
        <v>5</v>
      </c>
      <c r="H264" s="93">
        <v>101063</v>
      </c>
      <c r="I264" s="167">
        <v>541</v>
      </c>
      <c r="J264" s="78">
        <v>540</v>
      </c>
      <c r="K264" s="78">
        <v>70</v>
      </c>
      <c r="L264" s="78">
        <v>10500</v>
      </c>
      <c r="M264" s="78">
        <v>100</v>
      </c>
      <c r="N264" s="78">
        <v>100</v>
      </c>
      <c r="O264" s="78">
        <v>100</v>
      </c>
      <c r="P264" s="87">
        <v>0</v>
      </c>
      <c r="Q264" s="87">
        <v>0</v>
      </c>
      <c r="R264" s="86">
        <v>511061</v>
      </c>
      <c r="S264" s="86"/>
      <c r="T264" s="86">
        <v>511061</v>
      </c>
      <c r="U264" s="93">
        <v>100</v>
      </c>
      <c r="V264" s="99">
        <v>3</v>
      </c>
      <c r="W264" s="93" t="s">
        <v>5138</v>
      </c>
    </row>
    <row r="265" spans="1:23" s="97" customFormat="1">
      <c r="A265" s="78">
        <v>101063</v>
      </c>
      <c r="B265" s="93" t="s">
        <v>713</v>
      </c>
      <c r="C265" s="78">
        <v>1</v>
      </c>
      <c r="D265" s="78"/>
      <c r="E265" s="78"/>
      <c r="F265" s="78">
        <v>2</v>
      </c>
      <c r="G265" s="93">
        <v>6</v>
      </c>
      <c r="H265" s="93">
        <v>101064</v>
      </c>
      <c r="I265" s="167">
        <v>590</v>
      </c>
      <c r="J265" s="78">
        <v>585</v>
      </c>
      <c r="K265" s="78">
        <v>80</v>
      </c>
      <c r="L265" s="78">
        <v>15000</v>
      </c>
      <c r="M265" s="78">
        <v>100</v>
      </c>
      <c r="N265" s="78">
        <v>100</v>
      </c>
      <c r="O265" s="78">
        <v>100</v>
      </c>
      <c r="P265" s="87">
        <v>0</v>
      </c>
      <c r="Q265" s="87">
        <v>0</v>
      </c>
      <c r="R265" s="86">
        <v>511061</v>
      </c>
      <c r="S265" s="86"/>
      <c r="T265" s="86">
        <v>511061</v>
      </c>
      <c r="U265" s="93">
        <v>200</v>
      </c>
      <c r="V265" s="99">
        <v>3</v>
      </c>
      <c r="W265" s="93" t="s">
        <v>5138</v>
      </c>
    </row>
    <row r="266" spans="1:23" s="97" customFormat="1">
      <c r="A266" s="78">
        <v>101064</v>
      </c>
      <c r="B266" s="93" t="s">
        <v>713</v>
      </c>
      <c r="C266" s="78">
        <v>1</v>
      </c>
      <c r="D266" s="78"/>
      <c r="E266" s="78"/>
      <c r="F266" s="78">
        <v>2</v>
      </c>
      <c r="G266" s="93">
        <v>7</v>
      </c>
      <c r="H266" s="93">
        <v>0</v>
      </c>
      <c r="I266" s="167">
        <v>645</v>
      </c>
      <c r="J266" s="78">
        <v>625</v>
      </c>
      <c r="K266" s="78">
        <v>90</v>
      </c>
      <c r="L266" s="78">
        <v>21000</v>
      </c>
      <c r="M266" s="78">
        <v>100</v>
      </c>
      <c r="N266" s="78">
        <v>100</v>
      </c>
      <c r="O266" s="78">
        <v>100</v>
      </c>
      <c r="P266" s="87">
        <v>0</v>
      </c>
      <c r="Q266" s="87">
        <v>0</v>
      </c>
      <c r="R266" s="86">
        <v>511061</v>
      </c>
      <c r="S266" s="86"/>
      <c r="T266" s="86">
        <v>511061</v>
      </c>
      <c r="U266" s="93">
        <v>400</v>
      </c>
      <c r="V266" s="99">
        <v>3</v>
      </c>
      <c r="W266" s="93" t="s">
        <v>5138</v>
      </c>
    </row>
    <row r="267" spans="1:23" s="97" customFormat="1">
      <c r="A267" s="78">
        <v>101072</v>
      </c>
      <c r="B267" s="93" t="s">
        <v>720</v>
      </c>
      <c r="C267" s="78">
        <v>1</v>
      </c>
      <c r="D267" s="78"/>
      <c r="E267" s="78"/>
      <c r="F267" s="78">
        <v>2</v>
      </c>
      <c r="G267" s="93">
        <v>5</v>
      </c>
      <c r="H267" s="93">
        <v>101073</v>
      </c>
      <c r="I267" s="78">
        <v>545</v>
      </c>
      <c r="J267" s="78">
        <v>575</v>
      </c>
      <c r="K267" s="78">
        <v>50</v>
      </c>
      <c r="L267" s="78">
        <v>10500</v>
      </c>
      <c r="M267" s="78">
        <v>100</v>
      </c>
      <c r="N267" s="78">
        <v>100</v>
      </c>
      <c r="O267" s="78">
        <v>100</v>
      </c>
      <c r="P267" s="87">
        <v>0</v>
      </c>
      <c r="Q267" s="87">
        <v>0</v>
      </c>
      <c r="R267" s="93">
        <v>511071</v>
      </c>
      <c r="S267" s="93"/>
      <c r="T267" s="93">
        <v>511071</v>
      </c>
      <c r="U267" s="93">
        <v>100</v>
      </c>
      <c r="V267" s="93">
        <v>2</v>
      </c>
      <c r="W267" s="93" t="s">
        <v>5138</v>
      </c>
    </row>
    <row r="268" spans="1:23" s="97" customFormat="1">
      <c r="A268" s="78">
        <v>101073</v>
      </c>
      <c r="B268" s="93" t="s">
        <v>720</v>
      </c>
      <c r="C268" s="78">
        <v>1</v>
      </c>
      <c r="D268" s="78"/>
      <c r="E268" s="78"/>
      <c r="F268" s="78">
        <v>2</v>
      </c>
      <c r="G268" s="93">
        <v>6</v>
      </c>
      <c r="H268" s="93">
        <v>101074</v>
      </c>
      <c r="I268" s="78">
        <v>600</v>
      </c>
      <c r="J268" s="78">
        <v>620</v>
      </c>
      <c r="K268" s="78">
        <v>60</v>
      </c>
      <c r="L268" s="78">
        <v>15000</v>
      </c>
      <c r="M268" s="78">
        <v>100</v>
      </c>
      <c r="N268" s="78">
        <v>100</v>
      </c>
      <c r="O268" s="78">
        <v>100</v>
      </c>
      <c r="P268" s="87">
        <v>0</v>
      </c>
      <c r="Q268" s="87">
        <v>0</v>
      </c>
      <c r="R268" s="93">
        <v>511071</v>
      </c>
      <c r="S268" s="93"/>
      <c r="T268" s="93">
        <v>511071</v>
      </c>
      <c r="U268" s="93">
        <v>200</v>
      </c>
      <c r="V268" s="93">
        <v>2</v>
      </c>
      <c r="W268" s="93" t="s">
        <v>5138</v>
      </c>
    </row>
    <row r="269" spans="1:23" s="97" customFormat="1">
      <c r="A269" s="78">
        <v>101074</v>
      </c>
      <c r="B269" s="93" t="s">
        <v>720</v>
      </c>
      <c r="C269" s="78">
        <v>1</v>
      </c>
      <c r="D269" s="78"/>
      <c r="E269" s="78"/>
      <c r="F269" s="78">
        <v>2</v>
      </c>
      <c r="G269" s="93">
        <v>7</v>
      </c>
      <c r="H269" s="93">
        <v>0</v>
      </c>
      <c r="I269" s="78">
        <v>643</v>
      </c>
      <c r="J269" s="78">
        <v>662</v>
      </c>
      <c r="K269" s="78">
        <v>75</v>
      </c>
      <c r="L269" s="78">
        <v>21000</v>
      </c>
      <c r="M269" s="78">
        <v>100</v>
      </c>
      <c r="N269" s="78">
        <v>100</v>
      </c>
      <c r="O269" s="78">
        <v>100</v>
      </c>
      <c r="P269" s="87">
        <v>0</v>
      </c>
      <c r="Q269" s="87">
        <v>0</v>
      </c>
      <c r="R269" s="93">
        <v>511071</v>
      </c>
      <c r="S269" s="93"/>
      <c r="T269" s="93">
        <v>511071</v>
      </c>
      <c r="U269" s="93">
        <v>400</v>
      </c>
      <c r="V269" s="93">
        <v>2</v>
      </c>
      <c r="W269" s="93" t="s">
        <v>5138</v>
      </c>
    </row>
    <row r="270" spans="1:23" s="97" customFormat="1">
      <c r="A270" s="78">
        <v>101082</v>
      </c>
      <c r="B270" s="93" t="s">
        <v>727</v>
      </c>
      <c r="C270" s="78">
        <v>1</v>
      </c>
      <c r="D270" s="78"/>
      <c r="E270" s="78"/>
      <c r="F270" s="78">
        <v>2</v>
      </c>
      <c r="G270" s="93">
        <v>5</v>
      </c>
      <c r="H270" s="93">
        <v>100183</v>
      </c>
      <c r="I270" s="78">
        <v>530</v>
      </c>
      <c r="J270" s="78">
        <v>580</v>
      </c>
      <c r="K270" s="78">
        <v>45</v>
      </c>
      <c r="L270" s="78">
        <v>10500</v>
      </c>
      <c r="M270" s="78">
        <v>100</v>
      </c>
      <c r="N270" s="78">
        <v>100</v>
      </c>
      <c r="O270" s="78">
        <v>100</v>
      </c>
      <c r="P270" s="87">
        <v>0</v>
      </c>
      <c r="Q270" s="87">
        <v>0</v>
      </c>
      <c r="R270" s="93">
        <v>511081</v>
      </c>
      <c r="S270" s="93"/>
      <c r="T270" s="93">
        <v>511081</v>
      </c>
      <c r="U270" s="93">
        <v>100</v>
      </c>
      <c r="V270" s="93">
        <v>2</v>
      </c>
      <c r="W270" s="93" t="s">
        <v>5138</v>
      </c>
    </row>
    <row r="271" spans="1:23" s="97" customFormat="1">
      <c r="A271" s="78">
        <v>101083</v>
      </c>
      <c r="B271" s="93" t="s">
        <v>727</v>
      </c>
      <c r="C271" s="78">
        <v>1</v>
      </c>
      <c r="D271" s="78"/>
      <c r="E271" s="78"/>
      <c r="F271" s="78">
        <v>2</v>
      </c>
      <c r="G271" s="93">
        <v>6</v>
      </c>
      <c r="H271" s="93">
        <v>100184</v>
      </c>
      <c r="I271" s="78">
        <v>580</v>
      </c>
      <c r="J271" s="78">
        <v>625</v>
      </c>
      <c r="K271" s="78">
        <v>55</v>
      </c>
      <c r="L271" s="78">
        <v>15000</v>
      </c>
      <c r="M271" s="78">
        <v>100</v>
      </c>
      <c r="N271" s="78">
        <v>100</v>
      </c>
      <c r="O271" s="78">
        <v>100</v>
      </c>
      <c r="P271" s="87">
        <v>0</v>
      </c>
      <c r="Q271" s="87">
        <v>0</v>
      </c>
      <c r="R271" s="93">
        <v>511081</v>
      </c>
      <c r="S271" s="93"/>
      <c r="T271" s="93">
        <v>511081</v>
      </c>
      <c r="U271" s="93">
        <v>200</v>
      </c>
      <c r="V271" s="93">
        <v>2</v>
      </c>
      <c r="W271" s="93" t="s">
        <v>5138</v>
      </c>
    </row>
    <row r="272" spans="1:23" s="97" customFormat="1">
      <c r="A272" s="78">
        <v>101084</v>
      </c>
      <c r="B272" s="93" t="s">
        <v>727</v>
      </c>
      <c r="C272" s="78">
        <v>1</v>
      </c>
      <c r="D272" s="78"/>
      <c r="E272" s="78"/>
      <c r="F272" s="78">
        <v>2</v>
      </c>
      <c r="G272" s="93">
        <v>7</v>
      </c>
      <c r="H272" s="93">
        <v>0</v>
      </c>
      <c r="I272" s="78">
        <v>640</v>
      </c>
      <c r="J272" s="78">
        <v>670</v>
      </c>
      <c r="K272" s="78">
        <v>68</v>
      </c>
      <c r="L272" s="78">
        <v>21000</v>
      </c>
      <c r="M272" s="78">
        <v>100</v>
      </c>
      <c r="N272" s="78">
        <v>100</v>
      </c>
      <c r="O272" s="78">
        <v>100</v>
      </c>
      <c r="P272" s="87">
        <v>0</v>
      </c>
      <c r="Q272" s="87">
        <v>0</v>
      </c>
      <c r="R272" s="93">
        <v>511081</v>
      </c>
      <c r="S272" s="93"/>
      <c r="T272" s="93">
        <v>511081</v>
      </c>
      <c r="U272" s="93">
        <v>400</v>
      </c>
      <c r="V272" s="93">
        <v>2</v>
      </c>
      <c r="W272" s="93" t="s">
        <v>5138</v>
      </c>
    </row>
    <row r="273" spans="1:23" s="97" customFormat="1">
      <c r="A273" s="78">
        <v>101092</v>
      </c>
      <c r="B273" s="93" t="s">
        <v>734</v>
      </c>
      <c r="C273" s="78">
        <v>1</v>
      </c>
      <c r="D273" s="78"/>
      <c r="E273" s="78"/>
      <c r="F273" s="78">
        <v>2</v>
      </c>
      <c r="G273" s="93">
        <v>5</v>
      </c>
      <c r="H273" s="93">
        <v>101093</v>
      </c>
      <c r="I273" s="78">
        <v>580</v>
      </c>
      <c r="J273" s="78">
        <v>550</v>
      </c>
      <c r="K273" s="78">
        <v>50</v>
      </c>
      <c r="L273" s="78">
        <v>10500</v>
      </c>
      <c r="M273" s="78">
        <v>100</v>
      </c>
      <c r="N273" s="78">
        <v>100</v>
      </c>
      <c r="O273" s="78">
        <v>100</v>
      </c>
      <c r="P273" s="87">
        <v>0</v>
      </c>
      <c r="Q273" s="87">
        <v>0</v>
      </c>
      <c r="R273" s="86">
        <v>511091</v>
      </c>
      <c r="S273" s="86"/>
      <c r="T273" s="86">
        <v>511091</v>
      </c>
      <c r="U273" s="93">
        <v>100</v>
      </c>
      <c r="V273" s="93">
        <v>1</v>
      </c>
      <c r="W273" s="93" t="s">
        <v>5138</v>
      </c>
    </row>
    <row r="274" spans="1:23" s="97" customFormat="1">
      <c r="A274" s="78">
        <v>101093</v>
      </c>
      <c r="B274" s="93" t="s">
        <v>734</v>
      </c>
      <c r="C274" s="78">
        <v>1</v>
      </c>
      <c r="D274" s="78"/>
      <c r="E274" s="78"/>
      <c r="F274" s="78">
        <v>2</v>
      </c>
      <c r="G274" s="93">
        <v>6</v>
      </c>
      <c r="H274" s="93">
        <v>101094</v>
      </c>
      <c r="I274" s="78">
        <v>630</v>
      </c>
      <c r="J274" s="78">
        <v>600</v>
      </c>
      <c r="K274" s="78">
        <v>60</v>
      </c>
      <c r="L274" s="78">
        <v>15000</v>
      </c>
      <c r="M274" s="78">
        <v>100</v>
      </c>
      <c r="N274" s="78">
        <v>100</v>
      </c>
      <c r="O274" s="78">
        <v>100</v>
      </c>
      <c r="P274" s="87">
        <v>0</v>
      </c>
      <c r="Q274" s="87">
        <v>0</v>
      </c>
      <c r="R274" s="86">
        <v>511091</v>
      </c>
      <c r="S274" s="86"/>
      <c r="T274" s="86">
        <v>511091</v>
      </c>
      <c r="U274" s="93">
        <v>200</v>
      </c>
      <c r="V274" s="93">
        <v>1</v>
      </c>
      <c r="W274" s="93" t="s">
        <v>5138</v>
      </c>
    </row>
    <row r="275" spans="1:23" s="97" customFormat="1">
      <c r="A275" s="78">
        <v>101094</v>
      </c>
      <c r="B275" s="93" t="s">
        <v>734</v>
      </c>
      <c r="C275" s="78">
        <v>1</v>
      </c>
      <c r="D275" s="78"/>
      <c r="E275" s="78"/>
      <c r="F275" s="78">
        <v>2</v>
      </c>
      <c r="G275" s="93">
        <v>7</v>
      </c>
      <c r="H275" s="93">
        <v>0</v>
      </c>
      <c r="I275" s="78">
        <v>685</v>
      </c>
      <c r="J275" s="78">
        <v>650</v>
      </c>
      <c r="K275" s="78">
        <v>70</v>
      </c>
      <c r="L275" s="78">
        <v>21000</v>
      </c>
      <c r="M275" s="78">
        <v>100</v>
      </c>
      <c r="N275" s="78">
        <v>100</v>
      </c>
      <c r="O275" s="78">
        <v>100</v>
      </c>
      <c r="P275" s="87">
        <v>0</v>
      </c>
      <c r="Q275" s="87">
        <v>0</v>
      </c>
      <c r="R275" s="86">
        <v>511091</v>
      </c>
      <c r="S275" s="86"/>
      <c r="T275" s="86">
        <v>511091</v>
      </c>
      <c r="U275" s="93">
        <v>400</v>
      </c>
      <c r="V275" s="93">
        <v>1</v>
      </c>
      <c r="W275" s="93" t="s">
        <v>5138</v>
      </c>
    </row>
    <row r="276" spans="1:23" s="97" customFormat="1">
      <c r="A276" s="78">
        <v>101102</v>
      </c>
      <c r="B276" s="93" t="s">
        <v>741</v>
      </c>
      <c r="C276" s="78">
        <v>1</v>
      </c>
      <c r="D276" s="78"/>
      <c r="E276" s="78"/>
      <c r="F276" s="78">
        <v>2</v>
      </c>
      <c r="G276" s="93">
        <v>5</v>
      </c>
      <c r="H276" s="93">
        <v>101103</v>
      </c>
      <c r="I276" s="78">
        <v>582</v>
      </c>
      <c r="J276" s="78">
        <v>555</v>
      </c>
      <c r="K276" s="78">
        <v>52</v>
      </c>
      <c r="L276" s="78">
        <v>10500</v>
      </c>
      <c r="M276" s="78">
        <v>100</v>
      </c>
      <c r="N276" s="78">
        <v>100</v>
      </c>
      <c r="O276" s="78">
        <v>100</v>
      </c>
      <c r="P276" s="78">
        <v>0</v>
      </c>
      <c r="Q276" s="78">
        <v>0</v>
      </c>
      <c r="R276" s="93">
        <v>511101</v>
      </c>
      <c r="S276" s="93"/>
      <c r="T276" s="93">
        <v>511101</v>
      </c>
      <c r="U276" s="93">
        <v>100</v>
      </c>
      <c r="V276" s="93">
        <v>1</v>
      </c>
      <c r="W276" s="93" t="s">
        <v>5138</v>
      </c>
    </row>
    <row r="277" spans="1:23" s="97" customFormat="1">
      <c r="A277" s="78">
        <v>101103</v>
      </c>
      <c r="B277" s="93" t="s">
        <v>741</v>
      </c>
      <c r="C277" s="78">
        <v>1</v>
      </c>
      <c r="D277" s="78"/>
      <c r="E277" s="78"/>
      <c r="F277" s="78">
        <v>2</v>
      </c>
      <c r="G277" s="93">
        <v>6</v>
      </c>
      <c r="H277" s="93">
        <v>101104</v>
      </c>
      <c r="I277" s="78">
        <v>628</v>
      </c>
      <c r="J277" s="78">
        <v>605</v>
      </c>
      <c r="K277" s="78">
        <v>65</v>
      </c>
      <c r="L277" s="78">
        <v>15000</v>
      </c>
      <c r="M277" s="78">
        <v>100</v>
      </c>
      <c r="N277" s="78">
        <v>100</v>
      </c>
      <c r="O277" s="78">
        <v>100</v>
      </c>
      <c r="P277" s="78">
        <v>0</v>
      </c>
      <c r="Q277" s="78">
        <v>0</v>
      </c>
      <c r="R277" s="93">
        <v>511101</v>
      </c>
      <c r="S277" s="93"/>
      <c r="T277" s="93">
        <v>511101</v>
      </c>
      <c r="U277" s="93">
        <v>200</v>
      </c>
      <c r="V277" s="93">
        <v>1</v>
      </c>
      <c r="W277" s="93" t="s">
        <v>5138</v>
      </c>
    </row>
    <row r="278" spans="1:23" s="97" customFormat="1">
      <c r="A278" s="78">
        <v>101104</v>
      </c>
      <c r="B278" s="93" t="s">
        <v>741</v>
      </c>
      <c r="C278" s="78">
        <v>1</v>
      </c>
      <c r="D278" s="78"/>
      <c r="E278" s="78"/>
      <c r="F278" s="78">
        <v>2</v>
      </c>
      <c r="G278" s="93">
        <v>7</v>
      </c>
      <c r="H278" s="93">
        <v>0</v>
      </c>
      <c r="I278" s="78">
        <v>688</v>
      </c>
      <c r="J278" s="78">
        <v>645</v>
      </c>
      <c r="K278" s="78">
        <v>78</v>
      </c>
      <c r="L278" s="78">
        <v>21000</v>
      </c>
      <c r="M278" s="78">
        <v>100</v>
      </c>
      <c r="N278" s="78">
        <v>100</v>
      </c>
      <c r="O278" s="78">
        <v>100</v>
      </c>
      <c r="P278" s="78">
        <v>0</v>
      </c>
      <c r="Q278" s="78">
        <v>0</v>
      </c>
      <c r="R278" s="93">
        <v>511101</v>
      </c>
      <c r="S278" s="93"/>
      <c r="T278" s="93">
        <v>511101</v>
      </c>
      <c r="U278" s="93">
        <v>400</v>
      </c>
      <c r="V278" s="93">
        <v>1</v>
      </c>
      <c r="W278" s="93" t="s">
        <v>5138</v>
      </c>
    </row>
    <row r="279" spans="1:23" s="97" customFormat="1">
      <c r="A279" s="78">
        <v>101112</v>
      </c>
      <c r="B279" s="93" t="s">
        <v>5141</v>
      </c>
      <c r="C279" s="78">
        <v>1</v>
      </c>
      <c r="D279" s="78"/>
      <c r="E279" s="78"/>
      <c r="F279" s="78">
        <v>2</v>
      </c>
      <c r="G279" s="93">
        <v>5</v>
      </c>
      <c r="H279" s="93">
        <v>101113</v>
      </c>
      <c r="I279" s="78">
        <v>530</v>
      </c>
      <c r="J279" s="78">
        <v>580</v>
      </c>
      <c r="K279" s="78">
        <v>45</v>
      </c>
      <c r="L279" s="78">
        <v>10500</v>
      </c>
      <c r="M279" s="78">
        <v>100</v>
      </c>
      <c r="N279" s="78">
        <v>100</v>
      </c>
      <c r="O279" s="78">
        <v>100</v>
      </c>
      <c r="P279" s="78">
        <v>0</v>
      </c>
      <c r="Q279" s="78">
        <v>0</v>
      </c>
      <c r="R279" s="93">
        <v>511111</v>
      </c>
      <c r="S279" s="93"/>
      <c r="T279" s="93">
        <v>511111</v>
      </c>
      <c r="U279" s="93">
        <v>100</v>
      </c>
      <c r="V279" s="93">
        <v>2</v>
      </c>
      <c r="W279" s="93" t="s">
        <v>5138</v>
      </c>
    </row>
    <row r="280" spans="1:23" s="97" customFormat="1">
      <c r="A280" s="78">
        <v>101113</v>
      </c>
      <c r="B280" s="93" t="s">
        <v>5141</v>
      </c>
      <c r="C280" s="78">
        <v>1</v>
      </c>
      <c r="D280" s="78"/>
      <c r="E280" s="78"/>
      <c r="F280" s="78">
        <v>2</v>
      </c>
      <c r="G280" s="93">
        <v>6</v>
      </c>
      <c r="H280" s="93">
        <v>101114</v>
      </c>
      <c r="I280" s="78">
        <v>600</v>
      </c>
      <c r="J280" s="78">
        <v>625</v>
      </c>
      <c r="K280" s="78">
        <v>55</v>
      </c>
      <c r="L280" s="78">
        <v>15000</v>
      </c>
      <c r="M280" s="78">
        <v>100</v>
      </c>
      <c r="N280" s="78">
        <v>100</v>
      </c>
      <c r="O280" s="78">
        <v>100</v>
      </c>
      <c r="P280" s="78">
        <v>0</v>
      </c>
      <c r="Q280" s="78">
        <v>0</v>
      </c>
      <c r="R280" s="93">
        <v>511111</v>
      </c>
      <c r="S280" s="93"/>
      <c r="T280" s="93">
        <v>511111</v>
      </c>
      <c r="U280" s="93">
        <v>200</v>
      </c>
      <c r="V280" s="93">
        <v>2</v>
      </c>
      <c r="W280" s="93" t="s">
        <v>5138</v>
      </c>
    </row>
    <row r="281" spans="1:23" s="97" customFormat="1">
      <c r="A281" s="78">
        <v>101114</v>
      </c>
      <c r="B281" s="93" t="s">
        <v>5141</v>
      </c>
      <c r="C281" s="78">
        <v>1</v>
      </c>
      <c r="D281" s="78"/>
      <c r="E281" s="78"/>
      <c r="F281" s="78">
        <v>2</v>
      </c>
      <c r="G281" s="93">
        <v>7</v>
      </c>
      <c r="H281" s="93">
        <v>0</v>
      </c>
      <c r="I281" s="78">
        <v>640</v>
      </c>
      <c r="J281" s="78">
        <v>670</v>
      </c>
      <c r="K281" s="78">
        <v>68</v>
      </c>
      <c r="L281" s="78">
        <v>21000</v>
      </c>
      <c r="M281" s="78">
        <v>100</v>
      </c>
      <c r="N281" s="78">
        <v>100</v>
      </c>
      <c r="O281" s="78">
        <v>100</v>
      </c>
      <c r="P281" s="78">
        <v>0</v>
      </c>
      <c r="Q281" s="78">
        <v>0</v>
      </c>
      <c r="R281" s="93">
        <v>511111</v>
      </c>
      <c r="S281" s="93"/>
      <c r="T281" s="93">
        <v>511111</v>
      </c>
      <c r="U281" s="93">
        <v>400</v>
      </c>
      <c r="V281" s="93">
        <v>2</v>
      </c>
      <c r="W281" s="93" t="s">
        <v>5138</v>
      </c>
    </row>
    <row r="282" spans="1:23" s="97" customFormat="1">
      <c r="A282" s="78">
        <v>101122</v>
      </c>
      <c r="B282" s="93" t="s">
        <v>755</v>
      </c>
      <c r="C282" s="78">
        <v>1</v>
      </c>
      <c r="D282" s="78"/>
      <c r="E282" s="78"/>
      <c r="F282" s="78">
        <v>2</v>
      </c>
      <c r="G282" s="93">
        <v>5</v>
      </c>
      <c r="H282" s="93">
        <v>101123</v>
      </c>
      <c r="I282" s="167">
        <v>541</v>
      </c>
      <c r="J282" s="78">
        <v>540</v>
      </c>
      <c r="K282" s="78">
        <v>70</v>
      </c>
      <c r="L282" s="78">
        <v>10500</v>
      </c>
      <c r="M282" s="78">
        <v>100</v>
      </c>
      <c r="N282" s="78">
        <v>100</v>
      </c>
      <c r="O282" s="78">
        <v>100</v>
      </c>
      <c r="P282" s="78">
        <v>0</v>
      </c>
      <c r="Q282" s="78">
        <v>0</v>
      </c>
      <c r="R282" s="93">
        <v>511121</v>
      </c>
      <c r="S282" s="93"/>
      <c r="T282" s="93">
        <v>511121</v>
      </c>
      <c r="U282" s="93">
        <v>100</v>
      </c>
      <c r="V282" s="99">
        <v>3</v>
      </c>
      <c r="W282" s="93" t="s">
        <v>5138</v>
      </c>
    </row>
    <row r="283" spans="1:23" s="97" customFormat="1">
      <c r="A283" s="78">
        <v>101123</v>
      </c>
      <c r="B283" s="93" t="s">
        <v>755</v>
      </c>
      <c r="C283" s="78">
        <v>1</v>
      </c>
      <c r="D283" s="78"/>
      <c r="E283" s="78"/>
      <c r="F283" s="78">
        <v>2</v>
      </c>
      <c r="G283" s="93">
        <v>6</v>
      </c>
      <c r="H283" s="93">
        <v>101124</v>
      </c>
      <c r="I283" s="167">
        <v>591</v>
      </c>
      <c r="J283" s="78">
        <v>580</v>
      </c>
      <c r="K283" s="78">
        <v>80</v>
      </c>
      <c r="L283" s="78">
        <v>15000</v>
      </c>
      <c r="M283" s="78">
        <v>100</v>
      </c>
      <c r="N283" s="78">
        <v>100</v>
      </c>
      <c r="O283" s="78">
        <v>100</v>
      </c>
      <c r="P283" s="78">
        <v>0</v>
      </c>
      <c r="Q283" s="78">
        <v>0</v>
      </c>
      <c r="R283" s="93">
        <v>511121</v>
      </c>
      <c r="S283" s="93"/>
      <c r="T283" s="93">
        <v>511121</v>
      </c>
      <c r="U283" s="93">
        <v>200</v>
      </c>
      <c r="V283" s="99">
        <v>3</v>
      </c>
      <c r="W283" s="93" t="s">
        <v>5138</v>
      </c>
    </row>
    <row r="284" spans="1:23" s="97" customFormat="1">
      <c r="A284" s="78">
        <v>101124</v>
      </c>
      <c r="B284" s="93" t="s">
        <v>755</v>
      </c>
      <c r="C284" s="78">
        <v>1</v>
      </c>
      <c r="D284" s="78"/>
      <c r="E284" s="78"/>
      <c r="F284" s="78">
        <v>2</v>
      </c>
      <c r="G284" s="93">
        <v>7</v>
      </c>
      <c r="H284" s="93">
        <v>0</v>
      </c>
      <c r="I284" s="167">
        <v>645</v>
      </c>
      <c r="J284" s="78">
        <v>625</v>
      </c>
      <c r="K284" s="78">
        <v>90</v>
      </c>
      <c r="L284" s="78">
        <v>21000</v>
      </c>
      <c r="M284" s="78">
        <v>100</v>
      </c>
      <c r="N284" s="78">
        <v>100</v>
      </c>
      <c r="O284" s="78">
        <v>100</v>
      </c>
      <c r="P284" s="78">
        <v>0</v>
      </c>
      <c r="Q284" s="78">
        <v>0</v>
      </c>
      <c r="R284" s="93">
        <v>511121</v>
      </c>
      <c r="S284" s="93"/>
      <c r="T284" s="93">
        <v>511121</v>
      </c>
      <c r="U284" s="93">
        <v>400</v>
      </c>
      <c r="V284" s="99">
        <v>3</v>
      </c>
      <c r="W284" s="93" t="s">
        <v>5138</v>
      </c>
    </row>
    <row r="285" spans="1:23" s="97" customFormat="1">
      <c r="A285" s="78">
        <v>101132</v>
      </c>
      <c r="B285" s="93" t="s">
        <v>4133</v>
      </c>
      <c r="C285" s="78">
        <v>1</v>
      </c>
      <c r="D285" s="78"/>
      <c r="E285" s="78"/>
      <c r="F285" s="78">
        <v>2</v>
      </c>
      <c r="G285" s="93">
        <v>5</v>
      </c>
      <c r="H285" s="78">
        <v>101133</v>
      </c>
      <c r="I285" s="78">
        <v>541</v>
      </c>
      <c r="J285" s="78">
        <v>578</v>
      </c>
      <c r="K285" s="78">
        <v>52</v>
      </c>
      <c r="L285" s="78">
        <v>10500</v>
      </c>
      <c r="M285" s="78">
        <v>100</v>
      </c>
      <c r="N285" s="78">
        <v>100</v>
      </c>
      <c r="O285" s="78">
        <v>100</v>
      </c>
      <c r="P285" s="78">
        <v>0</v>
      </c>
      <c r="Q285" s="78">
        <v>0</v>
      </c>
      <c r="R285" s="93">
        <v>511131</v>
      </c>
      <c r="S285" s="93"/>
      <c r="T285" s="93">
        <v>511131</v>
      </c>
      <c r="U285" s="93">
        <v>100</v>
      </c>
      <c r="V285" s="93">
        <v>2</v>
      </c>
      <c r="W285" s="93" t="s">
        <v>5138</v>
      </c>
    </row>
    <row r="286" spans="1:23" s="97" customFormat="1">
      <c r="A286" s="78">
        <v>101133</v>
      </c>
      <c r="B286" s="93" t="s">
        <v>4133</v>
      </c>
      <c r="C286" s="78">
        <v>1</v>
      </c>
      <c r="D286" s="78"/>
      <c r="E286" s="78"/>
      <c r="F286" s="78">
        <v>2</v>
      </c>
      <c r="G286" s="93">
        <v>6</v>
      </c>
      <c r="H286" s="78">
        <v>101134</v>
      </c>
      <c r="I286" s="78">
        <v>591</v>
      </c>
      <c r="J286" s="78">
        <v>621</v>
      </c>
      <c r="K286" s="78">
        <v>62</v>
      </c>
      <c r="L286" s="78">
        <v>15000</v>
      </c>
      <c r="M286" s="78">
        <v>100</v>
      </c>
      <c r="N286" s="78">
        <v>100</v>
      </c>
      <c r="O286" s="78">
        <v>100</v>
      </c>
      <c r="P286" s="78">
        <v>0</v>
      </c>
      <c r="Q286" s="78">
        <v>0</v>
      </c>
      <c r="R286" s="93">
        <v>511131</v>
      </c>
      <c r="S286" s="93"/>
      <c r="T286" s="93">
        <v>511131</v>
      </c>
      <c r="U286" s="93">
        <v>200</v>
      </c>
      <c r="V286" s="93">
        <v>2</v>
      </c>
      <c r="W286" s="93" t="s">
        <v>5138</v>
      </c>
    </row>
    <row r="287" spans="1:23" s="97" customFormat="1">
      <c r="A287" s="78">
        <v>101134</v>
      </c>
      <c r="B287" s="93" t="s">
        <v>4133</v>
      </c>
      <c r="C287" s="78">
        <v>1</v>
      </c>
      <c r="D287" s="78"/>
      <c r="E287" s="78"/>
      <c r="F287" s="78">
        <v>2</v>
      </c>
      <c r="G287" s="93">
        <v>7</v>
      </c>
      <c r="H287" s="93">
        <v>0</v>
      </c>
      <c r="I287" s="78">
        <v>645</v>
      </c>
      <c r="J287" s="78">
        <v>665</v>
      </c>
      <c r="K287" s="78">
        <v>72</v>
      </c>
      <c r="L287" s="78">
        <v>21000</v>
      </c>
      <c r="M287" s="78">
        <v>100</v>
      </c>
      <c r="N287" s="78">
        <v>100</v>
      </c>
      <c r="O287" s="78">
        <v>100</v>
      </c>
      <c r="P287" s="78">
        <v>0</v>
      </c>
      <c r="Q287" s="78">
        <v>0</v>
      </c>
      <c r="R287" s="93">
        <v>511131</v>
      </c>
      <c r="S287" s="93"/>
      <c r="T287" s="93">
        <v>511131</v>
      </c>
      <c r="U287" s="93">
        <v>400</v>
      </c>
      <c r="V287" s="93">
        <v>2</v>
      </c>
      <c r="W287" s="93" t="s">
        <v>5138</v>
      </c>
    </row>
    <row r="288" spans="1:23" s="94" customFormat="1">
      <c r="A288" s="78">
        <v>101141</v>
      </c>
      <c r="B288" s="93" t="s">
        <v>769</v>
      </c>
      <c r="C288" s="78">
        <v>1</v>
      </c>
      <c r="D288" s="78"/>
      <c r="E288" s="78"/>
      <c r="F288" s="78">
        <v>2</v>
      </c>
      <c r="G288" s="93">
        <v>4</v>
      </c>
      <c r="H288" s="93">
        <v>101142</v>
      </c>
      <c r="I288" s="78">
        <v>500</v>
      </c>
      <c r="J288" s="78">
        <v>485</v>
      </c>
      <c r="K288" s="78">
        <v>42</v>
      </c>
      <c r="L288" s="78">
        <v>6000</v>
      </c>
      <c r="M288" s="78">
        <v>100</v>
      </c>
      <c r="N288" s="78">
        <v>100</v>
      </c>
      <c r="O288" s="78">
        <v>100</v>
      </c>
      <c r="P288" s="78">
        <v>0</v>
      </c>
      <c r="Q288" s="78">
        <v>0</v>
      </c>
      <c r="R288" s="93">
        <v>511151</v>
      </c>
      <c r="S288" s="93"/>
      <c r="T288" s="93">
        <v>511151</v>
      </c>
      <c r="U288" s="93">
        <v>80</v>
      </c>
      <c r="V288" s="93">
        <v>1</v>
      </c>
      <c r="W288" s="93" t="s">
        <v>5138</v>
      </c>
    </row>
    <row r="289" spans="1:23" s="97" customFormat="1">
      <c r="A289" s="78">
        <v>101142</v>
      </c>
      <c r="B289" s="93" t="s">
        <v>769</v>
      </c>
      <c r="C289" s="78">
        <v>1</v>
      </c>
      <c r="D289" s="78"/>
      <c r="E289" s="78"/>
      <c r="F289" s="78">
        <v>2</v>
      </c>
      <c r="G289" s="93">
        <v>5</v>
      </c>
      <c r="H289" s="93">
        <v>101143</v>
      </c>
      <c r="I289" s="78">
        <v>545</v>
      </c>
      <c r="J289" s="78">
        <v>540</v>
      </c>
      <c r="K289" s="78">
        <v>52</v>
      </c>
      <c r="L289" s="78">
        <v>10500</v>
      </c>
      <c r="M289" s="78">
        <v>100</v>
      </c>
      <c r="N289" s="78">
        <v>100</v>
      </c>
      <c r="O289" s="78">
        <v>100</v>
      </c>
      <c r="P289" s="78">
        <v>0</v>
      </c>
      <c r="Q289" s="78">
        <v>0</v>
      </c>
      <c r="R289" s="93">
        <v>511151</v>
      </c>
      <c r="S289" s="93"/>
      <c r="T289" s="93">
        <v>511151</v>
      </c>
      <c r="U289" s="93">
        <v>100</v>
      </c>
      <c r="V289" s="93">
        <v>1</v>
      </c>
      <c r="W289" s="93" t="s">
        <v>5138</v>
      </c>
    </row>
    <row r="290" spans="1:23" s="97" customFormat="1">
      <c r="A290" s="78">
        <v>101143</v>
      </c>
      <c r="B290" s="93" t="s">
        <v>769</v>
      </c>
      <c r="C290" s="78">
        <v>1</v>
      </c>
      <c r="D290" s="78"/>
      <c r="E290" s="78"/>
      <c r="F290" s="78">
        <v>2</v>
      </c>
      <c r="G290" s="93">
        <v>6</v>
      </c>
      <c r="H290" s="93">
        <v>101144</v>
      </c>
      <c r="I290" s="78">
        <v>595</v>
      </c>
      <c r="J290" s="78">
        <v>600</v>
      </c>
      <c r="K290" s="78">
        <v>62</v>
      </c>
      <c r="L290" s="78">
        <v>15000</v>
      </c>
      <c r="M290" s="78">
        <v>100</v>
      </c>
      <c r="N290" s="78">
        <v>100</v>
      </c>
      <c r="O290" s="78">
        <v>100</v>
      </c>
      <c r="P290" s="78">
        <v>0</v>
      </c>
      <c r="Q290" s="78">
        <v>0</v>
      </c>
      <c r="R290" s="93">
        <v>511151</v>
      </c>
      <c r="S290" s="93"/>
      <c r="T290" s="93">
        <v>511151</v>
      </c>
      <c r="U290" s="93">
        <v>200</v>
      </c>
      <c r="V290" s="93">
        <v>1</v>
      </c>
      <c r="W290" s="93" t="s">
        <v>5138</v>
      </c>
    </row>
    <row r="291" spans="1:23" s="97" customFormat="1">
      <c r="A291" s="78">
        <v>101144</v>
      </c>
      <c r="B291" s="93" t="s">
        <v>769</v>
      </c>
      <c r="C291" s="78">
        <v>1</v>
      </c>
      <c r="D291" s="78"/>
      <c r="E291" s="78"/>
      <c r="F291" s="78">
        <v>2</v>
      </c>
      <c r="G291" s="93">
        <v>7</v>
      </c>
      <c r="H291" s="93">
        <v>0</v>
      </c>
      <c r="I291" s="78">
        <v>645</v>
      </c>
      <c r="J291" s="78">
        <v>670</v>
      </c>
      <c r="K291" s="78">
        <v>72</v>
      </c>
      <c r="L291" s="78">
        <v>21000</v>
      </c>
      <c r="M291" s="78">
        <v>100</v>
      </c>
      <c r="N291" s="78">
        <v>100</v>
      </c>
      <c r="O291" s="78">
        <v>100</v>
      </c>
      <c r="P291" s="78">
        <v>0</v>
      </c>
      <c r="Q291" s="78">
        <v>0</v>
      </c>
      <c r="R291" s="93">
        <v>511151</v>
      </c>
      <c r="S291" s="93"/>
      <c r="T291" s="93">
        <v>511151</v>
      </c>
      <c r="U291" s="93">
        <v>400</v>
      </c>
      <c r="V291" s="93">
        <v>2</v>
      </c>
      <c r="W291" s="93" t="s">
        <v>5138</v>
      </c>
    </row>
    <row r="292" spans="1:23" s="97" customFormat="1">
      <c r="A292" s="78">
        <v>101152</v>
      </c>
      <c r="B292" s="93" t="s">
        <v>3860</v>
      </c>
      <c r="C292" s="78">
        <v>1</v>
      </c>
      <c r="D292" s="78"/>
      <c r="E292" s="78"/>
      <c r="F292" s="78">
        <v>2</v>
      </c>
      <c r="G292" s="93">
        <v>5</v>
      </c>
      <c r="H292" s="93">
        <v>101153</v>
      </c>
      <c r="I292" s="78">
        <v>541</v>
      </c>
      <c r="J292" s="78">
        <v>578</v>
      </c>
      <c r="K292" s="78">
        <v>52</v>
      </c>
      <c r="L292" s="78">
        <v>10500</v>
      </c>
      <c r="M292" s="78">
        <v>100</v>
      </c>
      <c r="N292" s="78">
        <v>100</v>
      </c>
      <c r="O292" s="78">
        <v>100</v>
      </c>
      <c r="P292" s="78">
        <v>0</v>
      </c>
      <c r="Q292" s="78">
        <v>0</v>
      </c>
      <c r="R292" s="93">
        <v>511152</v>
      </c>
      <c r="S292" s="93"/>
      <c r="T292" s="93">
        <v>511152</v>
      </c>
      <c r="U292" s="93">
        <v>100</v>
      </c>
      <c r="V292" s="93">
        <v>2</v>
      </c>
      <c r="W292" s="93" t="s">
        <v>5138</v>
      </c>
    </row>
    <row r="293" spans="1:23" s="97" customFormat="1">
      <c r="A293" s="78">
        <v>101153</v>
      </c>
      <c r="B293" s="93" t="s">
        <v>3860</v>
      </c>
      <c r="C293" s="78">
        <v>1</v>
      </c>
      <c r="D293" s="78"/>
      <c r="E293" s="78"/>
      <c r="F293" s="78">
        <v>2</v>
      </c>
      <c r="G293" s="93">
        <v>6</v>
      </c>
      <c r="H293" s="93">
        <v>101154</v>
      </c>
      <c r="I293" s="78">
        <v>593</v>
      </c>
      <c r="J293" s="78">
        <v>621</v>
      </c>
      <c r="K293" s="78">
        <v>62</v>
      </c>
      <c r="L293" s="78">
        <v>15000</v>
      </c>
      <c r="M293" s="78">
        <v>100</v>
      </c>
      <c r="N293" s="78">
        <v>100</v>
      </c>
      <c r="O293" s="78">
        <v>100</v>
      </c>
      <c r="P293" s="78">
        <v>0</v>
      </c>
      <c r="Q293" s="78">
        <v>0</v>
      </c>
      <c r="R293" s="93">
        <v>511152</v>
      </c>
      <c r="S293" s="93"/>
      <c r="T293" s="93">
        <v>511152</v>
      </c>
      <c r="U293" s="93">
        <v>200</v>
      </c>
      <c r="V293" s="93">
        <v>2</v>
      </c>
      <c r="W293" s="93" t="s">
        <v>5138</v>
      </c>
    </row>
    <row r="294" spans="1:23" s="97" customFormat="1">
      <c r="A294" s="78">
        <v>101154</v>
      </c>
      <c r="B294" s="93" t="s">
        <v>3860</v>
      </c>
      <c r="C294" s="78">
        <v>1</v>
      </c>
      <c r="D294" s="78"/>
      <c r="E294" s="78"/>
      <c r="F294" s="78">
        <v>2</v>
      </c>
      <c r="G294" s="93">
        <v>7</v>
      </c>
      <c r="H294" s="93">
        <v>0</v>
      </c>
      <c r="I294" s="78">
        <v>645</v>
      </c>
      <c r="J294" s="78">
        <v>665</v>
      </c>
      <c r="K294" s="78">
        <v>72</v>
      </c>
      <c r="L294" s="78">
        <v>21000</v>
      </c>
      <c r="M294" s="78">
        <v>100</v>
      </c>
      <c r="N294" s="78">
        <v>100</v>
      </c>
      <c r="O294" s="78">
        <v>100</v>
      </c>
      <c r="P294" s="78">
        <v>0</v>
      </c>
      <c r="Q294" s="78">
        <v>0</v>
      </c>
      <c r="R294" s="93">
        <v>511152</v>
      </c>
      <c r="S294" s="93"/>
      <c r="T294" s="93">
        <v>511152</v>
      </c>
      <c r="U294" s="93">
        <v>400</v>
      </c>
      <c r="V294" s="93">
        <v>2</v>
      </c>
      <c r="W294" s="93" t="s">
        <v>5138</v>
      </c>
    </row>
    <row r="295" spans="1:23" s="97" customFormat="1">
      <c r="A295" s="78">
        <v>101162</v>
      </c>
      <c r="B295" s="93" t="s">
        <v>1393</v>
      </c>
      <c r="C295" s="78">
        <v>1</v>
      </c>
      <c r="D295" s="78"/>
      <c r="E295" s="78"/>
      <c r="F295" s="78">
        <v>2</v>
      </c>
      <c r="G295" s="93">
        <v>5</v>
      </c>
      <c r="H295" s="93">
        <v>101163</v>
      </c>
      <c r="I295" s="78">
        <v>541</v>
      </c>
      <c r="J295" s="78">
        <v>578</v>
      </c>
      <c r="K295" s="78">
        <v>52</v>
      </c>
      <c r="L295" s="78">
        <v>10500</v>
      </c>
      <c r="M295" s="78">
        <v>100</v>
      </c>
      <c r="N295" s="78">
        <v>100</v>
      </c>
      <c r="O295" s="78">
        <v>100</v>
      </c>
      <c r="P295" s="78">
        <v>0</v>
      </c>
      <c r="Q295" s="78">
        <v>0</v>
      </c>
      <c r="R295" s="93">
        <v>511161</v>
      </c>
      <c r="S295" s="93"/>
      <c r="T295" s="93">
        <v>511161</v>
      </c>
      <c r="U295" s="93">
        <v>100</v>
      </c>
      <c r="V295" s="93">
        <v>2</v>
      </c>
      <c r="W295" s="93" t="s">
        <v>5138</v>
      </c>
    </row>
    <row r="296" spans="1:23" s="97" customFormat="1">
      <c r="A296" s="78">
        <v>101163</v>
      </c>
      <c r="B296" s="93" t="s">
        <v>1393</v>
      </c>
      <c r="C296" s="78">
        <v>1</v>
      </c>
      <c r="D296" s="78"/>
      <c r="E296" s="78"/>
      <c r="F296" s="78">
        <v>2</v>
      </c>
      <c r="G296" s="93">
        <v>6</v>
      </c>
      <c r="H296" s="93">
        <v>101164</v>
      </c>
      <c r="I296" s="78">
        <v>593</v>
      </c>
      <c r="J296" s="78">
        <v>621</v>
      </c>
      <c r="K296" s="78">
        <v>62</v>
      </c>
      <c r="L296" s="78">
        <v>15000</v>
      </c>
      <c r="M296" s="78">
        <v>100</v>
      </c>
      <c r="N296" s="78">
        <v>100</v>
      </c>
      <c r="O296" s="78">
        <v>100</v>
      </c>
      <c r="P296" s="78">
        <v>0</v>
      </c>
      <c r="Q296" s="78">
        <v>0</v>
      </c>
      <c r="R296" s="93">
        <v>511161</v>
      </c>
      <c r="S296" s="93"/>
      <c r="T296" s="93">
        <v>511161</v>
      </c>
      <c r="U296" s="93">
        <v>200</v>
      </c>
      <c r="V296" s="93">
        <v>2</v>
      </c>
      <c r="W296" s="93" t="s">
        <v>5138</v>
      </c>
    </row>
    <row r="297" spans="1:23" s="97" customFormat="1">
      <c r="A297" s="78">
        <v>101164</v>
      </c>
      <c r="B297" s="93" t="s">
        <v>1393</v>
      </c>
      <c r="C297" s="78">
        <v>1</v>
      </c>
      <c r="D297" s="78"/>
      <c r="E297" s="78"/>
      <c r="F297" s="78">
        <v>2</v>
      </c>
      <c r="G297" s="93">
        <v>7</v>
      </c>
      <c r="H297" s="93">
        <v>0</v>
      </c>
      <c r="I297" s="78">
        <v>645</v>
      </c>
      <c r="J297" s="78">
        <v>665</v>
      </c>
      <c r="K297" s="78">
        <v>72</v>
      </c>
      <c r="L297" s="78">
        <v>21000</v>
      </c>
      <c r="M297" s="78">
        <v>100</v>
      </c>
      <c r="N297" s="78">
        <v>100</v>
      </c>
      <c r="O297" s="78">
        <v>100</v>
      </c>
      <c r="P297" s="78">
        <v>0</v>
      </c>
      <c r="Q297" s="78">
        <v>0</v>
      </c>
      <c r="R297" s="93">
        <v>511161</v>
      </c>
      <c r="S297" s="93"/>
      <c r="T297" s="93">
        <v>511161</v>
      </c>
      <c r="U297" s="93">
        <v>400</v>
      </c>
      <c r="V297" s="93">
        <v>2</v>
      </c>
      <c r="W297" s="93" t="s">
        <v>5138</v>
      </c>
    </row>
    <row r="298" spans="1:23" s="97" customFormat="1">
      <c r="A298" s="87">
        <v>101174</v>
      </c>
      <c r="B298" s="86" t="s">
        <v>790</v>
      </c>
      <c r="C298" s="78">
        <v>1</v>
      </c>
      <c r="D298" s="78"/>
      <c r="E298" s="78"/>
      <c r="F298" s="78">
        <v>2</v>
      </c>
      <c r="G298" s="93">
        <v>8</v>
      </c>
      <c r="H298" s="93">
        <v>0</v>
      </c>
      <c r="I298" s="78">
        <v>690</v>
      </c>
      <c r="J298" s="78">
        <v>700</v>
      </c>
      <c r="K298" s="78">
        <v>100</v>
      </c>
      <c r="L298" s="78">
        <v>50000</v>
      </c>
      <c r="M298" s="78">
        <v>100</v>
      </c>
      <c r="N298" s="78">
        <v>100</v>
      </c>
      <c r="O298" s="78">
        <v>100</v>
      </c>
      <c r="P298" s="78">
        <v>0</v>
      </c>
      <c r="Q298" s="78">
        <v>0</v>
      </c>
      <c r="R298" s="93">
        <v>0</v>
      </c>
      <c r="S298" s="93"/>
      <c r="T298" s="93">
        <v>0</v>
      </c>
      <c r="U298" s="93">
        <v>0</v>
      </c>
      <c r="V298" s="93"/>
      <c r="W298" s="93" t="s">
        <v>5138</v>
      </c>
    </row>
    <row r="299" spans="1:23" s="97" customFormat="1">
      <c r="A299" s="87">
        <v>101183</v>
      </c>
      <c r="B299" s="86" t="s">
        <v>792</v>
      </c>
      <c r="C299" s="78">
        <v>1</v>
      </c>
      <c r="D299" s="78"/>
      <c r="E299" s="78"/>
      <c r="F299" s="78">
        <v>2</v>
      </c>
      <c r="G299" s="93">
        <v>7</v>
      </c>
      <c r="H299" s="93">
        <v>0</v>
      </c>
      <c r="I299" s="78">
        <v>652</v>
      </c>
      <c r="J299" s="78">
        <v>667</v>
      </c>
      <c r="K299" s="78">
        <v>72</v>
      </c>
      <c r="L299" s="78">
        <v>21000</v>
      </c>
      <c r="M299" s="78">
        <v>100</v>
      </c>
      <c r="N299" s="78">
        <v>100</v>
      </c>
      <c r="O299" s="78">
        <v>100</v>
      </c>
      <c r="P299" s="78">
        <v>0</v>
      </c>
      <c r="Q299" s="78">
        <v>0</v>
      </c>
      <c r="R299" s="93">
        <v>0</v>
      </c>
      <c r="S299" s="93"/>
      <c r="T299" s="93">
        <v>0</v>
      </c>
      <c r="U299" s="93">
        <v>0</v>
      </c>
      <c r="V299" s="93">
        <v>2</v>
      </c>
      <c r="W299" s="93" t="s">
        <v>5138</v>
      </c>
    </row>
    <row r="300" spans="1:23" s="97" customFormat="1">
      <c r="A300" s="89">
        <v>101194</v>
      </c>
      <c r="B300" s="88" t="s">
        <v>794</v>
      </c>
      <c r="C300" s="78">
        <v>1</v>
      </c>
      <c r="D300" s="78"/>
      <c r="E300" s="78"/>
      <c r="F300" s="78">
        <v>2</v>
      </c>
      <c r="G300" s="93">
        <v>8</v>
      </c>
      <c r="H300" s="93">
        <v>0</v>
      </c>
      <c r="I300" s="78"/>
      <c r="J300" s="78"/>
      <c r="K300" s="78"/>
      <c r="L300" s="78">
        <v>50000</v>
      </c>
      <c r="M300" s="78">
        <v>100</v>
      </c>
      <c r="N300" s="78">
        <v>100</v>
      </c>
      <c r="O300" s="78">
        <v>100</v>
      </c>
      <c r="P300" s="78">
        <v>0</v>
      </c>
      <c r="Q300" s="78">
        <v>0</v>
      </c>
      <c r="R300" s="93">
        <v>0</v>
      </c>
      <c r="S300" s="93"/>
      <c r="T300" s="93">
        <v>0</v>
      </c>
      <c r="U300" s="93">
        <v>0</v>
      </c>
      <c r="V300" s="93"/>
      <c r="W300" s="93" t="s">
        <v>5138</v>
      </c>
    </row>
    <row r="301" spans="1:23" s="97" customFormat="1">
      <c r="A301" s="89">
        <v>101204</v>
      </c>
      <c r="B301" s="88" t="s">
        <v>795</v>
      </c>
      <c r="C301" s="78">
        <v>1</v>
      </c>
      <c r="D301" s="78"/>
      <c r="E301" s="78"/>
      <c r="F301" s="78">
        <v>2</v>
      </c>
      <c r="G301" s="93">
        <v>8</v>
      </c>
      <c r="H301" s="93">
        <v>0</v>
      </c>
      <c r="I301" s="78"/>
      <c r="J301" s="78"/>
      <c r="K301" s="78"/>
      <c r="L301" s="78">
        <v>50000</v>
      </c>
      <c r="M301" s="78">
        <v>100</v>
      </c>
      <c r="N301" s="78">
        <v>100</v>
      </c>
      <c r="O301" s="78">
        <v>100</v>
      </c>
      <c r="P301" s="78">
        <v>0</v>
      </c>
      <c r="Q301" s="78">
        <v>0</v>
      </c>
      <c r="R301" s="93">
        <v>0</v>
      </c>
      <c r="S301" s="93"/>
      <c r="T301" s="93">
        <v>0</v>
      </c>
      <c r="U301" s="93">
        <v>0</v>
      </c>
      <c r="V301" s="93"/>
      <c r="W301" s="93" t="s">
        <v>5138</v>
      </c>
    </row>
    <row r="302" spans="1:23" s="97" customFormat="1">
      <c r="A302" s="89">
        <v>101214</v>
      </c>
      <c r="B302" s="88" t="s">
        <v>796</v>
      </c>
      <c r="C302" s="78">
        <v>1</v>
      </c>
      <c r="D302" s="78"/>
      <c r="E302" s="78"/>
      <c r="F302" s="78">
        <v>2</v>
      </c>
      <c r="G302" s="93">
        <v>8</v>
      </c>
      <c r="H302" s="93">
        <v>0</v>
      </c>
      <c r="I302" s="78"/>
      <c r="J302" s="78"/>
      <c r="K302" s="78"/>
      <c r="L302" s="78">
        <v>50000</v>
      </c>
      <c r="M302" s="78">
        <v>100</v>
      </c>
      <c r="N302" s="78">
        <v>100</v>
      </c>
      <c r="O302" s="78">
        <v>100</v>
      </c>
      <c r="P302" s="78">
        <v>0</v>
      </c>
      <c r="Q302" s="78">
        <v>0</v>
      </c>
      <c r="R302" s="93">
        <v>0</v>
      </c>
      <c r="S302" s="93"/>
      <c r="T302" s="93">
        <v>0</v>
      </c>
      <c r="U302" s="93">
        <v>0</v>
      </c>
      <c r="V302" s="93"/>
      <c r="W302" s="93" t="s">
        <v>5138</v>
      </c>
    </row>
    <row r="303" spans="1:23" s="97" customFormat="1">
      <c r="A303" s="89">
        <v>101224</v>
      </c>
      <c r="B303" s="88" t="s">
        <v>797</v>
      </c>
      <c r="C303" s="78">
        <v>1</v>
      </c>
      <c r="D303" s="78"/>
      <c r="E303" s="78"/>
      <c r="F303" s="78">
        <v>2</v>
      </c>
      <c r="G303" s="93">
        <v>8</v>
      </c>
      <c r="H303" s="93">
        <v>0</v>
      </c>
      <c r="I303" s="78"/>
      <c r="J303" s="78"/>
      <c r="K303" s="78"/>
      <c r="L303" s="78">
        <v>50000</v>
      </c>
      <c r="M303" s="78">
        <v>100</v>
      </c>
      <c r="N303" s="78">
        <v>100</v>
      </c>
      <c r="O303" s="78">
        <v>100</v>
      </c>
      <c r="P303" s="78">
        <v>0</v>
      </c>
      <c r="Q303" s="78">
        <v>0</v>
      </c>
      <c r="R303" s="93">
        <v>0</v>
      </c>
      <c r="S303" s="93"/>
      <c r="T303" s="93">
        <v>0</v>
      </c>
      <c r="U303" s="93">
        <v>0</v>
      </c>
      <c r="V303" s="93"/>
      <c r="W303" s="93" t="s">
        <v>5138</v>
      </c>
    </row>
    <row r="304" spans="1:23" s="97" customFormat="1">
      <c r="A304" s="89">
        <v>101234</v>
      </c>
      <c r="B304" s="88" t="s">
        <v>798</v>
      </c>
      <c r="C304" s="78">
        <v>1</v>
      </c>
      <c r="D304" s="78"/>
      <c r="E304" s="78"/>
      <c r="F304" s="78">
        <v>2</v>
      </c>
      <c r="G304" s="93">
        <v>8</v>
      </c>
      <c r="H304" s="93">
        <v>0</v>
      </c>
      <c r="I304" s="78"/>
      <c r="J304" s="78"/>
      <c r="K304" s="78"/>
      <c r="L304" s="78">
        <v>50000</v>
      </c>
      <c r="M304" s="78">
        <v>100</v>
      </c>
      <c r="N304" s="78">
        <v>100</v>
      </c>
      <c r="O304" s="78">
        <v>100</v>
      </c>
      <c r="P304" s="78">
        <v>0</v>
      </c>
      <c r="Q304" s="78">
        <v>0</v>
      </c>
      <c r="R304" s="93">
        <v>0</v>
      </c>
      <c r="S304" s="93"/>
      <c r="T304" s="93">
        <v>0</v>
      </c>
      <c r="U304" s="93">
        <v>0</v>
      </c>
      <c r="V304" s="93"/>
      <c r="W304" s="93" t="s">
        <v>5138</v>
      </c>
    </row>
    <row r="305" spans="1:23" s="97" customFormat="1">
      <c r="A305" s="89">
        <v>101244</v>
      </c>
      <c r="B305" s="88" t="s">
        <v>799</v>
      </c>
      <c r="C305" s="78">
        <v>1</v>
      </c>
      <c r="D305" s="78"/>
      <c r="E305" s="78"/>
      <c r="F305" s="78">
        <v>2</v>
      </c>
      <c r="G305" s="93">
        <v>8</v>
      </c>
      <c r="H305" s="93">
        <v>0</v>
      </c>
      <c r="I305" s="78"/>
      <c r="J305" s="78"/>
      <c r="K305" s="78"/>
      <c r="L305" s="78">
        <v>50000</v>
      </c>
      <c r="M305" s="78">
        <v>100</v>
      </c>
      <c r="N305" s="78">
        <v>100</v>
      </c>
      <c r="O305" s="78">
        <v>100</v>
      </c>
      <c r="P305" s="78">
        <v>0</v>
      </c>
      <c r="Q305" s="78">
        <v>0</v>
      </c>
      <c r="R305" s="93">
        <v>0</v>
      </c>
      <c r="S305" s="93"/>
      <c r="T305" s="93">
        <v>0</v>
      </c>
      <c r="U305" s="93">
        <v>0</v>
      </c>
      <c r="V305" s="93"/>
      <c r="W305" s="93" t="s">
        <v>5138</v>
      </c>
    </row>
    <row r="306" spans="1:23" s="97" customFormat="1">
      <c r="A306" s="87">
        <v>101254</v>
      </c>
      <c r="B306" s="86" t="s">
        <v>800</v>
      </c>
      <c r="C306" s="78">
        <v>1</v>
      </c>
      <c r="D306" s="78"/>
      <c r="E306" s="78"/>
      <c r="F306" s="78">
        <v>2</v>
      </c>
      <c r="G306" s="93">
        <v>8</v>
      </c>
      <c r="H306" s="93">
        <v>0</v>
      </c>
      <c r="I306" s="78"/>
      <c r="J306" s="78"/>
      <c r="K306" s="78"/>
      <c r="L306" s="78">
        <v>50000</v>
      </c>
      <c r="M306" s="78">
        <v>100</v>
      </c>
      <c r="N306" s="78">
        <v>100</v>
      </c>
      <c r="O306" s="78">
        <v>100</v>
      </c>
      <c r="P306" s="78">
        <v>0</v>
      </c>
      <c r="Q306" s="78">
        <v>0</v>
      </c>
      <c r="R306" s="93">
        <v>0</v>
      </c>
      <c r="S306" s="93"/>
      <c r="T306" s="93">
        <v>0</v>
      </c>
      <c r="U306" s="93">
        <v>0</v>
      </c>
      <c r="V306" s="93"/>
      <c r="W306" s="93" t="s">
        <v>5138</v>
      </c>
    </row>
    <row r="307" spans="1:23" s="97" customFormat="1">
      <c r="A307" s="87">
        <v>101264</v>
      </c>
      <c r="B307" s="86" t="s">
        <v>801</v>
      </c>
      <c r="C307" s="78">
        <v>1</v>
      </c>
      <c r="D307" s="78"/>
      <c r="E307" s="78"/>
      <c r="F307" s="78">
        <v>2</v>
      </c>
      <c r="G307" s="93">
        <v>8</v>
      </c>
      <c r="H307" s="93">
        <v>0</v>
      </c>
      <c r="I307" s="78"/>
      <c r="J307" s="78"/>
      <c r="K307" s="78"/>
      <c r="L307" s="78">
        <v>50000</v>
      </c>
      <c r="M307" s="78">
        <v>100</v>
      </c>
      <c r="N307" s="78">
        <v>100</v>
      </c>
      <c r="O307" s="78">
        <v>100</v>
      </c>
      <c r="P307" s="78">
        <v>0</v>
      </c>
      <c r="Q307" s="78">
        <v>0</v>
      </c>
      <c r="R307" s="93">
        <v>0</v>
      </c>
      <c r="S307" s="93"/>
      <c r="T307" s="93">
        <v>0</v>
      </c>
      <c r="U307" s="93">
        <v>0</v>
      </c>
      <c r="V307" s="93"/>
      <c r="W307" s="93" t="s">
        <v>5138</v>
      </c>
    </row>
    <row r="308" spans="1:23" s="97" customFormat="1">
      <c r="A308" s="87">
        <v>101274</v>
      </c>
      <c r="B308" s="86" t="s">
        <v>802</v>
      </c>
      <c r="C308" s="78">
        <v>1</v>
      </c>
      <c r="D308" s="78"/>
      <c r="E308" s="78"/>
      <c r="F308" s="78">
        <v>2</v>
      </c>
      <c r="G308" s="93">
        <v>8</v>
      </c>
      <c r="H308" s="93">
        <v>0</v>
      </c>
      <c r="I308" s="78"/>
      <c r="J308" s="78"/>
      <c r="K308" s="78"/>
      <c r="L308" s="78">
        <v>50000</v>
      </c>
      <c r="M308" s="78">
        <v>100</v>
      </c>
      <c r="N308" s="78">
        <v>100</v>
      </c>
      <c r="O308" s="78">
        <v>100</v>
      </c>
      <c r="P308" s="78">
        <v>0</v>
      </c>
      <c r="Q308" s="78">
        <v>0</v>
      </c>
      <c r="R308" s="93">
        <v>0</v>
      </c>
      <c r="S308" s="93"/>
      <c r="T308" s="93">
        <v>0</v>
      </c>
      <c r="U308" s="93">
        <v>0</v>
      </c>
      <c r="V308" s="93"/>
      <c r="W308" s="93" t="s">
        <v>5138</v>
      </c>
    </row>
    <row r="309" spans="1:23" s="97" customFormat="1">
      <c r="A309" s="87">
        <v>101284</v>
      </c>
      <c r="B309" s="86" t="s">
        <v>803</v>
      </c>
      <c r="C309" s="78">
        <v>1</v>
      </c>
      <c r="D309" s="78"/>
      <c r="E309" s="78"/>
      <c r="F309" s="78">
        <v>2</v>
      </c>
      <c r="G309" s="93">
        <v>8</v>
      </c>
      <c r="H309" s="93">
        <v>0</v>
      </c>
      <c r="I309" s="78"/>
      <c r="J309" s="78"/>
      <c r="K309" s="78"/>
      <c r="L309" s="78">
        <v>50000</v>
      </c>
      <c r="M309" s="78">
        <v>100</v>
      </c>
      <c r="N309" s="78">
        <v>100</v>
      </c>
      <c r="O309" s="78">
        <v>100</v>
      </c>
      <c r="P309" s="78">
        <v>0</v>
      </c>
      <c r="Q309" s="78">
        <v>0</v>
      </c>
      <c r="R309" s="93">
        <v>0</v>
      </c>
      <c r="S309" s="93"/>
      <c r="T309" s="93">
        <v>0</v>
      </c>
      <c r="U309" s="93">
        <v>0</v>
      </c>
      <c r="V309" s="93"/>
      <c r="W309" s="93" t="s">
        <v>5138</v>
      </c>
    </row>
    <row r="310" spans="1:23" s="97" customFormat="1">
      <c r="A310" s="89">
        <v>101294</v>
      </c>
      <c r="B310" s="88" t="s">
        <v>804</v>
      </c>
      <c r="C310" s="78">
        <v>1</v>
      </c>
      <c r="D310" s="78"/>
      <c r="E310" s="78"/>
      <c r="F310" s="78">
        <v>2</v>
      </c>
      <c r="G310" s="93">
        <v>8</v>
      </c>
      <c r="H310" s="93">
        <v>0</v>
      </c>
      <c r="I310" s="78"/>
      <c r="J310" s="78"/>
      <c r="K310" s="78"/>
      <c r="L310" s="78">
        <v>50000</v>
      </c>
      <c r="M310" s="78">
        <v>100</v>
      </c>
      <c r="N310" s="78">
        <v>100</v>
      </c>
      <c r="O310" s="78">
        <v>100</v>
      </c>
      <c r="P310" s="78">
        <v>0</v>
      </c>
      <c r="Q310" s="78">
        <v>0</v>
      </c>
      <c r="R310" s="93">
        <v>0</v>
      </c>
      <c r="S310" s="93"/>
      <c r="T310" s="93">
        <v>0</v>
      </c>
      <c r="U310" s="93">
        <v>0</v>
      </c>
      <c r="V310" s="93"/>
      <c r="W310" s="93" t="s">
        <v>5138</v>
      </c>
    </row>
    <row r="311" spans="1:23" s="97" customFormat="1">
      <c r="A311" s="89">
        <v>101304</v>
      </c>
      <c r="B311" s="88" t="s">
        <v>805</v>
      </c>
      <c r="C311" s="78">
        <v>1</v>
      </c>
      <c r="D311" s="78"/>
      <c r="E311" s="78"/>
      <c r="F311" s="78">
        <v>2</v>
      </c>
      <c r="G311" s="93">
        <v>8</v>
      </c>
      <c r="H311" s="93">
        <v>0</v>
      </c>
      <c r="I311" s="78"/>
      <c r="J311" s="78"/>
      <c r="K311" s="78"/>
      <c r="L311" s="78">
        <v>50000</v>
      </c>
      <c r="M311" s="78">
        <v>100</v>
      </c>
      <c r="N311" s="78">
        <v>100</v>
      </c>
      <c r="O311" s="78">
        <v>100</v>
      </c>
      <c r="P311" s="78">
        <v>0</v>
      </c>
      <c r="Q311" s="78">
        <v>0</v>
      </c>
      <c r="R311" s="93">
        <v>0</v>
      </c>
      <c r="S311" s="93"/>
      <c r="T311" s="93">
        <v>0</v>
      </c>
      <c r="U311" s="93">
        <v>0</v>
      </c>
      <c r="V311" s="93"/>
      <c r="W311" s="93" t="s">
        <v>5138</v>
      </c>
    </row>
    <row r="312" spans="1:23" s="169" customFormat="1">
      <c r="A312" s="80">
        <v>101314</v>
      </c>
      <c r="B312" s="79" t="s">
        <v>806</v>
      </c>
      <c r="C312" s="80">
        <v>1</v>
      </c>
      <c r="D312" s="80"/>
      <c r="E312" s="80"/>
      <c r="F312" s="80">
        <v>2</v>
      </c>
      <c r="G312" s="79">
        <v>8</v>
      </c>
      <c r="H312" s="79">
        <v>0</v>
      </c>
      <c r="I312" s="80">
        <v>700</v>
      </c>
      <c r="J312" s="80">
        <v>710</v>
      </c>
      <c r="K312" s="80">
        <v>90</v>
      </c>
      <c r="L312" s="80">
        <v>50000</v>
      </c>
      <c r="M312" s="80">
        <v>100</v>
      </c>
      <c r="N312" s="80">
        <v>100</v>
      </c>
      <c r="O312" s="80">
        <v>100</v>
      </c>
      <c r="P312" s="80">
        <v>0</v>
      </c>
      <c r="Q312" s="80">
        <v>0</v>
      </c>
      <c r="R312" s="79">
        <v>0</v>
      </c>
      <c r="S312" s="79"/>
      <c r="T312" s="79">
        <v>0</v>
      </c>
      <c r="U312" s="79">
        <v>0</v>
      </c>
      <c r="V312" s="79">
        <v>2</v>
      </c>
      <c r="W312" s="79" t="s">
        <v>5142</v>
      </c>
    </row>
    <row r="313" spans="1:23" s="169" customFormat="1">
      <c r="A313" s="80">
        <v>101322</v>
      </c>
      <c r="B313" s="79" t="s">
        <v>808</v>
      </c>
      <c r="C313" s="80">
        <v>1</v>
      </c>
      <c r="D313" s="80"/>
      <c r="E313" s="80"/>
      <c r="F313" s="80">
        <v>2</v>
      </c>
      <c r="G313" s="79">
        <v>5</v>
      </c>
      <c r="H313" s="79">
        <v>101323</v>
      </c>
      <c r="I313" s="80">
        <v>559</v>
      </c>
      <c r="J313" s="80">
        <v>544</v>
      </c>
      <c r="K313" s="80">
        <v>56</v>
      </c>
      <c r="L313" s="80">
        <v>10500</v>
      </c>
      <c r="M313" s="80">
        <v>100</v>
      </c>
      <c r="N313" s="80">
        <v>100</v>
      </c>
      <c r="O313" s="80">
        <v>100</v>
      </c>
      <c r="P313" s="80">
        <v>0</v>
      </c>
      <c r="Q313" s="80">
        <v>0</v>
      </c>
      <c r="R313" s="79">
        <v>511321</v>
      </c>
      <c r="S313" s="79"/>
      <c r="T313" s="79">
        <v>511321</v>
      </c>
      <c r="U313" s="79">
        <v>100</v>
      </c>
      <c r="V313" s="79"/>
      <c r="W313" s="79" t="s">
        <v>5138</v>
      </c>
    </row>
    <row r="314" spans="1:23" s="169" customFormat="1">
      <c r="A314" s="80">
        <v>101323</v>
      </c>
      <c r="B314" s="79" t="s">
        <v>808</v>
      </c>
      <c r="C314" s="80">
        <v>1</v>
      </c>
      <c r="D314" s="80"/>
      <c r="E314" s="80"/>
      <c r="F314" s="80">
        <v>2</v>
      </c>
      <c r="G314" s="79">
        <v>6</v>
      </c>
      <c r="H314" s="79">
        <v>101324</v>
      </c>
      <c r="I314" s="80">
        <v>601</v>
      </c>
      <c r="J314" s="80">
        <v>590</v>
      </c>
      <c r="K314" s="80">
        <v>67</v>
      </c>
      <c r="L314" s="80">
        <v>15000</v>
      </c>
      <c r="M314" s="80">
        <v>100</v>
      </c>
      <c r="N314" s="80">
        <v>100</v>
      </c>
      <c r="O314" s="80">
        <v>100</v>
      </c>
      <c r="P314" s="80">
        <v>0</v>
      </c>
      <c r="Q314" s="80">
        <v>0</v>
      </c>
      <c r="R314" s="79">
        <v>511321</v>
      </c>
      <c r="S314" s="79"/>
      <c r="T314" s="79">
        <v>511321</v>
      </c>
      <c r="U314" s="79">
        <v>200</v>
      </c>
      <c r="V314" s="79"/>
      <c r="W314" s="79" t="s">
        <v>5138</v>
      </c>
    </row>
    <row r="315" spans="1:23" s="169" customFormat="1">
      <c r="A315" s="80">
        <v>101324</v>
      </c>
      <c r="B315" s="79" t="s">
        <v>808</v>
      </c>
      <c r="C315" s="80">
        <v>1</v>
      </c>
      <c r="D315" s="80"/>
      <c r="E315" s="80"/>
      <c r="F315" s="80">
        <v>2</v>
      </c>
      <c r="G315" s="79">
        <v>7</v>
      </c>
      <c r="H315" s="79">
        <v>0</v>
      </c>
      <c r="I315" s="80">
        <v>646</v>
      </c>
      <c r="J315" s="80">
        <v>642</v>
      </c>
      <c r="K315" s="80">
        <v>78</v>
      </c>
      <c r="L315" s="80">
        <v>21000</v>
      </c>
      <c r="M315" s="80">
        <v>100</v>
      </c>
      <c r="N315" s="80">
        <v>100</v>
      </c>
      <c r="O315" s="80">
        <v>100</v>
      </c>
      <c r="P315" s="80">
        <v>0</v>
      </c>
      <c r="Q315" s="80">
        <v>0</v>
      </c>
      <c r="R315" s="79">
        <v>511321</v>
      </c>
      <c r="S315" s="79"/>
      <c r="T315" s="79">
        <v>511321</v>
      </c>
      <c r="U315" s="79">
        <v>400</v>
      </c>
      <c r="V315" s="79"/>
      <c r="W315" s="79" t="s">
        <v>5138</v>
      </c>
    </row>
    <row r="316" spans="1:23" s="169" customFormat="1">
      <c r="A316" s="80">
        <v>101332</v>
      </c>
      <c r="B316" s="79" t="s">
        <v>815</v>
      </c>
      <c r="C316" s="80">
        <v>1</v>
      </c>
      <c r="D316" s="80"/>
      <c r="E316" s="80"/>
      <c r="F316" s="80">
        <v>2</v>
      </c>
      <c r="G316" s="79">
        <v>5</v>
      </c>
      <c r="H316" s="79">
        <v>101333</v>
      </c>
      <c r="I316" s="80">
        <v>569</v>
      </c>
      <c r="J316" s="80">
        <v>534</v>
      </c>
      <c r="K316" s="80">
        <v>56</v>
      </c>
      <c r="L316" s="80">
        <v>10500</v>
      </c>
      <c r="M316" s="80">
        <v>100</v>
      </c>
      <c r="N316" s="80">
        <v>100</v>
      </c>
      <c r="O316" s="80">
        <v>100</v>
      </c>
      <c r="P316" s="80">
        <v>0</v>
      </c>
      <c r="Q316" s="80">
        <v>0</v>
      </c>
      <c r="R316" s="79">
        <v>511331</v>
      </c>
      <c r="S316" s="79"/>
      <c r="T316" s="79">
        <v>511331</v>
      </c>
      <c r="U316" s="79">
        <v>100</v>
      </c>
      <c r="V316" s="79"/>
      <c r="W316" s="79" t="s">
        <v>5138</v>
      </c>
    </row>
    <row r="317" spans="1:23" s="169" customFormat="1">
      <c r="A317" s="80">
        <v>101333</v>
      </c>
      <c r="B317" s="79" t="s">
        <v>815</v>
      </c>
      <c r="C317" s="80">
        <v>1</v>
      </c>
      <c r="D317" s="80"/>
      <c r="E317" s="80"/>
      <c r="F317" s="80">
        <v>2</v>
      </c>
      <c r="G317" s="79">
        <v>6</v>
      </c>
      <c r="H317" s="79">
        <v>101334</v>
      </c>
      <c r="I317" s="80">
        <v>611</v>
      </c>
      <c r="J317" s="80">
        <v>580</v>
      </c>
      <c r="K317" s="80">
        <v>67</v>
      </c>
      <c r="L317" s="80">
        <v>15000</v>
      </c>
      <c r="M317" s="80">
        <v>100</v>
      </c>
      <c r="N317" s="80">
        <v>100</v>
      </c>
      <c r="O317" s="80">
        <v>100</v>
      </c>
      <c r="P317" s="80">
        <v>0</v>
      </c>
      <c r="Q317" s="80">
        <v>0</v>
      </c>
      <c r="R317" s="79">
        <v>511331</v>
      </c>
      <c r="S317" s="79"/>
      <c r="T317" s="79">
        <v>511331</v>
      </c>
      <c r="U317" s="79">
        <v>200</v>
      </c>
      <c r="V317" s="79"/>
      <c r="W317" s="79" t="s">
        <v>5138</v>
      </c>
    </row>
    <row r="318" spans="1:23" s="169" customFormat="1">
      <c r="A318" s="80">
        <v>101334</v>
      </c>
      <c r="B318" s="79" t="s">
        <v>815</v>
      </c>
      <c r="C318" s="80">
        <v>1</v>
      </c>
      <c r="D318" s="80"/>
      <c r="E318" s="80"/>
      <c r="F318" s="80">
        <v>2</v>
      </c>
      <c r="G318" s="79">
        <v>7</v>
      </c>
      <c r="H318" s="79">
        <v>0</v>
      </c>
      <c r="I318" s="80">
        <v>656</v>
      </c>
      <c r="J318" s="80">
        <v>632</v>
      </c>
      <c r="K318" s="80">
        <v>78</v>
      </c>
      <c r="L318" s="80">
        <v>21000</v>
      </c>
      <c r="M318" s="80">
        <v>100</v>
      </c>
      <c r="N318" s="80">
        <v>100</v>
      </c>
      <c r="O318" s="80">
        <v>100</v>
      </c>
      <c r="P318" s="80">
        <v>0</v>
      </c>
      <c r="Q318" s="80">
        <v>0</v>
      </c>
      <c r="R318" s="79">
        <v>511331</v>
      </c>
      <c r="S318" s="79"/>
      <c r="T318" s="79">
        <v>511331</v>
      </c>
      <c r="U318" s="79">
        <v>400</v>
      </c>
      <c r="V318" s="79"/>
      <c r="W318" s="79" t="s">
        <v>5138</v>
      </c>
    </row>
    <row r="319" spans="1:23" s="169" customFormat="1">
      <c r="A319" s="80">
        <v>101341</v>
      </c>
      <c r="B319" s="79" t="s">
        <v>822</v>
      </c>
      <c r="C319" s="80">
        <v>1</v>
      </c>
      <c r="D319" s="80"/>
      <c r="E319" s="80"/>
      <c r="F319" s="80">
        <v>2</v>
      </c>
      <c r="G319" s="79">
        <v>4</v>
      </c>
      <c r="H319" s="80">
        <v>101342</v>
      </c>
      <c r="I319" s="80">
        <v>531</v>
      </c>
      <c r="J319" s="80">
        <v>481</v>
      </c>
      <c r="K319" s="80">
        <v>45</v>
      </c>
      <c r="L319" s="80">
        <v>6000</v>
      </c>
      <c r="M319" s="80">
        <v>100</v>
      </c>
      <c r="N319" s="80">
        <v>100</v>
      </c>
      <c r="O319" s="80">
        <v>100</v>
      </c>
      <c r="P319" s="80">
        <v>0</v>
      </c>
      <c r="Q319" s="80">
        <v>0</v>
      </c>
      <c r="R319" s="79">
        <v>511341</v>
      </c>
      <c r="S319" s="79"/>
      <c r="T319" s="79">
        <v>511341</v>
      </c>
      <c r="U319" s="79">
        <v>80</v>
      </c>
      <c r="V319" s="79">
        <v>1</v>
      </c>
      <c r="W319" s="79" t="s">
        <v>5138</v>
      </c>
    </row>
    <row r="320" spans="1:23" s="169" customFormat="1">
      <c r="A320" s="80">
        <v>101342</v>
      </c>
      <c r="B320" s="79" t="s">
        <v>822</v>
      </c>
      <c r="C320" s="80">
        <v>1</v>
      </c>
      <c r="D320" s="80"/>
      <c r="E320" s="80"/>
      <c r="F320" s="80">
        <v>2</v>
      </c>
      <c r="G320" s="79">
        <v>5</v>
      </c>
      <c r="H320" s="80">
        <v>101343</v>
      </c>
      <c r="I320" s="80">
        <v>571</v>
      </c>
      <c r="J320" s="80">
        <v>534</v>
      </c>
      <c r="K320" s="80">
        <v>56</v>
      </c>
      <c r="L320" s="80">
        <v>10500</v>
      </c>
      <c r="M320" s="80">
        <v>100</v>
      </c>
      <c r="N320" s="80">
        <v>100</v>
      </c>
      <c r="O320" s="80">
        <v>100</v>
      </c>
      <c r="P320" s="80">
        <v>0</v>
      </c>
      <c r="Q320" s="80">
        <v>0</v>
      </c>
      <c r="R320" s="79">
        <v>511341</v>
      </c>
      <c r="S320" s="79"/>
      <c r="T320" s="79">
        <v>511341</v>
      </c>
      <c r="U320" s="79">
        <v>100</v>
      </c>
      <c r="V320" s="79">
        <v>1</v>
      </c>
      <c r="W320" s="79" t="s">
        <v>5138</v>
      </c>
    </row>
    <row r="321" spans="1:23" s="169" customFormat="1">
      <c r="A321" s="80">
        <v>101343</v>
      </c>
      <c r="B321" s="79" t="s">
        <v>822</v>
      </c>
      <c r="C321" s="80">
        <v>1</v>
      </c>
      <c r="D321" s="80"/>
      <c r="E321" s="80"/>
      <c r="F321" s="80">
        <v>2</v>
      </c>
      <c r="G321" s="79">
        <v>6</v>
      </c>
      <c r="H321" s="80">
        <v>101344</v>
      </c>
      <c r="I321" s="80">
        <v>611</v>
      </c>
      <c r="J321" s="80">
        <v>584</v>
      </c>
      <c r="K321" s="80">
        <v>67</v>
      </c>
      <c r="L321" s="80">
        <v>15000</v>
      </c>
      <c r="M321" s="80">
        <v>100</v>
      </c>
      <c r="N321" s="80">
        <v>100</v>
      </c>
      <c r="O321" s="80">
        <v>100</v>
      </c>
      <c r="P321" s="80">
        <v>0</v>
      </c>
      <c r="Q321" s="80">
        <v>0</v>
      </c>
      <c r="R321" s="79">
        <v>511341</v>
      </c>
      <c r="S321" s="79"/>
      <c r="T321" s="79">
        <v>511341</v>
      </c>
      <c r="U321" s="79">
        <v>200</v>
      </c>
      <c r="V321" s="79">
        <v>1</v>
      </c>
      <c r="W321" s="79" t="s">
        <v>5138</v>
      </c>
    </row>
    <row r="322" spans="1:23" s="169" customFormat="1">
      <c r="A322" s="80">
        <v>101344</v>
      </c>
      <c r="B322" s="79" t="s">
        <v>822</v>
      </c>
      <c r="C322" s="80">
        <v>1</v>
      </c>
      <c r="D322" s="80"/>
      <c r="E322" s="80"/>
      <c r="F322" s="80">
        <v>2</v>
      </c>
      <c r="G322" s="79">
        <v>7</v>
      </c>
      <c r="H322" s="79">
        <v>0</v>
      </c>
      <c r="I322" s="80">
        <v>656</v>
      </c>
      <c r="J322" s="80">
        <v>632</v>
      </c>
      <c r="K322" s="80">
        <v>78</v>
      </c>
      <c r="L322" s="80">
        <v>21000</v>
      </c>
      <c r="M322" s="80">
        <v>100</v>
      </c>
      <c r="N322" s="80">
        <v>100</v>
      </c>
      <c r="O322" s="80">
        <v>100</v>
      </c>
      <c r="P322" s="80">
        <v>0</v>
      </c>
      <c r="Q322" s="80">
        <v>0</v>
      </c>
      <c r="R322" s="79">
        <v>511341</v>
      </c>
      <c r="S322" s="79"/>
      <c r="T322" s="79">
        <v>511341</v>
      </c>
      <c r="U322" s="79">
        <v>400</v>
      </c>
      <c r="V322" s="79">
        <v>1</v>
      </c>
      <c r="W322" s="79" t="s">
        <v>5138</v>
      </c>
    </row>
    <row r="323" spans="1:23" s="169" customFormat="1">
      <c r="A323" s="80">
        <v>101352</v>
      </c>
      <c r="B323" s="79" t="s">
        <v>830</v>
      </c>
      <c r="C323" s="80">
        <v>1</v>
      </c>
      <c r="D323" s="80"/>
      <c r="E323" s="80"/>
      <c r="F323" s="80">
        <v>2</v>
      </c>
      <c r="G323" s="79">
        <v>5</v>
      </c>
      <c r="H323" s="80">
        <v>101353</v>
      </c>
      <c r="I323" s="80">
        <v>535</v>
      </c>
      <c r="J323" s="80">
        <v>600</v>
      </c>
      <c r="K323" s="80">
        <v>50</v>
      </c>
      <c r="L323" s="80">
        <v>10500</v>
      </c>
      <c r="M323" s="80">
        <v>100</v>
      </c>
      <c r="N323" s="80">
        <v>100</v>
      </c>
      <c r="O323" s="80">
        <v>100</v>
      </c>
      <c r="P323" s="80">
        <v>0</v>
      </c>
      <c r="Q323" s="80">
        <v>0</v>
      </c>
      <c r="R323" s="79">
        <v>511351</v>
      </c>
      <c r="S323" s="79"/>
      <c r="T323" s="79">
        <v>511351</v>
      </c>
      <c r="U323" s="79">
        <v>100</v>
      </c>
      <c r="V323" s="79">
        <v>2</v>
      </c>
      <c r="W323" s="79" t="s">
        <v>5138</v>
      </c>
    </row>
    <row r="324" spans="1:23" s="169" customFormat="1">
      <c r="A324" s="80">
        <v>101353</v>
      </c>
      <c r="B324" s="79" t="s">
        <v>830</v>
      </c>
      <c r="C324" s="80">
        <v>1</v>
      </c>
      <c r="D324" s="80"/>
      <c r="E324" s="80"/>
      <c r="F324" s="80">
        <v>2</v>
      </c>
      <c r="G324" s="79">
        <v>6</v>
      </c>
      <c r="H324" s="80">
        <v>101354</v>
      </c>
      <c r="I324" s="80">
        <v>575</v>
      </c>
      <c r="J324" s="80">
        <v>650</v>
      </c>
      <c r="K324" s="80">
        <v>60</v>
      </c>
      <c r="L324" s="80">
        <v>15000</v>
      </c>
      <c r="M324" s="80">
        <v>100</v>
      </c>
      <c r="N324" s="80">
        <v>100</v>
      </c>
      <c r="O324" s="80">
        <v>100</v>
      </c>
      <c r="P324" s="80">
        <v>0</v>
      </c>
      <c r="Q324" s="80">
        <v>0</v>
      </c>
      <c r="R324" s="79">
        <v>511351</v>
      </c>
      <c r="S324" s="79"/>
      <c r="T324" s="79">
        <v>511351</v>
      </c>
      <c r="U324" s="79">
        <v>200</v>
      </c>
      <c r="V324" s="79">
        <v>2</v>
      </c>
      <c r="W324" s="79" t="s">
        <v>5138</v>
      </c>
    </row>
    <row r="325" spans="1:23" s="169" customFormat="1">
      <c r="A325" s="80">
        <v>101354</v>
      </c>
      <c r="B325" s="79" t="s">
        <v>830</v>
      </c>
      <c r="C325" s="80">
        <v>1</v>
      </c>
      <c r="D325" s="80"/>
      <c r="E325" s="80"/>
      <c r="F325" s="80">
        <v>2</v>
      </c>
      <c r="G325" s="79">
        <v>7</v>
      </c>
      <c r="H325" s="79">
        <v>0</v>
      </c>
      <c r="I325" s="80">
        <v>630</v>
      </c>
      <c r="J325" s="80">
        <v>690</v>
      </c>
      <c r="K325" s="80">
        <v>70</v>
      </c>
      <c r="L325" s="80">
        <v>21000</v>
      </c>
      <c r="M325" s="80">
        <v>100</v>
      </c>
      <c r="N325" s="80">
        <v>100</v>
      </c>
      <c r="O325" s="80">
        <v>100</v>
      </c>
      <c r="P325" s="80">
        <v>0</v>
      </c>
      <c r="Q325" s="80">
        <v>0</v>
      </c>
      <c r="R325" s="79">
        <v>511351</v>
      </c>
      <c r="S325" s="79"/>
      <c r="T325" s="79">
        <v>511351</v>
      </c>
      <c r="U325" s="79">
        <v>400</v>
      </c>
      <c r="V325" s="79">
        <v>2</v>
      </c>
      <c r="W325" s="79" t="s">
        <v>5138</v>
      </c>
    </row>
    <row r="326" spans="1:23" s="169" customFormat="1">
      <c r="A326" s="80">
        <v>101362</v>
      </c>
      <c r="B326" s="79" t="s">
        <v>837</v>
      </c>
      <c r="C326" s="80">
        <v>1</v>
      </c>
      <c r="D326" s="80"/>
      <c r="E326" s="80"/>
      <c r="F326" s="80">
        <v>2</v>
      </c>
      <c r="G326" s="79">
        <v>5</v>
      </c>
      <c r="H326" s="80">
        <v>101363</v>
      </c>
      <c r="I326" s="80">
        <v>582</v>
      </c>
      <c r="J326" s="80">
        <v>555</v>
      </c>
      <c r="K326" s="80">
        <v>55</v>
      </c>
      <c r="L326" s="80">
        <v>10500</v>
      </c>
      <c r="M326" s="80">
        <v>100</v>
      </c>
      <c r="N326" s="80">
        <v>100</v>
      </c>
      <c r="O326" s="80">
        <v>100</v>
      </c>
      <c r="P326" s="80">
        <v>0</v>
      </c>
      <c r="Q326" s="80">
        <v>0</v>
      </c>
      <c r="R326" s="79">
        <v>511361</v>
      </c>
      <c r="S326" s="79"/>
      <c r="T326" s="79">
        <v>511361</v>
      </c>
      <c r="U326" s="79">
        <v>100</v>
      </c>
      <c r="V326" s="79">
        <v>1</v>
      </c>
      <c r="W326" s="79" t="s">
        <v>5138</v>
      </c>
    </row>
    <row r="327" spans="1:23" s="169" customFormat="1">
      <c r="A327" s="80">
        <v>101363</v>
      </c>
      <c r="B327" s="79" t="s">
        <v>837</v>
      </c>
      <c r="C327" s="80">
        <v>1</v>
      </c>
      <c r="D327" s="80"/>
      <c r="E327" s="80"/>
      <c r="F327" s="80">
        <v>2</v>
      </c>
      <c r="G327" s="79">
        <v>6</v>
      </c>
      <c r="H327" s="80">
        <v>101364</v>
      </c>
      <c r="I327" s="80">
        <v>628</v>
      </c>
      <c r="J327" s="80">
        <v>605</v>
      </c>
      <c r="K327" s="80">
        <v>65</v>
      </c>
      <c r="L327" s="80">
        <v>15000</v>
      </c>
      <c r="M327" s="80">
        <v>100</v>
      </c>
      <c r="N327" s="80">
        <v>100</v>
      </c>
      <c r="O327" s="80">
        <v>100</v>
      </c>
      <c r="P327" s="80">
        <v>0</v>
      </c>
      <c r="Q327" s="80">
        <v>0</v>
      </c>
      <c r="R327" s="79">
        <v>511361</v>
      </c>
      <c r="S327" s="79"/>
      <c r="T327" s="79">
        <v>511361</v>
      </c>
      <c r="U327" s="79">
        <v>200</v>
      </c>
      <c r="V327" s="79">
        <v>1</v>
      </c>
      <c r="W327" s="79" t="s">
        <v>5138</v>
      </c>
    </row>
    <row r="328" spans="1:23" s="169" customFormat="1">
      <c r="A328" s="80">
        <v>101364</v>
      </c>
      <c r="B328" s="79" t="s">
        <v>837</v>
      </c>
      <c r="C328" s="80">
        <v>1</v>
      </c>
      <c r="D328" s="80"/>
      <c r="E328" s="80"/>
      <c r="F328" s="80">
        <v>2</v>
      </c>
      <c r="G328" s="79">
        <v>7</v>
      </c>
      <c r="H328" s="79">
        <v>0</v>
      </c>
      <c r="I328" s="80">
        <v>688</v>
      </c>
      <c r="J328" s="80">
        <v>645</v>
      </c>
      <c r="K328" s="80">
        <v>78</v>
      </c>
      <c r="L328" s="80">
        <v>21000</v>
      </c>
      <c r="M328" s="80">
        <v>100</v>
      </c>
      <c r="N328" s="80">
        <v>100</v>
      </c>
      <c r="O328" s="80">
        <v>100</v>
      </c>
      <c r="P328" s="80">
        <v>0</v>
      </c>
      <c r="Q328" s="80">
        <v>0</v>
      </c>
      <c r="R328" s="79">
        <v>511361</v>
      </c>
      <c r="S328" s="79"/>
      <c r="T328" s="79">
        <v>511361</v>
      </c>
      <c r="U328" s="79">
        <v>400</v>
      </c>
      <c r="V328" s="79">
        <v>1</v>
      </c>
      <c r="W328" s="79" t="s">
        <v>5138</v>
      </c>
    </row>
    <row r="329" spans="1:23" s="169" customFormat="1">
      <c r="A329" s="80">
        <v>101372</v>
      </c>
      <c r="B329" s="79" t="s">
        <v>844</v>
      </c>
      <c r="C329" s="80">
        <v>1</v>
      </c>
      <c r="D329" s="80"/>
      <c r="E329" s="80"/>
      <c r="F329" s="80">
        <v>2</v>
      </c>
      <c r="G329" s="79">
        <v>5</v>
      </c>
      <c r="H329" s="80">
        <v>101373</v>
      </c>
      <c r="I329" s="170">
        <v>550</v>
      </c>
      <c r="J329" s="80">
        <v>540</v>
      </c>
      <c r="K329" s="80">
        <v>70</v>
      </c>
      <c r="L329" s="80">
        <v>10500</v>
      </c>
      <c r="M329" s="80">
        <v>100</v>
      </c>
      <c r="N329" s="80">
        <v>100</v>
      </c>
      <c r="O329" s="80">
        <v>100</v>
      </c>
      <c r="P329" s="80">
        <v>0</v>
      </c>
      <c r="Q329" s="80">
        <v>0</v>
      </c>
      <c r="R329" s="79">
        <v>511371</v>
      </c>
      <c r="S329" s="79"/>
      <c r="T329" s="79">
        <v>511371</v>
      </c>
      <c r="U329" s="79">
        <v>100</v>
      </c>
      <c r="V329" s="150">
        <v>3</v>
      </c>
      <c r="W329" s="79" t="s">
        <v>5138</v>
      </c>
    </row>
    <row r="330" spans="1:23" s="169" customFormat="1">
      <c r="A330" s="80">
        <v>101373</v>
      </c>
      <c r="B330" s="79" t="s">
        <v>844</v>
      </c>
      <c r="C330" s="80">
        <v>1</v>
      </c>
      <c r="D330" s="80"/>
      <c r="E330" s="80"/>
      <c r="F330" s="80">
        <v>2</v>
      </c>
      <c r="G330" s="79">
        <v>6</v>
      </c>
      <c r="H330" s="80">
        <v>101374</v>
      </c>
      <c r="I330" s="170">
        <v>600</v>
      </c>
      <c r="J330" s="80">
        <v>585</v>
      </c>
      <c r="K330" s="80">
        <v>80</v>
      </c>
      <c r="L330" s="80">
        <v>15000</v>
      </c>
      <c r="M330" s="80">
        <v>100</v>
      </c>
      <c r="N330" s="80">
        <v>100</v>
      </c>
      <c r="O330" s="80">
        <v>100</v>
      </c>
      <c r="P330" s="80">
        <v>0</v>
      </c>
      <c r="Q330" s="80">
        <v>0</v>
      </c>
      <c r="R330" s="79">
        <v>511371</v>
      </c>
      <c r="S330" s="79"/>
      <c r="T330" s="79">
        <v>511371</v>
      </c>
      <c r="U330" s="79">
        <v>200</v>
      </c>
      <c r="V330" s="150">
        <v>3</v>
      </c>
      <c r="W330" s="79" t="s">
        <v>5138</v>
      </c>
    </row>
    <row r="331" spans="1:23" s="169" customFormat="1">
      <c r="A331" s="80">
        <v>101374</v>
      </c>
      <c r="B331" s="79" t="s">
        <v>844</v>
      </c>
      <c r="C331" s="80">
        <v>1</v>
      </c>
      <c r="D331" s="80"/>
      <c r="E331" s="80"/>
      <c r="F331" s="80">
        <v>2</v>
      </c>
      <c r="G331" s="79">
        <v>7</v>
      </c>
      <c r="H331" s="79">
        <v>0</v>
      </c>
      <c r="I331" s="170">
        <v>645</v>
      </c>
      <c r="J331" s="80">
        <v>625</v>
      </c>
      <c r="K331" s="80">
        <v>90</v>
      </c>
      <c r="L331" s="80">
        <v>21000</v>
      </c>
      <c r="M331" s="80">
        <v>100</v>
      </c>
      <c r="N331" s="80">
        <v>100</v>
      </c>
      <c r="O331" s="80">
        <v>100</v>
      </c>
      <c r="P331" s="80">
        <v>0</v>
      </c>
      <c r="Q331" s="80">
        <v>0</v>
      </c>
      <c r="R331" s="79">
        <v>511371</v>
      </c>
      <c r="S331" s="79"/>
      <c r="T331" s="79">
        <v>511371</v>
      </c>
      <c r="U331" s="79">
        <v>400</v>
      </c>
      <c r="V331" s="150">
        <v>3</v>
      </c>
      <c r="W331" s="79" t="s">
        <v>5138</v>
      </c>
    </row>
    <row r="332" spans="1:23" s="169" customFormat="1">
      <c r="A332" s="80">
        <v>101382</v>
      </c>
      <c r="B332" s="79" t="s">
        <v>851</v>
      </c>
      <c r="C332" s="80">
        <v>1</v>
      </c>
      <c r="D332" s="80"/>
      <c r="E332" s="80"/>
      <c r="F332" s="80">
        <v>2</v>
      </c>
      <c r="G332" s="79">
        <v>5</v>
      </c>
      <c r="H332" s="80">
        <v>101383</v>
      </c>
      <c r="I332" s="80">
        <v>540</v>
      </c>
      <c r="J332" s="80">
        <v>575</v>
      </c>
      <c r="K332" s="80">
        <v>50</v>
      </c>
      <c r="L332" s="80">
        <v>10500</v>
      </c>
      <c r="M332" s="80">
        <v>100</v>
      </c>
      <c r="N332" s="80">
        <v>100</v>
      </c>
      <c r="O332" s="80">
        <v>100</v>
      </c>
      <c r="P332" s="80">
        <v>0</v>
      </c>
      <c r="Q332" s="80">
        <v>0</v>
      </c>
      <c r="R332" s="79">
        <v>511381</v>
      </c>
      <c r="S332" s="79"/>
      <c r="T332" s="79">
        <v>511381</v>
      </c>
      <c r="U332" s="79">
        <v>100</v>
      </c>
      <c r="V332" s="79">
        <v>2</v>
      </c>
      <c r="W332" s="79" t="s">
        <v>5138</v>
      </c>
    </row>
    <row r="333" spans="1:23" s="169" customFormat="1">
      <c r="A333" s="80">
        <v>101383</v>
      </c>
      <c r="B333" s="79" t="s">
        <v>851</v>
      </c>
      <c r="C333" s="80">
        <v>1</v>
      </c>
      <c r="D333" s="80"/>
      <c r="E333" s="80"/>
      <c r="F333" s="80">
        <v>2</v>
      </c>
      <c r="G333" s="79">
        <v>6</v>
      </c>
      <c r="H333" s="80">
        <v>101384</v>
      </c>
      <c r="I333" s="80">
        <v>590</v>
      </c>
      <c r="J333" s="80">
        <v>620</v>
      </c>
      <c r="K333" s="80">
        <v>60</v>
      </c>
      <c r="L333" s="80">
        <v>15000</v>
      </c>
      <c r="M333" s="80">
        <v>100</v>
      </c>
      <c r="N333" s="80">
        <v>100</v>
      </c>
      <c r="O333" s="80">
        <v>100</v>
      </c>
      <c r="P333" s="80">
        <v>0</v>
      </c>
      <c r="Q333" s="80">
        <v>0</v>
      </c>
      <c r="R333" s="79">
        <v>511381</v>
      </c>
      <c r="S333" s="79"/>
      <c r="T333" s="79">
        <v>511381</v>
      </c>
      <c r="U333" s="79">
        <v>200</v>
      </c>
      <c r="V333" s="79">
        <v>2</v>
      </c>
      <c r="W333" s="79" t="s">
        <v>5138</v>
      </c>
    </row>
    <row r="334" spans="1:23" s="169" customFormat="1">
      <c r="A334" s="80">
        <v>101384</v>
      </c>
      <c r="B334" s="79" t="s">
        <v>851</v>
      </c>
      <c r="C334" s="80">
        <v>1</v>
      </c>
      <c r="D334" s="80"/>
      <c r="E334" s="80"/>
      <c r="F334" s="80">
        <v>2</v>
      </c>
      <c r="G334" s="79">
        <v>7</v>
      </c>
      <c r="H334" s="79">
        <v>0</v>
      </c>
      <c r="I334" s="80">
        <v>643</v>
      </c>
      <c r="J334" s="80">
        <v>662</v>
      </c>
      <c r="K334" s="80">
        <v>70</v>
      </c>
      <c r="L334" s="80">
        <v>21000</v>
      </c>
      <c r="M334" s="80">
        <v>100</v>
      </c>
      <c r="N334" s="80">
        <v>100</v>
      </c>
      <c r="O334" s="80">
        <v>100</v>
      </c>
      <c r="P334" s="80">
        <v>0</v>
      </c>
      <c r="Q334" s="80">
        <v>0</v>
      </c>
      <c r="R334" s="79">
        <v>511381</v>
      </c>
      <c r="S334" s="79"/>
      <c r="T334" s="79">
        <v>511381</v>
      </c>
      <c r="U334" s="79">
        <v>400</v>
      </c>
      <c r="V334" s="79">
        <v>2</v>
      </c>
      <c r="W334" s="79" t="s">
        <v>5138</v>
      </c>
    </row>
    <row r="335" spans="1:23" s="169" customFormat="1">
      <c r="A335" s="80">
        <v>101392</v>
      </c>
      <c r="B335" s="79" t="s">
        <v>858</v>
      </c>
      <c r="C335" s="80">
        <v>1</v>
      </c>
      <c r="D335" s="80"/>
      <c r="E335" s="80"/>
      <c r="F335" s="80">
        <v>2</v>
      </c>
      <c r="G335" s="79">
        <v>5</v>
      </c>
      <c r="H335" s="80">
        <v>101393</v>
      </c>
      <c r="I335" s="80">
        <v>530</v>
      </c>
      <c r="J335" s="80">
        <v>540</v>
      </c>
      <c r="K335" s="80">
        <v>64</v>
      </c>
      <c r="L335" s="80">
        <v>10500</v>
      </c>
      <c r="M335" s="80">
        <v>100</v>
      </c>
      <c r="N335" s="80">
        <v>100</v>
      </c>
      <c r="O335" s="80">
        <v>100</v>
      </c>
      <c r="P335" s="80">
        <v>0</v>
      </c>
      <c r="Q335" s="80">
        <v>0</v>
      </c>
      <c r="R335" s="79">
        <v>511391</v>
      </c>
      <c r="S335" s="79"/>
      <c r="T335" s="79">
        <v>511391</v>
      </c>
      <c r="U335" s="79">
        <v>100</v>
      </c>
      <c r="V335" s="79">
        <v>3</v>
      </c>
      <c r="W335" s="79" t="s">
        <v>5138</v>
      </c>
    </row>
    <row r="336" spans="1:23" s="169" customFormat="1">
      <c r="A336" s="80">
        <v>101393</v>
      </c>
      <c r="B336" s="79" t="s">
        <v>858</v>
      </c>
      <c r="C336" s="80">
        <v>1</v>
      </c>
      <c r="D336" s="80"/>
      <c r="E336" s="80"/>
      <c r="F336" s="80">
        <v>2</v>
      </c>
      <c r="G336" s="79">
        <v>6</v>
      </c>
      <c r="H336" s="80">
        <v>101394</v>
      </c>
      <c r="I336" s="80">
        <v>580</v>
      </c>
      <c r="J336" s="80">
        <v>590</v>
      </c>
      <c r="K336" s="80">
        <v>74</v>
      </c>
      <c r="L336" s="80">
        <v>15000</v>
      </c>
      <c r="M336" s="80">
        <v>100</v>
      </c>
      <c r="N336" s="80">
        <v>100</v>
      </c>
      <c r="O336" s="80">
        <v>100</v>
      </c>
      <c r="P336" s="80">
        <v>0</v>
      </c>
      <c r="Q336" s="80">
        <v>0</v>
      </c>
      <c r="R336" s="79">
        <v>511391</v>
      </c>
      <c r="S336" s="79"/>
      <c r="T336" s="79">
        <v>511391</v>
      </c>
      <c r="U336" s="79">
        <v>200</v>
      </c>
      <c r="V336" s="79">
        <v>3</v>
      </c>
      <c r="W336" s="79" t="s">
        <v>5138</v>
      </c>
    </row>
    <row r="337" spans="1:23" s="169" customFormat="1">
      <c r="A337" s="80">
        <v>101394</v>
      </c>
      <c r="B337" s="79" t="s">
        <v>858</v>
      </c>
      <c r="C337" s="80">
        <v>1</v>
      </c>
      <c r="D337" s="80"/>
      <c r="E337" s="80"/>
      <c r="F337" s="80">
        <v>2</v>
      </c>
      <c r="G337" s="79">
        <v>7</v>
      </c>
      <c r="H337" s="79">
        <v>0</v>
      </c>
      <c r="I337" s="80">
        <v>640</v>
      </c>
      <c r="J337" s="80">
        <v>650</v>
      </c>
      <c r="K337" s="80">
        <v>84</v>
      </c>
      <c r="L337" s="80">
        <v>21000</v>
      </c>
      <c r="M337" s="80">
        <v>100</v>
      </c>
      <c r="N337" s="80">
        <v>100</v>
      </c>
      <c r="O337" s="80">
        <v>100</v>
      </c>
      <c r="P337" s="80">
        <v>0</v>
      </c>
      <c r="Q337" s="80">
        <v>0</v>
      </c>
      <c r="R337" s="79">
        <v>511391</v>
      </c>
      <c r="S337" s="79"/>
      <c r="T337" s="79">
        <v>511391</v>
      </c>
      <c r="U337" s="79">
        <v>400</v>
      </c>
      <c r="V337" s="79">
        <v>3</v>
      </c>
      <c r="W337" s="79" t="s">
        <v>5138</v>
      </c>
    </row>
    <row r="338" spans="1:23" s="169" customFormat="1">
      <c r="A338" s="80">
        <v>101402</v>
      </c>
      <c r="B338" s="79" t="s">
        <v>865</v>
      </c>
      <c r="C338" s="80">
        <v>1</v>
      </c>
      <c r="D338" s="80"/>
      <c r="E338" s="80"/>
      <c r="F338" s="80">
        <v>2</v>
      </c>
      <c r="G338" s="79">
        <v>5</v>
      </c>
      <c r="H338" s="80">
        <v>101403</v>
      </c>
      <c r="I338" s="80">
        <v>580</v>
      </c>
      <c r="J338" s="80">
        <v>550</v>
      </c>
      <c r="K338" s="80">
        <v>50</v>
      </c>
      <c r="L338" s="80">
        <v>10500</v>
      </c>
      <c r="M338" s="80">
        <v>100</v>
      </c>
      <c r="N338" s="80">
        <v>100</v>
      </c>
      <c r="O338" s="80">
        <v>100</v>
      </c>
      <c r="P338" s="80">
        <v>0</v>
      </c>
      <c r="Q338" s="80">
        <v>0</v>
      </c>
      <c r="R338" s="79">
        <v>511401</v>
      </c>
      <c r="S338" s="79"/>
      <c r="T338" s="79">
        <v>511401</v>
      </c>
      <c r="U338" s="79">
        <v>100</v>
      </c>
      <c r="V338" s="79">
        <v>1</v>
      </c>
      <c r="W338" s="79" t="s">
        <v>5138</v>
      </c>
    </row>
    <row r="339" spans="1:23" s="169" customFormat="1">
      <c r="A339" s="80">
        <v>101403</v>
      </c>
      <c r="B339" s="79" t="s">
        <v>865</v>
      </c>
      <c r="C339" s="80">
        <v>1</v>
      </c>
      <c r="D339" s="80"/>
      <c r="E339" s="80"/>
      <c r="F339" s="80">
        <v>2</v>
      </c>
      <c r="G339" s="79">
        <v>6</v>
      </c>
      <c r="H339" s="80">
        <v>101404</v>
      </c>
      <c r="I339" s="80">
        <v>630</v>
      </c>
      <c r="J339" s="80">
        <v>600</v>
      </c>
      <c r="K339" s="80">
        <v>60</v>
      </c>
      <c r="L339" s="80">
        <v>15000</v>
      </c>
      <c r="M339" s="80">
        <v>100</v>
      </c>
      <c r="N339" s="80">
        <v>100</v>
      </c>
      <c r="O339" s="80">
        <v>100</v>
      </c>
      <c r="P339" s="80">
        <v>0</v>
      </c>
      <c r="Q339" s="80">
        <v>0</v>
      </c>
      <c r="R339" s="79">
        <v>511401</v>
      </c>
      <c r="S339" s="79"/>
      <c r="T339" s="79">
        <v>511401</v>
      </c>
      <c r="U339" s="79">
        <v>200</v>
      </c>
      <c r="V339" s="79">
        <v>1</v>
      </c>
      <c r="W339" s="79" t="s">
        <v>5138</v>
      </c>
    </row>
    <row r="340" spans="1:23" s="169" customFormat="1">
      <c r="A340" s="80">
        <v>101404</v>
      </c>
      <c r="B340" s="79" t="s">
        <v>865</v>
      </c>
      <c r="C340" s="80">
        <v>1</v>
      </c>
      <c r="D340" s="80"/>
      <c r="E340" s="80"/>
      <c r="F340" s="80">
        <v>2</v>
      </c>
      <c r="G340" s="79">
        <v>7</v>
      </c>
      <c r="H340" s="79">
        <v>0</v>
      </c>
      <c r="I340" s="80">
        <v>685</v>
      </c>
      <c r="J340" s="80">
        <v>650</v>
      </c>
      <c r="K340" s="80">
        <v>70</v>
      </c>
      <c r="L340" s="80">
        <v>21000</v>
      </c>
      <c r="M340" s="80">
        <v>100</v>
      </c>
      <c r="N340" s="80">
        <v>100</v>
      </c>
      <c r="O340" s="80">
        <v>100</v>
      </c>
      <c r="P340" s="80">
        <v>0</v>
      </c>
      <c r="Q340" s="80">
        <v>0</v>
      </c>
      <c r="R340" s="79">
        <v>511401</v>
      </c>
      <c r="S340" s="79"/>
      <c r="T340" s="79">
        <v>511401</v>
      </c>
      <c r="U340" s="79">
        <v>400</v>
      </c>
      <c r="V340" s="79">
        <v>1</v>
      </c>
      <c r="W340" s="79" t="s">
        <v>5138</v>
      </c>
    </row>
    <row r="341" spans="1:23" s="169" customFormat="1">
      <c r="A341" s="80">
        <v>101412</v>
      </c>
      <c r="B341" s="79" t="s">
        <v>872</v>
      </c>
      <c r="C341" s="80">
        <v>1</v>
      </c>
      <c r="D341" s="80"/>
      <c r="E341" s="80"/>
      <c r="F341" s="80">
        <v>2</v>
      </c>
      <c r="G341" s="79">
        <v>5</v>
      </c>
      <c r="H341" s="80">
        <v>101413</v>
      </c>
      <c r="I341" s="80">
        <v>582</v>
      </c>
      <c r="J341" s="80">
        <v>555</v>
      </c>
      <c r="K341" s="80">
        <v>52</v>
      </c>
      <c r="L341" s="80">
        <v>10500</v>
      </c>
      <c r="M341" s="80">
        <v>100</v>
      </c>
      <c r="N341" s="80">
        <v>100</v>
      </c>
      <c r="O341" s="80">
        <v>100</v>
      </c>
      <c r="P341" s="80">
        <v>0</v>
      </c>
      <c r="Q341" s="80">
        <v>0</v>
      </c>
      <c r="R341" s="79">
        <v>511411</v>
      </c>
      <c r="S341" s="79"/>
      <c r="T341" s="79">
        <v>511411</v>
      </c>
      <c r="U341" s="79">
        <v>100</v>
      </c>
      <c r="V341" s="79">
        <v>1</v>
      </c>
      <c r="W341" s="79" t="s">
        <v>5138</v>
      </c>
    </row>
    <row r="342" spans="1:23" s="169" customFormat="1">
      <c r="A342" s="80">
        <v>101413</v>
      </c>
      <c r="B342" s="79" t="s">
        <v>872</v>
      </c>
      <c r="C342" s="80">
        <v>1</v>
      </c>
      <c r="D342" s="80"/>
      <c r="E342" s="80"/>
      <c r="F342" s="80">
        <v>2</v>
      </c>
      <c r="G342" s="79">
        <v>6</v>
      </c>
      <c r="H342" s="80">
        <v>101414</v>
      </c>
      <c r="I342" s="80">
        <v>628</v>
      </c>
      <c r="J342" s="80">
        <v>605</v>
      </c>
      <c r="K342" s="80">
        <v>65</v>
      </c>
      <c r="L342" s="80">
        <v>15000</v>
      </c>
      <c r="M342" s="80">
        <v>100</v>
      </c>
      <c r="N342" s="80">
        <v>100</v>
      </c>
      <c r="O342" s="80">
        <v>100</v>
      </c>
      <c r="P342" s="80">
        <v>0</v>
      </c>
      <c r="Q342" s="80">
        <v>0</v>
      </c>
      <c r="R342" s="79">
        <v>511411</v>
      </c>
      <c r="S342" s="79"/>
      <c r="T342" s="79">
        <v>511411</v>
      </c>
      <c r="U342" s="79">
        <v>200</v>
      </c>
      <c r="V342" s="79">
        <v>1</v>
      </c>
      <c r="W342" s="79" t="s">
        <v>5138</v>
      </c>
    </row>
    <row r="343" spans="1:23" s="169" customFormat="1">
      <c r="A343" s="80">
        <v>101414</v>
      </c>
      <c r="B343" s="79" t="s">
        <v>872</v>
      </c>
      <c r="C343" s="80">
        <v>1</v>
      </c>
      <c r="D343" s="80"/>
      <c r="E343" s="80"/>
      <c r="F343" s="80">
        <v>2</v>
      </c>
      <c r="G343" s="79">
        <v>7</v>
      </c>
      <c r="H343" s="79">
        <v>0</v>
      </c>
      <c r="I343" s="80">
        <v>688</v>
      </c>
      <c r="J343" s="80">
        <v>645</v>
      </c>
      <c r="K343" s="80">
        <v>78</v>
      </c>
      <c r="L343" s="80">
        <v>21000</v>
      </c>
      <c r="M343" s="80">
        <v>100</v>
      </c>
      <c r="N343" s="80">
        <v>100</v>
      </c>
      <c r="O343" s="80">
        <v>100</v>
      </c>
      <c r="P343" s="80">
        <v>0</v>
      </c>
      <c r="Q343" s="80">
        <v>0</v>
      </c>
      <c r="R343" s="79">
        <v>511411</v>
      </c>
      <c r="S343" s="79"/>
      <c r="T343" s="79">
        <v>511411</v>
      </c>
      <c r="U343" s="79">
        <v>400</v>
      </c>
      <c r="V343" s="79">
        <v>1</v>
      </c>
      <c r="W343" s="79" t="s">
        <v>5138</v>
      </c>
    </row>
    <row r="344" spans="1:23" s="169" customFormat="1">
      <c r="A344" s="80">
        <v>101422</v>
      </c>
      <c r="B344" s="79" t="s">
        <v>879</v>
      </c>
      <c r="C344" s="80">
        <v>1</v>
      </c>
      <c r="D344" s="80"/>
      <c r="E344" s="80"/>
      <c r="F344" s="80">
        <v>2</v>
      </c>
      <c r="G344" s="79">
        <v>5</v>
      </c>
      <c r="H344" s="80">
        <v>101423</v>
      </c>
      <c r="I344" s="80">
        <v>530</v>
      </c>
      <c r="J344" s="80">
        <v>580</v>
      </c>
      <c r="K344" s="80">
        <v>45</v>
      </c>
      <c r="L344" s="80">
        <v>10500</v>
      </c>
      <c r="M344" s="80">
        <v>100</v>
      </c>
      <c r="N344" s="80">
        <v>100</v>
      </c>
      <c r="O344" s="80">
        <v>100</v>
      </c>
      <c r="P344" s="80">
        <v>0</v>
      </c>
      <c r="Q344" s="80">
        <v>0</v>
      </c>
      <c r="R344" s="79">
        <v>511421</v>
      </c>
      <c r="S344" s="79"/>
      <c r="T344" s="79">
        <v>511421</v>
      </c>
      <c r="U344" s="79">
        <v>100</v>
      </c>
      <c r="V344" s="79">
        <v>2</v>
      </c>
      <c r="W344" s="79" t="s">
        <v>5138</v>
      </c>
    </row>
    <row r="345" spans="1:23" s="169" customFormat="1">
      <c r="A345" s="80">
        <v>101423</v>
      </c>
      <c r="B345" s="79" t="s">
        <v>879</v>
      </c>
      <c r="C345" s="80">
        <v>1</v>
      </c>
      <c r="D345" s="80"/>
      <c r="E345" s="80"/>
      <c r="F345" s="80">
        <v>2</v>
      </c>
      <c r="G345" s="79">
        <v>6</v>
      </c>
      <c r="H345" s="80">
        <v>101424</v>
      </c>
      <c r="I345" s="80">
        <v>590</v>
      </c>
      <c r="J345" s="80">
        <v>630</v>
      </c>
      <c r="K345" s="80">
        <v>55</v>
      </c>
      <c r="L345" s="80">
        <v>15000</v>
      </c>
      <c r="M345" s="80">
        <v>100</v>
      </c>
      <c r="N345" s="80">
        <v>100</v>
      </c>
      <c r="O345" s="80">
        <v>100</v>
      </c>
      <c r="P345" s="80">
        <v>0</v>
      </c>
      <c r="Q345" s="80">
        <v>0</v>
      </c>
      <c r="R345" s="79">
        <v>511421</v>
      </c>
      <c r="S345" s="79"/>
      <c r="T345" s="79">
        <v>511421</v>
      </c>
      <c r="U345" s="79">
        <v>200</v>
      </c>
      <c r="V345" s="79">
        <v>2</v>
      </c>
      <c r="W345" s="79" t="s">
        <v>5138</v>
      </c>
    </row>
    <row r="346" spans="1:23" s="171" customFormat="1">
      <c r="A346" s="159">
        <v>101424</v>
      </c>
      <c r="B346" s="158" t="s">
        <v>879</v>
      </c>
      <c r="C346" s="159">
        <v>1</v>
      </c>
      <c r="D346" s="159"/>
      <c r="E346" s="159"/>
      <c r="F346" s="159">
        <v>2</v>
      </c>
      <c r="G346" s="158">
        <v>7</v>
      </c>
      <c r="H346" s="158">
        <v>0</v>
      </c>
      <c r="I346" s="159">
        <v>640</v>
      </c>
      <c r="J346" s="159">
        <v>670</v>
      </c>
      <c r="K346" s="159">
        <v>68</v>
      </c>
      <c r="L346" s="159">
        <v>21000</v>
      </c>
      <c r="M346" s="159">
        <v>100</v>
      </c>
      <c r="N346" s="159">
        <v>100</v>
      </c>
      <c r="O346" s="159">
        <v>100</v>
      </c>
      <c r="P346" s="159">
        <v>0</v>
      </c>
      <c r="Q346" s="159">
        <v>0</v>
      </c>
      <c r="R346" s="158">
        <v>511421</v>
      </c>
      <c r="S346" s="158"/>
      <c r="T346" s="158">
        <v>511421</v>
      </c>
      <c r="U346" s="158">
        <v>400</v>
      </c>
      <c r="V346" s="158">
        <v>2</v>
      </c>
      <c r="W346" s="158" t="s">
        <v>5138</v>
      </c>
    </row>
    <row r="347" spans="1:23" s="171" customFormat="1">
      <c r="A347" s="159">
        <v>101434</v>
      </c>
      <c r="B347" s="158" t="s">
        <v>886</v>
      </c>
      <c r="C347" s="159">
        <v>1</v>
      </c>
      <c r="D347" s="159"/>
      <c r="E347" s="159"/>
      <c r="F347" s="159">
        <v>2</v>
      </c>
      <c r="G347" s="158">
        <v>8</v>
      </c>
      <c r="H347" s="158">
        <v>0</v>
      </c>
      <c r="I347" s="159">
        <v>710</v>
      </c>
      <c r="J347" s="159">
        <v>705</v>
      </c>
      <c r="K347" s="159">
        <v>90</v>
      </c>
      <c r="L347" s="159">
        <v>50000</v>
      </c>
      <c r="M347" s="159">
        <v>100</v>
      </c>
      <c r="N347" s="159">
        <v>100</v>
      </c>
      <c r="O347" s="159">
        <v>100</v>
      </c>
      <c r="P347" s="159">
        <v>0</v>
      </c>
      <c r="Q347" s="159">
        <v>0</v>
      </c>
      <c r="R347" s="158">
        <v>0</v>
      </c>
      <c r="S347" s="158"/>
      <c r="T347" s="158">
        <v>0</v>
      </c>
      <c r="U347" s="158">
        <v>0</v>
      </c>
      <c r="V347" s="158">
        <v>1</v>
      </c>
      <c r="W347" s="158" t="s">
        <v>5142</v>
      </c>
    </row>
    <row r="348" spans="1:23" s="171" customFormat="1">
      <c r="A348" s="159">
        <v>101444</v>
      </c>
      <c r="B348" s="158" t="s">
        <v>5511</v>
      </c>
      <c r="C348" s="159">
        <v>1</v>
      </c>
      <c r="D348" s="159"/>
      <c r="E348" s="159"/>
      <c r="F348" s="159">
        <v>2</v>
      </c>
      <c r="G348" s="158">
        <v>8</v>
      </c>
      <c r="H348" s="158">
        <v>0</v>
      </c>
      <c r="I348" s="159">
        <v>690</v>
      </c>
      <c r="J348" s="159">
        <v>705</v>
      </c>
      <c r="K348" s="159">
        <v>105</v>
      </c>
      <c r="L348" s="159">
        <v>50000</v>
      </c>
      <c r="M348" s="159">
        <v>100</v>
      </c>
      <c r="N348" s="159">
        <v>100</v>
      </c>
      <c r="O348" s="159">
        <v>100</v>
      </c>
      <c r="P348" s="159">
        <v>0</v>
      </c>
      <c r="Q348" s="159">
        <v>0</v>
      </c>
      <c r="R348" s="158">
        <v>0</v>
      </c>
      <c r="S348" s="158"/>
      <c r="T348" s="158">
        <v>0</v>
      </c>
      <c r="U348" s="158">
        <v>0</v>
      </c>
      <c r="V348" s="158">
        <v>3</v>
      </c>
      <c r="W348" s="158" t="s">
        <v>5142</v>
      </c>
    </row>
    <row r="349" spans="1:23" s="171" customFormat="1">
      <c r="A349" s="159">
        <v>101451</v>
      </c>
      <c r="B349" s="158" t="s">
        <v>889</v>
      </c>
      <c r="C349" s="159">
        <v>1</v>
      </c>
      <c r="D349" s="159"/>
      <c r="E349" s="159"/>
      <c r="F349" s="159">
        <v>2</v>
      </c>
      <c r="G349" s="158">
        <v>4</v>
      </c>
      <c r="H349" s="159">
        <v>101452</v>
      </c>
      <c r="I349" s="159">
        <v>530</v>
      </c>
      <c r="J349" s="159">
        <v>481</v>
      </c>
      <c r="K349" s="159">
        <v>45</v>
      </c>
      <c r="L349" s="159">
        <v>6000</v>
      </c>
      <c r="M349" s="159">
        <v>100</v>
      </c>
      <c r="N349" s="159">
        <v>100</v>
      </c>
      <c r="O349" s="159">
        <v>100</v>
      </c>
      <c r="P349" s="159">
        <v>0</v>
      </c>
      <c r="Q349" s="159">
        <v>0</v>
      </c>
      <c r="R349" s="158">
        <v>511451</v>
      </c>
      <c r="S349" s="158"/>
      <c r="T349" s="158">
        <v>511451</v>
      </c>
      <c r="U349" s="158">
        <v>80</v>
      </c>
      <c r="V349" s="158">
        <v>1</v>
      </c>
      <c r="W349" s="158" t="s">
        <v>5138</v>
      </c>
    </row>
    <row r="350" spans="1:23" s="171" customFormat="1">
      <c r="A350" s="159">
        <v>101452</v>
      </c>
      <c r="B350" s="158" t="s">
        <v>889</v>
      </c>
      <c r="C350" s="159">
        <v>1</v>
      </c>
      <c r="D350" s="159"/>
      <c r="E350" s="159"/>
      <c r="F350" s="159">
        <v>2</v>
      </c>
      <c r="G350" s="158">
        <v>5</v>
      </c>
      <c r="H350" s="159">
        <v>101453</v>
      </c>
      <c r="I350" s="159">
        <v>570</v>
      </c>
      <c r="J350" s="159">
        <v>534</v>
      </c>
      <c r="K350" s="159">
        <v>56</v>
      </c>
      <c r="L350" s="159">
        <v>10500</v>
      </c>
      <c r="M350" s="159">
        <v>100</v>
      </c>
      <c r="N350" s="159">
        <v>100</v>
      </c>
      <c r="O350" s="159">
        <v>100</v>
      </c>
      <c r="P350" s="159">
        <v>0</v>
      </c>
      <c r="Q350" s="159">
        <v>0</v>
      </c>
      <c r="R350" s="158">
        <v>511451</v>
      </c>
      <c r="S350" s="158"/>
      <c r="T350" s="158">
        <v>511451</v>
      </c>
      <c r="U350" s="158">
        <v>100</v>
      </c>
      <c r="V350" s="158">
        <v>1</v>
      </c>
      <c r="W350" s="158" t="s">
        <v>5138</v>
      </c>
    </row>
    <row r="351" spans="1:23" s="171" customFormat="1">
      <c r="A351" s="159">
        <v>101453</v>
      </c>
      <c r="B351" s="158" t="s">
        <v>889</v>
      </c>
      <c r="C351" s="159">
        <v>1</v>
      </c>
      <c r="D351" s="159"/>
      <c r="E351" s="159"/>
      <c r="F351" s="159">
        <v>2</v>
      </c>
      <c r="G351" s="158">
        <v>6</v>
      </c>
      <c r="H351" s="159">
        <v>101454</v>
      </c>
      <c r="I351" s="159">
        <v>611</v>
      </c>
      <c r="J351" s="159">
        <v>580</v>
      </c>
      <c r="K351" s="159">
        <v>67</v>
      </c>
      <c r="L351" s="159">
        <v>15000</v>
      </c>
      <c r="M351" s="159">
        <v>100</v>
      </c>
      <c r="N351" s="159">
        <v>100</v>
      </c>
      <c r="O351" s="159">
        <v>100</v>
      </c>
      <c r="P351" s="159">
        <v>0</v>
      </c>
      <c r="Q351" s="159">
        <v>0</v>
      </c>
      <c r="R351" s="158">
        <v>511451</v>
      </c>
      <c r="S351" s="158"/>
      <c r="T351" s="158">
        <v>511451</v>
      </c>
      <c r="U351" s="158">
        <v>200</v>
      </c>
      <c r="V351" s="158">
        <v>1</v>
      </c>
      <c r="W351" s="158" t="s">
        <v>5138</v>
      </c>
    </row>
    <row r="352" spans="1:23" s="171" customFormat="1">
      <c r="A352" s="159">
        <v>101454</v>
      </c>
      <c r="B352" s="158" t="s">
        <v>889</v>
      </c>
      <c r="C352" s="159">
        <v>1</v>
      </c>
      <c r="D352" s="159"/>
      <c r="E352" s="159"/>
      <c r="F352" s="159">
        <v>2</v>
      </c>
      <c r="G352" s="158">
        <v>7</v>
      </c>
      <c r="H352" s="158">
        <v>0</v>
      </c>
      <c r="I352" s="159">
        <v>656</v>
      </c>
      <c r="J352" s="159">
        <v>632</v>
      </c>
      <c r="K352" s="159">
        <v>78</v>
      </c>
      <c r="L352" s="159">
        <v>21000</v>
      </c>
      <c r="M352" s="159">
        <v>100</v>
      </c>
      <c r="N352" s="159">
        <v>100</v>
      </c>
      <c r="O352" s="159">
        <v>100</v>
      </c>
      <c r="P352" s="159">
        <v>0</v>
      </c>
      <c r="Q352" s="159">
        <v>0</v>
      </c>
      <c r="R352" s="158">
        <v>511451</v>
      </c>
      <c r="S352" s="158"/>
      <c r="T352" s="158">
        <v>511451</v>
      </c>
      <c r="U352" s="158">
        <v>400</v>
      </c>
      <c r="V352" s="158">
        <v>1</v>
      </c>
      <c r="W352" s="158" t="s">
        <v>5138</v>
      </c>
    </row>
    <row r="353" spans="1:23" s="171" customFormat="1">
      <c r="A353" s="159">
        <v>101461</v>
      </c>
      <c r="B353" s="158" t="s">
        <v>5507</v>
      </c>
      <c r="C353" s="159">
        <v>1</v>
      </c>
      <c r="D353" s="159"/>
      <c r="E353" s="159"/>
      <c r="F353" s="159">
        <v>2</v>
      </c>
      <c r="G353" s="158">
        <v>4</v>
      </c>
      <c r="H353" s="159">
        <v>101462</v>
      </c>
      <c r="I353" s="159">
        <v>500</v>
      </c>
      <c r="J353" s="159">
        <v>485</v>
      </c>
      <c r="K353" s="159">
        <v>42</v>
      </c>
      <c r="L353" s="159">
        <v>6000</v>
      </c>
      <c r="M353" s="159">
        <v>100</v>
      </c>
      <c r="N353" s="159">
        <v>100</v>
      </c>
      <c r="O353" s="159">
        <v>100</v>
      </c>
      <c r="P353" s="159">
        <v>0</v>
      </c>
      <c r="Q353" s="159">
        <v>0</v>
      </c>
      <c r="R353" s="158">
        <v>511461</v>
      </c>
      <c r="S353" s="158"/>
      <c r="T353" s="158">
        <v>511461</v>
      </c>
      <c r="U353" s="158">
        <v>80</v>
      </c>
      <c r="V353" s="158">
        <v>1</v>
      </c>
      <c r="W353" s="158" t="s">
        <v>5138</v>
      </c>
    </row>
    <row r="354" spans="1:23" s="171" customFormat="1">
      <c r="A354" s="159">
        <v>101462</v>
      </c>
      <c r="B354" s="158" t="s">
        <v>5507</v>
      </c>
      <c r="C354" s="159">
        <v>1</v>
      </c>
      <c r="D354" s="159"/>
      <c r="E354" s="159"/>
      <c r="F354" s="159">
        <v>2</v>
      </c>
      <c r="G354" s="158">
        <v>5</v>
      </c>
      <c r="H354" s="159">
        <v>101463</v>
      </c>
      <c r="I354" s="159">
        <v>545</v>
      </c>
      <c r="J354" s="159">
        <v>530</v>
      </c>
      <c r="K354" s="159">
        <v>53</v>
      </c>
      <c r="L354" s="159">
        <v>10500</v>
      </c>
      <c r="M354" s="159">
        <v>100</v>
      </c>
      <c r="N354" s="159">
        <v>100</v>
      </c>
      <c r="O354" s="159">
        <v>100</v>
      </c>
      <c r="P354" s="159">
        <v>0</v>
      </c>
      <c r="Q354" s="159">
        <v>0</v>
      </c>
      <c r="R354" s="158">
        <v>511461</v>
      </c>
      <c r="S354" s="158"/>
      <c r="T354" s="158">
        <v>511461</v>
      </c>
      <c r="U354" s="158">
        <v>100</v>
      </c>
      <c r="V354" s="158">
        <v>1</v>
      </c>
      <c r="W354" s="158" t="s">
        <v>5138</v>
      </c>
    </row>
    <row r="355" spans="1:23" s="171" customFormat="1">
      <c r="A355" s="159">
        <v>101463</v>
      </c>
      <c r="B355" s="158" t="s">
        <v>5507</v>
      </c>
      <c r="C355" s="159">
        <v>1</v>
      </c>
      <c r="D355" s="159"/>
      <c r="E355" s="159"/>
      <c r="F355" s="159">
        <v>2</v>
      </c>
      <c r="G355" s="158">
        <v>6</v>
      </c>
      <c r="H355" s="159">
        <v>101464</v>
      </c>
      <c r="I355" s="159">
        <v>595</v>
      </c>
      <c r="J355" s="159">
        <v>580</v>
      </c>
      <c r="K355" s="159">
        <v>63</v>
      </c>
      <c r="L355" s="159">
        <v>15000</v>
      </c>
      <c r="M355" s="159">
        <v>100</v>
      </c>
      <c r="N355" s="159">
        <v>100</v>
      </c>
      <c r="O355" s="159">
        <v>100</v>
      </c>
      <c r="P355" s="159">
        <v>0</v>
      </c>
      <c r="Q355" s="159">
        <v>0</v>
      </c>
      <c r="R355" s="158">
        <v>511461</v>
      </c>
      <c r="S355" s="158"/>
      <c r="T355" s="158">
        <v>511461</v>
      </c>
      <c r="U355" s="158">
        <v>200</v>
      </c>
      <c r="V355" s="158">
        <v>1</v>
      </c>
      <c r="W355" s="158" t="s">
        <v>5138</v>
      </c>
    </row>
    <row r="356" spans="1:23" s="171" customFormat="1">
      <c r="A356" s="159">
        <v>101464</v>
      </c>
      <c r="B356" s="158" t="s">
        <v>5507</v>
      </c>
      <c r="C356" s="159">
        <v>1</v>
      </c>
      <c r="D356" s="159"/>
      <c r="E356" s="159"/>
      <c r="F356" s="159">
        <v>2</v>
      </c>
      <c r="G356" s="158">
        <v>7</v>
      </c>
      <c r="H356" s="158">
        <v>0</v>
      </c>
      <c r="I356" s="159">
        <v>645</v>
      </c>
      <c r="J356" s="159">
        <v>630</v>
      </c>
      <c r="K356" s="159">
        <v>73</v>
      </c>
      <c r="L356" s="159">
        <v>21000</v>
      </c>
      <c r="M356" s="159">
        <v>100</v>
      </c>
      <c r="N356" s="159">
        <v>100</v>
      </c>
      <c r="O356" s="159">
        <v>100</v>
      </c>
      <c r="P356" s="159">
        <v>0</v>
      </c>
      <c r="Q356" s="159">
        <v>0</v>
      </c>
      <c r="R356" s="158">
        <v>511461</v>
      </c>
      <c r="S356" s="158"/>
      <c r="T356" s="158">
        <v>511461</v>
      </c>
      <c r="U356" s="158">
        <v>400</v>
      </c>
      <c r="V356" s="158">
        <v>1</v>
      </c>
      <c r="W356" s="158" t="s">
        <v>5138</v>
      </c>
    </row>
    <row r="357" spans="1:23" s="171" customFormat="1">
      <c r="A357" s="159">
        <v>101474</v>
      </c>
      <c r="B357" s="79" t="s">
        <v>5599</v>
      </c>
      <c r="C357" s="159">
        <v>1</v>
      </c>
      <c r="D357" s="159"/>
      <c r="E357" s="159"/>
      <c r="F357" s="159">
        <v>2</v>
      </c>
      <c r="G357" s="158">
        <v>7</v>
      </c>
      <c r="H357" s="158">
        <v>0</v>
      </c>
      <c r="I357" s="159">
        <v>640</v>
      </c>
      <c r="J357" s="159">
        <v>620</v>
      </c>
      <c r="K357" s="159">
        <v>90</v>
      </c>
      <c r="L357" s="159">
        <v>21000</v>
      </c>
      <c r="M357" s="159">
        <v>100</v>
      </c>
      <c r="N357" s="159">
        <v>100</v>
      </c>
      <c r="O357" s="159">
        <v>100</v>
      </c>
      <c r="P357" s="159">
        <v>0</v>
      </c>
      <c r="Q357" s="159">
        <v>0</v>
      </c>
      <c r="R357" s="158">
        <v>0</v>
      </c>
      <c r="S357" s="158"/>
      <c r="T357" s="158">
        <v>0</v>
      </c>
      <c r="U357" s="158">
        <v>0</v>
      </c>
      <c r="V357" s="158">
        <v>3</v>
      </c>
      <c r="W357" s="79" t="s">
        <v>5519</v>
      </c>
    </row>
    <row r="358" spans="1:23" s="171" customFormat="1">
      <c r="A358" s="159">
        <v>101484</v>
      </c>
      <c r="B358" s="79" t="s">
        <v>5653</v>
      </c>
      <c r="C358" s="159">
        <v>1</v>
      </c>
      <c r="D358" s="159"/>
      <c r="E358" s="159"/>
      <c r="F358" s="159">
        <v>2</v>
      </c>
      <c r="G358" s="158">
        <v>8</v>
      </c>
      <c r="H358" s="158">
        <v>0</v>
      </c>
      <c r="I358" s="159">
        <v>700</v>
      </c>
      <c r="J358" s="159">
        <v>690</v>
      </c>
      <c r="K358" s="159">
        <v>100</v>
      </c>
      <c r="L358" s="159">
        <v>50000</v>
      </c>
      <c r="M358" s="159">
        <v>100</v>
      </c>
      <c r="N358" s="159">
        <v>100</v>
      </c>
      <c r="O358" s="159">
        <v>100</v>
      </c>
      <c r="P358" s="159">
        <v>0</v>
      </c>
      <c r="Q358" s="159">
        <v>0</v>
      </c>
      <c r="R358" s="158">
        <v>0</v>
      </c>
      <c r="S358" s="158"/>
      <c r="T358" s="158">
        <v>0</v>
      </c>
      <c r="U358" s="158">
        <v>0</v>
      </c>
      <c r="V358" s="158">
        <v>3</v>
      </c>
      <c r="W358" s="158" t="s">
        <v>5142</v>
      </c>
    </row>
    <row r="359" spans="1:23" s="86" customFormat="1">
      <c r="A359" s="86">
        <v>101491</v>
      </c>
      <c r="B359" s="163" t="s">
        <v>5708</v>
      </c>
      <c r="C359" s="86">
        <v>1</v>
      </c>
      <c r="F359" s="87">
        <v>2</v>
      </c>
      <c r="G359" s="86">
        <v>4</v>
      </c>
      <c r="H359" s="86">
        <v>101492</v>
      </c>
      <c r="I359" s="78">
        <v>526</v>
      </c>
      <c r="J359" s="78">
        <v>490</v>
      </c>
      <c r="K359" s="87">
        <v>45</v>
      </c>
      <c r="L359" s="87">
        <v>6000</v>
      </c>
      <c r="M359" s="87">
        <v>100</v>
      </c>
      <c r="N359" s="87">
        <v>100</v>
      </c>
      <c r="O359" s="87">
        <v>100</v>
      </c>
      <c r="P359" s="87">
        <v>0</v>
      </c>
      <c r="Q359" s="87">
        <v>0</v>
      </c>
      <c r="R359" s="86">
        <v>511491</v>
      </c>
      <c r="T359" s="86">
        <v>511491</v>
      </c>
      <c r="U359" s="87">
        <v>20</v>
      </c>
      <c r="V359" s="87">
        <v>1</v>
      </c>
    </row>
    <row r="360" spans="1:23" s="86" customFormat="1">
      <c r="A360" s="86">
        <v>101492</v>
      </c>
      <c r="B360" s="163" t="s">
        <v>5708</v>
      </c>
      <c r="C360" s="86">
        <v>1</v>
      </c>
      <c r="F360" s="87">
        <v>2</v>
      </c>
      <c r="G360" s="86">
        <v>5</v>
      </c>
      <c r="H360" s="86">
        <v>101493</v>
      </c>
      <c r="I360" s="87">
        <v>572</v>
      </c>
      <c r="J360" s="173">
        <v>540</v>
      </c>
      <c r="K360" s="172">
        <v>55</v>
      </c>
      <c r="L360" s="87">
        <v>10500</v>
      </c>
      <c r="M360" s="87">
        <v>100</v>
      </c>
      <c r="N360" s="87">
        <v>100</v>
      </c>
      <c r="O360" s="87">
        <v>100</v>
      </c>
      <c r="P360" s="87">
        <v>0</v>
      </c>
      <c r="Q360" s="87">
        <v>0</v>
      </c>
      <c r="R360" s="86">
        <v>511491</v>
      </c>
      <c r="T360" s="86">
        <v>511491</v>
      </c>
      <c r="U360" s="86">
        <v>100</v>
      </c>
      <c r="V360" s="87">
        <v>1</v>
      </c>
    </row>
    <row r="361" spans="1:23" s="86" customFormat="1">
      <c r="A361" s="86">
        <v>101493</v>
      </c>
      <c r="B361" s="163" t="s">
        <v>5708</v>
      </c>
      <c r="C361" s="86">
        <v>1</v>
      </c>
      <c r="F361" s="87">
        <v>2</v>
      </c>
      <c r="G361" s="86">
        <v>6</v>
      </c>
      <c r="H361" s="86">
        <v>101494</v>
      </c>
      <c r="I361" s="87">
        <v>618</v>
      </c>
      <c r="J361" s="173">
        <v>590</v>
      </c>
      <c r="K361" s="87">
        <v>65</v>
      </c>
      <c r="L361" s="87">
        <v>15000</v>
      </c>
      <c r="M361" s="87">
        <v>100</v>
      </c>
      <c r="N361" s="87">
        <v>100</v>
      </c>
      <c r="O361" s="87">
        <v>100</v>
      </c>
      <c r="P361" s="87">
        <v>0</v>
      </c>
      <c r="Q361" s="87">
        <v>0</v>
      </c>
      <c r="R361" s="86">
        <v>511491</v>
      </c>
      <c r="T361" s="86">
        <v>511491</v>
      </c>
      <c r="U361" s="86">
        <v>200</v>
      </c>
      <c r="V361" s="87">
        <v>1</v>
      </c>
    </row>
    <row r="362" spans="1:23" s="86" customFormat="1">
      <c r="A362" s="86">
        <v>101494</v>
      </c>
      <c r="B362" s="163" t="s">
        <v>5708</v>
      </c>
      <c r="C362" s="86">
        <v>1</v>
      </c>
      <c r="F362" s="87">
        <v>2</v>
      </c>
      <c r="G362" s="86">
        <v>7</v>
      </c>
      <c r="H362" s="86">
        <v>0</v>
      </c>
      <c r="I362" s="78">
        <v>666</v>
      </c>
      <c r="J362" s="78">
        <v>643</v>
      </c>
      <c r="K362" s="87">
        <v>75</v>
      </c>
      <c r="L362" s="87">
        <v>21000</v>
      </c>
      <c r="M362" s="87">
        <v>100</v>
      </c>
      <c r="N362" s="87">
        <v>100</v>
      </c>
      <c r="O362" s="87">
        <v>100</v>
      </c>
      <c r="P362" s="87">
        <v>0</v>
      </c>
      <c r="Q362" s="87">
        <v>0</v>
      </c>
      <c r="R362" s="86">
        <v>511491</v>
      </c>
      <c r="T362" s="86">
        <v>511491</v>
      </c>
      <c r="U362" s="86">
        <v>400</v>
      </c>
      <c r="V362" s="87">
        <v>1</v>
      </c>
    </row>
    <row r="363" spans="1:23" s="86" customFormat="1">
      <c r="A363" s="86">
        <v>101498</v>
      </c>
      <c r="B363" s="163" t="s">
        <v>5708</v>
      </c>
      <c r="C363" s="86">
        <v>1</v>
      </c>
      <c r="F363" s="87">
        <v>2</v>
      </c>
      <c r="G363" s="86">
        <v>4</v>
      </c>
      <c r="H363" s="86">
        <v>101492</v>
      </c>
      <c r="I363" s="78">
        <v>526</v>
      </c>
      <c r="J363" s="78">
        <v>490</v>
      </c>
      <c r="K363" s="87">
        <v>45</v>
      </c>
      <c r="L363" s="87">
        <v>6000</v>
      </c>
      <c r="M363" s="87">
        <v>100</v>
      </c>
      <c r="N363" s="87">
        <v>100</v>
      </c>
      <c r="O363" s="87">
        <v>100</v>
      </c>
      <c r="P363" s="87">
        <v>0</v>
      </c>
      <c r="Q363" s="87">
        <v>0</v>
      </c>
      <c r="R363" s="86">
        <v>511491</v>
      </c>
      <c r="T363" s="86">
        <v>511491</v>
      </c>
      <c r="U363" s="87">
        <v>20</v>
      </c>
      <c r="V363" s="87">
        <v>1</v>
      </c>
    </row>
    <row r="364" spans="1:23" s="158" customFormat="1">
      <c r="A364" s="158">
        <v>120010</v>
      </c>
      <c r="B364" s="158" t="s">
        <v>5145</v>
      </c>
      <c r="C364" s="158">
        <v>12</v>
      </c>
      <c r="D364" s="159"/>
      <c r="F364" s="159">
        <f t="shared" si="9"/>
        <v>2</v>
      </c>
      <c r="G364" s="158">
        <v>4</v>
      </c>
      <c r="H364" s="159">
        <v>0</v>
      </c>
      <c r="I364" s="159">
        <v>526</v>
      </c>
      <c r="J364" s="159">
        <v>490</v>
      </c>
      <c r="K364" s="159">
        <v>40</v>
      </c>
      <c r="L364" s="159">
        <v>6000</v>
      </c>
      <c r="M364" s="159">
        <v>100</v>
      </c>
      <c r="N364" s="159">
        <v>100</v>
      </c>
      <c r="O364" s="159">
        <v>100</v>
      </c>
      <c r="P364" s="159">
        <v>0</v>
      </c>
      <c r="Q364" s="159">
        <v>0</v>
      </c>
      <c r="R364" s="159">
        <f t="shared" ref="R364" si="13">Q364</f>
        <v>0</v>
      </c>
      <c r="S364" s="159"/>
      <c r="T364" s="158">
        <f>Q364</f>
        <v>0</v>
      </c>
      <c r="U364" s="159">
        <v>0</v>
      </c>
      <c r="V364" s="159">
        <v>1</v>
      </c>
    </row>
    <row r="365" spans="1:23" s="158" customFormat="1">
      <c r="A365" s="158">
        <v>120011</v>
      </c>
      <c r="B365" s="158" t="s">
        <v>5145</v>
      </c>
      <c r="C365" s="158">
        <v>12</v>
      </c>
      <c r="D365" s="159"/>
      <c r="F365" s="159">
        <f t="shared" ref="F365:F400" si="14">IF(G365&gt;3,2,1)</f>
        <v>2</v>
      </c>
      <c r="G365" s="158">
        <v>5</v>
      </c>
      <c r="H365" s="159">
        <v>0</v>
      </c>
      <c r="I365" s="159">
        <v>568</v>
      </c>
      <c r="J365" s="159">
        <v>545</v>
      </c>
      <c r="K365" s="159">
        <v>51</v>
      </c>
      <c r="L365" s="159">
        <v>10500</v>
      </c>
      <c r="M365" s="159">
        <v>100</v>
      </c>
      <c r="N365" s="159">
        <v>100</v>
      </c>
      <c r="O365" s="159">
        <v>100</v>
      </c>
      <c r="P365" s="159">
        <v>0</v>
      </c>
      <c r="Q365" s="159">
        <v>0</v>
      </c>
      <c r="R365" s="159">
        <f t="shared" ref="R365:R374" si="15">Q365</f>
        <v>0</v>
      </c>
      <c r="S365" s="159"/>
      <c r="T365" s="158">
        <f>Q365</f>
        <v>0</v>
      </c>
      <c r="U365" s="159">
        <v>0</v>
      </c>
      <c r="V365" s="159">
        <v>1</v>
      </c>
    </row>
    <row r="366" spans="1:23" s="158" customFormat="1">
      <c r="A366" s="158">
        <v>120012</v>
      </c>
      <c r="B366" s="158" t="s">
        <v>5145</v>
      </c>
      <c r="C366" s="158">
        <v>12</v>
      </c>
      <c r="D366" s="159"/>
      <c r="E366" s="159"/>
      <c r="F366" s="159">
        <f t="shared" si="14"/>
        <v>2</v>
      </c>
      <c r="G366" s="158">
        <v>6</v>
      </c>
      <c r="H366" s="159">
        <v>0</v>
      </c>
      <c r="I366" s="159">
        <v>614</v>
      </c>
      <c r="J366" s="159">
        <v>594</v>
      </c>
      <c r="K366" s="159">
        <v>62</v>
      </c>
      <c r="L366" s="159">
        <v>15000</v>
      </c>
      <c r="M366" s="159">
        <v>100</v>
      </c>
      <c r="N366" s="159">
        <v>100</v>
      </c>
      <c r="O366" s="159">
        <v>100</v>
      </c>
      <c r="P366" s="159">
        <v>0</v>
      </c>
      <c r="Q366" s="159">
        <v>0</v>
      </c>
      <c r="R366" s="159">
        <f t="shared" si="15"/>
        <v>0</v>
      </c>
      <c r="S366" s="159"/>
      <c r="T366" s="158">
        <v>0</v>
      </c>
      <c r="U366" s="159">
        <v>0</v>
      </c>
      <c r="V366" s="159">
        <v>1</v>
      </c>
    </row>
    <row r="367" spans="1:23">
      <c r="A367" s="93">
        <v>120013</v>
      </c>
      <c r="B367" s="93" t="s">
        <v>5145</v>
      </c>
      <c r="C367" s="93">
        <v>12</v>
      </c>
      <c r="D367" s="78"/>
      <c r="E367" s="78"/>
      <c r="F367" s="78">
        <f t="shared" si="14"/>
        <v>2</v>
      </c>
      <c r="G367" s="93">
        <v>7</v>
      </c>
      <c r="H367" s="78">
        <v>0</v>
      </c>
      <c r="I367" s="78">
        <v>666</v>
      </c>
      <c r="J367" s="78">
        <v>643</v>
      </c>
      <c r="K367" s="78">
        <v>72</v>
      </c>
      <c r="L367" s="78">
        <v>21000</v>
      </c>
      <c r="M367" s="78">
        <v>100</v>
      </c>
      <c r="N367" s="78">
        <v>100</v>
      </c>
      <c r="O367" s="78">
        <v>100</v>
      </c>
      <c r="P367" s="78">
        <v>0</v>
      </c>
      <c r="Q367" s="78">
        <v>0</v>
      </c>
      <c r="R367" s="78">
        <f t="shared" si="15"/>
        <v>0</v>
      </c>
      <c r="S367" s="78"/>
      <c r="T367" s="93">
        <f>Q367</f>
        <v>0</v>
      </c>
      <c r="U367" s="78">
        <v>0</v>
      </c>
      <c r="V367" s="78">
        <v>1</v>
      </c>
    </row>
    <row r="368" spans="1:23">
      <c r="A368" s="93">
        <v>120021</v>
      </c>
      <c r="B368" s="93" t="s">
        <v>5146</v>
      </c>
      <c r="C368" s="93">
        <v>12</v>
      </c>
      <c r="D368" s="78"/>
      <c r="F368" s="78">
        <f t="shared" si="14"/>
        <v>2</v>
      </c>
      <c r="G368" s="93">
        <v>5</v>
      </c>
      <c r="H368" s="78">
        <v>0</v>
      </c>
      <c r="I368" s="78">
        <v>541</v>
      </c>
      <c r="J368" s="78">
        <v>578</v>
      </c>
      <c r="K368" s="78">
        <v>52</v>
      </c>
      <c r="L368" s="78">
        <v>10500</v>
      </c>
      <c r="M368" s="78">
        <v>100</v>
      </c>
      <c r="N368" s="78">
        <v>100</v>
      </c>
      <c r="O368" s="78">
        <v>100</v>
      </c>
      <c r="P368" s="78">
        <v>0</v>
      </c>
      <c r="Q368" s="78">
        <v>0</v>
      </c>
      <c r="R368" s="78">
        <f t="shared" si="15"/>
        <v>0</v>
      </c>
      <c r="S368" s="78"/>
      <c r="T368" s="93">
        <f>Q368</f>
        <v>0</v>
      </c>
      <c r="U368" s="78">
        <v>0</v>
      </c>
      <c r="V368" s="93">
        <v>2</v>
      </c>
    </row>
    <row r="369" spans="1:22">
      <c r="A369" s="93">
        <v>120022</v>
      </c>
      <c r="B369" s="93" t="s">
        <v>5146</v>
      </c>
      <c r="C369" s="93">
        <v>12</v>
      </c>
      <c r="D369" s="78"/>
      <c r="F369" s="78">
        <f t="shared" si="14"/>
        <v>2</v>
      </c>
      <c r="G369" s="93">
        <v>6</v>
      </c>
      <c r="H369" s="78">
        <v>0</v>
      </c>
      <c r="I369" s="78">
        <v>590</v>
      </c>
      <c r="J369" s="78">
        <v>621</v>
      </c>
      <c r="K369" s="78">
        <v>62</v>
      </c>
      <c r="L369" s="78">
        <v>15000</v>
      </c>
      <c r="M369" s="78">
        <v>100</v>
      </c>
      <c r="N369" s="78">
        <v>100</v>
      </c>
      <c r="O369" s="78">
        <v>100</v>
      </c>
      <c r="P369" s="78">
        <v>0</v>
      </c>
      <c r="Q369" s="78">
        <v>0</v>
      </c>
      <c r="R369" s="78">
        <f t="shared" si="15"/>
        <v>0</v>
      </c>
      <c r="S369" s="78"/>
      <c r="T369" s="93">
        <v>0</v>
      </c>
      <c r="U369" s="78">
        <v>0</v>
      </c>
      <c r="V369" s="93">
        <v>2</v>
      </c>
    </row>
    <row r="370" spans="1:22">
      <c r="A370" s="93">
        <v>120023</v>
      </c>
      <c r="B370" s="93" t="s">
        <v>5146</v>
      </c>
      <c r="C370" s="93">
        <v>12</v>
      </c>
      <c r="D370" s="78"/>
      <c r="F370" s="78">
        <f t="shared" si="14"/>
        <v>2</v>
      </c>
      <c r="G370" s="93">
        <v>7</v>
      </c>
      <c r="H370" s="78">
        <v>0</v>
      </c>
      <c r="I370" s="78">
        <v>645</v>
      </c>
      <c r="J370" s="78">
        <v>665</v>
      </c>
      <c r="K370" s="78">
        <v>72</v>
      </c>
      <c r="L370" s="78">
        <v>21000</v>
      </c>
      <c r="M370" s="78">
        <v>100</v>
      </c>
      <c r="N370" s="78">
        <v>100</v>
      </c>
      <c r="O370" s="78">
        <v>100</v>
      </c>
      <c r="P370" s="78">
        <v>0</v>
      </c>
      <c r="Q370" s="78">
        <v>0</v>
      </c>
      <c r="R370" s="78">
        <f t="shared" si="15"/>
        <v>0</v>
      </c>
      <c r="S370" s="78"/>
      <c r="T370" s="93">
        <f>Q370</f>
        <v>0</v>
      </c>
      <c r="U370" s="78">
        <v>0</v>
      </c>
      <c r="V370" s="93">
        <v>2</v>
      </c>
    </row>
    <row r="371" spans="1:22">
      <c r="A371" s="93">
        <v>120031</v>
      </c>
      <c r="B371" s="93" t="s">
        <v>5147</v>
      </c>
      <c r="C371" s="93">
        <v>12</v>
      </c>
      <c r="D371" s="78"/>
      <c r="E371" s="78"/>
      <c r="F371" s="78">
        <f t="shared" si="14"/>
        <v>2</v>
      </c>
      <c r="G371" s="93">
        <v>4</v>
      </c>
      <c r="H371" s="78">
        <v>0</v>
      </c>
      <c r="I371" s="78">
        <v>495</v>
      </c>
      <c r="J371" s="78">
        <v>485</v>
      </c>
      <c r="K371" s="78">
        <v>52</v>
      </c>
      <c r="L371" s="78">
        <v>6000</v>
      </c>
      <c r="M371" s="78">
        <v>100</v>
      </c>
      <c r="N371" s="78">
        <v>100</v>
      </c>
      <c r="O371" s="78">
        <v>100</v>
      </c>
      <c r="P371" s="78">
        <v>0</v>
      </c>
      <c r="Q371" s="78">
        <v>0</v>
      </c>
      <c r="R371" s="78">
        <f t="shared" si="15"/>
        <v>0</v>
      </c>
      <c r="S371" s="78"/>
      <c r="T371" s="93">
        <f>Q371</f>
        <v>0</v>
      </c>
      <c r="U371" s="78">
        <v>0</v>
      </c>
      <c r="V371" s="93">
        <v>3</v>
      </c>
    </row>
    <row r="372" spans="1:22">
      <c r="A372" s="93">
        <v>120041</v>
      </c>
      <c r="B372" s="93" t="s">
        <v>5148</v>
      </c>
      <c r="C372" s="93">
        <v>12</v>
      </c>
      <c r="D372" s="78"/>
      <c r="F372" s="78">
        <f t="shared" si="14"/>
        <v>2</v>
      </c>
      <c r="G372" s="93">
        <v>5</v>
      </c>
      <c r="H372" s="78">
        <v>0</v>
      </c>
      <c r="I372" s="78">
        <v>546</v>
      </c>
      <c r="J372" s="78">
        <v>541</v>
      </c>
      <c r="K372" s="78">
        <v>64</v>
      </c>
      <c r="L372" s="78">
        <v>10500</v>
      </c>
      <c r="M372" s="78">
        <v>100</v>
      </c>
      <c r="N372" s="78">
        <v>100</v>
      </c>
      <c r="O372" s="78">
        <v>100</v>
      </c>
      <c r="P372" s="78">
        <v>0</v>
      </c>
      <c r="Q372" s="78">
        <v>0</v>
      </c>
      <c r="R372" s="78">
        <f t="shared" si="15"/>
        <v>0</v>
      </c>
      <c r="S372" s="78"/>
      <c r="T372" s="93">
        <v>0</v>
      </c>
      <c r="U372" s="78">
        <v>0</v>
      </c>
      <c r="V372" s="93">
        <v>3</v>
      </c>
    </row>
    <row r="373" spans="1:22">
      <c r="A373" s="93">
        <v>120042</v>
      </c>
      <c r="B373" s="93" t="s">
        <v>5148</v>
      </c>
      <c r="C373" s="93">
        <v>12</v>
      </c>
      <c r="D373" s="78"/>
      <c r="E373" s="78"/>
      <c r="F373" s="78">
        <f t="shared" si="14"/>
        <v>2</v>
      </c>
      <c r="G373" s="93">
        <v>6</v>
      </c>
      <c r="H373" s="78">
        <v>0</v>
      </c>
      <c r="I373" s="78">
        <v>592</v>
      </c>
      <c r="J373" s="78">
        <v>594</v>
      </c>
      <c r="K373" s="78">
        <v>74</v>
      </c>
      <c r="L373" s="78">
        <v>15000</v>
      </c>
      <c r="M373" s="78">
        <v>100</v>
      </c>
      <c r="N373" s="78">
        <v>100</v>
      </c>
      <c r="O373" s="78">
        <v>100</v>
      </c>
      <c r="P373" s="78">
        <v>0</v>
      </c>
      <c r="Q373" s="78">
        <v>0</v>
      </c>
      <c r="R373" s="78">
        <f t="shared" si="15"/>
        <v>0</v>
      </c>
      <c r="S373" s="78"/>
      <c r="T373" s="93">
        <f>Q373</f>
        <v>0</v>
      </c>
      <c r="U373" s="78">
        <v>0</v>
      </c>
      <c r="V373" s="93">
        <v>3</v>
      </c>
    </row>
    <row r="374" spans="1:22">
      <c r="A374" s="93">
        <v>120043</v>
      </c>
      <c r="B374" s="93" t="s">
        <v>5148</v>
      </c>
      <c r="C374" s="93">
        <v>12</v>
      </c>
      <c r="D374" s="78"/>
      <c r="E374" s="78"/>
      <c r="F374" s="78">
        <f t="shared" si="14"/>
        <v>2</v>
      </c>
      <c r="G374" s="93">
        <v>7</v>
      </c>
      <c r="H374" s="78">
        <v>0</v>
      </c>
      <c r="I374" s="78">
        <v>640</v>
      </c>
      <c r="J374" s="78">
        <v>641</v>
      </c>
      <c r="K374" s="78">
        <v>84</v>
      </c>
      <c r="L374" s="78">
        <v>21000</v>
      </c>
      <c r="M374" s="78">
        <v>100</v>
      </c>
      <c r="N374" s="78">
        <v>100</v>
      </c>
      <c r="O374" s="78">
        <v>100</v>
      </c>
      <c r="P374" s="78">
        <v>0</v>
      </c>
      <c r="Q374" s="78">
        <v>0</v>
      </c>
      <c r="R374" s="78">
        <f t="shared" si="15"/>
        <v>0</v>
      </c>
      <c r="S374" s="78"/>
      <c r="T374" s="93">
        <f>Q374</f>
        <v>0</v>
      </c>
      <c r="U374" s="78">
        <v>0</v>
      </c>
      <c r="V374" s="93">
        <v>3</v>
      </c>
    </row>
    <row r="375" spans="1:22">
      <c r="A375" s="93">
        <v>120044</v>
      </c>
      <c r="B375" s="93" t="s">
        <v>5148</v>
      </c>
      <c r="C375" s="93">
        <v>12</v>
      </c>
      <c r="D375" s="78"/>
      <c r="E375" s="78"/>
      <c r="F375" s="78">
        <f t="shared" si="14"/>
        <v>2</v>
      </c>
      <c r="G375" s="93">
        <v>4</v>
      </c>
      <c r="H375" s="78">
        <v>0</v>
      </c>
      <c r="I375" s="78">
        <v>495</v>
      </c>
      <c r="J375" s="78">
        <v>492</v>
      </c>
      <c r="K375" s="78">
        <v>53</v>
      </c>
      <c r="L375" s="78">
        <v>6000</v>
      </c>
      <c r="M375" s="78">
        <v>100</v>
      </c>
      <c r="N375" s="78">
        <v>100</v>
      </c>
      <c r="O375" s="78">
        <v>100</v>
      </c>
      <c r="P375" s="78"/>
      <c r="Q375" s="78"/>
      <c r="R375" s="78"/>
      <c r="S375" s="78"/>
      <c r="U375" s="78"/>
      <c r="V375" s="93">
        <v>3</v>
      </c>
    </row>
    <row r="376" spans="1:22">
      <c r="A376" s="93">
        <v>120050</v>
      </c>
      <c r="B376" s="93" t="s">
        <v>5149</v>
      </c>
      <c r="C376" s="93">
        <v>12</v>
      </c>
      <c r="D376" s="78"/>
      <c r="F376" s="78">
        <f t="shared" ref="F376" si="16">IF(G376&gt;3,2,1)</f>
        <v>2</v>
      </c>
      <c r="G376" s="93">
        <v>4</v>
      </c>
      <c r="H376" s="78">
        <v>0</v>
      </c>
      <c r="I376" s="78">
        <v>491</v>
      </c>
      <c r="J376" s="78">
        <v>486</v>
      </c>
      <c r="K376" s="78">
        <v>53</v>
      </c>
      <c r="L376" s="78">
        <v>6000</v>
      </c>
      <c r="M376" s="78">
        <v>100</v>
      </c>
      <c r="N376" s="78">
        <v>100</v>
      </c>
      <c r="O376" s="78">
        <v>100</v>
      </c>
      <c r="P376" s="78">
        <v>0</v>
      </c>
      <c r="Q376" s="78">
        <v>0</v>
      </c>
      <c r="R376" s="78">
        <f t="shared" ref="R376" si="17">Q376</f>
        <v>0</v>
      </c>
      <c r="S376" s="78"/>
      <c r="T376" s="93">
        <v>0</v>
      </c>
      <c r="U376" s="78">
        <v>0</v>
      </c>
      <c r="V376" s="93">
        <v>3</v>
      </c>
    </row>
    <row r="377" spans="1:22">
      <c r="A377" s="93">
        <v>120051</v>
      </c>
      <c r="B377" s="93" t="s">
        <v>5149</v>
      </c>
      <c r="C377" s="93">
        <v>12</v>
      </c>
      <c r="D377" s="78"/>
      <c r="F377" s="78">
        <f t="shared" si="14"/>
        <v>2</v>
      </c>
      <c r="G377" s="93">
        <v>5</v>
      </c>
      <c r="H377" s="78">
        <v>0</v>
      </c>
      <c r="I377" s="78">
        <v>543</v>
      </c>
      <c r="J377" s="78">
        <v>538</v>
      </c>
      <c r="K377" s="78">
        <v>63</v>
      </c>
      <c r="L377" s="78">
        <v>10500</v>
      </c>
      <c r="M377" s="78">
        <v>100</v>
      </c>
      <c r="N377" s="78">
        <v>100</v>
      </c>
      <c r="O377" s="78">
        <v>100</v>
      </c>
      <c r="P377" s="78">
        <v>0</v>
      </c>
      <c r="Q377" s="78">
        <v>0</v>
      </c>
      <c r="R377" s="78">
        <f t="shared" ref="R377:R379" si="18">Q377</f>
        <v>0</v>
      </c>
      <c r="S377" s="78"/>
      <c r="T377" s="93">
        <v>0</v>
      </c>
      <c r="U377" s="78">
        <v>0</v>
      </c>
      <c r="V377" s="93">
        <v>3</v>
      </c>
    </row>
    <row r="378" spans="1:22">
      <c r="A378" s="93">
        <v>120052</v>
      </c>
      <c r="B378" s="93" t="s">
        <v>5149</v>
      </c>
      <c r="C378" s="93">
        <v>12</v>
      </c>
      <c r="D378" s="78"/>
      <c r="F378" s="78">
        <f t="shared" si="14"/>
        <v>2</v>
      </c>
      <c r="G378" s="93">
        <v>6</v>
      </c>
      <c r="H378" s="78">
        <v>0</v>
      </c>
      <c r="I378" s="78">
        <v>592</v>
      </c>
      <c r="J378" s="78">
        <v>584</v>
      </c>
      <c r="K378" s="78">
        <v>73</v>
      </c>
      <c r="L378" s="78">
        <v>15000</v>
      </c>
      <c r="M378" s="78">
        <v>100</v>
      </c>
      <c r="N378" s="78">
        <v>100</v>
      </c>
      <c r="O378" s="78">
        <v>100</v>
      </c>
      <c r="P378" s="78">
        <v>0</v>
      </c>
      <c r="Q378" s="78">
        <v>0</v>
      </c>
      <c r="R378" s="78">
        <f t="shared" si="18"/>
        <v>0</v>
      </c>
      <c r="S378" s="78"/>
      <c r="T378" s="93">
        <f>Q378</f>
        <v>0</v>
      </c>
      <c r="U378" s="78">
        <v>0</v>
      </c>
      <c r="V378" s="93">
        <v>3</v>
      </c>
    </row>
    <row r="379" spans="1:22">
      <c r="A379" s="93">
        <v>120053</v>
      </c>
      <c r="B379" s="93" t="s">
        <v>5149</v>
      </c>
      <c r="C379" s="93">
        <v>12</v>
      </c>
      <c r="D379" s="78"/>
      <c r="F379" s="78">
        <f t="shared" si="14"/>
        <v>2</v>
      </c>
      <c r="G379" s="93">
        <v>7</v>
      </c>
      <c r="H379" s="78">
        <v>0</v>
      </c>
      <c r="I379" s="78">
        <v>644</v>
      </c>
      <c r="J379" s="78">
        <v>636</v>
      </c>
      <c r="K379" s="78">
        <v>83</v>
      </c>
      <c r="L379" s="78">
        <v>21000</v>
      </c>
      <c r="M379" s="78">
        <v>100</v>
      </c>
      <c r="N379" s="78">
        <v>100</v>
      </c>
      <c r="O379" s="78">
        <v>100</v>
      </c>
      <c r="P379" s="78">
        <v>0</v>
      </c>
      <c r="Q379" s="78">
        <v>0</v>
      </c>
      <c r="R379" s="78">
        <f t="shared" si="18"/>
        <v>0</v>
      </c>
      <c r="S379" s="78"/>
      <c r="T379" s="93">
        <f>Q379</f>
        <v>0</v>
      </c>
      <c r="U379" s="78">
        <v>0</v>
      </c>
      <c r="V379" s="93">
        <v>3</v>
      </c>
    </row>
    <row r="380" spans="1:22">
      <c r="A380" s="93">
        <v>120060</v>
      </c>
      <c r="B380" s="93" t="s">
        <v>5150</v>
      </c>
      <c r="C380" s="93">
        <v>12</v>
      </c>
      <c r="D380" s="78"/>
      <c r="E380" s="78"/>
      <c r="F380" s="78">
        <f t="shared" ref="F380" si="19">IF(G380&gt;3,2,1)</f>
        <v>2</v>
      </c>
      <c r="G380" s="93">
        <v>4</v>
      </c>
      <c r="H380" s="78">
        <v>0</v>
      </c>
      <c r="I380" s="78">
        <v>520</v>
      </c>
      <c r="J380" s="78">
        <v>489</v>
      </c>
      <c r="K380" s="78">
        <v>42</v>
      </c>
      <c r="L380" s="78">
        <v>6000</v>
      </c>
      <c r="M380" s="78">
        <v>100</v>
      </c>
      <c r="N380" s="78">
        <v>100</v>
      </c>
      <c r="O380" s="78">
        <v>100</v>
      </c>
      <c r="P380" s="78">
        <v>0</v>
      </c>
      <c r="Q380" s="78">
        <v>0</v>
      </c>
      <c r="R380" s="78">
        <f t="shared" ref="R380:R410" si="20">Q381</f>
        <v>0</v>
      </c>
      <c r="S380" s="78"/>
      <c r="T380" s="93">
        <v>0</v>
      </c>
      <c r="U380" s="78">
        <v>0</v>
      </c>
      <c r="V380" s="93">
        <v>1</v>
      </c>
    </row>
    <row r="381" spans="1:22">
      <c r="A381" s="93">
        <v>120061</v>
      </c>
      <c r="B381" s="93" t="s">
        <v>5150</v>
      </c>
      <c r="C381" s="93">
        <v>12</v>
      </c>
      <c r="D381" s="78"/>
      <c r="E381" s="78"/>
      <c r="F381" s="78">
        <f t="shared" si="14"/>
        <v>2</v>
      </c>
      <c r="G381" s="93">
        <v>5</v>
      </c>
      <c r="H381" s="78">
        <v>0</v>
      </c>
      <c r="I381" s="78">
        <v>566</v>
      </c>
      <c r="J381" s="78">
        <v>540</v>
      </c>
      <c r="K381" s="78">
        <v>53</v>
      </c>
      <c r="L381" s="78">
        <v>10500</v>
      </c>
      <c r="M381" s="78">
        <v>100</v>
      </c>
      <c r="N381" s="78">
        <v>100</v>
      </c>
      <c r="O381" s="78">
        <v>100</v>
      </c>
      <c r="P381" s="78">
        <v>0</v>
      </c>
      <c r="Q381" s="78">
        <v>0</v>
      </c>
      <c r="R381" s="78">
        <f t="shared" si="20"/>
        <v>0</v>
      </c>
      <c r="S381" s="78"/>
      <c r="T381" s="93">
        <f>Q382</f>
        <v>0</v>
      </c>
      <c r="U381" s="78">
        <v>0</v>
      </c>
      <c r="V381" s="93">
        <v>1</v>
      </c>
    </row>
    <row r="382" spans="1:22">
      <c r="A382" s="93">
        <v>120062</v>
      </c>
      <c r="B382" s="93" t="s">
        <v>5150</v>
      </c>
      <c r="C382" s="93">
        <v>12</v>
      </c>
      <c r="D382" s="78"/>
      <c r="E382" s="78"/>
      <c r="F382" s="78">
        <f t="shared" si="14"/>
        <v>2</v>
      </c>
      <c r="G382" s="93">
        <v>6</v>
      </c>
      <c r="H382" s="78">
        <v>0</v>
      </c>
      <c r="I382" s="78">
        <v>615</v>
      </c>
      <c r="J382" s="78">
        <v>588</v>
      </c>
      <c r="K382" s="78">
        <v>63</v>
      </c>
      <c r="L382" s="78">
        <v>15000</v>
      </c>
      <c r="M382" s="78">
        <v>100</v>
      </c>
      <c r="N382" s="78">
        <v>100</v>
      </c>
      <c r="O382" s="78">
        <v>100</v>
      </c>
      <c r="P382" s="78">
        <v>0</v>
      </c>
      <c r="Q382" s="78">
        <v>0</v>
      </c>
      <c r="R382" s="78">
        <f t="shared" si="20"/>
        <v>0</v>
      </c>
      <c r="S382" s="78"/>
      <c r="T382" s="93">
        <v>0</v>
      </c>
      <c r="U382" s="78">
        <v>0</v>
      </c>
      <c r="V382" s="93">
        <v>1</v>
      </c>
    </row>
    <row r="383" spans="1:22">
      <c r="A383" s="93">
        <v>120071</v>
      </c>
      <c r="B383" s="93" t="s">
        <v>5151</v>
      </c>
      <c r="C383" s="93">
        <v>12</v>
      </c>
      <c r="D383" s="78"/>
      <c r="E383" s="78"/>
      <c r="F383" s="78">
        <f t="shared" si="14"/>
        <v>2</v>
      </c>
      <c r="G383" s="93">
        <v>5</v>
      </c>
      <c r="H383" s="78">
        <v>0</v>
      </c>
      <c r="I383" s="78">
        <v>541</v>
      </c>
      <c r="J383" s="78">
        <v>572</v>
      </c>
      <c r="K383" s="78">
        <v>52</v>
      </c>
      <c r="L383" s="78">
        <v>10500</v>
      </c>
      <c r="M383" s="78">
        <v>100</v>
      </c>
      <c r="N383" s="78">
        <v>100</v>
      </c>
      <c r="O383" s="78">
        <v>100</v>
      </c>
      <c r="P383" s="78">
        <v>0</v>
      </c>
      <c r="Q383" s="78">
        <v>0</v>
      </c>
      <c r="R383" s="78">
        <f t="shared" si="20"/>
        <v>0</v>
      </c>
      <c r="S383" s="78"/>
      <c r="T383" s="93">
        <f>Q384</f>
        <v>0</v>
      </c>
      <c r="U383" s="78">
        <v>0</v>
      </c>
      <c r="V383" s="93">
        <v>2</v>
      </c>
    </row>
    <row r="384" spans="1:22">
      <c r="A384" s="93">
        <v>120072</v>
      </c>
      <c r="B384" s="93" t="s">
        <v>5151</v>
      </c>
      <c r="C384" s="93">
        <v>12</v>
      </c>
      <c r="D384" s="78"/>
      <c r="E384" s="78"/>
      <c r="F384" s="78">
        <f t="shared" si="14"/>
        <v>2</v>
      </c>
      <c r="G384" s="93">
        <v>6</v>
      </c>
      <c r="H384" s="78">
        <v>0</v>
      </c>
      <c r="I384" s="78">
        <v>595</v>
      </c>
      <c r="J384" s="78">
        <v>617</v>
      </c>
      <c r="K384" s="78">
        <v>63</v>
      </c>
      <c r="L384" s="78">
        <v>15000</v>
      </c>
      <c r="M384" s="78">
        <v>100</v>
      </c>
      <c r="N384" s="78">
        <v>100</v>
      </c>
      <c r="O384" s="78">
        <v>100</v>
      </c>
      <c r="P384" s="78">
        <v>0</v>
      </c>
      <c r="Q384" s="78">
        <v>0</v>
      </c>
      <c r="R384" s="78">
        <f t="shared" si="20"/>
        <v>0</v>
      </c>
      <c r="S384" s="78"/>
      <c r="T384" s="93">
        <f>Q385</f>
        <v>0</v>
      </c>
      <c r="U384" s="78">
        <v>0</v>
      </c>
      <c r="V384" s="93">
        <v>2</v>
      </c>
    </row>
    <row r="385" spans="1:22">
      <c r="A385" s="93">
        <v>120073</v>
      </c>
      <c r="B385" s="93" t="s">
        <v>5151</v>
      </c>
      <c r="C385" s="93">
        <v>12</v>
      </c>
      <c r="D385" s="78"/>
      <c r="E385" s="78"/>
      <c r="F385" s="78">
        <f t="shared" si="14"/>
        <v>2</v>
      </c>
      <c r="G385" s="93">
        <v>7</v>
      </c>
      <c r="H385" s="78">
        <v>0</v>
      </c>
      <c r="I385" s="78">
        <v>651</v>
      </c>
      <c r="J385" s="78">
        <v>669</v>
      </c>
      <c r="K385" s="78">
        <v>73</v>
      </c>
      <c r="L385" s="78">
        <v>21000</v>
      </c>
      <c r="M385" s="78">
        <v>100</v>
      </c>
      <c r="N385" s="78">
        <v>100</v>
      </c>
      <c r="O385" s="78">
        <v>100</v>
      </c>
      <c r="P385" s="78">
        <v>0</v>
      </c>
      <c r="Q385" s="78">
        <v>0</v>
      </c>
      <c r="R385" s="78">
        <f t="shared" si="20"/>
        <v>0</v>
      </c>
      <c r="S385" s="78"/>
      <c r="T385" s="93">
        <v>0</v>
      </c>
      <c r="U385" s="78">
        <v>0</v>
      </c>
      <c r="V385" s="93">
        <v>2</v>
      </c>
    </row>
    <row r="386" spans="1:22">
      <c r="A386" s="93">
        <v>120081</v>
      </c>
      <c r="B386" s="93" t="s">
        <v>5152</v>
      </c>
      <c r="C386" s="93">
        <v>12</v>
      </c>
      <c r="D386" s="78"/>
      <c r="E386" s="78"/>
      <c r="F386" s="78">
        <f t="shared" si="14"/>
        <v>2</v>
      </c>
      <c r="G386" s="93">
        <v>5</v>
      </c>
      <c r="H386" s="78">
        <v>0</v>
      </c>
      <c r="I386" s="78">
        <v>576</v>
      </c>
      <c r="J386" s="78">
        <v>543</v>
      </c>
      <c r="K386" s="78">
        <v>54</v>
      </c>
      <c r="L386" s="78">
        <v>10500</v>
      </c>
      <c r="M386" s="78">
        <v>100</v>
      </c>
      <c r="N386" s="78">
        <v>100</v>
      </c>
      <c r="O386" s="78">
        <v>100</v>
      </c>
      <c r="P386" s="78">
        <v>0</v>
      </c>
      <c r="Q386" s="78">
        <v>0</v>
      </c>
      <c r="R386" s="78">
        <f t="shared" si="20"/>
        <v>0</v>
      </c>
      <c r="S386" s="78"/>
      <c r="T386" s="93">
        <f>Q387</f>
        <v>0</v>
      </c>
      <c r="U386" s="78">
        <v>0</v>
      </c>
      <c r="V386" s="93">
        <v>1</v>
      </c>
    </row>
    <row r="387" spans="1:22">
      <c r="A387" s="93">
        <v>120082</v>
      </c>
      <c r="B387" s="93" t="s">
        <v>5152</v>
      </c>
      <c r="C387" s="93">
        <v>12</v>
      </c>
      <c r="D387" s="78"/>
      <c r="E387" s="78"/>
      <c r="F387" s="78">
        <f t="shared" si="14"/>
        <v>2</v>
      </c>
      <c r="G387" s="93">
        <v>6</v>
      </c>
      <c r="H387" s="78">
        <v>0</v>
      </c>
      <c r="I387" s="78">
        <v>623</v>
      </c>
      <c r="J387" s="78">
        <v>588</v>
      </c>
      <c r="K387" s="78">
        <v>64</v>
      </c>
      <c r="L387" s="78">
        <v>15000</v>
      </c>
      <c r="M387" s="78">
        <v>100</v>
      </c>
      <c r="N387" s="78">
        <v>100</v>
      </c>
      <c r="O387" s="78">
        <v>100</v>
      </c>
      <c r="P387" s="78">
        <v>0</v>
      </c>
      <c r="Q387" s="78">
        <v>0</v>
      </c>
      <c r="R387" s="78">
        <f t="shared" si="20"/>
        <v>0</v>
      </c>
      <c r="S387" s="78"/>
      <c r="T387" s="93">
        <f>Q388</f>
        <v>0</v>
      </c>
      <c r="U387" s="78">
        <v>0</v>
      </c>
      <c r="V387" s="93">
        <v>1</v>
      </c>
    </row>
    <row r="388" spans="1:22">
      <c r="A388" s="93">
        <v>120083</v>
      </c>
      <c r="B388" s="93" t="s">
        <v>5152</v>
      </c>
      <c r="C388" s="93">
        <v>12</v>
      </c>
      <c r="D388" s="78"/>
      <c r="E388" s="78"/>
      <c r="F388" s="78">
        <f t="shared" si="14"/>
        <v>2</v>
      </c>
      <c r="G388" s="93">
        <v>7</v>
      </c>
      <c r="H388" s="78">
        <v>0</v>
      </c>
      <c r="I388" s="78">
        <v>665</v>
      </c>
      <c r="J388" s="78">
        <v>633</v>
      </c>
      <c r="K388" s="78">
        <v>74</v>
      </c>
      <c r="L388" s="78">
        <v>21000</v>
      </c>
      <c r="M388" s="78">
        <v>100</v>
      </c>
      <c r="N388" s="78">
        <v>100</v>
      </c>
      <c r="O388" s="78">
        <v>100</v>
      </c>
      <c r="P388" s="78">
        <v>0</v>
      </c>
      <c r="Q388" s="78">
        <v>0</v>
      </c>
      <c r="R388" s="78">
        <f t="shared" si="20"/>
        <v>0</v>
      </c>
      <c r="S388" s="78"/>
      <c r="T388" s="93">
        <v>0</v>
      </c>
      <c r="U388" s="78">
        <v>0</v>
      </c>
      <c r="V388" s="93">
        <v>1</v>
      </c>
    </row>
    <row r="389" spans="1:22">
      <c r="A389" s="93">
        <v>120091</v>
      </c>
      <c r="B389" s="93" t="s">
        <v>5153</v>
      </c>
      <c r="C389" s="93">
        <v>12</v>
      </c>
      <c r="D389" s="78"/>
      <c r="E389" s="78"/>
      <c r="F389" s="78">
        <f t="shared" si="14"/>
        <v>2</v>
      </c>
      <c r="G389" s="93">
        <v>5</v>
      </c>
      <c r="H389" s="78">
        <v>0</v>
      </c>
      <c r="I389" s="78">
        <v>563</v>
      </c>
      <c r="J389" s="78">
        <v>547</v>
      </c>
      <c r="K389" s="78">
        <v>52</v>
      </c>
      <c r="L389" s="78">
        <v>10500</v>
      </c>
      <c r="M389" s="78">
        <v>100</v>
      </c>
      <c r="N389" s="78">
        <v>100</v>
      </c>
      <c r="O389" s="78">
        <v>100</v>
      </c>
      <c r="P389" s="78">
        <v>0</v>
      </c>
      <c r="Q389" s="78">
        <v>0</v>
      </c>
      <c r="R389" s="78">
        <f t="shared" si="20"/>
        <v>0</v>
      </c>
      <c r="S389" s="78"/>
      <c r="T389" s="93">
        <f>Q390</f>
        <v>0</v>
      </c>
      <c r="U389" s="78">
        <v>0</v>
      </c>
      <c r="V389" s="93">
        <v>1</v>
      </c>
    </row>
    <row r="390" spans="1:22">
      <c r="A390" s="93">
        <v>120092</v>
      </c>
      <c r="B390" s="93" t="s">
        <v>5153</v>
      </c>
      <c r="C390" s="93">
        <v>12</v>
      </c>
      <c r="D390" s="78"/>
      <c r="E390" s="78"/>
      <c r="F390" s="78">
        <f t="shared" si="14"/>
        <v>2</v>
      </c>
      <c r="G390" s="93">
        <v>6</v>
      </c>
      <c r="H390" s="78">
        <v>0</v>
      </c>
      <c r="I390" s="78">
        <v>612</v>
      </c>
      <c r="J390" s="78">
        <v>595</v>
      </c>
      <c r="K390" s="78">
        <v>63</v>
      </c>
      <c r="L390" s="78">
        <v>15000</v>
      </c>
      <c r="M390" s="78">
        <v>100</v>
      </c>
      <c r="N390" s="78">
        <v>100</v>
      </c>
      <c r="O390" s="78">
        <v>100</v>
      </c>
      <c r="P390" s="78">
        <v>0</v>
      </c>
      <c r="Q390" s="78">
        <v>0</v>
      </c>
      <c r="R390" s="78">
        <f t="shared" si="20"/>
        <v>0</v>
      </c>
      <c r="S390" s="78"/>
      <c r="T390" s="93">
        <f>Q391</f>
        <v>0</v>
      </c>
      <c r="U390" s="78">
        <v>0</v>
      </c>
      <c r="V390" s="93">
        <v>1</v>
      </c>
    </row>
    <row r="391" spans="1:22">
      <c r="A391" s="93">
        <v>120093</v>
      </c>
      <c r="B391" s="93" t="s">
        <v>5153</v>
      </c>
      <c r="C391" s="93">
        <v>12</v>
      </c>
      <c r="D391" s="78"/>
      <c r="E391" s="78"/>
      <c r="F391" s="78">
        <f t="shared" si="14"/>
        <v>2</v>
      </c>
      <c r="G391" s="93">
        <v>7</v>
      </c>
      <c r="H391" s="78">
        <v>0</v>
      </c>
      <c r="I391" s="78">
        <v>660</v>
      </c>
      <c r="J391" s="78">
        <v>643</v>
      </c>
      <c r="K391" s="78">
        <v>74</v>
      </c>
      <c r="L391" s="78">
        <v>21000</v>
      </c>
      <c r="M391" s="78">
        <v>100</v>
      </c>
      <c r="N391" s="78">
        <v>100</v>
      </c>
      <c r="O391" s="78">
        <v>100</v>
      </c>
      <c r="P391" s="78">
        <v>0</v>
      </c>
      <c r="Q391" s="78">
        <v>0</v>
      </c>
      <c r="R391" s="78">
        <f t="shared" si="20"/>
        <v>0</v>
      </c>
      <c r="S391" s="78"/>
      <c r="T391" s="93">
        <v>0</v>
      </c>
      <c r="U391" s="78">
        <v>0</v>
      </c>
      <c r="V391" s="93">
        <v>1</v>
      </c>
    </row>
    <row r="392" spans="1:22">
      <c r="A392" s="93">
        <v>120101</v>
      </c>
      <c r="B392" s="93" t="s">
        <v>5154</v>
      </c>
      <c r="C392" s="93">
        <v>12</v>
      </c>
      <c r="D392" s="78"/>
      <c r="E392" s="78"/>
      <c r="F392" s="78">
        <f t="shared" si="14"/>
        <v>2</v>
      </c>
      <c r="G392" s="93">
        <v>5</v>
      </c>
      <c r="H392" s="78">
        <v>0</v>
      </c>
      <c r="I392" s="78">
        <v>564</v>
      </c>
      <c r="J392" s="78">
        <v>545</v>
      </c>
      <c r="K392" s="78">
        <v>52</v>
      </c>
      <c r="L392" s="78">
        <v>10500</v>
      </c>
      <c r="M392" s="78">
        <v>100</v>
      </c>
      <c r="N392" s="78">
        <v>100</v>
      </c>
      <c r="O392" s="78">
        <v>100</v>
      </c>
      <c r="P392" s="78">
        <v>0</v>
      </c>
      <c r="Q392" s="78">
        <v>0</v>
      </c>
      <c r="R392" s="78">
        <f t="shared" si="20"/>
        <v>0</v>
      </c>
      <c r="S392" s="78"/>
      <c r="T392" s="93">
        <f>Q393</f>
        <v>0</v>
      </c>
      <c r="U392" s="78">
        <v>0</v>
      </c>
      <c r="V392" s="93">
        <v>1</v>
      </c>
    </row>
    <row r="393" spans="1:22">
      <c r="A393" s="93">
        <v>120102</v>
      </c>
      <c r="B393" s="93" t="s">
        <v>5154</v>
      </c>
      <c r="C393" s="93">
        <v>12</v>
      </c>
      <c r="D393" s="78"/>
      <c r="E393" s="78"/>
      <c r="F393" s="78">
        <f t="shared" si="14"/>
        <v>2</v>
      </c>
      <c r="G393" s="93">
        <v>6</v>
      </c>
      <c r="H393" s="78">
        <v>0</v>
      </c>
      <c r="I393" s="78">
        <v>613</v>
      </c>
      <c r="J393" s="78">
        <v>596</v>
      </c>
      <c r="K393" s="78">
        <v>63</v>
      </c>
      <c r="L393" s="78">
        <v>15000</v>
      </c>
      <c r="M393" s="78">
        <v>100</v>
      </c>
      <c r="N393" s="78">
        <v>100</v>
      </c>
      <c r="O393" s="78">
        <v>100</v>
      </c>
      <c r="P393" s="78">
        <v>0</v>
      </c>
      <c r="Q393" s="78">
        <v>0</v>
      </c>
      <c r="R393" s="78">
        <f t="shared" si="20"/>
        <v>0</v>
      </c>
      <c r="S393" s="78"/>
      <c r="T393" s="93">
        <f>Q394</f>
        <v>0</v>
      </c>
      <c r="U393" s="78">
        <v>0</v>
      </c>
      <c r="V393" s="93">
        <v>1</v>
      </c>
    </row>
    <row r="394" spans="1:22">
      <c r="A394" s="93">
        <v>120103</v>
      </c>
      <c r="B394" s="93" t="s">
        <v>5154</v>
      </c>
      <c r="C394" s="93">
        <v>12</v>
      </c>
      <c r="D394" s="78"/>
      <c r="E394" s="78"/>
      <c r="F394" s="78">
        <f t="shared" si="14"/>
        <v>2</v>
      </c>
      <c r="G394" s="93">
        <v>7</v>
      </c>
      <c r="H394" s="78">
        <v>0</v>
      </c>
      <c r="I394" s="78">
        <v>664</v>
      </c>
      <c r="J394" s="78">
        <v>649</v>
      </c>
      <c r="K394" s="78">
        <v>73</v>
      </c>
      <c r="L394" s="78">
        <v>21000</v>
      </c>
      <c r="M394" s="78">
        <v>100</v>
      </c>
      <c r="N394" s="78">
        <v>100</v>
      </c>
      <c r="O394" s="78">
        <v>100</v>
      </c>
      <c r="P394" s="78">
        <v>0</v>
      </c>
      <c r="Q394" s="78">
        <v>0</v>
      </c>
      <c r="R394" s="78">
        <f t="shared" si="20"/>
        <v>0</v>
      </c>
      <c r="S394" s="78"/>
      <c r="T394" s="93">
        <v>0</v>
      </c>
      <c r="U394" s="78">
        <v>0</v>
      </c>
      <c r="V394" s="93">
        <v>1</v>
      </c>
    </row>
    <row r="395" spans="1:22">
      <c r="A395" s="93">
        <v>120111</v>
      </c>
      <c r="B395" s="93" t="s">
        <v>5155</v>
      </c>
      <c r="C395" s="93">
        <v>12</v>
      </c>
      <c r="D395" s="78"/>
      <c r="E395" s="78"/>
      <c r="F395" s="78">
        <f t="shared" si="14"/>
        <v>2</v>
      </c>
      <c r="G395" s="93">
        <v>6</v>
      </c>
      <c r="H395" s="78">
        <v>0</v>
      </c>
      <c r="I395" s="78">
        <v>584</v>
      </c>
      <c r="J395" s="78">
        <v>627</v>
      </c>
      <c r="K395" s="78">
        <v>62</v>
      </c>
      <c r="L395" s="78">
        <v>15000</v>
      </c>
      <c r="M395" s="78">
        <v>100</v>
      </c>
      <c r="N395" s="78">
        <v>100</v>
      </c>
      <c r="O395" s="78">
        <v>100</v>
      </c>
      <c r="P395" s="78">
        <v>0</v>
      </c>
      <c r="Q395" s="78">
        <v>0</v>
      </c>
      <c r="R395" s="78">
        <f>Q398</f>
        <v>0</v>
      </c>
      <c r="S395" s="78"/>
      <c r="T395" s="93">
        <f>Q398</f>
        <v>0</v>
      </c>
      <c r="U395" s="78">
        <v>0</v>
      </c>
      <c r="V395" s="93">
        <v>2</v>
      </c>
    </row>
    <row r="396" spans="1:22">
      <c r="A396" s="93">
        <v>120113</v>
      </c>
      <c r="B396" s="93" t="s">
        <v>5155</v>
      </c>
      <c r="C396" s="93">
        <v>12</v>
      </c>
      <c r="D396" s="78"/>
      <c r="E396" s="78"/>
      <c r="F396" s="78">
        <f t="shared" ref="F396" si="21">IF(G396&gt;3,2,1)</f>
        <v>2</v>
      </c>
      <c r="G396" s="93">
        <v>7</v>
      </c>
      <c r="H396" s="78">
        <v>0</v>
      </c>
      <c r="I396" s="78">
        <v>633</v>
      </c>
      <c r="J396" s="78">
        <v>672</v>
      </c>
      <c r="K396" s="78">
        <v>73</v>
      </c>
      <c r="L396" s="78">
        <v>21000</v>
      </c>
      <c r="M396" s="78">
        <v>100</v>
      </c>
      <c r="N396" s="78">
        <v>100</v>
      </c>
      <c r="O396" s="78">
        <v>100</v>
      </c>
      <c r="P396" s="78">
        <v>0</v>
      </c>
      <c r="Q396" s="78">
        <v>0</v>
      </c>
      <c r="R396" s="78">
        <f>Q399</f>
        <v>0</v>
      </c>
      <c r="S396" s="78"/>
      <c r="T396" s="93">
        <f>Q399</f>
        <v>0</v>
      </c>
      <c r="U396" s="78">
        <v>0</v>
      </c>
      <c r="V396" s="93">
        <v>2</v>
      </c>
    </row>
    <row r="397" spans="1:22">
      <c r="A397" s="93">
        <v>120114</v>
      </c>
      <c r="B397" s="93" t="s">
        <v>5155</v>
      </c>
      <c r="C397" s="93">
        <v>12</v>
      </c>
      <c r="D397" s="78"/>
      <c r="E397" s="78"/>
      <c r="F397" s="78">
        <f t="shared" ref="F397" si="22">IF(G397&gt;3,2,1)</f>
        <v>2</v>
      </c>
      <c r="G397" s="93">
        <v>5</v>
      </c>
      <c r="H397" s="78">
        <v>0</v>
      </c>
      <c r="I397" s="78">
        <v>537</v>
      </c>
      <c r="J397" s="78">
        <v>584</v>
      </c>
      <c r="K397" s="78">
        <v>51</v>
      </c>
      <c r="L397" s="78">
        <v>10500</v>
      </c>
      <c r="M397" s="78">
        <v>100</v>
      </c>
      <c r="N397" s="78">
        <v>100</v>
      </c>
      <c r="O397" s="78">
        <v>100</v>
      </c>
      <c r="P397" s="78">
        <v>0</v>
      </c>
      <c r="Q397" s="78">
        <v>0</v>
      </c>
      <c r="R397" s="78">
        <f>Q395</f>
        <v>0</v>
      </c>
      <c r="S397" s="78"/>
      <c r="T397" s="93">
        <f>Q395</f>
        <v>0</v>
      </c>
      <c r="U397" s="78">
        <v>0</v>
      </c>
      <c r="V397" s="93">
        <v>2</v>
      </c>
    </row>
    <row r="398" spans="1:22">
      <c r="A398" s="93">
        <v>120121</v>
      </c>
      <c r="B398" s="93" t="s">
        <v>5156</v>
      </c>
      <c r="C398" s="93">
        <v>12</v>
      </c>
      <c r="D398" s="78"/>
      <c r="E398" s="78"/>
      <c r="F398" s="78">
        <f t="shared" si="14"/>
        <v>2</v>
      </c>
      <c r="G398" s="93">
        <v>5</v>
      </c>
      <c r="H398" s="78">
        <v>0</v>
      </c>
      <c r="I398" s="78">
        <v>548</v>
      </c>
      <c r="J398" s="78">
        <v>553</v>
      </c>
      <c r="K398" s="78">
        <v>63</v>
      </c>
      <c r="L398" s="78">
        <v>10500</v>
      </c>
      <c r="M398" s="78">
        <v>100</v>
      </c>
      <c r="N398" s="78">
        <v>100</v>
      </c>
      <c r="O398" s="78">
        <v>100</v>
      </c>
      <c r="P398" s="78">
        <v>0</v>
      </c>
      <c r="Q398" s="78">
        <v>0</v>
      </c>
      <c r="R398" s="78">
        <f t="shared" si="20"/>
        <v>0</v>
      </c>
      <c r="S398" s="78"/>
      <c r="T398" s="93">
        <f>Q399</f>
        <v>0</v>
      </c>
      <c r="U398" s="78">
        <v>0</v>
      </c>
      <c r="V398" s="93">
        <v>3</v>
      </c>
    </row>
    <row r="399" spans="1:22">
      <c r="A399" s="93">
        <v>120122</v>
      </c>
      <c r="B399" s="93" t="s">
        <v>5156</v>
      </c>
      <c r="C399" s="93">
        <v>12</v>
      </c>
      <c r="D399" s="78"/>
      <c r="E399" s="78"/>
      <c r="F399" s="78">
        <f t="shared" si="14"/>
        <v>2</v>
      </c>
      <c r="G399" s="93">
        <v>6</v>
      </c>
      <c r="H399" s="78">
        <v>0</v>
      </c>
      <c r="I399" s="78">
        <v>595</v>
      </c>
      <c r="J399" s="78">
        <v>601</v>
      </c>
      <c r="K399" s="78">
        <v>73</v>
      </c>
      <c r="L399" s="78">
        <v>15000</v>
      </c>
      <c r="M399" s="78">
        <v>100</v>
      </c>
      <c r="N399" s="78">
        <v>100</v>
      </c>
      <c r="O399" s="78">
        <v>100</v>
      </c>
      <c r="P399" s="78">
        <v>0</v>
      </c>
      <c r="Q399" s="78">
        <v>0</v>
      </c>
      <c r="R399" s="78">
        <f t="shared" si="20"/>
        <v>0</v>
      </c>
      <c r="S399" s="78"/>
      <c r="T399" s="93">
        <v>0</v>
      </c>
      <c r="U399" s="78">
        <v>0</v>
      </c>
      <c r="V399" s="93">
        <v>3</v>
      </c>
    </row>
    <row r="400" spans="1:22">
      <c r="A400" s="93">
        <v>120123</v>
      </c>
      <c r="B400" s="93" t="s">
        <v>5156</v>
      </c>
      <c r="C400" s="93">
        <v>12</v>
      </c>
      <c r="D400" s="78"/>
      <c r="E400" s="78"/>
      <c r="F400" s="78">
        <f t="shared" si="14"/>
        <v>2</v>
      </c>
      <c r="G400" s="93">
        <v>7</v>
      </c>
      <c r="H400" s="78">
        <v>0</v>
      </c>
      <c r="I400" s="78">
        <v>644</v>
      </c>
      <c r="J400" s="78">
        <v>646</v>
      </c>
      <c r="K400" s="78">
        <v>83</v>
      </c>
      <c r="L400" s="78">
        <v>21000</v>
      </c>
      <c r="M400" s="78">
        <v>100</v>
      </c>
      <c r="N400" s="78">
        <v>100</v>
      </c>
      <c r="O400" s="78">
        <v>100</v>
      </c>
      <c r="P400" s="78">
        <v>0</v>
      </c>
      <c r="Q400" s="78">
        <v>0</v>
      </c>
      <c r="R400" s="78">
        <f t="shared" si="20"/>
        <v>0</v>
      </c>
      <c r="S400" s="78"/>
      <c r="T400" s="93">
        <f>Q401</f>
        <v>0</v>
      </c>
      <c r="U400" s="78">
        <v>0</v>
      </c>
      <c r="V400" s="93">
        <v>3</v>
      </c>
    </row>
    <row r="401" spans="1:22">
      <c r="A401" s="93">
        <v>120131</v>
      </c>
      <c r="B401" s="93" t="s">
        <v>5157</v>
      </c>
      <c r="C401" s="93">
        <v>12</v>
      </c>
      <c r="D401" s="78"/>
      <c r="E401" s="78"/>
      <c r="F401" s="78">
        <f t="shared" ref="F401:F436" si="23">IF(G401&gt;3,2,1)</f>
        <v>2</v>
      </c>
      <c r="G401" s="93">
        <v>5</v>
      </c>
      <c r="H401" s="78">
        <v>0</v>
      </c>
      <c r="I401" s="78">
        <v>550</v>
      </c>
      <c r="J401" s="78">
        <v>577</v>
      </c>
      <c r="K401" s="78">
        <v>51</v>
      </c>
      <c r="L401" s="78">
        <v>10500</v>
      </c>
      <c r="M401" s="78">
        <v>100</v>
      </c>
      <c r="N401" s="78">
        <v>100</v>
      </c>
      <c r="O401" s="78">
        <v>100</v>
      </c>
      <c r="P401" s="78">
        <v>0</v>
      </c>
      <c r="Q401" s="78">
        <v>0</v>
      </c>
      <c r="R401" s="78">
        <f t="shared" si="20"/>
        <v>0</v>
      </c>
      <c r="S401" s="78"/>
      <c r="T401" s="93">
        <f>Q402</f>
        <v>0</v>
      </c>
      <c r="U401" s="78">
        <v>0</v>
      </c>
      <c r="V401" s="93">
        <v>2</v>
      </c>
    </row>
    <row r="402" spans="1:22">
      <c r="A402" s="93">
        <v>120132</v>
      </c>
      <c r="B402" s="93" t="s">
        <v>5157</v>
      </c>
      <c r="C402" s="93">
        <v>12</v>
      </c>
      <c r="D402" s="78"/>
      <c r="E402" s="78"/>
      <c r="F402" s="78">
        <f t="shared" si="23"/>
        <v>2</v>
      </c>
      <c r="G402" s="93">
        <v>6</v>
      </c>
      <c r="H402" s="78">
        <v>0</v>
      </c>
      <c r="I402" s="78">
        <v>595</v>
      </c>
      <c r="J402" s="78">
        <v>625</v>
      </c>
      <c r="K402" s="78">
        <v>62</v>
      </c>
      <c r="L402" s="78">
        <v>15000</v>
      </c>
      <c r="M402" s="78">
        <v>100</v>
      </c>
      <c r="N402" s="78">
        <v>100</v>
      </c>
      <c r="O402" s="78">
        <v>100</v>
      </c>
      <c r="P402" s="78">
        <v>0</v>
      </c>
      <c r="Q402" s="78">
        <v>0</v>
      </c>
      <c r="R402" s="78">
        <f t="shared" si="20"/>
        <v>0</v>
      </c>
      <c r="S402" s="78"/>
      <c r="T402" s="93">
        <v>0</v>
      </c>
      <c r="U402" s="78">
        <v>0</v>
      </c>
      <c r="V402" s="93">
        <v>2</v>
      </c>
    </row>
    <row r="403" spans="1:22">
      <c r="A403" s="93">
        <v>120133</v>
      </c>
      <c r="B403" s="93" t="s">
        <v>5157</v>
      </c>
      <c r="C403" s="93">
        <v>12</v>
      </c>
      <c r="D403" s="78"/>
      <c r="E403" s="78"/>
      <c r="F403" s="78">
        <f t="shared" si="23"/>
        <v>2</v>
      </c>
      <c r="G403" s="93">
        <v>7</v>
      </c>
      <c r="H403" s="78">
        <v>0</v>
      </c>
      <c r="I403" s="78">
        <v>640</v>
      </c>
      <c r="J403" s="78">
        <v>670</v>
      </c>
      <c r="K403" s="78">
        <v>72</v>
      </c>
      <c r="L403" s="78">
        <v>21000</v>
      </c>
      <c r="M403" s="78">
        <v>100</v>
      </c>
      <c r="N403" s="78">
        <v>100</v>
      </c>
      <c r="O403" s="78">
        <v>100</v>
      </c>
      <c r="P403" s="78">
        <v>0</v>
      </c>
      <c r="Q403" s="78">
        <v>0</v>
      </c>
      <c r="R403" s="78">
        <f t="shared" si="20"/>
        <v>0</v>
      </c>
      <c r="S403" s="78"/>
      <c r="T403" s="93">
        <f>Q404</f>
        <v>0</v>
      </c>
      <c r="U403" s="78">
        <v>0</v>
      </c>
      <c r="V403" s="93">
        <v>2</v>
      </c>
    </row>
    <row r="404" spans="1:22">
      <c r="A404" s="93">
        <v>120141</v>
      </c>
      <c r="B404" s="93" t="s">
        <v>5158</v>
      </c>
      <c r="C404" s="93">
        <v>12</v>
      </c>
      <c r="D404" s="78"/>
      <c r="E404" s="78"/>
      <c r="F404" s="78">
        <f t="shared" si="23"/>
        <v>2</v>
      </c>
      <c r="G404" s="93">
        <v>5</v>
      </c>
      <c r="H404" s="78">
        <v>0</v>
      </c>
      <c r="I404" s="78">
        <v>549</v>
      </c>
      <c r="J404" s="78">
        <v>579</v>
      </c>
      <c r="K404" s="78">
        <v>51</v>
      </c>
      <c r="L404" s="78">
        <v>10500</v>
      </c>
      <c r="M404" s="78">
        <v>100</v>
      </c>
      <c r="N404" s="78">
        <v>100</v>
      </c>
      <c r="O404" s="78">
        <v>100</v>
      </c>
      <c r="P404" s="78">
        <v>0</v>
      </c>
      <c r="Q404" s="78">
        <v>0</v>
      </c>
      <c r="R404" s="78">
        <f t="shared" si="20"/>
        <v>0</v>
      </c>
      <c r="S404" s="78"/>
      <c r="T404" s="93">
        <f>Q405</f>
        <v>0</v>
      </c>
      <c r="U404" s="78">
        <v>0</v>
      </c>
      <c r="V404" s="93">
        <v>2</v>
      </c>
    </row>
    <row r="405" spans="1:22">
      <c r="A405" s="93">
        <v>120142</v>
      </c>
      <c r="B405" s="93" t="s">
        <v>5158</v>
      </c>
      <c r="C405" s="93">
        <v>12</v>
      </c>
      <c r="D405" s="78"/>
      <c r="E405" s="78"/>
      <c r="F405" s="78">
        <f t="shared" si="23"/>
        <v>2</v>
      </c>
      <c r="G405" s="93">
        <v>6</v>
      </c>
      <c r="H405" s="78">
        <v>0</v>
      </c>
      <c r="I405" s="78">
        <v>597</v>
      </c>
      <c r="J405" s="78">
        <v>623</v>
      </c>
      <c r="K405" s="78">
        <v>62</v>
      </c>
      <c r="L405" s="78">
        <v>15000</v>
      </c>
      <c r="M405" s="78">
        <v>100</v>
      </c>
      <c r="N405" s="78">
        <v>100</v>
      </c>
      <c r="O405" s="78">
        <v>100</v>
      </c>
      <c r="P405" s="78">
        <v>0</v>
      </c>
      <c r="Q405" s="78">
        <v>0</v>
      </c>
      <c r="R405" s="78">
        <f t="shared" si="20"/>
        <v>0</v>
      </c>
      <c r="S405" s="78"/>
      <c r="T405" s="93">
        <v>0</v>
      </c>
      <c r="U405" s="78">
        <v>0</v>
      </c>
      <c r="V405" s="93">
        <v>2</v>
      </c>
    </row>
    <row r="406" spans="1:22">
      <c r="A406" s="93">
        <v>120143</v>
      </c>
      <c r="B406" s="93" t="s">
        <v>5158</v>
      </c>
      <c r="C406" s="93">
        <v>12</v>
      </c>
      <c r="D406" s="78"/>
      <c r="E406" s="78"/>
      <c r="F406" s="78">
        <f t="shared" si="23"/>
        <v>2</v>
      </c>
      <c r="G406" s="93">
        <v>7</v>
      </c>
      <c r="H406" s="78">
        <v>0</v>
      </c>
      <c r="I406" s="78">
        <v>647</v>
      </c>
      <c r="J406" s="78">
        <v>669</v>
      </c>
      <c r="K406" s="78">
        <v>73</v>
      </c>
      <c r="L406" s="78">
        <v>21000</v>
      </c>
      <c r="M406" s="78">
        <v>100</v>
      </c>
      <c r="N406" s="78">
        <v>100</v>
      </c>
      <c r="O406" s="78">
        <v>100</v>
      </c>
      <c r="P406" s="78">
        <v>0</v>
      </c>
      <c r="Q406" s="78">
        <v>0</v>
      </c>
      <c r="R406" s="78">
        <f>Q408</f>
        <v>0</v>
      </c>
      <c r="S406" s="78"/>
      <c r="T406" s="93">
        <f>Q408</f>
        <v>0</v>
      </c>
      <c r="U406" s="78">
        <v>0</v>
      </c>
      <c r="V406" s="93">
        <v>2</v>
      </c>
    </row>
    <row r="407" spans="1:22">
      <c r="A407" s="93">
        <v>120147</v>
      </c>
      <c r="B407" s="93" t="s">
        <v>5158</v>
      </c>
      <c r="C407" s="93">
        <v>12</v>
      </c>
      <c r="D407" s="78"/>
      <c r="E407" s="78"/>
      <c r="F407" s="78">
        <f t="shared" ref="F407" si="24">IF(G407&gt;3,2,1)</f>
        <v>2</v>
      </c>
      <c r="G407" s="93">
        <v>4</v>
      </c>
      <c r="H407" s="78">
        <v>0</v>
      </c>
      <c r="I407" s="78">
        <v>496</v>
      </c>
      <c r="J407" s="78">
        <v>528</v>
      </c>
      <c r="K407" s="78">
        <v>40</v>
      </c>
      <c r="L407" s="78">
        <v>6000</v>
      </c>
      <c r="M407" s="78">
        <v>100</v>
      </c>
      <c r="N407" s="78">
        <v>100</v>
      </c>
      <c r="O407" s="78">
        <v>100</v>
      </c>
      <c r="P407" s="78">
        <v>0</v>
      </c>
      <c r="Q407" s="78">
        <v>0</v>
      </c>
      <c r="R407" s="78">
        <f>Q409</f>
        <v>0</v>
      </c>
      <c r="S407" s="78"/>
      <c r="T407" s="93">
        <f>Q409</f>
        <v>0</v>
      </c>
      <c r="U407" s="78">
        <v>0</v>
      </c>
      <c r="V407" s="93">
        <v>2</v>
      </c>
    </row>
    <row r="408" spans="1:22">
      <c r="A408" s="93">
        <v>120151</v>
      </c>
      <c r="B408" s="93" t="s">
        <v>5159</v>
      </c>
      <c r="C408" s="93">
        <v>12</v>
      </c>
      <c r="D408" s="78"/>
      <c r="E408" s="78"/>
      <c r="F408" s="78">
        <f t="shared" si="23"/>
        <v>2</v>
      </c>
      <c r="G408" s="93">
        <v>4</v>
      </c>
      <c r="H408" s="78">
        <v>0</v>
      </c>
      <c r="I408" s="78">
        <v>480</v>
      </c>
      <c r="J408" s="78">
        <v>519</v>
      </c>
      <c r="K408" s="78">
        <v>45</v>
      </c>
      <c r="L408" s="78">
        <v>6000</v>
      </c>
      <c r="M408" s="78">
        <v>100</v>
      </c>
      <c r="N408" s="78">
        <v>100</v>
      </c>
      <c r="O408" s="78">
        <v>100</v>
      </c>
      <c r="P408" s="78">
        <v>0</v>
      </c>
      <c r="Q408" s="78">
        <v>0</v>
      </c>
      <c r="R408" s="78">
        <f t="shared" si="20"/>
        <v>0</v>
      </c>
      <c r="S408" s="78"/>
      <c r="T408" s="93">
        <f>Q409</f>
        <v>0</v>
      </c>
      <c r="U408" s="78">
        <v>0</v>
      </c>
      <c r="V408" s="93">
        <v>2</v>
      </c>
    </row>
    <row r="409" spans="1:22">
      <c r="A409" s="93">
        <v>120161</v>
      </c>
      <c r="B409" s="93" t="s">
        <v>5160</v>
      </c>
      <c r="C409" s="93">
        <v>12</v>
      </c>
      <c r="D409" s="78"/>
      <c r="F409" s="78">
        <f t="shared" si="23"/>
        <v>2</v>
      </c>
      <c r="G409" s="93">
        <v>5</v>
      </c>
      <c r="H409" s="78">
        <v>0</v>
      </c>
      <c r="I409" s="78">
        <v>543</v>
      </c>
      <c r="J409" s="78">
        <v>543</v>
      </c>
      <c r="K409" s="78">
        <v>54</v>
      </c>
      <c r="L409" s="78">
        <v>10500</v>
      </c>
      <c r="M409" s="78">
        <v>100</v>
      </c>
      <c r="N409" s="78">
        <v>100</v>
      </c>
      <c r="O409" s="78">
        <v>100</v>
      </c>
      <c r="P409" s="78">
        <v>0</v>
      </c>
      <c r="Q409" s="78">
        <v>0</v>
      </c>
      <c r="R409" s="97">
        <f t="shared" si="20"/>
        <v>0</v>
      </c>
      <c r="S409" s="97"/>
      <c r="T409" s="97">
        <v>0</v>
      </c>
      <c r="U409" s="97">
        <v>0</v>
      </c>
      <c r="V409" s="93">
        <v>2</v>
      </c>
    </row>
    <row r="410" spans="1:22">
      <c r="A410" s="97">
        <v>120162</v>
      </c>
      <c r="B410" s="97" t="s">
        <v>5160</v>
      </c>
      <c r="C410" s="97">
        <v>12</v>
      </c>
      <c r="D410" s="97"/>
      <c r="E410" s="97"/>
      <c r="F410" s="97">
        <f t="shared" si="23"/>
        <v>2</v>
      </c>
      <c r="G410" s="97">
        <v>6</v>
      </c>
      <c r="H410" s="97">
        <v>0</v>
      </c>
      <c r="I410" s="97">
        <v>594</v>
      </c>
      <c r="J410" s="97">
        <v>621</v>
      </c>
      <c r="K410" s="97">
        <v>63</v>
      </c>
      <c r="L410" s="97">
        <v>15000</v>
      </c>
      <c r="M410" s="97">
        <v>100</v>
      </c>
      <c r="N410" s="97">
        <v>100</v>
      </c>
      <c r="O410" s="97">
        <v>100</v>
      </c>
      <c r="P410" s="97">
        <v>0</v>
      </c>
      <c r="Q410" s="97">
        <v>0</v>
      </c>
      <c r="R410" s="97">
        <f t="shared" si="20"/>
        <v>0</v>
      </c>
      <c r="S410" s="97"/>
      <c r="T410" s="97">
        <f>Q411</f>
        <v>0</v>
      </c>
      <c r="U410" s="97">
        <v>0</v>
      </c>
      <c r="V410" s="97">
        <v>2</v>
      </c>
    </row>
    <row r="411" spans="1:22">
      <c r="A411" s="97">
        <v>120163</v>
      </c>
      <c r="B411" s="97" t="s">
        <v>5160</v>
      </c>
      <c r="C411" s="97">
        <v>12</v>
      </c>
      <c r="D411" s="97"/>
      <c r="E411" s="97"/>
      <c r="F411" s="97">
        <f t="shared" si="23"/>
        <v>2</v>
      </c>
      <c r="G411" s="97">
        <v>7</v>
      </c>
      <c r="H411" s="97">
        <v>0</v>
      </c>
      <c r="I411" s="97">
        <v>645</v>
      </c>
      <c r="J411" s="97">
        <v>672</v>
      </c>
      <c r="K411" s="97">
        <v>73</v>
      </c>
      <c r="L411" s="97">
        <v>21000</v>
      </c>
      <c r="M411" s="97">
        <v>100</v>
      </c>
      <c r="N411" s="97">
        <v>100</v>
      </c>
      <c r="O411" s="97">
        <v>100</v>
      </c>
      <c r="P411" s="97">
        <v>0</v>
      </c>
      <c r="Q411" s="97">
        <v>0</v>
      </c>
      <c r="R411" s="78">
        <f t="shared" ref="R411:R412" si="25">Q412</f>
        <v>0</v>
      </c>
      <c r="S411" s="78"/>
      <c r="T411" s="93">
        <f>Q412</f>
        <v>0</v>
      </c>
      <c r="U411" s="78">
        <v>0</v>
      </c>
      <c r="V411" s="97">
        <v>2</v>
      </c>
    </row>
    <row r="412" spans="1:22">
      <c r="A412" s="93">
        <v>120170</v>
      </c>
      <c r="B412" s="93" t="s">
        <v>5161</v>
      </c>
      <c r="C412" s="93">
        <v>12</v>
      </c>
      <c r="D412" s="78"/>
      <c r="E412" s="78"/>
      <c r="F412" s="78">
        <f t="shared" si="23"/>
        <v>2</v>
      </c>
      <c r="G412" s="93">
        <v>5</v>
      </c>
      <c r="H412" s="93">
        <v>0</v>
      </c>
      <c r="I412" s="78">
        <v>541</v>
      </c>
      <c r="J412" s="78">
        <v>535</v>
      </c>
      <c r="K412" s="78">
        <v>62</v>
      </c>
      <c r="L412" s="78">
        <v>10500</v>
      </c>
      <c r="M412" s="78">
        <v>100</v>
      </c>
      <c r="N412" s="78">
        <v>100</v>
      </c>
      <c r="O412" s="78">
        <v>100</v>
      </c>
      <c r="P412" s="78">
        <v>0</v>
      </c>
      <c r="Q412" s="78">
        <v>0</v>
      </c>
      <c r="R412" s="78">
        <f t="shared" si="25"/>
        <v>0</v>
      </c>
      <c r="S412" s="78"/>
      <c r="T412" s="93">
        <f>Q413</f>
        <v>0</v>
      </c>
      <c r="U412" s="78">
        <v>0</v>
      </c>
      <c r="V412" s="93">
        <v>3</v>
      </c>
    </row>
    <row r="413" spans="1:22">
      <c r="A413" s="93">
        <v>120171</v>
      </c>
      <c r="B413" s="93" t="s">
        <v>5161</v>
      </c>
      <c r="C413" s="93">
        <v>12</v>
      </c>
      <c r="D413" s="78"/>
      <c r="E413" s="78"/>
      <c r="F413" s="78">
        <f t="shared" si="23"/>
        <v>2</v>
      </c>
      <c r="G413" s="93">
        <v>5</v>
      </c>
      <c r="H413" s="78">
        <v>0</v>
      </c>
      <c r="I413" s="78">
        <v>543</v>
      </c>
      <c r="J413" s="78">
        <v>531</v>
      </c>
      <c r="K413" s="78">
        <v>62</v>
      </c>
      <c r="L413" s="78">
        <v>10500</v>
      </c>
      <c r="M413" s="78">
        <v>100</v>
      </c>
      <c r="N413" s="78">
        <v>100</v>
      </c>
      <c r="O413" s="78">
        <v>100</v>
      </c>
      <c r="P413" s="78">
        <v>0</v>
      </c>
      <c r="Q413" s="78">
        <v>0</v>
      </c>
      <c r="R413" s="78">
        <f t="shared" ref="R413:R433" si="26">Q414</f>
        <v>0</v>
      </c>
      <c r="S413" s="78"/>
      <c r="T413" s="93">
        <f>Q414</f>
        <v>0</v>
      </c>
      <c r="U413" s="78">
        <v>0</v>
      </c>
      <c r="V413" s="93">
        <v>3</v>
      </c>
    </row>
    <row r="414" spans="1:22">
      <c r="A414" s="93">
        <v>120172</v>
      </c>
      <c r="B414" s="93" t="s">
        <v>5161</v>
      </c>
      <c r="C414" s="93">
        <v>12</v>
      </c>
      <c r="D414" s="78"/>
      <c r="E414" s="78"/>
      <c r="F414" s="78">
        <f t="shared" si="23"/>
        <v>2</v>
      </c>
      <c r="G414" s="93">
        <v>6</v>
      </c>
      <c r="H414" s="78">
        <v>0</v>
      </c>
      <c r="I414" s="78">
        <v>587</v>
      </c>
      <c r="J414" s="78">
        <v>581</v>
      </c>
      <c r="K414" s="78">
        <v>72</v>
      </c>
      <c r="L414" s="78">
        <v>15000</v>
      </c>
      <c r="M414" s="78">
        <v>100</v>
      </c>
      <c r="N414" s="78">
        <v>100</v>
      </c>
      <c r="O414" s="78">
        <v>100</v>
      </c>
      <c r="P414" s="78">
        <v>0</v>
      </c>
      <c r="Q414" s="78">
        <v>0</v>
      </c>
      <c r="R414" s="78">
        <f t="shared" si="26"/>
        <v>0</v>
      </c>
      <c r="S414" s="78"/>
      <c r="T414" s="93">
        <v>0</v>
      </c>
      <c r="U414" s="78">
        <v>0</v>
      </c>
      <c r="V414" s="93">
        <v>3</v>
      </c>
    </row>
    <row r="415" spans="1:22">
      <c r="A415" s="93">
        <v>120173</v>
      </c>
      <c r="B415" s="93" t="s">
        <v>5161</v>
      </c>
      <c r="C415" s="93">
        <v>12</v>
      </c>
      <c r="D415" s="78"/>
      <c r="E415" s="78"/>
      <c r="F415" s="78">
        <f t="shared" si="23"/>
        <v>2</v>
      </c>
      <c r="G415" s="93">
        <v>7</v>
      </c>
      <c r="H415" s="78">
        <v>0</v>
      </c>
      <c r="I415" s="78">
        <v>635</v>
      </c>
      <c r="J415" s="78">
        <v>629</v>
      </c>
      <c r="K415" s="78">
        <v>83</v>
      </c>
      <c r="L415" s="78">
        <v>21000</v>
      </c>
      <c r="M415" s="78">
        <v>100</v>
      </c>
      <c r="N415" s="78">
        <v>100</v>
      </c>
      <c r="O415" s="78">
        <v>100</v>
      </c>
      <c r="P415" s="78">
        <v>0</v>
      </c>
      <c r="Q415" s="78">
        <v>0</v>
      </c>
      <c r="R415" s="78">
        <f t="shared" si="26"/>
        <v>0</v>
      </c>
      <c r="S415" s="78"/>
      <c r="T415" s="93">
        <v>0</v>
      </c>
      <c r="U415" s="78">
        <v>0</v>
      </c>
      <c r="V415" s="93">
        <v>3</v>
      </c>
    </row>
    <row r="416" spans="1:22">
      <c r="A416" s="93">
        <v>120174</v>
      </c>
      <c r="B416" s="93" t="s">
        <v>5161</v>
      </c>
      <c r="C416" s="93">
        <v>12</v>
      </c>
      <c r="D416" s="78"/>
      <c r="E416" s="78"/>
      <c r="F416" s="78">
        <f t="shared" si="23"/>
        <v>2</v>
      </c>
      <c r="G416" s="93">
        <v>4</v>
      </c>
      <c r="H416" s="78">
        <v>0</v>
      </c>
      <c r="I416" s="78">
        <v>495</v>
      </c>
      <c r="J416" s="78">
        <v>489</v>
      </c>
      <c r="K416" s="78">
        <v>52</v>
      </c>
      <c r="L416" s="78">
        <v>6000</v>
      </c>
      <c r="M416" s="78">
        <v>100</v>
      </c>
      <c r="N416" s="78">
        <v>100</v>
      </c>
      <c r="O416" s="78">
        <v>100</v>
      </c>
      <c r="P416" s="78">
        <v>0</v>
      </c>
      <c r="Q416" s="78">
        <v>0</v>
      </c>
      <c r="R416" s="78">
        <f t="shared" si="26"/>
        <v>0</v>
      </c>
      <c r="S416" s="78"/>
      <c r="T416" s="93">
        <f>Q417</f>
        <v>0</v>
      </c>
      <c r="U416" s="78">
        <v>0</v>
      </c>
      <c r="V416" s="93">
        <v>3</v>
      </c>
    </row>
    <row r="417" spans="1:22">
      <c r="A417" s="93">
        <v>120181</v>
      </c>
      <c r="B417" s="93" t="s">
        <v>5162</v>
      </c>
      <c r="C417" s="93">
        <v>12</v>
      </c>
      <c r="D417" s="78"/>
      <c r="E417" s="78"/>
      <c r="F417" s="78">
        <f t="shared" si="23"/>
        <v>2</v>
      </c>
      <c r="G417" s="93">
        <v>6</v>
      </c>
      <c r="H417" s="78">
        <v>0</v>
      </c>
      <c r="I417" s="78">
        <v>610</v>
      </c>
      <c r="J417" s="78">
        <v>605</v>
      </c>
      <c r="K417" s="78">
        <v>73</v>
      </c>
      <c r="L417" s="78">
        <v>15000</v>
      </c>
      <c r="M417" s="78">
        <v>100</v>
      </c>
      <c r="N417" s="78">
        <v>100</v>
      </c>
      <c r="O417" s="78">
        <v>100</v>
      </c>
      <c r="P417" s="78">
        <v>0</v>
      </c>
      <c r="Q417" s="78">
        <v>0</v>
      </c>
      <c r="R417" s="78">
        <f t="shared" ref="R417" si="27">Q418</f>
        <v>0</v>
      </c>
      <c r="S417" s="78"/>
      <c r="T417" s="93">
        <v>0</v>
      </c>
      <c r="U417" s="78">
        <v>0</v>
      </c>
      <c r="V417" s="93">
        <v>3</v>
      </c>
    </row>
    <row r="418" spans="1:22">
      <c r="A418" s="93">
        <v>120190</v>
      </c>
      <c r="B418" s="93" t="s">
        <v>5163</v>
      </c>
      <c r="C418" s="93">
        <v>12</v>
      </c>
      <c r="D418" s="78"/>
      <c r="E418" s="78"/>
      <c r="F418" s="78">
        <f t="shared" ref="F418" si="28">IF(G418&gt;3,2,1)</f>
        <v>2</v>
      </c>
      <c r="G418" s="93">
        <v>4</v>
      </c>
      <c r="H418" s="78">
        <v>0</v>
      </c>
      <c r="I418" s="78">
        <v>496</v>
      </c>
      <c r="J418" s="78">
        <v>505</v>
      </c>
      <c r="K418" s="78">
        <v>51</v>
      </c>
      <c r="L418" s="78">
        <v>6000</v>
      </c>
      <c r="M418" s="78">
        <v>100</v>
      </c>
      <c r="N418" s="78">
        <v>100</v>
      </c>
      <c r="O418" s="78">
        <v>100</v>
      </c>
      <c r="P418" s="78">
        <v>0</v>
      </c>
      <c r="Q418" s="78">
        <v>0</v>
      </c>
      <c r="R418" s="78">
        <f t="shared" si="26"/>
        <v>0</v>
      </c>
      <c r="S418" s="78"/>
      <c r="T418" s="93">
        <f>Q419</f>
        <v>0</v>
      </c>
      <c r="U418" s="78">
        <v>0</v>
      </c>
      <c r="V418" s="93">
        <v>3</v>
      </c>
    </row>
    <row r="419" spans="1:22">
      <c r="A419" s="93">
        <v>120191</v>
      </c>
      <c r="B419" s="93" t="s">
        <v>5163</v>
      </c>
      <c r="C419" s="93">
        <v>12</v>
      </c>
      <c r="D419" s="78"/>
      <c r="E419" s="78"/>
      <c r="F419" s="78">
        <f t="shared" si="23"/>
        <v>2</v>
      </c>
      <c r="G419" s="93">
        <v>5</v>
      </c>
      <c r="H419" s="78">
        <v>0</v>
      </c>
      <c r="I419" s="78">
        <v>541</v>
      </c>
      <c r="J419" s="78">
        <v>550</v>
      </c>
      <c r="K419" s="78">
        <v>61</v>
      </c>
      <c r="L419" s="78">
        <v>10500</v>
      </c>
      <c r="M419" s="78">
        <v>100</v>
      </c>
      <c r="N419" s="78">
        <v>100</v>
      </c>
      <c r="O419" s="78">
        <v>100</v>
      </c>
      <c r="P419" s="78">
        <v>0</v>
      </c>
      <c r="Q419" s="78">
        <v>0</v>
      </c>
      <c r="R419" s="78">
        <f t="shared" si="26"/>
        <v>0</v>
      </c>
      <c r="S419" s="78"/>
      <c r="T419" s="93">
        <v>0</v>
      </c>
      <c r="U419" s="78">
        <v>0</v>
      </c>
      <c r="V419" s="93">
        <v>3</v>
      </c>
    </row>
    <row r="420" spans="1:22">
      <c r="A420" s="93">
        <v>120192</v>
      </c>
      <c r="B420" s="93" t="s">
        <v>5163</v>
      </c>
      <c r="C420" s="93">
        <v>12</v>
      </c>
      <c r="D420" s="78"/>
      <c r="E420" s="78"/>
      <c r="F420" s="78">
        <f t="shared" si="23"/>
        <v>2</v>
      </c>
      <c r="G420" s="93">
        <v>6</v>
      </c>
      <c r="H420" s="78">
        <v>0</v>
      </c>
      <c r="I420" s="78">
        <v>586</v>
      </c>
      <c r="J420" s="78">
        <v>595</v>
      </c>
      <c r="K420" s="78">
        <v>71</v>
      </c>
      <c r="L420" s="78">
        <v>15000</v>
      </c>
      <c r="M420" s="78">
        <v>100</v>
      </c>
      <c r="N420" s="78">
        <v>100</v>
      </c>
      <c r="O420" s="78">
        <v>100</v>
      </c>
      <c r="P420" s="78">
        <v>0</v>
      </c>
      <c r="Q420" s="78">
        <v>0</v>
      </c>
      <c r="R420" s="78">
        <f t="shared" si="26"/>
        <v>0</v>
      </c>
      <c r="S420" s="78"/>
      <c r="T420" s="93">
        <f>Q421</f>
        <v>0</v>
      </c>
      <c r="U420" s="78">
        <v>0</v>
      </c>
      <c r="V420" s="93">
        <v>3</v>
      </c>
    </row>
    <row r="421" spans="1:22">
      <c r="A421" s="93">
        <v>120193</v>
      </c>
      <c r="B421" s="93" t="s">
        <v>5163</v>
      </c>
      <c r="C421" s="93">
        <v>12</v>
      </c>
      <c r="D421" s="78"/>
      <c r="E421" s="78"/>
      <c r="F421" s="78">
        <f t="shared" si="23"/>
        <v>2</v>
      </c>
      <c r="G421" s="93">
        <v>7</v>
      </c>
      <c r="H421" s="78">
        <v>0</v>
      </c>
      <c r="I421" s="78">
        <v>631</v>
      </c>
      <c r="J421" s="78">
        <v>640</v>
      </c>
      <c r="K421" s="78">
        <v>81</v>
      </c>
      <c r="L421" s="78">
        <v>21000</v>
      </c>
      <c r="M421" s="78">
        <v>100</v>
      </c>
      <c r="N421" s="78">
        <v>100</v>
      </c>
      <c r="O421" s="78">
        <v>100</v>
      </c>
      <c r="P421" s="78">
        <v>0</v>
      </c>
      <c r="Q421" s="78">
        <v>0</v>
      </c>
      <c r="R421" s="78">
        <f t="shared" si="26"/>
        <v>0</v>
      </c>
      <c r="S421" s="78"/>
      <c r="T421" s="93">
        <f>Q422</f>
        <v>0</v>
      </c>
      <c r="U421" s="78">
        <v>0</v>
      </c>
      <c r="V421" s="93">
        <v>3</v>
      </c>
    </row>
    <row r="422" spans="1:22">
      <c r="A422" s="93">
        <v>120201</v>
      </c>
      <c r="B422" s="93" t="s">
        <v>5164</v>
      </c>
      <c r="C422" s="93">
        <v>12</v>
      </c>
      <c r="D422" s="78"/>
      <c r="E422" s="78"/>
      <c r="F422" s="78">
        <f t="shared" si="23"/>
        <v>2</v>
      </c>
      <c r="G422" s="93">
        <v>5</v>
      </c>
      <c r="H422" s="78">
        <v>0</v>
      </c>
      <c r="I422" s="78">
        <v>560</v>
      </c>
      <c r="J422" s="78">
        <v>540</v>
      </c>
      <c r="K422" s="78">
        <v>50</v>
      </c>
      <c r="L422" s="78">
        <v>10500</v>
      </c>
      <c r="M422" s="78">
        <v>100</v>
      </c>
      <c r="N422" s="78">
        <v>100</v>
      </c>
      <c r="O422" s="78">
        <v>100</v>
      </c>
      <c r="P422" s="78">
        <v>0</v>
      </c>
      <c r="Q422" s="78">
        <v>0</v>
      </c>
      <c r="R422" s="78">
        <f t="shared" si="26"/>
        <v>0</v>
      </c>
      <c r="S422" s="78"/>
      <c r="T422" s="93">
        <v>0</v>
      </c>
      <c r="U422" s="78">
        <v>0</v>
      </c>
      <c r="V422" s="93">
        <v>1</v>
      </c>
    </row>
    <row r="423" spans="1:22">
      <c r="A423" s="93">
        <v>120202</v>
      </c>
      <c r="B423" s="93" t="s">
        <v>5164</v>
      </c>
      <c r="C423" s="93">
        <v>12</v>
      </c>
      <c r="D423" s="78"/>
      <c r="E423" s="78"/>
      <c r="F423" s="78">
        <f t="shared" si="23"/>
        <v>2</v>
      </c>
      <c r="G423" s="93">
        <v>6</v>
      </c>
      <c r="H423" s="78">
        <v>0</v>
      </c>
      <c r="I423" s="78">
        <v>612</v>
      </c>
      <c r="J423" s="78">
        <v>588</v>
      </c>
      <c r="K423" s="78">
        <v>62</v>
      </c>
      <c r="L423" s="78">
        <v>15000</v>
      </c>
      <c r="M423" s="78">
        <v>100</v>
      </c>
      <c r="N423" s="78">
        <v>100</v>
      </c>
      <c r="O423" s="78">
        <v>100</v>
      </c>
      <c r="P423" s="78">
        <v>0</v>
      </c>
      <c r="Q423" s="78">
        <v>0</v>
      </c>
      <c r="R423" s="78">
        <f t="shared" si="26"/>
        <v>0</v>
      </c>
      <c r="S423" s="78"/>
      <c r="T423" s="93">
        <f>Q424</f>
        <v>0</v>
      </c>
      <c r="U423" s="78">
        <v>0</v>
      </c>
      <c r="V423" s="93">
        <v>1</v>
      </c>
    </row>
    <row r="424" spans="1:22">
      <c r="A424" s="93">
        <v>120203</v>
      </c>
      <c r="B424" s="93" t="s">
        <v>5164</v>
      </c>
      <c r="C424" s="93">
        <v>12</v>
      </c>
      <c r="D424" s="78"/>
      <c r="E424" s="78"/>
      <c r="F424" s="78">
        <f t="shared" si="23"/>
        <v>2</v>
      </c>
      <c r="G424" s="93">
        <v>7</v>
      </c>
      <c r="H424" s="78">
        <v>0</v>
      </c>
      <c r="I424" s="78">
        <v>663</v>
      </c>
      <c r="J424" s="78">
        <v>642</v>
      </c>
      <c r="K424" s="78">
        <v>72</v>
      </c>
      <c r="L424" s="78">
        <v>21000</v>
      </c>
      <c r="M424" s="78">
        <v>100</v>
      </c>
      <c r="N424" s="78">
        <v>100</v>
      </c>
      <c r="O424" s="78">
        <v>100</v>
      </c>
      <c r="P424" s="78">
        <v>0</v>
      </c>
      <c r="Q424" s="78">
        <v>0</v>
      </c>
      <c r="R424" s="78">
        <f t="shared" si="26"/>
        <v>0</v>
      </c>
      <c r="S424" s="78"/>
      <c r="T424" s="93">
        <v>0</v>
      </c>
      <c r="U424" s="78">
        <v>0</v>
      </c>
      <c r="V424" s="93">
        <v>1</v>
      </c>
    </row>
    <row r="425" spans="1:22">
      <c r="A425" s="93">
        <v>120221</v>
      </c>
      <c r="B425" s="93" t="s">
        <v>5165</v>
      </c>
      <c r="C425" s="93">
        <v>12</v>
      </c>
      <c r="D425" s="78"/>
      <c r="E425" s="78"/>
      <c r="F425" s="78">
        <f t="shared" si="23"/>
        <v>2</v>
      </c>
      <c r="G425" s="93">
        <v>4</v>
      </c>
      <c r="H425" s="78">
        <v>0</v>
      </c>
      <c r="I425" s="78">
        <v>523</v>
      </c>
      <c r="J425" s="78">
        <v>495</v>
      </c>
      <c r="K425" s="78">
        <v>42</v>
      </c>
      <c r="L425" s="78">
        <v>6000</v>
      </c>
      <c r="M425" s="78">
        <v>100</v>
      </c>
      <c r="N425" s="78">
        <v>100</v>
      </c>
      <c r="O425" s="78">
        <v>100</v>
      </c>
      <c r="P425" s="78">
        <v>0</v>
      </c>
      <c r="Q425" s="78">
        <v>0</v>
      </c>
      <c r="R425" s="78">
        <f t="shared" si="26"/>
        <v>0</v>
      </c>
      <c r="S425" s="78"/>
      <c r="T425" s="93">
        <f>Q426</f>
        <v>0</v>
      </c>
      <c r="U425" s="78">
        <v>0</v>
      </c>
      <c r="V425" s="93">
        <v>1</v>
      </c>
    </row>
    <row r="426" spans="1:22">
      <c r="A426" s="93">
        <v>120222</v>
      </c>
      <c r="B426" s="93" t="s">
        <v>5165</v>
      </c>
      <c r="C426" s="93">
        <v>12</v>
      </c>
      <c r="D426" s="78"/>
      <c r="E426" s="78"/>
      <c r="F426" s="78">
        <f t="shared" si="23"/>
        <v>2</v>
      </c>
      <c r="G426" s="93">
        <v>5</v>
      </c>
      <c r="H426" s="78">
        <v>0</v>
      </c>
      <c r="I426" s="78">
        <v>571</v>
      </c>
      <c r="J426" s="78">
        <v>545</v>
      </c>
      <c r="K426" s="78">
        <v>52</v>
      </c>
      <c r="L426" s="78">
        <v>10500</v>
      </c>
      <c r="M426" s="78">
        <v>100</v>
      </c>
      <c r="N426" s="78">
        <v>100</v>
      </c>
      <c r="O426" s="78">
        <v>100</v>
      </c>
      <c r="P426" s="78">
        <v>0</v>
      </c>
      <c r="Q426" s="78">
        <v>0</v>
      </c>
      <c r="R426" s="78">
        <f t="shared" si="26"/>
        <v>0</v>
      </c>
      <c r="S426" s="78"/>
      <c r="T426" s="93">
        <v>0</v>
      </c>
      <c r="U426" s="78">
        <v>0</v>
      </c>
      <c r="V426" s="93">
        <v>1</v>
      </c>
    </row>
    <row r="427" spans="1:22">
      <c r="A427" s="93">
        <v>120223</v>
      </c>
      <c r="B427" s="93" t="s">
        <v>5165</v>
      </c>
      <c r="C427" s="93">
        <v>12</v>
      </c>
      <c r="D427" s="78"/>
      <c r="F427" s="78">
        <f t="shared" si="23"/>
        <v>2</v>
      </c>
      <c r="G427" s="93">
        <v>6</v>
      </c>
      <c r="H427" s="78">
        <v>0</v>
      </c>
      <c r="I427" s="78">
        <v>618</v>
      </c>
      <c r="J427" s="78">
        <v>595</v>
      </c>
      <c r="K427" s="78">
        <v>62</v>
      </c>
      <c r="L427" s="78">
        <v>15000</v>
      </c>
      <c r="M427" s="78">
        <v>100</v>
      </c>
      <c r="N427" s="78">
        <v>100</v>
      </c>
      <c r="O427" s="78">
        <v>100</v>
      </c>
      <c r="P427" s="78">
        <v>0</v>
      </c>
      <c r="Q427" s="78">
        <v>0</v>
      </c>
      <c r="R427" s="78">
        <f t="shared" si="26"/>
        <v>0</v>
      </c>
      <c r="S427" s="78"/>
      <c r="T427" s="93">
        <f>Q428</f>
        <v>0</v>
      </c>
      <c r="U427" s="78">
        <v>0</v>
      </c>
      <c r="V427" s="93">
        <v>1</v>
      </c>
    </row>
    <row r="428" spans="1:22">
      <c r="A428" s="93">
        <v>120231</v>
      </c>
      <c r="B428" s="93" t="s">
        <v>5166</v>
      </c>
      <c r="C428" s="93">
        <v>12</v>
      </c>
      <c r="D428" s="78"/>
      <c r="E428" s="78"/>
      <c r="F428" s="78">
        <f t="shared" si="23"/>
        <v>2</v>
      </c>
      <c r="G428" s="93">
        <v>4</v>
      </c>
      <c r="H428" s="78">
        <v>0</v>
      </c>
      <c r="I428" s="78">
        <v>491</v>
      </c>
      <c r="J428" s="78">
        <v>499</v>
      </c>
      <c r="K428" s="78">
        <v>53</v>
      </c>
      <c r="L428" s="78">
        <v>6000</v>
      </c>
      <c r="M428" s="78">
        <v>100</v>
      </c>
      <c r="N428" s="78">
        <v>100</v>
      </c>
      <c r="O428" s="78">
        <v>100</v>
      </c>
      <c r="P428" s="78">
        <v>0</v>
      </c>
      <c r="Q428" s="78">
        <v>0</v>
      </c>
      <c r="R428" s="78">
        <f t="shared" si="26"/>
        <v>0</v>
      </c>
      <c r="S428" s="78"/>
      <c r="T428" s="93">
        <v>0</v>
      </c>
      <c r="U428" s="78">
        <v>0</v>
      </c>
      <c r="V428" s="93">
        <v>3</v>
      </c>
    </row>
    <row r="429" spans="1:22">
      <c r="A429" s="93">
        <v>120241</v>
      </c>
      <c r="B429" s="93" t="s">
        <v>5167</v>
      </c>
      <c r="C429" s="93">
        <v>12</v>
      </c>
      <c r="D429" s="78"/>
      <c r="E429" s="78"/>
      <c r="F429" s="78">
        <f t="shared" si="23"/>
        <v>2</v>
      </c>
      <c r="G429" s="93">
        <v>4</v>
      </c>
      <c r="H429" s="78">
        <v>0</v>
      </c>
      <c r="I429" s="78">
        <v>485</v>
      </c>
      <c r="J429" s="78">
        <v>530</v>
      </c>
      <c r="K429" s="78">
        <v>44</v>
      </c>
      <c r="L429" s="78">
        <v>6000</v>
      </c>
      <c r="M429" s="78">
        <v>100</v>
      </c>
      <c r="N429" s="78">
        <v>100</v>
      </c>
      <c r="O429" s="78">
        <v>100</v>
      </c>
      <c r="P429" s="78">
        <v>0</v>
      </c>
      <c r="Q429" s="78">
        <v>0</v>
      </c>
      <c r="R429" s="78">
        <f>Q431</f>
        <v>0</v>
      </c>
      <c r="S429" s="78"/>
      <c r="T429" s="93">
        <f>Q431</f>
        <v>0</v>
      </c>
      <c r="U429" s="78">
        <v>0</v>
      </c>
      <c r="V429" s="93">
        <v>2</v>
      </c>
    </row>
    <row r="430" spans="1:22">
      <c r="A430" s="93">
        <v>120253</v>
      </c>
      <c r="B430" s="93" t="s">
        <v>5168</v>
      </c>
      <c r="C430" s="93">
        <v>12</v>
      </c>
      <c r="D430" s="78"/>
      <c r="E430" s="78"/>
      <c r="F430" s="78">
        <v>2</v>
      </c>
      <c r="G430" s="93">
        <v>5</v>
      </c>
      <c r="H430" s="78">
        <v>0</v>
      </c>
      <c r="I430" s="78">
        <v>535</v>
      </c>
      <c r="J430" s="78">
        <v>565</v>
      </c>
      <c r="K430" s="78">
        <v>54</v>
      </c>
      <c r="L430" s="78">
        <v>10500</v>
      </c>
      <c r="M430" s="78">
        <v>100</v>
      </c>
      <c r="N430" s="78">
        <v>100</v>
      </c>
      <c r="O430" s="78">
        <v>100</v>
      </c>
      <c r="P430" s="78">
        <v>0</v>
      </c>
      <c r="Q430" s="78">
        <v>0</v>
      </c>
      <c r="R430" s="78">
        <f>Q432</f>
        <v>0</v>
      </c>
      <c r="S430" s="78"/>
      <c r="T430" s="93">
        <f>Q432</f>
        <v>0</v>
      </c>
      <c r="U430" s="78">
        <v>0</v>
      </c>
      <c r="V430" s="93">
        <v>2</v>
      </c>
    </row>
    <row r="431" spans="1:22">
      <c r="A431" s="93">
        <v>120261</v>
      </c>
      <c r="B431" s="93" t="s">
        <v>5169</v>
      </c>
      <c r="C431" s="93">
        <v>12</v>
      </c>
      <c r="D431" s="78"/>
      <c r="E431" s="78"/>
      <c r="F431" s="78">
        <f t="shared" si="23"/>
        <v>2</v>
      </c>
      <c r="G431" s="93">
        <v>4</v>
      </c>
      <c r="H431" s="78">
        <v>0</v>
      </c>
      <c r="I431" s="78">
        <v>475</v>
      </c>
      <c r="J431" s="78">
        <v>518</v>
      </c>
      <c r="K431" s="78">
        <v>44</v>
      </c>
      <c r="L431" s="78">
        <v>6000</v>
      </c>
      <c r="M431" s="78">
        <v>100</v>
      </c>
      <c r="N431" s="78">
        <v>100</v>
      </c>
      <c r="O431" s="78">
        <v>100</v>
      </c>
      <c r="P431" s="78">
        <v>0</v>
      </c>
      <c r="Q431" s="78">
        <v>0</v>
      </c>
      <c r="R431" s="78">
        <f t="shared" si="26"/>
        <v>0</v>
      </c>
      <c r="S431" s="78"/>
      <c r="T431" s="93">
        <v>0</v>
      </c>
      <c r="U431" s="78">
        <v>0</v>
      </c>
      <c r="V431" s="93">
        <v>2</v>
      </c>
    </row>
    <row r="432" spans="1:22">
      <c r="A432" s="93">
        <v>120271</v>
      </c>
      <c r="B432" s="93" t="s">
        <v>5170</v>
      </c>
      <c r="C432" s="93">
        <v>12</v>
      </c>
      <c r="D432" s="78"/>
      <c r="E432" s="78"/>
      <c r="F432" s="78">
        <f t="shared" si="23"/>
        <v>2</v>
      </c>
      <c r="G432" s="93">
        <v>4</v>
      </c>
      <c r="H432" s="78">
        <v>0</v>
      </c>
      <c r="I432" s="78">
        <v>528</v>
      </c>
      <c r="J432" s="78">
        <v>475</v>
      </c>
      <c r="K432" s="78">
        <v>45</v>
      </c>
      <c r="L432" s="78">
        <v>6000</v>
      </c>
      <c r="M432" s="78">
        <v>100</v>
      </c>
      <c r="N432" s="78">
        <v>100</v>
      </c>
      <c r="O432" s="78">
        <v>100</v>
      </c>
      <c r="P432" s="78">
        <v>0</v>
      </c>
      <c r="Q432" s="78">
        <v>0</v>
      </c>
      <c r="R432" s="78">
        <f t="shared" si="26"/>
        <v>0</v>
      </c>
      <c r="S432" s="78"/>
      <c r="T432" s="93">
        <f>Q433</f>
        <v>0</v>
      </c>
      <c r="U432" s="78">
        <v>0</v>
      </c>
      <c r="V432" s="93">
        <v>1</v>
      </c>
    </row>
    <row r="433" spans="1:23">
      <c r="A433" s="93">
        <v>120281</v>
      </c>
      <c r="B433" s="93" t="s">
        <v>5171</v>
      </c>
      <c r="C433" s="93">
        <v>12</v>
      </c>
      <c r="D433" s="78"/>
      <c r="E433" s="78"/>
      <c r="F433" s="78">
        <f t="shared" si="23"/>
        <v>2</v>
      </c>
      <c r="G433" s="93">
        <v>4</v>
      </c>
      <c r="H433" s="78">
        <v>0</v>
      </c>
      <c r="I433" s="78">
        <v>522</v>
      </c>
      <c r="J433" s="78">
        <v>486</v>
      </c>
      <c r="K433" s="78">
        <v>45</v>
      </c>
      <c r="L433" s="78">
        <v>6000</v>
      </c>
      <c r="M433" s="78">
        <v>100</v>
      </c>
      <c r="N433" s="78">
        <v>100</v>
      </c>
      <c r="O433" s="78">
        <v>100</v>
      </c>
      <c r="P433" s="78">
        <v>0</v>
      </c>
      <c r="Q433" s="78">
        <v>0</v>
      </c>
      <c r="R433" s="78">
        <f t="shared" si="26"/>
        <v>0</v>
      </c>
      <c r="S433" s="78"/>
      <c r="T433" s="93">
        <v>0</v>
      </c>
      <c r="U433" s="78">
        <v>0</v>
      </c>
      <c r="V433" s="93">
        <v>1</v>
      </c>
    </row>
    <row r="434" spans="1:23">
      <c r="A434" s="93">
        <v>120291</v>
      </c>
      <c r="B434" s="93" t="s">
        <v>5172</v>
      </c>
      <c r="C434" s="93">
        <v>12</v>
      </c>
      <c r="D434" s="78"/>
      <c r="E434" s="78"/>
      <c r="F434" s="78">
        <f t="shared" si="23"/>
        <v>2</v>
      </c>
      <c r="G434" s="93">
        <v>4</v>
      </c>
      <c r="H434" s="78">
        <v>0</v>
      </c>
      <c r="I434" s="78">
        <v>477</v>
      </c>
      <c r="J434" s="78">
        <v>495</v>
      </c>
      <c r="K434" s="78">
        <v>53</v>
      </c>
      <c r="L434" s="78">
        <v>6000</v>
      </c>
      <c r="M434" s="78">
        <v>100</v>
      </c>
      <c r="N434" s="78">
        <v>100</v>
      </c>
      <c r="O434" s="78">
        <v>100</v>
      </c>
      <c r="P434" s="78">
        <v>0</v>
      </c>
      <c r="Q434" s="78">
        <v>0</v>
      </c>
      <c r="R434" s="78"/>
      <c r="S434" s="78"/>
      <c r="U434" s="78"/>
      <c r="V434" s="93">
        <v>3</v>
      </c>
    </row>
    <row r="435" spans="1:23">
      <c r="A435" s="93">
        <v>120321</v>
      </c>
      <c r="B435" s="93" t="s">
        <v>431</v>
      </c>
      <c r="C435" s="93">
        <v>12</v>
      </c>
      <c r="D435" s="78"/>
      <c r="F435" s="78">
        <f t="shared" si="23"/>
        <v>2</v>
      </c>
      <c r="G435" s="93">
        <v>5</v>
      </c>
      <c r="H435" s="78"/>
      <c r="I435" s="78">
        <v>592</v>
      </c>
      <c r="J435" s="78">
        <v>566</v>
      </c>
      <c r="K435" s="78">
        <v>57</v>
      </c>
      <c r="L435" s="78">
        <v>10500</v>
      </c>
      <c r="M435" s="78">
        <v>100</v>
      </c>
      <c r="N435" s="78">
        <v>100</v>
      </c>
      <c r="O435" s="78">
        <v>100</v>
      </c>
      <c r="P435" s="78">
        <v>0</v>
      </c>
      <c r="Q435" s="78"/>
      <c r="R435" s="78"/>
      <c r="S435" s="78"/>
      <c r="U435" s="78"/>
      <c r="V435" s="93">
        <v>1</v>
      </c>
      <c r="W435" s="93" t="s">
        <v>5138</v>
      </c>
    </row>
    <row r="436" spans="1:23">
      <c r="A436" s="93">
        <v>120322</v>
      </c>
      <c r="B436" s="93" t="s">
        <v>431</v>
      </c>
      <c r="C436" s="93">
        <v>12</v>
      </c>
      <c r="D436" s="78"/>
      <c r="F436" s="78">
        <f t="shared" si="23"/>
        <v>2</v>
      </c>
      <c r="G436" s="93">
        <v>6</v>
      </c>
      <c r="H436" s="78"/>
      <c r="I436" s="78">
        <v>635</v>
      </c>
      <c r="J436" s="78">
        <v>610</v>
      </c>
      <c r="K436" s="78">
        <v>69</v>
      </c>
      <c r="L436" s="78">
        <v>15000</v>
      </c>
      <c r="M436" s="78">
        <v>100</v>
      </c>
      <c r="N436" s="78">
        <v>100</v>
      </c>
      <c r="O436" s="78">
        <v>100</v>
      </c>
      <c r="P436" s="78">
        <v>0</v>
      </c>
      <c r="Q436" s="78"/>
      <c r="R436" s="78"/>
      <c r="S436" s="78"/>
      <c r="U436" s="78"/>
      <c r="V436" s="93">
        <v>1</v>
      </c>
      <c r="W436" s="93" t="s">
        <v>5138</v>
      </c>
    </row>
    <row r="437" spans="1:23">
      <c r="A437" s="93">
        <v>120323</v>
      </c>
      <c r="B437" s="93" t="s">
        <v>431</v>
      </c>
      <c r="C437" s="93">
        <v>12</v>
      </c>
      <c r="D437" s="78"/>
      <c r="F437" s="78">
        <f t="shared" ref="F437:F440" si="29">IF(G437&gt;3,2,1)</f>
        <v>2</v>
      </c>
      <c r="G437" s="93">
        <v>7</v>
      </c>
      <c r="H437" s="78"/>
      <c r="I437" s="78">
        <v>678</v>
      </c>
      <c r="J437" s="78">
        <v>654</v>
      </c>
      <c r="K437" s="78">
        <v>81</v>
      </c>
      <c r="L437" s="78">
        <v>21000</v>
      </c>
      <c r="M437" s="78">
        <v>100</v>
      </c>
      <c r="N437" s="78">
        <v>100</v>
      </c>
      <c r="O437" s="78">
        <v>100</v>
      </c>
      <c r="P437" s="78">
        <v>0</v>
      </c>
      <c r="Q437" s="78"/>
      <c r="R437" s="78"/>
      <c r="S437" s="78"/>
      <c r="U437" s="78"/>
      <c r="V437" s="93">
        <v>1</v>
      </c>
      <c r="W437" s="93" t="s">
        <v>5138</v>
      </c>
    </row>
    <row r="438" spans="1:23">
      <c r="A438" s="93">
        <v>120331</v>
      </c>
      <c r="B438" s="93" t="s">
        <v>436</v>
      </c>
      <c r="C438" s="93">
        <v>12</v>
      </c>
      <c r="D438" s="78"/>
      <c r="F438" s="78">
        <f t="shared" si="29"/>
        <v>2</v>
      </c>
      <c r="G438" s="93">
        <v>5</v>
      </c>
      <c r="H438" s="78"/>
      <c r="I438" s="78">
        <v>590</v>
      </c>
      <c r="J438" s="78">
        <v>570</v>
      </c>
      <c r="K438" s="78">
        <v>56</v>
      </c>
      <c r="L438" s="78">
        <v>10500</v>
      </c>
      <c r="M438" s="78">
        <v>100</v>
      </c>
      <c r="N438" s="78">
        <v>100</v>
      </c>
      <c r="O438" s="78">
        <v>100</v>
      </c>
      <c r="P438" s="78">
        <v>0</v>
      </c>
      <c r="Q438" s="78"/>
      <c r="R438" s="78"/>
      <c r="S438" s="78"/>
      <c r="U438" s="78"/>
      <c r="V438" s="93">
        <v>1</v>
      </c>
      <c r="W438" s="93" t="s">
        <v>5139</v>
      </c>
    </row>
    <row r="439" spans="1:23">
      <c r="A439" s="93">
        <v>120332</v>
      </c>
      <c r="B439" s="93" t="s">
        <v>436</v>
      </c>
      <c r="C439" s="93">
        <v>12</v>
      </c>
      <c r="D439" s="78"/>
      <c r="F439" s="78">
        <f t="shared" si="29"/>
        <v>2</v>
      </c>
      <c r="G439" s="93">
        <v>6</v>
      </c>
      <c r="H439" s="78"/>
      <c r="I439" s="78">
        <v>630</v>
      </c>
      <c r="J439" s="78">
        <v>610</v>
      </c>
      <c r="K439" s="78">
        <v>66</v>
      </c>
      <c r="L439" s="78">
        <v>15000</v>
      </c>
      <c r="M439" s="78">
        <v>100</v>
      </c>
      <c r="N439" s="78">
        <v>100</v>
      </c>
      <c r="O439" s="78">
        <v>100</v>
      </c>
      <c r="P439" s="78">
        <v>0</v>
      </c>
      <c r="Q439" s="78"/>
      <c r="R439" s="78"/>
      <c r="S439" s="78"/>
      <c r="U439" s="78"/>
      <c r="V439" s="93">
        <v>1</v>
      </c>
      <c r="W439" s="93" t="s">
        <v>5139</v>
      </c>
    </row>
    <row r="440" spans="1:23">
      <c r="A440" s="93">
        <v>120333</v>
      </c>
      <c r="B440" s="93" t="s">
        <v>436</v>
      </c>
      <c r="C440" s="93">
        <v>12</v>
      </c>
      <c r="D440" s="78"/>
      <c r="F440" s="78">
        <f t="shared" si="29"/>
        <v>2</v>
      </c>
      <c r="G440" s="93">
        <v>7</v>
      </c>
      <c r="H440" s="78"/>
      <c r="I440" s="78">
        <v>675</v>
      </c>
      <c r="J440" s="78">
        <v>660</v>
      </c>
      <c r="K440" s="78">
        <v>76</v>
      </c>
      <c r="L440" s="78">
        <v>21000</v>
      </c>
      <c r="M440" s="78">
        <v>100</v>
      </c>
      <c r="N440" s="78">
        <v>100</v>
      </c>
      <c r="O440" s="78">
        <v>100</v>
      </c>
      <c r="P440" s="78">
        <v>0</v>
      </c>
      <c r="Q440" s="78"/>
      <c r="R440" s="78"/>
      <c r="S440" s="78"/>
      <c r="U440" s="78"/>
      <c r="V440" s="93">
        <v>1</v>
      </c>
      <c r="W440" s="93" t="s">
        <v>5139</v>
      </c>
    </row>
    <row r="441" spans="1:23">
      <c r="A441" s="93">
        <v>120334</v>
      </c>
      <c r="B441" s="93" t="s">
        <v>436</v>
      </c>
      <c r="C441" s="93">
        <v>12</v>
      </c>
      <c r="D441" s="78"/>
      <c r="F441" s="78">
        <v>2</v>
      </c>
      <c r="G441" s="93">
        <v>8</v>
      </c>
      <c r="H441" s="78">
        <v>0</v>
      </c>
      <c r="I441" s="78">
        <v>710</v>
      </c>
      <c r="J441" s="78">
        <v>700</v>
      </c>
      <c r="K441" s="78">
        <v>90</v>
      </c>
      <c r="L441" s="78">
        <v>50000</v>
      </c>
      <c r="M441" s="78">
        <v>100</v>
      </c>
      <c r="N441" s="78">
        <v>100</v>
      </c>
      <c r="O441" s="78">
        <v>100</v>
      </c>
      <c r="P441" s="78">
        <v>0</v>
      </c>
      <c r="Q441" s="78"/>
      <c r="R441" s="78"/>
      <c r="S441" s="78"/>
      <c r="U441" s="78"/>
      <c r="V441" s="93">
        <v>1</v>
      </c>
      <c r="W441" s="93" t="s">
        <v>5139</v>
      </c>
    </row>
    <row r="442" spans="1:23">
      <c r="A442" s="93">
        <v>120341</v>
      </c>
      <c r="B442" s="93" t="s">
        <v>442</v>
      </c>
      <c r="C442" s="93">
        <v>12</v>
      </c>
      <c r="D442" s="78"/>
      <c r="F442" s="78">
        <v>2</v>
      </c>
      <c r="G442" s="93">
        <v>5</v>
      </c>
      <c r="I442" s="78">
        <v>543</v>
      </c>
      <c r="J442" s="78">
        <v>560</v>
      </c>
      <c r="K442" s="78">
        <v>61</v>
      </c>
      <c r="L442" s="78">
        <v>10500</v>
      </c>
      <c r="M442" s="78">
        <v>100</v>
      </c>
      <c r="N442" s="78">
        <v>100</v>
      </c>
      <c r="O442" s="78">
        <v>100</v>
      </c>
      <c r="P442" s="78">
        <v>0</v>
      </c>
      <c r="Q442" s="78"/>
      <c r="R442" s="78"/>
      <c r="S442" s="78"/>
      <c r="U442" s="78"/>
      <c r="V442" s="93">
        <v>3</v>
      </c>
    </row>
    <row r="443" spans="1:23">
      <c r="A443" s="93">
        <v>120342</v>
      </c>
      <c r="B443" s="93" t="s">
        <v>442</v>
      </c>
      <c r="C443" s="93">
        <v>12</v>
      </c>
      <c r="D443" s="78"/>
      <c r="F443" s="78">
        <v>2</v>
      </c>
      <c r="G443" s="93">
        <v>6</v>
      </c>
      <c r="I443" s="78">
        <v>594</v>
      </c>
      <c r="J443" s="78">
        <v>601</v>
      </c>
      <c r="K443" s="78">
        <v>72</v>
      </c>
      <c r="L443" s="78">
        <v>15000</v>
      </c>
      <c r="M443" s="78">
        <v>100</v>
      </c>
      <c r="N443" s="78">
        <v>100</v>
      </c>
      <c r="O443" s="78">
        <v>100</v>
      </c>
      <c r="P443" s="78">
        <v>0</v>
      </c>
      <c r="Q443" s="78"/>
      <c r="R443" s="78"/>
      <c r="S443" s="78"/>
      <c r="U443" s="78"/>
      <c r="V443" s="93">
        <v>3</v>
      </c>
    </row>
    <row r="444" spans="1:23">
      <c r="A444" s="93">
        <v>120343</v>
      </c>
      <c r="B444" s="93" t="s">
        <v>442</v>
      </c>
      <c r="C444" s="93">
        <v>12</v>
      </c>
      <c r="D444" s="78"/>
      <c r="F444" s="78">
        <v>2</v>
      </c>
      <c r="G444" s="93">
        <v>7</v>
      </c>
      <c r="I444" s="78">
        <v>645</v>
      </c>
      <c r="J444" s="78">
        <v>643</v>
      </c>
      <c r="K444" s="78">
        <v>82</v>
      </c>
      <c r="L444" s="78">
        <v>21000</v>
      </c>
      <c r="M444" s="78">
        <v>100</v>
      </c>
      <c r="N444" s="78">
        <v>100</v>
      </c>
      <c r="O444" s="78">
        <v>100</v>
      </c>
      <c r="P444" s="78">
        <v>0</v>
      </c>
      <c r="Q444" s="78"/>
      <c r="R444" s="78"/>
      <c r="S444" s="78"/>
      <c r="U444" s="78"/>
      <c r="V444" s="93">
        <v>3</v>
      </c>
    </row>
    <row r="445" spans="1:23">
      <c r="A445" s="93">
        <v>120351</v>
      </c>
      <c r="B445" s="93" t="s">
        <v>447</v>
      </c>
      <c r="C445" s="93">
        <v>12</v>
      </c>
      <c r="D445" s="78"/>
      <c r="F445" s="78">
        <f t="shared" ref="F445:F458" si="30">IF(G445&gt;3,2,1)</f>
        <v>2</v>
      </c>
      <c r="G445" s="93">
        <v>5</v>
      </c>
      <c r="H445" s="78"/>
      <c r="I445" s="78">
        <v>574</v>
      </c>
      <c r="J445" s="78">
        <v>560</v>
      </c>
      <c r="K445" s="78">
        <v>65</v>
      </c>
      <c r="L445" s="78">
        <v>10500</v>
      </c>
      <c r="M445" s="78">
        <v>100</v>
      </c>
      <c r="N445" s="78">
        <v>100</v>
      </c>
      <c r="O445" s="78">
        <v>100</v>
      </c>
      <c r="P445" s="78">
        <v>0</v>
      </c>
      <c r="Q445" s="78"/>
      <c r="R445" s="78"/>
      <c r="S445" s="78"/>
      <c r="U445" s="78"/>
      <c r="V445" s="93">
        <v>3</v>
      </c>
      <c r="W445" s="93" t="s">
        <v>5142</v>
      </c>
    </row>
    <row r="446" spans="1:23">
      <c r="A446" s="93">
        <v>120352</v>
      </c>
      <c r="B446" s="93" t="s">
        <v>447</v>
      </c>
      <c r="C446" s="93">
        <v>12</v>
      </c>
      <c r="D446" s="78"/>
      <c r="F446" s="78">
        <f t="shared" si="30"/>
        <v>2</v>
      </c>
      <c r="G446" s="93">
        <v>6</v>
      </c>
      <c r="H446" s="78"/>
      <c r="I446" s="78">
        <v>616</v>
      </c>
      <c r="J446" s="78">
        <v>603</v>
      </c>
      <c r="K446" s="78">
        <v>75</v>
      </c>
      <c r="L446" s="78">
        <v>15000</v>
      </c>
      <c r="M446" s="78">
        <v>100</v>
      </c>
      <c r="N446" s="78">
        <v>100</v>
      </c>
      <c r="O446" s="78">
        <v>100</v>
      </c>
      <c r="P446" s="78">
        <v>0</v>
      </c>
      <c r="Q446" s="78"/>
      <c r="R446" s="78"/>
      <c r="S446" s="78"/>
      <c r="U446" s="78"/>
      <c r="V446" s="93">
        <v>3</v>
      </c>
      <c r="W446" s="93" t="s">
        <v>5142</v>
      </c>
    </row>
    <row r="447" spans="1:23">
      <c r="A447" s="93">
        <v>120353</v>
      </c>
      <c r="B447" s="93" t="s">
        <v>447</v>
      </c>
      <c r="C447" s="93">
        <v>12</v>
      </c>
      <c r="D447" s="78"/>
      <c r="F447" s="78">
        <f t="shared" si="30"/>
        <v>2</v>
      </c>
      <c r="G447" s="93">
        <v>7</v>
      </c>
      <c r="H447" s="78"/>
      <c r="I447" s="78">
        <v>660</v>
      </c>
      <c r="J447" s="78">
        <v>645</v>
      </c>
      <c r="K447" s="78">
        <v>86</v>
      </c>
      <c r="L447" s="78">
        <v>21000</v>
      </c>
      <c r="M447" s="78">
        <v>100</v>
      </c>
      <c r="N447" s="78">
        <v>100</v>
      </c>
      <c r="O447" s="78">
        <v>100</v>
      </c>
      <c r="P447" s="78">
        <v>0</v>
      </c>
      <c r="Q447" s="78"/>
      <c r="R447" s="78"/>
      <c r="S447" s="78"/>
      <c r="U447" s="78"/>
      <c r="V447" s="93">
        <v>3</v>
      </c>
      <c r="W447" s="93" t="s">
        <v>5142</v>
      </c>
    </row>
    <row r="448" spans="1:23">
      <c r="A448" s="93">
        <v>120361</v>
      </c>
      <c r="B448" s="93" t="s">
        <v>454</v>
      </c>
      <c r="C448" s="93">
        <v>12</v>
      </c>
      <c r="D448" s="78"/>
      <c r="F448" s="78">
        <f t="shared" si="30"/>
        <v>2</v>
      </c>
      <c r="G448" s="93">
        <v>5</v>
      </c>
      <c r="H448" s="78"/>
      <c r="I448" s="78">
        <v>541</v>
      </c>
      <c r="J448" s="78">
        <v>587</v>
      </c>
      <c r="K448" s="78">
        <v>52</v>
      </c>
      <c r="L448" s="78">
        <v>10500</v>
      </c>
      <c r="M448" s="78">
        <v>100</v>
      </c>
      <c r="N448" s="78">
        <v>100</v>
      </c>
      <c r="O448" s="78">
        <v>100</v>
      </c>
      <c r="P448" s="78">
        <v>0</v>
      </c>
      <c r="Q448" s="78"/>
      <c r="R448" s="78"/>
      <c r="S448" s="78"/>
      <c r="U448" s="78"/>
      <c r="V448" s="93">
        <v>2</v>
      </c>
      <c r="W448" s="93" t="s">
        <v>5138</v>
      </c>
    </row>
    <row r="449" spans="1:23">
      <c r="A449" s="93">
        <v>120362</v>
      </c>
      <c r="B449" s="93" t="s">
        <v>454</v>
      </c>
      <c r="C449" s="93">
        <v>12</v>
      </c>
      <c r="D449" s="78"/>
      <c r="F449" s="78">
        <f t="shared" si="30"/>
        <v>2</v>
      </c>
      <c r="G449" s="93">
        <v>6</v>
      </c>
      <c r="H449" s="78"/>
      <c r="I449" s="78">
        <v>587</v>
      </c>
      <c r="J449" s="78">
        <v>634</v>
      </c>
      <c r="K449" s="78">
        <v>64</v>
      </c>
      <c r="L449" s="78">
        <v>15000</v>
      </c>
      <c r="M449" s="78">
        <v>100</v>
      </c>
      <c r="N449" s="78">
        <v>100</v>
      </c>
      <c r="O449" s="78">
        <v>100</v>
      </c>
      <c r="P449" s="78">
        <v>0</v>
      </c>
      <c r="Q449" s="78"/>
      <c r="R449" s="78"/>
      <c r="S449" s="78"/>
      <c r="U449" s="78"/>
      <c r="V449" s="93">
        <v>2</v>
      </c>
      <c r="W449" s="93" t="s">
        <v>5138</v>
      </c>
    </row>
    <row r="450" spans="1:23">
      <c r="A450" s="93">
        <v>120363</v>
      </c>
      <c r="B450" s="93" t="s">
        <v>454</v>
      </c>
      <c r="C450" s="93">
        <v>12</v>
      </c>
      <c r="D450" s="78"/>
      <c r="F450" s="78">
        <f t="shared" si="30"/>
        <v>2</v>
      </c>
      <c r="G450" s="93">
        <v>7</v>
      </c>
      <c r="H450" s="78"/>
      <c r="I450" s="78">
        <v>634</v>
      </c>
      <c r="J450" s="78">
        <v>677</v>
      </c>
      <c r="K450" s="78">
        <v>76</v>
      </c>
      <c r="L450" s="78">
        <v>21000</v>
      </c>
      <c r="M450" s="78">
        <v>100</v>
      </c>
      <c r="N450" s="78">
        <v>100</v>
      </c>
      <c r="O450" s="78">
        <v>100</v>
      </c>
      <c r="P450" s="78">
        <v>0</v>
      </c>
      <c r="Q450" s="78"/>
      <c r="R450" s="78"/>
      <c r="S450" s="78"/>
      <c r="U450" s="78"/>
      <c r="V450" s="93">
        <v>2</v>
      </c>
      <c r="W450" s="93" t="s">
        <v>5138</v>
      </c>
    </row>
    <row r="451" spans="1:23">
      <c r="A451" s="93">
        <v>120371</v>
      </c>
      <c r="B451" s="93" t="s">
        <v>459</v>
      </c>
      <c r="C451" s="93">
        <v>12</v>
      </c>
      <c r="D451" s="78"/>
      <c r="F451" s="78">
        <f t="shared" si="30"/>
        <v>2</v>
      </c>
      <c r="G451" s="93">
        <v>5</v>
      </c>
      <c r="H451" s="78"/>
      <c r="I451" s="78">
        <v>545</v>
      </c>
      <c r="J451" s="78">
        <v>545</v>
      </c>
      <c r="K451" s="78">
        <v>63</v>
      </c>
      <c r="L451" s="78">
        <v>10500</v>
      </c>
      <c r="M451" s="78">
        <v>100</v>
      </c>
      <c r="N451" s="78">
        <v>100</v>
      </c>
      <c r="O451" s="78">
        <v>100</v>
      </c>
      <c r="P451" s="78">
        <v>0</v>
      </c>
      <c r="Q451" s="78"/>
      <c r="R451" s="78"/>
      <c r="S451" s="78"/>
      <c r="U451" s="78"/>
      <c r="V451" s="93">
        <v>3</v>
      </c>
      <c r="W451" s="93" t="s">
        <v>5138</v>
      </c>
    </row>
    <row r="452" spans="1:23">
      <c r="A452" s="93">
        <v>120372</v>
      </c>
      <c r="B452" s="93" t="s">
        <v>459</v>
      </c>
      <c r="C452" s="93">
        <v>12</v>
      </c>
      <c r="D452" s="78"/>
      <c r="F452" s="78">
        <f t="shared" si="30"/>
        <v>2</v>
      </c>
      <c r="G452" s="93">
        <v>6</v>
      </c>
      <c r="H452" s="78"/>
      <c r="I452" s="78">
        <v>600</v>
      </c>
      <c r="J452" s="78">
        <v>600</v>
      </c>
      <c r="K452" s="78">
        <v>74</v>
      </c>
      <c r="L452" s="78">
        <v>15000</v>
      </c>
      <c r="M452" s="78">
        <v>100</v>
      </c>
      <c r="N452" s="78">
        <v>100</v>
      </c>
      <c r="O452" s="78">
        <v>100</v>
      </c>
      <c r="P452" s="78">
        <v>0</v>
      </c>
      <c r="Q452" s="78"/>
      <c r="R452" s="78"/>
      <c r="S452" s="78"/>
      <c r="U452" s="78"/>
      <c r="V452" s="93">
        <v>3</v>
      </c>
      <c r="W452" s="93" t="s">
        <v>5138</v>
      </c>
    </row>
    <row r="453" spans="1:23">
      <c r="A453" s="93">
        <v>120373</v>
      </c>
      <c r="B453" s="93" t="s">
        <v>459</v>
      </c>
      <c r="C453" s="93">
        <v>12</v>
      </c>
      <c r="D453" s="78"/>
      <c r="F453" s="78">
        <f t="shared" si="30"/>
        <v>2</v>
      </c>
      <c r="G453" s="93">
        <v>7</v>
      </c>
      <c r="H453" s="78"/>
      <c r="I453" s="78">
        <v>660</v>
      </c>
      <c r="J453" s="78">
        <v>660</v>
      </c>
      <c r="K453" s="78">
        <v>86</v>
      </c>
      <c r="L453" s="78">
        <v>21000</v>
      </c>
      <c r="M453" s="78">
        <v>100</v>
      </c>
      <c r="N453" s="78">
        <v>100</v>
      </c>
      <c r="O453" s="78">
        <v>100</v>
      </c>
      <c r="P453" s="78">
        <v>0</v>
      </c>
      <c r="Q453" s="78"/>
      <c r="R453" s="78"/>
      <c r="S453" s="78"/>
      <c r="U453" s="78"/>
      <c r="V453" s="93">
        <v>3</v>
      </c>
      <c r="W453" s="93" t="s">
        <v>5138</v>
      </c>
    </row>
    <row r="454" spans="1:23">
      <c r="A454" s="93">
        <v>120381</v>
      </c>
      <c r="B454" s="93" t="s">
        <v>464</v>
      </c>
      <c r="C454" s="93">
        <v>12</v>
      </c>
      <c r="D454" s="78"/>
      <c r="F454" s="78">
        <f t="shared" si="30"/>
        <v>2</v>
      </c>
      <c r="G454" s="93">
        <v>4</v>
      </c>
      <c r="H454" s="78"/>
      <c r="I454" s="78">
        <v>490</v>
      </c>
      <c r="J454" s="78">
        <v>490</v>
      </c>
      <c r="K454" s="78">
        <v>55</v>
      </c>
      <c r="L454" s="78">
        <v>6000</v>
      </c>
      <c r="M454" s="78">
        <v>100</v>
      </c>
      <c r="N454" s="78">
        <v>100</v>
      </c>
      <c r="O454" s="78">
        <v>100</v>
      </c>
      <c r="P454" s="78">
        <v>0</v>
      </c>
      <c r="Q454" s="78"/>
      <c r="R454" s="78"/>
      <c r="S454" s="78"/>
      <c r="U454" s="78"/>
      <c r="V454" s="93">
        <v>3</v>
      </c>
      <c r="W454" s="93" t="s">
        <v>5138</v>
      </c>
    </row>
    <row r="455" spans="1:23">
      <c r="A455" s="93">
        <v>120382</v>
      </c>
      <c r="B455" s="93" t="s">
        <v>464</v>
      </c>
      <c r="C455" s="93">
        <v>12</v>
      </c>
      <c r="D455" s="78"/>
      <c r="F455" s="78">
        <f t="shared" si="30"/>
        <v>2</v>
      </c>
      <c r="G455" s="93">
        <v>5</v>
      </c>
      <c r="H455" s="78"/>
      <c r="I455" s="78">
        <v>545</v>
      </c>
      <c r="J455" s="78">
        <v>545</v>
      </c>
      <c r="K455" s="78">
        <v>65</v>
      </c>
      <c r="L455" s="78">
        <v>10500</v>
      </c>
      <c r="M455" s="78">
        <v>100</v>
      </c>
      <c r="N455" s="78">
        <v>100</v>
      </c>
      <c r="O455" s="78">
        <v>100</v>
      </c>
      <c r="P455" s="78">
        <v>0</v>
      </c>
      <c r="Q455" s="78"/>
      <c r="R455" s="78"/>
      <c r="S455" s="78"/>
      <c r="U455" s="78"/>
      <c r="V455" s="93">
        <v>3</v>
      </c>
      <c r="W455" s="93" t="s">
        <v>5138</v>
      </c>
    </row>
    <row r="456" spans="1:23">
      <c r="A456" s="93">
        <v>120391</v>
      </c>
      <c r="B456" s="93" t="s">
        <v>468</v>
      </c>
      <c r="C456" s="93">
        <v>12</v>
      </c>
      <c r="D456" s="78"/>
      <c r="F456" s="78">
        <f t="shared" si="30"/>
        <v>2</v>
      </c>
      <c r="G456" s="93">
        <v>5</v>
      </c>
      <c r="H456" s="78"/>
      <c r="I456" s="78">
        <v>591</v>
      </c>
      <c r="J456" s="78">
        <v>561</v>
      </c>
      <c r="K456" s="78">
        <v>53</v>
      </c>
      <c r="L456" s="78">
        <v>10500</v>
      </c>
      <c r="M456" s="78">
        <v>100</v>
      </c>
      <c r="N456" s="78">
        <v>100</v>
      </c>
      <c r="O456" s="78">
        <v>100</v>
      </c>
      <c r="P456" s="78">
        <v>0</v>
      </c>
      <c r="Q456" s="78"/>
      <c r="R456" s="78"/>
      <c r="S456" s="78"/>
      <c r="U456" s="78"/>
      <c r="V456" s="93">
        <v>1</v>
      </c>
      <c r="W456" s="93" t="s">
        <v>5138</v>
      </c>
    </row>
    <row r="457" spans="1:23">
      <c r="A457" s="93">
        <v>120392</v>
      </c>
      <c r="B457" s="93" t="s">
        <v>468</v>
      </c>
      <c r="C457" s="93">
        <v>12</v>
      </c>
      <c r="D457" s="78"/>
      <c r="F457" s="78">
        <f t="shared" si="30"/>
        <v>2</v>
      </c>
      <c r="G457" s="93">
        <v>6</v>
      </c>
      <c r="H457" s="78"/>
      <c r="I457" s="78">
        <v>633</v>
      </c>
      <c r="J457" s="78">
        <v>603</v>
      </c>
      <c r="K457" s="78">
        <v>64</v>
      </c>
      <c r="L457" s="78">
        <v>15000</v>
      </c>
      <c r="M457" s="78">
        <v>100</v>
      </c>
      <c r="N457" s="78">
        <v>100</v>
      </c>
      <c r="O457" s="78">
        <v>100</v>
      </c>
      <c r="P457" s="78">
        <v>0</v>
      </c>
      <c r="Q457" s="78"/>
      <c r="R457" s="78"/>
      <c r="S457" s="78"/>
      <c r="U457" s="78"/>
      <c r="V457" s="93">
        <v>1</v>
      </c>
      <c r="W457" s="93" t="s">
        <v>5138</v>
      </c>
    </row>
    <row r="458" spans="1:23">
      <c r="A458" s="93">
        <v>120393</v>
      </c>
      <c r="B458" s="93" t="s">
        <v>468</v>
      </c>
      <c r="C458" s="93">
        <v>12</v>
      </c>
      <c r="D458" s="78"/>
      <c r="F458" s="78">
        <f t="shared" si="30"/>
        <v>2</v>
      </c>
      <c r="G458" s="93">
        <v>7</v>
      </c>
      <c r="H458" s="78"/>
      <c r="I458" s="78">
        <v>676</v>
      </c>
      <c r="J458" s="78">
        <v>651</v>
      </c>
      <c r="K458" s="78">
        <v>75</v>
      </c>
      <c r="L458" s="78">
        <v>21000</v>
      </c>
      <c r="M458" s="78">
        <v>100</v>
      </c>
      <c r="N458" s="78">
        <v>100</v>
      </c>
      <c r="O458" s="78">
        <v>100</v>
      </c>
      <c r="P458" s="78">
        <v>0</v>
      </c>
      <c r="Q458" s="78"/>
      <c r="R458" s="78"/>
      <c r="S458" s="78"/>
      <c r="U458" s="78"/>
      <c r="V458" s="93">
        <v>1</v>
      </c>
      <c r="W458" s="93" t="s">
        <v>5138</v>
      </c>
    </row>
    <row r="459" spans="1:23">
      <c r="A459" s="93">
        <v>120401</v>
      </c>
      <c r="B459" s="93" t="s">
        <v>473</v>
      </c>
      <c r="C459" s="93">
        <v>12</v>
      </c>
      <c r="D459" s="78"/>
      <c r="F459" s="78">
        <v>2</v>
      </c>
      <c r="G459" s="93">
        <v>5</v>
      </c>
      <c r="H459" s="78"/>
      <c r="I459" s="78">
        <v>574</v>
      </c>
      <c r="J459" s="78">
        <v>536</v>
      </c>
      <c r="K459" s="78">
        <v>51</v>
      </c>
      <c r="L459" s="78">
        <v>10500</v>
      </c>
      <c r="M459" s="78">
        <v>100</v>
      </c>
      <c r="N459" s="78">
        <v>100</v>
      </c>
      <c r="O459" s="78">
        <v>100</v>
      </c>
      <c r="P459" s="78">
        <v>0</v>
      </c>
      <c r="Q459" s="78"/>
      <c r="R459" s="78"/>
      <c r="S459" s="78"/>
      <c r="U459" s="78"/>
      <c r="V459" s="93">
        <v>1</v>
      </c>
    </row>
    <row r="460" spans="1:23">
      <c r="A460" s="93">
        <v>120402</v>
      </c>
      <c r="B460" s="93" t="s">
        <v>473</v>
      </c>
      <c r="C460" s="93">
        <v>12</v>
      </c>
      <c r="D460" s="78"/>
      <c r="F460" s="78">
        <v>2</v>
      </c>
      <c r="G460" s="93">
        <v>6</v>
      </c>
      <c r="H460" s="78"/>
      <c r="I460" s="78">
        <v>620</v>
      </c>
      <c r="J460" s="78">
        <v>588</v>
      </c>
      <c r="K460" s="78">
        <v>62</v>
      </c>
      <c r="L460" s="78">
        <v>15000</v>
      </c>
      <c r="M460" s="78">
        <v>100</v>
      </c>
      <c r="N460" s="78">
        <v>100</v>
      </c>
      <c r="O460" s="78">
        <v>100</v>
      </c>
      <c r="P460" s="78">
        <v>0</v>
      </c>
      <c r="Q460" s="78"/>
      <c r="R460" s="78"/>
      <c r="S460" s="78"/>
      <c r="U460" s="78"/>
      <c r="V460" s="93">
        <v>1</v>
      </c>
    </row>
    <row r="461" spans="1:23">
      <c r="A461" s="93">
        <v>120403</v>
      </c>
      <c r="B461" s="93" t="s">
        <v>473</v>
      </c>
      <c r="C461" s="93">
        <v>12</v>
      </c>
      <c r="D461" s="78"/>
      <c r="F461" s="78">
        <v>2</v>
      </c>
      <c r="G461" s="93">
        <v>7</v>
      </c>
      <c r="H461" s="78"/>
      <c r="I461" s="78">
        <v>668</v>
      </c>
      <c r="J461" s="78">
        <v>642</v>
      </c>
      <c r="K461" s="78">
        <v>72</v>
      </c>
      <c r="L461" s="78">
        <v>21000</v>
      </c>
      <c r="M461" s="78">
        <v>100</v>
      </c>
      <c r="N461" s="78">
        <v>100</v>
      </c>
      <c r="O461" s="78">
        <v>100</v>
      </c>
      <c r="P461" s="78">
        <v>0</v>
      </c>
      <c r="Q461" s="78"/>
      <c r="R461" s="78"/>
      <c r="S461" s="78"/>
      <c r="U461" s="78"/>
      <c r="V461" s="93">
        <v>1</v>
      </c>
    </row>
    <row r="462" spans="1:23">
      <c r="A462" s="93">
        <v>120411</v>
      </c>
      <c r="B462" s="93" t="s">
        <v>478</v>
      </c>
      <c r="C462" s="93">
        <v>12</v>
      </c>
      <c r="D462" s="78"/>
      <c r="F462" s="78">
        <v>2</v>
      </c>
      <c r="G462" s="93">
        <v>5</v>
      </c>
      <c r="H462" s="78"/>
      <c r="I462" s="78">
        <v>539</v>
      </c>
      <c r="J462" s="78">
        <v>568</v>
      </c>
      <c r="K462" s="78">
        <v>54</v>
      </c>
      <c r="L462" s="78">
        <v>10500</v>
      </c>
      <c r="M462" s="78">
        <v>100</v>
      </c>
      <c r="N462" s="78">
        <v>100</v>
      </c>
      <c r="O462" s="78">
        <v>100</v>
      </c>
      <c r="P462" s="78">
        <v>0</v>
      </c>
      <c r="Q462" s="78"/>
      <c r="R462" s="78"/>
      <c r="S462" s="78"/>
      <c r="U462" s="78"/>
      <c r="V462" s="93">
        <v>2</v>
      </c>
    </row>
    <row r="463" spans="1:23">
      <c r="A463" s="93">
        <v>120412</v>
      </c>
      <c r="B463" s="93" t="s">
        <v>478</v>
      </c>
      <c r="C463" s="93">
        <v>12</v>
      </c>
      <c r="D463" s="78"/>
      <c r="F463" s="78">
        <v>2</v>
      </c>
      <c r="G463" s="93">
        <v>6</v>
      </c>
      <c r="H463" s="78"/>
      <c r="I463" s="78">
        <v>591</v>
      </c>
      <c r="J463" s="78">
        <v>619</v>
      </c>
      <c r="K463" s="78">
        <v>64</v>
      </c>
      <c r="L463" s="78">
        <v>15000</v>
      </c>
      <c r="M463" s="78">
        <v>100</v>
      </c>
      <c r="N463" s="78">
        <v>100</v>
      </c>
      <c r="O463" s="78">
        <v>100</v>
      </c>
      <c r="P463" s="78">
        <v>0</v>
      </c>
      <c r="Q463" s="78"/>
      <c r="R463" s="78"/>
      <c r="S463" s="78"/>
      <c r="U463" s="78"/>
      <c r="V463" s="93">
        <v>2</v>
      </c>
    </row>
    <row r="464" spans="1:23">
      <c r="A464" s="93">
        <v>120413</v>
      </c>
      <c r="B464" s="93" t="s">
        <v>478</v>
      </c>
      <c r="C464" s="93">
        <v>12</v>
      </c>
      <c r="D464" s="78"/>
      <c r="F464" s="78">
        <v>2</v>
      </c>
      <c r="G464" s="93">
        <v>7</v>
      </c>
      <c r="H464" s="78"/>
      <c r="I464" s="78">
        <v>644</v>
      </c>
      <c r="J464" s="78">
        <v>671</v>
      </c>
      <c r="K464" s="78">
        <v>74</v>
      </c>
      <c r="L464" s="78">
        <v>21000</v>
      </c>
      <c r="M464" s="78">
        <v>100</v>
      </c>
      <c r="N464" s="78">
        <v>100</v>
      </c>
      <c r="O464" s="78">
        <v>100</v>
      </c>
      <c r="P464" s="78">
        <v>0</v>
      </c>
      <c r="Q464" s="78"/>
      <c r="R464" s="78"/>
      <c r="S464" s="78"/>
      <c r="U464" s="78"/>
      <c r="V464" s="93">
        <v>2</v>
      </c>
    </row>
    <row r="465" spans="1:23">
      <c r="A465" s="93">
        <v>120421</v>
      </c>
      <c r="B465" s="93" t="s">
        <v>484</v>
      </c>
      <c r="C465" s="93">
        <v>12</v>
      </c>
      <c r="D465" s="78"/>
      <c r="F465" s="78">
        <v>2</v>
      </c>
      <c r="G465" s="93">
        <v>5</v>
      </c>
      <c r="H465" s="78"/>
      <c r="I465" s="78">
        <v>561</v>
      </c>
      <c r="J465" s="78">
        <v>550</v>
      </c>
      <c r="K465" s="78">
        <v>51</v>
      </c>
      <c r="L465" s="78">
        <v>10500</v>
      </c>
      <c r="M465" s="78">
        <v>100</v>
      </c>
      <c r="N465" s="78">
        <v>100</v>
      </c>
      <c r="O465" s="78">
        <v>100</v>
      </c>
      <c r="P465" s="78">
        <v>0</v>
      </c>
      <c r="Q465" s="78"/>
      <c r="R465" s="78"/>
      <c r="S465" s="78"/>
      <c r="U465" s="78"/>
      <c r="V465" s="93">
        <v>1</v>
      </c>
    </row>
    <row r="466" spans="1:23">
      <c r="A466" s="93">
        <v>120422</v>
      </c>
      <c r="B466" s="93" t="s">
        <v>484</v>
      </c>
      <c r="C466" s="93">
        <v>12</v>
      </c>
      <c r="D466" s="78"/>
      <c r="F466" s="78">
        <v>2</v>
      </c>
      <c r="G466" s="93">
        <v>6</v>
      </c>
      <c r="H466" s="78"/>
      <c r="I466" s="78">
        <v>608</v>
      </c>
      <c r="J466" s="78">
        <v>597</v>
      </c>
      <c r="K466" s="78">
        <v>63</v>
      </c>
      <c r="L466" s="78">
        <v>15000</v>
      </c>
      <c r="M466" s="78">
        <v>100</v>
      </c>
      <c r="N466" s="78">
        <v>100</v>
      </c>
      <c r="O466" s="78">
        <v>100</v>
      </c>
      <c r="P466" s="78">
        <v>0</v>
      </c>
      <c r="Q466" s="78"/>
      <c r="R466" s="78"/>
      <c r="S466" s="78"/>
      <c r="U466" s="78"/>
      <c r="V466" s="93">
        <v>1</v>
      </c>
    </row>
    <row r="467" spans="1:23">
      <c r="A467" s="93">
        <v>120423</v>
      </c>
      <c r="B467" s="93" t="s">
        <v>484</v>
      </c>
      <c r="C467" s="93">
        <v>12</v>
      </c>
      <c r="D467" s="78"/>
      <c r="F467" s="78">
        <v>2</v>
      </c>
      <c r="G467" s="93">
        <v>7</v>
      </c>
      <c r="H467" s="78"/>
      <c r="I467" s="78">
        <v>661</v>
      </c>
      <c r="J467" s="78">
        <v>651</v>
      </c>
      <c r="K467" s="78">
        <v>74</v>
      </c>
      <c r="L467" s="78">
        <v>21000</v>
      </c>
      <c r="M467" s="78">
        <v>100</v>
      </c>
      <c r="N467" s="78">
        <v>100</v>
      </c>
      <c r="O467" s="78">
        <v>100</v>
      </c>
      <c r="P467" s="78">
        <v>0</v>
      </c>
      <c r="Q467" s="78"/>
      <c r="R467" s="78"/>
      <c r="S467" s="78"/>
      <c r="U467" s="78"/>
      <c r="V467" s="93">
        <v>1</v>
      </c>
    </row>
    <row r="468" spans="1:23">
      <c r="A468" s="93">
        <v>120431</v>
      </c>
      <c r="B468" s="93" t="s">
        <v>489</v>
      </c>
      <c r="C468" s="93">
        <v>12</v>
      </c>
      <c r="D468" s="78"/>
      <c r="F468" s="78">
        <v>2</v>
      </c>
      <c r="G468" s="93">
        <v>5</v>
      </c>
      <c r="H468" s="78"/>
      <c r="I468" s="78">
        <v>548</v>
      </c>
      <c r="J468" s="78">
        <v>575</v>
      </c>
      <c r="K468" s="78">
        <v>54</v>
      </c>
      <c r="L468" s="78">
        <v>10500</v>
      </c>
      <c r="M468" s="78">
        <v>100</v>
      </c>
      <c r="N468" s="78">
        <v>100</v>
      </c>
      <c r="O468" s="78">
        <v>100</v>
      </c>
      <c r="P468" s="78">
        <v>0</v>
      </c>
      <c r="Q468" s="78"/>
      <c r="R468" s="78"/>
      <c r="S468" s="78"/>
      <c r="U468" s="78"/>
      <c r="V468" s="93">
        <v>2</v>
      </c>
    </row>
    <row r="469" spans="1:23">
      <c r="A469" s="93">
        <v>120432</v>
      </c>
      <c r="B469" s="93" t="s">
        <v>489</v>
      </c>
      <c r="C469" s="93">
        <v>12</v>
      </c>
      <c r="D469" s="78"/>
      <c r="F469" s="78">
        <v>2</v>
      </c>
      <c r="G469" s="93">
        <v>6</v>
      </c>
      <c r="H469" s="78"/>
      <c r="I469" s="78">
        <v>594</v>
      </c>
      <c r="J469" s="78">
        <v>623</v>
      </c>
      <c r="K469" s="78">
        <v>64</v>
      </c>
      <c r="L469" s="78">
        <v>15000</v>
      </c>
      <c r="M469" s="78">
        <v>100</v>
      </c>
      <c r="N469" s="78">
        <v>100</v>
      </c>
      <c r="O469" s="78">
        <v>100</v>
      </c>
      <c r="P469" s="78">
        <v>0</v>
      </c>
      <c r="Q469" s="78"/>
      <c r="R469" s="78"/>
      <c r="S469" s="78"/>
      <c r="U469" s="78"/>
      <c r="V469" s="93">
        <v>2</v>
      </c>
    </row>
    <row r="470" spans="1:23">
      <c r="A470" s="93">
        <v>120433</v>
      </c>
      <c r="B470" s="93" t="s">
        <v>489</v>
      </c>
      <c r="C470" s="93">
        <v>12</v>
      </c>
      <c r="D470" s="78"/>
      <c r="F470" s="78">
        <v>2</v>
      </c>
      <c r="G470" s="93">
        <v>7</v>
      </c>
      <c r="H470" s="78"/>
      <c r="I470" s="78">
        <v>643</v>
      </c>
      <c r="J470" s="78">
        <v>672</v>
      </c>
      <c r="K470" s="78">
        <v>74</v>
      </c>
      <c r="L470" s="78">
        <v>21000</v>
      </c>
      <c r="M470" s="78">
        <v>100</v>
      </c>
      <c r="N470" s="78">
        <v>100</v>
      </c>
      <c r="O470" s="78">
        <v>100</v>
      </c>
      <c r="P470" s="78">
        <v>0</v>
      </c>
      <c r="Q470" s="78"/>
      <c r="R470" s="78"/>
      <c r="S470" s="78"/>
      <c r="U470" s="78"/>
      <c r="V470" s="93">
        <v>2</v>
      </c>
    </row>
    <row r="471" spans="1:23">
      <c r="A471" s="93">
        <v>120441</v>
      </c>
      <c r="B471" s="93" t="s">
        <v>495</v>
      </c>
      <c r="C471" s="93">
        <v>12</v>
      </c>
      <c r="D471" s="78"/>
      <c r="F471" s="78">
        <v>2</v>
      </c>
      <c r="G471" s="93">
        <v>5</v>
      </c>
      <c r="H471" s="78"/>
      <c r="I471" s="78">
        <v>542</v>
      </c>
      <c r="J471" s="78">
        <v>580</v>
      </c>
      <c r="K471" s="78">
        <v>54</v>
      </c>
      <c r="L471" s="78">
        <v>10500</v>
      </c>
      <c r="M471" s="78">
        <v>100</v>
      </c>
      <c r="N471" s="78">
        <v>100</v>
      </c>
      <c r="O471" s="78">
        <v>100</v>
      </c>
      <c r="P471" s="78">
        <v>0</v>
      </c>
      <c r="Q471" s="78"/>
      <c r="R471" s="78"/>
      <c r="S471" s="78"/>
      <c r="U471" s="78"/>
      <c r="V471" s="93">
        <v>2</v>
      </c>
    </row>
    <row r="472" spans="1:23">
      <c r="A472" s="93">
        <v>120442</v>
      </c>
      <c r="B472" s="93" t="s">
        <v>495</v>
      </c>
      <c r="C472" s="93">
        <v>12</v>
      </c>
      <c r="D472" s="78"/>
      <c r="F472" s="78">
        <v>2</v>
      </c>
      <c r="G472" s="93">
        <v>6</v>
      </c>
      <c r="H472" s="78"/>
      <c r="I472" s="78">
        <v>592</v>
      </c>
      <c r="J472" s="78">
        <v>625</v>
      </c>
      <c r="K472" s="78">
        <v>64</v>
      </c>
      <c r="L472" s="78">
        <v>15000</v>
      </c>
      <c r="M472" s="78">
        <v>100</v>
      </c>
      <c r="N472" s="78">
        <v>100</v>
      </c>
      <c r="O472" s="78">
        <v>100</v>
      </c>
      <c r="P472" s="78">
        <v>0</v>
      </c>
      <c r="Q472" s="78"/>
      <c r="R472" s="78"/>
      <c r="S472" s="78"/>
      <c r="U472" s="78"/>
      <c r="V472" s="93">
        <v>2</v>
      </c>
    </row>
    <row r="473" spans="1:23">
      <c r="A473" s="93">
        <v>120443</v>
      </c>
      <c r="B473" s="93" t="s">
        <v>495</v>
      </c>
      <c r="C473" s="93">
        <v>12</v>
      </c>
      <c r="D473" s="78"/>
      <c r="F473" s="78">
        <v>2</v>
      </c>
      <c r="G473" s="93">
        <v>7</v>
      </c>
      <c r="H473" s="78"/>
      <c r="I473" s="78">
        <v>642</v>
      </c>
      <c r="J473" s="78">
        <v>670</v>
      </c>
      <c r="K473" s="78">
        <v>74</v>
      </c>
      <c r="L473" s="78">
        <v>21000</v>
      </c>
      <c r="M473" s="78">
        <v>100</v>
      </c>
      <c r="N473" s="78">
        <v>100</v>
      </c>
      <c r="O473" s="78">
        <v>100</v>
      </c>
      <c r="P473" s="78">
        <v>0</v>
      </c>
      <c r="Q473" s="78"/>
      <c r="R473" s="78"/>
      <c r="S473" s="78"/>
      <c r="U473" s="78"/>
      <c r="V473" s="93">
        <v>2</v>
      </c>
    </row>
    <row r="474" spans="1:23">
      <c r="A474" s="93">
        <v>120451</v>
      </c>
      <c r="B474" s="93" t="s">
        <v>501</v>
      </c>
      <c r="C474" s="93">
        <v>12</v>
      </c>
      <c r="D474" s="78"/>
      <c r="F474" s="78">
        <v>2</v>
      </c>
      <c r="G474" s="93">
        <v>5</v>
      </c>
      <c r="H474" s="78"/>
      <c r="I474" s="78">
        <v>546</v>
      </c>
      <c r="J474" s="78">
        <v>576</v>
      </c>
      <c r="K474" s="78">
        <v>56</v>
      </c>
      <c r="L474" s="78">
        <v>10500</v>
      </c>
      <c r="M474" s="78">
        <v>100</v>
      </c>
      <c r="N474" s="78">
        <v>100</v>
      </c>
      <c r="O474" s="78">
        <v>100</v>
      </c>
      <c r="P474" s="78">
        <v>0</v>
      </c>
      <c r="Q474" s="78"/>
      <c r="R474" s="78"/>
      <c r="S474" s="78"/>
      <c r="U474" s="78"/>
      <c r="V474" s="93">
        <v>2</v>
      </c>
    </row>
    <row r="475" spans="1:23">
      <c r="A475" s="93">
        <v>120452</v>
      </c>
      <c r="B475" s="93" t="s">
        <v>501</v>
      </c>
      <c r="C475" s="93">
        <v>12</v>
      </c>
      <c r="D475" s="78"/>
      <c r="F475" s="78">
        <v>2</v>
      </c>
      <c r="G475" s="93">
        <v>6</v>
      </c>
      <c r="H475" s="78"/>
      <c r="I475" s="78">
        <v>601</v>
      </c>
      <c r="J475" s="78">
        <v>636</v>
      </c>
      <c r="K475" s="78">
        <v>66</v>
      </c>
      <c r="L475" s="78">
        <v>15000</v>
      </c>
      <c r="M475" s="78">
        <v>100</v>
      </c>
      <c r="N475" s="78">
        <v>100</v>
      </c>
      <c r="O475" s="78">
        <v>100</v>
      </c>
      <c r="P475" s="78">
        <v>0</v>
      </c>
      <c r="Q475" s="78"/>
      <c r="R475" s="78"/>
      <c r="S475" s="78"/>
      <c r="U475" s="78"/>
      <c r="V475" s="93">
        <v>2</v>
      </c>
    </row>
    <row r="476" spans="1:23">
      <c r="A476" s="93">
        <v>120453</v>
      </c>
      <c r="B476" s="93" t="s">
        <v>501</v>
      </c>
      <c r="C476" s="93">
        <v>12</v>
      </c>
      <c r="D476" s="78"/>
      <c r="F476" s="78">
        <v>2</v>
      </c>
      <c r="G476" s="93">
        <v>7</v>
      </c>
      <c r="H476" s="78"/>
      <c r="I476" s="78">
        <v>656</v>
      </c>
      <c r="J476" s="78">
        <v>696</v>
      </c>
      <c r="K476" s="78">
        <v>76</v>
      </c>
      <c r="L476" s="78">
        <v>21000</v>
      </c>
      <c r="M476" s="78">
        <v>100</v>
      </c>
      <c r="N476" s="78">
        <v>100</v>
      </c>
      <c r="O476" s="78">
        <v>100</v>
      </c>
      <c r="P476" s="78">
        <v>0</v>
      </c>
      <c r="Q476" s="78"/>
      <c r="R476" s="78"/>
      <c r="S476" s="78"/>
      <c r="U476" s="78"/>
      <c r="V476" s="93">
        <v>2</v>
      </c>
    </row>
    <row r="477" spans="1:23">
      <c r="A477" s="93">
        <v>120461</v>
      </c>
      <c r="B477" s="93" t="s">
        <v>506</v>
      </c>
      <c r="C477" s="93">
        <v>12</v>
      </c>
      <c r="D477" s="78"/>
      <c r="F477" s="78">
        <v>2</v>
      </c>
      <c r="G477" s="93">
        <v>5</v>
      </c>
      <c r="H477" s="78"/>
      <c r="I477" s="78">
        <v>556</v>
      </c>
      <c r="J477" s="78">
        <v>552</v>
      </c>
      <c r="K477" s="78">
        <v>61</v>
      </c>
      <c r="L477" s="78">
        <v>10500</v>
      </c>
      <c r="M477" s="78">
        <v>100</v>
      </c>
      <c r="N477" s="78">
        <v>100</v>
      </c>
      <c r="O477" s="78">
        <v>100</v>
      </c>
      <c r="P477" s="78">
        <v>0</v>
      </c>
      <c r="Q477" s="78"/>
      <c r="R477" s="78"/>
      <c r="S477" s="78"/>
      <c r="U477" s="78"/>
      <c r="V477" s="93">
        <v>3</v>
      </c>
    </row>
    <row r="478" spans="1:23">
      <c r="A478" s="93">
        <v>120462</v>
      </c>
      <c r="B478" s="93" t="s">
        <v>506</v>
      </c>
      <c r="C478" s="93">
        <v>12</v>
      </c>
      <c r="D478" s="78"/>
      <c r="F478" s="78">
        <v>2</v>
      </c>
      <c r="G478" s="93">
        <v>6</v>
      </c>
      <c r="H478" s="78"/>
      <c r="I478" s="78">
        <v>601</v>
      </c>
      <c r="J478" s="78">
        <v>594</v>
      </c>
      <c r="K478" s="78">
        <v>72</v>
      </c>
      <c r="L478" s="78">
        <v>15000</v>
      </c>
      <c r="M478" s="78">
        <v>100</v>
      </c>
      <c r="N478" s="78">
        <v>100</v>
      </c>
      <c r="O478" s="78">
        <v>100</v>
      </c>
      <c r="P478" s="78">
        <v>0</v>
      </c>
      <c r="Q478" s="78"/>
      <c r="R478" s="78"/>
      <c r="S478" s="78"/>
      <c r="U478" s="78"/>
      <c r="V478" s="93">
        <v>3</v>
      </c>
    </row>
    <row r="479" spans="1:23">
      <c r="A479" s="93">
        <v>120463</v>
      </c>
      <c r="B479" s="93" t="s">
        <v>506</v>
      </c>
      <c r="C479" s="93">
        <v>12</v>
      </c>
      <c r="D479" s="78"/>
      <c r="F479" s="78">
        <v>2</v>
      </c>
      <c r="G479" s="93">
        <v>7</v>
      </c>
      <c r="H479" s="78"/>
      <c r="I479" s="78">
        <v>646</v>
      </c>
      <c r="J479" s="78">
        <v>640</v>
      </c>
      <c r="K479" s="78">
        <v>82</v>
      </c>
      <c r="L479" s="78">
        <v>21000</v>
      </c>
      <c r="M479" s="78">
        <v>100</v>
      </c>
      <c r="N479" s="78">
        <v>100</v>
      </c>
      <c r="O479" s="78">
        <v>100</v>
      </c>
      <c r="P479" s="78">
        <v>0</v>
      </c>
      <c r="Q479" s="78"/>
      <c r="R479" s="78">
        <f>Q539</f>
        <v>0</v>
      </c>
      <c r="S479" s="78"/>
      <c r="T479" s="93">
        <f>Q539</f>
        <v>0</v>
      </c>
      <c r="U479" s="78">
        <v>0</v>
      </c>
      <c r="V479" s="93">
        <v>3</v>
      </c>
    </row>
    <row r="480" spans="1:23">
      <c r="A480" s="93">
        <v>120811</v>
      </c>
      <c r="B480" s="78" t="s">
        <v>571</v>
      </c>
      <c r="C480" s="93">
        <v>12</v>
      </c>
      <c r="D480" s="78"/>
      <c r="F480" s="78">
        <v>2</v>
      </c>
      <c r="G480" s="93">
        <v>5</v>
      </c>
      <c r="H480" s="78"/>
      <c r="I480" s="78">
        <v>580</v>
      </c>
      <c r="J480" s="78">
        <v>563</v>
      </c>
      <c r="K480" s="78">
        <v>53</v>
      </c>
      <c r="L480" s="78">
        <v>10500</v>
      </c>
      <c r="M480" s="78">
        <v>100</v>
      </c>
      <c r="N480" s="78">
        <v>100</v>
      </c>
      <c r="O480" s="78">
        <v>100</v>
      </c>
      <c r="P480" s="78">
        <v>0</v>
      </c>
      <c r="Q480" s="78"/>
      <c r="R480" s="78"/>
      <c r="S480" s="78"/>
      <c r="U480" s="78"/>
      <c r="V480" s="93">
        <v>1</v>
      </c>
      <c r="W480" s="93" t="s">
        <v>5138</v>
      </c>
    </row>
    <row r="481" spans="1:23">
      <c r="A481" s="93">
        <v>120812</v>
      </c>
      <c r="B481" s="78" t="s">
        <v>571</v>
      </c>
      <c r="C481" s="93">
        <v>12</v>
      </c>
      <c r="D481" s="78"/>
      <c r="F481" s="78">
        <v>2</v>
      </c>
      <c r="G481" s="93">
        <v>6</v>
      </c>
      <c r="H481" s="78"/>
      <c r="I481" s="78">
        <v>627</v>
      </c>
      <c r="J481" s="78">
        <v>604</v>
      </c>
      <c r="K481" s="78">
        <v>63</v>
      </c>
      <c r="L481" s="78">
        <v>15000</v>
      </c>
      <c r="M481" s="78">
        <v>100</v>
      </c>
      <c r="N481" s="78">
        <v>100</v>
      </c>
      <c r="O481" s="78">
        <v>100</v>
      </c>
      <c r="P481" s="78">
        <v>0</v>
      </c>
      <c r="Q481" s="78"/>
      <c r="R481" s="78"/>
      <c r="S481" s="78"/>
      <c r="U481" s="78"/>
      <c r="V481" s="93">
        <v>1</v>
      </c>
      <c r="W481" s="93" t="s">
        <v>5138</v>
      </c>
    </row>
    <row r="482" spans="1:23" s="97" customFormat="1">
      <c r="A482" s="93">
        <v>120813</v>
      </c>
      <c r="B482" s="78" t="s">
        <v>571</v>
      </c>
      <c r="C482" s="93">
        <v>12</v>
      </c>
      <c r="D482" s="78"/>
      <c r="E482" s="93"/>
      <c r="F482" s="78">
        <v>2</v>
      </c>
      <c r="G482" s="93">
        <v>7</v>
      </c>
      <c r="H482" s="78"/>
      <c r="I482" s="78">
        <v>672</v>
      </c>
      <c r="J482" s="78">
        <v>654</v>
      </c>
      <c r="K482" s="78">
        <v>74</v>
      </c>
      <c r="L482" s="78">
        <v>21000</v>
      </c>
      <c r="M482" s="78">
        <v>100</v>
      </c>
      <c r="N482" s="78">
        <v>100</v>
      </c>
      <c r="O482" s="78">
        <v>100</v>
      </c>
      <c r="P482" s="78">
        <v>0</v>
      </c>
      <c r="Q482" s="78"/>
      <c r="R482" s="78"/>
      <c r="S482" s="78"/>
      <c r="T482" s="93"/>
      <c r="U482" s="78">
        <v>0</v>
      </c>
      <c r="V482" s="93">
        <v>1</v>
      </c>
      <c r="W482" s="93" t="s">
        <v>5138</v>
      </c>
    </row>
    <row r="483" spans="1:23" s="97" customFormat="1">
      <c r="A483" s="78">
        <v>120814</v>
      </c>
      <c r="B483" s="78" t="s">
        <v>571</v>
      </c>
      <c r="C483" s="78">
        <v>12</v>
      </c>
      <c r="D483" s="78"/>
      <c r="E483" s="78"/>
      <c r="F483" s="78">
        <v>2</v>
      </c>
      <c r="G483" s="93">
        <v>4</v>
      </c>
      <c r="H483" s="78"/>
      <c r="I483" s="78">
        <v>532</v>
      </c>
      <c r="J483" s="78">
        <v>510</v>
      </c>
      <c r="K483" s="78">
        <v>41</v>
      </c>
      <c r="L483" s="78">
        <v>6000</v>
      </c>
      <c r="M483" s="78">
        <v>100</v>
      </c>
      <c r="N483" s="78">
        <v>100</v>
      </c>
      <c r="O483" s="78">
        <v>100</v>
      </c>
      <c r="P483" s="78">
        <v>0</v>
      </c>
      <c r="Q483" s="78"/>
      <c r="R483" s="78"/>
      <c r="S483" s="78"/>
      <c r="T483" s="78"/>
      <c r="U483" s="78"/>
      <c r="V483" s="93">
        <v>1</v>
      </c>
      <c r="W483" s="93" t="s">
        <v>5138</v>
      </c>
    </row>
    <row r="484" spans="1:23">
      <c r="A484" s="93">
        <v>120824</v>
      </c>
      <c r="B484" s="78" t="s">
        <v>5173</v>
      </c>
      <c r="C484" s="93">
        <v>12</v>
      </c>
      <c r="D484" s="78"/>
      <c r="E484" s="78"/>
      <c r="F484" s="78">
        <v>2</v>
      </c>
      <c r="G484" s="93">
        <v>7</v>
      </c>
      <c r="H484" s="93">
        <v>0</v>
      </c>
      <c r="I484" s="78">
        <v>670</v>
      </c>
      <c r="J484" s="78">
        <v>650</v>
      </c>
      <c r="K484" s="78">
        <v>73</v>
      </c>
      <c r="L484" s="78">
        <v>21000</v>
      </c>
      <c r="M484" s="78">
        <v>100</v>
      </c>
      <c r="N484" s="78">
        <v>100</v>
      </c>
      <c r="O484" s="78">
        <v>100</v>
      </c>
      <c r="P484" s="78">
        <v>0</v>
      </c>
      <c r="Q484" s="78">
        <v>0</v>
      </c>
      <c r="R484" s="78">
        <f t="shared" ref="R484:R494" si="31">Q484</f>
        <v>0</v>
      </c>
      <c r="S484" s="78"/>
      <c r="T484" s="93">
        <f>Q484</f>
        <v>0</v>
      </c>
      <c r="U484" s="78">
        <v>0</v>
      </c>
      <c r="V484" s="93">
        <v>1</v>
      </c>
      <c r="W484" s="93" t="s">
        <v>5138</v>
      </c>
    </row>
    <row r="485" spans="1:23">
      <c r="A485" s="93">
        <v>120831</v>
      </c>
      <c r="B485" s="93" t="s">
        <v>5174</v>
      </c>
      <c r="C485" s="93">
        <v>12</v>
      </c>
      <c r="D485" s="78"/>
      <c r="E485" s="78"/>
      <c r="F485" s="78">
        <f t="shared" ref="F485:F497" si="32">IF(G485&gt;3,2,1)</f>
        <v>2</v>
      </c>
      <c r="G485" s="93">
        <v>4</v>
      </c>
      <c r="H485" s="78">
        <v>0</v>
      </c>
      <c r="I485" s="78">
        <v>527</v>
      </c>
      <c r="J485" s="78">
        <v>491</v>
      </c>
      <c r="K485" s="78">
        <v>40</v>
      </c>
      <c r="L485" s="78">
        <v>6000</v>
      </c>
      <c r="M485" s="78">
        <v>100</v>
      </c>
      <c r="N485" s="78">
        <v>100</v>
      </c>
      <c r="O485" s="78">
        <v>100</v>
      </c>
      <c r="P485" s="78">
        <v>0</v>
      </c>
      <c r="Q485" s="78">
        <v>0</v>
      </c>
      <c r="R485" s="78">
        <f t="shared" si="31"/>
        <v>0</v>
      </c>
      <c r="S485" s="78"/>
      <c r="T485" s="93">
        <f>Q485</f>
        <v>0</v>
      </c>
      <c r="U485" s="78">
        <v>0</v>
      </c>
      <c r="V485" s="78">
        <v>1</v>
      </c>
    </row>
    <row r="486" spans="1:23">
      <c r="A486" s="93">
        <v>120832</v>
      </c>
      <c r="B486" s="93" t="s">
        <v>5174</v>
      </c>
      <c r="C486" s="93">
        <v>12</v>
      </c>
      <c r="D486" s="78"/>
      <c r="F486" s="78">
        <f t="shared" si="32"/>
        <v>2</v>
      </c>
      <c r="G486" s="93">
        <v>5</v>
      </c>
      <c r="H486" s="78">
        <v>0</v>
      </c>
      <c r="I486" s="78">
        <v>567</v>
      </c>
      <c r="J486" s="78">
        <v>544</v>
      </c>
      <c r="K486" s="78">
        <v>51</v>
      </c>
      <c r="L486" s="78">
        <v>10500</v>
      </c>
      <c r="M486" s="78">
        <v>100</v>
      </c>
      <c r="N486" s="78">
        <v>100</v>
      </c>
      <c r="O486" s="78">
        <v>100</v>
      </c>
      <c r="P486" s="78">
        <v>0</v>
      </c>
      <c r="Q486" s="78">
        <v>0</v>
      </c>
      <c r="R486" s="78">
        <f t="shared" si="31"/>
        <v>0</v>
      </c>
      <c r="S486" s="78"/>
      <c r="T486" s="93">
        <v>0</v>
      </c>
      <c r="U486" s="78">
        <v>0</v>
      </c>
      <c r="V486" s="78">
        <v>1</v>
      </c>
    </row>
    <row r="487" spans="1:23">
      <c r="A487" s="93">
        <v>120833</v>
      </c>
      <c r="B487" s="93" t="s">
        <v>5174</v>
      </c>
      <c r="C487" s="93">
        <v>12</v>
      </c>
      <c r="D487" s="78"/>
      <c r="E487" s="78"/>
      <c r="F487" s="78">
        <f t="shared" si="32"/>
        <v>2</v>
      </c>
      <c r="G487" s="93">
        <v>6</v>
      </c>
      <c r="H487" s="78">
        <v>0</v>
      </c>
      <c r="I487" s="78">
        <v>609</v>
      </c>
      <c r="J487" s="78">
        <v>592</v>
      </c>
      <c r="K487" s="78">
        <v>62</v>
      </c>
      <c r="L487" s="78">
        <v>15000</v>
      </c>
      <c r="M487" s="78">
        <v>100</v>
      </c>
      <c r="N487" s="78">
        <v>100</v>
      </c>
      <c r="O487" s="78">
        <v>100</v>
      </c>
      <c r="P487" s="78">
        <v>0</v>
      </c>
      <c r="Q487" s="78">
        <v>0</v>
      </c>
      <c r="R487" s="78">
        <f t="shared" si="31"/>
        <v>0</v>
      </c>
      <c r="S487" s="78"/>
      <c r="T487" s="93">
        <f>Q487</f>
        <v>0</v>
      </c>
      <c r="U487" s="78">
        <v>0</v>
      </c>
      <c r="V487" s="78">
        <v>1</v>
      </c>
    </row>
    <row r="488" spans="1:23">
      <c r="A488" s="93">
        <v>120834</v>
      </c>
      <c r="B488" s="93" t="s">
        <v>5174</v>
      </c>
      <c r="C488" s="93">
        <v>12</v>
      </c>
      <c r="D488" s="78"/>
      <c r="E488" s="78"/>
      <c r="F488" s="78">
        <f t="shared" si="32"/>
        <v>2</v>
      </c>
      <c r="G488" s="93">
        <v>7</v>
      </c>
      <c r="H488" s="78">
        <v>0</v>
      </c>
      <c r="I488" s="78">
        <v>655</v>
      </c>
      <c r="J488" s="78">
        <v>642</v>
      </c>
      <c r="K488" s="78">
        <v>73</v>
      </c>
      <c r="L488" s="78">
        <v>21000</v>
      </c>
      <c r="M488" s="78">
        <v>100</v>
      </c>
      <c r="N488" s="78">
        <v>100</v>
      </c>
      <c r="O488" s="78">
        <v>100</v>
      </c>
      <c r="P488" s="78">
        <v>0</v>
      </c>
      <c r="Q488" s="78">
        <v>0</v>
      </c>
      <c r="R488" s="78">
        <f t="shared" si="31"/>
        <v>0</v>
      </c>
      <c r="S488" s="78"/>
      <c r="T488" s="93">
        <f>Q488</f>
        <v>0</v>
      </c>
      <c r="U488" s="78">
        <v>0</v>
      </c>
      <c r="V488" s="78">
        <v>1</v>
      </c>
    </row>
    <row r="489" spans="1:23">
      <c r="A489" s="93">
        <v>120841</v>
      </c>
      <c r="B489" s="93" t="s">
        <v>5175</v>
      </c>
      <c r="C489" s="93">
        <v>12</v>
      </c>
      <c r="D489" s="78"/>
      <c r="E489" s="78"/>
      <c r="F489" s="78">
        <f t="shared" si="32"/>
        <v>2</v>
      </c>
      <c r="G489" s="93">
        <v>4</v>
      </c>
      <c r="H489" s="78">
        <v>0</v>
      </c>
      <c r="I489" s="78">
        <v>495</v>
      </c>
      <c r="J489" s="78">
        <v>495</v>
      </c>
      <c r="K489" s="78">
        <v>53</v>
      </c>
      <c r="L489" s="78">
        <v>6000</v>
      </c>
      <c r="M489" s="78">
        <v>100</v>
      </c>
      <c r="N489" s="78">
        <v>100</v>
      </c>
      <c r="O489" s="78">
        <v>100</v>
      </c>
      <c r="P489" s="78">
        <v>0</v>
      </c>
      <c r="Q489" s="78">
        <v>0</v>
      </c>
      <c r="R489" s="78">
        <f t="shared" si="31"/>
        <v>0</v>
      </c>
      <c r="S489" s="78"/>
      <c r="T489" s="93">
        <f>Q489</f>
        <v>0</v>
      </c>
      <c r="U489" s="78">
        <v>0</v>
      </c>
      <c r="V489" s="78">
        <v>3</v>
      </c>
      <c r="W489" s="93" t="s">
        <v>5138</v>
      </c>
    </row>
    <row r="490" spans="1:23">
      <c r="A490" s="93">
        <v>120842</v>
      </c>
      <c r="B490" s="93" t="s">
        <v>5175</v>
      </c>
      <c r="C490" s="93">
        <v>12</v>
      </c>
      <c r="D490" s="78"/>
      <c r="F490" s="78">
        <f t="shared" si="32"/>
        <v>2</v>
      </c>
      <c r="G490" s="93">
        <v>5</v>
      </c>
      <c r="H490" s="78">
        <v>0</v>
      </c>
      <c r="I490" s="78">
        <v>545</v>
      </c>
      <c r="J490" s="78">
        <v>545</v>
      </c>
      <c r="K490" s="78">
        <v>64</v>
      </c>
      <c r="L490" s="78">
        <v>10500</v>
      </c>
      <c r="M490" s="78">
        <v>100</v>
      </c>
      <c r="N490" s="78">
        <v>100</v>
      </c>
      <c r="O490" s="78">
        <v>100</v>
      </c>
      <c r="P490" s="78">
        <v>0</v>
      </c>
      <c r="Q490" s="78">
        <v>0</v>
      </c>
      <c r="R490" s="78">
        <f t="shared" si="31"/>
        <v>0</v>
      </c>
      <c r="S490" s="78"/>
      <c r="T490" s="93">
        <v>0</v>
      </c>
      <c r="U490" s="78">
        <v>0</v>
      </c>
      <c r="V490" s="78">
        <v>3</v>
      </c>
      <c r="W490" s="93" t="s">
        <v>5138</v>
      </c>
    </row>
    <row r="491" spans="1:23">
      <c r="A491" s="93">
        <v>120843</v>
      </c>
      <c r="B491" s="93" t="s">
        <v>5175</v>
      </c>
      <c r="C491" s="93">
        <v>12</v>
      </c>
      <c r="D491" s="78"/>
      <c r="E491" s="78"/>
      <c r="F491" s="78">
        <f t="shared" si="32"/>
        <v>2</v>
      </c>
      <c r="G491" s="93">
        <v>6</v>
      </c>
      <c r="H491" s="78">
        <v>0</v>
      </c>
      <c r="I491" s="78">
        <v>595</v>
      </c>
      <c r="J491" s="78">
        <v>595</v>
      </c>
      <c r="K491" s="78">
        <v>74</v>
      </c>
      <c r="L491" s="78">
        <v>15000</v>
      </c>
      <c r="M491" s="78">
        <v>100</v>
      </c>
      <c r="N491" s="78">
        <v>100</v>
      </c>
      <c r="O491" s="78">
        <v>100</v>
      </c>
      <c r="P491" s="78">
        <v>0</v>
      </c>
      <c r="Q491" s="78">
        <v>0</v>
      </c>
      <c r="R491" s="78">
        <f t="shared" si="31"/>
        <v>0</v>
      </c>
      <c r="S491" s="78"/>
      <c r="T491" s="93">
        <f>Q491</f>
        <v>0</v>
      </c>
      <c r="U491" s="78">
        <v>0</v>
      </c>
      <c r="V491" s="78">
        <v>3</v>
      </c>
      <c r="W491" s="93" t="s">
        <v>5138</v>
      </c>
    </row>
    <row r="492" spans="1:23">
      <c r="A492" s="93">
        <v>120844</v>
      </c>
      <c r="B492" s="93" t="s">
        <v>5175</v>
      </c>
      <c r="C492" s="93">
        <v>12</v>
      </c>
      <c r="D492" s="78"/>
      <c r="E492" s="78"/>
      <c r="F492" s="78">
        <f t="shared" si="32"/>
        <v>2</v>
      </c>
      <c r="G492" s="93">
        <v>7</v>
      </c>
      <c r="H492" s="78">
        <v>0</v>
      </c>
      <c r="I492" s="78">
        <v>646</v>
      </c>
      <c r="J492" s="78">
        <v>646</v>
      </c>
      <c r="K492" s="78">
        <v>84</v>
      </c>
      <c r="L492" s="78">
        <v>21000</v>
      </c>
      <c r="M492" s="78">
        <v>100</v>
      </c>
      <c r="N492" s="78">
        <v>100</v>
      </c>
      <c r="O492" s="78">
        <v>100</v>
      </c>
      <c r="P492" s="78">
        <v>0</v>
      </c>
      <c r="Q492" s="78">
        <v>0</v>
      </c>
      <c r="R492" s="78">
        <f t="shared" si="31"/>
        <v>0</v>
      </c>
      <c r="S492" s="78"/>
      <c r="T492" s="93">
        <f>Q492</f>
        <v>0</v>
      </c>
      <c r="U492" s="78">
        <v>0</v>
      </c>
      <c r="V492" s="78">
        <v>3</v>
      </c>
      <c r="W492" s="93" t="s">
        <v>5138</v>
      </c>
    </row>
    <row r="493" spans="1:23">
      <c r="A493" s="93">
        <v>120853</v>
      </c>
      <c r="B493" s="93" t="s">
        <v>5176</v>
      </c>
      <c r="C493" s="93">
        <v>12</v>
      </c>
      <c r="D493" s="78"/>
      <c r="E493" s="78"/>
      <c r="F493" s="78">
        <f t="shared" si="32"/>
        <v>2</v>
      </c>
      <c r="G493" s="93">
        <v>6</v>
      </c>
      <c r="H493" s="78">
        <v>0</v>
      </c>
      <c r="I493" s="78">
        <v>591</v>
      </c>
      <c r="J493" s="78">
        <v>620</v>
      </c>
      <c r="K493" s="78">
        <v>63</v>
      </c>
      <c r="L493" s="78">
        <v>15000</v>
      </c>
      <c r="M493" s="78">
        <v>100</v>
      </c>
      <c r="N493" s="78">
        <v>100</v>
      </c>
      <c r="O493" s="78">
        <v>100</v>
      </c>
      <c r="P493" s="78">
        <v>0</v>
      </c>
      <c r="Q493" s="78">
        <v>0</v>
      </c>
      <c r="R493" s="78">
        <f t="shared" si="31"/>
        <v>0</v>
      </c>
      <c r="S493" s="78"/>
      <c r="T493" s="93">
        <f>Q493</f>
        <v>0</v>
      </c>
      <c r="U493" s="78">
        <v>0</v>
      </c>
      <c r="V493" s="78">
        <v>2</v>
      </c>
      <c r="W493" s="93" t="s">
        <v>5138</v>
      </c>
    </row>
    <row r="494" spans="1:23">
      <c r="A494" s="93">
        <v>120854</v>
      </c>
      <c r="B494" s="93" t="s">
        <v>5176</v>
      </c>
      <c r="C494" s="93">
        <v>12</v>
      </c>
      <c r="D494" s="78"/>
      <c r="E494" s="78"/>
      <c r="F494" s="78">
        <f t="shared" si="32"/>
        <v>2</v>
      </c>
      <c r="G494" s="93">
        <v>7</v>
      </c>
      <c r="H494" s="78">
        <v>0</v>
      </c>
      <c r="I494" s="78">
        <v>646</v>
      </c>
      <c r="J494" s="78">
        <v>672</v>
      </c>
      <c r="K494" s="78">
        <v>73</v>
      </c>
      <c r="L494" s="78">
        <v>21000</v>
      </c>
      <c r="M494" s="78">
        <v>100</v>
      </c>
      <c r="N494" s="78">
        <v>100</v>
      </c>
      <c r="O494" s="78">
        <v>100</v>
      </c>
      <c r="P494" s="78">
        <v>0</v>
      </c>
      <c r="Q494" s="78">
        <v>0</v>
      </c>
      <c r="R494" s="78">
        <f t="shared" si="31"/>
        <v>0</v>
      </c>
      <c r="S494" s="78"/>
      <c r="T494" s="93">
        <f>Q494</f>
        <v>0</v>
      </c>
      <c r="U494" s="78">
        <v>0</v>
      </c>
      <c r="V494" s="78">
        <v>2</v>
      </c>
      <c r="W494" s="93" t="s">
        <v>5138</v>
      </c>
    </row>
    <row r="495" spans="1:23">
      <c r="A495" s="93">
        <v>120861</v>
      </c>
      <c r="B495" s="93" t="s">
        <v>5177</v>
      </c>
      <c r="C495" s="93">
        <v>12</v>
      </c>
      <c r="D495" s="78"/>
      <c r="E495" s="78"/>
      <c r="F495" s="78">
        <f t="shared" si="32"/>
        <v>1</v>
      </c>
      <c r="G495" s="93">
        <v>3</v>
      </c>
      <c r="H495" s="78">
        <v>0</v>
      </c>
      <c r="I495" s="78">
        <v>436</v>
      </c>
      <c r="J495" s="78">
        <v>452</v>
      </c>
      <c r="K495" s="78">
        <v>43</v>
      </c>
      <c r="L495" s="78">
        <v>3000</v>
      </c>
      <c r="M495" s="78">
        <v>100</v>
      </c>
      <c r="N495" s="78">
        <v>100</v>
      </c>
      <c r="O495" s="78">
        <v>100</v>
      </c>
      <c r="P495" s="78">
        <v>0</v>
      </c>
      <c r="Q495" s="78">
        <v>0</v>
      </c>
      <c r="R495" s="78"/>
      <c r="S495" s="78"/>
      <c r="U495" s="78"/>
      <c r="V495" s="93">
        <v>3</v>
      </c>
    </row>
    <row r="496" spans="1:23">
      <c r="A496" s="93">
        <v>120862</v>
      </c>
      <c r="B496" s="93" t="s">
        <v>5177</v>
      </c>
      <c r="C496" s="93">
        <v>12</v>
      </c>
      <c r="D496" s="78"/>
      <c r="E496" s="78"/>
      <c r="F496" s="78">
        <f t="shared" si="32"/>
        <v>2</v>
      </c>
      <c r="G496" s="93">
        <v>4</v>
      </c>
      <c r="H496" s="78">
        <v>0</v>
      </c>
      <c r="I496" s="78">
        <v>486</v>
      </c>
      <c r="J496" s="78">
        <v>500</v>
      </c>
      <c r="K496" s="78">
        <v>54</v>
      </c>
      <c r="L496" s="78">
        <v>6000</v>
      </c>
      <c r="M496" s="78">
        <v>100</v>
      </c>
      <c r="N496" s="78">
        <v>100</v>
      </c>
      <c r="O496" s="78">
        <v>100</v>
      </c>
      <c r="P496" s="78">
        <v>0</v>
      </c>
      <c r="Q496" s="78">
        <v>0</v>
      </c>
      <c r="R496" s="78"/>
      <c r="S496" s="78"/>
      <c r="U496" s="78"/>
      <c r="V496" s="93">
        <v>3</v>
      </c>
    </row>
    <row r="497" spans="1:23">
      <c r="A497" s="93">
        <v>120863</v>
      </c>
      <c r="B497" s="93" t="s">
        <v>5177</v>
      </c>
      <c r="C497" s="93">
        <v>12</v>
      </c>
      <c r="D497" s="78"/>
      <c r="E497" s="78"/>
      <c r="F497" s="78">
        <f t="shared" si="32"/>
        <v>2</v>
      </c>
      <c r="G497" s="93">
        <v>5</v>
      </c>
      <c r="H497" s="78">
        <v>0</v>
      </c>
      <c r="I497" s="78">
        <v>548</v>
      </c>
      <c r="J497" s="78">
        <v>560</v>
      </c>
      <c r="K497" s="78">
        <v>64</v>
      </c>
      <c r="L497" s="78">
        <v>10500</v>
      </c>
      <c r="M497" s="78">
        <v>100</v>
      </c>
      <c r="N497" s="78">
        <v>100</v>
      </c>
      <c r="O497" s="78">
        <v>100</v>
      </c>
      <c r="P497" s="78">
        <v>0</v>
      </c>
      <c r="Q497" s="78">
        <v>0</v>
      </c>
      <c r="R497" s="78"/>
      <c r="S497" s="78"/>
      <c r="U497" s="78"/>
      <c r="V497" s="93">
        <v>3</v>
      </c>
    </row>
    <row r="498" spans="1:23">
      <c r="A498" s="93">
        <v>120872</v>
      </c>
      <c r="B498" s="78" t="s">
        <v>5178</v>
      </c>
      <c r="C498" s="93">
        <v>12</v>
      </c>
      <c r="D498" s="78"/>
      <c r="E498" s="78"/>
      <c r="F498" s="78">
        <f t="shared" ref="F498:F539" si="33">IF(G498&gt;3,2,1)</f>
        <v>2</v>
      </c>
      <c r="G498" s="93">
        <v>5</v>
      </c>
      <c r="H498" s="78">
        <v>0</v>
      </c>
      <c r="I498" s="78">
        <v>548</v>
      </c>
      <c r="J498" s="78">
        <v>587</v>
      </c>
      <c r="K498" s="78">
        <v>52</v>
      </c>
      <c r="L498" s="78">
        <v>10500</v>
      </c>
      <c r="M498" s="78">
        <v>100</v>
      </c>
      <c r="N498" s="78">
        <v>100</v>
      </c>
      <c r="O498" s="78">
        <v>100</v>
      </c>
      <c r="P498" s="78">
        <v>0</v>
      </c>
      <c r="Q498" s="78">
        <v>0</v>
      </c>
      <c r="R498" s="78"/>
      <c r="S498" s="78"/>
      <c r="V498" s="93">
        <v>2</v>
      </c>
      <c r="W498" s="93" t="s">
        <v>5138</v>
      </c>
    </row>
    <row r="499" spans="1:23">
      <c r="A499" s="93">
        <v>120873</v>
      </c>
      <c r="B499" s="78" t="s">
        <v>5178</v>
      </c>
      <c r="C499" s="93">
        <v>12</v>
      </c>
      <c r="D499" s="78"/>
      <c r="E499" s="78"/>
      <c r="F499" s="78">
        <f t="shared" si="33"/>
        <v>2</v>
      </c>
      <c r="G499" s="93">
        <v>6</v>
      </c>
      <c r="H499" s="78">
        <v>0</v>
      </c>
      <c r="I499" s="78">
        <v>598</v>
      </c>
      <c r="J499" s="78">
        <v>630</v>
      </c>
      <c r="K499" s="78">
        <v>62</v>
      </c>
      <c r="L499" s="78">
        <v>15000</v>
      </c>
      <c r="M499" s="78">
        <v>100</v>
      </c>
      <c r="N499" s="78">
        <v>100</v>
      </c>
      <c r="O499" s="78">
        <v>100</v>
      </c>
      <c r="P499" s="78">
        <v>0</v>
      </c>
      <c r="Q499" s="78">
        <v>0</v>
      </c>
      <c r="R499" s="78"/>
      <c r="S499" s="78"/>
      <c r="V499" s="93">
        <v>2</v>
      </c>
      <c r="W499" s="93" t="s">
        <v>5138</v>
      </c>
    </row>
    <row r="500" spans="1:23">
      <c r="A500" s="93">
        <v>120874</v>
      </c>
      <c r="B500" s="78" t="s">
        <v>5178</v>
      </c>
      <c r="C500" s="93">
        <v>12</v>
      </c>
      <c r="D500" s="78"/>
      <c r="E500" s="78"/>
      <c r="F500" s="78">
        <f t="shared" si="33"/>
        <v>2</v>
      </c>
      <c r="G500" s="93">
        <v>7</v>
      </c>
      <c r="H500" s="93">
        <v>0</v>
      </c>
      <c r="I500" s="78">
        <v>646</v>
      </c>
      <c r="J500" s="78">
        <v>672</v>
      </c>
      <c r="K500" s="78">
        <v>73</v>
      </c>
      <c r="L500" s="78">
        <v>21000</v>
      </c>
      <c r="M500" s="78">
        <v>100</v>
      </c>
      <c r="N500" s="78">
        <v>100</v>
      </c>
      <c r="O500" s="78">
        <v>100</v>
      </c>
      <c r="P500" s="78">
        <v>0</v>
      </c>
      <c r="Q500" s="78">
        <v>0</v>
      </c>
      <c r="R500" s="78"/>
      <c r="S500" s="78"/>
      <c r="V500" s="93">
        <v>2</v>
      </c>
      <c r="W500" s="93" t="s">
        <v>5138</v>
      </c>
    </row>
    <row r="501" spans="1:23">
      <c r="A501" s="93">
        <v>120881</v>
      </c>
      <c r="B501" s="78" t="s">
        <v>5179</v>
      </c>
      <c r="C501" s="93">
        <v>12</v>
      </c>
      <c r="D501" s="78"/>
      <c r="E501" s="78"/>
      <c r="F501" s="78">
        <v>2</v>
      </c>
      <c r="G501" s="93">
        <v>4</v>
      </c>
      <c r="H501" s="78">
        <v>0</v>
      </c>
      <c r="I501" s="78">
        <v>532</v>
      </c>
      <c r="J501" s="78">
        <v>500</v>
      </c>
      <c r="K501" s="78">
        <v>42</v>
      </c>
      <c r="L501" s="78">
        <v>6000</v>
      </c>
      <c r="M501" s="78">
        <v>100</v>
      </c>
      <c r="N501" s="78">
        <v>100</v>
      </c>
      <c r="O501" s="78">
        <v>100</v>
      </c>
      <c r="P501" s="78">
        <v>0</v>
      </c>
      <c r="Q501" s="78">
        <v>0</v>
      </c>
      <c r="R501" s="78"/>
      <c r="S501" s="78"/>
      <c r="V501" s="93">
        <v>1</v>
      </c>
      <c r="W501" s="93" t="s">
        <v>5138</v>
      </c>
    </row>
    <row r="502" spans="1:23">
      <c r="A502" s="93">
        <v>120882</v>
      </c>
      <c r="B502" s="78" t="s">
        <v>5179</v>
      </c>
      <c r="C502" s="93">
        <v>12</v>
      </c>
      <c r="D502" s="78"/>
      <c r="E502" s="78"/>
      <c r="F502" s="78">
        <v>2</v>
      </c>
      <c r="G502" s="93">
        <v>5</v>
      </c>
      <c r="H502" s="78">
        <v>0</v>
      </c>
      <c r="I502" s="78">
        <v>575</v>
      </c>
      <c r="J502" s="78">
        <v>550</v>
      </c>
      <c r="K502" s="78">
        <v>54</v>
      </c>
      <c r="L502" s="78">
        <v>10500</v>
      </c>
      <c r="M502" s="78">
        <v>100</v>
      </c>
      <c r="N502" s="78">
        <v>100</v>
      </c>
      <c r="O502" s="78">
        <v>100</v>
      </c>
      <c r="P502" s="78">
        <v>0</v>
      </c>
      <c r="Q502" s="78">
        <v>0</v>
      </c>
      <c r="R502" s="78"/>
      <c r="S502" s="78"/>
      <c r="V502" s="93">
        <v>1</v>
      </c>
      <c r="W502" s="93" t="s">
        <v>5138</v>
      </c>
    </row>
    <row r="503" spans="1:23">
      <c r="A503" s="93">
        <v>120883</v>
      </c>
      <c r="B503" s="78" t="s">
        <v>5179</v>
      </c>
      <c r="C503" s="93">
        <v>12</v>
      </c>
      <c r="D503" s="78"/>
      <c r="E503" s="78"/>
      <c r="F503" s="78">
        <v>2</v>
      </c>
      <c r="G503" s="93">
        <v>6</v>
      </c>
      <c r="H503" s="78">
        <v>0</v>
      </c>
      <c r="I503" s="78">
        <v>620</v>
      </c>
      <c r="J503" s="78">
        <v>605</v>
      </c>
      <c r="K503" s="78">
        <v>65</v>
      </c>
      <c r="L503" s="78">
        <v>15000</v>
      </c>
      <c r="M503" s="78">
        <v>100</v>
      </c>
      <c r="N503" s="78">
        <v>100</v>
      </c>
      <c r="O503" s="78">
        <v>100</v>
      </c>
      <c r="P503" s="78">
        <v>0</v>
      </c>
      <c r="Q503" s="78">
        <v>0</v>
      </c>
      <c r="R503" s="78"/>
      <c r="S503" s="78"/>
      <c r="V503" s="93">
        <v>1</v>
      </c>
      <c r="W503" s="93" t="s">
        <v>5138</v>
      </c>
    </row>
    <row r="504" spans="1:23">
      <c r="A504" s="93">
        <v>120884</v>
      </c>
      <c r="B504" s="78" t="s">
        <v>5179</v>
      </c>
      <c r="C504" s="93">
        <v>12</v>
      </c>
      <c r="D504" s="78"/>
      <c r="E504" s="78"/>
      <c r="F504" s="78">
        <v>2</v>
      </c>
      <c r="G504" s="93">
        <v>7</v>
      </c>
      <c r="H504" s="78">
        <v>0</v>
      </c>
      <c r="I504" s="78">
        <v>675</v>
      </c>
      <c r="J504" s="78">
        <v>657</v>
      </c>
      <c r="K504" s="78">
        <v>76</v>
      </c>
      <c r="L504" s="78">
        <v>21000</v>
      </c>
      <c r="M504" s="78">
        <v>100</v>
      </c>
      <c r="N504" s="78">
        <v>100</v>
      </c>
      <c r="O504" s="78">
        <v>100</v>
      </c>
      <c r="P504" s="78">
        <v>0</v>
      </c>
      <c r="Q504" s="78">
        <v>0</v>
      </c>
      <c r="R504" s="78"/>
      <c r="S504" s="78"/>
      <c r="V504" s="93">
        <v>1</v>
      </c>
      <c r="W504" s="93" t="s">
        <v>5138</v>
      </c>
    </row>
    <row r="505" spans="1:23">
      <c r="A505" s="93">
        <v>120894</v>
      </c>
      <c r="B505" s="78" t="s">
        <v>5180</v>
      </c>
      <c r="C505" s="93">
        <v>12</v>
      </c>
      <c r="D505" s="78"/>
      <c r="E505" s="78"/>
      <c r="F505" s="78">
        <v>2</v>
      </c>
      <c r="G505" s="93">
        <v>7</v>
      </c>
      <c r="H505" s="93">
        <v>0</v>
      </c>
      <c r="I505" s="78">
        <v>650</v>
      </c>
      <c r="J505" s="78">
        <v>645</v>
      </c>
      <c r="K505" s="78">
        <v>84</v>
      </c>
      <c r="L505" s="78">
        <v>21000</v>
      </c>
      <c r="M505" s="78">
        <v>100</v>
      </c>
      <c r="N505" s="78">
        <v>100</v>
      </c>
      <c r="O505" s="78">
        <v>100</v>
      </c>
      <c r="P505" s="78">
        <v>0</v>
      </c>
      <c r="Q505" s="78">
        <v>0</v>
      </c>
      <c r="R505" s="78"/>
      <c r="S505" s="78"/>
      <c r="V505" s="93">
        <v>3</v>
      </c>
      <c r="W505" s="93" t="s">
        <v>5138</v>
      </c>
    </row>
    <row r="506" spans="1:23">
      <c r="A506" s="93">
        <v>120912</v>
      </c>
      <c r="B506" s="78" t="s">
        <v>5181</v>
      </c>
      <c r="C506" s="93">
        <v>12</v>
      </c>
      <c r="D506" s="78"/>
      <c r="E506" s="78"/>
      <c r="F506" s="78">
        <v>2</v>
      </c>
      <c r="G506" s="93">
        <v>5</v>
      </c>
      <c r="H506" s="78">
        <v>0</v>
      </c>
      <c r="I506" s="78">
        <v>570</v>
      </c>
      <c r="J506" s="78">
        <v>545</v>
      </c>
      <c r="K506" s="78">
        <v>55</v>
      </c>
      <c r="L506" s="78">
        <v>10500</v>
      </c>
      <c r="M506" s="78">
        <v>100</v>
      </c>
      <c r="N506" s="78">
        <v>100</v>
      </c>
      <c r="O506" s="78">
        <v>100</v>
      </c>
      <c r="P506" s="78">
        <v>0</v>
      </c>
      <c r="Q506" s="78">
        <v>0</v>
      </c>
      <c r="R506" s="78"/>
      <c r="S506" s="78"/>
      <c r="V506" s="78">
        <v>1</v>
      </c>
      <c r="W506" s="93" t="s">
        <v>5698</v>
      </c>
    </row>
    <row r="507" spans="1:23">
      <c r="A507" s="93">
        <v>120913</v>
      </c>
      <c r="B507" s="78" t="s">
        <v>5181</v>
      </c>
      <c r="C507" s="93">
        <v>12</v>
      </c>
      <c r="D507" s="78"/>
      <c r="E507" s="78"/>
      <c r="F507" s="78">
        <v>2</v>
      </c>
      <c r="G507" s="93">
        <v>6</v>
      </c>
      <c r="H507" s="78">
        <v>0</v>
      </c>
      <c r="I507" s="78">
        <v>618</v>
      </c>
      <c r="J507" s="78">
        <v>594</v>
      </c>
      <c r="K507" s="78">
        <v>65</v>
      </c>
      <c r="L507" s="78">
        <v>15000</v>
      </c>
      <c r="M507" s="78">
        <v>100</v>
      </c>
      <c r="N507" s="78">
        <v>100</v>
      </c>
      <c r="O507" s="78">
        <v>100</v>
      </c>
      <c r="P507" s="78">
        <v>0</v>
      </c>
      <c r="Q507" s="78">
        <v>0</v>
      </c>
      <c r="R507" s="78"/>
      <c r="S507" s="78"/>
      <c r="V507" s="78">
        <v>1</v>
      </c>
      <c r="W507" s="93" t="s">
        <v>5698</v>
      </c>
    </row>
    <row r="508" spans="1:23">
      <c r="A508" s="93">
        <v>120914</v>
      </c>
      <c r="B508" s="78" t="s">
        <v>5181</v>
      </c>
      <c r="C508" s="93">
        <v>12</v>
      </c>
      <c r="D508" s="78"/>
      <c r="E508" s="78"/>
      <c r="F508" s="78">
        <v>2</v>
      </c>
      <c r="G508" s="93">
        <v>7</v>
      </c>
      <c r="H508" s="93">
        <v>0</v>
      </c>
      <c r="I508" s="78">
        <v>670</v>
      </c>
      <c r="J508" s="78">
        <v>645</v>
      </c>
      <c r="K508" s="78">
        <v>75</v>
      </c>
      <c r="L508" s="78">
        <v>21000</v>
      </c>
      <c r="M508" s="78">
        <v>100</v>
      </c>
      <c r="N508" s="78">
        <v>100</v>
      </c>
      <c r="O508" s="78">
        <v>100</v>
      </c>
      <c r="P508" s="78">
        <v>0</v>
      </c>
      <c r="Q508" s="78">
        <v>0</v>
      </c>
      <c r="R508" s="78"/>
      <c r="S508" s="78"/>
      <c r="V508" s="78">
        <v>1</v>
      </c>
      <c r="W508" s="93" t="s">
        <v>5698</v>
      </c>
    </row>
    <row r="509" spans="1:23">
      <c r="A509" s="93">
        <v>120922</v>
      </c>
      <c r="B509" s="78" t="s">
        <v>5182</v>
      </c>
      <c r="C509" s="93">
        <v>12</v>
      </c>
      <c r="D509" s="78"/>
      <c r="E509" s="78"/>
      <c r="F509" s="78">
        <v>2</v>
      </c>
      <c r="G509" s="93">
        <v>5</v>
      </c>
      <c r="H509" s="78">
        <v>0</v>
      </c>
      <c r="I509" s="78">
        <v>564</v>
      </c>
      <c r="J509" s="78">
        <v>545</v>
      </c>
      <c r="K509" s="78">
        <v>52</v>
      </c>
      <c r="L509" s="78">
        <v>10500</v>
      </c>
      <c r="M509" s="78">
        <v>100</v>
      </c>
      <c r="N509" s="78">
        <v>100</v>
      </c>
      <c r="O509" s="78">
        <v>100</v>
      </c>
      <c r="P509" s="78">
        <v>0</v>
      </c>
      <c r="Q509" s="78">
        <v>0</v>
      </c>
      <c r="R509" s="78"/>
      <c r="S509" s="78"/>
      <c r="V509" s="78">
        <v>1</v>
      </c>
    </row>
    <row r="510" spans="1:23">
      <c r="A510" s="93">
        <v>120923</v>
      </c>
      <c r="B510" s="78" t="s">
        <v>5182</v>
      </c>
      <c r="C510" s="93">
        <v>12</v>
      </c>
      <c r="D510" s="78"/>
      <c r="E510" s="78"/>
      <c r="F510" s="78">
        <v>2</v>
      </c>
      <c r="G510" s="93">
        <v>6</v>
      </c>
      <c r="H510" s="78">
        <v>0</v>
      </c>
      <c r="I510" s="78">
        <v>613</v>
      </c>
      <c r="J510" s="78">
        <v>596</v>
      </c>
      <c r="K510" s="78">
        <v>63</v>
      </c>
      <c r="L510" s="78">
        <v>15000</v>
      </c>
      <c r="M510" s="78">
        <v>100</v>
      </c>
      <c r="N510" s="78">
        <v>100</v>
      </c>
      <c r="O510" s="78">
        <v>100</v>
      </c>
      <c r="P510" s="78">
        <v>0</v>
      </c>
      <c r="Q510" s="78">
        <v>0</v>
      </c>
      <c r="R510" s="78"/>
      <c r="S510" s="78"/>
      <c r="V510" s="78">
        <v>1</v>
      </c>
    </row>
    <row r="511" spans="1:23">
      <c r="A511" s="93">
        <v>120924</v>
      </c>
      <c r="B511" s="78" t="s">
        <v>5182</v>
      </c>
      <c r="C511" s="93">
        <v>12</v>
      </c>
      <c r="D511" s="78"/>
      <c r="E511" s="78"/>
      <c r="F511" s="78">
        <v>2</v>
      </c>
      <c r="G511" s="93">
        <v>7</v>
      </c>
      <c r="H511" s="93">
        <v>0</v>
      </c>
      <c r="I511" s="78">
        <v>664</v>
      </c>
      <c r="J511" s="78">
        <v>649</v>
      </c>
      <c r="K511" s="78">
        <v>73</v>
      </c>
      <c r="L511" s="78">
        <v>21000</v>
      </c>
      <c r="M511" s="78">
        <v>100</v>
      </c>
      <c r="N511" s="78">
        <v>100</v>
      </c>
      <c r="O511" s="78">
        <v>100</v>
      </c>
      <c r="P511" s="78">
        <v>0</v>
      </c>
      <c r="Q511" s="78">
        <v>0</v>
      </c>
      <c r="R511" s="78"/>
      <c r="S511" s="78"/>
      <c r="V511" s="78">
        <v>1</v>
      </c>
    </row>
    <row r="512" spans="1:23">
      <c r="A512" s="93">
        <v>120932</v>
      </c>
      <c r="B512" s="78" t="s">
        <v>5183</v>
      </c>
      <c r="C512" s="93">
        <v>12</v>
      </c>
      <c r="D512" s="78"/>
      <c r="E512" s="78"/>
      <c r="F512" s="78">
        <v>2</v>
      </c>
      <c r="G512" s="93">
        <v>5</v>
      </c>
      <c r="H512" s="78">
        <v>0</v>
      </c>
      <c r="I512" s="78">
        <v>550</v>
      </c>
      <c r="J512" s="78">
        <v>530</v>
      </c>
      <c r="K512" s="78">
        <v>63</v>
      </c>
      <c r="L512" s="78">
        <v>10500</v>
      </c>
      <c r="M512" s="78">
        <v>100</v>
      </c>
      <c r="N512" s="78">
        <v>100</v>
      </c>
      <c r="O512" s="78">
        <v>100</v>
      </c>
      <c r="P512" s="78">
        <v>0</v>
      </c>
      <c r="Q512" s="78">
        <v>0</v>
      </c>
      <c r="R512" s="78"/>
      <c r="S512" s="78"/>
      <c r="V512" s="78">
        <v>3</v>
      </c>
      <c r="W512" s="93" t="s">
        <v>5698</v>
      </c>
    </row>
    <row r="513" spans="1:23">
      <c r="A513" s="93">
        <v>120933</v>
      </c>
      <c r="B513" s="78" t="s">
        <v>5183</v>
      </c>
      <c r="C513" s="93">
        <v>12</v>
      </c>
      <c r="D513" s="78"/>
      <c r="E513" s="78"/>
      <c r="F513" s="78">
        <v>2</v>
      </c>
      <c r="G513" s="93">
        <v>6</v>
      </c>
      <c r="H513" s="78">
        <v>0</v>
      </c>
      <c r="I513" s="78">
        <v>600</v>
      </c>
      <c r="J513" s="78">
        <v>579</v>
      </c>
      <c r="K513" s="78">
        <v>73</v>
      </c>
      <c r="L513" s="78">
        <v>15000</v>
      </c>
      <c r="M513" s="78">
        <v>100</v>
      </c>
      <c r="N513" s="78">
        <v>100</v>
      </c>
      <c r="O513" s="78">
        <v>100</v>
      </c>
      <c r="P513" s="78">
        <v>0</v>
      </c>
      <c r="Q513" s="78">
        <v>0</v>
      </c>
      <c r="R513" s="78"/>
      <c r="S513" s="78"/>
      <c r="V513" s="78">
        <v>3</v>
      </c>
      <c r="W513" s="93" t="s">
        <v>5698</v>
      </c>
    </row>
    <row r="514" spans="1:23">
      <c r="A514" s="93">
        <v>120934</v>
      </c>
      <c r="B514" s="78" t="s">
        <v>5183</v>
      </c>
      <c r="C514" s="93">
        <v>12</v>
      </c>
      <c r="D514" s="78"/>
      <c r="E514" s="78"/>
      <c r="F514" s="78">
        <v>2</v>
      </c>
      <c r="G514" s="93">
        <v>7</v>
      </c>
      <c r="H514" s="93">
        <v>0</v>
      </c>
      <c r="I514" s="78">
        <v>640</v>
      </c>
      <c r="J514" s="78">
        <v>630</v>
      </c>
      <c r="K514" s="78">
        <v>90</v>
      </c>
      <c r="L514" s="78">
        <v>21000</v>
      </c>
      <c r="M514" s="78">
        <v>100</v>
      </c>
      <c r="N514" s="78">
        <v>100</v>
      </c>
      <c r="O514" s="78">
        <v>100</v>
      </c>
      <c r="P514" s="78">
        <v>0</v>
      </c>
      <c r="Q514" s="78">
        <v>0</v>
      </c>
      <c r="R514" s="78"/>
      <c r="S514" s="78"/>
      <c r="V514" s="78">
        <v>3</v>
      </c>
      <c r="W514" s="93" t="s">
        <v>5698</v>
      </c>
    </row>
    <row r="515" spans="1:23">
      <c r="A515" s="93">
        <v>120942</v>
      </c>
      <c r="B515" s="78" t="s">
        <v>5184</v>
      </c>
      <c r="C515" s="93">
        <v>12</v>
      </c>
      <c r="D515" s="78"/>
      <c r="E515" s="78"/>
      <c r="F515" s="78">
        <v>2</v>
      </c>
      <c r="G515" s="93">
        <v>5</v>
      </c>
      <c r="H515" s="78">
        <v>0</v>
      </c>
      <c r="I515" s="78">
        <v>537</v>
      </c>
      <c r="J515" s="78">
        <v>584</v>
      </c>
      <c r="K515" s="78">
        <v>51</v>
      </c>
      <c r="L515" s="78">
        <v>10500</v>
      </c>
      <c r="M515" s="78">
        <v>100</v>
      </c>
      <c r="N515" s="78">
        <v>100</v>
      </c>
      <c r="O515" s="78">
        <v>100</v>
      </c>
      <c r="P515" s="78">
        <v>0</v>
      </c>
      <c r="Q515" s="78">
        <v>0</v>
      </c>
      <c r="R515" s="78"/>
      <c r="S515" s="78"/>
      <c r="V515" s="78">
        <v>2</v>
      </c>
    </row>
    <row r="516" spans="1:23">
      <c r="A516" s="93">
        <v>120943</v>
      </c>
      <c r="B516" s="78" t="s">
        <v>5184</v>
      </c>
      <c r="C516" s="93">
        <v>12</v>
      </c>
      <c r="D516" s="78"/>
      <c r="E516" s="78"/>
      <c r="F516" s="78">
        <v>2</v>
      </c>
      <c r="G516" s="93">
        <v>6</v>
      </c>
      <c r="H516" s="78">
        <v>0</v>
      </c>
      <c r="I516" s="78">
        <v>581</v>
      </c>
      <c r="J516" s="78">
        <v>627</v>
      </c>
      <c r="K516" s="78">
        <v>62</v>
      </c>
      <c r="L516" s="78">
        <v>15000</v>
      </c>
      <c r="M516" s="78">
        <v>100</v>
      </c>
      <c r="N516" s="78">
        <v>100</v>
      </c>
      <c r="O516" s="78">
        <v>100</v>
      </c>
      <c r="P516" s="78">
        <v>0</v>
      </c>
      <c r="Q516" s="78">
        <v>0</v>
      </c>
      <c r="R516" s="78"/>
      <c r="S516" s="78"/>
      <c r="V516" s="78">
        <v>2</v>
      </c>
    </row>
    <row r="517" spans="1:23">
      <c r="A517" s="93">
        <v>120944</v>
      </c>
      <c r="B517" s="78" t="s">
        <v>5184</v>
      </c>
      <c r="C517" s="93">
        <v>12</v>
      </c>
      <c r="D517" s="78"/>
      <c r="E517" s="78"/>
      <c r="F517" s="78">
        <v>2</v>
      </c>
      <c r="G517" s="93">
        <v>7</v>
      </c>
      <c r="H517" s="93">
        <v>0</v>
      </c>
      <c r="I517" s="78">
        <v>633</v>
      </c>
      <c r="J517" s="78">
        <v>672</v>
      </c>
      <c r="K517" s="78">
        <v>72</v>
      </c>
      <c r="L517" s="78">
        <v>21000</v>
      </c>
      <c r="M517" s="78">
        <v>100</v>
      </c>
      <c r="N517" s="78">
        <v>100</v>
      </c>
      <c r="O517" s="78">
        <v>100</v>
      </c>
      <c r="P517" s="78">
        <v>0</v>
      </c>
      <c r="Q517" s="78">
        <v>0</v>
      </c>
      <c r="R517" s="78"/>
      <c r="S517" s="78"/>
      <c r="V517" s="78">
        <v>2</v>
      </c>
    </row>
    <row r="518" spans="1:23">
      <c r="A518" s="93">
        <v>120952</v>
      </c>
      <c r="B518" s="78" t="s">
        <v>5185</v>
      </c>
      <c r="C518" s="93">
        <v>12</v>
      </c>
      <c r="D518" s="78"/>
      <c r="E518" s="78"/>
      <c r="F518" s="78">
        <v>2</v>
      </c>
      <c r="G518" s="93">
        <v>5</v>
      </c>
      <c r="H518" s="78">
        <v>0</v>
      </c>
      <c r="I518" s="78">
        <v>550</v>
      </c>
      <c r="J518" s="78">
        <v>555</v>
      </c>
      <c r="K518" s="78">
        <v>60</v>
      </c>
      <c r="L518" s="78">
        <v>10500</v>
      </c>
      <c r="M518" s="78">
        <v>100</v>
      </c>
      <c r="N518" s="78">
        <v>100</v>
      </c>
      <c r="O518" s="78">
        <v>100</v>
      </c>
      <c r="P518" s="78">
        <v>0</v>
      </c>
      <c r="Q518" s="78">
        <v>0</v>
      </c>
      <c r="R518" s="78"/>
      <c r="S518" s="78"/>
      <c r="V518" s="78">
        <v>3</v>
      </c>
    </row>
    <row r="519" spans="1:23">
      <c r="A519" s="93">
        <v>120953</v>
      </c>
      <c r="B519" s="78" t="s">
        <v>5185</v>
      </c>
      <c r="C519" s="93">
        <v>12</v>
      </c>
      <c r="D519" s="78"/>
      <c r="E519" s="78"/>
      <c r="F519" s="78">
        <v>2</v>
      </c>
      <c r="G519" s="93">
        <v>6</v>
      </c>
      <c r="H519" s="78">
        <v>0</v>
      </c>
      <c r="I519" s="78">
        <v>598</v>
      </c>
      <c r="J519" s="78">
        <v>600</v>
      </c>
      <c r="K519" s="78">
        <v>70</v>
      </c>
      <c r="L519" s="78">
        <v>15000</v>
      </c>
      <c r="M519" s="78">
        <v>100</v>
      </c>
      <c r="N519" s="78">
        <v>100</v>
      </c>
      <c r="O519" s="78">
        <v>100</v>
      </c>
      <c r="P519" s="78">
        <v>0</v>
      </c>
      <c r="Q519" s="78">
        <v>0</v>
      </c>
      <c r="R519" s="78"/>
      <c r="S519" s="78"/>
      <c r="V519" s="78">
        <v>3</v>
      </c>
    </row>
    <row r="520" spans="1:23">
      <c r="A520" s="93">
        <v>120954</v>
      </c>
      <c r="B520" s="78" t="s">
        <v>5185</v>
      </c>
      <c r="C520" s="93">
        <v>12</v>
      </c>
      <c r="D520" s="78"/>
      <c r="E520" s="78"/>
      <c r="F520" s="78">
        <v>2</v>
      </c>
      <c r="G520" s="93">
        <v>7</v>
      </c>
      <c r="H520" s="93">
        <v>0</v>
      </c>
      <c r="I520" s="78">
        <v>642</v>
      </c>
      <c r="J520" s="78">
        <v>645</v>
      </c>
      <c r="K520" s="78">
        <v>82</v>
      </c>
      <c r="L520" s="78">
        <v>21000</v>
      </c>
      <c r="M520" s="78">
        <v>100</v>
      </c>
      <c r="N520" s="78">
        <v>100</v>
      </c>
      <c r="O520" s="78">
        <v>100</v>
      </c>
      <c r="P520" s="78">
        <v>0</v>
      </c>
      <c r="Q520" s="78">
        <v>0</v>
      </c>
      <c r="R520" s="78"/>
      <c r="S520" s="78"/>
      <c r="V520" s="78">
        <v>3</v>
      </c>
    </row>
    <row r="521" spans="1:23">
      <c r="A521" s="93">
        <v>120962</v>
      </c>
      <c r="B521" s="78" t="s">
        <v>5186</v>
      </c>
      <c r="C521" s="93">
        <v>12</v>
      </c>
      <c r="D521" s="78"/>
      <c r="E521" s="78"/>
      <c r="F521" s="78">
        <v>2</v>
      </c>
      <c r="G521" s="93">
        <v>5</v>
      </c>
      <c r="H521" s="78">
        <v>0</v>
      </c>
      <c r="I521" s="78">
        <v>545</v>
      </c>
      <c r="J521" s="78">
        <v>580</v>
      </c>
      <c r="K521" s="78">
        <v>55</v>
      </c>
      <c r="L521" s="78">
        <v>10500</v>
      </c>
      <c r="M521" s="78">
        <v>100</v>
      </c>
      <c r="N521" s="78">
        <v>100</v>
      </c>
      <c r="O521" s="78">
        <v>100</v>
      </c>
      <c r="P521" s="78">
        <v>0</v>
      </c>
      <c r="Q521" s="78">
        <v>0</v>
      </c>
      <c r="R521" s="78"/>
      <c r="S521" s="78"/>
      <c r="V521" s="78">
        <v>2</v>
      </c>
      <c r="W521" s="93" t="s">
        <v>5698</v>
      </c>
    </row>
    <row r="522" spans="1:23">
      <c r="A522" s="93">
        <v>120963</v>
      </c>
      <c r="B522" s="78" t="s">
        <v>5186</v>
      </c>
      <c r="C522" s="93">
        <v>12</v>
      </c>
      <c r="D522" s="78"/>
      <c r="E522" s="78"/>
      <c r="F522" s="78">
        <v>2</v>
      </c>
      <c r="G522" s="93">
        <v>6</v>
      </c>
      <c r="H522" s="78">
        <v>0</v>
      </c>
      <c r="I522" s="78">
        <v>610</v>
      </c>
      <c r="J522" s="78">
        <v>625</v>
      </c>
      <c r="K522" s="78">
        <v>73</v>
      </c>
      <c r="L522" s="78">
        <v>15000</v>
      </c>
      <c r="M522" s="78">
        <v>100</v>
      </c>
      <c r="N522" s="78">
        <v>100</v>
      </c>
      <c r="O522" s="78">
        <v>100</v>
      </c>
      <c r="P522" s="78">
        <v>0</v>
      </c>
      <c r="Q522" s="78">
        <v>0</v>
      </c>
      <c r="R522" s="78"/>
      <c r="S522" s="78"/>
      <c r="V522" s="78">
        <v>2</v>
      </c>
      <c r="W522" s="93" t="s">
        <v>5698</v>
      </c>
    </row>
    <row r="523" spans="1:23">
      <c r="A523" s="93">
        <v>120964</v>
      </c>
      <c r="B523" s="78" t="s">
        <v>5186</v>
      </c>
      <c r="C523" s="93">
        <v>12</v>
      </c>
      <c r="D523" s="78"/>
      <c r="E523" s="78"/>
      <c r="F523" s="78">
        <v>2</v>
      </c>
      <c r="G523" s="93">
        <v>7</v>
      </c>
      <c r="H523" s="93">
        <v>0</v>
      </c>
      <c r="I523" s="78">
        <v>650</v>
      </c>
      <c r="J523" s="78">
        <v>670</v>
      </c>
      <c r="K523" s="78">
        <v>88</v>
      </c>
      <c r="L523" s="78">
        <v>21000</v>
      </c>
      <c r="M523" s="78">
        <v>100</v>
      </c>
      <c r="N523" s="78">
        <v>100</v>
      </c>
      <c r="O523" s="78">
        <v>100</v>
      </c>
      <c r="P523" s="78">
        <v>0</v>
      </c>
      <c r="Q523" s="78">
        <v>0</v>
      </c>
      <c r="R523" s="78"/>
      <c r="S523" s="78"/>
      <c r="V523" s="78">
        <v>2</v>
      </c>
      <c r="W523" s="93" t="s">
        <v>5698</v>
      </c>
    </row>
    <row r="524" spans="1:23">
      <c r="A524" s="93">
        <v>120972</v>
      </c>
      <c r="B524" s="93" t="s">
        <v>5187</v>
      </c>
      <c r="C524" s="93">
        <v>12</v>
      </c>
      <c r="D524" s="78"/>
      <c r="E524" s="78"/>
      <c r="F524" s="78">
        <v>2</v>
      </c>
      <c r="G524" s="93">
        <v>5</v>
      </c>
      <c r="H524" s="78">
        <v>0</v>
      </c>
      <c r="I524" s="78">
        <v>556</v>
      </c>
      <c r="J524" s="78">
        <v>552</v>
      </c>
      <c r="K524" s="78">
        <v>61</v>
      </c>
      <c r="L524" s="78">
        <v>10500</v>
      </c>
      <c r="M524" s="78">
        <v>100</v>
      </c>
      <c r="N524" s="78">
        <v>100</v>
      </c>
      <c r="O524" s="78">
        <v>100</v>
      </c>
      <c r="P524" s="78">
        <v>0</v>
      </c>
      <c r="Q524" s="78">
        <v>0</v>
      </c>
      <c r="R524" s="78"/>
      <c r="S524" s="78"/>
      <c r="V524" s="78"/>
    </row>
    <row r="525" spans="1:23">
      <c r="A525" s="93">
        <v>120973</v>
      </c>
      <c r="B525" s="93" t="s">
        <v>5187</v>
      </c>
      <c r="C525" s="93">
        <v>12</v>
      </c>
      <c r="D525" s="78"/>
      <c r="E525" s="78"/>
      <c r="F525" s="78">
        <v>2</v>
      </c>
      <c r="G525" s="93">
        <v>6</v>
      </c>
      <c r="H525" s="78">
        <v>0</v>
      </c>
      <c r="I525" s="78">
        <v>601</v>
      </c>
      <c r="J525" s="78">
        <v>594</v>
      </c>
      <c r="K525" s="78">
        <v>72</v>
      </c>
      <c r="L525" s="78">
        <v>15000</v>
      </c>
      <c r="M525" s="78">
        <v>100</v>
      </c>
      <c r="N525" s="78">
        <v>100</v>
      </c>
      <c r="O525" s="78">
        <v>100</v>
      </c>
      <c r="P525" s="78">
        <v>0</v>
      </c>
      <c r="Q525" s="78">
        <v>0</v>
      </c>
      <c r="R525" s="78"/>
      <c r="S525" s="78"/>
      <c r="V525" s="78"/>
    </row>
    <row r="526" spans="1:23">
      <c r="A526" s="93">
        <v>120974</v>
      </c>
      <c r="B526" s="93" t="s">
        <v>5187</v>
      </c>
      <c r="C526" s="93">
        <v>12</v>
      </c>
      <c r="D526" s="78"/>
      <c r="E526" s="78"/>
      <c r="F526" s="78">
        <v>2</v>
      </c>
      <c r="G526" s="93">
        <v>7</v>
      </c>
      <c r="H526" s="93">
        <v>0</v>
      </c>
      <c r="I526" s="78">
        <v>646</v>
      </c>
      <c r="J526" s="78">
        <v>640</v>
      </c>
      <c r="K526" s="78">
        <v>82</v>
      </c>
      <c r="L526" s="78">
        <v>21000</v>
      </c>
      <c r="M526" s="78">
        <v>100</v>
      </c>
      <c r="N526" s="78">
        <v>100</v>
      </c>
      <c r="O526" s="78">
        <v>100</v>
      </c>
      <c r="P526" s="78">
        <v>0</v>
      </c>
      <c r="Q526" s="78">
        <v>0</v>
      </c>
      <c r="R526" s="78"/>
      <c r="S526" s="78"/>
      <c r="V526" s="78"/>
    </row>
    <row r="527" spans="1:23" ht="15" customHeight="1">
      <c r="A527" s="93">
        <v>120982</v>
      </c>
      <c r="B527" s="93" t="s">
        <v>5188</v>
      </c>
      <c r="C527" s="93">
        <v>12</v>
      </c>
      <c r="D527" s="78"/>
      <c r="E527" s="78"/>
      <c r="F527" s="78">
        <v>2</v>
      </c>
      <c r="G527" s="93">
        <v>5</v>
      </c>
      <c r="H527" s="78">
        <v>0</v>
      </c>
      <c r="I527" s="78">
        <v>545</v>
      </c>
      <c r="J527" s="78">
        <v>540</v>
      </c>
      <c r="K527" s="78">
        <v>52</v>
      </c>
      <c r="L527" s="78">
        <v>10500</v>
      </c>
      <c r="M527" s="78">
        <v>100</v>
      </c>
      <c r="N527" s="78">
        <v>100</v>
      </c>
      <c r="O527" s="78">
        <v>100</v>
      </c>
      <c r="P527" s="78">
        <v>0</v>
      </c>
      <c r="Q527" s="78">
        <v>0</v>
      </c>
      <c r="R527" s="78"/>
      <c r="S527" s="78"/>
      <c r="V527" s="78"/>
    </row>
    <row r="528" spans="1:23">
      <c r="A528" s="93">
        <v>120983</v>
      </c>
      <c r="B528" s="93" t="s">
        <v>5188</v>
      </c>
      <c r="C528" s="93">
        <v>12</v>
      </c>
      <c r="D528" s="78"/>
      <c r="E528" s="78"/>
      <c r="F528" s="78">
        <v>2</v>
      </c>
      <c r="G528" s="93">
        <v>6</v>
      </c>
      <c r="H528" s="78">
        <v>0</v>
      </c>
      <c r="I528" s="78">
        <v>595</v>
      </c>
      <c r="J528" s="78">
        <v>600</v>
      </c>
      <c r="K528" s="78">
        <v>62</v>
      </c>
      <c r="L528" s="78">
        <v>15000</v>
      </c>
      <c r="M528" s="78">
        <v>100</v>
      </c>
      <c r="N528" s="78">
        <v>100</v>
      </c>
      <c r="O528" s="78">
        <v>100</v>
      </c>
      <c r="P528" s="78">
        <v>0</v>
      </c>
      <c r="Q528" s="78">
        <v>0</v>
      </c>
      <c r="R528" s="78"/>
      <c r="S528" s="78"/>
      <c r="V528" s="78"/>
    </row>
    <row r="529" spans="1:23">
      <c r="A529" s="93">
        <v>120984</v>
      </c>
      <c r="B529" s="93" t="s">
        <v>5188</v>
      </c>
      <c r="C529" s="93">
        <v>12</v>
      </c>
      <c r="D529" s="78"/>
      <c r="E529" s="78"/>
      <c r="F529" s="78">
        <v>2</v>
      </c>
      <c r="G529" s="93">
        <v>7</v>
      </c>
      <c r="H529" s="93">
        <v>0</v>
      </c>
      <c r="I529" s="78">
        <v>645</v>
      </c>
      <c r="J529" s="78">
        <v>670</v>
      </c>
      <c r="K529" s="78">
        <v>72</v>
      </c>
      <c r="L529" s="78">
        <v>21000</v>
      </c>
      <c r="M529" s="78">
        <v>100</v>
      </c>
      <c r="N529" s="78">
        <v>100</v>
      </c>
      <c r="O529" s="78">
        <v>100</v>
      </c>
      <c r="P529" s="78">
        <v>0</v>
      </c>
      <c r="Q529" s="78">
        <v>0</v>
      </c>
      <c r="R529" s="78"/>
      <c r="S529" s="78"/>
      <c r="V529" s="78"/>
    </row>
    <row r="530" spans="1:23">
      <c r="A530" s="93">
        <v>121072</v>
      </c>
      <c r="B530" s="93" t="s">
        <v>5691</v>
      </c>
      <c r="C530" s="93">
        <v>12</v>
      </c>
      <c r="D530" s="78"/>
      <c r="E530" s="78"/>
      <c r="F530" s="78">
        <v>2</v>
      </c>
      <c r="G530" s="93">
        <v>5</v>
      </c>
      <c r="H530" s="93">
        <v>0</v>
      </c>
      <c r="I530" s="78">
        <v>538</v>
      </c>
      <c r="J530" s="78">
        <v>575</v>
      </c>
      <c r="K530" s="78">
        <v>50</v>
      </c>
      <c r="L530" s="78">
        <v>10500</v>
      </c>
      <c r="M530" s="78">
        <v>100</v>
      </c>
      <c r="N530" s="78">
        <v>100</v>
      </c>
      <c r="O530" s="78">
        <v>100</v>
      </c>
      <c r="P530" s="78">
        <v>0</v>
      </c>
      <c r="Q530" s="78">
        <v>0</v>
      </c>
      <c r="R530" s="78"/>
      <c r="S530" s="78"/>
      <c r="V530" s="78">
        <v>2</v>
      </c>
      <c r="W530" s="93" t="s">
        <v>5698</v>
      </c>
    </row>
    <row r="531" spans="1:23" ht="15" customHeight="1">
      <c r="A531" s="93">
        <v>121342</v>
      </c>
      <c r="B531" s="93" t="s">
        <v>5189</v>
      </c>
      <c r="C531" s="93">
        <v>12</v>
      </c>
      <c r="D531" s="78"/>
      <c r="E531" s="78"/>
      <c r="F531" s="78">
        <v>2</v>
      </c>
      <c r="G531" s="93">
        <v>5</v>
      </c>
      <c r="H531" s="78">
        <v>0</v>
      </c>
      <c r="I531" s="78">
        <v>571</v>
      </c>
      <c r="J531" s="78">
        <v>534</v>
      </c>
      <c r="K531" s="78">
        <v>56</v>
      </c>
      <c r="L531" s="78">
        <v>10500</v>
      </c>
      <c r="M531" s="78">
        <v>100</v>
      </c>
      <c r="N531" s="78">
        <v>100</v>
      </c>
      <c r="O531" s="78">
        <v>100</v>
      </c>
      <c r="P531" s="78">
        <v>0</v>
      </c>
      <c r="Q531" s="78">
        <v>0</v>
      </c>
      <c r="R531" s="78"/>
      <c r="S531" s="78"/>
      <c r="V531" s="78">
        <v>1</v>
      </c>
    </row>
    <row r="532" spans="1:23">
      <c r="A532" s="93">
        <v>121343</v>
      </c>
      <c r="B532" s="93" t="s">
        <v>5189</v>
      </c>
      <c r="C532" s="93">
        <v>12</v>
      </c>
      <c r="D532" s="78"/>
      <c r="E532" s="78"/>
      <c r="F532" s="78">
        <v>2</v>
      </c>
      <c r="G532" s="93">
        <v>6</v>
      </c>
      <c r="H532" s="78">
        <v>0</v>
      </c>
      <c r="I532" s="78">
        <v>611</v>
      </c>
      <c r="J532" s="78">
        <v>584</v>
      </c>
      <c r="K532" s="78">
        <v>67</v>
      </c>
      <c r="L532" s="78">
        <v>15000</v>
      </c>
      <c r="M532" s="78">
        <v>100</v>
      </c>
      <c r="N532" s="78">
        <v>100</v>
      </c>
      <c r="O532" s="78">
        <v>100</v>
      </c>
      <c r="P532" s="78">
        <v>0</v>
      </c>
      <c r="Q532" s="78">
        <v>0</v>
      </c>
      <c r="R532" s="78"/>
      <c r="S532" s="78"/>
      <c r="V532" s="78">
        <v>1</v>
      </c>
    </row>
    <row r="533" spans="1:23">
      <c r="A533" s="93">
        <v>121344</v>
      </c>
      <c r="B533" s="93" t="s">
        <v>5189</v>
      </c>
      <c r="C533" s="93">
        <v>12</v>
      </c>
      <c r="D533" s="78"/>
      <c r="E533" s="78"/>
      <c r="F533" s="78">
        <v>2</v>
      </c>
      <c r="G533" s="93">
        <v>7</v>
      </c>
      <c r="H533" s="93">
        <v>0</v>
      </c>
      <c r="I533" s="78">
        <v>656</v>
      </c>
      <c r="J533" s="78">
        <v>632</v>
      </c>
      <c r="K533" s="78">
        <v>78</v>
      </c>
      <c r="L533" s="78">
        <v>21000</v>
      </c>
      <c r="M533" s="78">
        <v>100</v>
      </c>
      <c r="N533" s="78">
        <v>100</v>
      </c>
      <c r="O533" s="78">
        <v>100</v>
      </c>
      <c r="P533" s="78">
        <v>0</v>
      </c>
      <c r="Q533" s="78">
        <v>0</v>
      </c>
      <c r="R533" s="78"/>
      <c r="S533" s="78"/>
      <c r="V533" s="78">
        <v>1</v>
      </c>
    </row>
    <row r="534" spans="1:23">
      <c r="A534" s="93">
        <v>121451</v>
      </c>
      <c r="B534" s="93" t="s">
        <v>5190</v>
      </c>
      <c r="C534" s="93">
        <v>12</v>
      </c>
      <c r="D534" s="78"/>
      <c r="E534" s="78"/>
      <c r="F534" s="78">
        <v>2</v>
      </c>
      <c r="G534" s="93">
        <v>4</v>
      </c>
      <c r="H534" s="78">
        <v>0</v>
      </c>
      <c r="I534" s="78">
        <v>531</v>
      </c>
      <c r="J534" s="78">
        <v>481</v>
      </c>
      <c r="K534" s="78">
        <v>45</v>
      </c>
      <c r="L534" s="78">
        <v>6000</v>
      </c>
      <c r="M534" s="78">
        <v>100</v>
      </c>
      <c r="N534" s="78">
        <v>100</v>
      </c>
      <c r="O534" s="78">
        <v>100</v>
      </c>
      <c r="P534" s="78">
        <v>0</v>
      </c>
      <c r="Q534" s="78">
        <v>0</v>
      </c>
      <c r="R534" s="78"/>
      <c r="S534" s="78"/>
      <c r="V534" s="78">
        <v>1</v>
      </c>
    </row>
    <row r="535" spans="1:23">
      <c r="A535" s="93">
        <v>121452</v>
      </c>
      <c r="B535" s="93" t="s">
        <v>5190</v>
      </c>
      <c r="C535" s="93">
        <v>12</v>
      </c>
      <c r="D535" s="78"/>
      <c r="E535" s="78"/>
      <c r="F535" s="78">
        <v>2</v>
      </c>
      <c r="G535" s="93">
        <v>5</v>
      </c>
      <c r="H535" s="78">
        <v>0</v>
      </c>
      <c r="I535" s="78">
        <v>569</v>
      </c>
      <c r="J535" s="78">
        <v>534</v>
      </c>
      <c r="K535" s="78">
        <v>56</v>
      </c>
      <c r="L535" s="78">
        <v>10500</v>
      </c>
      <c r="M535" s="78">
        <v>100</v>
      </c>
      <c r="N535" s="78">
        <v>100</v>
      </c>
      <c r="O535" s="78">
        <v>100</v>
      </c>
      <c r="P535" s="78">
        <v>0</v>
      </c>
      <c r="Q535" s="78">
        <v>0</v>
      </c>
      <c r="R535" s="78"/>
      <c r="S535" s="78"/>
      <c r="V535" s="78">
        <v>1</v>
      </c>
    </row>
    <row r="536" spans="1:23">
      <c r="A536" s="93">
        <v>121453</v>
      </c>
      <c r="B536" s="93" t="s">
        <v>5190</v>
      </c>
      <c r="C536" s="93">
        <v>12</v>
      </c>
      <c r="D536" s="78"/>
      <c r="E536" s="78"/>
      <c r="F536" s="78">
        <v>2</v>
      </c>
      <c r="G536" s="93">
        <v>6</v>
      </c>
      <c r="H536" s="93">
        <v>0</v>
      </c>
      <c r="I536" s="78">
        <v>611</v>
      </c>
      <c r="J536" s="78">
        <v>580</v>
      </c>
      <c r="K536" s="78">
        <v>67</v>
      </c>
      <c r="L536" s="78">
        <v>15000</v>
      </c>
      <c r="M536" s="78">
        <v>100</v>
      </c>
      <c r="N536" s="78">
        <v>100</v>
      </c>
      <c r="O536" s="78">
        <v>100</v>
      </c>
      <c r="P536" s="78">
        <v>0</v>
      </c>
      <c r="Q536" s="78">
        <v>0</v>
      </c>
      <c r="R536" s="78"/>
      <c r="S536" s="78"/>
      <c r="V536" s="78">
        <v>1</v>
      </c>
    </row>
    <row r="537" spans="1:23">
      <c r="A537" s="93">
        <v>121454</v>
      </c>
      <c r="B537" s="93" t="s">
        <v>5190</v>
      </c>
      <c r="C537" s="93">
        <v>12</v>
      </c>
      <c r="D537" s="78"/>
      <c r="E537" s="78"/>
      <c r="F537" s="78">
        <v>2</v>
      </c>
      <c r="G537" s="93">
        <v>7</v>
      </c>
      <c r="H537" s="78">
        <v>0</v>
      </c>
      <c r="I537" s="78">
        <v>656</v>
      </c>
      <c r="J537" s="78">
        <v>632</v>
      </c>
      <c r="K537" s="78">
        <v>78</v>
      </c>
      <c r="L537" s="78">
        <v>21000</v>
      </c>
      <c r="M537" s="78">
        <v>100</v>
      </c>
      <c r="N537" s="78">
        <v>100</v>
      </c>
      <c r="O537" s="78">
        <v>100</v>
      </c>
      <c r="P537" s="78">
        <v>0</v>
      </c>
      <c r="Q537" s="78">
        <v>0</v>
      </c>
      <c r="R537" s="78"/>
      <c r="S537" s="78"/>
      <c r="V537" s="78">
        <v>1</v>
      </c>
    </row>
    <row r="538" spans="1:23">
      <c r="A538" s="93">
        <v>121462</v>
      </c>
      <c r="B538" s="93" t="s">
        <v>5579</v>
      </c>
      <c r="C538" s="93">
        <v>12</v>
      </c>
      <c r="D538" s="78"/>
      <c r="E538" s="78"/>
      <c r="F538" s="78">
        <v>2</v>
      </c>
      <c r="G538" s="93">
        <v>5</v>
      </c>
      <c r="H538" s="78">
        <v>0</v>
      </c>
      <c r="I538" s="159">
        <v>545</v>
      </c>
      <c r="J538" s="159">
        <v>580</v>
      </c>
      <c r="K538" s="159">
        <v>53</v>
      </c>
      <c r="L538" s="159">
        <v>10500</v>
      </c>
      <c r="M538" s="159">
        <v>100</v>
      </c>
      <c r="N538" s="159">
        <v>100</v>
      </c>
      <c r="O538" s="159">
        <v>100</v>
      </c>
      <c r="P538" s="78">
        <v>0</v>
      </c>
      <c r="Q538" s="78">
        <v>0</v>
      </c>
      <c r="R538" s="78"/>
      <c r="S538" s="78"/>
      <c r="V538" s="78">
        <v>2</v>
      </c>
    </row>
    <row r="539" spans="1:23">
      <c r="A539" s="93">
        <v>130111</v>
      </c>
      <c r="B539" s="93" t="s">
        <v>5191</v>
      </c>
      <c r="C539" s="93">
        <v>13</v>
      </c>
      <c r="D539" s="78"/>
      <c r="E539" s="78"/>
      <c r="F539" s="78">
        <f t="shared" si="33"/>
        <v>2</v>
      </c>
      <c r="G539" s="93">
        <v>6</v>
      </c>
      <c r="H539" s="78">
        <v>0</v>
      </c>
      <c r="I539" s="78">
        <v>584</v>
      </c>
      <c r="J539" s="78">
        <v>627</v>
      </c>
      <c r="K539" s="78">
        <v>62</v>
      </c>
      <c r="L539" s="78">
        <v>15000</v>
      </c>
      <c r="M539" s="78">
        <v>100</v>
      </c>
      <c r="N539" s="78">
        <v>100</v>
      </c>
      <c r="O539" s="78">
        <v>100</v>
      </c>
      <c r="P539" s="78">
        <v>0</v>
      </c>
      <c r="Q539" s="78">
        <v>0</v>
      </c>
      <c r="R539" s="78"/>
      <c r="S539" s="78"/>
      <c r="U539" s="78"/>
      <c r="V539" s="93">
        <v>2</v>
      </c>
    </row>
    <row r="540" spans="1:23">
      <c r="A540" s="93">
        <v>140012</v>
      </c>
      <c r="B540" s="93" t="s">
        <v>284</v>
      </c>
      <c r="C540" s="93">
        <v>19</v>
      </c>
      <c r="D540" s="78"/>
      <c r="E540" s="78"/>
      <c r="F540" s="78">
        <v>2</v>
      </c>
      <c r="G540" s="93">
        <v>5</v>
      </c>
      <c r="H540" s="78">
        <v>0</v>
      </c>
      <c r="I540" s="78">
        <v>572</v>
      </c>
      <c r="J540" s="78">
        <v>540</v>
      </c>
      <c r="K540" s="78">
        <v>51</v>
      </c>
      <c r="L540" s="78">
        <v>10500</v>
      </c>
      <c r="M540" s="78">
        <v>100</v>
      </c>
      <c r="N540" s="78">
        <v>100</v>
      </c>
      <c r="O540" s="78">
        <v>100</v>
      </c>
      <c r="P540" s="78">
        <v>0</v>
      </c>
      <c r="Q540" s="78">
        <v>0</v>
      </c>
      <c r="R540" s="78"/>
      <c r="S540" s="78"/>
      <c r="U540" s="78"/>
      <c r="V540" s="93">
        <v>1</v>
      </c>
    </row>
    <row r="541" spans="1:23">
      <c r="A541" s="93">
        <v>140013</v>
      </c>
      <c r="B541" s="93" t="s">
        <v>284</v>
      </c>
      <c r="C541" s="93">
        <v>19</v>
      </c>
      <c r="D541" s="78"/>
      <c r="E541" s="78"/>
      <c r="F541" s="78">
        <v>2</v>
      </c>
      <c r="G541" s="93">
        <v>6</v>
      </c>
      <c r="H541" s="78">
        <v>0</v>
      </c>
      <c r="I541" s="78">
        <v>618</v>
      </c>
      <c r="J541" s="78">
        <v>590</v>
      </c>
      <c r="K541" s="78">
        <v>62</v>
      </c>
      <c r="L541" s="78">
        <v>15000</v>
      </c>
      <c r="M541" s="78">
        <v>100</v>
      </c>
      <c r="N541" s="78">
        <v>100</v>
      </c>
      <c r="O541" s="78">
        <v>100</v>
      </c>
      <c r="P541" s="78">
        <v>0</v>
      </c>
      <c r="Q541" s="78">
        <v>0</v>
      </c>
      <c r="R541" s="78"/>
      <c r="S541" s="78"/>
      <c r="U541" s="78"/>
      <c r="V541" s="93">
        <v>1</v>
      </c>
    </row>
    <row r="542" spans="1:23">
      <c r="A542" s="93">
        <v>140014</v>
      </c>
      <c r="B542" s="93" t="s">
        <v>284</v>
      </c>
      <c r="C542" s="93">
        <v>19</v>
      </c>
      <c r="D542" s="78"/>
      <c r="E542" s="78"/>
      <c r="F542" s="78">
        <v>2</v>
      </c>
      <c r="G542" s="93">
        <v>7</v>
      </c>
      <c r="H542" s="78">
        <v>0</v>
      </c>
      <c r="I542" s="78">
        <v>666</v>
      </c>
      <c r="J542" s="78">
        <v>643</v>
      </c>
      <c r="K542" s="78">
        <v>72</v>
      </c>
      <c r="L542" s="78">
        <v>21000</v>
      </c>
      <c r="M542" s="78">
        <v>100</v>
      </c>
      <c r="N542" s="78">
        <v>100</v>
      </c>
      <c r="O542" s="78">
        <v>100</v>
      </c>
      <c r="P542" s="78">
        <v>0</v>
      </c>
      <c r="Q542" s="78">
        <v>0</v>
      </c>
      <c r="R542" s="78"/>
      <c r="S542" s="78"/>
      <c r="U542" s="78"/>
      <c r="V542" s="93">
        <v>1</v>
      </c>
    </row>
    <row r="543" spans="1:23">
      <c r="A543" s="93">
        <v>140022</v>
      </c>
      <c r="B543" s="93" t="s">
        <v>291</v>
      </c>
      <c r="C543" s="93">
        <v>19</v>
      </c>
      <c r="D543" s="78"/>
      <c r="E543" s="78"/>
      <c r="F543" s="78">
        <v>2</v>
      </c>
      <c r="G543" s="93">
        <v>6</v>
      </c>
      <c r="H543" s="78">
        <v>0</v>
      </c>
      <c r="I543" s="78">
        <v>590</v>
      </c>
      <c r="J543" s="78">
        <v>621</v>
      </c>
      <c r="K543" s="78">
        <v>62</v>
      </c>
      <c r="L543" s="78">
        <v>15000</v>
      </c>
      <c r="M543" s="78">
        <v>100</v>
      </c>
      <c r="N543" s="78">
        <v>100</v>
      </c>
      <c r="O543" s="78">
        <v>100</v>
      </c>
      <c r="P543" s="78">
        <v>0</v>
      </c>
      <c r="Q543" s="78">
        <v>0</v>
      </c>
      <c r="R543" s="78"/>
      <c r="S543" s="78"/>
      <c r="U543" s="78"/>
      <c r="V543" s="93">
        <v>2</v>
      </c>
    </row>
    <row r="544" spans="1:23">
      <c r="A544" s="93">
        <v>140023</v>
      </c>
      <c r="B544" s="93" t="s">
        <v>291</v>
      </c>
      <c r="C544" s="93">
        <v>19</v>
      </c>
      <c r="D544" s="78"/>
      <c r="E544" s="78"/>
      <c r="F544" s="78">
        <v>2</v>
      </c>
      <c r="G544" s="93">
        <v>7</v>
      </c>
      <c r="H544" s="78">
        <v>0</v>
      </c>
      <c r="I544" s="78">
        <v>645</v>
      </c>
      <c r="J544" s="78">
        <v>665</v>
      </c>
      <c r="K544" s="78">
        <v>72</v>
      </c>
      <c r="L544" s="78">
        <v>21000</v>
      </c>
      <c r="M544" s="78">
        <v>100</v>
      </c>
      <c r="N544" s="78">
        <v>100</v>
      </c>
      <c r="O544" s="78">
        <v>100</v>
      </c>
      <c r="P544" s="78">
        <v>0</v>
      </c>
      <c r="Q544" s="78">
        <v>0</v>
      </c>
      <c r="R544" s="78"/>
      <c r="S544" s="78"/>
      <c r="U544" s="78"/>
      <c r="V544" s="93">
        <v>2</v>
      </c>
    </row>
    <row r="545" spans="1:22">
      <c r="A545" s="93">
        <v>140042</v>
      </c>
      <c r="B545" s="93" t="s">
        <v>301</v>
      </c>
      <c r="C545" s="93">
        <v>19</v>
      </c>
      <c r="D545" s="78"/>
      <c r="E545" s="78"/>
      <c r="F545" s="78">
        <v>2</v>
      </c>
      <c r="G545" s="93">
        <v>5</v>
      </c>
      <c r="H545" s="78">
        <v>0</v>
      </c>
      <c r="I545" s="78">
        <v>546</v>
      </c>
      <c r="J545" s="78">
        <v>541</v>
      </c>
      <c r="K545" s="78">
        <v>64</v>
      </c>
      <c r="L545" s="78">
        <v>10500</v>
      </c>
      <c r="M545" s="78">
        <v>100</v>
      </c>
      <c r="N545" s="78">
        <v>100</v>
      </c>
      <c r="O545" s="78">
        <v>100</v>
      </c>
      <c r="P545" s="78">
        <v>0</v>
      </c>
      <c r="Q545" s="78">
        <v>0</v>
      </c>
      <c r="R545" s="78"/>
      <c r="S545" s="78"/>
      <c r="U545" s="78"/>
      <c r="V545" s="93">
        <v>3</v>
      </c>
    </row>
    <row r="546" spans="1:22">
      <c r="A546" s="93">
        <v>140043</v>
      </c>
      <c r="B546" s="93" t="s">
        <v>301</v>
      </c>
      <c r="C546" s="93">
        <v>19</v>
      </c>
      <c r="D546" s="78"/>
      <c r="E546" s="78"/>
      <c r="F546" s="78">
        <v>2</v>
      </c>
      <c r="G546" s="93">
        <v>6</v>
      </c>
      <c r="H546" s="78">
        <v>0</v>
      </c>
      <c r="I546" s="78">
        <v>592</v>
      </c>
      <c r="J546" s="78">
        <v>594</v>
      </c>
      <c r="K546" s="78">
        <v>74</v>
      </c>
      <c r="L546" s="78">
        <v>15000</v>
      </c>
      <c r="M546" s="78">
        <v>100</v>
      </c>
      <c r="N546" s="78">
        <v>100</v>
      </c>
      <c r="O546" s="78">
        <v>100</v>
      </c>
      <c r="P546" s="78">
        <v>0</v>
      </c>
      <c r="Q546" s="78">
        <v>0</v>
      </c>
      <c r="R546" s="78"/>
      <c r="S546" s="78"/>
      <c r="U546" s="78"/>
      <c r="V546" s="93">
        <v>3</v>
      </c>
    </row>
    <row r="547" spans="1:22">
      <c r="A547" s="93">
        <v>140044</v>
      </c>
      <c r="B547" s="93" t="s">
        <v>301</v>
      </c>
      <c r="C547" s="93">
        <v>19</v>
      </c>
      <c r="D547" s="78"/>
      <c r="E547" s="78"/>
      <c r="F547" s="78">
        <v>2</v>
      </c>
      <c r="G547" s="93">
        <v>7</v>
      </c>
      <c r="H547" s="78">
        <v>0</v>
      </c>
      <c r="I547" s="78">
        <v>640</v>
      </c>
      <c r="J547" s="78">
        <v>641</v>
      </c>
      <c r="K547" s="78">
        <v>84</v>
      </c>
      <c r="L547" s="78">
        <v>21000</v>
      </c>
      <c r="M547" s="78">
        <v>100</v>
      </c>
      <c r="N547" s="78">
        <v>100</v>
      </c>
      <c r="O547" s="78">
        <v>100</v>
      </c>
      <c r="P547" s="78">
        <v>0</v>
      </c>
      <c r="Q547" s="78">
        <v>0</v>
      </c>
      <c r="R547" s="78"/>
      <c r="S547" s="78"/>
      <c r="U547" s="78"/>
      <c r="V547" s="93">
        <v>3</v>
      </c>
    </row>
    <row r="548" spans="1:22">
      <c r="A548" s="93">
        <v>140052</v>
      </c>
      <c r="B548" s="93" t="s">
        <v>308</v>
      </c>
      <c r="C548" s="93">
        <v>19</v>
      </c>
      <c r="D548" s="78"/>
      <c r="E548" s="78"/>
      <c r="F548" s="78">
        <v>2</v>
      </c>
      <c r="G548" s="93">
        <v>6</v>
      </c>
      <c r="H548" s="78">
        <v>0</v>
      </c>
      <c r="I548" s="78">
        <v>592</v>
      </c>
      <c r="J548" s="78">
        <v>584</v>
      </c>
      <c r="K548" s="78">
        <v>73</v>
      </c>
      <c r="L548" s="78">
        <v>15000</v>
      </c>
      <c r="M548" s="78">
        <v>100</v>
      </c>
      <c r="N548" s="78">
        <v>100</v>
      </c>
      <c r="O548" s="78">
        <v>100</v>
      </c>
      <c r="P548" s="78">
        <v>0</v>
      </c>
      <c r="Q548" s="78">
        <v>0</v>
      </c>
      <c r="R548" s="78"/>
      <c r="S548" s="78"/>
      <c r="U548" s="78"/>
      <c r="V548" s="93">
        <v>3</v>
      </c>
    </row>
    <row r="549" spans="1:22">
      <c r="A549" s="93">
        <v>140053</v>
      </c>
      <c r="B549" s="93" t="s">
        <v>308</v>
      </c>
      <c r="C549" s="93">
        <v>19</v>
      </c>
      <c r="D549" s="78"/>
      <c r="E549" s="78"/>
      <c r="F549" s="78">
        <v>2</v>
      </c>
      <c r="G549" s="93">
        <v>7</v>
      </c>
      <c r="H549" s="78">
        <v>0</v>
      </c>
      <c r="I549" s="78">
        <v>644</v>
      </c>
      <c r="J549" s="78">
        <v>636</v>
      </c>
      <c r="K549" s="78">
        <v>83</v>
      </c>
      <c r="L549" s="78">
        <v>21000</v>
      </c>
      <c r="M549" s="78">
        <v>100</v>
      </c>
      <c r="N549" s="78">
        <v>100</v>
      </c>
      <c r="O549" s="78">
        <v>100</v>
      </c>
      <c r="P549" s="78">
        <v>0</v>
      </c>
      <c r="Q549" s="78">
        <v>0</v>
      </c>
      <c r="R549" s="78"/>
      <c r="S549" s="78"/>
      <c r="U549" s="78"/>
      <c r="V549" s="93">
        <v>3</v>
      </c>
    </row>
    <row r="550" spans="1:22">
      <c r="A550" s="93">
        <v>140062</v>
      </c>
      <c r="B550" s="93" t="s">
        <v>314</v>
      </c>
      <c r="C550" s="93">
        <v>19</v>
      </c>
      <c r="D550" s="78"/>
      <c r="E550" s="78"/>
      <c r="F550" s="78">
        <v>2</v>
      </c>
      <c r="G550" s="93">
        <v>5</v>
      </c>
      <c r="H550" s="78">
        <v>0</v>
      </c>
      <c r="I550" s="78">
        <v>566</v>
      </c>
      <c r="J550" s="78">
        <v>540</v>
      </c>
      <c r="K550" s="78">
        <v>53</v>
      </c>
      <c r="L550" s="78">
        <v>10500</v>
      </c>
      <c r="M550" s="78">
        <v>100</v>
      </c>
      <c r="N550" s="78">
        <v>100</v>
      </c>
      <c r="O550" s="78">
        <v>100</v>
      </c>
      <c r="P550" s="78">
        <v>0</v>
      </c>
      <c r="Q550" s="78">
        <v>0</v>
      </c>
      <c r="R550" s="78"/>
      <c r="S550" s="78"/>
      <c r="U550" s="78"/>
      <c r="V550" s="93">
        <v>1</v>
      </c>
    </row>
    <row r="551" spans="1:22">
      <c r="A551" s="93">
        <v>140063</v>
      </c>
      <c r="B551" s="93" t="s">
        <v>314</v>
      </c>
      <c r="C551" s="93">
        <v>19</v>
      </c>
      <c r="D551" s="78"/>
      <c r="E551" s="78"/>
      <c r="F551" s="78">
        <v>2</v>
      </c>
      <c r="G551" s="93">
        <v>6</v>
      </c>
      <c r="H551" s="78">
        <v>0</v>
      </c>
      <c r="I551" s="78">
        <v>615</v>
      </c>
      <c r="J551" s="78">
        <v>588</v>
      </c>
      <c r="K551" s="78">
        <v>63</v>
      </c>
      <c r="L551" s="78">
        <v>15000</v>
      </c>
      <c r="M551" s="78">
        <v>100</v>
      </c>
      <c r="N551" s="78">
        <v>100</v>
      </c>
      <c r="O551" s="78">
        <v>100</v>
      </c>
      <c r="P551" s="78">
        <v>0</v>
      </c>
      <c r="Q551" s="78">
        <v>0</v>
      </c>
      <c r="R551" s="78"/>
      <c r="S551" s="78"/>
      <c r="U551" s="78"/>
      <c r="V551" s="93">
        <v>1</v>
      </c>
    </row>
    <row r="552" spans="1:22">
      <c r="A552" s="93">
        <v>140071</v>
      </c>
      <c r="B552" s="93" t="s">
        <v>319</v>
      </c>
      <c r="C552" s="93">
        <v>19</v>
      </c>
      <c r="D552" s="78"/>
      <c r="E552" s="78"/>
      <c r="F552" s="78">
        <v>2</v>
      </c>
      <c r="G552" s="93">
        <v>5</v>
      </c>
      <c r="H552" s="78">
        <v>0</v>
      </c>
      <c r="I552" s="78">
        <v>541</v>
      </c>
      <c r="J552" s="78">
        <v>572</v>
      </c>
      <c r="K552" s="78">
        <v>52</v>
      </c>
      <c r="L552" s="78">
        <v>10500</v>
      </c>
      <c r="M552" s="78">
        <v>100</v>
      </c>
      <c r="N552" s="78">
        <v>100</v>
      </c>
      <c r="O552" s="78">
        <v>100</v>
      </c>
      <c r="P552" s="78">
        <v>0</v>
      </c>
      <c r="Q552" s="78">
        <v>0</v>
      </c>
      <c r="R552" s="78"/>
      <c r="S552" s="78"/>
      <c r="U552" s="78"/>
      <c r="V552" s="93">
        <v>2</v>
      </c>
    </row>
    <row r="553" spans="1:22">
      <c r="A553" s="93">
        <v>140072</v>
      </c>
      <c r="B553" s="93" t="s">
        <v>319</v>
      </c>
      <c r="C553" s="93">
        <v>19</v>
      </c>
      <c r="D553" s="78"/>
      <c r="E553" s="78"/>
      <c r="F553" s="78">
        <v>2</v>
      </c>
      <c r="G553" s="93">
        <v>6</v>
      </c>
      <c r="H553" s="78">
        <v>0</v>
      </c>
      <c r="I553" s="78">
        <v>595</v>
      </c>
      <c r="J553" s="78">
        <v>617</v>
      </c>
      <c r="K553" s="78">
        <v>63</v>
      </c>
      <c r="L553" s="78">
        <v>15000</v>
      </c>
      <c r="M553" s="78">
        <v>100</v>
      </c>
      <c r="N553" s="78">
        <v>100</v>
      </c>
      <c r="O553" s="78">
        <v>100</v>
      </c>
      <c r="P553" s="78">
        <v>0</v>
      </c>
      <c r="Q553" s="78">
        <v>0</v>
      </c>
      <c r="R553" s="78"/>
      <c r="S553" s="78"/>
      <c r="U553" s="78"/>
      <c r="V553" s="93">
        <v>2</v>
      </c>
    </row>
    <row r="554" spans="1:22">
      <c r="A554" s="93">
        <v>140073</v>
      </c>
      <c r="B554" s="93" t="s">
        <v>319</v>
      </c>
      <c r="C554" s="93">
        <v>19</v>
      </c>
      <c r="D554" s="78"/>
      <c r="E554" s="78"/>
      <c r="F554" s="78">
        <v>2</v>
      </c>
      <c r="G554" s="93">
        <v>7</v>
      </c>
      <c r="H554" s="78">
        <v>0</v>
      </c>
      <c r="I554" s="78">
        <v>651</v>
      </c>
      <c r="J554" s="78">
        <v>669</v>
      </c>
      <c r="K554" s="78">
        <v>73</v>
      </c>
      <c r="L554" s="78">
        <v>21000</v>
      </c>
      <c r="M554" s="78">
        <v>100</v>
      </c>
      <c r="N554" s="78">
        <v>100</v>
      </c>
      <c r="O554" s="78">
        <v>100</v>
      </c>
      <c r="P554" s="78">
        <v>0</v>
      </c>
      <c r="Q554" s="78">
        <v>0</v>
      </c>
      <c r="R554" s="78"/>
      <c r="S554" s="78"/>
      <c r="U554" s="78"/>
      <c r="V554" s="93">
        <v>2</v>
      </c>
    </row>
    <row r="555" spans="1:22">
      <c r="A555" s="93">
        <v>140081</v>
      </c>
      <c r="B555" s="93" t="s">
        <v>324</v>
      </c>
      <c r="C555" s="93">
        <v>19</v>
      </c>
      <c r="D555" s="78"/>
      <c r="E555" s="78"/>
      <c r="F555" s="78">
        <v>2</v>
      </c>
      <c r="G555" s="93">
        <v>5</v>
      </c>
      <c r="H555" s="78">
        <v>0</v>
      </c>
      <c r="I555" s="78">
        <v>576</v>
      </c>
      <c r="J555" s="78">
        <v>543</v>
      </c>
      <c r="K555" s="78">
        <v>54</v>
      </c>
      <c r="L555" s="78">
        <v>10500</v>
      </c>
      <c r="M555" s="78">
        <v>100</v>
      </c>
      <c r="N555" s="78">
        <v>100</v>
      </c>
      <c r="O555" s="78">
        <v>100</v>
      </c>
      <c r="P555" s="78">
        <v>0</v>
      </c>
      <c r="Q555" s="78">
        <v>0</v>
      </c>
      <c r="R555" s="78"/>
      <c r="S555" s="78"/>
      <c r="U555" s="78"/>
      <c r="V555" s="93">
        <v>1</v>
      </c>
    </row>
    <row r="556" spans="1:22">
      <c r="A556" s="93">
        <v>140082</v>
      </c>
      <c r="B556" s="93" t="s">
        <v>324</v>
      </c>
      <c r="C556" s="93">
        <v>19</v>
      </c>
      <c r="D556" s="78"/>
      <c r="E556" s="78"/>
      <c r="F556" s="78">
        <v>2</v>
      </c>
      <c r="G556" s="93">
        <v>6</v>
      </c>
      <c r="H556" s="78">
        <v>0</v>
      </c>
      <c r="I556" s="78">
        <v>623</v>
      </c>
      <c r="J556" s="78">
        <v>588</v>
      </c>
      <c r="K556" s="78">
        <v>64</v>
      </c>
      <c r="L556" s="78">
        <v>15000</v>
      </c>
      <c r="M556" s="78">
        <v>100</v>
      </c>
      <c r="N556" s="78">
        <v>100</v>
      </c>
      <c r="O556" s="78">
        <v>100</v>
      </c>
      <c r="P556" s="78">
        <v>0</v>
      </c>
      <c r="Q556" s="78">
        <v>0</v>
      </c>
      <c r="R556" s="78"/>
      <c r="S556" s="78"/>
      <c r="U556" s="78"/>
      <c r="V556" s="93">
        <v>1</v>
      </c>
    </row>
    <row r="557" spans="1:22">
      <c r="A557" s="93">
        <v>140083</v>
      </c>
      <c r="B557" s="93" t="s">
        <v>324</v>
      </c>
      <c r="C557" s="93">
        <v>19</v>
      </c>
      <c r="D557" s="78"/>
      <c r="E557" s="78"/>
      <c r="F557" s="78">
        <v>2</v>
      </c>
      <c r="G557" s="93">
        <v>7</v>
      </c>
      <c r="H557" s="78">
        <v>0</v>
      </c>
      <c r="I557" s="78">
        <v>665</v>
      </c>
      <c r="J557" s="78">
        <v>633</v>
      </c>
      <c r="K557" s="78">
        <v>74</v>
      </c>
      <c r="L557" s="78">
        <v>21000</v>
      </c>
      <c r="M557" s="78">
        <v>100</v>
      </c>
      <c r="N557" s="78">
        <v>100</v>
      </c>
      <c r="O557" s="78">
        <v>100</v>
      </c>
      <c r="P557" s="78">
        <v>0</v>
      </c>
      <c r="Q557" s="78">
        <v>0</v>
      </c>
      <c r="R557" s="78"/>
      <c r="S557" s="78"/>
      <c r="U557" s="78"/>
      <c r="V557" s="93">
        <v>1</v>
      </c>
    </row>
    <row r="558" spans="1:22">
      <c r="A558" s="93">
        <v>140091</v>
      </c>
      <c r="B558" s="93" t="s">
        <v>329</v>
      </c>
      <c r="C558" s="93">
        <v>19</v>
      </c>
      <c r="D558" s="78"/>
      <c r="E558" s="78"/>
      <c r="F558" s="78">
        <v>2</v>
      </c>
      <c r="G558" s="93">
        <v>5</v>
      </c>
      <c r="H558" s="78">
        <v>0</v>
      </c>
      <c r="I558" s="78">
        <v>563</v>
      </c>
      <c r="J558" s="78">
        <v>547</v>
      </c>
      <c r="K558" s="78">
        <v>52</v>
      </c>
      <c r="L558" s="78">
        <v>10500</v>
      </c>
      <c r="M558" s="78">
        <v>100</v>
      </c>
      <c r="N558" s="78">
        <v>100</v>
      </c>
      <c r="O558" s="78">
        <v>100</v>
      </c>
      <c r="P558" s="78">
        <v>0</v>
      </c>
      <c r="Q558" s="78">
        <v>0</v>
      </c>
      <c r="R558" s="78"/>
      <c r="S558" s="78"/>
      <c r="U558" s="78"/>
      <c r="V558" s="93">
        <v>1</v>
      </c>
    </row>
    <row r="559" spans="1:22">
      <c r="A559" s="93">
        <v>140092</v>
      </c>
      <c r="B559" s="93" t="s">
        <v>329</v>
      </c>
      <c r="C559" s="93">
        <v>19</v>
      </c>
      <c r="D559" s="78"/>
      <c r="E559" s="78"/>
      <c r="F559" s="78">
        <v>2</v>
      </c>
      <c r="G559" s="93">
        <v>6</v>
      </c>
      <c r="H559" s="78">
        <v>0</v>
      </c>
      <c r="I559" s="78">
        <v>612</v>
      </c>
      <c r="J559" s="78">
        <v>595</v>
      </c>
      <c r="K559" s="78">
        <v>63</v>
      </c>
      <c r="L559" s="78">
        <v>15000</v>
      </c>
      <c r="M559" s="78">
        <v>100</v>
      </c>
      <c r="N559" s="78">
        <v>100</v>
      </c>
      <c r="O559" s="78">
        <v>100</v>
      </c>
      <c r="P559" s="78">
        <v>0</v>
      </c>
      <c r="Q559" s="78">
        <v>0</v>
      </c>
      <c r="R559" s="78"/>
      <c r="S559" s="78"/>
      <c r="U559" s="78"/>
      <c r="V559" s="93">
        <v>1</v>
      </c>
    </row>
    <row r="560" spans="1:22">
      <c r="A560" s="93">
        <v>140093</v>
      </c>
      <c r="B560" s="93" t="s">
        <v>329</v>
      </c>
      <c r="C560" s="93">
        <v>19</v>
      </c>
      <c r="D560" s="78"/>
      <c r="E560" s="78"/>
      <c r="F560" s="78">
        <v>2</v>
      </c>
      <c r="G560" s="93">
        <v>7</v>
      </c>
      <c r="H560" s="78">
        <v>0</v>
      </c>
      <c r="I560" s="78">
        <v>660</v>
      </c>
      <c r="J560" s="78">
        <v>643</v>
      </c>
      <c r="K560" s="78">
        <v>74</v>
      </c>
      <c r="L560" s="78">
        <v>21000</v>
      </c>
      <c r="M560" s="78">
        <v>100</v>
      </c>
      <c r="N560" s="78">
        <v>100</v>
      </c>
      <c r="O560" s="78">
        <v>100</v>
      </c>
      <c r="P560" s="78">
        <v>0</v>
      </c>
      <c r="Q560" s="78">
        <v>0</v>
      </c>
      <c r="R560" s="78"/>
      <c r="S560" s="78"/>
      <c r="U560" s="78"/>
      <c r="V560" s="93">
        <v>1</v>
      </c>
    </row>
    <row r="561" spans="1:22">
      <c r="A561" s="93">
        <v>140101</v>
      </c>
      <c r="B561" s="93" t="s">
        <v>334</v>
      </c>
      <c r="C561" s="93">
        <v>19</v>
      </c>
      <c r="D561" s="78"/>
      <c r="E561" s="78"/>
      <c r="F561" s="78">
        <v>2</v>
      </c>
      <c r="G561" s="93">
        <v>5</v>
      </c>
      <c r="H561" s="78">
        <v>0</v>
      </c>
      <c r="I561" s="78">
        <v>564</v>
      </c>
      <c r="J561" s="78">
        <v>545</v>
      </c>
      <c r="K561" s="78">
        <v>52</v>
      </c>
      <c r="L561" s="78">
        <v>10500</v>
      </c>
      <c r="M561" s="78">
        <v>100</v>
      </c>
      <c r="N561" s="78">
        <v>100</v>
      </c>
      <c r="O561" s="78">
        <v>100</v>
      </c>
      <c r="P561" s="78">
        <v>0</v>
      </c>
      <c r="Q561" s="78">
        <v>0</v>
      </c>
      <c r="R561" s="78"/>
      <c r="S561" s="78"/>
      <c r="U561" s="78"/>
      <c r="V561" s="93">
        <v>1</v>
      </c>
    </row>
    <row r="562" spans="1:22">
      <c r="A562" s="93">
        <v>140102</v>
      </c>
      <c r="B562" s="93" t="s">
        <v>334</v>
      </c>
      <c r="C562" s="93">
        <v>19</v>
      </c>
      <c r="D562" s="78"/>
      <c r="E562" s="78"/>
      <c r="F562" s="78">
        <v>2</v>
      </c>
      <c r="G562" s="93">
        <v>6</v>
      </c>
      <c r="H562" s="78">
        <v>0</v>
      </c>
      <c r="I562" s="78">
        <v>613</v>
      </c>
      <c r="J562" s="78">
        <v>596</v>
      </c>
      <c r="K562" s="78">
        <v>63</v>
      </c>
      <c r="L562" s="78">
        <v>15000</v>
      </c>
      <c r="M562" s="78">
        <v>100</v>
      </c>
      <c r="N562" s="78">
        <v>100</v>
      </c>
      <c r="O562" s="78">
        <v>100</v>
      </c>
      <c r="P562" s="78">
        <v>0</v>
      </c>
      <c r="Q562" s="78">
        <v>0</v>
      </c>
      <c r="R562" s="78"/>
      <c r="S562" s="78"/>
      <c r="U562" s="78"/>
      <c r="V562" s="93">
        <v>1</v>
      </c>
    </row>
    <row r="563" spans="1:22">
      <c r="A563" s="93">
        <v>140103</v>
      </c>
      <c r="B563" s="93" t="s">
        <v>334</v>
      </c>
      <c r="C563" s="93">
        <v>19</v>
      </c>
      <c r="D563" s="78"/>
      <c r="E563" s="78"/>
      <c r="F563" s="78">
        <v>2</v>
      </c>
      <c r="G563" s="93">
        <v>7</v>
      </c>
      <c r="H563" s="78">
        <v>0</v>
      </c>
      <c r="I563" s="78">
        <v>664</v>
      </c>
      <c r="J563" s="78">
        <v>649</v>
      </c>
      <c r="K563" s="78">
        <v>73</v>
      </c>
      <c r="L563" s="78">
        <v>21000</v>
      </c>
      <c r="M563" s="78">
        <v>100</v>
      </c>
      <c r="N563" s="78">
        <v>100</v>
      </c>
      <c r="O563" s="78">
        <v>100</v>
      </c>
      <c r="P563" s="78">
        <v>0</v>
      </c>
      <c r="Q563" s="78">
        <v>0</v>
      </c>
      <c r="R563" s="78"/>
      <c r="S563" s="78"/>
      <c r="U563" s="78"/>
      <c r="V563" s="93">
        <v>1</v>
      </c>
    </row>
    <row r="564" spans="1:22">
      <c r="A564" s="93">
        <v>140111</v>
      </c>
      <c r="B564" s="93" t="s">
        <v>339</v>
      </c>
      <c r="C564" s="93">
        <v>19</v>
      </c>
      <c r="D564" s="78"/>
      <c r="E564" s="78"/>
      <c r="F564" s="78">
        <v>2</v>
      </c>
      <c r="G564" s="93">
        <v>6</v>
      </c>
      <c r="H564" s="78">
        <v>0</v>
      </c>
      <c r="I564" s="78">
        <v>584</v>
      </c>
      <c r="J564" s="78">
        <v>627</v>
      </c>
      <c r="K564" s="78">
        <v>63</v>
      </c>
      <c r="L564" s="78">
        <v>15000</v>
      </c>
      <c r="M564" s="78">
        <v>100</v>
      </c>
      <c r="N564" s="78">
        <v>100</v>
      </c>
      <c r="O564" s="78">
        <v>100</v>
      </c>
      <c r="P564" s="78">
        <v>0</v>
      </c>
      <c r="Q564" s="78">
        <v>0</v>
      </c>
      <c r="R564" s="78"/>
      <c r="S564" s="78"/>
      <c r="U564" s="78"/>
      <c r="V564" s="93">
        <v>2</v>
      </c>
    </row>
    <row r="565" spans="1:22">
      <c r="A565" s="93">
        <v>140113</v>
      </c>
      <c r="B565" s="93" t="s">
        <v>339</v>
      </c>
      <c r="C565" s="93">
        <v>19</v>
      </c>
      <c r="D565" s="78"/>
      <c r="E565" s="78"/>
      <c r="F565" s="78">
        <v>2</v>
      </c>
      <c r="G565" s="93">
        <v>7</v>
      </c>
      <c r="H565" s="78">
        <v>0</v>
      </c>
      <c r="I565" s="78">
        <v>633</v>
      </c>
      <c r="J565" s="78">
        <v>672</v>
      </c>
      <c r="K565" s="78">
        <v>73</v>
      </c>
      <c r="L565" s="78">
        <v>21000</v>
      </c>
      <c r="M565" s="78">
        <v>100</v>
      </c>
      <c r="N565" s="78">
        <v>100</v>
      </c>
      <c r="O565" s="78">
        <v>100</v>
      </c>
      <c r="P565" s="78">
        <v>0</v>
      </c>
      <c r="Q565" s="78">
        <v>0</v>
      </c>
      <c r="R565" s="78"/>
      <c r="S565" s="78"/>
      <c r="U565" s="78"/>
      <c r="V565" s="93">
        <v>2</v>
      </c>
    </row>
    <row r="566" spans="1:22">
      <c r="A566" s="93">
        <v>140114</v>
      </c>
      <c r="B566" s="93" t="s">
        <v>339</v>
      </c>
      <c r="C566" s="93">
        <v>19</v>
      </c>
      <c r="D566" s="78"/>
      <c r="E566" s="78"/>
      <c r="F566" s="78">
        <v>2</v>
      </c>
      <c r="G566" s="93">
        <v>5</v>
      </c>
      <c r="H566" s="78">
        <v>0</v>
      </c>
      <c r="I566" s="78">
        <v>537</v>
      </c>
      <c r="J566" s="78">
        <v>584</v>
      </c>
      <c r="K566" s="78">
        <v>51</v>
      </c>
      <c r="L566" s="78">
        <v>10500</v>
      </c>
      <c r="M566" s="78">
        <v>100</v>
      </c>
      <c r="N566" s="78">
        <v>100</v>
      </c>
      <c r="O566" s="78">
        <v>100</v>
      </c>
      <c r="P566" s="78">
        <v>0</v>
      </c>
      <c r="Q566" s="78">
        <v>0</v>
      </c>
      <c r="R566" s="78"/>
      <c r="S566" s="78"/>
      <c r="U566" s="78"/>
      <c r="V566" s="93">
        <v>2</v>
      </c>
    </row>
    <row r="567" spans="1:22">
      <c r="A567" s="93">
        <v>140121</v>
      </c>
      <c r="B567" s="93" t="s">
        <v>344</v>
      </c>
      <c r="C567" s="93">
        <v>19</v>
      </c>
      <c r="D567" s="78"/>
      <c r="E567" s="78"/>
      <c r="F567" s="78">
        <v>2</v>
      </c>
      <c r="G567" s="93">
        <v>5</v>
      </c>
      <c r="H567" s="78">
        <v>0</v>
      </c>
      <c r="I567" s="78">
        <v>548</v>
      </c>
      <c r="J567" s="78">
        <v>553</v>
      </c>
      <c r="K567" s="78">
        <v>63</v>
      </c>
      <c r="L567" s="78">
        <v>10500</v>
      </c>
      <c r="M567" s="78">
        <v>100</v>
      </c>
      <c r="N567" s="78">
        <v>100</v>
      </c>
      <c r="O567" s="78">
        <v>100</v>
      </c>
      <c r="P567" s="78">
        <v>0</v>
      </c>
      <c r="Q567" s="78">
        <v>0</v>
      </c>
      <c r="R567" s="78"/>
      <c r="S567" s="78"/>
      <c r="U567" s="78"/>
      <c r="V567" s="93">
        <v>3</v>
      </c>
    </row>
    <row r="568" spans="1:22">
      <c r="A568" s="93">
        <v>140122</v>
      </c>
      <c r="B568" s="93" t="s">
        <v>344</v>
      </c>
      <c r="C568" s="93">
        <v>19</v>
      </c>
      <c r="D568" s="78"/>
      <c r="E568" s="78"/>
      <c r="F568" s="78">
        <v>2</v>
      </c>
      <c r="G568" s="93">
        <v>6</v>
      </c>
      <c r="H568" s="78">
        <v>0</v>
      </c>
      <c r="I568" s="78">
        <v>595</v>
      </c>
      <c r="J568" s="78">
        <v>601</v>
      </c>
      <c r="K568" s="78">
        <v>73</v>
      </c>
      <c r="L568" s="78">
        <v>15000</v>
      </c>
      <c r="M568" s="78">
        <v>100</v>
      </c>
      <c r="N568" s="78">
        <v>100</v>
      </c>
      <c r="O568" s="78">
        <v>100</v>
      </c>
      <c r="P568" s="78">
        <v>0</v>
      </c>
      <c r="Q568" s="78">
        <v>0</v>
      </c>
      <c r="R568" s="78"/>
      <c r="S568" s="78"/>
      <c r="U568" s="78"/>
      <c r="V568" s="93">
        <v>3</v>
      </c>
    </row>
    <row r="569" spans="1:22">
      <c r="A569" s="93">
        <v>140123</v>
      </c>
      <c r="B569" s="93" t="s">
        <v>344</v>
      </c>
      <c r="C569" s="93">
        <v>19</v>
      </c>
      <c r="D569" s="78"/>
      <c r="E569" s="78"/>
      <c r="F569" s="78">
        <v>2</v>
      </c>
      <c r="G569" s="93">
        <v>7</v>
      </c>
      <c r="H569" s="78">
        <v>0</v>
      </c>
      <c r="I569" s="78">
        <v>644</v>
      </c>
      <c r="J569" s="78">
        <v>646</v>
      </c>
      <c r="K569" s="78">
        <v>83</v>
      </c>
      <c r="L569" s="78">
        <v>21000</v>
      </c>
      <c r="M569" s="78">
        <v>100</v>
      </c>
      <c r="N569" s="78">
        <v>100</v>
      </c>
      <c r="O569" s="78">
        <v>100</v>
      </c>
      <c r="P569" s="78">
        <v>0</v>
      </c>
      <c r="Q569" s="78">
        <v>0</v>
      </c>
      <c r="R569" s="78"/>
      <c r="S569" s="78"/>
      <c r="U569" s="78"/>
      <c r="V569" s="93">
        <v>3</v>
      </c>
    </row>
    <row r="570" spans="1:22">
      <c r="A570" s="93">
        <v>140131</v>
      </c>
      <c r="B570" s="93" t="s">
        <v>350</v>
      </c>
      <c r="C570" s="93">
        <v>19</v>
      </c>
      <c r="D570" s="78"/>
      <c r="E570" s="78"/>
      <c r="F570" s="78">
        <v>2</v>
      </c>
      <c r="G570" s="93">
        <v>5</v>
      </c>
      <c r="H570" s="78">
        <v>0</v>
      </c>
      <c r="I570" s="78">
        <v>550</v>
      </c>
      <c r="J570" s="78">
        <v>577</v>
      </c>
      <c r="K570" s="78">
        <v>51</v>
      </c>
      <c r="L570" s="78">
        <v>10500</v>
      </c>
      <c r="M570" s="78">
        <v>100</v>
      </c>
      <c r="N570" s="78">
        <v>100</v>
      </c>
      <c r="O570" s="78">
        <v>100</v>
      </c>
      <c r="P570" s="78">
        <v>0</v>
      </c>
      <c r="Q570" s="78">
        <v>0</v>
      </c>
      <c r="R570" s="78"/>
      <c r="S570" s="78"/>
      <c r="U570" s="78"/>
      <c r="V570" s="93">
        <v>2</v>
      </c>
    </row>
    <row r="571" spans="1:22">
      <c r="A571" s="93">
        <v>140132</v>
      </c>
      <c r="B571" s="93" t="s">
        <v>350</v>
      </c>
      <c r="C571" s="93">
        <v>19</v>
      </c>
      <c r="D571" s="78"/>
      <c r="E571" s="78"/>
      <c r="F571" s="78">
        <v>2</v>
      </c>
      <c r="G571" s="93">
        <v>6</v>
      </c>
      <c r="H571" s="78">
        <v>0</v>
      </c>
      <c r="I571" s="78">
        <v>595</v>
      </c>
      <c r="J571" s="78">
        <v>625</v>
      </c>
      <c r="K571" s="78">
        <v>62</v>
      </c>
      <c r="L571" s="78">
        <v>15000</v>
      </c>
      <c r="M571" s="78">
        <v>100</v>
      </c>
      <c r="N571" s="78">
        <v>100</v>
      </c>
      <c r="O571" s="78">
        <v>100</v>
      </c>
      <c r="P571" s="78">
        <v>0</v>
      </c>
      <c r="Q571" s="78">
        <v>0</v>
      </c>
      <c r="R571" s="78"/>
      <c r="S571" s="78"/>
      <c r="U571" s="78"/>
      <c r="V571" s="93">
        <v>2</v>
      </c>
    </row>
    <row r="572" spans="1:22">
      <c r="A572" s="93">
        <v>140133</v>
      </c>
      <c r="B572" s="93" t="s">
        <v>350</v>
      </c>
      <c r="C572" s="93">
        <v>19</v>
      </c>
      <c r="D572" s="78"/>
      <c r="E572" s="78"/>
      <c r="F572" s="78">
        <v>2</v>
      </c>
      <c r="G572" s="93">
        <v>7</v>
      </c>
      <c r="H572" s="78">
        <v>0</v>
      </c>
      <c r="I572" s="78">
        <v>640</v>
      </c>
      <c r="J572" s="78">
        <v>670</v>
      </c>
      <c r="K572" s="78">
        <v>72</v>
      </c>
      <c r="L572" s="78">
        <v>21000</v>
      </c>
      <c r="M572" s="78">
        <v>100</v>
      </c>
      <c r="N572" s="78">
        <v>100</v>
      </c>
      <c r="O572" s="78">
        <v>100</v>
      </c>
      <c r="P572" s="78">
        <v>0</v>
      </c>
      <c r="Q572" s="78">
        <v>0</v>
      </c>
      <c r="R572" s="78"/>
      <c r="S572" s="78"/>
      <c r="U572" s="78"/>
      <c r="V572" s="93">
        <v>2</v>
      </c>
    </row>
    <row r="573" spans="1:22">
      <c r="A573" s="93">
        <v>140141</v>
      </c>
      <c r="B573" s="93" t="s">
        <v>355</v>
      </c>
      <c r="C573" s="93">
        <v>19</v>
      </c>
      <c r="D573" s="78"/>
      <c r="E573" s="78"/>
      <c r="F573" s="78">
        <v>2</v>
      </c>
      <c r="G573" s="93">
        <v>5</v>
      </c>
      <c r="H573" s="78">
        <v>0</v>
      </c>
      <c r="I573" s="78">
        <v>549</v>
      </c>
      <c r="J573" s="78">
        <v>579</v>
      </c>
      <c r="K573" s="78">
        <v>51</v>
      </c>
      <c r="L573" s="78">
        <v>10500</v>
      </c>
      <c r="M573" s="78">
        <v>100</v>
      </c>
      <c r="N573" s="78">
        <v>100</v>
      </c>
      <c r="O573" s="78">
        <v>100</v>
      </c>
      <c r="P573" s="78">
        <v>0</v>
      </c>
      <c r="Q573" s="78">
        <v>0</v>
      </c>
      <c r="R573" s="78"/>
      <c r="S573" s="78"/>
      <c r="U573" s="78"/>
      <c r="V573" s="93">
        <v>2</v>
      </c>
    </row>
    <row r="574" spans="1:22">
      <c r="A574" s="93">
        <v>140142</v>
      </c>
      <c r="B574" s="93" t="s">
        <v>355</v>
      </c>
      <c r="C574" s="93">
        <v>19</v>
      </c>
      <c r="D574" s="78"/>
      <c r="E574" s="78"/>
      <c r="F574" s="78">
        <v>2</v>
      </c>
      <c r="G574" s="93">
        <v>6</v>
      </c>
      <c r="H574" s="78">
        <v>0</v>
      </c>
      <c r="I574" s="78">
        <v>597</v>
      </c>
      <c r="J574" s="78">
        <v>623</v>
      </c>
      <c r="K574" s="78">
        <v>62</v>
      </c>
      <c r="L574" s="78">
        <v>15000</v>
      </c>
      <c r="M574" s="78">
        <v>100</v>
      </c>
      <c r="N574" s="78">
        <v>100</v>
      </c>
      <c r="O574" s="78">
        <v>100</v>
      </c>
      <c r="P574" s="78">
        <v>0</v>
      </c>
      <c r="Q574" s="78">
        <v>0</v>
      </c>
      <c r="R574" s="78"/>
      <c r="S574" s="78"/>
      <c r="U574" s="78"/>
      <c r="V574" s="93">
        <v>2</v>
      </c>
    </row>
    <row r="575" spans="1:22">
      <c r="A575" s="93">
        <v>140143</v>
      </c>
      <c r="B575" s="93" t="s">
        <v>355</v>
      </c>
      <c r="C575" s="93">
        <v>19</v>
      </c>
      <c r="D575" s="78"/>
      <c r="E575" s="78"/>
      <c r="F575" s="78">
        <v>2</v>
      </c>
      <c r="G575" s="93">
        <v>7</v>
      </c>
      <c r="H575" s="78">
        <v>0</v>
      </c>
      <c r="I575" s="78">
        <v>647</v>
      </c>
      <c r="J575" s="78">
        <v>669</v>
      </c>
      <c r="K575" s="78">
        <v>73</v>
      </c>
      <c r="L575" s="78">
        <v>21000</v>
      </c>
      <c r="M575" s="78">
        <v>100</v>
      </c>
      <c r="N575" s="78">
        <v>100</v>
      </c>
      <c r="O575" s="78">
        <v>100</v>
      </c>
      <c r="P575" s="78">
        <v>0</v>
      </c>
      <c r="Q575" s="78">
        <v>0</v>
      </c>
      <c r="R575" s="78"/>
      <c r="S575" s="78"/>
      <c r="U575" s="78"/>
      <c r="V575" s="93">
        <v>2</v>
      </c>
    </row>
    <row r="576" spans="1:22">
      <c r="A576" s="93">
        <v>140162</v>
      </c>
      <c r="B576" s="93" t="s">
        <v>365</v>
      </c>
      <c r="C576" s="93">
        <v>19</v>
      </c>
      <c r="D576" s="78"/>
      <c r="E576" s="78"/>
      <c r="F576" s="78">
        <v>2</v>
      </c>
      <c r="G576" s="93">
        <v>5</v>
      </c>
      <c r="H576" s="78">
        <v>0</v>
      </c>
      <c r="I576" s="78">
        <v>543</v>
      </c>
      <c r="J576" s="78">
        <v>570</v>
      </c>
      <c r="K576" s="78">
        <v>53</v>
      </c>
      <c r="L576" s="78">
        <v>10500</v>
      </c>
      <c r="M576" s="78">
        <v>100</v>
      </c>
      <c r="N576" s="78">
        <v>100</v>
      </c>
      <c r="O576" s="78">
        <v>100</v>
      </c>
      <c r="P576" s="78">
        <v>0</v>
      </c>
      <c r="Q576" s="78">
        <v>0</v>
      </c>
      <c r="R576" s="78"/>
      <c r="S576" s="78"/>
      <c r="U576" s="78"/>
      <c r="V576" s="93">
        <v>2</v>
      </c>
    </row>
    <row r="577" spans="1:22">
      <c r="A577" s="93">
        <v>140173</v>
      </c>
      <c r="B577" s="93" t="s">
        <v>369</v>
      </c>
      <c r="C577" s="93">
        <v>19</v>
      </c>
      <c r="D577" s="78"/>
      <c r="E577" s="78"/>
      <c r="F577" s="78">
        <v>2</v>
      </c>
      <c r="G577" s="93">
        <v>5</v>
      </c>
      <c r="H577" s="78">
        <v>0</v>
      </c>
      <c r="I577" s="78">
        <v>541</v>
      </c>
      <c r="J577" s="78">
        <v>535</v>
      </c>
      <c r="K577" s="78">
        <v>62</v>
      </c>
      <c r="L577" s="78">
        <v>10500</v>
      </c>
      <c r="M577" s="78">
        <v>100</v>
      </c>
      <c r="N577" s="78">
        <v>100</v>
      </c>
      <c r="O577" s="78">
        <v>100</v>
      </c>
      <c r="P577" s="78">
        <v>0</v>
      </c>
      <c r="Q577" s="78">
        <v>0</v>
      </c>
      <c r="R577" s="78"/>
      <c r="S577" s="78"/>
      <c r="U577" s="78"/>
      <c r="V577" s="93">
        <v>3</v>
      </c>
    </row>
    <row r="578" spans="1:22">
      <c r="A578" s="93">
        <v>140174</v>
      </c>
      <c r="B578" s="93" t="s">
        <v>369</v>
      </c>
      <c r="C578" s="93">
        <v>19</v>
      </c>
      <c r="D578" s="78"/>
      <c r="E578" s="78"/>
      <c r="F578" s="78">
        <v>2</v>
      </c>
      <c r="G578" s="93">
        <v>6</v>
      </c>
      <c r="H578" s="78">
        <v>0</v>
      </c>
      <c r="I578" s="78">
        <v>587</v>
      </c>
      <c r="J578" s="78">
        <v>581</v>
      </c>
      <c r="K578" s="78">
        <v>72</v>
      </c>
      <c r="L578" s="78">
        <v>15000</v>
      </c>
      <c r="M578" s="78">
        <v>100</v>
      </c>
      <c r="N578" s="78">
        <v>100</v>
      </c>
      <c r="O578" s="78">
        <v>100</v>
      </c>
      <c r="P578" s="78">
        <v>0</v>
      </c>
      <c r="Q578" s="78">
        <v>0</v>
      </c>
      <c r="R578" s="78"/>
      <c r="S578" s="78"/>
      <c r="U578" s="78"/>
      <c r="V578" s="93">
        <v>3</v>
      </c>
    </row>
    <row r="579" spans="1:22">
      <c r="A579" s="93">
        <v>140175</v>
      </c>
      <c r="B579" s="93" t="s">
        <v>369</v>
      </c>
      <c r="C579" s="93">
        <v>19</v>
      </c>
      <c r="D579" s="78"/>
      <c r="E579" s="78"/>
      <c r="F579" s="78">
        <v>2</v>
      </c>
      <c r="G579" s="93">
        <v>7</v>
      </c>
      <c r="H579" s="78">
        <v>0</v>
      </c>
      <c r="I579" s="78">
        <v>635</v>
      </c>
      <c r="J579" s="78">
        <v>629</v>
      </c>
      <c r="K579" s="78">
        <v>83</v>
      </c>
      <c r="L579" s="78">
        <v>21000</v>
      </c>
      <c r="M579" s="78">
        <v>100</v>
      </c>
      <c r="N579" s="78">
        <v>100</v>
      </c>
      <c r="O579" s="78">
        <v>100</v>
      </c>
      <c r="P579" s="78">
        <v>0</v>
      </c>
      <c r="Q579" s="78">
        <v>0</v>
      </c>
      <c r="R579" s="78"/>
      <c r="S579" s="78"/>
      <c r="U579" s="78"/>
      <c r="V579" s="93">
        <v>3</v>
      </c>
    </row>
    <row r="580" spans="1:22">
      <c r="A580" s="93">
        <v>140181</v>
      </c>
      <c r="B580" s="93" t="s">
        <v>376</v>
      </c>
      <c r="C580" s="93">
        <v>19</v>
      </c>
      <c r="D580" s="78"/>
      <c r="E580" s="78"/>
      <c r="F580" s="78">
        <v>2</v>
      </c>
      <c r="G580" s="93">
        <v>6</v>
      </c>
      <c r="H580" s="78">
        <v>0</v>
      </c>
      <c r="I580" s="78">
        <v>610</v>
      </c>
      <c r="J580" s="78">
        <v>605</v>
      </c>
      <c r="K580" s="78">
        <v>73</v>
      </c>
      <c r="L580" s="78">
        <v>15000</v>
      </c>
      <c r="M580" s="78">
        <v>100</v>
      </c>
      <c r="N580" s="78">
        <v>100</v>
      </c>
      <c r="O580" s="78">
        <v>100</v>
      </c>
      <c r="P580" s="78">
        <v>0</v>
      </c>
      <c r="Q580" s="78">
        <v>0</v>
      </c>
      <c r="R580" s="78"/>
      <c r="S580" s="78"/>
      <c r="U580" s="78"/>
      <c r="V580" s="93">
        <v>3</v>
      </c>
    </row>
    <row r="581" spans="1:22">
      <c r="A581" s="93">
        <v>140193</v>
      </c>
      <c r="B581" s="93" t="s">
        <v>379</v>
      </c>
      <c r="C581" s="93">
        <v>19</v>
      </c>
      <c r="D581" s="78"/>
      <c r="E581" s="78"/>
      <c r="F581" s="78">
        <v>2</v>
      </c>
      <c r="G581" s="93">
        <v>5</v>
      </c>
      <c r="H581" s="78">
        <v>0</v>
      </c>
      <c r="I581" s="78">
        <v>541</v>
      </c>
      <c r="J581" s="78">
        <v>550</v>
      </c>
      <c r="K581" s="78">
        <v>61</v>
      </c>
      <c r="L581" s="78">
        <v>10500</v>
      </c>
      <c r="M581" s="78">
        <v>100</v>
      </c>
      <c r="N581" s="78">
        <v>100</v>
      </c>
      <c r="O581" s="78">
        <v>100</v>
      </c>
      <c r="P581" s="78">
        <v>0</v>
      </c>
      <c r="Q581" s="78">
        <v>0</v>
      </c>
      <c r="R581" s="78"/>
      <c r="S581" s="78"/>
      <c r="U581" s="78"/>
      <c r="V581" s="93">
        <v>3</v>
      </c>
    </row>
    <row r="582" spans="1:22">
      <c r="A582" s="93">
        <v>140194</v>
      </c>
      <c r="B582" s="93" t="s">
        <v>379</v>
      </c>
      <c r="C582" s="93">
        <v>19</v>
      </c>
      <c r="D582" s="78"/>
      <c r="E582" s="78"/>
      <c r="F582" s="78">
        <v>2</v>
      </c>
      <c r="G582" s="93">
        <v>6</v>
      </c>
      <c r="H582" s="78">
        <v>0</v>
      </c>
      <c r="I582" s="78">
        <v>586</v>
      </c>
      <c r="J582" s="78">
        <v>595</v>
      </c>
      <c r="K582" s="78">
        <v>71</v>
      </c>
      <c r="L582" s="78">
        <v>15000</v>
      </c>
      <c r="M582" s="78">
        <v>100</v>
      </c>
      <c r="N582" s="78">
        <v>100</v>
      </c>
      <c r="O582" s="78">
        <v>100</v>
      </c>
      <c r="P582" s="78">
        <v>0</v>
      </c>
      <c r="Q582" s="78">
        <v>0</v>
      </c>
      <c r="R582" s="78"/>
      <c r="S582" s="78"/>
      <c r="U582" s="78"/>
      <c r="V582" s="93">
        <v>3</v>
      </c>
    </row>
    <row r="583" spans="1:22">
      <c r="A583" s="93">
        <v>140195</v>
      </c>
      <c r="B583" s="93" t="s">
        <v>379</v>
      </c>
      <c r="C583" s="93">
        <v>19</v>
      </c>
      <c r="D583" s="78"/>
      <c r="E583" s="78"/>
      <c r="F583" s="78">
        <v>2</v>
      </c>
      <c r="G583" s="93">
        <v>7</v>
      </c>
      <c r="H583" s="78">
        <v>0</v>
      </c>
      <c r="I583" s="78">
        <v>631</v>
      </c>
      <c r="J583" s="78">
        <v>640</v>
      </c>
      <c r="K583" s="78">
        <v>81</v>
      </c>
      <c r="L583" s="78">
        <v>21000</v>
      </c>
      <c r="M583" s="78">
        <v>100</v>
      </c>
      <c r="N583" s="78">
        <v>100</v>
      </c>
      <c r="O583" s="78">
        <v>100</v>
      </c>
      <c r="P583" s="78">
        <v>0</v>
      </c>
      <c r="Q583" s="78">
        <v>0</v>
      </c>
      <c r="R583" s="78"/>
      <c r="S583" s="78"/>
      <c r="U583" s="78"/>
      <c r="V583" s="93">
        <v>3</v>
      </c>
    </row>
    <row r="584" spans="1:22">
      <c r="A584" s="93">
        <v>140201</v>
      </c>
      <c r="B584" s="93" t="s">
        <v>386</v>
      </c>
      <c r="C584" s="93">
        <v>19</v>
      </c>
      <c r="D584" s="78"/>
      <c r="E584" s="78"/>
      <c r="F584" s="78">
        <v>2</v>
      </c>
      <c r="G584" s="93">
        <v>5</v>
      </c>
      <c r="H584" s="78">
        <v>0</v>
      </c>
      <c r="I584" s="78">
        <v>560</v>
      </c>
      <c r="J584" s="78">
        <v>540</v>
      </c>
      <c r="K584" s="78">
        <v>50</v>
      </c>
      <c r="L584" s="78">
        <v>10500</v>
      </c>
      <c r="M584" s="78">
        <v>100</v>
      </c>
      <c r="N584" s="78">
        <v>100</v>
      </c>
      <c r="O584" s="78">
        <v>100</v>
      </c>
      <c r="P584" s="78">
        <v>0</v>
      </c>
      <c r="Q584" s="78">
        <v>0</v>
      </c>
      <c r="R584" s="78"/>
      <c r="S584" s="78"/>
      <c r="U584" s="78"/>
      <c r="V584" s="93">
        <v>1</v>
      </c>
    </row>
    <row r="585" spans="1:22">
      <c r="A585" s="93">
        <v>140202</v>
      </c>
      <c r="B585" s="93" t="s">
        <v>386</v>
      </c>
      <c r="C585" s="93">
        <v>19</v>
      </c>
      <c r="D585" s="78"/>
      <c r="E585" s="78"/>
      <c r="F585" s="78">
        <v>2</v>
      </c>
      <c r="G585" s="93">
        <v>6</v>
      </c>
      <c r="H585" s="78">
        <v>0</v>
      </c>
      <c r="I585" s="78">
        <v>612</v>
      </c>
      <c r="J585" s="78">
        <v>588</v>
      </c>
      <c r="K585" s="78">
        <v>62</v>
      </c>
      <c r="L585" s="78">
        <v>15000</v>
      </c>
      <c r="M585" s="78">
        <v>100</v>
      </c>
      <c r="N585" s="78">
        <v>100</v>
      </c>
      <c r="O585" s="78">
        <v>100</v>
      </c>
      <c r="P585" s="78">
        <v>0</v>
      </c>
      <c r="Q585" s="78">
        <v>0</v>
      </c>
      <c r="R585" s="78"/>
      <c r="S585" s="78"/>
      <c r="U585" s="78"/>
      <c r="V585" s="93">
        <v>1</v>
      </c>
    </row>
    <row r="586" spans="1:22">
      <c r="A586" s="93">
        <v>140203</v>
      </c>
      <c r="B586" s="93" t="s">
        <v>386</v>
      </c>
      <c r="C586" s="93">
        <v>19</v>
      </c>
      <c r="D586" s="78"/>
      <c r="E586" s="78"/>
      <c r="F586" s="78">
        <v>2</v>
      </c>
      <c r="G586" s="93">
        <v>7</v>
      </c>
      <c r="H586" s="78">
        <v>0</v>
      </c>
      <c r="I586" s="78">
        <v>663</v>
      </c>
      <c r="J586" s="78">
        <v>642</v>
      </c>
      <c r="K586" s="78">
        <v>72</v>
      </c>
      <c r="L586" s="78">
        <v>21000</v>
      </c>
      <c r="M586" s="78">
        <v>100</v>
      </c>
      <c r="N586" s="78">
        <v>100</v>
      </c>
      <c r="O586" s="78">
        <v>100</v>
      </c>
      <c r="P586" s="78">
        <v>0</v>
      </c>
      <c r="Q586" s="78">
        <v>0</v>
      </c>
      <c r="R586" s="78"/>
      <c r="S586" s="78"/>
      <c r="U586" s="78"/>
      <c r="V586" s="93">
        <v>1</v>
      </c>
    </row>
    <row r="587" spans="1:22">
      <c r="A587" s="93">
        <v>140222</v>
      </c>
      <c r="B587" s="93" t="s">
        <v>391</v>
      </c>
      <c r="C587" s="93">
        <v>19</v>
      </c>
      <c r="D587" s="78"/>
      <c r="E587" s="78"/>
      <c r="F587" s="78">
        <v>2</v>
      </c>
      <c r="G587" s="93">
        <v>5</v>
      </c>
      <c r="H587" s="78">
        <v>0</v>
      </c>
      <c r="I587" s="78">
        <v>571</v>
      </c>
      <c r="J587" s="78">
        <v>545</v>
      </c>
      <c r="K587" s="78">
        <v>52</v>
      </c>
      <c r="L587" s="78">
        <v>10500</v>
      </c>
      <c r="M587" s="78">
        <v>100</v>
      </c>
      <c r="N587" s="78">
        <v>100</v>
      </c>
      <c r="O587" s="78">
        <v>100</v>
      </c>
      <c r="P587" s="78">
        <v>0</v>
      </c>
      <c r="Q587" s="78">
        <v>0</v>
      </c>
      <c r="R587" s="78"/>
      <c r="S587" s="78"/>
      <c r="U587" s="78"/>
      <c r="V587" s="93">
        <v>1</v>
      </c>
    </row>
    <row r="588" spans="1:22">
      <c r="A588" s="93">
        <v>140223</v>
      </c>
      <c r="B588" s="93" t="s">
        <v>391</v>
      </c>
      <c r="C588" s="93">
        <v>19</v>
      </c>
      <c r="D588" s="78"/>
      <c r="E588" s="78"/>
      <c r="F588" s="78">
        <v>2</v>
      </c>
      <c r="G588" s="93">
        <v>6</v>
      </c>
      <c r="H588" s="78">
        <v>0</v>
      </c>
      <c r="I588" s="78">
        <v>618</v>
      </c>
      <c r="J588" s="78">
        <v>595</v>
      </c>
      <c r="K588" s="78">
        <v>62</v>
      </c>
      <c r="L588" s="78">
        <v>15000</v>
      </c>
      <c r="M588" s="78">
        <v>100</v>
      </c>
      <c r="N588" s="78">
        <v>100</v>
      </c>
      <c r="O588" s="78">
        <v>100</v>
      </c>
      <c r="P588" s="78">
        <v>0</v>
      </c>
      <c r="Q588" s="78">
        <v>0</v>
      </c>
      <c r="R588" s="78"/>
      <c r="S588" s="78"/>
      <c r="U588" s="78"/>
      <c r="V588" s="93">
        <v>1</v>
      </c>
    </row>
    <row r="589" spans="1:22">
      <c r="A589" s="93">
        <v>140232</v>
      </c>
      <c r="B589" s="93" t="s">
        <v>396</v>
      </c>
      <c r="C589" s="93">
        <v>19</v>
      </c>
      <c r="D589" s="78"/>
      <c r="E589" s="78"/>
      <c r="F589" s="78">
        <v>2</v>
      </c>
      <c r="G589" s="93">
        <v>5</v>
      </c>
      <c r="H589" s="78">
        <v>0</v>
      </c>
      <c r="I589" s="78">
        <v>539</v>
      </c>
      <c r="J589" s="78">
        <v>542</v>
      </c>
      <c r="K589" s="78">
        <v>64</v>
      </c>
      <c r="L589" s="78">
        <v>10500</v>
      </c>
      <c r="M589" s="78">
        <v>100</v>
      </c>
      <c r="N589" s="78">
        <v>100</v>
      </c>
      <c r="O589" s="78">
        <v>100</v>
      </c>
      <c r="P589" s="78">
        <v>0</v>
      </c>
      <c r="Q589" s="78">
        <v>0</v>
      </c>
      <c r="R589" s="78"/>
      <c r="S589" s="78"/>
      <c r="U589" s="78"/>
      <c r="V589" s="93">
        <v>3</v>
      </c>
    </row>
    <row r="590" spans="1:22">
      <c r="A590" s="93">
        <v>140242</v>
      </c>
      <c r="B590" s="93" t="s">
        <v>400</v>
      </c>
      <c r="C590" s="93">
        <v>19</v>
      </c>
      <c r="D590" s="78"/>
      <c r="E590" s="78"/>
      <c r="F590" s="78">
        <v>2</v>
      </c>
      <c r="G590" s="93">
        <v>5</v>
      </c>
      <c r="H590" s="78">
        <v>0</v>
      </c>
      <c r="I590" s="78">
        <v>531</v>
      </c>
      <c r="J590" s="78">
        <v>576</v>
      </c>
      <c r="K590" s="78">
        <v>56</v>
      </c>
      <c r="L590" s="78">
        <v>10500</v>
      </c>
      <c r="M590" s="78">
        <v>100</v>
      </c>
      <c r="N590" s="78">
        <v>100</v>
      </c>
      <c r="O590" s="78">
        <v>100</v>
      </c>
      <c r="P590" s="78">
        <v>0</v>
      </c>
      <c r="Q590" s="78">
        <v>0</v>
      </c>
      <c r="R590" s="78"/>
      <c r="S590" s="78"/>
      <c r="U590" s="78"/>
      <c r="V590" s="93">
        <v>2</v>
      </c>
    </row>
    <row r="591" spans="1:22">
      <c r="A591" s="93">
        <v>140253</v>
      </c>
      <c r="B591" s="93" t="s">
        <v>404</v>
      </c>
      <c r="C591" s="93">
        <v>19</v>
      </c>
      <c r="D591" s="78"/>
      <c r="E591" s="78"/>
      <c r="F591" s="78">
        <v>2</v>
      </c>
      <c r="G591" s="93">
        <v>5</v>
      </c>
      <c r="H591" s="78">
        <v>0</v>
      </c>
      <c r="I591" s="78">
        <v>535</v>
      </c>
      <c r="J591" s="78">
        <v>565</v>
      </c>
      <c r="K591" s="78">
        <v>54</v>
      </c>
      <c r="L591" s="78">
        <v>10500</v>
      </c>
      <c r="M591" s="78">
        <v>100</v>
      </c>
      <c r="N591" s="78">
        <v>100</v>
      </c>
      <c r="O591" s="78">
        <v>100</v>
      </c>
      <c r="P591" s="78">
        <v>0</v>
      </c>
      <c r="Q591" s="78">
        <v>0</v>
      </c>
      <c r="R591" s="78"/>
      <c r="S591" s="78"/>
      <c r="U591" s="78"/>
      <c r="V591" s="93">
        <v>2</v>
      </c>
    </row>
    <row r="592" spans="1:22">
      <c r="A592" s="93">
        <v>140254</v>
      </c>
      <c r="B592" s="93" t="s">
        <v>404</v>
      </c>
      <c r="C592" s="93">
        <v>19</v>
      </c>
      <c r="D592" s="78"/>
      <c r="E592" s="78"/>
      <c r="F592" s="78">
        <v>2</v>
      </c>
      <c r="G592" s="93">
        <v>6</v>
      </c>
      <c r="H592" s="78">
        <v>0</v>
      </c>
      <c r="I592" s="78">
        <v>585</v>
      </c>
      <c r="J592" s="78">
        <v>635</v>
      </c>
      <c r="K592" s="78">
        <v>64</v>
      </c>
      <c r="L592" s="78">
        <v>15000</v>
      </c>
      <c r="M592" s="78">
        <v>100</v>
      </c>
      <c r="N592" s="78">
        <v>100</v>
      </c>
      <c r="O592" s="78">
        <v>100</v>
      </c>
      <c r="P592" s="78">
        <v>0</v>
      </c>
      <c r="Q592" s="78">
        <v>0</v>
      </c>
      <c r="R592" s="78"/>
      <c r="S592" s="78"/>
      <c r="U592" s="78"/>
      <c r="V592" s="93">
        <v>2</v>
      </c>
    </row>
    <row r="593" spans="1:23">
      <c r="A593" s="93">
        <v>140256</v>
      </c>
      <c r="B593" s="93" t="s">
        <v>404</v>
      </c>
      <c r="C593" s="93">
        <v>19</v>
      </c>
      <c r="D593" s="78"/>
      <c r="E593" s="78"/>
      <c r="F593" s="78">
        <v>2</v>
      </c>
      <c r="G593" s="93">
        <v>7</v>
      </c>
      <c r="H593" s="78">
        <v>0</v>
      </c>
      <c r="I593" s="78">
        <v>640</v>
      </c>
      <c r="J593" s="78">
        <v>698</v>
      </c>
      <c r="K593" s="78">
        <v>74</v>
      </c>
      <c r="L593" s="78">
        <v>21000</v>
      </c>
      <c r="M593" s="78">
        <v>100</v>
      </c>
      <c r="N593" s="78">
        <v>100</v>
      </c>
      <c r="O593" s="78">
        <v>100</v>
      </c>
      <c r="P593" s="78">
        <v>0</v>
      </c>
      <c r="Q593" s="78">
        <v>0</v>
      </c>
      <c r="R593" s="78"/>
      <c r="S593" s="78"/>
      <c r="U593" s="78"/>
      <c r="V593" s="93">
        <v>2</v>
      </c>
    </row>
    <row r="594" spans="1:23">
      <c r="A594" s="93">
        <v>140321</v>
      </c>
      <c r="B594" s="93" t="s">
        <v>431</v>
      </c>
      <c r="C594" s="93">
        <v>19</v>
      </c>
      <c r="D594" s="78"/>
      <c r="E594" s="78"/>
      <c r="F594" s="78">
        <v>2</v>
      </c>
      <c r="G594" s="93">
        <v>5</v>
      </c>
      <c r="H594" s="78">
        <v>0</v>
      </c>
      <c r="I594" s="78">
        <v>592</v>
      </c>
      <c r="J594" s="78">
        <v>566</v>
      </c>
      <c r="K594" s="78">
        <v>57</v>
      </c>
      <c r="L594" s="78">
        <v>10500</v>
      </c>
      <c r="M594" s="78">
        <v>100</v>
      </c>
      <c r="N594" s="78">
        <v>100</v>
      </c>
      <c r="O594" s="78">
        <v>100</v>
      </c>
      <c r="P594" s="78"/>
      <c r="Q594" s="78"/>
      <c r="R594" s="78"/>
      <c r="S594" s="78"/>
      <c r="U594" s="78"/>
      <c r="V594" s="93">
        <v>1</v>
      </c>
      <c r="W594" s="93" t="s">
        <v>5138</v>
      </c>
    </row>
    <row r="595" spans="1:23">
      <c r="A595" s="93">
        <v>140322</v>
      </c>
      <c r="B595" s="93" t="s">
        <v>431</v>
      </c>
      <c r="C595" s="93">
        <v>19</v>
      </c>
      <c r="D595" s="78"/>
      <c r="E595" s="78"/>
      <c r="F595" s="78">
        <v>2</v>
      </c>
      <c r="G595" s="93">
        <v>6</v>
      </c>
      <c r="H595" s="78">
        <v>0</v>
      </c>
      <c r="I595" s="78">
        <v>635</v>
      </c>
      <c r="J595" s="78">
        <v>610</v>
      </c>
      <c r="K595" s="78">
        <v>69</v>
      </c>
      <c r="L595" s="78">
        <v>15000</v>
      </c>
      <c r="M595" s="78">
        <v>100</v>
      </c>
      <c r="N595" s="78">
        <v>100</v>
      </c>
      <c r="O595" s="78">
        <v>100</v>
      </c>
      <c r="P595" s="78"/>
      <c r="Q595" s="78"/>
      <c r="R595" s="78"/>
      <c r="S595" s="78"/>
      <c r="U595" s="78"/>
      <c r="V595" s="93">
        <v>1</v>
      </c>
      <c r="W595" s="93" t="s">
        <v>5138</v>
      </c>
    </row>
    <row r="596" spans="1:23">
      <c r="A596" s="93">
        <v>140323</v>
      </c>
      <c r="B596" s="93" t="s">
        <v>431</v>
      </c>
      <c r="C596" s="93">
        <v>19</v>
      </c>
      <c r="D596" s="78"/>
      <c r="E596" s="78"/>
      <c r="F596" s="78">
        <v>2</v>
      </c>
      <c r="G596" s="93">
        <v>7</v>
      </c>
      <c r="H596" s="78">
        <v>0</v>
      </c>
      <c r="I596" s="78">
        <v>678</v>
      </c>
      <c r="J596" s="78">
        <v>654</v>
      </c>
      <c r="K596" s="78">
        <v>81</v>
      </c>
      <c r="L596" s="78">
        <v>21000</v>
      </c>
      <c r="M596" s="78">
        <v>100</v>
      </c>
      <c r="N596" s="78">
        <v>100</v>
      </c>
      <c r="O596" s="78">
        <v>100</v>
      </c>
      <c r="P596" s="78"/>
      <c r="Q596" s="78"/>
      <c r="R596" s="78"/>
      <c r="S596" s="78"/>
      <c r="U596" s="78"/>
      <c r="V596" s="93">
        <v>1</v>
      </c>
      <c r="W596" s="93" t="s">
        <v>5138</v>
      </c>
    </row>
    <row r="597" spans="1:23">
      <c r="A597" s="93">
        <v>140331</v>
      </c>
      <c r="B597" s="93" t="s">
        <v>436</v>
      </c>
      <c r="C597" s="93">
        <v>19</v>
      </c>
      <c r="D597" s="78"/>
      <c r="E597" s="78"/>
      <c r="F597" s="78">
        <v>2</v>
      </c>
      <c r="G597" s="93">
        <v>5</v>
      </c>
      <c r="H597" s="78">
        <v>0</v>
      </c>
      <c r="I597" s="78">
        <v>590</v>
      </c>
      <c r="J597" s="78">
        <v>570</v>
      </c>
      <c r="K597" s="78">
        <v>56</v>
      </c>
      <c r="L597" s="78">
        <v>10500</v>
      </c>
      <c r="M597" s="78">
        <v>100</v>
      </c>
      <c r="N597" s="78">
        <v>100</v>
      </c>
      <c r="O597" s="78">
        <v>100</v>
      </c>
      <c r="P597" s="78"/>
      <c r="Q597" s="78"/>
      <c r="R597" s="78"/>
      <c r="S597" s="78"/>
      <c r="U597" s="78"/>
      <c r="V597" s="93">
        <v>1</v>
      </c>
      <c r="W597" s="93" t="s">
        <v>5139</v>
      </c>
    </row>
    <row r="598" spans="1:23">
      <c r="A598" s="93">
        <v>140332</v>
      </c>
      <c r="B598" s="93" t="s">
        <v>436</v>
      </c>
      <c r="C598" s="93">
        <v>19</v>
      </c>
      <c r="D598" s="78"/>
      <c r="E598" s="78"/>
      <c r="F598" s="78">
        <v>2</v>
      </c>
      <c r="G598" s="93">
        <v>6</v>
      </c>
      <c r="H598" s="78">
        <v>0</v>
      </c>
      <c r="I598" s="78">
        <v>630</v>
      </c>
      <c r="J598" s="78">
        <v>610</v>
      </c>
      <c r="K598" s="78">
        <v>66</v>
      </c>
      <c r="L598" s="78">
        <v>15000</v>
      </c>
      <c r="M598" s="78">
        <v>100</v>
      </c>
      <c r="N598" s="78">
        <v>100</v>
      </c>
      <c r="O598" s="78">
        <v>100</v>
      </c>
      <c r="P598" s="78"/>
      <c r="Q598" s="78"/>
      <c r="R598" s="78"/>
      <c r="S598" s="78"/>
      <c r="U598" s="78"/>
      <c r="V598" s="93">
        <v>1</v>
      </c>
      <c r="W598" s="93" t="s">
        <v>5139</v>
      </c>
    </row>
    <row r="599" spans="1:23">
      <c r="A599" s="93">
        <v>140333</v>
      </c>
      <c r="B599" s="93" t="s">
        <v>436</v>
      </c>
      <c r="C599" s="93">
        <v>19</v>
      </c>
      <c r="D599" s="78"/>
      <c r="E599" s="78"/>
      <c r="F599" s="78">
        <v>2</v>
      </c>
      <c r="G599" s="93">
        <v>7</v>
      </c>
      <c r="H599" s="78">
        <v>0</v>
      </c>
      <c r="I599" s="78">
        <v>675</v>
      </c>
      <c r="J599" s="78">
        <v>660</v>
      </c>
      <c r="K599" s="78">
        <v>76</v>
      </c>
      <c r="L599" s="78">
        <v>21000</v>
      </c>
      <c r="M599" s="78">
        <v>100</v>
      </c>
      <c r="N599" s="78">
        <v>100</v>
      </c>
      <c r="O599" s="78">
        <v>100</v>
      </c>
      <c r="P599" s="78"/>
      <c r="Q599" s="78"/>
      <c r="R599" s="78"/>
      <c r="S599" s="78"/>
      <c r="U599" s="78"/>
      <c r="V599" s="93">
        <v>1</v>
      </c>
      <c r="W599" s="93" t="s">
        <v>5139</v>
      </c>
    </row>
    <row r="600" spans="1:23">
      <c r="A600" s="93">
        <v>140334</v>
      </c>
      <c r="B600" s="93" t="s">
        <v>436</v>
      </c>
      <c r="C600" s="93">
        <v>19</v>
      </c>
      <c r="D600" s="78"/>
      <c r="E600" s="78"/>
      <c r="F600" s="78">
        <v>2</v>
      </c>
      <c r="G600" s="93">
        <v>8</v>
      </c>
      <c r="H600" s="78">
        <v>0</v>
      </c>
      <c r="I600" s="78">
        <v>710</v>
      </c>
      <c r="J600" s="78">
        <v>700</v>
      </c>
      <c r="K600" s="78">
        <v>90</v>
      </c>
      <c r="L600" s="78">
        <v>50000</v>
      </c>
      <c r="M600" s="78">
        <v>100</v>
      </c>
      <c r="N600" s="78">
        <v>100</v>
      </c>
      <c r="O600" s="78">
        <v>100</v>
      </c>
      <c r="P600" s="78"/>
      <c r="Q600" s="78"/>
      <c r="R600" s="78"/>
      <c r="S600" s="78"/>
      <c r="U600" s="78"/>
      <c r="V600" s="93">
        <v>1</v>
      </c>
      <c r="W600" s="93" t="s">
        <v>5139</v>
      </c>
    </row>
    <row r="601" spans="1:23">
      <c r="A601" s="93">
        <v>140341</v>
      </c>
      <c r="B601" s="93" t="s">
        <v>442</v>
      </c>
      <c r="C601" s="93">
        <v>19</v>
      </c>
      <c r="D601" s="78"/>
      <c r="E601" s="78"/>
      <c r="F601" s="78">
        <v>2</v>
      </c>
      <c r="G601" s="93">
        <v>5</v>
      </c>
      <c r="H601" s="78">
        <v>0</v>
      </c>
      <c r="I601" s="78">
        <v>543</v>
      </c>
      <c r="J601" s="78">
        <v>560</v>
      </c>
      <c r="K601" s="78">
        <v>61</v>
      </c>
      <c r="L601" s="78">
        <v>10500</v>
      </c>
      <c r="M601" s="78">
        <v>100</v>
      </c>
      <c r="N601" s="78">
        <v>100</v>
      </c>
      <c r="O601" s="78">
        <v>100</v>
      </c>
      <c r="P601" s="78"/>
      <c r="Q601" s="78"/>
      <c r="R601" s="78"/>
      <c r="S601" s="78"/>
      <c r="U601" s="78"/>
      <c r="V601" s="93">
        <v>3</v>
      </c>
      <c r="W601" s="93" t="s">
        <v>5138</v>
      </c>
    </row>
    <row r="602" spans="1:23">
      <c r="A602" s="93">
        <v>140342</v>
      </c>
      <c r="B602" s="93" t="s">
        <v>442</v>
      </c>
      <c r="C602" s="93">
        <v>19</v>
      </c>
      <c r="D602" s="78"/>
      <c r="E602" s="78"/>
      <c r="F602" s="78">
        <v>2</v>
      </c>
      <c r="G602" s="93">
        <v>6</v>
      </c>
      <c r="H602" s="78">
        <v>0</v>
      </c>
      <c r="I602" s="78">
        <v>594</v>
      </c>
      <c r="J602" s="78">
        <v>601</v>
      </c>
      <c r="K602" s="78">
        <v>72</v>
      </c>
      <c r="L602" s="78">
        <v>15000</v>
      </c>
      <c r="M602" s="78">
        <v>100</v>
      </c>
      <c r="N602" s="78">
        <v>100</v>
      </c>
      <c r="O602" s="78">
        <v>100</v>
      </c>
      <c r="P602" s="78"/>
      <c r="Q602" s="78"/>
      <c r="R602" s="78"/>
      <c r="S602" s="78"/>
      <c r="U602" s="78"/>
      <c r="V602" s="93">
        <v>3</v>
      </c>
      <c r="W602" s="93" t="s">
        <v>5138</v>
      </c>
    </row>
    <row r="603" spans="1:23">
      <c r="A603" s="93">
        <v>140343</v>
      </c>
      <c r="B603" s="93" t="s">
        <v>442</v>
      </c>
      <c r="C603" s="93">
        <v>19</v>
      </c>
      <c r="D603" s="78"/>
      <c r="E603" s="78"/>
      <c r="F603" s="78">
        <v>2</v>
      </c>
      <c r="G603" s="93">
        <v>7</v>
      </c>
      <c r="H603" s="78">
        <v>0</v>
      </c>
      <c r="I603" s="78">
        <v>645</v>
      </c>
      <c r="J603" s="78">
        <v>643</v>
      </c>
      <c r="K603" s="78">
        <v>82</v>
      </c>
      <c r="L603" s="78">
        <v>21000</v>
      </c>
      <c r="M603" s="78">
        <v>100</v>
      </c>
      <c r="N603" s="78">
        <v>100</v>
      </c>
      <c r="O603" s="78">
        <v>100</v>
      </c>
      <c r="P603" s="78"/>
      <c r="Q603" s="78"/>
      <c r="R603" s="78"/>
      <c r="S603" s="78"/>
      <c r="U603" s="78"/>
      <c r="V603" s="93">
        <v>3</v>
      </c>
      <c r="W603" s="93" t="s">
        <v>5138</v>
      </c>
    </row>
    <row r="604" spans="1:23">
      <c r="A604" s="93">
        <v>140351</v>
      </c>
      <c r="B604" s="93" t="s">
        <v>447</v>
      </c>
      <c r="C604" s="93">
        <v>19</v>
      </c>
      <c r="D604" s="78"/>
      <c r="E604" s="78"/>
      <c r="F604" s="78">
        <v>2</v>
      </c>
      <c r="G604" s="93">
        <v>5</v>
      </c>
      <c r="H604" s="78">
        <v>0</v>
      </c>
      <c r="I604" s="78">
        <v>574</v>
      </c>
      <c r="J604" s="78">
        <v>560</v>
      </c>
      <c r="K604" s="78">
        <v>65</v>
      </c>
      <c r="L604" s="78">
        <v>10500</v>
      </c>
      <c r="M604" s="78">
        <v>100</v>
      </c>
      <c r="N604" s="78">
        <v>100</v>
      </c>
      <c r="O604" s="78">
        <v>100</v>
      </c>
      <c r="P604" s="78"/>
      <c r="Q604" s="78"/>
      <c r="R604" s="78"/>
      <c r="S604" s="78"/>
      <c r="U604" s="78"/>
      <c r="V604" s="93">
        <v>3</v>
      </c>
      <c r="W604" s="93" t="s">
        <v>5138</v>
      </c>
    </row>
    <row r="605" spans="1:23">
      <c r="A605" s="93">
        <v>140352</v>
      </c>
      <c r="B605" s="93" t="s">
        <v>447</v>
      </c>
      <c r="C605" s="93">
        <v>19</v>
      </c>
      <c r="D605" s="78"/>
      <c r="E605" s="78"/>
      <c r="F605" s="78">
        <v>2</v>
      </c>
      <c r="G605" s="93">
        <v>6</v>
      </c>
      <c r="H605" s="78">
        <v>0</v>
      </c>
      <c r="I605" s="78">
        <v>616</v>
      </c>
      <c r="J605" s="78">
        <v>603</v>
      </c>
      <c r="K605" s="78">
        <v>75</v>
      </c>
      <c r="L605" s="78">
        <v>15000</v>
      </c>
      <c r="M605" s="78">
        <v>100</v>
      </c>
      <c r="N605" s="78">
        <v>100</v>
      </c>
      <c r="O605" s="78">
        <v>100</v>
      </c>
      <c r="P605" s="78"/>
      <c r="Q605" s="78"/>
      <c r="R605" s="78"/>
      <c r="S605" s="78"/>
      <c r="U605" s="78"/>
      <c r="V605" s="93">
        <v>3</v>
      </c>
      <c r="W605" s="93" t="s">
        <v>5138</v>
      </c>
    </row>
    <row r="606" spans="1:23">
      <c r="A606" s="93">
        <v>140353</v>
      </c>
      <c r="B606" s="93" t="s">
        <v>447</v>
      </c>
      <c r="C606" s="93">
        <v>19</v>
      </c>
      <c r="D606" s="78"/>
      <c r="E606" s="78"/>
      <c r="F606" s="78">
        <v>2</v>
      </c>
      <c r="G606" s="93">
        <v>7</v>
      </c>
      <c r="H606" s="78">
        <v>0</v>
      </c>
      <c r="I606" s="78">
        <v>660</v>
      </c>
      <c r="J606" s="78">
        <v>645</v>
      </c>
      <c r="K606" s="78">
        <v>86</v>
      </c>
      <c r="L606" s="78">
        <v>21000</v>
      </c>
      <c r="M606" s="78">
        <v>100</v>
      </c>
      <c r="N606" s="78">
        <v>100</v>
      </c>
      <c r="O606" s="78">
        <v>100</v>
      </c>
      <c r="P606" s="78"/>
      <c r="Q606" s="78"/>
      <c r="R606" s="78"/>
      <c r="S606" s="78"/>
      <c r="U606" s="78"/>
      <c r="V606" s="93">
        <v>3</v>
      </c>
      <c r="W606" s="93" t="s">
        <v>5138</v>
      </c>
    </row>
    <row r="607" spans="1:23">
      <c r="A607" s="93">
        <v>140354</v>
      </c>
      <c r="B607" s="93" t="s">
        <v>447</v>
      </c>
      <c r="C607" s="93">
        <v>19</v>
      </c>
      <c r="D607" s="78"/>
      <c r="E607" s="78"/>
      <c r="F607" s="78">
        <v>2</v>
      </c>
      <c r="G607" s="93">
        <v>8</v>
      </c>
      <c r="H607" s="78">
        <v>0</v>
      </c>
      <c r="I607" s="78">
        <v>690</v>
      </c>
      <c r="J607" s="78">
        <v>700</v>
      </c>
      <c r="K607" s="78">
        <v>100</v>
      </c>
      <c r="L607" s="78">
        <v>50000</v>
      </c>
      <c r="M607" s="78">
        <v>100</v>
      </c>
      <c r="N607" s="78">
        <v>100</v>
      </c>
      <c r="O607" s="78">
        <v>100</v>
      </c>
      <c r="P607" s="78"/>
      <c r="Q607" s="78"/>
      <c r="R607" s="78"/>
      <c r="S607" s="78"/>
      <c r="U607" s="78"/>
      <c r="V607" s="93">
        <v>3</v>
      </c>
      <c r="W607" s="93" t="s">
        <v>5138</v>
      </c>
    </row>
    <row r="608" spans="1:23">
      <c r="A608" s="93">
        <v>140361</v>
      </c>
      <c r="B608" s="93" t="s">
        <v>454</v>
      </c>
      <c r="C608" s="93">
        <v>19</v>
      </c>
      <c r="D608" s="78"/>
      <c r="E608" s="78"/>
      <c r="F608" s="78">
        <v>2</v>
      </c>
      <c r="G608" s="93">
        <v>5</v>
      </c>
      <c r="H608" s="78">
        <v>0</v>
      </c>
      <c r="I608" s="78">
        <v>541</v>
      </c>
      <c r="J608" s="78">
        <v>587</v>
      </c>
      <c r="K608" s="78">
        <v>52</v>
      </c>
      <c r="L608" s="78">
        <v>10500</v>
      </c>
      <c r="M608" s="78">
        <v>100</v>
      </c>
      <c r="N608" s="78">
        <v>100</v>
      </c>
      <c r="O608" s="78">
        <v>100</v>
      </c>
      <c r="P608" s="78"/>
      <c r="Q608" s="78"/>
      <c r="R608" s="78"/>
      <c r="S608" s="78"/>
      <c r="U608" s="78"/>
      <c r="V608" s="93">
        <v>2</v>
      </c>
      <c r="W608" s="93" t="s">
        <v>5138</v>
      </c>
    </row>
    <row r="609" spans="1:23">
      <c r="A609" s="93">
        <v>140362</v>
      </c>
      <c r="B609" s="93" t="s">
        <v>454</v>
      </c>
      <c r="C609" s="93">
        <v>19</v>
      </c>
      <c r="D609" s="78"/>
      <c r="E609" s="78"/>
      <c r="F609" s="78">
        <v>2</v>
      </c>
      <c r="G609" s="93">
        <v>6</v>
      </c>
      <c r="H609" s="78">
        <v>0</v>
      </c>
      <c r="I609" s="78">
        <v>587</v>
      </c>
      <c r="J609" s="78">
        <v>634</v>
      </c>
      <c r="K609" s="78">
        <v>64</v>
      </c>
      <c r="L609" s="78">
        <v>15000</v>
      </c>
      <c r="M609" s="78">
        <v>100</v>
      </c>
      <c r="N609" s="78">
        <v>100</v>
      </c>
      <c r="O609" s="78">
        <v>100</v>
      </c>
      <c r="P609" s="78"/>
      <c r="Q609" s="78"/>
      <c r="R609" s="78"/>
      <c r="S609" s="78"/>
      <c r="U609" s="78"/>
      <c r="V609" s="93">
        <v>2</v>
      </c>
      <c r="W609" s="93" t="s">
        <v>5138</v>
      </c>
    </row>
    <row r="610" spans="1:23">
      <c r="A610" s="93">
        <v>140363</v>
      </c>
      <c r="B610" s="93" t="s">
        <v>454</v>
      </c>
      <c r="C610" s="93">
        <v>19</v>
      </c>
      <c r="D610" s="78"/>
      <c r="E610" s="78"/>
      <c r="F610" s="78">
        <v>2</v>
      </c>
      <c r="G610" s="93">
        <v>7</v>
      </c>
      <c r="H610" s="78">
        <v>0</v>
      </c>
      <c r="I610" s="78">
        <v>634</v>
      </c>
      <c r="J610" s="78">
        <v>677</v>
      </c>
      <c r="K610" s="78">
        <v>76</v>
      </c>
      <c r="L610" s="78">
        <v>21000</v>
      </c>
      <c r="M610" s="78">
        <v>100</v>
      </c>
      <c r="N610" s="78">
        <v>100</v>
      </c>
      <c r="O610" s="78">
        <v>100</v>
      </c>
      <c r="P610" s="78"/>
      <c r="Q610" s="78"/>
      <c r="R610" s="78"/>
      <c r="S610" s="78"/>
      <c r="U610" s="78"/>
      <c r="V610" s="93">
        <v>2</v>
      </c>
      <c r="W610" s="93" t="s">
        <v>5138</v>
      </c>
    </row>
    <row r="611" spans="1:23">
      <c r="A611" s="93">
        <v>140371</v>
      </c>
      <c r="B611" s="93" t="s">
        <v>459</v>
      </c>
      <c r="C611" s="93">
        <v>19</v>
      </c>
      <c r="D611" s="78"/>
      <c r="E611" s="78"/>
      <c r="F611" s="78">
        <v>2</v>
      </c>
      <c r="G611" s="93">
        <v>5</v>
      </c>
      <c r="H611" s="78">
        <v>0</v>
      </c>
      <c r="I611" s="78">
        <v>545</v>
      </c>
      <c r="J611" s="78">
        <v>545</v>
      </c>
      <c r="K611" s="78">
        <v>63</v>
      </c>
      <c r="L611" s="78">
        <v>10500</v>
      </c>
      <c r="M611" s="78">
        <v>100</v>
      </c>
      <c r="N611" s="78">
        <v>100</v>
      </c>
      <c r="O611" s="78">
        <v>100</v>
      </c>
      <c r="P611" s="78"/>
      <c r="Q611" s="78"/>
      <c r="R611" s="78"/>
      <c r="S611" s="78"/>
      <c r="U611" s="78"/>
      <c r="V611" s="93">
        <v>3</v>
      </c>
      <c r="W611" s="93" t="s">
        <v>5138</v>
      </c>
    </row>
    <row r="612" spans="1:23">
      <c r="A612" s="93">
        <v>140372</v>
      </c>
      <c r="B612" s="93" t="s">
        <v>459</v>
      </c>
      <c r="C612" s="93">
        <v>19</v>
      </c>
      <c r="D612" s="78"/>
      <c r="E612" s="78"/>
      <c r="F612" s="78">
        <v>2</v>
      </c>
      <c r="G612" s="93">
        <v>6</v>
      </c>
      <c r="H612" s="78">
        <v>0</v>
      </c>
      <c r="I612" s="78">
        <v>600</v>
      </c>
      <c r="J612" s="78">
        <v>600</v>
      </c>
      <c r="K612" s="78">
        <v>74</v>
      </c>
      <c r="L612" s="78">
        <v>15000</v>
      </c>
      <c r="M612" s="78">
        <v>100</v>
      </c>
      <c r="N612" s="78">
        <v>100</v>
      </c>
      <c r="O612" s="78">
        <v>100</v>
      </c>
      <c r="P612" s="78"/>
      <c r="Q612" s="78"/>
      <c r="R612" s="78"/>
      <c r="S612" s="78"/>
      <c r="U612" s="78"/>
      <c r="V612" s="93">
        <v>3</v>
      </c>
      <c r="W612" s="93" t="s">
        <v>5138</v>
      </c>
    </row>
    <row r="613" spans="1:23">
      <c r="A613" s="93">
        <v>140373</v>
      </c>
      <c r="B613" s="93" t="s">
        <v>459</v>
      </c>
      <c r="C613" s="93">
        <v>19</v>
      </c>
      <c r="D613" s="78"/>
      <c r="E613" s="78"/>
      <c r="F613" s="78">
        <v>2</v>
      </c>
      <c r="G613" s="93">
        <v>7</v>
      </c>
      <c r="H613" s="78">
        <v>0</v>
      </c>
      <c r="I613" s="78">
        <v>660</v>
      </c>
      <c r="J613" s="78">
        <v>660</v>
      </c>
      <c r="K613" s="78">
        <v>86</v>
      </c>
      <c r="L613" s="78">
        <v>21000</v>
      </c>
      <c r="M613" s="78">
        <v>100</v>
      </c>
      <c r="N613" s="78">
        <v>100</v>
      </c>
      <c r="O613" s="78">
        <v>100</v>
      </c>
      <c r="P613" s="78"/>
      <c r="Q613" s="78"/>
      <c r="R613" s="78"/>
      <c r="S613" s="78"/>
      <c r="U613" s="78"/>
      <c r="V613" s="93">
        <v>3</v>
      </c>
      <c r="W613" s="93" t="s">
        <v>5138</v>
      </c>
    </row>
    <row r="614" spans="1:23">
      <c r="A614" s="93">
        <v>140382</v>
      </c>
      <c r="B614" s="93" t="s">
        <v>464</v>
      </c>
      <c r="C614" s="93">
        <v>19</v>
      </c>
      <c r="D614" s="78"/>
      <c r="E614" s="78"/>
      <c r="F614" s="78">
        <v>2</v>
      </c>
      <c r="G614" s="93">
        <v>5</v>
      </c>
      <c r="H614" s="78">
        <v>0</v>
      </c>
      <c r="I614" s="78">
        <v>545</v>
      </c>
      <c r="J614" s="78">
        <v>545</v>
      </c>
      <c r="K614" s="78">
        <v>65</v>
      </c>
      <c r="L614" s="78">
        <v>10500</v>
      </c>
      <c r="M614" s="78">
        <v>100</v>
      </c>
      <c r="N614" s="78">
        <v>100</v>
      </c>
      <c r="O614" s="78">
        <v>100</v>
      </c>
      <c r="P614" s="78"/>
      <c r="Q614" s="78"/>
      <c r="R614" s="78"/>
      <c r="S614" s="78"/>
      <c r="U614" s="78"/>
      <c r="V614" s="93">
        <v>3</v>
      </c>
      <c r="W614" s="93" t="s">
        <v>5138</v>
      </c>
    </row>
    <row r="615" spans="1:23">
      <c r="A615" s="93">
        <v>140391</v>
      </c>
      <c r="B615" s="93" t="s">
        <v>468</v>
      </c>
      <c r="C615" s="93">
        <v>19</v>
      </c>
      <c r="D615" s="78"/>
      <c r="E615" s="78"/>
      <c r="F615" s="78">
        <v>2</v>
      </c>
      <c r="G615" s="93">
        <v>5</v>
      </c>
      <c r="H615" s="78">
        <v>0</v>
      </c>
      <c r="I615" s="78">
        <v>591</v>
      </c>
      <c r="J615" s="78">
        <v>561</v>
      </c>
      <c r="K615" s="78">
        <v>53</v>
      </c>
      <c r="L615" s="78">
        <v>10500</v>
      </c>
      <c r="M615" s="78">
        <v>100</v>
      </c>
      <c r="N615" s="78">
        <v>100</v>
      </c>
      <c r="O615" s="78">
        <v>100</v>
      </c>
      <c r="P615" s="78"/>
      <c r="Q615" s="78"/>
      <c r="R615" s="78"/>
      <c r="S615" s="78"/>
      <c r="U615" s="78"/>
      <c r="V615" s="93">
        <v>1</v>
      </c>
      <c r="W615" s="93" t="s">
        <v>5138</v>
      </c>
    </row>
    <row r="616" spans="1:23">
      <c r="A616" s="93">
        <v>140392</v>
      </c>
      <c r="B616" s="93" t="s">
        <v>468</v>
      </c>
      <c r="C616" s="93">
        <v>19</v>
      </c>
      <c r="D616" s="78"/>
      <c r="E616" s="78"/>
      <c r="F616" s="78">
        <v>2</v>
      </c>
      <c r="G616" s="93">
        <v>6</v>
      </c>
      <c r="H616" s="78">
        <v>0</v>
      </c>
      <c r="I616" s="78">
        <v>633</v>
      </c>
      <c r="J616" s="78">
        <v>603</v>
      </c>
      <c r="K616" s="78">
        <v>64</v>
      </c>
      <c r="L616" s="78">
        <v>15000</v>
      </c>
      <c r="M616" s="78">
        <v>100</v>
      </c>
      <c r="N616" s="78">
        <v>100</v>
      </c>
      <c r="O616" s="78">
        <v>100</v>
      </c>
      <c r="P616" s="78"/>
      <c r="Q616" s="78"/>
      <c r="R616" s="78"/>
      <c r="S616" s="78"/>
      <c r="U616" s="78"/>
      <c r="V616" s="93">
        <v>1</v>
      </c>
      <c r="W616" s="93" t="s">
        <v>5138</v>
      </c>
    </row>
    <row r="617" spans="1:23">
      <c r="A617" s="93">
        <v>140393</v>
      </c>
      <c r="B617" s="93" t="s">
        <v>468</v>
      </c>
      <c r="C617" s="93">
        <v>19</v>
      </c>
      <c r="D617" s="78"/>
      <c r="E617" s="78"/>
      <c r="F617" s="78">
        <v>2</v>
      </c>
      <c r="G617" s="93">
        <v>7</v>
      </c>
      <c r="H617" s="78">
        <v>0</v>
      </c>
      <c r="I617" s="78">
        <v>676</v>
      </c>
      <c r="J617" s="78">
        <v>651</v>
      </c>
      <c r="K617" s="78">
        <v>75</v>
      </c>
      <c r="L617" s="78">
        <v>21000</v>
      </c>
      <c r="M617" s="78">
        <v>100</v>
      </c>
      <c r="N617" s="78">
        <v>100</v>
      </c>
      <c r="O617" s="78">
        <v>100</v>
      </c>
      <c r="P617" s="78"/>
      <c r="Q617" s="78"/>
      <c r="R617" s="78"/>
      <c r="S617" s="78"/>
      <c r="U617" s="78"/>
      <c r="V617" s="93">
        <v>1</v>
      </c>
      <c r="W617" s="93" t="s">
        <v>5138</v>
      </c>
    </row>
    <row r="618" spans="1:23">
      <c r="A618" s="93">
        <v>140401</v>
      </c>
      <c r="B618" s="93" t="s">
        <v>473</v>
      </c>
      <c r="C618" s="93">
        <v>19</v>
      </c>
      <c r="D618" s="78"/>
      <c r="E618" s="78"/>
      <c r="F618" s="78">
        <v>2</v>
      </c>
      <c r="G618" s="93">
        <v>5</v>
      </c>
      <c r="H618" s="78">
        <v>0</v>
      </c>
      <c r="I618" s="78">
        <v>574</v>
      </c>
      <c r="J618" s="78">
        <v>536</v>
      </c>
      <c r="K618" s="78">
        <v>51</v>
      </c>
      <c r="L618" s="78">
        <v>10500</v>
      </c>
      <c r="M618" s="78">
        <v>100</v>
      </c>
      <c r="N618" s="78">
        <v>100</v>
      </c>
      <c r="O618" s="78">
        <v>100</v>
      </c>
      <c r="P618" s="78"/>
      <c r="Q618" s="78"/>
      <c r="R618" s="78"/>
      <c r="S618" s="78"/>
      <c r="U618" s="78"/>
      <c r="V618" s="93">
        <v>1</v>
      </c>
    </row>
    <row r="619" spans="1:23">
      <c r="A619" s="93">
        <v>140402</v>
      </c>
      <c r="B619" s="93" t="s">
        <v>473</v>
      </c>
      <c r="C619" s="93">
        <v>19</v>
      </c>
      <c r="D619" s="78"/>
      <c r="E619" s="78"/>
      <c r="F619" s="78">
        <v>2</v>
      </c>
      <c r="G619" s="93">
        <v>6</v>
      </c>
      <c r="H619" s="78">
        <v>0</v>
      </c>
      <c r="I619" s="78">
        <v>620</v>
      </c>
      <c r="J619" s="78">
        <v>588</v>
      </c>
      <c r="K619" s="78">
        <v>62</v>
      </c>
      <c r="L619" s="78">
        <v>15000</v>
      </c>
      <c r="M619" s="78">
        <v>100</v>
      </c>
      <c r="N619" s="78">
        <v>100</v>
      </c>
      <c r="O619" s="78">
        <v>100</v>
      </c>
      <c r="P619" s="78"/>
      <c r="Q619" s="78"/>
      <c r="R619" s="78"/>
      <c r="S619" s="78"/>
      <c r="U619" s="78"/>
      <c r="V619" s="93">
        <v>1</v>
      </c>
    </row>
    <row r="620" spans="1:23">
      <c r="A620" s="93">
        <v>140403</v>
      </c>
      <c r="B620" s="93" t="s">
        <v>473</v>
      </c>
      <c r="C620" s="93">
        <v>19</v>
      </c>
      <c r="D620" s="78"/>
      <c r="E620" s="78"/>
      <c r="F620" s="78">
        <v>2</v>
      </c>
      <c r="G620" s="93">
        <v>7</v>
      </c>
      <c r="H620" s="78">
        <v>0</v>
      </c>
      <c r="I620" s="78">
        <v>668</v>
      </c>
      <c r="J620" s="78">
        <v>642</v>
      </c>
      <c r="K620" s="78">
        <v>72</v>
      </c>
      <c r="L620" s="78">
        <v>21000</v>
      </c>
      <c r="M620" s="78">
        <v>100</v>
      </c>
      <c r="N620" s="78">
        <v>100</v>
      </c>
      <c r="O620" s="78">
        <v>100</v>
      </c>
      <c r="P620" s="78"/>
      <c r="Q620" s="78"/>
      <c r="R620" s="78"/>
      <c r="S620" s="78"/>
      <c r="U620" s="78"/>
      <c r="V620" s="93">
        <v>1</v>
      </c>
    </row>
    <row r="621" spans="1:23">
      <c r="A621" s="93">
        <v>140411</v>
      </c>
      <c r="B621" s="93" t="s">
        <v>478</v>
      </c>
      <c r="C621" s="93">
        <v>19</v>
      </c>
      <c r="D621" s="78"/>
      <c r="E621" s="78"/>
      <c r="F621" s="78">
        <v>2</v>
      </c>
      <c r="G621" s="93">
        <v>5</v>
      </c>
      <c r="H621" s="78">
        <v>0</v>
      </c>
      <c r="I621" s="78">
        <v>539</v>
      </c>
      <c r="J621" s="78">
        <v>568</v>
      </c>
      <c r="K621" s="78">
        <v>54</v>
      </c>
      <c r="L621" s="78">
        <v>10500</v>
      </c>
      <c r="M621" s="78">
        <v>100</v>
      </c>
      <c r="N621" s="78">
        <v>100</v>
      </c>
      <c r="O621" s="78">
        <v>100</v>
      </c>
      <c r="P621" s="78"/>
      <c r="Q621" s="78"/>
      <c r="R621" s="78"/>
      <c r="S621" s="78"/>
      <c r="U621" s="78"/>
      <c r="V621" s="93">
        <v>2</v>
      </c>
    </row>
    <row r="622" spans="1:23">
      <c r="A622" s="93">
        <v>140412</v>
      </c>
      <c r="B622" s="93" t="s">
        <v>478</v>
      </c>
      <c r="C622" s="93">
        <v>19</v>
      </c>
      <c r="D622" s="78"/>
      <c r="E622" s="78"/>
      <c r="F622" s="78">
        <v>2</v>
      </c>
      <c r="G622" s="93">
        <v>6</v>
      </c>
      <c r="H622" s="78">
        <v>0</v>
      </c>
      <c r="I622" s="78">
        <v>591</v>
      </c>
      <c r="J622" s="78">
        <v>619</v>
      </c>
      <c r="K622" s="78">
        <v>64</v>
      </c>
      <c r="L622" s="78">
        <v>15000</v>
      </c>
      <c r="M622" s="78">
        <v>100</v>
      </c>
      <c r="N622" s="78">
        <v>100</v>
      </c>
      <c r="O622" s="78">
        <v>100</v>
      </c>
      <c r="P622" s="78"/>
      <c r="Q622" s="78"/>
      <c r="R622" s="78"/>
      <c r="S622" s="78"/>
      <c r="U622" s="78"/>
      <c r="V622" s="93">
        <v>2</v>
      </c>
    </row>
    <row r="623" spans="1:23">
      <c r="A623" s="93">
        <v>140413</v>
      </c>
      <c r="B623" s="93" t="s">
        <v>478</v>
      </c>
      <c r="C623" s="93">
        <v>19</v>
      </c>
      <c r="D623" s="78"/>
      <c r="E623" s="78"/>
      <c r="F623" s="78">
        <v>2</v>
      </c>
      <c r="G623" s="93">
        <v>7</v>
      </c>
      <c r="H623" s="78">
        <v>0</v>
      </c>
      <c r="I623" s="78">
        <v>644</v>
      </c>
      <c r="J623" s="78">
        <v>671</v>
      </c>
      <c r="K623" s="78">
        <v>74</v>
      </c>
      <c r="L623" s="78">
        <v>21000</v>
      </c>
      <c r="M623" s="78">
        <v>100</v>
      </c>
      <c r="N623" s="78">
        <v>100</v>
      </c>
      <c r="O623" s="78">
        <v>100</v>
      </c>
      <c r="P623" s="78"/>
      <c r="Q623" s="78"/>
      <c r="R623" s="78"/>
      <c r="S623" s="78"/>
      <c r="U623" s="78"/>
      <c r="V623" s="93">
        <v>2</v>
      </c>
    </row>
    <row r="624" spans="1:23">
      <c r="A624" s="93">
        <v>140421</v>
      </c>
      <c r="B624" s="93" t="s">
        <v>484</v>
      </c>
      <c r="C624" s="93">
        <v>19</v>
      </c>
      <c r="D624" s="78"/>
      <c r="E624" s="78"/>
      <c r="F624" s="78">
        <v>2</v>
      </c>
      <c r="G624" s="93">
        <v>5</v>
      </c>
      <c r="H624" s="78">
        <v>0</v>
      </c>
      <c r="I624" s="78">
        <v>561</v>
      </c>
      <c r="J624" s="78">
        <v>550</v>
      </c>
      <c r="K624" s="78">
        <v>51</v>
      </c>
      <c r="L624" s="78">
        <v>10500</v>
      </c>
      <c r="M624" s="78">
        <v>100</v>
      </c>
      <c r="N624" s="78">
        <v>100</v>
      </c>
      <c r="O624" s="78">
        <v>100</v>
      </c>
      <c r="P624" s="78"/>
      <c r="Q624" s="78"/>
      <c r="R624" s="78"/>
      <c r="S624" s="78"/>
      <c r="U624" s="78"/>
      <c r="V624" s="93">
        <v>1</v>
      </c>
    </row>
    <row r="625" spans="1:23">
      <c r="A625" s="93">
        <v>140422</v>
      </c>
      <c r="B625" s="93" t="s">
        <v>484</v>
      </c>
      <c r="C625" s="93">
        <v>19</v>
      </c>
      <c r="D625" s="78"/>
      <c r="E625" s="78"/>
      <c r="F625" s="78">
        <v>2</v>
      </c>
      <c r="G625" s="93">
        <v>6</v>
      </c>
      <c r="H625" s="78">
        <v>0</v>
      </c>
      <c r="I625" s="78">
        <v>608</v>
      </c>
      <c r="J625" s="78">
        <v>597</v>
      </c>
      <c r="K625" s="78">
        <v>63</v>
      </c>
      <c r="L625" s="78">
        <v>15000</v>
      </c>
      <c r="M625" s="78">
        <v>100</v>
      </c>
      <c r="N625" s="78">
        <v>100</v>
      </c>
      <c r="O625" s="78">
        <v>100</v>
      </c>
      <c r="P625" s="78"/>
      <c r="Q625" s="78"/>
      <c r="R625" s="78"/>
      <c r="S625" s="78"/>
      <c r="U625" s="78"/>
      <c r="V625" s="93">
        <v>1</v>
      </c>
    </row>
    <row r="626" spans="1:23">
      <c r="A626" s="93">
        <v>140423</v>
      </c>
      <c r="B626" s="93" t="s">
        <v>484</v>
      </c>
      <c r="C626" s="93">
        <v>19</v>
      </c>
      <c r="D626" s="78"/>
      <c r="E626" s="78"/>
      <c r="F626" s="78">
        <v>2</v>
      </c>
      <c r="G626" s="93">
        <v>7</v>
      </c>
      <c r="H626" s="78">
        <v>0</v>
      </c>
      <c r="I626" s="78">
        <v>661</v>
      </c>
      <c r="J626" s="78">
        <v>651</v>
      </c>
      <c r="K626" s="78">
        <v>74</v>
      </c>
      <c r="L626" s="78">
        <v>21000</v>
      </c>
      <c r="M626" s="78">
        <v>100</v>
      </c>
      <c r="N626" s="78">
        <v>100</v>
      </c>
      <c r="O626" s="78">
        <v>100</v>
      </c>
      <c r="P626" s="78"/>
      <c r="Q626" s="78"/>
      <c r="R626" s="78"/>
      <c r="S626" s="78"/>
      <c r="U626" s="78"/>
      <c r="V626" s="93">
        <v>1</v>
      </c>
    </row>
    <row r="627" spans="1:23">
      <c r="A627" s="93">
        <v>140431</v>
      </c>
      <c r="B627" s="93" t="s">
        <v>489</v>
      </c>
      <c r="C627" s="93">
        <v>19</v>
      </c>
      <c r="D627" s="78"/>
      <c r="E627" s="78"/>
      <c r="F627" s="78">
        <v>2</v>
      </c>
      <c r="G627" s="93">
        <v>5</v>
      </c>
      <c r="H627" s="78">
        <v>0</v>
      </c>
      <c r="I627" s="78">
        <v>548</v>
      </c>
      <c r="J627" s="78">
        <v>575</v>
      </c>
      <c r="K627" s="78">
        <v>54</v>
      </c>
      <c r="L627" s="78">
        <v>10500</v>
      </c>
      <c r="M627" s="78">
        <v>100</v>
      </c>
      <c r="N627" s="78">
        <v>100</v>
      </c>
      <c r="O627" s="78">
        <v>100</v>
      </c>
      <c r="P627" s="78"/>
      <c r="Q627" s="78"/>
      <c r="R627" s="78"/>
      <c r="S627" s="78"/>
      <c r="U627" s="78"/>
      <c r="V627" s="93">
        <v>2</v>
      </c>
    </row>
    <row r="628" spans="1:23">
      <c r="A628" s="93">
        <v>140432</v>
      </c>
      <c r="B628" s="93" t="s">
        <v>489</v>
      </c>
      <c r="C628" s="93">
        <v>19</v>
      </c>
      <c r="D628" s="78"/>
      <c r="E628" s="78"/>
      <c r="F628" s="78">
        <v>2</v>
      </c>
      <c r="G628" s="93">
        <v>6</v>
      </c>
      <c r="H628" s="78">
        <v>0</v>
      </c>
      <c r="I628" s="78">
        <v>594</v>
      </c>
      <c r="J628" s="78">
        <v>623</v>
      </c>
      <c r="K628" s="78">
        <v>64</v>
      </c>
      <c r="L628" s="78">
        <v>15000</v>
      </c>
      <c r="M628" s="78">
        <v>100</v>
      </c>
      <c r="N628" s="78">
        <v>100</v>
      </c>
      <c r="O628" s="78">
        <v>100</v>
      </c>
      <c r="P628" s="78"/>
      <c r="Q628" s="78"/>
      <c r="R628" s="78"/>
      <c r="S628" s="78"/>
      <c r="U628" s="78"/>
      <c r="V628" s="93">
        <v>2</v>
      </c>
    </row>
    <row r="629" spans="1:23">
      <c r="A629" s="93">
        <v>140433</v>
      </c>
      <c r="B629" s="93" t="s">
        <v>489</v>
      </c>
      <c r="C629" s="93">
        <v>19</v>
      </c>
      <c r="D629" s="78"/>
      <c r="E629" s="78"/>
      <c r="F629" s="78">
        <v>2</v>
      </c>
      <c r="G629" s="93">
        <v>7</v>
      </c>
      <c r="H629" s="78">
        <v>0</v>
      </c>
      <c r="I629" s="78">
        <v>643</v>
      </c>
      <c r="J629" s="78">
        <v>672</v>
      </c>
      <c r="K629" s="78">
        <v>74</v>
      </c>
      <c r="L629" s="78">
        <v>21000</v>
      </c>
      <c r="M629" s="78">
        <v>100</v>
      </c>
      <c r="N629" s="78">
        <v>100</v>
      </c>
      <c r="O629" s="78">
        <v>100</v>
      </c>
      <c r="P629" s="78"/>
      <c r="Q629" s="78"/>
      <c r="R629" s="78"/>
      <c r="S629" s="78"/>
      <c r="U629" s="78"/>
      <c r="V629" s="93">
        <v>2</v>
      </c>
    </row>
    <row r="630" spans="1:23">
      <c r="A630" s="93">
        <v>140441</v>
      </c>
      <c r="B630" s="93" t="s">
        <v>495</v>
      </c>
      <c r="C630" s="93">
        <v>19</v>
      </c>
      <c r="D630" s="78"/>
      <c r="E630" s="78"/>
      <c r="F630" s="78">
        <v>2</v>
      </c>
      <c r="G630" s="93">
        <v>5</v>
      </c>
      <c r="H630" s="78">
        <v>0</v>
      </c>
      <c r="I630" s="78">
        <v>542</v>
      </c>
      <c r="J630" s="78">
        <v>580</v>
      </c>
      <c r="K630" s="78">
        <v>54</v>
      </c>
      <c r="L630" s="78">
        <v>10500</v>
      </c>
      <c r="M630" s="78">
        <v>100</v>
      </c>
      <c r="N630" s="78">
        <v>100</v>
      </c>
      <c r="O630" s="78">
        <v>100</v>
      </c>
      <c r="P630" s="78"/>
      <c r="Q630" s="78"/>
      <c r="R630" s="78"/>
      <c r="S630" s="78"/>
      <c r="U630" s="78"/>
      <c r="V630" s="93">
        <v>2</v>
      </c>
    </row>
    <row r="631" spans="1:23">
      <c r="A631" s="93">
        <v>140442</v>
      </c>
      <c r="B631" s="93" t="s">
        <v>495</v>
      </c>
      <c r="C631" s="93">
        <v>19</v>
      </c>
      <c r="D631" s="78"/>
      <c r="E631" s="78"/>
      <c r="F631" s="78">
        <v>2</v>
      </c>
      <c r="G631" s="93">
        <v>6</v>
      </c>
      <c r="H631" s="78">
        <v>0</v>
      </c>
      <c r="I631" s="78">
        <v>592</v>
      </c>
      <c r="J631" s="78">
        <v>625</v>
      </c>
      <c r="K631" s="78">
        <v>64</v>
      </c>
      <c r="L631" s="78">
        <v>15000</v>
      </c>
      <c r="M631" s="78">
        <v>100</v>
      </c>
      <c r="N631" s="78">
        <v>100</v>
      </c>
      <c r="O631" s="78">
        <v>100</v>
      </c>
      <c r="P631" s="78"/>
      <c r="Q631" s="78"/>
      <c r="R631" s="78"/>
      <c r="S631" s="78"/>
      <c r="U631" s="78"/>
      <c r="V631" s="93">
        <v>2</v>
      </c>
    </row>
    <row r="632" spans="1:23">
      <c r="A632" s="93">
        <v>140443</v>
      </c>
      <c r="B632" s="93" t="s">
        <v>495</v>
      </c>
      <c r="C632" s="93">
        <v>19</v>
      </c>
      <c r="D632" s="78"/>
      <c r="E632" s="78"/>
      <c r="F632" s="78">
        <v>2</v>
      </c>
      <c r="G632" s="93">
        <v>7</v>
      </c>
      <c r="H632" s="78">
        <v>0</v>
      </c>
      <c r="I632" s="78">
        <v>642</v>
      </c>
      <c r="J632" s="78">
        <v>670</v>
      </c>
      <c r="K632" s="78">
        <v>74</v>
      </c>
      <c r="L632" s="78">
        <v>21000</v>
      </c>
      <c r="M632" s="78">
        <v>100</v>
      </c>
      <c r="N632" s="78">
        <v>100</v>
      </c>
      <c r="O632" s="78">
        <v>100</v>
      </c>
      <c r="P632" s="78"/>
      <c r="Q632" s="78"/>
      <c r="R632" s="78"/>
      <c r="S632" s="78"/>
      <c r="U632" s="78"/>
      <c r="V632" s="93">
        <v>2</v>
      </c>
    </row>
    <row r="633" spans="1:23">
      <c r="A633" s="93">
        <v>140451</v>
      </c>
      <c r="B633" s="93" t="s">
        <v>501</v>
      </c>
      <c r="C633" s="93">
        <v>19</v>
      </c>
      <c r="D633" s="78"/>
      <c r="E633" s="78"/>
      <c r="F633" s="78">
        <v>2</v>
      </c>
      <c r="G633" s="93">
        <v>5</v>
      </c>
      <c r="H633" s="78">
        <v>0</v>
      </c>
      <c r="I633" s="78">
        <v>546</v>
      </c>
      <c r="J633" s="78">
        <v>576</v>
      </c>
      <c r="K633" s="78">
        <v>56</v>
      </c>
      <c r="L633" s="78">
        <v>10500</v>
      </c>
      <c r="M633" s="78">
        <v>100</v>
      </c>
      <c r="N633" s="78">
        <v>100</v>
      </c>
      <c r="O633" s="78">
        <v>100</v>
      </c>
      <c r="P633" s="78"/>
      <c r="Q633" s="78"/>
      <c r="R633" s="78"/>
      <c r="S633" s="78"/>
      <c r="U633" s="78"/>
      <c r="V633" s="93">
        <v>2</v>
      </c>
    </row>
    <row r="634" spans="1:23">
      <c r="A634" s="93">
        <v>140452</v>
      </c>
      <c r="B634" s="93" t="s">
        <v>501</v>
      </c>
      <c r="C634" s="93">
        <v>19</v>
      </c>
      <c r="D634" s="78"/>
      <c r="E634" s="78"/>
      <c r="F634" s="78">
        <v>2</v>
      </c>
      <c r="G634" s="93">
        <v>6</v>
      </c>
      <c r="H634" s="78">
        <v>0</v>
      </c>
      <c r="I634" s="78">
        <v>601</v>
      </c>
      <c r="J634" s="78">
        <v>636</v>
      </c>
      <c r="K634" s="78">
        <v>66</v>
      </c>
      <c r="L634" s="78">
        <v>15000</v>
      </c>
      <c r="M634" s="78">
        <v>100</v>
      </c>
      <c r="N634" s="78">
        <v>100</v>
      </c>
      <c r="O634" s="78">
        <v>100</v>
      </c>
      <c r="P634" s="78"/>
      <c r="Q634" s="78"/>
      <c r="R634" s="78"/>
      <c r="S634" s="78"/>
      <c r="U634" s="78"/>
      <c r="V634" s="93">
        <v>2</v>
      </c>
    </row>
    <row r="635" spans="1:23">
      <c r="A635" s="93">
        <v>140453</v>
      </c>
      <c r="B635" s="93" t="s">
        <v>501</v>
      </c>
      <c r="C635" s="93">
        <v>19</v>
      </c>
      <c r="D635" s="78"/>
      <c r="E635" s="78"/>
      <c r="F635" s="78">
        <v>2</v>
      </c>
      <c r="G635" s="93">
        <v>7</v>
      </c>
      <c r="H635" s="78">
        <v>0</v>
      </c>
      <c r="I635" s="78">
        <v>656</v>
      </c>
      <c r="J635" s="78">
        <v>696</v>
      </c>
      <c r="K635" s="78">
        <v>76</v>
      </c>
      <c r="L635" s="78">
        <v>21000</v>
      </c>
      <c r="M635" s="78">
        <v>100</v>
      </c>
      <c r="N635" s="78">
        <v>100</v>
      </c>
      <c r="O635" s="78">
        <v>100</v>
      </c>
      <c r="P635" s="78"/>
      <c r="Q635" s="78"/>
      <c r="R635" s="78"/>
      <c r="S635" s="78"/>
      <c r="U635" s="78"/>
      <c r="V635" s="93">
        <v>2</v>
      </c>
    </row>
    <row r="636" spans="1:23">
      <c r="A636" s="93">
        <v>140461</v>
      </c>
      <c r="B636" s="93" t="s">
        <v>506</v>
      </c>
      <c r="C636" s="93">
        <v>19</v>
      </c>
      <c r="D636" s="78"/>
      <c r="E636" s="78"/>
      <c r="F636" s="78">
        <v>2</v>
      </c>
      <c r="G636" s="93">
        <v>5</v>
      </c>
      <c r="H636" s="78">
        <v>0</v>
      </c>
      <c r="I636" s="78">
        <v>556</v>
      </c>
      <c r="J636" s="78">
        <v>552</v>
      </c>
      <c r="K636" s="78">
        <v>61</v>
      </c>
      <c r="L636" s="78">
        <v>10500</v>
      </c>
      <c r="M636" s="78">
        <v>100</v>
      </c>
      <c r="N636" s="78">
        <v>100</v>
      </c>
      <c r="O636" s="78">
        <v>100</v>
      </c>
      <c r="P636" s="78"/>
      <c r="Q636" s="78"/>
      <c r="R636" s="78"/>
      <c r="S636" s="78"/>
      <c r="U636" s="78"/>
      <c r="V636" s="93">
        <v>3</v>
      </c>
    </row>
    <row r="637" spans="1:23">
      <c r="A637" s="93">
        <v>140462</v>
      </c>
      <c r="B637" s="93" t="s">
        <v>506</v>
      </c>
      <c r="C637" s="93">
        <v>19</v>
      </c>
      <c r="D637" s="78"/>
      <c r="E637" s="78"/>
      <c r="F637" s="78">
        <v>2</v>
      </c>
      <c r="G637" s="93">
        <v>6</v>
      </c>
      <c r="H637" s="78">
        <v>0</v>
      </c>
      <c r="I637" s="78">
        <v>601</v>
      </c>
      <c r="J637" s="78">
        <v>594</v>
      </c>
      <c r="K637" s="78">
        <v>72</v>
      </c>
      <c r="L637" s="78">
        <v>15000</v>
      </c>
      <c r="M637" s="78">
        <v>100</v>
      </c>
      <c r="N637" s="78">
        <v>100</v>
      </c>
      <c r="O637" s="78">
        <v>100</v>
      </c>
      <c r="P637" s="78"/>
      <c r="Q637" s="78"/>
      <c r="R637" s="78"/>
      <c r="S637" s="78"/>
      <c r="U637" s="78"/>
      <c r="V637" s="93">
        <v>3</v>
      </c>
    </row>
    <row r="638" spans="1:23">
      <c r="A638" s="93">
        <v>140463</v>
      </c>
      <c r="B638" s="93" t="s">
        <v>506</v>
      </c>
      <c r="C638" s="93">
        <v>19</v>
      </c>
      <c r="D638" s="78"/>
      <c r="E638" s="78"/>
      <c r="F638" s="78">
        <v>2</v>
      </c>
      <c r="G638" s="93">
        <v>7</v>
      </c>
      <c r="H638" s="78">
        <v>0</v>
      </c>
      <c r="I638" s="78">
        <v>646</v>
      </c>
      <c r="J638" s="78">
        <v>640</v>
      </c>
      <c r="K638" s="78">
        <v>82</v>
      </c>
      <c r="L638" s="78">
        <v>21000</v>
      </c>
      <c r="M638" s="78">
        <v>100</v>
      </c>
      <c r="N638" s="78">
        <v>100</v>
      </c>
      <c r="O638" s="78">
        <v>100</v>
      </c>
      <c r="P638" s="78"/>
      <c r="Q638" s="78"/>
      <c r="R638" s="78"/>
      <c r="S638" s="78"/>
      <c r="U638" s="78"/>
      <c r="V638" s="93">
        <v>3</v>
      </c>
    </row>
    <row r="639" spans="1:23">
      <c r="A639" s="93">
        <v>140811</v>
      </c>
      <c r="B639" s="93" t="s">
        <v>571</v>
      </c>
      <c r="C639" s="93">
        <v>19</v>
      </c>
      <c r="D639" s="78"/>
      <c r="E639" s="78"/>
      <c r="F639" s="78">
        <v>2</v>
      </c>
      <c r="G639" s="93">
        <v>5</v>
      </c>
      <c r="H639" s="78">
        <v>0</v>
      </c>
      <c r="I639" s="78">
        <v>580</v>
      </c>
      <c r="J639" s="78">
        <v>563</v>
      </c>
      <c r="K639" s="78">
        <v>53</v>
      </c>
      <c r="L639" s="78">
        <v>10500</v>
      </c>
      <c r="M639" s="78">
        <v>100</v>
      </c>
      <c r="N639" s="78">
        <v>100</v>
      </c>
      <c r="O639" s="78">
        <v>100</v>
      </c>
      <c r="P639" s="78"/>
      <c r="Q639" s="78"/>
      <c r="R639" s="78"/>
      <c r="S639" s="78"/>
      <c r="U639" s="78"/>
      <c r="V639" s="93">
        <v>1</v>
      </c>
      <c r="W639" s="93" t="s">
        <v>5138</v>
      </c>
    </row>
    <row r="640" spans="1:23">
      <c r="A640" s="93">
        <v>140812</v>
      </c>
      <c r="B640" s="93" t="s">
        <v>571</v>
      </c>
      <c r="C640" s="93">
        <v>19</v>
      </c>
      <c r="D640" s="78"/>
      <c r="E640" s="78"/>
      <c r="F640" s="78">
        <v>2</v>
      </c>
      <c r="G640" s="93">
        <v>6</v>
      </c>
      <c r="H640" s="78">
        <v>0</v>
      </c>
      <c r="I640" s="78">
        <v>627</v>
      </c>
      <c r="J640" s="78">
        <v>604</v>
      </c>
      <c r="K640" s="78">
        <v>63</v>
      </c>
      <c r="L640" s="78">
        <v>15000</v>
      </c>
      <c r="M640" s="78">
        <v>100</v>
      </c>
      <c r="N640" s="78">
        <v>100</v>
      </c>
      <c r="O640" s="78">
        <v>100</v>
      </c>
      <c r="P640" s="78"/>
      <c r="Q640" s="78"/>
      <c r="R640" s="78"/>
      <c r="S640" s="78"/>
      <c r="U640" s="78"/>
      <c r="V640" s="93">
        <v>1</v>
      </c>
      <c r="W640" s="93" t="s">
        <v>5138</v>
      </c>
    </row>
    <row r="641" spans="1:23">
      <c r="A641" s="93">
        <v>140813</v>
      </c>
      <c r="B641" s="93" t="s">
        <v>571</v>
      </c>
      <c r="C641" s="93">
        <v>19</v>
      </c>
      <c r="D641" s="78"/>
      <c r="E641" s="78"/>
      <c r="F641" s="78">
        <v>2</v>
      </c>
      <c r="G641" s="93">
        <v>7</v>
      </c>
      <c r="H641" s="78">
        <v>0</v>
      </c>
      <c r="I641" s="78">
        <v>672</v>
      </c>
      <c r="J641" s="78">
        <v>654</v>
      </c>
      <c r="K641" s="78">
        <v>74</v>
      </c>
      <c r="L641" s="78">
        <v>21000</v>
      </c>
      <c r="M641" s="78">
        <v>100</v>
      </c>
      <c r="N641" s="78">
        <v>100</v>
      </c>
      <c r="O641" s="78">
        <v>100</v>
      </c>
      <c r="P641" s="78"/>
      <c r="Q641" s="78"/>
      <c r="R641" s="78"/>
      <c r="S641" s="78"/>
      <c r="U641" s="78"/>
      <c r="V641" s="93">
        <v>1</v>
      </c>
      <c r="W641" s="93" t="s">
        <v>5138</v>
      </c>
    </row>
    <row r="642" spans="1:23">
      <c r="A642" s="93">
        <v>140832</v>
      </c>
      <c r="B642" s="93" t="s">
        <v>582</v>
      </c>
      <c r="C642" s="93">
        <v>19</v>
      </c>
      <c r="D642" s="78"/>
      <c r="E642" s="78"/>
      <c r="F642" s="78">
        <v>2</v>
      </c>
      <c r="G642" s="93">
        <v>5</v>
      </c>
      <c r="H642" s="78">
        <v>0</v>
      </c>
      <c r="I642" s="78">
        <v>567</v>
      </c>
      <c r="J642" s="78">
        <v>544</v>
      </c>
      <c r="K642" s="78">
        <v>51</v>
      </c>
      <c r="L642" s="78">
        <v>10500</v>
      </c>
      <c r="M642" s="78">
        <v>100</v>
      </c>
      <c r="N642" s="78">
        <v>100</v>
      </c>
      <c r="O642" s="78">
        <v>100</v>
      </c>
      <c r="P642" s="78">
        <v>0</v>
      </c>
      <c r="Q642" s="78">
        <v>0</v>
      </c>
      <c r="R642" s="78"/>
      <c r="S642" s="78"/>
      <c r="U642" s="78"/>
      <c r="V642" s="93">
        <v>1</v>
      </c>
    </row>
    <row r="643" spans="1:23">
      <c r="A643" s="93">
        <v>140833</v>
      </c>
      <c r="B643" s="93" t="s">
        <v>582</v>
      </c>
      <c r="C643" s="93">
        <v>19</v>
      </c>
      <c r="D643" s="78"/>
      <c r="E643" s="78"/>
      <c r="F643" s="78">
        <v>2</v>
      </c>
      <c r="G643" s="93">
        <v>6</v>
      </c>
      <c r="H643" s="78">
        <v>0</v>
      </c>
      <c r="I643" s="78">
        <v>609</v>
      </c>
      <c r="J643" s="78">
        <v>592</v>
      </c>
      <c r="K643" s="78">
        <v>62</v>
      </c>
      <c r="L643" s="78">
        <v>15000</v>
      </c>
      <c r="M643" s="78">
        <v>100</v>
      </c>
      <c r="N643" s="78">
        <v>100</v>
      </c>
      <c r="O643" s="78">
        <v>100</v>
      </c>
      <c r="P643" s="78">
        <v>0</v>
      </c>
      <c r="Q643" s="78">
        <v>0</v>
      </c>
      <c r="R643" s="78"/>
      <c r="S643" s="78"/>
      <c r="U643" s="78"/>
      <c r="V643" s="93">
        <v>1</v>
      </c>
    </row>
    <row r="644" spans="1:23">
      <c r="A644" s="93">
        <v>140834</v>
      </c>
      <c r="B644" s="93" t="s">
        <v>582</v>
      </c>
      <c r="C644" s="93">
        <v>19</v>
      </c>
      <c r="D644" s="78"/>
      <c r="E644" s="78"/>
      <c r="F644" s="78">
        <v>2</v>
      </c>
      <c r="G644" s="93">
        <v>7</v>
      </c>
      <c r="H644" s="78">
        <v>0</v>
      </c>
      <c r="I644" s="78">
        <v>655</v>
      </c>
      <c r="J644" s="78">
        <v>642</v>
      </c>
      <c r="K644" s="78">
        <v>73</v>
      </c>
      <c r="L644" s="78">
        <v>21000</v>
      </c>
      <c r="M644" s="78">
        <v>100</v>
      </c>
      <c r="N644" s="78">
        <v>100</v>
      </c>
      <c r="O644" s="78">
        <v>100</v>
      </c>
      <c r="P644" s="78">
        <v>0</v>
      </c>
      <c r="Q644" s="78">
        <v>0</v>
      </c>
      <c r="R644" s="78"/>
      <c r="S644" s="78"/>
      <c r="U644" s="78"/>
      <c r="V644" s="93">
        <v>1</v>
      </c>
    </row>
    <row r="645" spans="1:23">
      <c r="A645" s="93">
        <v>140842</v>
      </c>
      <c r="B645" s="93" t="s">
        <v>587</v>
      </c>
      <c r="C645" s="93">
        <v>19</v>
      </c>
      <c r="D645" s="78"/>
      <c r="E645" s="78"/>
      <c r="F645" s="78">
        <v>2</v>
      </c>
      <c r="G645" s="93">
        <v>5</v>
      </c>
      <c r="H645" s="78">
        <v>0</v>
      </c>
      <c r="I645" s="78">
        <v>545</v>
      </c>
      <c r="J645" s="78">
        <v>545</v>
      </c>
      <c r="K645" s="78">
        <v>64</v>
      </c>
      <c r="L645" s="78">
        <v>10500</v>
      </c>
      <c r="M645" s="78">
        <v>100</v>
      </c>
      <c r="N645" s="78">
        <v>100</v>
      </c>
      <c r="O645" s="78">
        <v>100</v>
      </c>
      <c r="P645" s="78">
        <v>0</v>
      </c>
      <c r="Q645" s="78">
        <v>0</v>
      </c>
      <c r="R645" s="78"/>
      <c r="S645" s="78"/>
      <c r="U645" s="78"/>
      <c r="V645" s="93">
        <v>3</v>
      </c>
      <c r="W645" s="93" t="s">
        <v>5138</v>
      </c>
    </row>
    <row r="646" spans="1:23">
      <c r="A646" s="93">
        <v>140843</v>
      </c>
      <c r="B646" s="93" t="s">
        <v>587</v>
      </c>
      <c r="C646" s="93">
        <v>19</v>
      </c>
      <c r="D646" s="78"/>
      <c r="E646" s="78"/>
      <c r="F646" s="78">
        <v>2</v>
      </c>
      <c r="G646" s="93">
        <v>6</v>
      </c>
      <c r="H646" s="78">
        <v>0</v>
      </c>
      <c r="I646" s="78">
        <v>595</v>
      </c>
      <c r="J646" s="78">
        <v>595</v>
      </c>
      <c r="K646" s="78">
        <v>74</v>
      </c>
      <c r="L646" s="78">
        <v>15000</v>
      </c>
      <c r="M646" s="78">
        <v>100</v>
      </c>
      <c r="N646" s="78">
        <v>100</v>
      </c>
      <c r="O646" s="78">
        <v>100</v>
      </c>
      <c r="P646" s="78">
        <v>0</v>
      </c>
      <c r="Q646" s="78">
        <v>0</v>
      </c>
      <c r="R646" s="78"/>
      <c r="S646" s="78"/>
      <c r="U646" s="78"/>
      <c r="V646" s="93">
        <v>3</v>
      </c>
      <c r="W646" s="93" t="s">
        <v>5138</v>
      </c>
    </row>
    <row r="647" spans="1:23">
      <c r="A647" s="93">
        <v>140844</v>
      </c>
      <c r="B647" s="93" t="s">
        <v>587</v>
      </c>
      <c r="C647" s="93">
        <v>19</v>
      </c>
      <c r="D647" s="78"/>
      <c r="E647" s="78"/>
      <c r="F647" s="78">
        <v>2</v>
      </c>
      <c r="G647" s="93">
        <v>7</v>
      </c>
      <c r="H647" s="78">
        <v>0</v>
      </c>
      <c r="I647" s="78">
        <v>646</v>
      </c>
      <c r="J647" s="78">
        <v>646</v>
      </c>
      <c r="K647" s="78">
        <v>84</v>
      </c>
      <c r="L647" s="78">
        <v>21000</v>
      </c>
      <c r="M647" s="78">
        <v>100</v>
      </c>
      <c r="N647" s="78">
        <v>100</v>
      </c>
      <c r="O647" s="78">
        <v>100</v>
      </c>
      <c r="P647" s="78">
        <v>0</v>
      </c>
      <c r="Q647" s="78">
        <v>0</v>
      </c>
      <c r="R647" s="78"/>
      <c r="S647" s="78"/>
      <c r="U647" s="78"/>
      <c r="V647" s="93">
        <v>3</v>
      </c>
      <c r="W647" s="93" t="s">
        <v>5138</v>
      </c>
    </row>
    <row r="648" spans="1:23">
      <c r="A648" s="93">
        <v>140853</v>
      </c>
      <c r="B648" s="93" t="s">
        <v>592</v>
      </c>
      <c r="C648" s="93">
        <v>19</v>
      </c>
      <c r="D648" s="78"/>
      <c r="E648" s="78"/>
      <c r="F648" s="78">
        <v>2</v>
      </c>
      <c r="G648" s="93">
        <v>6</v>
      </c>
      <c r="H648" s="78">
        <v>0</v>
      </c>
      <c r="I648" s="78">
        <v>591</v>
      </c>
      <c r="J648" s="78">
        <v>620</v>
      </c>
      <c r="K648" s="78">
        <v>63</v>
      </c>
      <c r="L648" s="78">
        <v>15000</v>
      </c>
      <c r="M648" s="78">
        <v>100</v>
      </c>
      <c r="N648" s="78">
        <v>100</v>
      </c>
      <c r="O648" s="78">
        <v>100</v>
      </c>
      <c r="P648" s="78">
        <v>0</v>
      </c>
      <c r="Q648" s="78">
        <v>0</v>
      </c>
      <c r="R648" s="78"/>
      <c r="S648" s="78"/>
      <c r="U648" s="78"/>
      <c r="V648" s="93">
        <v>2</v>
      </c>
      <c r="W648" s="93" t="s">
        <v>5138</v>
      </c>
    </row>
    <row r="649" spans="1:23">
      <c r="A649" s="93">
        <v>140854</v>
      </c>
      <c r="B649" s="93" t="s">
        <v>592</v>
      </c>
      <c r="C649" s="93">
        <v>19</v>
      </c>
      <c r="D649" s="78"/>
      <c r="E649" s="78"/>
      <c r="F649" s="78">
        <v>2</v>
      </c>
      <c r="G649" s="93">
        <v>7</v>
      </c>
      <c r="H649" s="78">
        <v>0</v>
      </c>
      <c r="I649" s="78">
        <v>646</v>
      </c>
      <c r="J649" s="78">
        <v>672</v>
      </c>
      <c r="K649" s="78">
        <v>73</v>
      </c>
      <c r="L649" s="78">
        <v>21000</v>
      </c>
      <c r="M649" s="78">
        <v>100</v>
      </c>
      <c r="N649" s="78">
        <v>100</v>
      </c>
      <c r="O649" s="78">
        <v>100</v>
      </c>
      <c r="P649" s="78">
        <v>0</v>
      </c>
      <c r="Q649" s="78">
        <v>0</v>
      </c>
      <c r="R649" s="78"/>
      <c r="S649" s="78"/>
      <c r="U649" s="78"/>
      <c r="V649" s="93">
        <v>2</v>
      </c>
      <c r="W649" s="93" t="s">
        <v>5138</v>
      </c>
    </row>
    <row r="650" spans="1:23">
      <c r="A650" s="93">
        <v>140863</v>
      </c>
      <c r="B650" s="93" t="s">
        <v>597</v>
      </c>
      <c r="C650" s="93">
        <v>19</v>
      </c>
      <c r="D650" s="78"/>
      <c r="E650" s="78"/>
      <c r="F650" s="78">
        <v>2</v>
      </c>
      <c r="G650" s="93">
        <v>5</v>
      </c>
      <c r="H650" s="78">
        <v>0</v>
      </c>
      <c r="I650" s="78">
        <v>548</v>
      </c>
      <c r="J650" s="78">
        <v>560</v>
      </c>
      <c r="K650" s="78">
        <v>64</v>
      </c>
      <c r="L650" s="78">
        <v>10500</v>
      </c>
      <c r="M650" s="78">
        <v>100</v>
      </c>
      <c r="N650" s="78">
        <v>100</v>
      </c>
      <c r="O650" s="78">
        <v>100</v>
      </c>
      <c r="P650" s="78">
        <v>0</v>
      </c>
      <c r="Q650" s="78">
        <v>0</v>
      </c>
      <c r="R650" s="78"/>
      <c r="S650" s="78"/>
      <c r="U650" s="78"/>
      <c r="V650" s="93">
        <v>3</v>
      </c>
    </row>
    <row r="651" spans="1:23">
      <c r="A651" s="93">
        <v>140872</v>
      </c>
      <c r="B651" s="93" t="s">
        <v>602</v>
      </c>
      <c r="C651" s="93">
        <v>19</v>
      </c>
      <c r="D651" s="78"/>
      <c r="E651" s="78"/>
      <c r="F651" s="78">
        <v>2</v>
      </c>
      <c r="G651" s="93">
        <v>5</v>
      </c>
      <c r="H651" s="78">
        <v>0</v>
      </c>
      <c r="I651" s="78">
        <v>548</v>
      </c>
      <c r="J651" s="78">
        <v>587</v>
      </c>
      <c r="K651" s="78">
        <v>52</v>
      </c>
      <c r="L651" s="78">
        <v>10500</v>
      </c>
      <c r="M651" s="78">
        <v>100</v>
      </c>
      <c r="N651" s="78">
        <v>100</v>
      </c>
      <c r="O651" s="78">
        <v>100</v>
      </c>
      <c r="P651" s="78">
        <v>0</v>
      </c>
      <c r="Q651" s="78">
        <v>0</v>
      </c>
      <c r="R651" s="78"/>
      <c r="S651" s="78"/>
      <c r="U651" s="78"/>
      <c r="V651" s="93">
        <v>2</v>
      </c>
      <c r="W651" s="93" t="s">
        <v>5138</v>
      </c>
    </row>
    <row r="652" spans="1:23">
      <c r="A652" s="93">
        <v>140873</v>
      </c>
      <c r="B652" s="93" t="s">
        <v>602</v>
      </c>
      <c r="C652" s="93">
        <v>19</v>
      </c>
      <c r="D652" s="78"/>
      <c r="E652" s="78"/>
      <c r="F652" s="78">
        <v>2</v>
      </c>
      <c r="G652" s="93">
        <v>6</v>
      </c>
      <c r="H652" s="78">
        <v>0</v>
      </c>
      <c r="I652" s="78">
        <v>598</v>
      </c>
      <c r="J652" s="78">
        <v>630</v>
      </c>
      <c r="K652" s="78">
        <v>62</v>
      </c>
      <c r="L652" s="78">
        <v>15000</v>
      </c>
      <c r="M652" s="78">
        <v>100</v>
      </c>
      <c r="N652" s="78">
        <v>100</v>
      </c>
      <c r="O652" s="78">
        <v>100</v>
      </c>
      <c r="P652" s="78">
        <v>0</v>
      </c>
      <c r="Q652" s="78">
        <v>0</v>
      </c>
      <c r="R652" s="78"/>
      <c r="S652" s="78"/>
      <c r="U652" s="78"/>
      <c r="V652" s="93">
        <v>2</v>
      </c>
      <c r="W652" s="93" t="s">
        <v>5138</v>
      </c>
    </row>
    <row r="653" spans="1:23">
      <c r="A653" s="93">
        <v>140874</v>
      </c>
      <c r="B653" s="93" t="s">
        <v>602</v>
      </c>
      <c r="C653" s="93">
        <v>19</v>
      </c>
      <c r="D653" s="78"/>
      <c r="E653" s="78"/>
      <c r="F653" s="78">
        <v>2</v>
      </c>
      <c r="G653" s="93">
        <v>7</v>
      </c>
      <c r="H653" s="78">
        <v>0</v>
      </c>
      <c r="I653" s="78">
        <v>646</v>
      </c>
      <c r="J653" s="78">
        <v>672</v>
      </c>
      <c r="K653" s="78">
        <v>73</v>
      </c>
      <c r="L653" s="78">
        <v>21000</v>
      </c>
      <c r="M653" s="78">
        <v>100</v>
      </c>
      <c r="N653" s="78">
        <v>100</v>
      </c>
      <c r="O653" s="78">
        <v>100</v>
      </c>
      <c r="P653" s="78">
        <v>0</v>
      </c>
      <c r="Q653" s="78">
        <v>0</v>
      </c>
      <c r="R653" s="78"/>
      <c r="S653" s="78"/>
      <c r="U653" s="78"/>
      <c r="V653" s="93">
        <v>2</v>
      </c>
      <c r="W653" s="93" t="s">
        <v>5138</v>
      </c>
    </row>
    <row r="654" spans="1:23">
      <c r="A654" s="93">
        <v>140882</v>
      </c>
      <c r="B654" s="93" t="s">
        <v>607</v>
      </c>
      <c r="C654" s="93">
        <v>19</v>
      </c>
      <c r="D654" s="78"/>
      <c r="E654" s="78"/>
      <c r="F654" s="78">
        <v>2</v>
      </c>
      <c r="G654" s="93">
        <v>5</v>
      </c>
      <c r="H654" s="78">
        <v>0</v>
      </c>
      <c r="I654" s="78">
        <v>575</v>
      </c>
      <c r="J654" s="78">
        <v>550</v>
      </c>
      <c r="K654" s="78">
        <v>54</v>
      </c>
      <c r="L654" s="78">
        <v>6000</v>
      </c>
      <c r="M654" s="78">
        <v>100</v>
      </c>
      <c r="N654" s="78">
        <v>100</v>
      </c>
      <c r="O654" s="78">
        <v>100</v>
      </c>
      <c r="P654" s="78">
        <v>0</v>
      </c>
      <c r="Q654" s="78">
        <v>0</v>
      </c>
      <c r="R654" s="78"/>
      <c r="S654" s="78"/>
      <c r="U654" s="78"/>
      <c r="V654" s="93">
        <v>1</v>
      </c>
      <c r="W654" s="93" t="s">
        <v>5138</v>
      </c>
    </row>
    <row r="655" spans="1:23">
      <c r="A655" s="93">
        <v>140883</v>
      </c>
      <c r="B655" s="93" t="s">
        <v>607</v>
      </c>
      <c r="C655" s="93">
        <v>19</v>
      </c>
      <c r="D655" s="78"/>
      <c r="E655" s="78"/>
      <c r="F655" s="78">
        <v>2</v>
      </c>
      <c r="G655" s="93">
        <v>6</v>
      </c>
      <c r="H655" s="78">
        <v>0</v>
      </c>
      <c r="I655" s="78">
        <v>620</v>
      </c>
      <c r="J655" s="78">
        <v>605</v>
      </c>
      <c r="K655" s="78">
        <v>65</v>
      </c>
      <c r="L655" s="78">
        <v>10500</v>
      </c>
      <c r="M655" s="78">
        <v>100</v>
      </c>
      <c r="N655" s="78">
        <v>100</v>
      </c>
      <c r="O655" s="78">
        <v>100</v>
      </c>
      <c r="P655" s="78">
        <v>0</v>
      </c>
      <c r="Q655" s="78">
        <v>0</v>
      </c>
      <c r="R655" s="78"/>
      <c r="S655" s="78"/>
      <c r="U655" s="78"/>
      <c r="V655" s="93">
        <v>1</v>
      </c>
      <c r="W655" s="93" t="s">
        <v>5138</v>
      </c>
    </row>
    <row r="656" spans="1:23">
      <c r="A656" s="93">
        <v>140884</v>
      </c>
      <c r="B656" s="93" t="s">
        <v>607</v>
      </c>
      <c r="C656" s="93">
        <v>19</v>
      </c>
      <c r="D656" s="78"/>
      <c r="E656" s="78"/>
      <c r="F656" s="78">
        <v>2</v>
      </c>
      <c r="G656" s="93">
        <v>7</v>
      </c>
      <c r="H656" s="78">
        <v>0</v>
      </c>
      <c r="I656" s="78">
        <v>675</v>
      </c>
      <c r="J656" s="78">
        <v>657</v>
      </c>
      <c r="K656" s="78">
        <v>76</v>
      </c>
      <c r="L656" s="78">
        <v>15000</v>
      </c>
      <c r="M656" s="78">
        <v>100</v>
      </c>
      <c r="N656" s="78">
        <v>100</v>
      </c>
      <c r="O656" s="78">
        <v>100</v>
      </c>
      <c r="P656" s="78">
        <v>0</v>
      </c>
      <c r="Q656" s="78">
        <v>0</v>
      </c>
      <c r="R656" s="78"/>
      <c r="S656" s="78"/>
      <c r="U656" s="78"/>
      <c r="V656" s="93">
        <v>1</v>
      </c>
      <c r="W656" s="93" t="s">
        <v>5138</v>
      </c>
    </row>
    <row r="657" spans="1:23">
      <c r="A657" s="93">
        <v>140894</v>
      </c>
      <c r="B657" s="93" t="s">
        <v>613</v>
      </c>
      <c r="C657" s="93">
        <v>19</v>
      </c>
      <c r="D657" s="78"/>
      <c r="E657" s="78"/>
      <c r="F657" s="78">
        <v>2</v>
      </c>
      <c r="G657" s="93">
        <v>7</v>
      </c>
      <c r="H657" s="78">
        <v>0</v>
      </c>
      <c r="I657" s="78">
        <v>650</v>
      </c>
      <c r="J657" s="78">
        <v>645</v>
      </c>
      <c r="K657" s="78">
        <v>84</v>
      </c>
      <c r="L657" s="78">
        <v>21000</v>
      </c>
      <c r="M657" s="78">
        <v>100</v>
      </c>
      <c r="N657" s="78">
        <v>100</v>
      </c>
      <c r="O657" s="78">
        <v>100</v>
      </c>
      <c r="P657" s="78">
        <v>0</v>
      </c>
      <c r="Q657" s="78">
        <v>0</v>
      </c>
      <c r="R657" s="78"/>
      <c r="S657" s="78"/>
      <c r="U657" s="78"/>
      <c r="V657" s="93">
        <v>1</v>
      </c>
      <c r="W657" s="93" t="s">
        <v>5138</v>
      </c>
    </row>
    <row r="658" spans="1:23">
      <c r="A658" s="93">
        <v>140912</v>
      </c>
      <c r="B658" s="93" t="s">
        <v>616</v>
      </c>
      <c r="C658" s="93">
        <v>19</v>
      </c>
      <c r="D658" s="78"/>
      <c r="E658" s="78"/>
      <c r="F658" s="78">
        <v>2</v>
      </c>
      <c r="G658" s="93">
        <v>5</v>
      </c>
      <c r="H658" s="78">
        <v>0</v>
      </c>
      <c r="I658" s="78">
        <v>570</v>
      </c>
      <c r="J658" s="78">
        <v>545</v>
      </c>
      <c r="K658" s="78">
        <v>55</v>
      </c>
      <c r="L658" s="78">
        <v>10500</v>
      </c>
      <c r="M658" s="78">
        <v>100</v>
      </c>
      <c r="N658" s="78">
        <v>100</v>
      </c>
      <c r="O658" s="78">
        <v>100</v>
      </c>
      <c r="P658" s="78">
        <v>0</v>
      </c>
      <c r="Q658" s="78">
        <v>0</v>
      </c>
      <c r="R658" s="78"/>
      <c r="S658" s="78"/>
      <c r="U658" s="78"/>
      <c r="V658" s="93">
        <v>1</v>
      </c>
    </row>
    <row r="659" spans="1:23">
      <c r="A659" s="93">
        <v>140913</v>
      </c>
      <c r="B659" s="93" t="s">
        <v>616</v>
      </c>
      <c r="C659" s="93">
        <v>19</v>
      </c>
      <c r="D659" s="78"/>
      <c r="E659" s="78"/>
      <c r="F659" s="78">
        <v>2</v>
      </c>
      <c r="G659" s="93">
        <v>6</v>
      </c>
      <c r="H659" s="78">
        <v>0</v>
      </c>
      <c r="I659" s="78">
        <v>618</v>
      </c>
      <c r="J659" s="78">
        <v>594</v>
      </c>
      <c r="K659" s="78">
        <v>65</v>
      </c>
      <c r="L659" s="78">
        <v>15000</v>
      </c>
      <c r="M659" s="78">
        <v>100</v>
      </c>
      <c r="N659" s="78">
        <v>100</v>
      </c>
      <c r="O659" s="78">
        <v>100</v>
      </c>
      <c r="P659" s="78">
        <v>0</v>
      </c>
      <c r="Q659" s="78">
        <v>0</v>
      </c>
      <c r="R659" s="78"/>
      <c r="S659" s="78"/>
      <c r="U659" s="78"/>
      <c r="V659" s="93">
        <v>1</v>
      </c>
    </row>
    <row r="660" spans="1:23">
      <c r="A660" s="93">
        <v>140914</v>
      </c>
      <c r="B660" s="93" t="s">
        <v>616</v>
      </c>
      <c r="C660" s="93">
        <v>19</v>
      </c>
      <c r="D660" s="78"/>
      <c r="E660" s="78"/>
      <c r="F660" s="78">
        <v>2</v>
      </c>
      <c r="G660" s="93">
        <v>7</v>
      </c>
      <c r="H660" s="78">
        <v>0</v>
      </c>
      <c r="I660" s="78">
        <v>670</v>
      </c>
      <c r="J660" s="78">
        <v>645</v>
      </c>
      <c r="K660" s="78">
        <v>75</v>
      </c>
      <c r="L660" s="78">
        <v>21000</v>
      </c>
      <c r="M660" s="78">
        <v>100</v>
      </c>
      <c r="N660" s="78">
        <v>100</v>
      </c>
      <c r="O660" s="78">
        <v>100</v>
      </c>
      <c r="P660" s="78">
        <v>0</v>
      </c>
      <c r="Q660" s="78">
        <v>0</v>
      </c>
      <c r="R660" s="78"/>
      <c r="S660" s="78"/>
      <c r="U660" s="78"/>
      <c r="V660" s="93">
        <v>1</v>
      </c>
    </row>
    <row r="661" spans="1:23">
      <c r="A661" s="93">
        <v>140922</v>
      </c>
      <c r="B661" s="93" t="s">
        <v>621</v>
      </c>
      <c r="C661" s="93">
        <v>19</v>
      </c>
      <c r="D661" s="78"/>
      <c r="E661" s="78"/>
      <c r="F661" s="78">
        <v>2</v>
      </c>
      <c r="G661" s="93">
        <v>5</v>
      </c>
      <c r="H661" s="78">
        <v>0</v>
      </c>
      <c r="I661" s="78">
        <v>564</v>
      </c>
      <c r="J661" s="78">
        <v>545</v>
      </c>
      <c r="K661" s="78">
        <v>52</v>
      </c>
      <c r="L661" s="78">
        <v>10500</v>
      </c>
      <c r="M661" s="78">
        <v>100</v>
      </c>
      <c r="N661" s="78">
        <v>100</v>
      </c>
      <c r="O661" s="78">
        <v>100</v>
      </c>
      <c r="P661" s="78">
        <v>0</v>
      </c>
      <c r="Q661" s="78">
        <v>0</v>
      </c>
      <c r="R661" s="78"/>
      <c r="S661" s="78"/>
      <c r="U661" s="78"/>
      <c r="V661" s="93">
        <v>1</v>
      </c>
    </row>
    <row r="662" spans="1:23">
      <c r="A662" s="93">
        <v>140923</v>
      </c>
      <c r="B662" s="93" t="s">
        <v>621</v>
      </c>
      <c r="C662" s="93">
        <v>19</v>
      </c>
      <c r="D662" s="78"/>
      <c r="E662" s="78"/>
      <c r="F662" s="78">
        <v>2</v>
      </c>
      <c r="G662" s="93">
        <v>6</v>
      </c>
      <c r="H662" s="78">
        <v>0</v>
      </c>
      <c r="I662" s="78">
        <v>613</v>
      </c>
      <c r="J662" s="78">
        <v>596</v>
      </c>
      <c r="K662" s="78">
        <v>63</v>
      </c>
      <c r="L662" s="78">
        <v>15000</v>
      </c>
      <c r="M662" s="78">
        <v>100</v>
      </c>
      <c r="N662" s="78">
        <v>100</v>
      </c>
      <c r="O662" s="78">
        <v>100</v>
      </c>
      <c r="P662" s="78">
        <v>0</v>
      </c>
      <c r="Q662" s="78">
        <v>0</v>
      </c>
      <c r="R662" s="78"/>
      <c r="S662" s="78"/>
      <c r="U662" s="78"/>
      <c r="V662" s="93">
        <v>1</v>
      </c>
    </row>
    <row r="663" spans="1:23">
      <c r="A663" s="93">
        <v>140924</v>
      </c>
      <c r="B663" s="93" t="s">
        <v>621</v>
      </c>
      <c r="C663" s="93">
        <v>19</v>
      </c>
      <c r="D663" s="78"/>
      <c r="E663" s="78"/>
      <c r="F663" s="78">
        <v>2</v>
      </c>
      <c r="G663" s="93">
        <v>7</v>
      </c>
      <c r="H663" s="78">
        <v>0</v>
      </c>
      <c r="I663" s="78">
        <v>664</v>
      </c>
      <c r="J663" s="78">
        <v>649</v>
      </c>
      <c r="K663" s="78">
        <v>73</v>
      </c>
      <c r="L663" s="78">
        <v>21000</v>
      </c>
      <c r="M663" s="78">
        <v>100</v>
      </c>
      <c r="N663" s="78">
        <v>100</v>
      </c>
      <c r="O663" s="78">
        <v>100</v>
      </c>
      <c r="P663" s="78">
        <v>0</v>
      </c>
      <c r="Q663" s="78">
        <v>0</v>
      </c>
      <c r="R663" s="78"/>
      <c r="S663" s="78"/>
      <c r="U663" s="78"/>
      <c r="V663" s="93">
        <v>1</v>
      </c>
    </row>
    <row r="664" spans="1:23">
      <c r="A664" s="93">
        <v>140932</v>
      </c>
      <c r="B664" s="93" t="s">
        <v>626</v>
      </c>
      <c r="C664" s="93">
        <v>19</v>
      </c>
      <c r="D664" s="78"/>
      <c r="E664" s="78"/>
      <c r="F664" s="78">
        <v>2</v>
      </c>
      <c r="G664" s="93">
        <v>5</v>
      </c>
      <c r="H664" s="78">
        <v>0</v>
      </c>
      <c r="I664" s="78">
        <v>550</v>
      </c>
      <c r="J664" s="78">
        <v>530</v>
      </c>
      <c r="K664" s="78">
        <v>63</v>
      </c>
      <c r="L664" s="78">
        <v>10500</v>
      </c>
      <c r="M664" s="78">
        <v>100</v>
      </c>
      <c r="N664" s="78">
        <v>100</v>
      </c>
      <c r="O664" s="78">
        <v>100</v>
      </c>
      <c r="P664" s="78">
        <v>0</v>
      </c>
      <c r="Q664" s="78">
        <v>0</v>
      </c>
      <c r="R664" s="78"/>
      <c r="S664" s="78"/>
      <c r="U664" s="78"/>
      <c r="V664" s="93">
        <v>3</v>
      </c>
    </row>
    <row r="665" spans="1:23">
      <c r="A665" s="93">
        <v>140933</v>
      </c>
      <c r="B665" s="93" t="s">
        <v>626</v>
      </c>
      <c r="C665" s="93">
        <v>19</v>
      </c>
      <c r="D665" s="78"/>
      <c r="E665" s="78"/>
      <c r="F665" s="78">
        <v>2</v>
      </c>
      <c r="G665" s="93">
        <v>6</v>
      </c>
      <c r="H665" s="78">
        <v>0</v>
      </c>
      <c r="I665" s="78">
        <v>600</v>
      </c>
      <c r="J665" s="78">
        <v>579</v>
      </c>
      <c r="K665" s="78">
        <v>73</v>
      </c>
      <c r="L665" s="78">
        <v>15000</v>
      </c>
      <c r="M665" s="78">
        <v>100</v>
      </c>
      <c r="N665" s="78">
        <v>100</v>
      </c>
      <c r="O665" s="78">
        <v>100</v>
      </c>
      <c r="P665" s="78">
        <v>0</v>
      </c>
      <c r="Q665" s="78">
        <v>0</v>
      </c>
      <c r="R665" s="78"/>
      <c r="S665" s="78"/>
      <c r="U665" s="78"/>
      <c r="V665" s="93">
        <v>3</v>
      </c>
    </row>
    <row r="666" spans="1:23">
      <c r="A666" s="93">
        <v>140934</v>
      </c>
      <c r="B666" s="93" t="s">
        <v>626</v>
      </c>
      <c r="C666" s="93">
        <v>19</v>
      </c>
      <c r="D666" s="78"/>
      <c r="E666" s="78"/>
      <c r="F666" s="78">
        <v>2</v>
      </c>
      <c r="G666" s="93">
        <v>7</v>
      </c>
      <c r="H666" s="78">
        <v>0</v>
      </c>
      <c r="I666" s="78">
        <v>640</v>
      </c>
      <c r="J666" s="78">
        <v>630</v>
      </c>
      <c r="K666" s="78">
        <v>90</v>
      </c>
      <c r="L666" s="78">
        <v>21000</v>
      </c>
      <c r="M666" s="78">
        <v>100</v>
      </c>
      <c r="N666" s="78">
        <v>100</v>
      </c>
      <c r="O666" s="78">
        <v>100</v>
      </c>
      <c r="P666" s="78">
        <v>0</v>
      </c>
      <c r="Q666" s="78">
        <v>0</v>
      </c>
      <c r="R666" s="78"/>
      <c r="S666" s="78"/>
      <c r="U666" s="78"/>
      <c r="V666" s="93">
        <v>3</v>
      </c>
    </row>
    <row r="667" spans="1:23">
      <c r="A667" s="93">
        <v>140942</v>
      </c>
      <c r="B667" s="93" t="s">
        <v>631</v>
      </c>
      <c r="C667" s="93">
        <v>19</v>
      </c>
      <c r="D667" s="78"/>
      <c r="E667" s="78"/>
      <c r="F667" s="78">
        <v>2</v>
      </c>
      <c r="G667" s="93">
        <v>5</v>
      </c>
      <c r="H667" s="78">
        <v>0</v>
      </c>
      <c r="I667" s="78">
        <v>537</v>
      </c>
      <c r="J667" s="78">
        <v>584</v>
      </c>
      <c r="K667" s="78">
        <v>51</v>
      </c>
      <c r="L667" s="78">
        <v>10500</v>
      </c>
      <c r="M667" s="78">
        <v>100</v>
      </c>
      <c r="N667" s="78">
        <v>100</v>
      </c>
      <c r="O667" s="78">
        <v>100</v>
      </c>
      <c r="P667" s="78">
        <v>0</v>
      </c>
      <c r="Q667" s="78">
        <v>0</v>
      </c>
      <c r="R667" s="78"/>
      <c r="S667" s="78"/>
      <c r="U667" s="78"/>
      <c r="V667" s="93">
        <v>2</v>
      </c>
    </row>
    <row r="668" spans="1:23">
      <c r="A668" s="93">
        <v>140943</v>
      </c>
      <c r="B668" s="93" t="s">
        <v>631</v>
      </c>
      <c r="C668" s="93">
        <v>19</v>
      </c>
      <c r="D668" s="78"/>
      <c r="E668" s="78"/>
      <c r="F668" s="78">
        <v>2</v>
      </c>
      <c r="G668" s="93">
        <v>6</v>
      </c>
      <c r="H668" s="78">
        <v>0</v>
      </c>
      <c r="I668" s="78">
        <v>581</v>
      </c>
      <c r="J668" s="78">
        <v>627</v>
      </c>
      <c r="K668" s="78">
        <v>62</v>
      </c>
      <c r="L668" s="78">
        <v>15000</v>
      </c>
      <c r="M668" s="78">
        <v>100</v>
      </c>
      <c r="N668" s="78">
        <v>100</v>
      </c>
      <c r="O668" s="78">
        <v>100</v>
      </c>
      <c r="P668" s="78">
        <v>0</v>
      </c>
      <c r="Q668" s="78">
        <v>0</v>
      </c>
      <c r="R668" s="78"/>
      <c r="S668" s="78"/>
      <c r="U668" s="78"/>
      <c r="V668" s="93">
        <v>2</v>
      </c>
    </row>
    <row r="669" spans="1:23">
      <c r="A669" s="93">
        <v>140944</v>
      </c>
      <c r="B669" s="93" t="s">
        <v>631</v>
      </c>
      <c r="C669" s="93">
        <v>19</v>
      </c>
      <c r="D669" s="78"/>
      <c r="E669" s="78"/>
      <c r="F669" s="78">
        <v>2</v>
      </c>
      <c r="G669" s="93">
        <v>7</v>
      </c>
      <c r="H669" s="78">
        <v>0</v>
      </c>
      <c r="I669" s="78">
        <v>633</v>
      </c>
      <c r="J669" s="78">
        <v>672</v>
      </c>
      <c r="K669" s="78">
        <v>72</v>
      </c>
      <c r="L669" s="78">
        <v>21000</v>
      </c>
      <c r="M669" s="78">
        <v>100</v>
      </c>
      <c r="N669" s="78">
        <v>100</v>
      </c>
      <c r="O669" s="78">
        <v>100</v>
      </c>
      <c r="P669" s="78">
        <v>0</v>
      </c>
      <c r="Q669" s="78">
        <v>0</v>
      </c>
      <c r="R669" s="78"/>
      <c r="S669" s="78"/>
      <c r="U669" s="78"/>
      <c r="V669" s="93">
        <v>2</v>
      </c>
    </row>
    <row r="670" spans="1:23">
      <c r="A670" s="93">
        <v>140952</v>
      </c>
      <c r="B670" s="93" t="s">
        <v>636</v>
      </c>
      <c r="C670" s="93">
        <v>19</v>
      </c>
      <c r="D670" s="78"/>
      <c r="E670" s="78"/>
      <c r="F670" s="78">
        <v>2</v>
      </c>
      <c r="G670" s="93">
        <v>5</v>
      </c>
      <c r="H670" s="78">
        <v>0</v>
      </c>
      <c r="I670" s="78">
        <v>550</v>
      </c>
      <c r="J670" s="78">
        <v>555</v>
      </c>
      <c r="K670" s="78">
        <v>60</v>
      </c>
      <c r="L670" s="78">
        <v>10500</v>
      </c>
      <c r="M670" s="78">
        <v>100</v>
      </c>
      <c r="N670" s="78">
        <v>100</v>
      </c>
      <c r="O670" s="78">
        <v>100</v>
      </c>
      <c r="P670" s="78">
        <v>0</v>
      </c>
      <c r="Q670" s="78">
        <v>0</v>
      </c>
      <c r="R670" s="78"/>
      <c r="S670" s="78"/>
      <c r="U670" s="78"/>
      <c r="V670" s="93">
        <v>3</v>
      </c>
    </row>
    <row r="671" spans="1:23">
      <c r="A671" s="93">
        <v>140953</v>
      </c>
      <c r="B671" s="93" t="s">
        <v>636</v>
      </c>
      <c r="C671" s="93">
        <v>19</v>
      </c>
      <c r="D671" s="78"/>
      <c r="E671" s="78"/>
      <c r="F671" s="78">
        <v>2</v>
      </c>
      <c r="G671" s="93">
        <v>6</v>
      </c>
      <c r="H671" s="78">
        <v>0</v>
      </c>
      <c r="I671" s="78">
        <v>598</v>
      </c>
      <c r="J671" s="78">
        <v>600</v>
      </c>
      <c r="K671" s="78">
        <v>70</v>
      </c>
      <c r="L671" s="78">
        <v>15000</v>
      </c>
      <c r="M671" s="78">
        <v>100</v>
      </c>
      <c r="N671" s="78">
        <v>100</v>
      </c>
      <c r="O671" s="78">
        <v>100</v>
      </c>
      <c r="P671" s="78">
        <v>0</v>
      </c>
      <c r="Q671" s="78">
        <v>0</v>
      </c>
      <c r="R671" s="78"/>
      <c r="S671" s="78"/>
      <c r="U671" s="78"/>
      <c r="V671" s="93">
        <v>3</v>
      </c>
    </row>
    <row r="672" spans="1:23">
      <c r="A672" s="93">
        <v>140954</v>
      </c>
      <c r="B672" s="93" t="s">
        <v>636</v>
      </c>
      <c r="C672" s="93">
        <v>19</v>
      </c>
      <c r="D672" s="78"/>
      <c r="E672" s="78"/>
      <c r="F672" s="78">
        <v>2</v>
      </c>
      <c r="G672" s="93">
        <v>7</v>
      </c>
      <c r="H672" s="78">
        <v>0</v>
      </c>
      <c r="I672" s="78">
        <v>642</v>
      </c>
      <c r="J672" s="78">
        <v>645</v>
      </c>
      <c r="K672" s="78">
        <v>82</v>
      </c>
      <c r="L672" s="78">
        <v>21000</v>
      </c>
      <c r="M672" s="78">
        <v>100</v>
      </c>
      <c r="N672" s="78">
        <v>100</v>
      </c>
      <c r="O672" s="78">
        <v>100</v>
      </c>
      <c r="P672" s="78">
        <v>0</v>
      </c>
      <c r="Q672" s="78">
        <v>0</v>
      </c>
      <c r="R672" s="78"/>
      <c r="S672" s="78"/>
      <c r="U672" s="78"/>
      <c r="V672" s="93">
        <v>3</v>
      </c>
    </row>
    <row r="673" spans="1:23">
      <c r="A673" s="93">
        <v>140962</v>
      </c>
      <c r="B673" s="93" t="s">
        <v>643</v>
      </c>
      <c r="C673" s="93">
        <v>19</v>
      </c>
      <c r="D673" s="78"/>
      <c r="E673" s="78"/>
      <c r="F673" s="78">
        <v>2</v>
      </c>
      <c r="G673" s="93">
        <v>5</v>
      </c>
      <c r="H673" s="78">
        <v>0</v>
      </c>
      <c r="I673" s="78">
        <v>545</v>
      </c>
      <c r="J673" s="78">
        <v>580</v>
      </c>
      <c r="K673" s="78">
        <v>55</v>
      </c>
      <c r="L673" s="78">
        <v>10500</v>
      </c>
      <c r="M673" s="78">
        <v>100</v>
      </c>
      <c r="N673" s="78">
        <v>100</v>
      </c>
      <c r="O673" s="78">
        <v>100</v>
      </c>
      <c r="P673" s="78">
        <v>0</v>
      </c>
      <c r="Q673" s="78">
        <v>0</v>
      </c>
      <c r="R673" s="78"/>
      <c r="S673" s="78"/>
      <c r="U673" s="78"/>
      <c r="V673" s="93">
        <v>2</v>
      </c>
    </row>
    <row r="674" spans="1:23">
      <c r="A674" s="93">
        <v>140963</v>
      </c>
      <c r="B674" s="93" t="s">
        <v>643</v>
      </c>
      <c r="C674" s="93">
        <v>19</v>
      </c>
      <c r="D674" s="78"/>
      <c r="E674" s="78"/>
      <c r="F674" s="78">
        <v>2</v>
      </c>
      <c r="G674" s="93">
        <v>6</v>
      </c>
      <c r="H674" s="78">
        <v>0</v>
      </c>
      <c r="I674" s="78">
        <v>610</v>
      </c>
      <c r="J674" s="78">
        <v>625</v>
      </c>
      <c r="K674" s="78">
        <v>73</v>
      </c>
      <c r="L674" s="78">
        <v>15000</v>
      </c>
      <c r="M674" s="78">
        <v>100</v>
      </c>
      <c r="N674" s="78">
        <v>100</v>
      </c>
      <c r="O674" s="78">
        <v>100</v>
      </c>
      <c r="P674" s="78">
        <v>0</v>
      </c>
      <c r="Q674" s="78">
        <v>0</v>
      </c>
      <c r="R674" s="78"/>
      <c r="S674" s="78"/>
      <c r="U674" s="78"/>
      <c r="V674" s="93">
        <v>2</v>
      </c>
    </row>
    <row r="675" spans="1:23">
      <c r="A675" s="93">
        <v>140964</v>
      </c>
      <c r="B675" s="93" t="s">
        <v>643</v>
      </c>
      <c r="C675" s="93">
        <v>19</v>
      </c>
      <c r="D675" s="78"/>
      <c r="E675" s="78"/>
      <c r="F675" s="78">
        <v>2</v>
      </c>
      <c r="G675" s="93">
        <v>7</v>
      </c>
      <c r="H675" s="78">
        <v>0</v>
      </c>
      <c r="I675" s="78">
        <v>650</v>
      </c>
      <c r="J675" s="78">
        <v>670</v>
      </c>
      <c r="K675" s="78">
        <v>88</v>
      </c>
      <c r="L675" s="78">
        <v>21000</v>
      </c>
      <c r="M675" s="78">
        <v>100</v>
      </c>
      <c r="N675" s="78">
        <v>100</v>
      </c>
      <c r="O675" s="78">
        <v>100</v>
      </c>
      <c r="P675" s="78">
        <v>0</v>
      </c>
      <c r="Q675" s="78">
        <v>0</v>
      </c>
      <c r="R675" s="78"/>
      <c r="S675" s="78"/>
      <c r="U675" s="78"/>
      <c r="V675" s="93">
        <v>2</v>
      </c>
    </row>
    <row r="676" spans="1:23">
      <c r="A676" s="93">
        <v>140972</v>
      </c>
      <c r="B676" s="93" t="s">
        <v>650</v>
      </c>
      <c r="C676" s="93">
        <v>19</v>
      </c>
      <c r="D676" s="78"/>
      <c r="E676" s="78"/>
      <c r="F676" s="78">
        <v>2</v>
      </c>
      <c r="G676" s="93">
        <v>5</v>
      </c>
      <c r="H676" s="78">
        <v>0</v>
      </c>
      <c r="I676" s="78">
        <v>541</v>
      </c>
      <c r="J676" s="78">
        <v>578</v>
      </c>
      <c r="K676" s="78">
        <v>52</v>
      </c>
      <c r="L676" s="78">
        <v>10500</v>
      </c>
      <c r="M676" s="78">
        <v>100</v>
      </c>
      <c r="N676" s="78">
        <v>100</v>
      </c>
      <c r="O676" s="78">
        <v>100</v>
      </c>
      <c r="P676" s="78">
        <v>0</v>
      </c>
      <c r="Q676" s="78">
        <v>0</v>
      </c>
      <c r="R676" s="78"/>
      <c r="S676" s="78"/>
      <c r="U676" s="78"/>
      <c r="V676" s="93">
        <v>2</v>
      </c>
    </row>
    <row r="677" spans="1:23">
      <c r="A677" s="93">
        <v>140973</v>
      </c>
      <c r="B677" s="93" t="s">
        <v>650</v>
      </c>
      <c r="C677" s="93">
        <v>19</v>
      </c>
      <c r="D677" s="78"/>
      <c r="E677" s="78"/>
      <c r="F677" s="78">
        <v>2</v>
      </c>
      <c r="G677" s="93">
        <v>6</v>
      </c>
      <c r="H677" s="78">
        <v>0</v>
      </c>
      <c r="I677" s="78">
        <v>592</v>
      </c>
      <c r="J677" s="78">
        <v>585</v>
      </c>
      <c r="K677" s="78">
        <v>75</v>
      </c>
      <c r="L677" s="78">
        <v>15000</v>
      </c>
      <c r="M677" s="78">
        <v>100</v>
      </c>
      <c r="N677" s="78">
        <v>100</v>
      </c>
      <c r="O677" s="78">
        <v>100</v>
      </c>
      <c r="P677" s="78">
        <v>0</v>
      </c>
      <c r="Q677" s="78">
        <v>0</v>
      </c>
      <c r="R677" s="78"/>
      <c r="S677" s="78"/>
      <c r="U677" s="78"/>
      <c r="V677" s="93">
        <v>2</v>
      </c>
    </row>
    <row r="678" spans="1:23">
      <c r="A678" s="93">
        <v>140974</v>
      </c>
      <c r="B678" s="93" t="s">
        <v>650</v>
      </c>
      <c r="C678" s="93">
        <v>19</v>
      </c>
      <c r="D678" s="78"/>
      <c r="E678" s="78"/>
      <c r="F678" s="78">
        <v>2</v>
      </c>
      <c r="G678" s="93">
        <v>7</v>
      </c>
      <c r="H678" s="78">
        <v>0</v>
      </c>
      <c r="I678" s="78">
        <v>645</v>
      </c>
      <c r="J678" s="78">
        <v>625</v>
      </c>
      <c r="K678" s="78">
        <v>90</v>
      </c>
      <c r="L678" s="78">
        <v>21000</v>
      </c>
      <c r="M678" s="78">
        <v>100</v>
      </c>
      <c r="N678" s="78">
        <v>100</v>
      </c>
      <c r="O678" s="78">
        <v>100</v>
      </c>
      <c r="P678" s="78">
        <v>0</v>
      </c>
      <c r="Q678" s="78">
        <v>0</v>
      </c>
      <c r="R678" s="78"/>
      <c r="S678" s="78"/>
      <c r="U678" s="78"/>
      <c r="V678" s="93">
        <v>2</v>
      </c>
    </row>
    <row r="679" spans="1:23">
      <c r="A679" s="93">
        <v>140982</v>
      </c>
      <c r="B679" s="93" t="s">
        <v>657</v>
      </c>
      <c r="C679" s="93">
        <v>19</v>
      </c>
      <c r="D679" s="78"/>
      <c r="E679" s="78"/>
      <c r="F679" s="78">
        <v>2</v>
      </c>
      <c r="G679" s="93">
        <v>5</v>
      </c>
      <c r="H679" s="78">
        <v>0</v>
      </c>
      <c r="I679" s="78">
        <v>538</v>
      </c>
      <c r="J679" s="78">
        <v>584</v>
      </c>
      <c r="K679" s="78">
        <v>55</v>
      </c>
      <c r="L679" s="78">
        <v>10500</v>
      </c>
      <c r="M679" s="78">
        <v>100</v>
      </c>
      <c r="N679" s="78">
        <v>100</v>
      </c>
      <c r="O679" s="78">
        <v>100</v>
      </c>
      <c r="P679" s="78">
        <v>0</v>
      </c>
      <c r="Q679" s="78">
        <v>0</v>
      </c>
      <c r="R679" s="78"/>
      <c r="S679" s="78"/>
      <c r="U679" s="78"/>
      <c r="V679" s="93">
        <v>2</v>
      </c>
    </row>
    <row r="680" spans="1:23">
      <c r="A680" s="93">
        <v>140983</v>
      </c>
      <c r="B680" s="93" t="s">
        <v>657</v>
      </c>
      <c r="C680" s="93">
        <v>19</v>
      </c>
      <c r="D680" s="78"/>
      <c r="E680" s="78"/>
      <c r="F680" s="78">
        <v>2</v>
      </c>
      <c r="G680" s="93">
        <v>6</v>
      </c>
      <c r="H680" s="78">
        <v>0</v>
      </c>
      <c r="I680" s="78">
        <v>582</v>
      </c>
      <c r="J680" s="78">
        <v>627</v>
      </c>
      <c r="K680" s="78">
        <v>65</v>
      </c>
      <c r="L680" s="78">
        <v>15000</v>
      </c>
      <c r="M680" s="78">
        <v>100</v>
      </c>
      <c r="N680" s="78">
        <v>100</v>
      </c>
      <c r="O680" s="78">
        <v>100</v>
      </c>
      <c r="P680" s="78">
        <v>0</v>
      </c>
      <c r="Q680" s="78">
        <v>0</v>
      </c>
      <c r="R680" s="78"/>
      <c r="S680" s="78"/>
      <c r="U680" s="78"/>
      <c r="V680" s="93">
        <v>2</v>
      </c>
    </row>
    <row r="681" spans="1:23">
      <c r="A681" s="93">
        <v>140984</v>
      </c>
      <c r="B681" s="93" t="s">
        <v>657</v>
      </c>
      <c r="C681" s="93">
        <v>19</v>
      </c>
      <c r="D681" s="78"/>
      <c r="E681" s="78"/>
      <c r="F681" s="78">
        <v>2</v>
      </c>
      <c r="G681" s="93">
        <v>7</v>
      </c>
      <c r="H681" s="78">
        <v>0</v>
      </c>
      <c r="I681" s="78">
        <v>635</v>
      </c>
      <c r="J681" s="78">
        <v>672</v>
      </c>
      <c r="K681" s="78">
        <v>75</v>
      </c>
      <c r="L681" s="78">
        <v>21000</v>
      </c>
      <c r="M681" s="78">
        <v>100</v>
      </c>
      <c r="N681" s="78">
        <v>100</v>
      </c>
      <c r="O681" s="78">
        <v>100</v>
      </c>
      <c r="P681" s="78">
        <v>0</v>
      </c>
      <c r="Q681" s="78">
        <v>0</v>
      </c>
      <c r="R681" s="78"/>
      <c r="S681" s="78"/>
      <c r="U681" s="78"/>
      <c r="V681" s="93">
        <v>2</v>
      </c>
    </row>
    <row r="682" spans="1:23">
      <c r="A682" s="93">
        <v>140992</v>
      </c>
      <c r="B682" s="93" t="s">
        <v>664</v>
      </c>
      <c r="C682" s="93">
        <v>19</v>
      </c>
      <c r="D682" s="78"/>
      <c r="E682" s="78"/>
      <c r="F682" s="78">
        <v>2</v>
      </c>
      <c r="G682" s="93">
        <v>5</v>
      </c>
      <c r="H682" s="78">
        <v>0</v>
      </c>
      <c r="I682" s="78">
        <v>570</v>
      </c>
      <c r="J682" s="78">
        <v>545</v>
      </c>
      <c r="K682" s="78">
        <v>55</v>
      </c>
      <c r="L682" s="78">
        <v>10500</v>
      </c>
      <c r="M682" s="78">
        <v>100</v>
      </c>
      <c r="N682" s="78">
        <v>100</v>
      </c>
      <c r="O682" s="78">
        <v>100</v>
      </c>
      <c r="P682" s="78"/>
      <c r="Q682" s="78"/>
      <c r="V682" s="93">
        <v>1</v>
      </c>
      <c r="W682" s="93" t="s">
        <v>5138</v>
      </c>
    </row>
    <row r="683" spans="1:23">
      <c r="A683" s="93">
        <v>140993</v>
      </c>
      <c r="B683" s="93" t="s">
        <v>664</v>
      </c>
      <c r="C683" s="93">
        <v>19</v>
      </c>
      <c r="D683" s="78"/>
      <c r="E683" s="78"/>
      <c r="F683" s="78">
        <v>2</v>
      </c>
      <c r="G683" s="93">
        <v>6</v>
      </c>
      <c r="H683" s="78">
        <v>0</v>
      </c>
      <c r="I683" s="78">
        <v>618</v>
      </c>
      <c r="J683" s="78">
        <v>594</v>
      </c>
      <c r="K683" s="78">
        <v>65</v>
      </c>
      <c r="L683" s="78">
        <v>15000</v>
      </c>
      <c r="M683" s="78">
        <v>100</v>
      </c>
      <c r="N683" s="78">
        <v>100</v>
      </c>
      <c r="O683" s="78">
        <v>100</v>
      </c>
      <c r="P683" s="78"/>
      <c r="Q683" s="78"/>
      <c r="V683" s="93">
        <v>1</v>
      </c>
      <c r="W683" s="93" t="s">
        <v>5138</v>
      </c>
    </row>
    <row r="684" spans="1:23">
      <c r="A684" s="93">
        <v>140994</v>
      </c>
      <c r="B684" s="93" t="s">
        <v>664</v>
      </c>
      <c r="C684" s="93">
        <v>19</v>
      </c>
      <c r="D684" s="78"/>
      <c r="E684" s="78"/>
      <c r="F684" s="78">
        <v>2</v>
      </c>
      <c r="G684" s="93">
        <v>7</v>
      </c>
      <c r="H684" s="78">
        <v>0</v>
      </c>
      <c r="I684" s="78">
        <v>670</v>
      </c>
      <c r="J684" s="78">
        <v>645</v>
      </c>
      <c r="K684" s="78">
        <v>75</v>
      </c>
      <c r="L684" s="78">
        <v>21000</v>
      </c>
      <c r="M684" s="78">
        <v>100</v>
      </c>
      <c r="N684" s="78">
        <v>100</v>
      </c>
      <c r="O684" s="78">
        <v>100</v>
      </c>
      <c r="P684" s="78"/>
      <c r="Q684" s="78"/>
      <c r="V684" s="93">
        <v>1</v>
      </c>
      <c r="W684" s="93" t="s">
        <v>5138</v>
      </c>
    </row>
    <row r="685" spans="1:23">
      <c r="A685" s="93">
        <v>141002</v>
      </c>
      <c r="B685" s="93" t="s">
        <v>671</v>
      </c>
      <c r="C685" s="93">
        <v>19</v>
      </c>
      <c r="D685" s="78"/>
      <c r="E685" s="78"/>
      <c r="F685" s="78">
        <v>2</v>
      </c>
      <c r="G685" s="93">
        <v>5</v>
      </c>
      <c r="H685" s="78">
        <v>0</v>
      </c>
      <c r="I685" s="78">
        <v>541</v>
      </c>
      <c r="J685" s="78">
        <v>578</v>
      </c>
      <c r="K685" s="78">
        <v>52</v>
      </c>
      <c r="L685" s="78">
        <v>10500</v>
      </c>
      <c r="M685" s="78">
        <v>100</v>
      </c>
      <c r="N685" s="78">
        <v>100</v>
      </c>
      <c r="O685" s="78">
        <v>100</v>
      </c>
      <c r="P685" s="78">
        <v>0</v>
      </c>
      <c r="Q685" s="78">
        <v>0</v>
      </c>
      <c r="R685" s="78"/>
      <c r="S685" s="78"/>
      <c r="U685" s="78"/>
      <c r="V685" s="93">
        <v>2</v>
      </c>
      <c r="W685" s="93" t="s">
        <v>5138</v>
      </c>
    </row>
    <row r="686" spans="1:23">
      <c r="A686" s="93">
        <v>141003</v>
      </c>
      <c r="B686" s="93" t="s">
        <v>671</v>
      </c>
      <c r="C686" s="93">
        <v>19</v>
      </c>
      <c r="D686" s="78"/>
      <c r="E686" s="78"/>
      <c r="F686" s="78">
        <v>2</v>
      </c>
      <c r="G686" s="93">
        <v>6</v>
      </c>
      <c r="H686" s="78">
        <v>0</v>
      </c>
      <c r="I686" s="78">
        <v>588</v>
      </c>
      <c r="J686" s="78">
        <v>620</v>
      </c>
      <c r="K686" s="78">
        <v>62</v>
      </c>
      <c r="L686" s="78">
        <v>15000</v>
      </c>
      <c r="M686" s="78">
        <v>100</v>
      </c>
      <c r="N686" s="78">
        <v>100</v>
      </c>
      <c r="O686" s="78">
        <v>100</v>
      </c>
      <c r="P686" s="78">
        <v>0</v>
      </c>
      <c r="Q686" s="78">
        <v>0</v>
      </c>
      <c r="R686" s="78"/>
      <c r="S686" s="78"/>
      <c r="U686" s="78"/>
      <c r="V686" s="93">
        <v>2</v>
      </c>
      <c r="W686" s="93" t="s">
        <v>5138</v>
      </c>
    </row>
    <row r="687" spans="1:23">
      <c r="A687" s="93">
        <v>141004</v>
      </c>
      <c r="B687" s="93" t="s">
        <v>671</v>
      </c>
      <c r="C687" s="93">
        <v>19</v>
      </c>
      <c r="D687" s="78"/>
      <c r="E687" s="78"/>
      <c r="F687" s="78">
        <v>2</v>
      </c>
      <c r="G687" s="93">
        <v>7</v>
      </c>
      <c r="H687" s="78">
        <v>0</v>
      </c>
      <c r="I687" s="78">
        <v>645</v>
      </c>
      <c r="J687" s="78">
        <v>665</v>
      </c>
      <c r="K687" s="78">
        <v>72</v>
      </c>
      <c r="L687" s="78">
        <v>21000</v>
      </c>
      <c r="M687" s="78">
        <v>100</v>
      </c>
      <c r="N687" s="78">
        <v>100</v>
      </c>
      <c r="O687" s="78">
        <v>100</v>
      </c>
      <c r="P687" s="78">
        <v>0</v>
      </c>
      <c r="Q687" s="78">
        <v>0</v>
      </c>
      <c r="R687" s="78"/>
      <c r="S687" s="78"/>
      <c r="U687" s="78"/>
      <c r="V687" s="93">
        <v>2</v>
      </c>
      <c r="W687" s="93" t="s">
        <v>5138</v>
      </c>
    </row>
    <row r="688" spans="1:23" s="86" customFormat="1">
      <c r="A688" s="86">
        <v>141012</v>
      </c>
      <c r="B688" s="86" t="s">
        <v>678</v>
      </c>
      <c r="C688" s="86">
        <v>19</v>
      </c>
      <c r="D688" s="87"/>
      <c r="E688" s="87"/>
      <c r="F688" s="87">
        <v>2</v>
      </c>
      <c r="G688" s="86">
        <v>5</v>
      </c>
      <c r="H688" s="87">
        <v>0</v>
      </c>
      <c r="I688" s="87">
        <v>550</v>
      </c>
      <c r="J688" s="87">
        <v>590</v>
      </c>
      <c r="K688" s="87">
        <v>52</v>
      </c>
      <c r="L688" s="87">
        <v>10500</v>
      </c>
      <c r="M688" s="87">
        <v>100</v>
      </c>
      <c r="N688" s="87">
        <v>100</v>
      </c>
      <c r="O688" s="87">
        <v>100</v>
      </c>
      <c r="P688" s="87">
        <v>0</v>
      </c>
      <c r="Q688" s="87">
        <v>0</v>
      </c>
      <c r="R688" s="86">
        <v>511001</v>
      </c>
      <c r="T688" s="86">
        <v>511001</v>
      </c>
      <c r="U688" s="86">
        <v>100</v>
      </c>
      <c r="V688" s="86">
        <v>2</v>
      </c>
      <c r="W688" s="86" t="s">
        <v>5138</v>
      </c>
    </row>
    <row r="689" spans="1:23" s="86" customFormat="1">
      <c r="A689" s="86">
        <v>141013</v>
      </c>
      <c r="B689" s="86" t="s">
        <v>678</v>
      </c>
      <c r="C689" s="86">
        <v>19</v>
      </c>
      <c r="D689" s="87"/>
      <c r="E689" s="87"/>
      <c r="F689" s="87">
        <v>2</v>
      </c>
      <c r="G689" s="86">
        <v>6</v>
      </c>
      <c r="H689" s="87">
        <v>0</v>
      </c>
      <c r="I689" s="87">
        <v>585</v>
      </c>
      <c r="J689" s="87">
        <v>630</v>
      </c>
      <c r="K689" s="87">
        <v>62</v>
      </c>
      <c r="L689" s="87">
        <v>15000</v>
      </c>
      <c r="M689" s="87">
        <v>100</v>
      </c>
      <c r="N689" s="87">
        <v>100</v>
      </c>
      <c r="O689" s="87">
        <v>100</v>
      </c>
      <c r="P689" s="87">
        <v>0</v>
      </c>
      <c r="Q689" s="87">
        <v>0</v>
      </c>
      <c r="R689" s="86">
        <v>511001</v>
      </c>
      <c r="T689" s="86">
        <v>511001</v>
      </c>
      <c r="U689" s="86">
        <v>200</v>
      </c>
      <c r="V689" s="86">
        <v>2</v>
      </c>
      <c r="W689" s="86" t="s">
        <v>5138</v>
      </c>
    </row>
    <row r="690" spans="1:23" s="86" customFormat="1">
      <c r="A690" s="86">
        <v>141014</v>
      </c>
      <c r="B690" s="86" t="s">
        <v>678</v>
      </c>
      <c r="C690" s="86">
        <v>19</v>
      </c>
      <c r="D690" s="87"/>
      <c r="E690" s="87"/>
      <c r="F690" s="87">
        <v>2</v>
      </c>
      <c r="G690" s="86">
        <v>7</v>
      </c>
      <c r="H690" s="87">
        <v>0</v>
      </c>
      <c r="I690" s="87">
        <v>650</v>
      </c>
      <c r="J690" s="87">
        <v>670</v>
      </c>
      <c r="K690" s="87">
        <v>72</v>
      </c>
      <c r="L690" s="87">
        <v>21000</v>
      </c>
      <c r="M690" s="87">
        <v>100</v>
      </c>
      <c r="N690" s="87">
        <v>100</v>
      </c>
      <c r="O690" s="87">
        <v>100</v>
      </c>
      <c r="P690" s="87">
        <v>0</v>
      </c>
      <c r="Q690" s="87">
        <v>0</v>
      </c>
      <c r="R690" s="86">
        <v>511001</v>
      </c>
      <c r="T690" s="86">
        <v>511001</v>
      </c>
      <c r="U690" s="86">
        <v>400</v>
      </c>
      <c r="V690" s="86">
        <v>2</v>
      </c>
      <c r="W690" s="86" t="s">
        <v>5138</v>
      </c>
    </row>
    <row r="691" spans="1:23">
      <c r="A691" s="93">
        <v>141022</v>
      </c>
      <c r="B691" s="93" t="s">
        <v>685</v>
      </c>
      <c r="C691" s="93">
        <v>19</v>
      </c>
      <c r="D691" s="78"/>
      <c r="E691" s="78"/>
      <c r="F691" s="78">
        <v>2</v>
      </c>
      <c r="G691" s="93">
        <v>5</v>
      </c>
      <c r="H691" s="78">
        <v>0</v>
      </c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U691" s="78"/>
    </row>
    <row r="692" spans="1:23">
      <c r="A692" s="93">
        <v>141023</v>
      </c>
      <c r="B692" s="93" t="s">
        <v>685</v>
      </c>
      <c r="C692" s="93">
        <v>19</v>
      </c>
      <c r="D692" s="78"/>
      <c r="E692" s="78"/>
      <c r="F692" s="78">
        <v>2</v>
      </c>
      <c r="G692" s="93">
        <v>6</v>
      </c>
      <c r="H692" s="78">
        <v>0</v>
      </c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U692" s="78"/>
    </row>
    <row r="693" spans="1:23">
      <c r="A693" s="93">
        <v>141024</v>
      </c>
      <c r="B693" s="93" t="s">
        <v>685</v>
      </c>
      <c r="C693" s="93">
        <v>19</v>
      </c>
      <c r="D693" s="78"/>
      <c r="E693" s="78"/>
      <c r="F693" s="78">
        <v>2</v>
      </c>
      <c r="G693" s="93">
        <v>7</v>
      </c>
      <c r="H693" s="78">
        <v>0</v>
      </c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U693" s="78"/>
    </row>
    <row r="694" spans="1:23" s="86" customFormat="1">
      <c r="A694" s="86">
        <v>141032</v>
      </c>
      <c r="B694" s="86" t="s">
        <v>692</v>
      </c>
      <c r="C694" s="86">
        <v>19</v>
      </c>
      <c r="D694" s="87"/>
      <c r="E694" s="87"/>
      <c r="F694" s="87">
        <v>2</v>
      </c>
      <c r="G694" s="86">
        <v>5</v>
      </c>
      <c r="H694" s="87">
        <v>0</v>
      </c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U694" s="87"/>
    </row>
    <row r="695" spans="1:23" s="86" customFormat="1">
      <c r="A695" s="86">
        <v>141033</v>
      </c>
      <c r="B695" s="86" t="s">
        <v>692</v>
      </c>
      <c r="C695" s="86">
        <v>19</v>
      </c>
      <c r="D695" s="87"/>
      <c r="E695" s="87"/>
      <c r="F695" s="87">
        <v>2</v>
      </c>
      <c r="G695" s="86">
        <v>6</v>
      </c>
      <c r="H695" s="87">
        <v>0</v>
      </c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U695" s="87"/>
    </row>
    <row r="696" spans="1:23" s="86" customFormat="1">
      <c r="A696" s="86">
        <v>141034</v>
      </c>
      <c r="B696" s="86" t="s">
        <v>692</v>
      </c>
      <c r="C696" s="86">
        <v>19</v>
      </c>
      <c r="D696" s="87"/>
      <c r="E696" s="87"/>
      <c r="F696" s="87">
        <v>2</v>
      </c>
      <c r="G696" s="86">
        <v>7</v>
      </c>
      <c r="H696" s="87">
        <v>0</v>
      </c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U696" s="87"/>
    </row>
    <row r="697" spans="1:23">
      <c r="A697" s="93">
        <v>141042</v>
      </c>
      <c r="B697" s="93" t="s">
        <v>699</v>
      </c>
      <c r="C697" s="93">
        <v>19</v>
      </c>
      <c r="D697" s="78"/>
      <c r="E697" s="78"/>
      <c r="F697" s="78">
        <v>2</v>
      </c>
      <c r="G697" s="93">
        <v>5</v>
      </c>
      <c r="H697" s="78">
        <v>0</v>
      </c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U697" s="78"/>
    </row>
    <row r="698" spans="1:23">
      <c r="A698" s="93">
        <v>141043</v>
      </c>
      <c r="B698" s="93" t="s">
        <v>699</v>
      </c>
      <c r="C698" s="93">
        <v>19</v>
      </c>
      <c r="D698" s="78"/>
      <c r="E698" s="78"/>
      <c r="F698" s="78">
        <v>2</v>
      </c>
      <c r="G698" s="93">
        <v>6</v>
      </c>
      <c r="H698" s="78">
        <v>0</v>
      </c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U698" s="78"/>
    </row>
    <row r="699" spans="1:23">
      <c r="A699" s="93">
        <v>141044</v>
      </c>
      <c r="B699" s="93" t="s">
        <v>699</v>
      </c>
      <c r="C699" s="93">
        <v>19</v>
      </c>
      <c r="D699" s="78"/>
      <c r="E699" s="78"/>
      <c r="F699" s="78">
        <v>2</v>
      </c>
      <c r="G699" s="93">
        <v>7</v>
      </c>
      <c r="H699" s="78">
        <v>0</v>
      </c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U699" s="78"/>
    </row>
    <row r="700" spans="1:23">
      <c r="A700" s="93">
        <v>141052</v>
      </c>
      <c r="B700" s="93" t="s">
        <v>5140</v>
      </c>
      <c r="C700" s="93">
        <v>19</v>
      </c>
      <c r="D700" s="78"/>
      <c r="E700" s="78"/>
      <c r="F700" s="78">
        <v>2</v>
      </c>
      <c r="G700" s="93">
        <v>5</v>
      </c>
      <c r="H700" s="78">
        <v>0</v>
      </c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U700" s="78"/>
    </row>
    <row r="701" spans="1:23">
      <c r="A701" s="93">
        <v>141053</v>
      </c>
      <c r="B701" s="93" t="s">
        <v>5140</v>
      </c>
      <c r="C701" s="93">
        <v>19</v>
      </c>
      <c r="D701" s="78"/>
      <c r="E701" s="78"/>
      <c r="F701" s="78">
        <v>2</v>
      </c>
      <c r="G701" s="93">
        <v>6</v>
      </c>
      <c r="H701" s="78">
        <v>0</v>
      </c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U701" s="78"/>
    </row>
    <row r="702" spans="1:23">
      <c r="A702" s="93">
        <v>141054</v>
      </c>
      <c r="B702" s="93" t="s">
        <v>5140</v>
      </c>
      <c r="C702" s="93">
        <v>19</v>
      </c>
      <c r="D702" s="78"/>
      <c r="E702" s="78"/>
      <c r="F702" s="78">
        <v>2</v>
      </c>
      <c r="G702" s="93">
        <v>7</v>
      </c>
      <c r="H702" s="78">
        <v>0</v>
      </c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U702" s="78"/>
    </row>
    <row r="703" spans="1:23">
      <c r="A703" s="93">
        <v>141062</v>
      </c>
      <c r="B703" s="93" t="s">
        <v>713</v>
      </c>
      <c r="C703" s="93">
        <v>19</v>
      </c>
      <c r="D703" s="78"/>
      <c r="E703" s="78"/>
      <c r="F703" s="78">
        <v>2</v>
      </c>
      <c r="G703" s="93">
        <v>5</v>
      </c>
      <c r="H703" s="78">
        <v>0</v>
      </c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U703" s="78"/>
    </row>
    <row r="704" spans="1:23">
      <c r="A704" s="93">
        <v>141063</v>
      </c>
      <c r="B704" s="93" t="s">
        <v>713</v>
      </c>
      <c r="C704" s="93">
        <v>19</v>
      </c>
      <c r="D704" s="78"/>
      <c r="E704" s="78"/>
      <c r="F704" s="78">
        <v>2</v>
      </c>
      <c r="G704" s="93">
        <v>6</v>
      </c>
      <c r="H704" s="78">
        <v>0</v>
      </c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U704" s="78"/>
    </row>
    <row r="705" spans="1:22">
      <c r="A705" s="93">
        <v>141064</v>
      </c>
      <c r="B705" s="93" t="s">
        <v>713</v>
      </c>
      <c r="C705" s="93">
        <v>19</v>
      </c>
      <c r="D705" s="78"/>
      <c r="E705" s="78"/>
      <c r="F705" s="78">
        <v>2</v>
      </c>
      <c r="G705" s="93">
        <v>7</v>
      </c>
      <c r="H705" s="78">
        <v>0</v>
      </c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U705" s="78"/>
    </row>
    <row r="706" spans="1:22">
      <c r="A706" s="93">
        <v>141072</v>
      </c>
      <c r="B706" s="93" t="s">
        <v>720</v>
      </c>
      <c r="C706" s="93">
        <v>19</v>
      </c>
      <c r="D706" s="78"/>
      <c r="E706" s="78"/>
      <c r="F706" s="78">
        <v>2</v>
      </c>
      <c r="G706" s="93">
        <v>5</v>
      </c>
      <c r="H706" s="78">
        <v>0</v>
      </c>
      <c r="I706" s="78">
        <v>538</v>
      </c>
      <c r="J706" s="78">
        <v>575</v>
      </c>
      <c r="K706" s="78">
        <v>50</v>
      </c>
      <c r="L706" s="78">
        <v>10500</v>
      </c>
      <c r="M706" s="78">
        <v>100</v>
      </c>
      <c r="N706" s="78">
        <v>100</v>
      </c>
      <c r="O706" s="78">
        <v>100</v>
      </c>
      <c r="P706" s="78">
        <v>0</v>
      </c>
      <c r="Q706" s="78">
        <v>0</v>
      </c>
      <c r="R706" s="78"/>
      <c r="S706" s="78"/>
      <c r="U706" s="78"/>
      <c r="V706" s="93">
        <v>2</v>
      </c>
    </row>
    <row r="707" spans="1:22">
      <c r="A707" s="93">
        <v>141073</v>
      </c>
      <c r="B707" s="93" t="s">
        <v>720</v>
      </c>
      <c r="C707" s="93">
        <v>19</v>
      </c>
      <c r="D707" s="78"/>
      <c r="E707" s="78"/>
      <c r="F707" s="78">
        <v>2</v>
      </c>
      <c r="G707" s="93">
        <v>6</v>
      </c>
      <c r="H707" s="78">
        <v>0</v>
      </c>
      <c r="I707" s="78">
        <v>600</v>
      </c>
      <c r="J707" s="78">
        <v>620</v>
      </c>
      <c r="K707" s="78">
        <v>60</v>
      </c>
      <c r="L707" s="78">
        <v>15000</v>
      </c>
      <c r="M707" s="78">
        <v>100</v>
      </c>
      <c r="N707" s="78">
        <v>100</v>
      </c>
      <c r="O707" s="78">
        <v>100</v>
      </c>
      <c r="P707" s="78">
        <v>0</v>
      </c>
      <c r="Q707" s="78">
        <v>0</v>
      </c>
      <c r="R707" s="78"/>
      <c r="S707" s="78"/>
      <c r="U707" s="78"/>
      <c r="V707" s="93">
        <v>2</v>
      </c>
    </row>
    <row r="708" spans="1:22">
      <c r="A708" s="93">
        <v>141074</v>
      </c>
      <c r="B708" s="93" t="s">
        <v>720</v>
      </c>
      <c r="C708" s="93">
        <v>19</v>
      </c>
      <c r="D708" s="78"/>
      <c r="E708" s="78"/>
      <c r="F708" s="78">
        <v>2</v>
      </c>
      <c r="G708" s="93">
        <v>7</v>
      </c>
      <c r="H708" s="78">
        <v>0</v>
      </c>
      <c r="I708" s="78">
        <v>643</v>
      </c>
      <c r="J708" s="78">
        <v>662</v>
      </c>
      <c r="K708" s="78">
        <v>75</v>
      </c>
      <c r="L708" s="78">
        <v>21000</v>
      </c>
      <c r="M708" s="78">
        <v>100</v>
      </c>
      <c r="N708" s="78">
        <v>100</v>
      </c>
      <c r="O708" s="78">
        <v>100</v>
      </c>
      <c r="P708" s="78">
        <v>0</v>
      </c>
      <c r="Q708" s="78">
        <v>0</v>
      </c>
      <c r="R708" s="78"/>
      <c r="S708" s="78"/>
      <c r="U708" s="78"/>
      <c r="V708" s="93">
        <v>2</v>
      </c>
    </row>
    <row r="709" spans="1:22">
      <c r="A709" s="93">
        <v>141082</v>
      </c>
      <c r="B709" s="93" t="s">
        <v>727</v>
      </c>
      <c r="C709" s="93">
        <v>19</v>
      </c>
      <c r="D709" s="78"/>
      <c r="E709" s="78"/>
      <c r="F709" s="78">
        <v>2</v>
      </c>
      <c r="G709" s="93">
        <v>5</v>
      </c>
      <c r="H709" s="78">
        <v>0</v>
      </c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U709" s="78"/>
    </row>
    <row r="710" spans="1:22">
      <c r="A710" s="93">
        <v>141083</v>
      </c>
      <c r="B710" s="93" t="s">
        <v>727</v>
      </c>
      <c r="C710" s="93">
        <v>19</v>
      </c>
      <c r="D710" s="78"/>
      <c r="E710" s="78"/>
      <c r="F710" s="78">
        <v>2</v>
      </c>
      <c r="G710" s="93">
        <v>6</v>
      </c>
      <c r="H710" s="78">
        <v>0</v>
      </c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U710" s="78"/>
    </row>
    <row r="711" spans="1:22">
      <c r="A711" s="93">
        <v>141084</v>
      </c>
      <c r="B711" s="93" t="s">
        <v>727</v>
      </c>
      <c r="C711" s="93">
        <v>19</v>
      </c>
      <c r="D711" s="78"/>
      <c r="E711" s="78"/>
      <c r="F711" s="78">
        <v>2</v>
      </c>
      <c r="G711" s="93">
        <v>7</v>
      </c>
      <c r="H711" s="78">
        <v>0</v>
      </c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U711" s="78"/>
    </row>
    <row r="712" spans="1:22">
      <c r="A712" s="93">
        <v>141092</v>
      </c>
      <c r="B712" s="93" t="s">
        <v>734</v>
      </c>
      <c r="C712" s="93">
        <v>19</v>
      </c>
      <c r="D712" s="78"/>
      <c r="E712" s="78"/>
      <c r="F712" s="78">
        <v>2</v>
      </c>
      <c r="G712" s="93">
        <v>5</v>
      </c>
      <c r="H712" s="78">
        <v>0</v>
      </c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U712" s="78"/>
    </row>
    <row r="713" spans="1:22">
      <c r="A713" s="93">
        <v>141093</v>
      </c>
      <c r="B713" s="93" t="s">
        <v>734</v>
      </c>
      <c r="C713" s="93">
        <v>19</v>
      </c>
      <c r="D713" s="78"/>
      <c r="E713" s="78"/>
      <c r="F713" s="78">
        <v>2</v>
      </c>
      <c r="G713" s="93">
        <v>6</v>
      </c>
      <c r="H713" s="78">
        <v>0</v>
      </c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U713" s="78"/>
    </row>
    <row r="714" spans="1:22">
      <c r="A714" s="93">
        <v>141094</v>
      </c>
      <c r="B714" s="93" t="s">
        <v>734</v>
      </c>
      <c r="C714" s="93">
        <v>19</v>
      </c>
      <c r="D714" s="78"/>
      <c r="E714" s="78"/>
      <c r="F714" s="78">
        <v>2</v>
      </c>
      <c r="G714" s="93">
        <v>7</v>
      </c>
      <c r="H714" s="78">
        <v>0</v>
      </c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U714" s="78"/>
    </row>
    <row r="715" spans="1:22">
      <c r="A715" s="93">
        <v>141102</v>
      </c>
      <c r="B715" s="93" t="s">
        <v>741</v>
      </c>
      <c r="C715" s="93">
        <v>19</v>
      </c>
      <c r="D715" s="78"/>
      <c r="E715" s="78"/>
      <c r="F715" s="78">
        <v>2</v>
      </c>
      <c r="G715" s="93">
        <v>5</v>
      </c>
      <c r="H715" s="78">
        <v>0</v>
      </c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U715" s="78"/>
    </row>
    <row r="716" spans="1:22">
      <c r="A716" s="93">
        <v>141103</v>
      </c>
      <c r="B716" s="93" t="s">
        <v>741</v>
      </c>
      <c r="C716" s="93">
        <v>19</v>
      </c>
      <c r="D716" s="78"/>
      <c r="E716" s="78"/>
      <c r="F716" s="78">
        <v>2</v>
      </c>
      <c r="G716" s="93">
        <v>6</v>
      </c>
      <c r="H716" s="78">
        <v>0</v>
      </c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U716" s="78"/>
    </row>
    <row r="717" spans="1:22">
      <c r="A717" s="93">
        <v>141104</v>
      </c>
      <c r="B717" s="93" t="s">
        <v>741</v>
      </c>
      <c r="C717" s="93">
        <v>19</v>
      </c>
      <c r="D717" s="78"/>
      <c r="E717" s="78"/>
      <c r="F717" s="78">
        <v>2</v>
      </c>
      <c r="G717" s="93">
        <v>7</v>
      </c>
      <c r="H717" s="78">
        <v>0</v>
      </c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U717" s="78"/>
    </row>
    <row r="718" spans="1:22">
      <c r="A718" s="93">
        <v>141112</v>
      </c>
      <c r="B718" s="93" t="s">
        <v>5141</v>
      </c>
      <c r="C718" s="93">
        <v>19</v>
      </c>
      <c r="D718" s="78"/>
      <c r="E718" s="78"/>
      <c r="F718" s="78">
        <v>2</v>
      </c>
      <c r="G718" s="93">
        <v>5</v>
      </c>
      <c r="H718" s="78">
        <v>0</v>
      </c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U718" s="78"/>
    </row>
    <row r="719" spans="1:22">
      <c r="A719" s="93">
        <v>141113</v>
      </c>
      <c r="B719" s="93" t="s">
        <v>5141</v>
      </c>
      <c r="C719" s="93">
        <v>19</v>
      </c>
      <c r="D719" s="78"/>
      <c r="E719" s="78"/>
      <c r="F719" s="78">
        <v>2</v>
      </c>
      <c r="G719" s="93">
        <v>6</v>
      </c>
      <c r="H719" s="78">
        <v>0</v>
      </c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U719" s="78"/>
    </row>
    <row r="720" spans="1:22">
      <c r="A720" s="93">
        <v>141114</v>
      </c>
      <c r="B720" s="93" t="s">
        <v>5141</v>
      </c>
      <c r="C720" s="93">
        <v>19</v>
      </c>
      <c r="D720" s="78"/>
      <c r="E720" s="78"/>
      <c r="F720" s="78">
        <v>2</v>
      </c>
      <c r="G720" s="93">
        <v>7</v>
      </c>
      <c r="H720" s="78">
        <v>0</v>
      </c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U720" s="78"/>
    </row>
    <row r="721" spans="1:23">
      <c r="A721" s="93">
        <v>141122</v>
      </c>
      <c r="B721" s="93" t="s">
        <v>755</v>
      </c>
      <c r="C721" s="93">
        <v>19</v>
      </c>
      <c r="D721" s="78"/>
      <c r="E721" s="78"/>
      <c r="F721" s="78">
        <v>2</v>
      </c>
      <c r="G721" s="93">
        <v>5</v>
      </c>
      <c r="H721" s="78">
        <v>0</v>
      </c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U721" s="78"/>
    </row>
    <row r="722" spans="1:23">
      <c r="A722" s="93">
        <v>141123</v>
      </c>
      <c r="B722" s="93" t="s">
        <v>755</v>
      </c>
      <c r="C722" s="93">
        <v>19</v>
      </c>
      <c r="D722" s="78"/>
      <c r="E722" s="78"/>
      <c r="F722" s="78">
        <v>2</v>
      </c>
      <c r="G722" s="93">
        <v>6</v>
      </c>
      <c r="H722" s="78">
        <v>0</v>
      </c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U722" s="78"/>
    </row>
    <row r="723" spans="1:23" ht="13.15" customHeight="1">
      <c r="A723" s="93">
        <v>141124</v>
      </c>
      <c r="B723" s="93" t="s">
        <v>755</v>
      </c>
      <c r="C723" s="93">
        <v>19</v>
      </c>
      <c r="D723" s="78"/>
      <c r="E723" s="78"/>
      <c r="F723" s="78">
        <v>2</v>
      </c>
      <c r="G723" s="93">
        <v>7</v>
      </c>
      <c r="H723" s="78">
        <v>0</v>
      </c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U723" s="78"/>
    </row>
    <row r="724" spans="1:23">
      <c r="A724" s="93">
        <v>141132</v>
      </c>
      <c r="B724" s="93" t="s">
        <v>762</v>
      </c>
      <c r="C724" s="93">
        <v>19</v>
      </c>
      <c r="D724" s="78"/>
      <c r="E724" s="78"/>
      <c r="F724" s="78">
        <v>2</v>
      </c>
      <c r="G724" s="93">
        <v>5</v>
      </c>
      <c r="H724" s="78">
        <v>0</v>
      </c>
      <c r="I724" s="78">
        <v>556</v>
      </c>
      <c r="J724" s="78">
        <v>552</v>
      </c>
      <c r="K724" s="78">
        <v>61</v>
      </c>
      <c r="L724" s="78">
        <v>10500</v>
      </c>
      <c r="M724" s="78">
        <v>100</v>
      </c>
      <c r="N724" s="78">
        <v>100</v>
      </c>
      <c r="O724" s="78">
        <v>100</v>
      </c>
      <c r="P724" s="78">
        <v>0</v>
      </c>
      <c r="Q724" s="78">
        <v>0</v>
      </c>
      <c r="R724" s="78"/>
      <c r="S724" s="78"/>
      <c r="U724" s="78"/>
      <c r="V724" s="93">
        <v>2</v>
      </c>
      <c r="W724" s="93" t="s">
        <v>5138</v>
      </c>
    </row>
    <row r="725" spans="1:23">
      <c r="A725" s="93">
        <v>141133</v>
      </c>
      <c r="B725" s="93" t="s">
        <v>762</v>
      </c>
      <c r="C725" s="93">
        <v>19</v>
      </c>
      <c r="D725" s="78"/>
      <c r="E725" s="78"/>
      <c r="F725" s="78">
        <v>2</v>
      </c>
      <c r="G725" s="93">
        <v>6</v>
      </c>
      <c r="H725" s="78">
        <v>0</v>
      </c>
      <c r="I725" s="78">
        <v>601</v>
      </c>
      <c r="J725" s="78">
        <v>594</v>
      </c>
      <c r="K725" s="78">
        <v>72</v>
      </c>
      <c r="L725" s="78">
        <v>15000</v>
      </c>
      <c r="M725" s="78">
        <v>100</v>
      </c>
      <c r="N725" s="78">
        <v>100</v>
      </c>
      <c r="O725" s="78">
        <v>100</v>
      </c>
      <c r="P725" s="78">
        <v>0</v>
      </c>
      <c r="Q725" s="78">
        <v>0</v>
      </c>
      <c r="R725" s="78"/>
      <c r="S725" s="78"/>
      <c r="U725" s="78"/>
      <c r="V725" s="93">
        <v>2</v>
      </c>
      <c r="W725" s="93" t="s">
        <v>5138</v>
      </c>
    </row>
    <row r="726" spans="1:23">
      <c r="A726" s="93">
        <v>141134</v>
      </c>
      <c r="B726" s="93" t="s">
        <v>762</v>
      </c>
      <c r="C726" s="93">
        <v>19</v>
      </c>
      <c r="D726" s="78"/>
      <c r="E726" s="78"/>
      <c r="F726" s="78">
        <v>2</v>
      </c>
      <c r="G726" s="93">
        <v>7</v>
      </c>
      <c r="H726" s="78">
        <v>0</v>
      </c>
      <c r="I726" s="78">
        <v>646</v>
      </c>
      <c r="J726" s="78">
        <v>640</v>
      </c>
      <c r="K726" s="78">
        <v>82</v>
      </c>
      <c r="L726" s="78">
        <v>21000</v>
      </c>
      <c r="M726" s="78">
        <v>100</v>
      </c>
      <c r="N726" s="78">
        <v>100</v>
      </c>
      <c r="O726" s="78">
        <v>100</v>
      </c>
      <c r="P726" s="78">
        <v>0</v>
      </c>
      <c r="Q726" s="78">
        <v>0</v>
      </c>
      <c r="R726" s="78"/>
      <c r="S726" s="78"/>
      <c r="U726" s="78"/>
      <c r="V726" s="93">
        <v>2</v>
      </c>
      <c r="W726" s="93" t="s">
        <v>5138</v>
      </c>
    </row>
    <row r="727" spans="1:23">
      <c r="A727" s="93">
        <v>141142</v>
      </c>
      <c r="B727" s="93" t="s">
        <v>769</v>
      </c>
      <c r="C727" s="93">
        <v>19</v>
      </c>
      <c r="D727" s="78"/>
      <c r="E727" s="78"/>
      <c r="F727" s="78">
        <v>2</v>
      </c>
      <c r="G727" s="93">
        <v>5</v>
      </c>
      <c r="H727" s="78">
        <v>0</v>
      </c>
      <c r="I727" s="78">
        <v>545</v>
      </c>
      <c r="J727" s="78">
        <v>540</v>
      </c>
      <c r="K727" s="78">
        <v>52</v>
      </c>
      <c r="L727" s="78">
        <v>10500</v>
      </c>
      <c r="M727" s="78">
        <v>100</v>
      </c>
      <c r="N727" s="78">
        <v>100</v>
      </c>
      <c r="O727" s="78">
        <v>100</v>
      </c>
      <c r="P727" s="78">
        <v>0</v>
      </c>
      <c r="Q727" s="78">
        <v>0</v>
      </c>
      <c r="R727" s="78"/>
      <c r="S727" s="78"/>
      <c r="U727" s="78"/>
      <c r="V727" s="93">
        <v>2</v>
      </c>
      <c r="W727" s="93" t="s">
        <v>5138</v>
      </c>
    </row>
    <row r="728" spans="1:23">
      <c r="A728" s="93">
        <v>141143</v>
      </c>
      <c r="B728" s="93" t="s">
        <v>769</v>
      </c>
      <c r="C728" s="93">
        <v>19</v>
      </c>
      <c r="D728" s="78"/>
      <c r="E728" s="78"/>
      <c r="F728" s="78">
        <v>2</v>
      </c>
      <c r="G728" s="93">
        <v>6</v>
      </c>
      <c r="H728" s="78">
        <v>0</v>
      </c>
      <c r="I728" s="78">
        <v>595</v>
      </c>
      <c r="J728" s="78">
        <v>600</v>
      </c>
      <c r="K728" s="78">
        <v>62</v>
      </c>
      <c r="L728" s="78">
        <v>15000</v>
      </c>
      <c r="M728" s="78">
        <v>100</v>
      </c>
      <c r="N728" s="78">
        <v>100</v>
      </c>
      <c r="O728" s="78">
        <v>100</v>
      </c>
      <c r="P728" s="78">
        <v>0</v>
      </c>
      <c r="Q728" s="78">
        <v>0</v>
      </c>
      <c r="R728" s="78"/>
      <c r="S728" s="78"/>
      <c r="U728" s="78"/>
      <c r="V728" s="93">
        <v>2</v>
      </c>
      <c r="W728" s="93" t="s">
        <v>5138</v>
      </c>
    </row>
    <row r="729" spans="1:23">
      <c r="A729" s="93">
        <v>141144</v>
      </c>
      <c r="B729" s="93" t="s">
        <v>769</v>
      </c>
      <c r="C729" s="93">
        <v>19</v>
      </c>
      <c r="D729" s="78"/>
      <c r="E729" s="78"/>
      <c r="F729" s="78">
        <v>2</v>
      </c>
      <c r="G729" s="93">
        <v>7</v>
      </c>
      <c r="H729" s="78">
        <v>0</v>
      </c>
      <c r="I729" s="78">
        <v>645</v>
      </c>
      <c r="J729" s="78">
        <v>670</v>
      </c>
      <c r="K729" s="78">
        <v>72</v>
      </c>
      <c r="L729" s="78">
        <v>21000</v>
      </c>
      <c r="M729" s="78">
        <v>100</v>
      </c>
      <c r="N729" s="78">
        <v>100</v>
      </c>
      <c r="O729" s="78">
        <v>100</v>
      </c>
      <c r="P729" s="78">
        <v>0</v>
      </c>
      <c r="Q729" s="78">
        <v>0</v>
      </c>
      <c r="R729" s="78"/>
      <c r="S729" s="78"/>
      <c r="U729" s="78"/>
      <c r="V729" s="93">
        <v>2</v>
      </c>
      <c r="W729" s="93" t="s">
        <v>5138</v>
      </c>
    </row>
    <row r="730" spans="1:23">
      <c r="A730" s="93">
        <v>141314</v>
      </c>
      <c r="B730" s="93" t="s">
        <v>5518</v>
      </c>
      <c r="C730" s="93">
        <v>19</v>
      </c>
      <c r="D730" s="78"/>
      <c r="E730" s="78"/>
      <c r="F730" s="78">
        <v>2</v>
      </c>
      <c r="G730" s="93">
        <v>8</v>
      </c>
      <c r="H730" s="78">
        <v>0</v>
      </c>
      <c r="I730" s="78">
        <v>700</v>
      </c>
      <c r="J730" s="78">
        <v>710</v>
      </c>
      <c r="K730" s="78">
        <v>90</v>
      </c>
      <c r="L730" s="78">
        <v>50000</v>
      </c>
      <c r="M730" s="78">
        <v>100</v>
      </c>
      <c r="N730" s="78">
        <v>100</v>
      </c>
      <c r="O730" s="78">
        <v>100</v>
      </c>
      <c r="P730" s="78">
        <v>0</v>
      </c>
      <c r="Q730" s="78">
        <v>0</v>
      </c>
      <c r="R730" s="78">
        <v>0</v>
      </c>
      <c r="S730" s="78"/>
      <c r="T730" s="93">
        <v>0</v>
      </c>
      <c r="U730" s="78">
        <v>0</v>
      </c>
      <c r="V730" s="93">
        <v>2</v>
      </c>
      <c r="W730" s="93" t="s">
        <v>5519</v>
      </c>
    </row>
    <row r="731" spans="1:23">
      <c r="A731" s="93">
        <v>141342</v>
      </c>
      <c r="B731" s="93" t="s">
        <v>822</v>
      </c>
      <c r="C731" s="93">
        <v>19</v>
      </c>
      <c r="D731" s="78"/>
      <c r="E731" s="78"/>
      <c r="F731" s="78">
        <v>2</v>
      </c>
      <c r="G731" s="93">
        <v>5</v>
      </c>
      <c r="H731" s="78">
        <v>0</v>
      </c>
      <c r="I731" s="78">
        <v>571</v>
      </c>
      <c r="J731" s="78">
        <v>534</v>
      </c>
      <c r="K731" s="78">
        <v>56</v>
      </c>
      <c r="L731" s="78">
        <v>10500</v>
      </c>
      <c r="M731" s="78">
        <v>100</v>
      </c>
      <c r="N731" s="78">
        <v>100</v>
      </c>
      <c r="O731" s="78">
        <v>100</v>
      </c>
      <c r="P731" s="78">
        <v>0</v>
      </c>
      <c r="Q731" s="78">
        <v>0</v>
      </c>
      <c r="R731" s="78"/>
      <c r="S731" s="78"/>
      <c r="U731" s="78"/>
      <c r="V731" s="93">
        <v>1</v>
      </c>
      <c r="W731" s="93" t="s">
        <v>5138</v>
      </c>
    </row>
    <row r="732" spans="1:23">
      <c r="A732" s="93">
        <v>141343</v>
      </c>
      <c r="B732" s="93" t="s">
        <v>822</v>
      </c>
      <c r="C732" s="93">
        <v>19</v>
      </c>
      <c r="D732" s="78"/>
      <c r="E732" s="78"/>
      <c r="F732" s="78">
        <v>2</v>
      </c>
      <c r="G732" s="93">
        <v>6</v>
      </c>
      <c r="H732" s="78">
        <v>0</v>
      </c>
      <c r="I732" s="78">
        <v>611</v>
      </c>
      <c r="J732" s="78">
        <v>584</v>
      </c>
      <c r="K732" s="78">
        <v>67</v>
      </c>
      <c r="L732" s="78">
        <v>15000</v>
      </c>
      <c r="M732" s="78">
        <v>100</v>
      </c>
      <c r="N732" s="78">
        <v>100</v>
      </c>
      <c r="O732" s="78">
        <v>100</v>
      </c>
      <c r="P732" s="78">
        <v>0</v>
      </c>
      <c r="Q732" s="78">
        <v>0</v>
      </c>
      <c r="R732" s="78"/>
      <c r="S732" s="78"/>
      <c r="U732" s="78"/>
      <c r="V732" s="93">
        <v>1</v>
      </c>
      <c r="W732" s="93" t="s">
        <v>5138</v>
      </c>
    </row>
    <row r="733" spans="1:23">
      <c r="A733" s="93">
        <v>141344</v>
      </c>
      <c r="B733" s="93" t="s">
        <v>822</v>
      </c>
      <c r="C733" s="93">
        <v>19</v>
      </c>
      <c r="D733" s="78"/>
      <c r="E733" s="78"/>
      <c r="F733" s="78">
        <v>2</v>
      </c>
      <c r="G733" s="93">
        <v>7</v>
      </c>
      <c r="H733" s="78">
        <v>0</v>
      </c>
      <c r="I733" s="78">
        <v>656</v>
      </c>
      <c r="J733" s="78">
        <v>632</v>
      </c>
      <c r="K733" s="78">
        <v>78</v>
      </c>
      <c r="L733" s="78">
        <v>21000</v>
      </c>
      <c r="M733" s="78">
        <v>100</v>
      </c>
      <c r="N733" s="78">
        <v>100</v>
      </c>
      <c r="O733" s="78">
        <v>100</v>
      </c>
      <c r="P733" s="78">
        <v>0</v>
      </c>
      <c r="Q733" s="78">
        <v>0</v>
      </c>
      <c r="R733" s="78"/>
      <c r="S733" s="78"/>
      <c r="U733" s="78"/>
      <c r="V733" s="93">
        <v>1</v>
      </c>
      <c r="W733" s="93" t="s">
        <v>5138</v>
      </c>
    </row>
  </sheetData>
  <autoFilter ref="A11:W733"/>
  <phoneticPr fontId="38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57"/>
  <sheetViews>
    <sheetView workbookViewId="0">
      <selection activeCell="B4" sqref="B4"/>
    </sheetView>
  </sheetViews>
  <sheetFormatPr defaultColWidth="9" defaultRowHeight="15.75"/>
  <cols>
    <col min="1" max="1" width="26.875" customWidth="1"/>
    <col min="2" max="2" width="34.125" customWidth="1"/>
    <col min="4" max="4" width="13.625" customWidth="1"/>
    <col min="5" max="7" width="11.375" customWidth="1"/>
    <col min="8" max="8" width="17.5" customWidth="1"/>
    <col min="9" max="9" width="11.375" customWidth="1"/>
    <col min="10" max="10" width="16.25" customWidth="1"/>
    <col min="11" max="12" width="11.375" customWidth="1"/>
  </cols>
  <sheetData>
    <row r="1" spans="1:11">
      <c r="A1" s="2" t="s">
        <v>0</v>
      </c>
      <c r="B1" s="1" t="s">
        <v>5192</v>
      </c>
      <c r="C1" s="1" t="s">
        <v>2</v>
      </c>
      <c r="D1" s="1"/>
      <c r="E1" s="1"/>
    </row>
    <row r="2" spans="1:11">
      <c r="A2" s="2" t="s">
        <v>3</v>
      </c>
      <c r="B2" s="1" t="s">
        <v>5193</v>
      </c>
      <c r="C2" s="1" t="s">
        <v>5</v>
      </c>
      <c r="D2" s="1"/>
      <c r="E2" s="1"/>
    </row>
    <row r="3" spans="1:11">
      <c r="A3" s="2" t="s">
        <v>6</v>
      </c>
      <c r="B3" s="3" t="s">
        <v>7</v>
      </c>
      <c r="C3" s="1" t="s">
        <v>8</v>
      </c>
      <c r="D3" s="1"/>
      <c r="E3" s="1"/>
    </row>
    <row r="4" spans="1:11">
      <c r="A4" s="2" t="s">
        <v>9</v>
      </c>
      <c r="B4" s="4" t="s">
        <v>10</v>
      </c>
      <c r="C4" s="1"/>
      <c r="D4" s="1"/>
      <c r="E4" s="1"/>
    </row>
    <row r="5" spans="1:11">
      <c r="A5" s="2" t="s">
        <v>11</v>
      </c>
      <c r="B5" s="1"/>
      <c r="C5" s="1" t="s">
        <v>12</v>
      </c>
      <c r="D5" s="1"/>
      <c r="E5" s="1"/>
    </row>
    <row r="6" spans="1:11">
      <c r="A6" s="2" t="s">
        <v>13</v>
      </c>
      <c r="B6" s="1">
        <v>4</v>
      </c>
      <c r="C6" s="1" t="s">
        <v>14</v>
      </c>
      <c r="D6" s="1"/>
      <c r="E6" s="1"/>
    </row>
    <row r="7" spans="1:11">
      <c r="A7" s="2" t="s">
        <v>15</v>
      </c>
      <c r="B7" s="1"/>
      <c r="C7" s="1"/>
      <c r="D7" s="1"/>
      <c r="E7" s="1"/>
    </row>
    <row r="8" spans="1:11">
      <c r="A8" s="2" t="s">
        <v>16</v>
      </c>
      <c r="B8" s="1"/>
      <c r="C8" s="1"/>
      <c r="D8" s="1"/>
      <c r="E8" s="1"/>
    </row>
    <row r="10" spans="1:11">
      <c r="H10" s="91"/>
      <c r="I10" s="91"/>
      <c r="J10" s="91"/>
    </row>
    <row r="11" spans="1:11">
      <c r="A11" t="s">
        <v>5194</v>
      </c>
      <c r="B11" t="s">
        <v>5195</v>
      </c>
      <c r="C11" t="s">
        <v>5196</v>
      </c>
      <c r="D11" t="s">
        <v>5197</v>
      </c>
      <c r="E11" t="s">
        <v>5198</v>
      </c>
      <c r="F11" t="s">
        <v>5199</v>
      </c>
      <c r="G11" t="s">
        <v>5200</v>
      </c>
      <c r="H11" t="s">
        <v>5201</v>
      </c>
      <c r="I11" t="s">
        <v>5202</v>
      </c>
      <c r="J11" t="s">
        <v>5203</v>
      </c>
      <c r="K11" t="s">
        <v>5204</v>
      </c>
    </row>
    <row r="12" spans="1:11">
      <c r="A12" s="4" t="s">
        <v>47</v>
      </c>
      <c r="B12" s="4" t="s">
        <v>5205</v>
      </c>
      <c r="C12" s="4" t="s">
        <v>5206</v>
      </c>
      <c r="D12" s="4" t="s">
        <v>5207</v>
      </c>
      <c r="E12" s="4" t="s">
        <v>5208</v>
      </c>
      <c r="F12" s="4" t="s">
        <v>5209</v>
      </c>
      <c r="G12" s="4" t="s">
        <v>5210</v>
      </c>
      <c r="H12" s="3" t="s">
        <v>5211</v>
      </c>
      <c r="I12" s="164" t="s">
        <v>5703</v>
      </c>
      <c r="J12" s="4" t="s">
        <v>5212</v>
      </c>
      <c r="K12" s="164" t="s">
        <v>5700</v>
      </c>
    </row>
    <row r="13" spans="1:11">
      <c r="A13" s="4" t="s">
        <v>56</v>
      </c>
      <c r="B13" s="4" t="s">
        <v>56</v>
      </c>
      <c r="C13" s="4" t="s">
        <v>56</v>
      </c>
      <c r="D13" s="4" t="s">
        <v>56</v>
      </c>
      <c r="E13" s="4" t="s">
        <v>56</v>
      </c>
      <c r="F13" s="4" t="s">
        <v>56</v>
      </c>
      <c r="G13" s="4" t="s">
        <v>56</v>
      </c>
      <c r="H13" s="3" t="s">
        <v>56</v>
      </c>
      <c r="I13" s="4" t="s">
        <v>56</v>
      </c>
      <c r="J13" s="4" t="s">
        <v>56</v>
      </c>
      <c r="K13" s="4" t="s">
        <v>56</v>
      </c>
    </row>
    <row r="14" spans="1:11">
      <c r="A14" s="4" t="s">
        <v>5213</v>
      </c>
      <c r="B14" s="4" t="s">
        <v>5213</v>
      </c>
      <c r="C14" s="4" t="s">
        <v>59</v>
      </c>
      <c r="D14" s="4" t="s">
        <v>59</v>
      </c>
      <c r="E14" s="4" t="s">
        <v>59</v>
      </c>
      <c r="F14" s="4" t="s">
        <v>59</v>
      </c>
      <c r="G14" s="4" t="s">
        <v>59</v>
      </c>
      <c r="H14" s="3" t="s">
        <v>59</v>
      </c>
      <c r="I14" s="4" t="s">
        <v>59</v>
      </c>
      <c r="J14" s="4" t="s">
        <v>59</v>
      </c>
      <c r="K14" s="4" t="s">
        <v>59</v>
      </c>
    </row>
    <row r="15" spans="1:11">
      <c r="A15" s="4">
        <v>0</v>
      </c>
      <c r="B15" s="4">
        <v>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3">
        <v>0</v>
      </c>
      <c r="I15" s="4">
        <v>0</v>
      </c>
      <c r="J15" s="4">
        <v>0</v>
      </c>
      <c r="K15" s="4">
        <v>0</v>
      </c>
    </row>
    <row r="16" spans="1:11">
      <c r="A16">
        <v>2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5</v>
      </c>
      <c r="I16">
        <v>600001</v>
      </c>
      <c r="J16" s="1">
        <v>10</v>
      </c>
      <c r="K16">
        <v>30</v>
      </c>
    </row>
    <row r="17" spans="1:11">
      <c r="A17">
        <v>2</v>
      </c>
      <c r="B17">
        <v>1</v>
      </c>
      <c r="C17">
        <v>1</v>
      </c>
      <c r="D17">
        <v>5</v>
      </c>
      <c r="E17">
        <v>5</v>
      </c>
      <c r="F17">
        <v>1</v>
      </c>
      <c r="G17">
        <v>50</v>
      </c>
      <c r="H17">
        <v>10</v>
      </c>
      <c r="I17">
        <v>600001</v>
      </c>
      <c r="J17" s="1">
        <v>12</v>
      </c>
      <c r="K17">
        <v>30</v>
      </c>
    </row>
    <row r="18" spans="1:11">
      <c r="A18">
        <v>2</v>
      </c>
      <c r="B18">
        <v>2</v>
      </c>
      <c r="C18">
        <v>1</v>
      </c>
      <c r="D18">
        <v>10</v>
      </c>
      <c r="E18">
        <v>10</v>
      </c>
      <c r="F18">
        <v>2</v>
      </c>
      <c r="G18">
        <v>100</v>
      </c>
      <c r="H18">
        <v>15</v>
      </c>
      <c r="I18">
        <v>600001</v>
      </c>
      <c r="J18" s="1">
        <v>14</v>
      </c>
      <c r="K18">
        <v>30</v>
      </c>
    </row>
    <row r="19" spans="1:11">
      <c r="A19">
        <v>2</v>
      </c>
      <c r="B19">
        <v>3</v>
      </c>
      <c r="C19">
        <v>1</v>
      </c>
      <c r="D19">
        <v>15</v>
      </c>
      <c r="E19">
        <v>15</v>
      </c>
      <c r="F19">
        <v>3</v>
      </c>
      <c r="G19">
        <v>150</v>
      </c>
      <c r="H19">
        <v>20</v>
      </c>
      <c r="I19">
        <v>600001</v>
      </c>
      <c r="J19" s="1">
        <v>16</v>
      </c>
      <c r="K19">
        <v>30</v>
      </c>
    </row>
    <row r="20" spans="1:11">
      <c r="A20">
        <v>2</v>
      </c>
      <c r="B20">
        <v>4</v>
      </c>
      <c r="C20">
        <v>1</v>
      </c>
      <c r="D20">
        <v>20</v>
      </c>
      <c r="E20">
        <v>20</v>
      </c>
      <c r="F20">
        <v>4</v>
      </c>
      <c r="G20">
        <v>200</v>
      </c>
      <c r="H20">
        <v>25</v>
      </c>
      <c r="I20">
        <v>600001</v>
      </c>
      <c r="J20" s="1">
        <v>18</v>
      </c>
      <c r="K20">
        <v>30</v>
      </c>
    </row>
    <row r="21" spans="1:11">
      <c r="A21">
        <v>2</v>
      </c>
      <c r="B21">
        <v>5</v>
      </c>
      <c r="C21">
        <v>2</v>
      </c>
      <c r="D21">
        <v>25</v>
      </c>
      <c r="E21">
        <v>25</v>
      </c>
      <c r="F21">
        <v>5</v>
      </c>
      <c r="G21">
        <v>250</v>
      </c>
      <c r="H21">
        <v>30</v>
      </c>
      <c r="I21">
        <v>600003</v>
      </c>
      <c r="J21">
        <v>50</v>
      </c>
      <c r="K21">
        <v>30</v>
      </c>
    </row>
    <row r="22" spans="1:11">
      <c r="A22">
        <v>3</v>
      </c>
      <c r="B22">
        <v>0</v>
      </c>
      <c r="C22">
        <v>1</v>
      </c>
      <c r="D22" s="43">
        <v>0</v>
      </c>
      <c r="E22">
        <v>0</v>
      </c>
      <c r="F22" s="43">
        <v>0</v>
      </c>
      <c r="G22" s="43">
        <v>0</v>
      </c>
      <c r="H22">
        <v>35</v>
      </c>
      <c r="I22">
        <v>600001</v>
      </c>
      <c r="J22">
        <v>20</v>
      </c>
      <c r="K22">
        <v>200</v>
      </c>
    </row>
    <row r="23" spans="1:11">
      <c r="A23">
        <v>3</v>
      </c>
      <c r="B23">
        <v>1</v>
      </c>
      <c r="C23">
        <v>1</v>
      </c>
      <c r="D23">
        <v>4</v>
      </c>
      <c r="E23">
        <v>4</v>
      </c>
      <c r="F23">
        <v>1</v>
      </c>
      <c r="G23">
        <v>100</v>
      </c>
      <c r="H23">
        <v>40</v>
      </c>
      <c r="I23">
        <v>600001</v>
      </c>
      <c r="J23">
        <v>24</v>
      </c>
      <c r="K23">
        <v>200</v>
      </c>
    </row>
    <row r="24" spans="1:11">
      <c r="A24">
        <v>3</v>
      </c>
      <c r="B24">
        <v>2</v>
      </c>
      <c r="C24">
        <v>1</v>
      </c>
      <c r="D24">
        <v>8</v>
      </c>
      <c r="E24">
        <v>8</v>
      </c>
      <c r="F24">
        <v>2</v>
      </c>
      <c r="G24">
        <v>200</v>
      </c>
      <c r="H24">
        <v>45</v>
      </c>
      <c r="I24">
        <v>600001</v>
      </c>
      <c r="J24">
        <v>28</v>
      </c>
      <c r="K24">
        <v>200</v>
      </c>
    </row>
    <row r="25" spans="1:11">
      <c r="A25">
        <v>3</v>
      </c>
      <c r="B25">
        <v>3</v>
      </c>
      <c r="C25">
        <v>1</v>
      </c>
      <c r="D25">
        <v>12</v>
      </c>
      <c r="E25">
        <v>12</v>
      </c>
      <c r="F25">
        <v>3</v>
      </c>
      <c r="G25">
        <v>300</v>
      </c>
      <c r="H25">
        <v>50</v>
      </c>
      <c r="I25">
        <v>600001</v>
      </c>
      <c r="J25">
        <v>32</v>
      </c>
      <c r="K25">
        <v>200</v>
      </c>
    </row>
    <row r="26" spans="1:11">
      <c r="A26">
        <v>3</v>
      </c>
      <c r="B26">
        <v>4</v>
      </c>
      <c r="C26">
        <v>1</v>
      </c>
      <c r="D26">
        <v>16</v>
      </c>
      <c r="E26">
        <v>16</v>
      </c>
      <c r="F26">
        <v>4</v>
      </c>
      <c r="G26">
        <v>400</v>
      </c>
      <c r="H26">
        <v>55</v>
      </c>
      <c r="I26">
        <v>600001</v>
      </c>
      <c r="J26">
        <v>36</v>
      </c>
      <c r="K26">
        <v>200</v>
      </c>
    </row>
    <row r="27" spans="1:11">
      <c r="A27">
        <v>3</v>
      </c>
      <c r="B27">
        <v>5</v>
      </c>
      <c r="C27">
        <v>2</v>
      </c>
      <c r="D27">
        <v>20</v>
      </c>
      <c r="E27">
        <v>20</v>
      </c>
      <c r="F27">
        <v>5</v>
      </c>
      <c r="G27">
        <v>500</v>
      </c>
      <c r="H27">
        <v>60</v>
      </c>
      <c r="I27">
        <v>600004</v>
      </c>
      <c r="J27">
        <v>50</v>
      </c>
      <c r="K27">
        <v>200</v>
      </c>
    </row>
    <row r="28" spans="1:11">
      <c r="A28">
        <v>4</v>
      </c>
      <c r="B28">
        <v>0</v>
      </c>
      <c r="C28">
        <v>1</v>
      </c>
      <c r="D28" s="43">
        <v>0</v>
      </c>
      <c r="E28">
        <v>0</v>
      </c>
      <c r="F28" s="43">
        <v>0</v>
      </c>
      <c r="G28" s="43">
        <v>0</v>
      </c>
      <c r="H28">
        <v>65</v>
      </c>
      <c r="I28">
        <v>600001</v>
      </c>
      <c r="J28">
        <v>60</v>
      </c>
      <c r="K28">
        <v>400</v>
      </c>
    </row>
    <row r="29" spans="1:11">
      <c r="A29">
        <v>4</v>
      </c>
      <c r="B29">
        <v>1</v>
      </c>
      <c r="C29">
        <v>1</v>
      </c>
      <c r="D29">
        <v>4</v>
      </c>
      <c r="E29">
        <v>4</v>
      </c>
      <c r="F29">
        <v>1</v>
      </c>
      <c r="G29">
        <v>200</v>
      </c>
      <c r="H29">
        <v>70</v>
      </c>
      <c r="I29">
        <v>600001</v>
      </c>
      <c r="J29">
        <v>72</v>
      </c>
      <c r="K29">
        <v>400</v>
      </c>
    </row>
    <row r="30" spans="1:11">
      <c r="A30">
        <v>4</v>
      </c>
      <c r="B30">
        <v>2</v>
      </c>
      <c r="C30">
        <v>1</v>
      </c>
      <c r="D30">
        <v>8</v>
      </c>
      <c r="E30">
        <v>8</v>
      </c>
      <c r="F30">
        <v>2</v>
      </c>
      <c r="G30">
        <v>400</v>
      </c>
      <c r="H30">
        <v>75</v>
      </c>
      <c r="I30">
        <v>600001</v>
      </c>
      <c r="J30">
        <v>84</v>
      </c>
      <c r="K30">
        <v>400</v>
      </c>
    </row>
    <row r="31" spans="1:11">
      <c r="A31">
        <v>4</v>
      </c>
      <c r="B31">
        <v>3</v>
      </c>
      <c r="C31">
        <v>1</v>
      </c>
      <c r="D31">
        <v>12</v>
      </c>
      <c r="E31">
        <v>12</v>
      </c>
      <c r="F31">
        <v>3</v>
      </c>
      <c r="G31">
        <v>600</v>
      </c>
      <c r="H31">
        <v>80</v>
      </c>
      <c r="I31">
        <v>600001</v>
      </c>
      <c r="J31">
        <v>96</v>
      </c>
      <c r="K31">
        <v>400</v>
      </c>
    </row>
    <row r="32" spans="1:11">
      <c r="A32">
        <v>4</v>
      </c>
      <c r="B32">
        <v>4</v>
      </c>
      <c r="C32">
        <v>1</v>
      </c>
      <c r="D32">
        <v>16</v>
      </c>
      <c r="E32">
        <v>16</v>
      </c>
      <c r="F32">
        <v>4</v>
      </c>
      <c r="G32">
        <v>800</v>
      </c>
      <c r="H32">
        <v>85</v>
      </c>
      <c r="I32">
        <v>600001</v>
      </c>
      <c r="J32">
        <v>108</v>
      </c>
      <c r="K32">
        <v>400</v>
      </c>
    </row>
    <row r="33" spans="1:11">
      <c r="A33">
        <v>4</v>
      </c>
      <c r="B33">
        <v>5</v>
      </c>
      <c r="C33">
        <v>2</v>
      </c>
      <c r="D33">
        <v>20</v>
      </c>
      <c r="E33">
        <v>20</v>
      </c>
      <c r="F33">
        <v>5</v>
      </c>
      <c r="G33">
        <v>1000</v>
      </c>
      <c r="H33">
        <v>90</v>
      </c>
      <c r="I33">
        <v>600005</v>
      </c>
      <c r="J33">
        <v>100</v>
      </c>
      <c r="K33">
        <v>400</v>
      </c>
    </row>
    <row r="34" spans="1:11">
      <c r="A34">
        <v>5</v>
      </c>
      <c r="B34">
        <v>0</v>
      </c>
      <c r="C34">
        <v>1</v>
      </c>
      <c r="D34" s="43">
        <v>0</v>
      </c>
      <c r="E34">
        <v>0</v>
      </c>
      <c r="F34" s="43">
        <v>0</v>
      </c>
      <c r="G34" s="43">
        <v>0</v>
      </c>
      <c r="H34">
        <v>95</v>
      </c>
      <c r="I34">
        <v>600001</v>
      </c>
      <c r="J34">
        <v>180</v>
      </c>
      <c r="K34">
        <v>800</v>
      </c>
    </row>
    <row r="35" spans="1:11">
      <c r="A35">
        <v>5</v>
      </c>
      <c r="B35">
        <v>1</v>
      </c>
      <c r="C35">
        <v>1</v>
      </c>
      <c r="D35">
        <v>4</v>
      </c>
      <c r="E35">
        <v>4</v>
      </c>
      <c r="F35">
        <v>1</v>
      </c>
      <c r="G35">
        <v>300</v>
      </c>
      <c r="H35">
        <v>100</v>
      </c>
      <c r="I35">
        <v>600001</v>
      </c>
      <c r="J35">
        <v>220</v>
      </c>
      <c r="K35">
        <v>800</v>
      </c>
    </row>
    <row r="36" spans="1:11">
      <c r="A36">
        <v>5</v>
      </c>
      <c r="B36">
        <v>2</v>
      </c>
      <c r="C36">
        <v>1</v>
      </c>
      <c r="D36">
        <v>8</v>
      </c>
      <c r="E36">
        <v>8</v>
      </c>
      <c r="F36">
        <v>2</v>
      </c>
      <c r="G36">
        <v>600</v>
      </c>
      <c r="H36">
        <v>105</v>
      </c>
      <c r="I36">
        <v>600001</v>
      </c>
      <c r="J36">
        <v>250</v>
      </c>
      <c r="K36">
        <v>800</v>
      </c>
    </row>
    <row r="37" spans="1:11">
      <c r="A37">
        <v>5</v>
      </c>
      <c r="B37">
        <v>3</v>
      </c>
      <c r="C37">
        <v>1</v>
      </c>
      <c r="D37">
        <v>12</v>
      </c>
      <c r="E37">
        <v>12</v>
      </c>
      <c r="F37">
        <v>3</v>
      </c>
      <c r="G37">
        <v>900</v>
      </c>
      <c r="H37">
        <v>110</v>
      </c>
      <c r="I37">
        <v>600001</v>
      </c>
      <c r="J37">
        <v>290</v>
      </c>
      <c r="K37">
        <v>800</v>
      </c>
    </row>
    <row r="38" spans="1:11">
      <c r="A38">
        <v>5</v>
      </c>
      <c r="B38">
        <v>4</v>
      </c>
      <c r="C38">
        <v>1</v>
      </c>
      <c r="D38">
        <v>16</v>
      </c>
      <c r="E38">
        <v>16</v>
      </c>
      <c r="F38">
        <v>4</v>
      </c>
      <c r="G38">
        <v>1200</v>
      </c>
      <c r="H38">
        <v>115</v>
      </c>
      <c r="I38">
        <v>600001</v>
      </c>
      <c r="J38">
        <v>320</v>
      </c>
      <c r="K38">
        <v>800</v>
      </c>
    </row>
    <row r="39" spans="1:11">
      <c r="A39">
        <v>5</v>
      </c>
      <c r="B39">
        <v>5</v>
      </c>
      <c r="C39">
        <v>2</v>
      </c>
      <c r="D39">
        <v>20</v>
      </c>
      <c r="E39">
        <v>20</v>
      </c>
      <c r="F39">
        <v>5</v>
      </c>
      <c r="G39">
        <v>1500</v>
      </c>
      <c r="H39">
        <v>120</v>
      </c>
      <c r="I39">
        <v>600006</v>
      </c>
      <c r="J39">
        <v>200</v>
      </c>
      <c r="K39">
        <v>800</v>
      </c>
    </row>
    <row r="40" spans="1:11">
      <c r="A40" s="1">
        <v>6</v>
      </c>
      <c r="B40" s="1">
        <v>0</v>
      </c>
      <c r="C40" s="1">
        <v>1</v>
      </c>
      <c r="D40" s="1">
        <v>0</v>
      </c>
      <c r="E40">
        <v>0</v>
      </c>
      <c r="F40" s="1">
        <v>0</v>
      </c>
      <c r="G40" s="1">
        <v>0</v>
      </c>
      <c r="H40">
        <v>125</v>
      </c>
      <c r="I40">
        <v>600001</v>
      </c>
      <c r="J40" s="1">
        <v>540</v>
      </c>
      <c r="K40" s="1">
        <v>1500</v>
      </c>
    </row>
    <row r="41" spans="1:11">
      <c r="A41" s="1">
        <v>6</v>
      </c>
      <c r="B41" s="1">
        <v>1</v>
      </c>
      <c r="C41" s="1">
        <v>1</v>
      </c>
      <c r="D41">
        <v>4</v>
      </c>
      <c r="E41">
        <v>4</v>
      </c>
      <c r="F41" s="1">
        <v>1</v>
      </c>
      <c r="G41" s="1">
        <v>400</v>
      </c>
      <c r="H41">
        <v>130</v>
      </c>
      <c r="I41">
        <v>600001</v>
      </c>
      <c r="J41" s="1">
        <v>660</v>
      </c>
      <c r="K41" s="1">
        <v>1500</v>
      </c>
    </row>
    <row r="42" spans="1:11">
      <c r="A42" s="1">
        <v>6</v>
      </c>
      <c r="B42" s="1">
        <v>2</v>
      </c>
      <c r="C42" s="1">
        <v>1</v>
      </c>
      <c r="D42">
        <v>8</v>
      </c>
      <c r="E42">
        <v>8</v>
      </c>
      <c r="F42" s="1">
        <v>2</v>
      </c>
      <c r="G42" s="1">
        <v>800</v>
      </c>
      <c r="H42">
        <v>135</v>
      </c>
      <c r="I42">
        <v>600001</v>
      </c>
      <c r="J42" s="1">
        <v>750</v>
      </c>
      <c r="K42" s="1">
        <v>1500</v>
      </c>
    </row>
    <row r="43" spans="1:11">
      <c r="A43" s="1">
        <v>6</v>
      </c>
      <c r="B43" s="1">
        <v>3</v>
      </c>
      <c r="C43" s="1">
        <v>1</v>
      </c>
      <c r="D43">
        <v>12</v>
      </c>
      <c r="E43">
        <v>12</v>
      </c>
      <c r="F43" s="1">
        <v>3</v>
      </c>
      <c r="G43" s="1">
        <v>1200</v>
      </c>
      <c r="H43">
        <v>140</v>
      </c>
      <c r="I43">
        <v>600001</v>
      </c>
      <c r="J43" s="1">
        <v>870</v>
      </c>
      <c r="K43" s="1">
        <v>1500</v>
      </c>
    </row>
    <row r="44" spans="1:11">
      <c r="A44" s="1">
        <v>6</v>
      </c>
      <c r="B44" s="1">
        <v>4</v>
      </c>
      <c r="C44" s="1">
        <v>1</v>
      </c>
      <c r="D44">
        <v>16</v>
      </c>
      <c r="E44">
        <v>16</v>
      </c>
      <c r="F44" s="1">
        <v>4</v>
      </c>
      <c r="G44" s="1">
        <v>1600</v>
      </c>
      <c r="H44">
        <v>145</v>
      </c>
      <c r="I44">
        <v>600001</v>
      </c>
      <c r="J44" s="1">
        <v>960</v>
      </c>
      <c r="K44" s="1">
        <v>1500</v>
      </c>
    </row>
    <row r="45" spans="1:11">
      <c r="A45" s="1">
        <v>6</v>
      </c>
      <c r="B45" s="1">
        <v>5</v>
      </c>
      <c r="C45" s="1">
        <v>2</v>
      </c>
      <c r="D45">
        <v>20</v>
      </c>
      <c r="E45">
        <v>20</v>
      </c>
      <c r="F45" s="1">
        <v>5</v>
      </c>
      <c r="G45" s="1">
        <v>2000</v>
      </c>
      <c r="H45">
        <v>150</v>
      </c>
      <c r="I45">
        <v>600007</v>
      </c>
      <c r="J45" s="1">
        <v>200</v>
      </c>
      <c r="K45" s="1">
        <v>1500</v>
      </c>
    </row>
    <row r="46" spans="1:11">
      <c r="A46" s="1">
        <v>7</v>
      </c>
      <c r="B46" s="1">
        <v>0</v>
      </c>
      <c r="C46" s="1">
        <v>1</v>
      </c>
      <c r="D46" s="1">
        <v>0</v>
      </c>
      <c r="E46">
        <v>0</v>
      </c>
      <c r="F46" s="1">
        <v>0</v>
      </c>
      <c r="G46" s="1">
        <v>0</v>
      </c>
      <c r="H46">
        <v>155</v>
      </c>
      <c r="I46">
        <v>600001</v>
      </c>
      <c r="J46" s="1">
        <v>1620</v>
      </c>
      <c r="K46" s="1">
        <v>2000</v>
      </c>
    </row>
    <row r="47" spans="1:11">
      <c r="A47" s="1">
        <v>7</v>
      </c>
      <c r="B47" s="1">
        <v>1</v>
      </c>
      <c r="C47" s="1">
        <v>1</v>
      </c>
      <c r="D47">
        <v>3</v>
      </c>
      <c r="E47">
        <v>3</v>
      </c>
      <c r="F47" s="1">
        <v>2</v>
      </c>
      <c r="G47" s="1">
        <v>500</v>
      </c>
      <c r="H47">
        <v>160</v>
      </c>
      <c r="I47">
        <v>600001</v>
      </c>
      <c r="J47" s="1">
        <v>1950</v>
      </c>
      <c r="K47" s="1">
        <v>2000</v>
      </c>
    </row>
    <row r="48" spans="1:11">
      <c r="A48" s="1">
        <v>7</v>
      </c>
      <c r="B48" s="1">
        <v>2</v>
      </c>
      <c r="C48" s="1">
        <v>1</v>
      </c>
      <c r="D48">
        <v>6</v>
      </c>
      <c r="E48">
        <v>6</v>
      </c>
      <c r="F48" s="1">
        <v>4</v>
      </c>
      <c r="G48" s="1">
        <v>1000</v>
      </c>
      <c r="H48">
        <v>165</v>
      </c>
      <c r="I48">
        <v>600001</v>
      </c>
      <c r="J48" s="1">
        <v>2260</v>
      </c>
      <c r="K48" s="1">
        <v>2000</v>
      </c>
    </row>
    <row r="49" spans="1:11">
      <c r="A49" s="1">
        <v>7</v>
      </c>
      <c r="B49" s="1">
        <v>3</v>
      </c>
      <c r="C49" s="1">
        <v>1</v>
      </c>
      <c r="D49">
        <v>9</v>
      </c>
      <c r="E49">
        <v>9</v>
      </c>
      <c r="F49" s="1">
        <v>6</v>
      </c>
      <c r="G49" s="1">
        <v>1500</v>
      </c>
      <c r="H49">
        <v>170</v>
      </c>
      <c r="I49">
        <v>600001</v>
      </c>
      <c r="J49" s="1">
        <v>2600</v>
      </c>
      <c r="K49" s="1">
        <v>2000</v>
      </c>
    </row>
    <row r="50" spans="1:11">
      <c r="A50" s="1">
        <v>7</v>
      </c>
      <c r="B50" s="1">
        <v>4</v>
      </c>
      <c r="C50" s="1">
        <v>1</v>
      </c>
      <c r="D50">
        <v>12</v>
      </c>
      <c r="E50">
        <v>12</v>
      </c>
      <c r="F50" s="1">
        <v>8</v>
      </c>
      <c r="G50" s="1">
        <v>2000</v>
      </c>
      <c r="H50">
        <v>175</v>
      </c>
      <c r="I50">
        <v>600001</v>
      </c>
      <c r="J50" s="1">
        <v>2910</v>
      </c>
      <c r="K50" s="1">
        <v>2000</v>
      </c>
    </row>
    <row r="51" spans="1:11">
      <c r="A51" s="1">
        <v>7</v>
      </c>
      <c r="B51" s="1">
        <v>5</v>
      </c>
      <c r="C51" s="1">
        <v>0</v>
      </c>
      <c r="D51">
        <v>15</v>
      </c>
      <c r="E51">
        <v>15</v>
      </c>
      <c r="F51" s="1">
        <v>10</v>
      </c>
      <c r="G51" s="1">
        <v>2500</v>
      </c>
      <c r="H51">
        <v>180</v>
      </c>
      <c r="I51">
        <v>0</v>
      </c>
      <c r="J51" s="1">
        <v>0</v>
      </c>
      <c r="K51" s="1">
        <v>2000</v>
      </c>
    </row>
    <row r="52" spans="1:11">
      <c r="A52" s="1">
        <v>8</v>
      </c>
      <c r="B52" s="1">
        <v>0</v>
      </c>
      <c r="C52" s="1">
        <v>1</v>
      </c>
      <c r="D52" s="1">
        <v>0</v>
      </c>
      <c r="E52">
        <v>0</v>
      </c>
      <c r="F52" s="1">
        <v>0</v>
      </c>
      <c r="G52" s="1">
        <v>0</v>
      </c>
      <c r="H52">
        <v>160</v>
      </c>
      <c r="I52">
        <v>600001</v>
      </c>
      <c r="J52" s="1">
        <v>1620</v>
      </c>
      <c r="K52" s="1">
        <v>2000</v>
      </c>
    </row>
    <row r="53" spans="1:11">
      <c r="A53" s="1">
        <v>8</v>
      </c>
      <c r="B53" s="1">
        <v>1</v>
      </c>
      <c r="C53" s="1">
        <v>1</v>
      </c>
      <c r="D53">
        <v>10</v>
      </c>
      <c r="E53">
        <v>10</v>
      </c>
      <c r="F53" s="1">
        <v>2</v>
      </c>
      <c r="G53" s="1">
        <v>1000</v>
      </c>
      <c r="H53">
        <v>170</v>
      </c>
      <c r="I53">
        <v>600001</v>
      </c>
      <c r="J53" s="1">
        <v>1950</v>
      </c>
      <c r="K53" s="1">
        <v>2000</v>
      </c>
    </row>
    <row r="54" spans="1:11">
      <c r="A54" s="1">
        <v>8</v>
      </c>
      <c r="B54" s="1">
        <v>2</v>
      </c>
      <c r="C54" s="1">
        <v>1</v>
      </c>
      <c r="D54">
        <v>20</v>
      </c>
      <c r="E54">
        <v>20</v>
      </c>
      <c r="F54" s="1">
        <v>4</v>
      </c>
      <c r="G54" s="1">
        <v>2000</v>
      </c>
      <c r="H54">
        <v>180</v>
      </c>
      <c r="I54">
        <v>600001</v>
      </c>
      <c r="J54" s="1">
        <v>2260</v>
      </c>
      <c r="K54" s="1">
        <v>2000</v>
      </c>
    </row>
    <row r="55" spans="1:11">
      <c r="A55" s="1">
        <v>8</v>
      </c>
      <c r="B55" s="1">
        <v>3</v>
      </c>
      <c r="C55" s="1">
        <v>1</v>
      </c>
      <c r="D55">
        <v>30</v>
      </c>
      <c r="E55">
        <v>30</v>
      </c>
      <c r="F55" s="1">
        <v>6</v>
      </c>
      <c r="G55" s="1">
        <v>3000</v>
      </c>
      <c r="H55">
        <v>190</v>
      </c>
      <c r="I55">
        <v>600001</v>
      </c>
      <c r="J55" s="1">
        <v>2600</v>
      </c>
      <c r="K55" s="1">
        <v>2000</v>
      </c>
    </row>
    <row r="56" spans="1:11">
      <c r="A56" s="1">
        <v>8</v>
      </c>
      <c r="B56" s="1">
        <v>4</v>
      </c>
      <c r="C56" s="1">
        <v>1</v>
      </c>
      <c r="D56">
        <v>40</v>
      </c>
      <c r="E56">
        <v>40</v>
      </c>
      <c r="F56" s="1">
        <v>8</v>
      </c>
      <c r="G56" s="1">
        <v>4000</v>
      </c>
      <c r="H56">
        <v>195</v>
      </c>
      <c r="I56">
        <v>600001</v>
      </c>
      <c r="J56" s="1">
        <v>2910</v>
      </c>
      <c r="K56" s="1">
        <v>2000</v>
      </c>
    </row>
    <row r="57" spans="1:11">
      <c r="A57" s="1">
        <v>8</v>
      </c>
      <c r="B57" s="1">
        <v>5</v>
      </c>
      <c r="C57" s="1">
        <v>0</v>
      </c>
      <c r="D57">
        <v>50</v>
      </c>
      <c r="E57">
        <v>50</v>
      </c>
      <c r="F57" s="1">
        <v>10</v>
      </c>
      <c r="G57" s="1">
        <v>5000</v>
      </c>
      <c r="H57">
        <v>200</v>
      </c>
      <c r="I57">
        <v>0</v>
      </c>
      <c r="J57" s="1">
        <v>0</v>
      </c>
      <c r="K57" s="1">
        <v>2000</v>
      </c>
    </row>
  </sheetData>
  <phoneticPr fontId="38" type="noConversion"/>
  <conditionalFormatting sqref="C52:C57">
    <cfRule type="cellIs" dxfId="34" priority="2" operator="equal">
      <formula>2</formula>
    </cfRule>
  </conditionalFormatting>
  <conditionalFormatting sqref="D1:D10 D11:K11 C11:C12 C22:C39 D58:D1048576">
    <cfRule type="cellIs" dxfId="33" priority="3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23"/>
  <sheetViews>
    <sheetView workbookViewId="0">
      <selection activeCell="B34" sqref="B34"/>
    </sheetView>
  </sheetViews>
  <sheetFormatPr defaultColWidth="9" defaultRowHeight="15.75"/>
  <cols>
    <col min="1" max="1" width="26.875" customWidth="1"/>
    <col min="2" max="2" width="18.375" customWidth="1"/>
    <col min="3" max="3" width="11.875" customWidth="1"/>
    <col min="4" max="4" width="11.625" customWidth="1"/>
    <col min="5" max="5" width="16.125" customWidth="1"/>
  </cols>
  <sheetData>
    <row r="1" spans="1:5">
      <c r="A1" s="2" t="s">
        <v>0</v>
      </c>
      <c r="B1" s="1" t="s">
        <v>5214</v>
      </c>
      <c r="C1" s="1" t="s">
        <v>2</v>
      </c>
    </row>
    <row r="2" spans="1:5">
      <c r="A2" s="2" t="s">
        <v>3</v>
      </c>
      <c r="B2" s="1" t="s">
        <v>5215</v>
      </c>
      <c r="C2" s="1" t="s">
        <v>5</v>
      </c>
    </row>
    <row r="3" spans="1:5">
      <c r="A3" s="2" t="s">
        <v>6</v>
      </c>
      <c r="B3" s="3" t="s">
        <v>7</v>
      </c>
      <c r="C3" s="1" t="s">
        <v>8</v>
      </c>
    </row>
    <row r="4" spans="1:5">
      <c r="A4" s="2" t="s">
        <v>9</v>
      </c>
      <c r="B4" s="4" t="s">
        <v>10</v>
      </c>
      <c r="C4" s="1"/>
    </row>
    <row r="5" spans="1:5">
      <c r="A5" s="2" t="s">
        <v>11</v>
      </c>
      <c r="B5" s="1"/>
      <c r="C5" s="1" t="s">
        <v>12</v>
      </c>
    </row>
    <row r="6" spans="1:5">
      <c r="A6" s="2" t="s">
        <v>13</v>
      </c>
      <c r="B6" s="1">
        <v>4</v>
      </c>
      <c r="C6" s="1" t="s">
        <v>14</v>
      </c>
    </row>
    <row r="7" spans="1:5">
      <c r="A7" s="2" t="s">
        <v>15</v>
      </c>
      <c r="B7" s="1"/>
      <c r="C7" s="1"/>
    </row>
    <row r="8" spans="1:5">
      <c r="A8" s="2" t="s">
        <v>16</v>
      </c>
      <c r="B8" s="1"/>
      <c r="C8" s="1"/>
    </row>
    <row r="11" spans="1:5">
      <c r="A11" t="s">
        <v>5194</v>
      </c>
      <c r="B11" t="s">
        <v>5216</v>
      </c>
      <c r="C11" t="s">
        <v>5217</v>
      </c>
      <c r="D11" t="s">
        <v>5218</v>
      </c>
      <c r="E11" t="s">
        <v>5219</v>
      </c>
    </row>
    <row r="12" spans="1:5">
      <c r="A12" s="4" t="s">
        <v>47</v>
      </c>
      <c r="B12" s="4" t="s">
        <v>5220</v>
      </c>
      <c r="C12" s="4" t="s">
        <v>5221</v>
      </c>
      <c r="D12" s="4" t="s">
        <v>5222</v>
      </c>
      <c r="E12" s="4" t="s">
        <v>5223</v>
      </c>
    </row>
    <row r="13" spans="1:5">
      <c r="A13" s="4" t="s">
        <v>56</v>
      </c>
      <c r="B13" s="4" t="s">
        <v>56</v>
      </c>
      <c r="C13" s="4" t="s">
        <v>56</v>
      </c>
      <c r="D13" s="4" t="s">
        <v>56</v>
      </c>
      <c r="E13" s="4" t="s">
        <v>56</v>
      </c>
    </row>
    <row r="14" spans="1:5">
      <c r="A14" s="4" t="s">
        <v>58</v>
      </c>
      <c r="B14" s="4" t="s">
        <v>59</v>
      </c>
      <c r="C14" s="4" t="s">
        <v>59</v>
      </c>
      <c r="D14" s="4" t="s">
        <v>59</v>
      </c>
      <c r="E14" s="4" t="s">
        <v>59</v>
      </c>
    </row>
    <row r="15" spans="1:5">
      <c r="A15" s="4">
        <v>0</v>
      </c>
      <c r="B15" s="4">
        <v>0</v>
      </c>
      <c r="C15" s="4">
        <v>0</v>
      </c>
      <c r="D15" s="4">
        <v>0</v>
      </c>
      <c r="E15" s="4">
        <v>0</v>
      </c>
    </row>
    <row r="16" spans="1:5">
      <c r="A16">
        <v>1</v>
      </c>
      <c r="B16" s="26">
        <v>400</v>
      </c>
      <c r="C16" s="26">
        <v>400</v>
      </c>
      <c r="D16" s="26">
        <v>30</v>
      </c>
      <c r="E16" s="26">
        <v>1000</v>
      </c>
    </row>
    <row r="17" spans="1:5">
      <c r="A17">
        <v>2</v>
      </c>
      <c r="B17" s="26">
        <v>440</v>
      </c>
      <c r="C17" s="26">
        <v>440</v>
      </c>
      <c r="D17" s="26">
        <v>37</v>
      </c>
      <c r="E17" s="26">
        <v>3000</v>
      </c>
    </row>
    <row r="18" spans="1:5">
      <c r="A18">
        <v>3</v>
      </c>
      <c r="B18" s="26">
        <v>485</v>
      </c>
      <c r="C18" s="26">
        <v>485</v>
      </c>
      <c r="D18" s="26">
        <v>45</v>
      </c>
      <c r="E18" s="26">
        <v>6000</v>
      </c>
    </row>
    <row r="19" spans="1:5">
      <c r="A19">
        <v>4</v>
      </c>
      <c r="B19" s="26">
        <v>543</v>
      </c>
      <c r="C19" s="26">
        <v>543</v>
      </c>
      <c r="D19" s="26">
        <v>54</v>
      </c>
      <c r="E19" s="26">
        <v>10500</v>
      </c>
    </row>
    <row r="20" spans="1:5">
      <c r="A20">
        <v>5</v>
      </c>
      <c r="B20" s="26">
        <v>594</v>
      </c>
      <c r="C20" s="26">
        <v>594</v>
      </c>
      <c r="D20" s="26">
        <v>64</v>
      </c>
      <c r="E20" s="26">
        <v>15000</v>
      </c>
    </row>
    <row r="21" spans="1:5">
      <c r="A21">
        <v>6</v>
      </c>
      <c r="B21" s="26">
        <v>660</v>
      </c>
      <c r="C21" s="26">
        <v>660</v>
      </c>
      <c r="D21" s="26">
        <v>75</v>
      </c>
      <c r="E21" s="26">
        <v>21000</v>
      </c>
    </row>
    <row r="22" spans="1:5">
      <c r="A22">
        <v>7</v>
      </c>
      <c r="B22" s="26">
        <v>700</v>
      </c>
      <c r="C22" s="26">
        <v>700</v>
      </c>
      <c r="D22" s="26">
        <v>94</v>
      </c>
      <c r="E22" s="26">
        <v>26000</v>
      </c>
    </row>
    <row r="23" spans="1:5">
      <c r="A23">
        <v>8</v>
      </c>
      <c r="B23" s="26">
        <v>750</v>
      </c>
      <c r="C23" s="26">
        <v>750</v>
      </c>
      <c r="D23" s="26">
        <v>110</v>
      </c>
      <c r="E23" s="26">
        <v>55000</v>
      </c>
    </row>
  </sheetData>
  <phoneticPr fontId="38" type="noConversion"/>
  <conditionalFormatting sqref="D11:E11 C11:C12">
    <cfRule type="cellIs" dxfId="32" priority="1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O490"/>
  <sheetViews>
    <sheetView workbookViewId="0">
      <pane ySplit="14" topLeftCell="A15" activePane="bottomLeft" state="frozen"/>
      <selection pane="bottomLeft" activeCell="C6" sqref="C6"/>
    </sheetView>
  </sheetViews>
  <sheetFormatPr defaultColWidth="9" defaultRowHeight="15.75"/>
  <cols>
    <col min="1" max="1" width="26.875" style="58" customWidth="1"/>
    <col min="2" max="2" width="18.375" style="58" customWidth="1"/>
    <col min="3" max="3" width="10.375" style="58" customWidth="1"/>
    <col min="4" max="4" width="12.25" style="58" customWidth="1"/>
    <col min="5" max="5" width="13.625" style="58" customWidth="1"/>
    <col min="6" max="6" width="11.375" style="58" customWidth="1"/>
    <col min="7" max="7" width="11.875" style="58" customWidth="1"/>
    <col min="8" max="8" width="12.125" style="58" customWidth="1"/>
    <col min="9" max="16384" width="9" style="58"/>
  </cols>
  <sheetData>
    <row r="1" spans="1:15">
      <c r="A1" s="59" t="s">
        <v>0</v>
      </c>
      <c r="B1" s="60" t="s">
        <v>5224</v>
      </c>
      <c r="C1" s="60" t="s">
        <v>2</v>
      </c>
      <c r="D1" s="60"/>
      <c r="E1" s="60"/>
    </row>
    <row r="2" spans="1:15">
      <c r="A2" s="59" t="s">
        <v>3</v>
      </c>
      <c r="B2" s="60" t="s">
        <v>5193</v>
      </c>
      <c r="C2" s="60" t="s">
        <v>5</v>
      </c>
      <c r="D2" s="60"/>
      <c r="E2" s="60"/>
    </row>
    <row r="3" spans="1:15">
      <c r="A3" s="59" t="s">
        <v>6</v>
      </c>
      <c r="B3" s="61" t="s">
        <v>7</v>
      </c>
      <c r="C3" s="60" t="s">
        <v>8</v>
      </c>
      <c r="D3" s="60"/>
      <c r="E3" s="60"/>
    </row>
    <row r="4" spans="1:15">
      <c r="A4" s="59" t="s">
        <v>9</v>
      </c>
      <c r="B4" s="62" t="s">
        <v>10</v>
      </c>
      <c r="C4" s="60"/>
      <c r="D4" s="60"/>
      <c r="E4" s="60"/>
    </row>
    <row r="5" spans="1:15">
      <c r="A5" s="59" t="s">
        <v>11</v>
      </c>
      <c r="B5" s="60"/>
      <c r="C5" s="60" t="s">
        <v>12</v>
      </c>
      <c r="D5" s="60"/>
      <c r="E5" s="60"/>
    </row>
    <row r="6" spans="1:15">
      <c r="A6" s="59" t="s">
        <v>13</v>
      </c>
      <c r="B6" s="60">
        <v>4</v>
      </c>
      <c r="C6" s="60" t="s">
        <v>14</v>
      </c>
      <c r="D6" s="60"/>
      <c r="E6" s="60"/>
    </row>
    <row r="7" spans="1:15">
      <c r="A7" s="59" t="s">
        <v>15</v>
      </c>
      <c r="B7" s="60"/>
      <c r="C7" s="60"/>
      <c r="D7" s="60"/>
      <c r="E7" s="60"/>
    </row>
    <row r="8" spans="1:15">
      <c r="A8" s="59" t="s">
        <v>16</v>
      </c>
      <c r="B8" s="60"/>
      <c r="C8" s="60"/>
      <c r="D8" s="60"/>
      <c r="E8" s="60"/>
    </row>
    <row r="11" spans="1:15">
      <c r="A11" s="58" t="s">
        <v>5225</v>
      </c>
      <c r="B11" s="58" t="s">
        <v>19</v>
      </c>
      <c r="C11" s="58" t="s">
        <v>5226</v>
      </c>
      <c r="D11" s="58" t="s">
        <v>5227</v>
      </c>
      <c r="E11" s="58" t="s">
        <v>5228</v>
      </c>
      <c r="F11" s="58" t="s">
        <v>5195</v>
      </c>
      <c r="G11" s="58" t="s">
        <v>5229</v>
      </c>
      <c r="H11" s="70" t="s">
        <v>5230</v>
      </c>
    </row>
    <row r="12" spans="1:15">
      <c r="A12" s="62" t="s">
        <v>5231</v>
      </c>
      <c r="B12" s="61" t="s">
        <v>39</v>
      </c>
      <c r="C12" s="62" t="s">
        <v>5232</v>
      </c>
      <c r="D12" s="62" t="s">
        <v>5233</v>
      </c>
      <c r="E12" s="62" t="s">
        <v>5234</v>
      </c>
      <c r="F12" s="62" t="s">
        <v>5205</v>
      </c>
      <c r="G12" s="62" t="s">
        <v>5235</v>
      </c>
      <c r="H12" s="71" t="s">
        <v>5236</v>
      </c>
    </row>
    <row r="13" spans="1:15">
      <c r="A13" s="62" t="s">
        <v>56</v>
      </c>
      <c r="B13" s="61" t="s">
        <v>57</v>
      </c>
      <c r="C13" s="62" t="s">
        <v>56</v>
      </c>
      <c r="D13" s="62" t="s">
        <v>56</v>
      </c>
      <c r="E13" s="62" t="s">
        <v>56</v>
      </c>
      <c r="F13" s="62" t="s">
        <v>56</v>
      </c>
      <c r="G13" s="62" t="s">
        <v>56</v>
      </c>
      <c r="H13" s="72" t="s">
        <v>56</v>
      </c>
    </row>
    <row r="14" spans="1:15">
      <c r="A14" s="62" t="s">
        <v>58</v>
      </c>
      <c r="B14" s="61"/>
      <c r="C14" s="62" t="s">
        <v>59</v>
      </c>
      <c r="D14" s="62" t="s">
        <v>59</v>
      </c>
      <c r="E14" s="62" t="s">
        <v>59</v>
      </c>
      <c r="F14" s="62" t="s">
        <v>59</v>
      </c>
      <c r="G14" s="62" t="s">
        <v>59</v>
      </c>
      <c r="H14" s="72" t="s">
        <v>59</v>
      </c>
    </row>
    <row r="15" spans="1:15">
      <c r="A15" s="62">
        <v>0</v>
      </c>
      <c r="B15" s="61">
        <v>0</v>
      </c>
      <c r="C15" s="62">
        <v>0</v>
      </c>
      <c r="D15" s="62">
        <v>0</v>
      </c>
      <c r="E15" s="62">
        <v>0</v>
      </c>
      <c r="F15" s="62">
        <v>5</v>
      </c>
      <c r="G15" s="62">
        <v>0</v>
      </c>
      <c r="H15" s="72">
        <v>0</v>
      </c>
      <c r="N15" s="58" t="s">
        <v>5237</v>
      </c>
    </row>
    <row r="16" spans="1:15">
      <c r="A16" s="61">
        <v>120001</v>
      </c>
      <c r="B16" s="58" t="s">
        <v>5238</v>
      </c>
      <c r="C16" s="58">
        <v>100003</v>
      </c>
      <c r="D16" s="58">
        <v>1</v>
      </c>
      <c r="E16" s="60">
        <v>588</v>
      </c>
      <c r="F16" s="58">
        <v>0</v>
      </c>
      <c r="G16" s="58">
        <v>1988</v>
      </c>
      <c r="J16" s="58">
        <v>188</v>
      </c>
      <c r="K16" s="58">
        <v>268</v>
      </c>
      <c r="L16" s="58">
        <f t="shared" ref="L16:L21" si="0">J16/K16</f>
        <v>0.70149253731343286</v>
      </c>
      <c r="N16" s="58" t="s">
        <v>5134</v>
      </c>
      <c r="O16" s="58">
        <v>1288</v>
      </c>
    </row>
    <row r="17" spans="1:15">
      <c r="A17" s="58">
        <v>120010</v>
      </c>
      <c r="B17" s="58" t="s">
        <v>284</v>
      </c>
      <c r="C17" s="58">
        <v>100011</v>
      </c>
      <c r="D17" s="58">
        <v>1</v>
      </c>
      <c r="E17" s="60">
        <v>588</v>
      </c>
      <c r="F17" s="58">
        <v>0</v>
      </c>
      <c r="G17" s="58">
        <v>888</v>
      </c>
      <c r="H17" s="58">
        <v>1</v>
      </c>
      <c r="J17" s="58">
        <v>588</v>
      </c>
      <c r="K17" s="58">
        <v>888</v>
      </c>
      <c r="L17" s="58">
        <f t="shared" si="0"/>
        <v>0.66216216216216217</v>
      </c>
      <c r="N17" s="58" t="s">
        <v>5135</v>
      </c>
      <c r="O17" s="58">
        <v>2488</v>
      </c>
    </row>
    <row r="18" spans="1:15">
      <c r="A18" s="58">
        <v>120011</v>
      </c>
      <c r="B18" s="58" t="s">
        <v>284</v>
      </c>
      <c r="C18" s="58">
        <v>100012</v>
      </c>
      <c r="D18" s="58">
        <v>1</v>
      </c>
      <c r="E18" s="60">
        <v>888</v>
      </c>
      <c r="F18" s="58">
        <v>0</v>
      </c>
      <c r="G18" s="58">
        <v>1988</v>
      </c>
      <c r="H18" s="58">
        <v>1</v>
      </c>
      <c r="J18" s="58">
        <v>988</v>
      </c>
      <c r="K18" s="58">
        <f>1988</f>
        <v>1988</v>
      </c>
      <c r="L18" s="58">
        <f t="shared" si="0"/>
        <v>0.49698189134808851</v>
      </c>
      <c r="N18" s="58" t="s">
        <v>5136</v>
      </c>
      <c r="O18" s="58">
        <v>3888</v>
      </c>
    </row>
    <row r="19" spans="1:15">
      <c r="A19" s="58">
        <v>120012</v>
      </c>
      <c r="B19" s="58" t="s">
        <v>284</v>
      </c>
      <c r="C19" s="58">
        <v>100013</v>
      </c>
      <c r="D19" s="58">
        <v>1</v>
      </c>
      <c r="E19" s="60">
        <v>1588</v>
      </c>
      <c r="F19" s="58">
        <v>0</v>
      </c>
      <c r="G19" s="58">
        <v>6888</v>
      </c>
      <c r="H19" s="58">
        <v>1</v>
      </c>
      <c r="J19" s="58">
        <v>2888</v>
      </c>
      <c r="K19" s="58">
        <v>6888</v>
      </c>
      <c r="L19" s="58">
        <f t="shared" si="0"/>
        <v>0.41927990708478513</v>
      </c>
    </row>
    <row r="20" spans="1:15">
      <c r="A20" s="58">
        <v>120013</v>
      </c>
      <c r="B20" s="58" t="s">
        <v>284</v>
      </c>
      <c r="C20" s="58">
        <v>100014</v>
      </c>
      <c r="D20" s="58">
        <v>1</v>
      </c>
      <c r="E20" s="60">
        <v>2888</v>
      </c>
      <c r="F20" s="58">
        <v>0</v>
      </c>
      <c r="G20" s="58">
        <v>15888</v>
      </c>
      <c r="H20" s="58">
        <v>1</v>
      </c>
      <c r="J20" s="58">
        <v>5888</v>
      </c>
      <c r="K20" s="58">
        <v>15888</v>
      </c>
      <c r="L20" s="58">
        <f t="shared" si="0"/>
        <v>0.37059415911379656</v>
      </c>
    </row>
    <row r="21" spans="1:15">
      <c r="A21" s="58">
        <v>120021</v>
      </c>
      <c r="B21" s="58" t="s">
        <v>291</v>
      </c>
      <c r="C21" s="58">
        <v>100021</v>
      </c>
      <c r="D21" s="58">
        <v>1</v>
      </c>
      <c r="E21" s="60">
        <v>888</v>
      </c>
      <c r="F21" s="58">
        <v>0</v>
      </c>
      <c r="G21" s="58">
        <v>1988</v>
      </c>
      <c r="H21" s="58">
        <v>1</v>
      </c>
      <c r="J21" s="58">
        <v>9888</v>
      </c>
      <c r="K21" s="58">
        <v>28888</v>
      </c>
      <c r="L21" s="58">
        <f t="shared" si="0"/>
        <v>0.34228745499861535</v>
      </c>
    </row>
    <row r="22" spans="1:15">
      <c r="A22" s="58">
        <v>120022</v>
      </c>
      <c r="B22" s="58" t="s">
        <v>291</v>
      </c>
      <c r="C22" s="58">
        <v>100022</v>
      </c>
      <c r="D22" s="58">
        <v>1</v>
      </c>
      <c r="E22" s="60">
        <v>1588</v>
      </c>
      <c r="F22" s="58">
        <v>0</v>
      </c>
      <c r="G22" s="58">
        <v>6888</v>
      </c>
      <c r="H22" s="58">
        <v>1</v>
      </c>
    </row>
    <row r="23" spans="1:15">
      <c r="A23" s="58">
        <v>120023</v>
      </c>
      <c r="B23" s="58" t="s">
        <v>291</v>
      </c>
      <c r="C23" s="58">
        <v>100023</v>
      </c>
      <c r="D23" s="58">
        <v>1</v>
      </c>
      <c r="E23" s="60">
        <v>2888</v>
      </c>
      <c r="F23" s="58">
        <v>0</v>
      </c>
      <c r="G23" s="58">
        <v>15888</v>
      </c>
      <c r="H23" s="58">
        <v>1</v>
      </c>
    </row>
    <row r="24" spans="1:15">
      <c r="A24" s="58">
        <v>120031</v>
      </c>
      <c r="B24" s="58" t="s">
        <v>296</v>
      </c>
      <c r="C24" s="58">
        <v>100033</v>
      </c>
      <c r="D24" s="58">
        <v>1</v>
      </c>
      <c r="E24" s="60">
        <v>588</v>
      </c>
      <c r="F24" s="58">
        <v>0</v>
      </c>
      <c r="G24" s="58">
        <v>888</v>
      </c>
      <c r="H24" s="58">
        <v>1</v>
      </c>
      <c r="J24" s="60">
        <v>588</v>
      </c>
      <c r="K24" s="58">
        <v>0</v>
      </c>
      <c r="L24" s="58">
        <v>888</v>
      </c>
    </row>
    <row r="25" spans="1:15">
      <c r="A25" s="58">
        <v>120041</v>
      </c>
      <c r="B25" s="58" t="s">
        <v>301</v>
      </c>
      <c r="C25" s="58">
        <v>100042</v>
      </c>
      <c r="D25" s="58">
        <v>1</v>
      </c>
      <c r="E25" s="60">
        <v>888</v>
      </c>
      <c r="F25" s="58">
        <v>0</v>
      </c>
      <c r="G25" s="58">
        <v>1988</v>
      </c>
      <c r="H25" s="58">
        <v>1</v>
      </c>
      <c r="J25" s="60">
        <v>888</v>
      </c>
      <c r="K25" s="58">
        <v>0</v>
      </c>
      <c r="L25" s="58">
        <v>1988</v>
      </c>
    </row>
    <row r="26" spans="1:15">
      <c r="A26" s="58">
        <v>120042</v>
      </c>
      <c r="B26" s="58" t="s">
        <v>301</v>
      </c>
      <c r="C26" s="58">
        <v>100043</v>
      </c>
      <c r="D26" s="58">
        <v>1</v>
      </c>
      <c r="E26" s="60">
        <v>1588</v>
      </c>
      <c r="F26" s="58">
        <v>0</v>
      </c>
      <c r="G26" s="58">
        <v>6888</v>
      </c>
      <c r="H26" s="58">
        <v>1</v>
      </c>
    </row>
    <row r="27" spans="1:15">
      <c r="A27" s="58">
        <v>120043</v>
      </c>
      <c r="B27" s="58" t="s">
        <v>301</v>
      </c>
      <c r="C27" s="58">
        <v>100044</v>
      </c>
      <c r="D27" s="58">
        <v>1</v>
      </c>
      <c r="E27" s="60">
        <v>2888</v>
      </c>
      <c r="F27" s="58">
        <v>0</v>
      </c>
      <c r="G27" s="58">
        <v>15888</v>
      </c>
      <c r="H27" s="58">
        <v>1</v>
      </c>
    </row>
    <row r="28" spans="1:15">
      <c r="A28" s="58">
        <v>120050</v>
      </c>
      <c r="B28" s="58" t="s">
        <v>308</v>
      </c>
      <c r="C28" s="58">
        <v>100055</v>
      </c>
      <c r="D28" s="58">
        <v>1</v>
      </c>
      <c r="E28" s="60">
        <v>588</v>
      </c>
      <c r="F28" s="58">
        <v>0</v>
      </c>
      <c r="G28" s="58">
        <v>888</v>
      </c>
      <c r="H28" s="58">
        <v>1</v>
      </c>
    </row>
    <row r="29" spans="1:15">
      <c r="A29" s="58">
        <v>120051</v>
      </c>
      <c r="B29" s="58" t="s">
        <v>308</v>
      </c>
      <c r="C29" s="58">
        <v>100051</v>
      </c>
      <c r="D29" s="58">
        <v>1</v>
      </c>
      <c r="E29" s="60">
        <v>888</v>
      </c>
      <c r="F29" s="58">
        <v>0</v>
      </c>
      <c r="G29" s="58">
        <v>1988</v>
      </c>
      <c r="H29" s="58">
        <v>1</v>
      </c>
    </row>
    <row r="30" spans="1:15">
      <c r="A30" s="58">
        <v>120052</v>
      </c>
      <c r="B30" s="58" t="s">
        <v>308</v>
      </c>
      <c r="C30" s="58">
        <v>100052</v>
      </c>
      <c r="D30" s="58">
        <v>1</v>
      </c>
      <c r="E30" s="60">
        <v>1588</v>
      </c>
      <c r="F30" s="58">
        <v>0</v>
      </c>
      <c r="G30" s="58">
        <v>6888</v>
      </c>
      <c r="H30" s="58">
        <v>1</v>
      </c>
    </row>
    <row r="31" spans="1:15">
      <c r="A31" s="58">
        <v>120053</v>
      </c>
      <c r="B31" s="58" t="s">
        <v>308</v>
      </c>
      <c r="C31" s="58">
        <v>100053</v>
      </c>
      <c r="D31" s="58">
        <v>1</v>
      </c>
      <c r="E31" s="60">
        <v>2888</v>
      </c>
      <c r="F31" s="58">
        <v>0</v>
      </c>
      <c r="G31" s="58">
        <v>15888</v>
      </c>
      <c r="H31" s="58">
        <v>1</v>
      </c>
    </row>
    <row r="32" spans="1:15">
      <c r="A32" s="58">
        <v>120060</v>
      </c>
      <c r="B32" s="58" t="s">
        <v>314</v>
      </c>
      <c r="C32" s="58">
        <v>100061</v>
      </c>
      <c r="D32" s="58">
        <v>1</v>
      </c>
      <c r="E32" s="60">
        <v>588</v>
      </c>
      <c r="F32" s="58">
        <v>0</v>
      </c>
      <c r="G32" s="58">
        <v>888</v>
      </c>
      <c r="H32" s="58">
        <v>1</v>
      </c>
    </row>
    <row r="33" spans="1:8">
      <c r="A33" s="58">
        <v>120061</v>
      </c>
      <c r="B33" s="58" t="s">
        <v>314</v>
      </c>
      <c r="C33" s="58">
        <v>100062</v>
      </c>
      <c r="D33" s="58">
        <v>1</v>
      </c>
      <c r="E33" s="60">
        <v>1588</v>
      </c>
      <c r="F33" s="58">
        <v>0</v>
      </c>
      <c r="G33" s="58">
        <v>1988</v>
      </c>
      <c r="H33" s="58">
        <v>1</v>
      </c>
    </row>
    <row r="34" spans="1:8">
      <c r="A34" s="58">
        <v>120062</v>
      </c>
      <c r="B34" s="58" t="s">
        <v>314</v>
      </c>
      <c r="C34" s="58">
        <v>100063</v>
      </c>
      <c r="D34" s="58">
        <v>1</v>
      </c>
      <c r="E34" s="60">
        <v>2888</v>
      </c>
      <c r="F34" s="58">
        <v>0</v>
      </c>
      <c r="G34" s="58">
        <v>6888</v>
      </c>
      <c r="H34" s="58">
        <v>1</v>
      </c>
    </row>
    <row r="35" spans="1:8">
      <c r="A35" s="58">
        <v>120071</v>
      </c>
      <c r="B35" s="58" t="s">
        <v>319</v>
      </c>
      <c r="C35" s="58">
        <v>100071</v>
      </c>
      <c r="D35" s="58">
        <v>1</v>
      </c>
      <c r="E35" s="60">
        <v>888</v>
      </c>
      <c r="F35" s="58">
        <v>0</v>
      </c>
      <c r="G35" s="58">
        <v>1988</v>
      </c>
      <c r="H35" s="58">
        <v>1</v>
      </c>
    </row>
    <row r="36" spans="1:8">
      <c r="A36" s="58">
        <v>120072</v>
      </c>
      <c r="B36" s="58" t="s">
        <v>319</v>
      </c>
      <c r="C36" s="58">
        <v>100072</v>
      </c>
      <c r="D36" s="58">
        <v>1</v>
      </c>
      <c r="E36" s="60">
        <v>1588</v>
      </c>
      <c r="F36" s="58">
        <v>0</v>
      </c>
      <c r="G36" s="58">
        <v>6888</v>
      </c>
      <c r="H36" s="58">
        <v>1</v>
      </c>
    </row>
    <row r="37" spans="1:8">
      <c r="A37" s="58">
        <v>120073</v>
      </c>
      <c r="B37" s="58" t="s">
        <v>319</v>
      </c>
      <c r="C37" s="58">
        <v>100073</v>
      </c>
      <c r="D37" s="58">
        <v>1</v>
      </c>
      <c r="E37" s="60">
        <v>2888</v>
      </c>
      <c r="F37" s="58">
        <v>0</v>
      </c>
      <c r="G37" s="58">
        <v>15888</v>
      </c>
      <c r="H37" s="58">
        <v>1</v>
      </c>
    </row>
    <row r="38" spans="1:8">
      <c r="A38" s="58">
        <v>120081</v>
      </c>
      <c r="B38" s="58" t="s">
        <v>324</v>
      </c>
      <c r="C38" s="58">
        <v>100081</v>
      </c>
      <c r="D38" s="58">
        <v>1</v>
      </c>
      <c r="E38" s="60">
        <v>888</v>
      </c>
      <c r="F38" s="58">
        <v>0</v>
      </c>
      <c r="G38" s="58">
        <v>1988</v>
      </c>
      <c r="H38" s="58">
        <v>1</v>
      </c>
    </row>
    <row r="39" spans="1:8">
      <c r="A39" s="58">
        <v>120082</v>
      </c>
      <c r="B39" s="58" t="s">
        <v>324</v>
      </c>
      <c r="C39" s="58">
        <v>100082</v>
      </c>
      <c r="D39" s="58">
        <v>1</v>
      </c>
      <c r="E39" s="60">
        <v>1588</v>
      </c>
      <c r="F39" s="58">
        <v>0</v>
      </c>
      <c r="G39" s="58">
        <v>6888</v>
      </c>
      <c r="H39" s="58">
        <v>1</v>
      </c>
    </row>
    <row r="40" spans="1:8">
      <c r="A40" s="58">
        <v>120083</v>
      </c>
      <c r="B40" s="58" t="s">
        <v>324</v>
      </c>
      <c r="C40" s="58">
        <v>100083</v>
      </c>
      <c r="D40" s="58">
        <v>1</v>
      </c>
      <c r="E40" s="60">
        <v>2888</v>
      </c>
      <c r="F40" s="58">
        <v>0</v>
      </c>
      <c r="G40" s="58">
        <v>15888</v>
      </c>
      <c r="H40" s="58">
        <v>1</v>
      </c>
    </row>
    <row r="41" spans="1:8">
      <c r="A41" s="58">
        <v>120091</v>
      </c>
      <c r="B41" s="58" t="s">
        <v>329</v>
      </c>
      <c r="C41" s="58">
        <v>100091</v>
      </c>
      <c r="D41" s="58">
        <v>1</v>
      </c>
      <c r="E41" s="60">
        <v>888</v>
      </c>
      <c r="F41" s="58">
        <v>0</v>
      </c>
      <c r="G41" s="58">
        <v>28888</v>
      </c>
      <c r="H41" s="58">
        <v>1</v>
      </c>
    </row>
    <row r="42" spans="1:8">
      <c r="A42" s="58">
        <v>120092</v>
      </c>
      <c r="B42" s="58" t="s">
        <v>329</v>
      </c>
      <c r="C42" s="58">
        <v>100092</v>
      </c>
      <c r="D42" s="58">
        <v>1</v>
      </c>
      <c r="E42" s="60">
        <v>1588</v>
      </c>
      <c r="F42" s="58">
        <v>0</v>
      </c>
      <c r="G42" s="58">
        <v>6888</v>
      </c>
      <c r="H42" s="58">
        <v>1</v>
      </c>
    </row>
    <row r="43" spans="1:8">
      <c r="A43" s="58">
        <v>120093</v>
      </c>
      <c r="B43" s="58" t="s">
        <v>329</v>
      </c>
      <c r="C43" s="58">
        <v>100093</v>
      </c>
      <c r="D43" s="58">
        <v>1</v>
      </c>
      <c r="E43" s="60">
        <v>2888</v>
      </c>
      <c r="F43" s="58">
        <v>0</v>
      </c>
      <c r="G43" s="58">
        <v>15888</v>
      </c>
      <c r="H43" s="58">
        <v>1</v>
      </c>
    </row>
    <row r="44" spans="1:8">
      <c r="A44" s="58">
        <v>120101</v>
      </c>
      <c r="B44" s="58" t="s">
        <v>334</v>
      </c>
      <c r="C44" s="58">
        <v>100101</v>
      </c>
      <c r="D44" s="58">
        <v>1</v>
      </c>
      <c r="E44" s="60">
        <v>888</v>
      </c>
      <c r="F44" s="58">
        <v>0</v>
      </c>
      <c r="G44" s="58">
        <v>1988</v>
      </c>
      <c r="H44" s="58">
        <v>1</v>
      </c>
    </row>
    <row r="45" spans="1:8">
      <c r="A45" s="58">
        <v>120102</v>
      </c>
      <c r="B45" s="58" t="s">
        <v>334</v>
      </c>
      <c r="C45" s="58">
        <v>100102</v>
      </c>
      <c r="D45" s="58">
        <v>1</v>
      </c>
      <c r="E45" s="60">
        <v>1588</v>
      </c>
      <c r="F45" s="58">
        <v>0</v>
      </c>
      <c r="G45" s="58">
        <v>6888</v>
      </c>
      <c r="H45" s="58">
        <v>1</v>
      </c>
    </row>
    <row r="46" spans="1:8">
      <c r="A46" s="58">
        <v>120103</v>
      </c>
      <c r="B46" s="58" t="s">
        <v>334</v>
      </c>
      <c r="C46" s="58">
        <v>100103</v>
      </c>
      <c r="D46" s="58">
        <v>1</v>
      </c>
      <c r="E46" s="60">
        <v>2888</v>
      </c>
      <c r="F46" s="58">
        <v>0</v>
      </c>
      <c r="G46" s="58">
        <v>15888</v>
      </c>
      <c r="H46" s="58">
        <v>1</v>
      </c>
    </row>
    <row r="47" spans="1:8">
      <c r="A47" s="58">
        <v>120111</v>
      </c>
      <c r="B47" s="58" t="s">
        <v>339</v>
      </c>
      <c r="C47" s="58">
        <v>100111</v>
      </c>
      <c r="D47" s="58">
        <v>1</v>
      </c>
      <c r="E47" s="60">
        <v>1588</v>
      </c>
      <c r="F47" s="58">
        <v>0</v>
      </c>
      <c r="G47" s="58">
        <v>6888</v>
      </c>
      <c r="H47" s="58">
        <v>1</v>
      </c>
    </row>
    <row r="48" spans="1:8">
      <c r="A48" s="58">
        <v>120113</v>
      </c>
      <c r="B48" s="58" t="s">
        <v>339</v>
      </c>
      <c r="C48" s="58">
        <v>100113</v>
      </c>
      <c r="D48" s="58">
        <v>1</v>
      </c>
      <c r="E48" s="60">
        <v>2888</v>
      </c>
      <c r="F48" s="58">
        <v>0</v>
      </c>
      <c r="G48" s="58">
        <v>15888</v>
      </c>
      <c r="H48" s="58">
        <v>1</v>
      </c>
    </row>
    <row r="49" spans="1:8">
      <c r="A49" s="58">
        <v>120114</v>
      </c>
      <c r="B49" s="58" t="s">
        <v>339</v>
      </c>
      <c r="C49" s="58">
        <v>100114</v>
      </c>
      <c r="D49" s="58">
        <v>1</v>
      </c>
      <c r="E49" s="60">
        <v>888</v>
      </c>
      <c r="F49" s="58">
        <v>0</v>
      </c>
      <c r="G49" s="58">
        <v>1988</v>
      </c>
      <c r="H49" s="58">
        <v>1</v>
      </c>
    </row>
    <row r="50" spans="1:8">
      <c r="A50" s="73">
        <v>120121</v>
      </c>
      <c r="B50" s="58" t="s">
        <v>344</v>
      </c>
      <c r="C50" s="58">
        <v>100121</v>
      </c>
      <c r="D50" s="58">
        <v>1</v>
      </c>
      <c r="E50" s="60">
        <v>888</v>
      </c>
      <c r="F50" s="58">
        <v>0</v>
      </c>
      <c r="G50" s="58">
        <v>1988</v>
      </c>
      <c r="H50" s="58">
        <v>1</v>
      </c>
    </row>
    <row r="51" spans="1:8">
      <c r="A51" s="73">
        <v>120122</v>
      </c>
      <c r="B51" s="58" t="s">
        <v>344</v>
      </c>
      <c r="C51" s="58">
        <v>100122</v>
      </c>
      <c r="D51" s="58">
        <v>1</v>
      </c>
      <c r="E51" s="60">
        <v>1588</v>
      </c>
      <c r="F51" s="58">
        <v>0</v>
      </c>
      <c r="G51" s="58">
        <v>6888</v>
      </c>
      <c r="H51" s="58">
        <v>1</v>
      </c>
    </row>
    <row r="52" spans="1:8">
      <c r="A52" s="73">
        <v>120123</v>
      </c>
      <c r="B52" s="58" t="s">
        <v>344</v>
      </c>
      <c r="C52" s="58">
        <v>100123</v>
      </c>
      <c r="D52" s="58">
        <v>1</v>
      </c>
      <c r="E52" s="60">
        <v>2888</v>
      </c>
      <c r="F52" s="58">
        <v>0</v>
      </c>
      <c r="G52" s="58">
        <v>15888</v>
      </c>
      <c r="H52" s="58">
        <v>1</v>
      </c>
    </row>
    <row r="53" spans="1:8">
      <c r="A53" s="73">
        <v>120131</v>
      </c>
      <c r="B53" s="58" t="s">
        <v>350</v>
      </c>
      <c r="C53" s="58">
        <v>100131</v>
      </c>
      <c r="D53" s="58">
        <v>1</v>
      </c>
      <c r="E53" s="60">
        <v>888</v>
      </c>
      <c r="F53" s="58">
        <v>0</v>
      </c>
      <c r="G53" s="58">
        <v>1988</v>
      </c>
      <c r="H53" s="58">
        <v>1</v>
      </c>
    </row>
    <row r="54" spans="1:8">
      <c r="A54" s="73">
        <v>120132</v>
      </c>
      <c r="B54" s="58" t="s">
        <v>350</v>
      </c>
      <c r="C54" s="58">
        <v>100132</v>
      </c>
      <c r="D54" s="58">
        <v>1</v>
      </c>
      <c r="E54" s="60">
        <v>1588</v>
      </c>
      <c r="F54" s="58">
        <v>0</v>
      </c>
      <c r="G54" s="58">
        <v>6888</v>
      </c>
      <c r="H54" s="58">
        <v>1</v>
      </c>
    </row>
    <row r="55" spans="1:8">
      <c r="A55" s="73">
        <v>120133</v>
      </c>
      <c r="B55" s="58" t="s">
        <v>350</v>
      </c>
      <c r="C55" s="58">
        <v>100133</v>
      </c>
      <c r="D55" s="58">
        <v>1</v>
      </c>
      <c r="E55" s="60">
        <v>2888</v>
      </c>
      <c r="F55" s="58">
        <v>0</v>
      </c>
      <c r="G55" s="58">
        <v>15888</v>
      </c>
      <c r="H55" s="58">
        <v>1</v>
      </c>
    </row>
    <row r="56" spans="1:8" s="61" customFormat="1">
      <c r="A56" s="73">
        <v>120141</v>
      </c>
      <c r="B56" s="58" t="s">
        <v>355</v>
      </c>
      <c r="C56" s="58">
        <v>100141</v>
      </c>
      <c r="D56" s="58">
        <v>1</v>
      </c>
      <c r="E56" s="60">
        <v>888</v>
      </c>
      <c r="F56" s="58">
        <v>0</v>
      </c>
      <c r="G56" s="58">
        <v>1988</v>
      </c>
      <c r="H56" s="58"/>
    </row>
    <row r="57" spans="1:8" s="61" customFormat="1">
      <c r="A57" s="73">
        <v>120142</v>
      </c>
      <c r="B57" s="58" t="s">
        <v>355</v>
      </c>
      <c r="C57" s="58">
        <v>100142</v>
      </c>
      <c r="D57" s="58">
        <v>1</v>
      </c>
      <c r="E57" s="60">
        <v>1588</v>
      </c>
      <c r="F57" s="58">
        <v>0</v>
      </c>
      <c r="G57" s="58">
        <v>6888</v>
      </c>
      <c r="H57" s="58"/>
    </row>
    <row r="58" spans="1:8">
      <c r="A58" s="73">
        <v>120143</v>
      </c>
      <c r="B58" s="58" t="s">
        <v>355</v>
      </c>
      <c r="C58" s="58">
        <v>100143</v>
      </c>
      <c r="D58" s="58">
        <v>1</v>
      </c>
      <c r="E58" s="60">
        <v>2888</v>
      </c>
      <c r="F58" s="58">
        <v>0</v>
      </c>
      <c r="G58" s="58">
        <v>15888</v>
      </c>
    </row>
    <row r="59" spans="1:8">
      <c r="A59" s="58">
        <v>120147</v>
      </c>
      <c r="B59" s="58" t="s">
        <v>355</v>
      </c>
      <c r="C59" s="58">
        <v>100147</v>
      </c>
      <c r="D59" s="58">
        <v>1</v>
      </c>
      <c r="E59" s="60">
        <v>588</v>
      </c>
      <c r="F59" s="58">
        <v>0</v>
      </c>
      <c r="G59" s="58">
        <v>888</v>
      </c>
    </row>
    <row r="60" spans="1:8">
      <c r="A60" s="58">
        <v>120151</v>
      </c>
      <c r="B60" s="58" t="s">
        <v>360</v>
      </c>
      <c r="C60" s="58">
        <v>100153</v>
      </c>
      <c r="D60" s="58">
        <v>1</v>
      </c>
      <c r="E60" s="60">
        <v>588</v>
      </c>
      <c r="F60" s="58">
        <v>0</v>
      </c>
      <c r="G60" s="58">
        <v>888</v>
      </c>
      <c r="H60" s="58">
        <v>1</v>
      </c>
    </row>
    <row r="61" spans="1:8">
      <c r="A61" s="58">
        <v>120161</v>
      </c>
      <c r="B61" s="58" t="s">
        <v>365</v>
      </c>
      <c r="C61" s="58">
        <v>100162</v>
      </c>
      <c r="D61" s="58">
        <v>1</v>
      </c>
      <c r="E61" s="60">
        <v>888</v>
      </c>
      <c r="F61" s="58">
        <v>0</v>
      </c>
      <c r="G61" s="58">
        <v>1988</v>
      </c>
      <c r="H61" s="58">
        <v>1</v>
      </c>
    </row>
    <row r="62" spans="1:8">
      <c r="A62" s="61">
        <v>120162</v>
      </c>
      <c r="B62" s="61" t="s">
        <v>365</v>
      </c>
      <c r="C62" s="61">
        <v>100163</v>
      </c>
      <c r="D62" s="61">
        <v>1</v>
      </c>
      <c r="E62" s="61">
        <v>1588</v>
      </c>
      <c r="F62" s="61">
        <v>5</v>
      </c>
      <c r="G62" s="61">
        <v>6888</v>
      </c>
      <c r="H62" s="58">
        <v>1</v>
      </c>
    </row>
    <row r="63" spans="1:8">
      <c r="A63" s="61">
        <v>120163</v>
      </c>
      <c r="B63" s="61" t="s">
        <v>365</v>
      </c>
      <c r="C63" s="61">
        <v>100164</v>
      </c>
      <c r="D63" s="61">
        <v>1</v>
      </c>
      <c r="E63" s="61">
        <v>2888</v>
      </c>
      <c r="F63" s="61">
        <v>5</v>
      </c>
      <c r="G63" s="61">
        <v>15888</v>
      </c>
      <c r="H63" s="58">
        <v>1</v>
      </c>
    </row>
    <row r="64" spans="1:8">
      <c r="A64" s="58">
        <v>120170</v>
      </c>
      <c r="B64" s="58" t="s">
        <v>369</v>
      </c>
      <c r="C64" s="58">
        <v>100173</v>
      </c>
      <c r="D64" s="58">
        <v>1</v>
      </c>
      <c r="E64" s="60">
        <v>588</v>
      </c>
      <c r="F64" s="58">
        <v>0</v>
      </c>
      <c r="G64" s="58">
        <v>988</v>
      </c>
      <c r="H64" s="58">
        <v>1</v>
      </c>
    </row>
    <row r="65" spans="1:8">
      <c r="A65" s="58">
        <v>120171</v>
      </c>
      <c r="B65" s="58" t="s">
        <v>369</v>
      </c>
      <c r="C65" s="58">
        <v>100173</v>
      </c>
      <c r="D65" s="58">
        <v>1</v>
      </c>
      <c r="E65" s="60">
        <v>888</v>
      </c>
      <c r="F65" s="58">
        <v>0</v>
      </c>
      <c r="G65" s="58">
        <v>1988</v>
      </c>
      <c r="H65" s="58">
        <v>1</v>
      </c>
    </row>
    <row r="66" spans="1:8">
      <c r="A66" s="58">
        <v>120172</v>
      </c>
      <c r="B66" s="58" t="s">
        <v>369</v>
      </c>
      <c r="C66" s="58">
        <v>100174</v>
      </c>
      <c r="D66" s="58">
        <v>1</v>
      </c>
      <c r="E66" s="60">
        <v>1588</v>
      </c>
      <c r="F66" s="58">
        <v>0</v>
      </c>
      <c r="G66" s="58">
        <v>6888</v>
      </c>
      <c r="H66" s="58">
        <v>1</v>
      </c>
    </row>
    <row r="67" spans="1:8">
      <c r="A67" s="58">
        <v>120173</v>
      </c>
      <c r="B67" s="58" t="s">
        <v>369</v>
      </c>
      <c r="C67" s="58">
        <v>100175</v>
      </c>
      <c r="D67" s="58">
        <v>1</v>
      </c>
      <c r="E67" s="60">
        <v>2888</v>
      </c>
      <c r="F67" s="58">
        <v>0</v>
      </c>
      <c r="G67" s="58">
        <v>15888</v>
      </c>
      <c r="H67" s="58">
        <v>1</v>
      </c>
    </row>
    <row r="68" spans="1:8">
      <c r="A68" s="58">
        <v>120174</v>
      </c>
      <c r="B68" s="58" t="s">
        <v>369</v>
      </c>
      <c r="C68" s="58">
        <v>100172</v>
      </c>
      <c r="D68" s="58">
        <v>1</v>
      </c>
      <c r="E68" s="60">
        <v>588</v>
      </c>
      <c r="F68" s="58">
        <v>0</v>
      </c>
      <c r="G68" s="58">
        <v>888</v>
      </c>
      <c r="H68" s="58">
        <v>1</v>
      </c>
    </row>
    <row r="69" spans="1:8">
      <c r="A69" s="58">
        <v>120181</v>
      </c>
      <c r="B69" s="58" t="s">
        <v>376</v>
      </c>
      <c r="C69" s="58">
        <v>100181</v>
      </c>
      <c r="D69" s="58">
        <v>1</v>
      </c>
      <c r="E69" s="60">
        <v>1588</v>
      </c>
      <c r="F69" s="58">
        <v>0</v>
      </c>
      <c r="G69" s="58">
        <v>6888</v>
      </c>
      <c r="H69" s="58">
        <v>1</v>
      </c>
    </row>
    <row r="70" spans="1:8">
      <c r="A70" s="58">
        <v>120190</v>
      </c>
      <c r="B70" s="58" t="s">
        <v>379</v>
      </c>
      <c r="C70" s="58">
        <v>100192</v>
      </c>
      <c r="D70" s="58">
        <v>1</v>
      </c>
      <c r="E70" s="60">
        <v>588</v>
      </c>
      <c r="F70" s="58">
        <v>0</v>
      </c>
      <c r="G70" s="58">
        <v>888</v>
      </c>
      <c r="H70" s="58">
        <v>1</v>
      </c>
    </row>
    <row r="71" spans="1:8">
      <c r="A71" s="58">
        <v>120191</v>
      </c>
      <c r="B71" s="58" t="s">
        <v>379</v>
      </c>
      <c r="C71" s="58">
        <v>100193</v>
      </c>
      <c r="D71" s="58">
        <v>1</v>
      </c>
      <c r="E71" s="60">
        <v>888</v>
      </c>
      <c r="F71" s="58">
        <v>0</v>
      </c>
      <c r="G71" s="58">
        <v>1988</v>
      </c>
      <c r="H71" s="58">
        <v>1</v>
      </c>
    </row>
    <row r="72" spans="1:8">
      <c r="A72" s="58">
        <v>120192</v>
      </c>
      <c r="B72" s="58" t="s">
        <v>379</v>
      </c>
      <c r="C72" s="58">
        <v>100194</v>
      </c>
      <c r="D72" s="58">
        <v>1</v>
      </c>
      <c r="E72" s="60">
        <v>1588</v>
      </c>
      <c r="F72" s="58">
        <v>0</v>
      </c>
      <c r="G72" s="58">
        <v>6888</v>
      </c>
      <c r="H72" s="58">
        <v>1</v>
      </c>
    </row>
    <row r="73" spans="1:8">
      <c r="A73" s="58">
        <v>120193</v>
      </c>
      <c r="B73" s="58" t="s">
        <v>379</v>
      </c>
      <c r="C73" s="58">
        <v>100195</v>
      </c>
      <c r="D73" s="58">
        <v>1</v>
      </c>
      <c r="E73" s="60">
        <v>2888</v>
      </c>
      <c r="F73" s="58">
        <v>0</v>
      </c>
      <c r="G73" s="58">
        <v>15888</v>
      </c>
      <c r="H73" s="58">
        <v>1</v>
      </c>
    </row>
    <row r="74" spans="1:8">
      <c r="A74" s="58">
        <v>120201</v>
      </c>
      <c r="B74" s="58" t="s">
        <v>386</v>
      </c>
      <c r="C74" s="58">
        <v>100201</v>
      </c>
      <c r="D74" s="58">
        <v>1</v>
      </c>
      <c r="E74" s="60">
        <v>888</v>
      </c>
      <c r="F74" s="58">
        <v>0</v>
      </c>
      <c r="G74" s="58">
        <v>1988</v>
      </c>
      <c r="H74" s="58">
        <v>1</v>
      </c>
    </row>
    <row r="75" spans="1:8">
      <c r="A75" s="58">
        <v>120202</v>
      </c>
      <c r="B75" s="58" t="s">
        <v>386</v>
      </c>
      <c r="C75" s="58">
        <v>100202</v>
      </c>
      <c r="D75" s="58">
        <v>1</v>
      </c>
      <c r="E75" s="60">
        <v>1588</v>
      </c>
      <c r="F75" s="58">
        <v>0</v>
      </c>
      <c r="G75" s="58">
        <v>6888</v>
      </c>
      <c r="H75" s="58">
        <v>1</v>
      </c>
    </row>
    <row r="76" spans="1:8">
      <c r="A76" s="58">
        <v>120203</v>
      </c>
      <c r="B76" s="58" t="s">
        <v>386</v>
      </c>
      <c r="C76" s="58">
        <v>100203</v>
      </c>
      <c r="D76" s="58">
        <v>1</v>
      </c>
      <c r="E76" s="60">
        <v>2888</v>
      </c>
      <c r="F76" s="58">
        <v>0</v>
      </c>
      <c r="G76" s="58">
        <v>15888</v>
      </c>
      <c r="H76" s="58">
        <v>1</v>
      </c>
    </row>
    <row r="77" spans="1:8">
      <c r="A77" s="58">
        <v>100015</v>
      </c>
      <c r="B77" s="58" t="s">
        <v>284</v>
      </c>
      <c r="C77" s="58">
        <v>100012</v>
      </c>
      <c r="D77" s="58">
        <v>1</v>
      </c>
      <c r="E77" s="60">
        <v>888</v>
      </c>
      <c r="F77" s="58">
        <v>0</v>
      </c>
      <c r="G77" s="58">
        <v>1988</v>
      </c>
    </row>
    <row r="78" spans="1:8">
      <c r="A78" s="58">
        <v>100016</v>
      </c>
      <c r="B78" s="58" t="s">
        <v>284</v>
      </c>
      <c r="C78" s="58">
        <v>100013</v>
      </c>
      <c r="D78" s="58">
        <v>1</v>
      </c>
      <c r="E78" s="60">
        <v>1588</v>
      </c>
      <c r="F78" s="58">
        <v>0</v>
      </c>
      <c r="G78" s="58">
        <v>6888</v>
      </c>
    </row>
    <row r="79" spans="1:8">
      <c r="A79" s="58">
        <v>100017</v>
      </c>
      <c r="B79" s="58" t="s">
        <v>284</v>
      </c>
      <c r="C79" s="58">
        <v>100014</v>
      </c>
      <c r="D79" s="58">
        <v>1</v>
      </c>
      <c r="E79" s="60">
        <v>2888</v>
      </c>
      <c r="F79" s="58">
        <v>0</v>
      </c>
      <c r="G79" s="58">
        <v>15888</v>
      </c>
    </row>
    <row r="80" spans="1:8">
      <c r="A80" s="58">
        <v>100024</v>
      </c>
      <c r="B80" s="58" t="s">
        <v>291</v>
      </c>
      <c r="C80" s="58">
        <v>100021</v>
      </c>
      <c r="D80" s="58">
        <v>1</v>
      </c>
      <c r="E80" s="60">
        <v>888</v>
      </c>
      <c r="F80" s="58">
        <v>0</v>
      </c>
      <c r="G80" s="58">
        <v>1988</v>
      </c>
    </row>
    <row r="81" spans="1:7">
      <c r="A81" s="58">
        <v>100025</v>
      </c>
      <c r="B81" s="58" t="s">
        <v>291</v>
      </c>
      <c r="C81" s="58">
        <v>100022</v>
      </c>
      <c r="D81" s="58">
        <v>1</v>
      </c>
      <c r="E81" s="60">
        <v>1588</v>
      </c>
      <c r="F81" s="58">
        <v>0</v>
      </c>
      <c r="G81" s="58">
        <v>6888</v>
      </c>
    </row>
    <row r="82" spans="1:7">
      <c r="A82" s="58">
        <v>100026</v>
      </c>
      <c r="B82" s="58" t="s">
        <v>291</v>
      </c>
      <c r="C82" s="58">
        <v>100023</v>
      </c>
      <c r="D82" s="58">
        <v>1</v>
      </c>
      <c r="E82" s="60">
        <v>2888</v>
      </c>
      <c r="F82" s="58">
        <v>0</v>
      </c>
      <c r="G82" s="58">
        <v>15888</v>
      </c>
    </row>
    <row r="83" spans="1:7">
      <c r="A83" s="58">
        <v>100045</v>
      </c>
      <c r="B83" s="58" t="s">
        <v>301</v>
      </c>
      <c r="C83" s="58">
        <v>100042</v>
      </c>
      <c r="D83" s="58">
        <v>1</v>
      </c>
      <c r="E83" s="60">
        <v>888</v>
      </c>
      <c r="F83" s="58">
        <v>0</v>
      </c>
      <c r="G83" s="58">
        <v>1988</v>
      </c>
    </row>
    <row r="84" spans="1:7">
      <c r="A84" s="58">
        <v>100046</v>
      </c>
      <c r="B84" s="58" t="s">
        <v>301</v>
      </c>
      <c r="C84" s="58">
        <v>100043</v>
      </c>
      <c r="D84" s="58">
        <v>1</v>
      </c>
      <c r="E84" s="60">
        <v>1588</v>
      </c>
      <c r="F84" s="58">
        <v>0</v>
      </c>
      <c r="G84" s="58">
        <v>6888</v>
      </c>
    </row>
    <row r="85" spans="1:7">
      <c r="A85" s="58">
        <v>100047</v>
      </c>
      <c r="B85" s="58" t="s">
        <v>301</v>
      </c>
      <c r="C85" s="58">
        <v>100044</v>
      </c>
      <c r="D85" s="58">
        <v>1</v>
      </c>
      <c r="E85" s="60">
        <v>2888</v>
      </c>
      <c r="F85" s="58">
        <v>0</v>
      </c>
      <c r="G85" s="58">
        <v>15888</v>
      </c>
    </row>
    <row r="86" spans="1:7">
      <c r="A86" s="58">
        <v>100054</v>
      </c>
      <c r="B86" s="58" t="s">
        <v>308</v>
      </c>
      <c r="C86" s="58">
        <v>100051</v>
      </c>
      <c r="D86" s="58">
        <v>1</v>
      </c>
      <c r="E86" s="60">
        <v>888</v>
      </c>
      <c r="F86" s="58">
        <v>0</v>
      </c>
      <c r="G86" s="58">
        <v>1988</v>
      </c>
    </row>
    <row r="87" spans="1:7">
      <c r="A87" s="58">
        <v>100056</v>
      </c>
      <c r="B87" s="58" t="s">
        <v>308</v>
      </c>
      <c r="C87" s="58">
        <v>100052</v>
      </c>
      <c r="D87" s="58">
        <v>1</v>
      </c>
      <c r="E87" s="60">
        <v>1588</v>
      </c>
      <c r="F87" s="58">
        <v>0</v>
      </c>
      <c r="G87" s="58">
        <v>6888</v>
      </c>
    </row>
    <row r="88" spans="1:7">
      <c r="A88" s="58">
        <v>100057</v>
      </c>
      <c r="B88" s="58" t="s">
        <v>308</v>
      </c>
      <c r="C88" s="58">
        <v>100053</v>
      </c>
      <c r="D88" s="58">
        <v>1</v>
      </c>
      <c r="E88" s="60">
        <v>2888</v>
      </c>
      <c r="F88" s="58">
        <v>0</v>
      </c>
      <c r="G88" s="58">
        <v>15888</v>
      </c>
    </row>
    <row r="89" spans="1:7">
      <c r="A89" s="58">
        <v>100064</v>
      </c>
      <c r="B89" s="58" t="s">
        <v>314</v>
      </c>
      <c r="C89" s="58">
        <v>100062</v>
      </c>
      <c r="D89" s="58">
        <v>1</v>
      </c>
      <c r="E89" s="60">
        <v>888</v>
      </c>
      <c r="F89" s="58">
        <v>0</v>
      </c>
      <c r="G89" s="58">
        <v>1988</v>
      </c>
    </row>
    <row r="90" spans="1:7">
      <c r="A90" s="58">
        <v>100074</v>
      </c>
      <c r="B90" s="58" t="s">
        <v>319</v>
      </c>
      <c r="C90" s="58">
        <v>100071</v>
      </c>
      <c r="D90" s="58">
        <v>1</v>
      </c>
      <c r="E90" s="60">
        <v>888</v>
      </c>
      <c r="F90" s="58">
        <v>0</v>
      </c>
      <c r="G90" s="58">
        <v>1988</v>
      </c>
    </row>
    <row r="91" spans="1:7">
      <c r="A91" s="58">
        <v>100075</v>
      </c>
      <c r="B91" s="58" t="s">
        <v>319</v>
      </c>
      <c r="C91" s="58">
        <v>100072</v>
      </c>
      <c r="D91" s="58">
        <v>1</v>
      </c>
      <c r="E91" s="60">
        <v>1588</v>
      </c>
      <c r="F91" s="58">
        <v>0</v>
      </c>
      <c r="G91" s="58">
        <v>6888</v>
      </c>
    </row>
    <row r="92" spans="1:7">
      <c r="A92" s="58">
        <v>100076</v>
      </c>
      <c r="B92" s="58" t="s">
        <v>319</v>
      </c>
      <c r="C92" s="58">
        <v>100073</v>
      </c>
      <c r="D92" s="58">
        <v>1</v>
      </c>
      <c r="E92" s="60">
        <v>2888</v>
      </c>
      <c r="F92" s="58">
        <v>0</v>
      </c>
      <c r="G92" s="58">
        <v>15888</v>
      </c>
    </row>
    <row r="93" spans="1:7">
      <c r="A93" s="58">
        <v>100084</v>
      </c>
      <c r="B93" s="58" t="s">
        <v>324</v>
      </c>
      <c r="C93" s="58">
        <v>100081</v>
      </c>
      <c r="D93" s="58">
        <v>1</v>
      </c>
      <c r="E93" s="60">
        <v>888</v>
      </c>
      <c r="F93" s="58">
        <v>0</v>
      </c>
      <c r="G93" s="58">
        <v>1988</v>
      </c>
    </row>
    <row r="94" spans="1:7">
      <c r="A94" s="58">
        <v>100085</v>
      </c>
      <c r="B94" s="58" t="s">
        <v>324</v>
      </c>
      <c r="C94" s="58">
        <v>100082</v>
      </c>
      <c r="D94" s="58">
        <v>1</v>
      </c>
      <c r="E94" s="60">
        <v>1588</v>
      </c>
      <c r="F94" s="58">
        <v>0</v>
      </c>
      <c r="G94" s="58">
        <v>6888</v>
      </c>
    </row>
    <row r="95" spans="1:7">
      <c r="A95" s="58">
        <v>100086</v>
      </c>
      <c r="B95" s="58" t="s">
        <v>324</v>
      </c>
      <c r="C95" s="58">
        <v>100083</v>
      </c>
      <c r="D95" s="58">
        <v>1</v>
      </c>
      <c r="E95" s="60">
        <v>2888</v>
      </c>
      <c r="F95" s="58">
        <v>0</v>
      </c>
      <c r="G95" s="58">
        <v>15888</v>
      </c>
    </row>
    <row r="96" spans="1:7">
      <c r="A96" s="58">
        <v>100094</v>
      </c>
      <c r="B96" s="58" t="s">
        <v>329</v>
      </c>
      <c r="C96" s="58">
        <v>100091</v>
      </c>
      <c r="D96" s="58">
        <v>1</v>
      </c>
      <c r="E96" s="60">
        <v>888</v>
      </c>
      <c r="F96" s="58">
        <v>0</v>
      </c>
      <c r="G96" s="58">
        <v>1988</v>
      </c>
    </row>
    <row r="97" spans="1:7">
      <c r="A97" s="58">
        <v>100095</v>
      </c>
      <c r="B97" s="58" t="s">
        <v>329</v>
      </c>
      <c r="C97" s="58">
        <v>100092</v>
      </c>
      <c r="D97" s="58">
        <v>1</v>
      </c>
      <c r="E97" s="60">
        <v>1588</v>
      </c>
      <c r="F97" s="58">
        <v>0</v>
      </c>
      <c r="G97" s="58">
        <v>6888</v>
      </c>
    </row>
    <row r="98" spans="1:7">
      <c r="A98" s="58">
        <v>100096</v>
      </c>
      <c r="B98" s="58" t="s">
        <v>329</v>
      </c>
      <c r="C98" s="58">
        <v>100093</v>
      </c>
      <c r="D98" s="58">
        <v>1</v>
      </c>
      <c r="E98" s="60">
        <v>2888</v>
      </c>
      <c r="F98" s="58">
        <v>0</v>
      </c>
      <c r="G98" s="58">
        <v>15888</v>
      </c>
    </row>
    <row r="99" spans="1:7">
      <c r="A99" s="58">
        <v>100104</v>
      </c>
      <c r="B99" s="58" t="s">
        <v>334</v>
      </c>
      <c r="C99" s="58">
        <v>100101</v>
      </c>
      <c r="D99" s="58">
        <v>1</v>
      </c>
      <c r="E99" s="60">
        <v>888</v>
      </c>
      <c r="F99" s="58">
        <v>0</v>
      </c>
      <c r="G99" s="58">
        <v>1988</v>
      </c>
    </row>
    <row r="100" spans="1:7">
      <c r="A100" s="58">
        <v>100105</v>
      </c>
      <c r="B100" s="58" t="s">
        <v>334</v>
      </c>
      <c r="C100" s="58">
        <v>100102</v>
      </c>
      <c r="D100" s="58">
        <v>1</v>
      </c>
      <c r="E100" s="60">
        <v>1588</v>
      </c>
      <c r="F100" s="58">
        <v>0</v>
      </c>
      <c r="G100" s="58">
        <v>6888</v>
      </c>
    </row>
    <row r="101" spans="1:7">
      <c r="A101" s="58">
        <v>100106</v>
      </c>
      <c r="B101" s="58" t="s">
        <v>334</v>
      </c>
      <c r="C101" s="58">
        <v>100103</v>
      </c>
      <c r="D101" s="58">
        <v>1</v>
      </c>
      <c r="E101" s="60">
        <v>2888</v>
      </c>
      <c r="F101" s="58">
        <v>0</v>
      </c>
      <c r="G101" s="58">
        <v>15888</v>
      </c>
    </row>
    <row r="102" spans="1:7">
      <c r="A102" s="58">
        <v>100112</v>
      </c>
      <c r="B102" s="58" t="s">
        <v>339</v>
      </c>
      <c r="C102" s="58">
        <v>100111</v>
      </c>
      <c r="D102" s="58">
        <v>1</v>
      </c>
      <c r="E102" s="60">
        <v>1588</v>
      </c>
      <c r="F102" s="58">
        <v>0</v>
      </c>
      <c r="G102" s="58">
        <v>6888</v>
      </c>
    </row>
    <row r="103" spans="1:7">
      <c r="A103" s="58">
        <v>100115</v>
      </c>
      <c r="B103" s="58" t="s">
        <v>339</v>
      </c>
      <c r="C103" s="58">
        <v>100114</v>
      </c>
      <c r="D103" s="58">
        <v>1</v>
      </c>
      <c r="E103" s="60">
        <v>888</v>
      </c>
      <c r="F103" s="58">
        <v>0</v>
      </c>
      <c r="G103" s="58">
        <v>1988</v>
      </c>
    </row>
    <row r="104" spans="1:7">
      <c r="A104" s="58">
        <v>100116</v>
      </c>
      <c r="B104" s="58" t="s">
        <v>339</v>
      </c>
      <c r="C104" s="58">
        <v>100113</v>
      </c>
      <c r="D104" s="58">
        <v>1</v>
      </c>
      <c r="E104" s="60">
        <v>2888</v>
      </c>
      <c r="F104" s="58">
        <v>0</v>
      </c>
      <c r="G104" s="58">
        <v>15888</v>
      </c>
    </row>
    <row r="105" spans="1:7">
      <c r="A105" s="74">
        <v>100121</v>
      </c>
      <c r="B105" s="74" t="s">
        <v>344</v>
      </c>
      <c r="C105" s="74">
        <v>100121</v>
      </c>
      <c r="D105" s="58">
        <v>1</v>
      </c>
      <c r="E105" s="60">
        <v>1588</v>
      </c>
      <c r="F105" s="58">
        <v>0</v>
      </c>
      <c r="G105" s="58">
        <v>6888</v>
      </c>
    </row>
    <row r="106" spans="1:7">
      <c r="A106" s="74">
        <v>100122</v>
      </c>
      <c r="B106" s="74" t="s">
        <v>344</v>
      </c>
      <c r="C106" s="74">
        <v>100122</v>
      </c>
      <c r="D106" s="58">
        <v>1</v>
      </c>
      <c r="E106" s="60">
        <v>888</v>
      </c>
      <c r="F106" s="58">
        <v>0</v>
      </c>
      <c r="G106" s="58">
        <v>1988</v>
      </c>
    </row>
    <row r="107" spans="1:7">
      <c r="A107" s="74">
        <v>100123</v>
      </c>
      <c r="B107" s="74" t="s">
        <v>344</v>
      </c>
      <c r="C107" s="74">
        <v>100123</v>
      </c>
      <c r="D107" s="58">
        <v>1</v>
      </c>
      <c r="E107" s="60">
        <v>2888</v>
      </c>
      <c r="F107" s="58">
        <v>0</v>
      </c>
      <c r="G107" s="58">
        <v>15888</v>
      </c>
    </row>
    <row r="108" spans="1:7">
      <c r="A108" s="75">
        <v>100124</v>
      </c>
      <c r="B108" s="75" t="s">
        <v>344</v>
      </c>
      <c r="C108" s="75">
        <v>100124</v>
      </c>
      <c r="D108" s="58">
        <v>1</v>
      </c>
      <c r="E108" s="60">
        <v>888</v>
      </c>
      <c r="F108" s="58">
        <v>0</v>
      </c>
      <c r="G108" s="58">
        <v>1988</v>
      </c>
    </row>
    <row r="109" spans="1:7">
      <c r="A109" s="58">
        <v>100134</v>
      </c>
      <c r="B109" s="58" t="s">
        <v>350</v>
      </c>
      <c r="C109" s="58">
        <v>100131</v>
      </c>
      <c r="D109" s="58">
        <v>1</v>
      </c>
      <c r="E109" s="60">
        <v>888</v>
      </c>
      <c r="F109" s="58">
        <v>0</v>
      </c>
      <c r="G109" s="58">
        <v>1988</v>
      </c>
    </row>
    <row r="110" spans="1:7">
      <c r="A110" s="58">
        <v>100135</v>
      </c>
      <c r="B110" s="58" t="s">
        <v>350</v>
      </c>
      <c r="C110" s="58">
        <v>100132</v>
      </c>
      <c r="D110" s="58">
        <v>1</v>
      </c>
      <c r="E110" s="60">
        <v>1588</v>
      </c>
      <c r="F110" s="58">
        <v>0</v>
      </c>
      <c r="G110" s="58">
        <v>6888</v>
      </c>
    </row>
    <row r="111" spans="1:7">
      <c r="A111" s="58">
        <v>100136</v>
      </c>
      <c r="B111" s="58" t="s">
        <v>350</v>
      </c>
      <c r="C111" s="58">
        <v>100133</v>
      </c>
      <c r="D111" s="58">
        <v>1</v>
      </c>
      <c r="E111" s="60">
        <v>2888</v>
      </c>
      <c r="F111" s="58">
        <v>0</v>
      </c>
      <c r="G111" s="58">
        <v>15888</v>
      </c>
    </row>
    <row r="112" spans="1:7">
      <c r="A112" s="58">
        <v>100144</v>
      </c>
      <c r="B112" s="58" t="s">
        <v>355</v>
      </c>
      <c r="C112" s="58">
        <v>100141</v>
      </c>
      <c r="D112" s="58">
        <v>1</v>
      </c>
      <c r="E112" s="60">
        <v>888</v>
      </c>
      <c r="F112" s="58">
        <v>0</v>
      </c>
      <c r="G112" s="58">
        <v>1988</v>
      </c>
    </row>
    <row r="113" spans="1:9">
      <c r="A113" s="58">
        <v>100145</v>
      </c>
      <c r="B113" s="58" t="s">
        <v>355</v>
      </c>
      <c r="C113" s="58">
        <v>100142</v>
      </c>
      <c r="D113" s="58">
        <v>1</v>
      </c>
      <c r="E113" s="60">
        <v>1588</v>
      </c>
      <c r="F113" s="58">
        <v>0</v>
      </c>
      <c r="G113" s="58">
        <v>6888</v>
      </c>
    </row>
    <row r="114" spans="1:9">
      <c r="A114" s="58">
        <v>100146</v>
      </c>
      <c r="B114" s="58" t="s">
        <v>355</v>
      </c>
      <c r="C114" s="58">
        <v>100143</v>
      </c>
      <c r="D114" s="58">
        <v>1</v>
      </c>
      <c r="E114" s="60">
        <v>2888</v>
      </c>
      <c r="F114" s="58">
        <v>0</v>
      </c>
      <c r="G114" s="58">
        <v>15888</v>
      </c>
    </row>
    <row r="115" spans="1:9">
      <c r="A115" s="58">
        <v>100165</v>
      </c>
      <c r="B115" s="58" t="s">
        <v>365</v>
      </c>
      <c r="C115" s="58">
        <v>100162</v>
      </c>
      <c r="D115" s="58">
        <v>1</v>
      </c>
      <c r="E115" s="60">
        <v>888</v>
      </c>
      <c r="F115" s="58">
        <v>0</v>
      </c>
      <c r="G115" s="58">
        <v>1988</v>
      </c>
    </row>
    <row r="116" spans="1:9">
      <c r="A116" s="58">
        <v>100176</v>
      </c>
      <c r="B116" s="58" t="s">
        <v>369</v>
      </c>
      <c r="C116" s="58">
        <v>100173</v>
      </c>
      <c r="D116" s="58">
        <v>1</v>
      </c>
      <c r="E116" s="60">
        <v>888</v>
      </c>
      <c r="F116" s="58">
        <v>0</v>
      </c>
      <c r="G116" s="58">
        <v>1988</v>
      </c>
    </row>
    <row r="117" spans="1:9">
      <c r="A117" s="58">
        <v>100177</v>
      </c>
      <c r="B117" s="58" t="s">
        <v>369</v>
      </c>
      <c r="C117" s="58">
        <v>100174</v>
      </c>
      <c r="D117" s="58">
        <v>1</v>
      </c>
      <c r="E117" s="60">
        <v>1588</v>
      </c>
      <c r="F117" s="58">
        <v>0</v>
      </c>
      <c r="G117" s="58">
        <v>6888</v>
      </c>
    </row>
    <row r="118" spans="1:9">
      <c r="A118" s="58">
        <v>100178</v>
      </c>
      <c r="B118" s="58" t="s">
        <v>369</v>
      </c>
      <c r="C118" s="58">
        <v>100175</v>
      </c>
      <c r="D118" s="58">
        <v>1</v>
      </c>
      <c r="E118" s="60">
        <v>2888</v>
      </c>
      <c r="F118" s="58">
        <v>0</v>
      </c>
      <c r="G118" s="58">
        <v>15888</v>
      </c>
    </row>
    <row r="119" spans="1:9">
      <c r="A119" s="58">
        <v>100179</v>
      </c>
      <c r="B119" s="58" t="s">
        <v>369</v>
      </c>
      <c r="C119" s="58">
        <v>100172</v>
      </c>
      <c r="D119" s="58">
        <v>1</v>
      </c>
      <c r="E119" s="60">
        <v>588</v>
      </c>
      <c r="F119" s="58">
        <v>0</v>
      </c>
      <c r="G119" s="58">
        <v>1988</v>
      </c>
    </row>
    <row r="120" spans="1:9">
      <c r="A120" s="58">
        <v>100196</v>
      </c>
      <c r="B120" s="58" t="s">
        <v>379</v>
      </c>
      <c r="C120" s="58">
        <v>100193</v>
      </c>
      <c r="D120" s="58">
        <v>1</v>
      </c>
      <c r="E120" s="60">
        <v>888</v>
      </c>
      <c r="F120" s="58">
        <v>0</v>
      </c>
      <c r="G120" s="58">
        <v>1988</v>
      </c>
    </row>
    <row r="121" spans="1:9">
      <c r="A121" s="58">
        <v>100197</v>
      </c>
      <c r="B121" s="58" t="s">
        <v>379</v>
      </c>
      <c r="C121" s="58">
        <v>100194</v>
      </c>
      <c r="D121" s="58">
        <v>1</v>
      </c>
      <c r="E121" s="60">
        <v>1588</v>
      </c>
      <c r="F121" s="58">
        <v>0</v>
      </c>
      <c r="G121" s="58">
        <v>6888</v>
      </c>
    </row>
    <row r="122" spans="1:9">
      <c r="A122" s="58">
        <v>100198</v>
      </c>
      <c r="B122" s="58" t="s">
        <v>379</v>
      </c>
      <c r="C122" s="58">
        <v>100195</v>
      </c>
      <c r="D122" s="58">
        <v>1</v>
      </c>
      <c r="E122" s="60">
        <v>2888</v>
      </c>
      <c r="F122" s="58">
        <v>0</v>
      </c>
      <c r="G122" s="58">
        <v>15888</v>
      </c>
    </row>
    <row r="123" spans="1:9">
      <c r="A123" s="58">
        <v>100204</v>
      </c>
      <c r="B123" s="58" t="s">
        <v>386</v>
      </c>
      <c r="C123" s="58">
        <v>100201</v>
      </c>
      <c r="D123" s="58">
        <v>1</v>
      </c>
      <c r="E123" s="60">
        <v>888</v>
      </c>
      <c r="F123" s="58">
        <v>0</v>
      </c>
      <c r="G123" s="58">
        <v>1988</v>
      </c>
    </row>
    <row r="124" spans="1:9">
      <c r="A124" s="58">
        <v>100205</v>
      </c>
      <c r="B124" s="58" t="s">
        <v>386</v>
      </c>
      <c r="C124" s="58">
        <v>100202</v>
      </c>
      <c r="D124" s="58">
        <v>1</v>
      </c>
      <c r="E124" s="60">
        <v>1588</v>
      </c>
      <c r="F124" s="58">
        <v>0</v>
      </c>
      <c r="G124" s="58">
        <v>6888</v>
      </c>
    </row>
    <row r="125" spans="1:9">
      <c r="A125" s="58">
        <v>100206</v>
      </c>
      <c r="B125" s="58" t="s">
        <v>386</v>
      </c>
      <c r="C125" s="58">
        <v>100203</v>
      </c>
      <c r="D125" s="58">
        <v>1</v>
      </c>
      <c r="E125" s="60">
        <v>2888</v>
      </c>
      <c r="F125" s="58">
        <v>0</v>
      </c>
      <c r="G125" s="58">
        <v>15888</v>
      </c>
    </row>
    <row r="126" spans="1:9">
      <c r="A126" s="58">
        <v>100227</v>
      </c>
      <c r="B126" s="58" t="s">
        <v>5239</v>
      </c>
      <c r="C126" s="58">
        <v>100223</v>
      </c>
      <c r="D126" s="58">
        <v>1</v>
      </c>
      <c r="E126" s="58">
        <v>1588</v>
      </c>
      <c r="F126" s="58">
        <v>0</v>
      </c>
      <c r="G126" s="58">
        <v>9888</v>
      </c>
      <c r="I126" s="58" t="str">
        <f>VLOOKUP(A126,item!A12:H1664,5)</f>
        <v>双龙戏珠主题球杆，品质等级SS</v>
      </c>
    </row>
    <row r="127" spans="1:9">
      <c r="A127" s="58">
        <v>100235</v>
      </c>
      <c r="B127" s="58" t="s">
        <v>396</v>
      </c>
      <c r="C127" s="58">
        <v>100232</v>
      </c>
      <c r="D127" s="58">
        <v>1</v>
      </c>
      <c r="E127" s="60">
        <v>888</v>
      </c>
      <c r="F127" s="58">
        <v>0</v>
      </c>
      <c r="G127" s="58">
        <v>1988</v>
      </c>
      <c r="I127" s="58" t="str">
        <f>VLOOKUP(A127,item!A13:H1664,5)</f>
        <v>流光宝石主题球杆，品质等级S</v>
      </c>
    </row>
    <row r="128" spans="1:9">
      <c r="A128" s="58">
        <v>100345</v>
      </c>
      <c r="B128" s="58" t="s">
        <v>442</v>
      </c>
      <c r="C128" s="58">
        <v>100342</v>
      </c>
      <c r="D128" s="58">
        <v>1</v>
      </c>
      <c r="E128" s="60">
        <v>2488</v>
      </c>
      <c r="F128" s="58">
        <v>0</v>
      </c>
      <c r="G128" s="58">
        <v>6888</v>
      </c>
      <c r="I128" s="58" t="str">
        <f>VLOOKUP(A128,item!A14:H1664,5)</f>
        <v>法老权杖主题球杆，品质等级SSS</v>
      </c>
    </row>
    <row r="129" spans="1:11" s="68" customFormat="1">
      <c r="A129" s="58">
        <v>100395</v>
      </c>
      <c r="B129" s="58" t="s">
        <v>468</v>
      </c>
      <c r="C129" s="58">
        <v>100392</v>
      </c>
      <c r="D129" s="58">
        <v>1</v>
      </c>
      <c r="E129" s="60">
        <v>2488</v>
      </c>
      <c r="F129" s="58">
        <v>0</v>
      </c>
      <c r="G129" s="58">
        <v>6888</v>
      </c>
      <c r="H129" s="58"/>
      <c r="I129" s="58" t="str">
        <f>VLOOKUP(A129,item!A15:H1665,5)</f>
        <v>丈八蛇矛主题球杆，品质等级SSS</v>
      </c>
      <c r="J129" s="58"/>
      <c r="K129" s="58"/>
    </row>
    <row r="130" spans="1:11" s="68" customFormat="1">
      <c r="A130" s="58">
        <v>100966</v>
      </c>
      <c r="B130" s="58" t="s">
        <v>643</v>
      </c>
      <c r="C130" s="58">
        <v>100963</v>
      </c>
      <c r="D130" s="58">
        <v>1</v>
      </c>
      <c r="E130" s="60">
        <v>2488</v>
      </c>
      <c r="F130" s="58">
        <v>0</v>
      </c>
      <c r="G130" s="58">
        <v>6888</v>
      </c>
      <c r="H130" s="58"/>
      <c r="I130" s="58" t="str">
        <f>VLOOKUP(A130,item!A16:H1666,5)</f>
        <v>蓝梦月泪主题球杆，品质等级SSS</v>
      </c>
      <c r="J130" s="58"/>
      <c r="K130" s="58"/>
    </row>
    <row r="131" spans="1:11">
      <c r="A131" s="58">
        <v>100986</v>
      </c>
      <c r="B131" s="58" t="s">
        <v>657</v>
      </c>
      <c r="C131" s="58">
        <v>100983</v>
      </c>
      <c r="D131" s="58">
        <v>1</v>
      </c>
      <c r="E131" s="60">
        <v>2488</v>
      </c>
      <c r="F131" s="58">
        <v>0</v>
      </c>
      <c r="G131" s="58">
        <v>6888</v>
      </c>
      <c r="H131" s="58">
        <v>1</v>
      </c>
      <c r="I131" s="58" t="str">
        <f>VLOOKUP(A131,item!A17:H1667,5)</f>
        <v>樱韵霜芒主题球杆，品质等级SSS</v>
      </c>
    </row>
    <row r="132" spans="1:11">
      <c r="A132" s="58">
        <v>100112</v>
      </c>
      <c r="B132" s="58" t="s">
        <v>5240</v>
      </c>
      <c r="C132" s="58">
        <v>100111</v>
      </c>
      <c r="D132" s="58">
        <v>1</v>
      </c>
      <c r="E132" s="58">
        <v>1588</v>
      </c>
      <c r="F132" s="58">
        <v>0</v>
      </c>
      <c r="G132" s="58">
        <v>9888</v>
      </c>
      <c r="H132" s="58">
        <v>1</v>
      </c>
    </row>
    <row r="133" spans="1:11">
      <c r="A133" s="58">
        <v>120221</v>
      </c>
      <c r="B133" s="58" t="s">
        <v>5165</v>
      </c>
      <c r="C133" s="58">
        <v>100221</v>
      </c>
      <c r="D133" s="58">
        <v>1</v>
      </c>
      <c r="E133" s="60">
        <v>588</v>
      </c>
      <c r="F133" s="58">
        <v>0</v>
      </c>
      <c r="G133" s="58">
        <v>1988</v>
      </c>
      <c r="H133" s="58">
        <v>1</v>
      </c>
    </row>
    <row r="134" spans="1:11">
      <c r="A134" s="58">
        <v>120222</v>
      </c>
      <c r="B134" s="58" t="s">
        <v>5165</v>
      </c>
      <c r="C134" s="58">
        <v>100222</v>
      </c>
      <c r="D134" s="58">
        <v>1</v>
      </c>
      <c r="E134" s="60">
        <v>888</v>
      </c>
      <c r="F134" s="58">
        <v>0</v>
      </c>
      <c r="G134" s="58">
        <v>6888</v>
      </c>
      <c r="H134" s="58">
        <v>1</v>
      </c>
    </row>
    <row r="135" spans="1:11">
      <c r="A135" s="58">
        <v>120223</v>
      </c>
      <c r="B135" s="58" t="s">
        <v>5165</v>
      </c>
      <c r="C135" s="58">
        <v>100223</v>
      </c>
      <c r="D135" s="58">
        <v>1</v>
      </c>
      <c r="E135" s="60">
        <v>1588</v>
      </c>
      <c r="F135" s="58">
        <v>0</v>
      </c>
      <c r="G135" s="58">
        <v>15888</v>
      </c>
      <c r="H135" s="58">
        <v>1</v>
      </c>
    </row>
    <row r="136" spans="1:11">
      <c r="A136" s="58">
        <v>120231</v>
      </c>
      <c r="B136" s="58" t="s">
        <v>5166</v>
      </c>
      <c r="C136" s="58">
        <v>100231</v>
      </c>
      <c r="D136" s="58">
        <v>1</v>
      </c>
      <c r="E136" s="60">
        <v>588</v>
      </c>
      <c r="F136" s="58">
        <v>0</v>
      </c>
      <c r="G136" s="58">
        <v>1988</v>
      </c>
    </row>
    <row r="137" spans="1:11">
      <c r="A137" s="58">
        <v>120241</v>
      </c>
      <c r="B137" s="58" t="s">
        <v>5167</v>
      </c>
      <c r="C137" s="58">
        <v>100241</v>
      </c>
      <c r="D137" s="58">
        <v>1</v>
      </c>
      <c r="E137" s="60">
        <v>588</v>
      </c>
      <c r="F137" s="58">
        <v>0</v>
      </c>
      <c r="G137" s="58">
        <v>1988</v>
      </c>
    </row>
    <row r="138" spans="1:11">
      <c r="A138" s="58">
        <v>120253</v>
      </c>
      <c r="B138" s="58" t="s">
        <v>5168</v>
      </c>
      <c r="C138" s="58">
        <v>100253</v>
      </c>
      <c r="D138" s="58">
        <v>1</v>
      </c>
      <c r="E138" s="58">
        <v>888</v>
      </c>
      <c r="F138" s="58">
        <v>0</v>
      </c>
      <c r="G138" s="58">
        <v>1988</v>
      </c>
    </row>
    <row r="139" spans="1:11">
      <c r="A139" s="58">
        <v>120254</v>
      </c>
      <c r="B139" s="58" t="s">
        <v>5168</v>
      </c>
      <c r="C139" s="58">
        <v>100254</v>
      </c>
      <c r="D139" s="58">
        <v>1</v>
      </c>
      <c r="E139" s="60">
        <v>1588</v>
      </c>
      <c r="F139" s="58">
        <v>0</v>
      </c>
      <c r="G139" s="58">
        <v>6888</v>
      </c>
    </row>
    <row r="140" spans="1:11">
      <c r="A140" s="58">
        <v>120261</v>
      </c>
      <c r="B140" s="58" t="s">
        <v>5169</v>
      </c>
      <c r="C140" s="58">
        <v>100263</v>
      </c>
      <c r="D140" s="58">
        <v>1</v>
      </c>
      <c r="E140" s="60">
        <v>588</v>
      </c>
      <c r="F140" s="58">
        <v>0</v>
      </c>
      <c r="G140" s="58">
        <v>888</v>
      </c>
    </row>
    <row r="141" spans="1:11">
      <c r="A141" s="58">
        <v>120271</v>
      </c>
      <c r="B141" s="58" t="s">
        <v>5170</v>
      </c>
      <c r="C141" s="58">
        <v>100273</v>
      </c>
      <c r="D141" s="58">
        <v>1</v>
      </c>
      <c r="E141" s="60">
        <v>588</v>
      </c>
      <c r="F141" s="58">
        <v>0</v>
      </c>
      <c r="G141" s="58">
        <v>888</v>
      </c>
    </row>
    <row r="142" spans="1:11">
      <c r="A142" s="58">
        <v>120281</v>
      </c>
      <c r="B142" s="58" t="s">
        <v>5171</v>
      </c>
      <c r="C142" s="58">
        <v>100283</v>
      </c>
      <c r="D142" s="58">
        <v>1</v>
      </c>
      <c r="E142" s="60">
        <v>588</v>
      </c>
      <c r="F142" s="58">
        <v>0</v>
      </c>
      <c r="G142" s="58">
        <v>888</v>
      </c>
    </row>
    <row r="143" spans="1:11">
      <c r="A143" s="58">
        <v>120291</v>
      </c>
      <c r="B143" s="58" t="s">
        <v>5172</v>
      </c>
      <c r="C143" s="58">
        <v>100293</v>
      </c>
      <c r="D143" s="58">
        <v>1</v>
      </c>
      <c r="E143" s="60">
        <v>588</v>
      </c>
      <c r="F143" s="58">
        <v>0</v>
      </c>
      <c r="G143" s="58">
        <v>888</v>
      </c>
    </row>
    <row r="144" spans="1:11">
      <c r="A144" s="58">
        <v>120321</v>
      </c>
      <c r="B144" s="30" t="s">
        <v>431</v>
      </c>
      <c r="C144" s="30">
        <v>100321</v>
      </c>
      <c r="D144" s="58">
        <v>1</v>
      </c>
      <c r="E144" s="58">
        <v>888</v>
      </c>
      <c r="F144" s="58">
        <v>0</v>
      </c>
      <c r="G144" s="58">
        <v>1988</v>
      </c>
    </row>
    <row r="145" spans="1:7">
      <c r="A145" s="58">
        <v>120322</v>
      </c>
      <c r="B145" s="30" t="s">
        <v>431</v>
      </c>
      <c r="C145" s="30">
        <v>100322</v>
      </c>
      <c r="D145" s="58">
        <v>1</v>
      </c>
      <c r="E145" s="58">
        <v>1588</v>
      </c>
      <c r="F145" s="58">
        <v>0</v>
      </c>
      <c r="G145" s="58">
        <v>6888</v>
      </c>
    </row>
    <row r="146" spans="1:7">
      <c r="A146" s="58">
        <v>120323</v>
      </c>
      <c r="B146" s="30" t="s">
        <v>431</v>
      </c>
      <c r="C146" s="30">
        <v>100323</v>
      </c>
      <c r="D146" s="58">
        <v>1</v>
      </c>
      <c r="E146" s="58">
        <v>2888</v>
      </c>
      <c r="F146" s="58">
        <v>0</v>
      </c>
      <c r="G146" s="58">
        <v>15888</v>
      </c>
    </row>
    <row r="147" spans="1:7">
      <c r="A147" s="61">
        <v>120331</v>
      </c>
      <c r="B147" s="30" t="s">
        <v>436</v>
      </c>
      <c r="C147" s="30">
        <v>100331</v>
      </c>
      <c r="D147" s="58">
        <v>1</v>
      </c>
      <c r="E147" s="58">
        <v>888</v>
      </c>
      <c r="F147" s="58">
        <v>0</v>
      </c>
      <c r="G147" s="58">
        <v>1988</v>
      </c>
    </row>
    <row r="148" spans="1:7">
      <c r="A148" s="61">
        <v>120332</v>
      </c>
      <c r="B148" s="30" t="s">
        <v>436</v>
      </c>
      <c r="C148" s="30">
        <v>100332</v>
      </c>
      <c r="D148" s="58">
        <v>1</v>
      </c>
      <c r="E148" s="58">
        <v>1588</v>
      </c>
      <c r="F148" s="58">
        <v>0</v>
      </c>
      <c r="G148" s="58">
        <v>6888</v>
      </c>
    </row>
    <row r="149" spans="1:7">
      <c r="A149" s="61">
        <v>120333</v>
      </c>
      <c r="B149" s="30" t="s">
        <v>436</v>
      </c>
      <c r="C149" s="30">
        <v>100333</v>
      </c>
      <c r="D149" s="58">
        <v>1</v>
      </c>
      <c r="E149" s="58">
        <v>2888</v>
      </c>
      <c r="F149" s="58">
        <v>0</v>
      </c>
      <c r="G149" s="58">
        <v>15888</v>
      </c>
    </row>
    <row r="150" spans="1:7">
      <c r="A150" s="58">
        <v>120341</v>
      </c>
      <c r="B150" s="30" t="s">
        <v>442</v>
      </c>
      <c r="C150" s="30">
        <v>100341</v>
      </c>
      <c r="D150" s="58">
        <v>1</v>
      </c>
      <c r="E150" s="58">
        <v>888</v>
      </c>
      <c r="F150" s="58">
        <v>0</v>
      </c>
      <c r="G150" s="58">
        <v>1988</v>
      </c>
    </row>
    <row r="151" spans="1:7">
      <c r="A151" s="58">
        <v>120342</v>
      </c>
      <c r="B151" s="30" t="s">
        <v>442</v>
      </c>
      <c r="C151" s="30">
        <v>100342</v>
      </c>
      <c r="D151" s="58">
        <v>1</v>
      </c>
      <c r="E151" s="58">
        <v>1588</v>
      </c>
      <c r="F151" s="58">
        <v>0</v>
      </c>
      <c r="G151" s="58">
        <v>6888</v>
      </c>
    </row>
    <row r="152" spans="1:7">
      <c r="A152" s="58">
        <v>120343</v>
      </c>
      <c r="B152" s="30" t="s">
        <v>442</v>
      </c>
      <c r="C152" s="30">
        <v>100343</v>
      </c>
      <c r="D152" s="58">
        <v>1</v>
      </c>
      <c r="E152" s="58">
        <v>2888</v>
      </c>
      <c r="F152" s="58">
        <v>0</v>
      </c>
      <c r="G152" s="58">
        <v>15888</v>
      </c>
    </row>
    <row r="153" spans="1:7">
      <c r="A153" s="61">
        <v>120351</v>
      </c>
      <c r="B153" s="30" t="s">
        <v>447</v>
      </c>
      <c r="C153" s="30">
        <v>100351</v>
      </c>
      <c r="D153" s="58">
        <v>1</v>
      </c>
      <c r="E153" s="58">
        <v>888</v>
      </c>
      <c r="F153" s="58">
        <v>0</v>
      </c>
      <c r="G153" s="58">
        <v>1988</v>
      </c>
    </row>
    <row r="154" spans="1:7">
      <c r="A154" s="61">
        <v>120352</v>
      </c>
      <c r="B154" s="30" t="s">
        <v>447</v>
      </c>
      <c r="C154" s="30">
        <v>100352</v>
      </c>
      <c r="D154" s="58">
        <v>1</v>
      </c>
      <c r="E154" s="58">
        <v>1588</v>
      </c>
      <c r="F154" s="58">
        <v>0</v>
      </c>
      <c r="G154" s="58">
        <v>6888</v>
      </c>
    </row>
    <row r="155" spans="1:7">
      <c r="A155" s="61">
        <v>120353</v>
      </c>
      <c r="B155" s="30" t="s">
        <v>447</v>
      </c>
      <c r="C155" s="30">
        <v>100353</v>
      </c>
      <c r="D155" s="58">
        <v>1</v>
      </c>
      <c r="E155" s="58">
        <v>2888</v>
      </c>
      <c r="F155" s="58">
        <v>0</v>
      </c>
      <c r="G155" s="58">
        <v>15888</v>
      </c>
    </row>
    <row r="156" spans="1:7">
      <c r="A156" s="76">
        <v>120361</v>
      </c>
      <c r="B156" s="30" t="s">
        <v>454</v>
      </c>
      <c r="C156" s="30">
        <v>100361</v>
      </c>
      <c r="D156" s="58">
        <v>1</v>
      </c>
      <c r="E156" s="58">
        <v>888</v>
      </c>
      <c r="F156" s="58">
        <v>0</v>
      </c>
      <c r="G156" s="58">
        <v>1988</v>
      </c>
    </row>
    <row r="157" spans="1:7">
      <c r="A157" s="76">
        <v>120362</v>
      </c>
      <c r="B157" s="30" t="s">
        <v>454</v>
      </c>
      <c r="C157" s="30">
        <v>100362</v>
      </c>
      <c r="D157" s="58">
        <v>1</v>
      </c>
      <c r="E157" s="58">
        <v>1588</v>
      </c>
      <c r="F157" s="58">
        <v>0</v>
      </c>
      <c r="G157" s="58">
        <v>6888</v>
      </c>
    </row>
    <row r="158" spans="1:7">
      <c r="A158" s="76">
        <v>120363</v>
      </c>
      <c r="B158" s="30" t="s">
        <v>454</v>
      </c>
      <c r="C158" s="30">
        <v>100363</v>
      </c>
      <c r="D158" s="58">
        <v>1</v>
      </c>
      <c r="E158" s="58">
        <v>2888</v>
      </c>
      <c r="F158" s="58">
        <v>0</v>
      </c>
      <c r="G158" s="58">
        <v>15888</v>
      </c>
    </row>
    <row r="159" spans="1:7">
      <c r="A159" s="61">
        <v>120371</v>
      </c>
      <c r="B159" s="30" t="s">
        <v>459</v>
      </c>
      <c r="C159" s="30">
        <v>100371</v>
      </c>
      <c r="D159" s="58">
        <v>1</v>
      </c>
      <c r="E159" s="58">
        <v>888</v>
      </c>
      <c r="F159" s="58">
        <v>0</v>
      </c>
      <c r="G159" s="58">
        <v>1988</v>
      </c>
    </row>
    <row r="160" spans="1:7">
      <c r="A160" s="61">
        <v>120372</v>
      </c>
      <c r="B160" s="30" t="s">
        <v>459</v>
      </c>
      <c r="C160" s="30">
        <v>100372</v>
      </c>
      <c r="D160" s="58">
        <v>1</v>
      </c>
      <c r="E160" s="58">
        <v>1588</v>
      </c>
      <c r="F160" s="58">
        <v>0</v>
      </c>
      <c r="G160" s="58">
        <v>6888</v>
      </c>
    </row>
    <row r="161" spans="1:8">
      <c r="A161" s="61">
        <v>120373</v>
      </c>
      <c r="B161" s="30" t="s">
        <v>459</v>
      </c>
      <c r="C161" s="30">
        <v>100373</v>
      </c>
      <c r="D161" s="58">
        <v>1</v>
      </c>
      <c r="E161" s="58">
        <v>2888</v>
      </c>
      <c r="F161" s="58">
        <v>0</v>
      </c>
      <c r="G161" s="58">
        <v>15888</v>
      </c>
    </row>
    <row r="162" spans="1:8">
      <c r="A162" s="61">
        <v>120381</v>
      </c>
      <c r="B162" s="30" t="s">
        <v>464</v>
      </c>
      <c r="C162" s="30">
        <v>100381</v>
      </c>
      <c r="D162" s="58">
        <v>1</v>
      </c>
      <c r="E162" s="60">
        <v>588</v>
      </c>
      <c r="F162" s="58">
        <v>0</v>
      </c>
      <c r="G162" s="58">
        <v>888</v>
      </c>
    </row>
    <row r="163" spans="1:8">
      <c r="A163" s="61">
        <v>120382</v>
      </c>
      <c r="B163" s="30" t="s">
        <v>464</v>
      </c>
      <c r="C163" s="30">
        <v>100382</v>
      </c>
      <c r="D163" s="58">
        <v>1</v>
      </c>
      <c r="E163" s="60">
        <v>888</v>
      </c>
      <c r="F163" s="58">
        <v>0</v>
      </c>
      <c r="G163" s="58">
        <v>1988</v>
      </c>
    </row>
    <row r="164" spans="1:8">
      <c r="A164" s="61">
        <v>120391</v>
      </c>
      <c r="B164" s="30" t="s">
        <v>468</v>
      </c>
      <c r="C164" s="30">
        <v>100391</v>
      </c>
      <c r="D164" s="58">
        <v>1</v>
      </c>
      <c r="E164" s="58">
        <v>888</v>
      </c>
      <c r="F164" s="58">
        <v>0</v>
      </c>
      <c r="G164" s="58">
        <v>1988</v>
      </c>
    </row>
    <row r="165" spans="1:8">
      <c r="A165" s="61">
        <v>120392</v>
      </c>
      <c r="B165" s="30" t="s">
        <v>468</v>
      </c>
      <c r="C165" s="30">
        <v>100392</v>
      </c>
      <c r="D165" s="58">
        <v>1</v>
      </c>
      <c r="E165" s="58">
        <v>1588</v>
      </c>
      <c r="F165" s="58">
        <v>0</v>
      </c>
      <c r="G165" s="58">
        <v>6888</v>
      </c>
    </row>
    <row r="166" spans="1:8">
      <c r="A166" s="61">
        <v>120393</v>
      </c>
      <c r="B166" s="30" t="s">
        <v>468</v>
      </c>
      <c r="C166" s="30">
        <v>100393</v>
      </c>
      <c r="D166" s="58">
        <v>1</v>
      </c>
      <c r="E166" s="58">
        <v>2888</v>
      </c>
      <c r="F166" s="58">
        <v>0</v>
      </c>
      <c r="G166" s="58">
        <v>15888</v>
      </c>
    </row>
    <row r="167" spans="1:8">
      <c r="A167" s="58">
        <v>120401</v>
      </c>
      <c r="B167" s="30" t="s">
        <v>473</v>
      </c>
      <c r="C167" s="30">
        <v>100401</v>
      </c>
      <c r="D167" s="58">
        <v>1</v>
      </c>
      <c r="E167" s="58">
        <v>888</v>
      </c>
      <c r="F167" s="58">
        <v>0</v>
      </c>
      <c r="G167" s="58">
        <v>1988</v>
      </c>
      <c r="H167" s="58">
        <v>1</v>
      </c>
    </row>
    <row r="168" spans="1:8">
      <c r="A168" s="58">
        <v>120402</v>
      </c>
      <c r="B168" s="30" t="s">
        <v>473</v>
      </c>
      <c r="C168" s="30">
        <v>100402</v>
      </c>
      <c r="D168" s="58">
        <v>1</v>
      </c>
      <c r="E168" s="58">
        <v>1588</v>
      </c>
      <c r="F168" s="58">
        <v>0</v>
      </c>
      <c r="G168" s="58">
        <v>6888</v>
      </c>
      <c r="H168" s="58">
        <v>1</v>
      </c>
    </row>
    <row r="169" spans="1:8">
      <c r="A169" s="58">
        <v>120403</v>
      </c>
      <c r="B169" s="30" t="s">
        <v>473</v>
      </c>
      <c r="C169" s="30">
        <v>100403</v>
      </c>
      <c r="D169" s="58">
        <v>1</v>
      </c>
      <c r="E169" s="58">
        <v>2888</v>
      </c>
      <c r="F169" s="58">
        <v>0</v>
      </c>
      <c r="G169" s="58">
        <v>15888</v>
      </c>
      <c r="H169" s="58">
        <v>1</v>
      </c>
    </row>
    <row r="170" spans="1:8">
      <c r="A170" s="58">
        <v>120411</v>
      </c>
      <c r="B170" s="30" t="s">
        <v>478</v>
      </c>
      <c r="C170" s="30">
        <v>100411</v>
      </c>
      <c r="D170" s="58">
        <v>1</v>
      </c>
      <c r="E170" s="58">
        <v>888</v>
      </c>
      <c r="F170" s="58">
        <v>0</v>
      </c>
      <c r="G170" s="58">
        <v>1988</v>
      </c>
      <c r="H170" s="58">
        <v>1</v>
      </c>
    </row>
    <row r="171" spans="1:8">
      <c r="A171" s="58">
        <v>120412</v>
      </c>
      <c r="B171" s="30" t="s">
        <v>478</v>
      </c>
      <c r="C171" s="30">
        <v>100412</v>
      </c>
      <c r="D171" s="58">
        <v>1</v>
      </c>
      <c r="E171" s="58">
        <v>1588</v>
      </c>
      <c r="F171" s="58">
        <v>0</v>
      </c>
      <c r="G171" s="58">
        <v>6888</v>
      </c>
      <c r="H171" s="58">
        <v>1</v>
      </c>
    </row>
    <row r="172" spans="1:8">
      <c r="A172" s="58">
        <v>120413</v>
      </c>
      <c r="B172" s="30" t="s">
        <v>478</v>
      </c>
      <c r="C172" s="30">
        <v>100413</v>
      </c>
      <c r="D172" s="58">
        <v>1</v>
      </c>
      <c r="E172" s="58">
        <v>2888</v>
      </c>
      <c r="F172" s="58">
        <v>0</v>
      </c>
      <c r="G172" s="58">
        <v>15888</v>
      </c>
      <c r="H172" s="58">
        <v>1</v>
      </c>
    </row>
    <row r="173" spans="1:8">
      <c r="A173" s="58">
        <v>120421</v>
      </c>
      <c r="B173" s="30" t="s">
        <v>484</v>
      </c>
      <c r="C173" s="30">
        <v>100421</v>
      </c>
      <c r="D173" s="58">
        <v>1</v>
      </c>
      <c r="E173" s="58">
        <v>888</v>
      </c>
      <c r="F173" s="58">
        <v>0</v>
      </c>
      <c r="G173" s="58">
        <v>1988</v>
      </c>
      <c r="H173" s="58">
        <v>1</v>
      </c>
    </row>
    <row r="174" spans="1:8">
      <c r="A174" s="58">
        <v>120422</v>
      </c>
      <c r="B174" s="30" t="s">
        <v>484</v>
      </c>
      <c r="C174" s="30">
        <v>100422</v>
      </c>
      <c r="D174" s="58">
        <v>1</v>
      </c>
      <c r="E174" s="58">
        <v>1588</v>
      </c>
      <c r="F174" s="58">
        <v>0</v>
      </c>
      <c r="G174" s="58">
        <v>6888</v>
      </c>
      <c r="H174" s="58">
        <v>1</v>
      </c>
    </row>
    <row r="175" spans="1:8">
      <c r="A175" s="58">
        <v>120423</v>
      </c>
      <c r="B175" s="30" t="s">
        <v>484</v>
      </c>
      <c r="C175" s="30">
        <v>100423</v>
      </c>
      <c r="D175" s="58">
        <v>1</v>
      </c>
      <c r="E175" s="58">
        <v>2888</v>
      </c>
      <c r="F175" s="58">
        <v>0</v>
      </c>
      <c r="G175" s="58">
        <v>15888</v>
      </c>
      <c r="H175" s="58">
        <v>1</v>
      </c>
    </row>
    <row r="176" spans="1:8">
      <c r="A176" s="58">
        <v>120431</v>
      </c>
      <c r="B176" s="30" t="s">
        <v>489</v>
      </c>
      <c r="C176" s="30">
        <v>100431</v>
      </c>
      <c r="D176" s="58">
        <v>1</v>
      </c>
      <c r="E176" s="58">
        <v>888</v>
      </c>
      <c r="F176" s="58">
        <v>0</v>
      </c>
      <c r="G176" s="58">
        <v>1988</v>
      </c>
      <c r="H176" s="58">
        <v>1</v>
      </c>
    </row>
    <row r="177" spans="1:8">
      <c r="A177" s="58">
        <v>120432</v>
      </c>
      <c r="B177" s="30" t="s">
        <v>489</v>
      </c>
      <c r="C177" s="30">
        <v>100432</v>
      </c>
      <c r="D177" s="58">
        <v>1</v>
      </c>
      <c r="E177" s="58">
        <v>1588</v>
      </c>
      <c r="F177" s="58">
        <v>0</v>
      </c>
      <c r="G177" s="58">
        <v>6888</v>
      </c>
      <c r="H177" s="58">
        <v>1</v>
      </c>
    </row>
    <row r="178" spans="1:8">
      <c r="A178" s="58">
        <v>120433</v>
      </c>
      <c r="B178" s="30" t="s">
        <v>489</v>
      </c>
      <c r="C178" s="30">
        <v>100433</v>
      </c>
      <c r="D178" s="58">
        <v>1</v>
      </c>
      <c r="E178" s="58">
        <v>2888</v>
      </c>
      <c r="F178" s="58">
        <v>0</v>
      </c>
      <c r="G178" s="58">
        <v>15888</v>
      </c>
      <c r="H178" s="58">
        <v>1</v>
      </c>
    </row>
    <row r="179" spans="1:8">
      <c r="A179" s="58">
        <v>120441</v>
      </c>
      <c r="B179" s="30" t="s">
        <v>495</v>
      </c>
      <c r="C179" s="30">
        <v>100441</v>
      </c>
      <c r="D179" s="58">
        <v>1</v>
      </c>
      <c r="E179" s="58">
        <v>888</v>
      </c>
      <c r="F179" s="58">
        <v>0</v>
      </c>
      <c r="G179" s="58">
        <v>1988</v>
      </c>
      <c r="H179" s="58">
        <v>1</v>
      </c>
    </row>
    <row r="180" spans="1:8">
      <c r="A180" s="58">
        <v>120442</v>
      </c>
      <c r="B180" s="30" t="s">
        <v>495</v>
      </c>
      <c r="C180" s="30">
        <v>100442</v>
      </c>
      <c r="D180" s="58">
        <v>1</v>
      </c>
      <c r="E180" s="58">
        <v>1588</v>
      </c>
      <c r="F180" s="58">
        <v>0</v>
      </c>
      <c r="G180" s="58">
        <v>6888</v>
      </c>
      <c r="H180" s="58">
        <v>1</v>
      </c>
    </row>
    <row r="181" spans="1:8">
      <c r="A181" s="58">
        <v>120443</v>
      </c>
      <c r="B181" s="30" t="s">
        <v>495</v>
      </c>
      <c r="C181" s="30">
        <v>100443</v>
      </c>
      <c r="D181" s="58">
        <v>1</v>
      </c>
      <c r="E181" s="58">
        <v>2888</v>
      </c>
      <c r="F181" s="58">
        <v>0</v>
      </c>
      <c r="G181" s="58">
        <v>15888</v>
      </c>
      <c r="H181" s="58">
        <v>1</v>
      </c>
    </row>
    <row r="182" spans="1:8">
      <c r="A182" s="58">
        <v>120451</v>
      </c>
      <c r="B182" s="30" t="s">
        <v>501</v>
      </c>
      <c r="C182" s="30">
        <v>100451</v>
      </c>
      <c r="D182" s="58">
        <v>1</v>
      </c>
      <c r="E182" s="58">
        <v>888</v>
      </c>
      <c r="F182" s="58">
        <v>0</v>
      </c>
      <c r="G182" s="58">
        <v>1988</v>
      </c>
    </row>
    <row r="183" spans="1:8">
      <c r="A183" s="58">
        <v>120452</v>
      </c>
      <c r="B183" s="30" t="s">
        <v>501</v>
      </c>
      <c r="C183" s="30">
        <v>100452</v>
      </c>
      <c r="D183" s="58">
        <v>1</v>
      </c>
      <c r="E183" s="58">
        <v>1588</v>
      </c>
      <c r="F183" s="58">
        <v>0</v>
      </c>
      <c r="G183" s="58">
        <v>6888</v>
      </c>
    </row>
    <row r="184" spans="1:8">
      <c r="A184" s="58">
        <v>120453</v>
      </c>
      <c r="B184" s="30" t="s">
        <v>501</v>
      </c>
      <c r="C184" s="30">
        <v>100453</v>
      </c>
      <c r="D184" s="58">
        <v>1</v>
      </c>
      <c r="E184" s="58">
        <v>2888</v>
      </c>
      <c r="F184" s="58">
        <v>0</v>
      </c>
      <c r="G184" s="58">
        <v>15888</v>
      </c>
    </row>
    <row r="185" spans="1:8">
      <c r="A185" s="58">
        <v>120461</v>
      </c>
      <c r="B185" s="30" t="s">
        <v>506</v>
      </c>
      <c r="C185" s="30">
        <v>100461</v>
      </c>
      <c r="D185" s="58">
        <v>1</v>
      </c>
      <c r="E185" s="58">
        <v>888</v>
      </c>
      <c r="F185" s="58">
        <v>0</v>
      </c>
      <c r="G185" s="58">
        <v>1988</v>
      </c>
    </row>
    <row r="186" spans="1:8">
      <c r="A186" s="58">
        <v>120462</v>
      </c>
      <c r="B186" s="30" t="s">
        <v>506</v>
      </c>
      <c r="C186" s="30">
        <v>100462</v>
      </c>
      <c r="D186" s="58">
        <v>1</v>
      </c>
      <c r="E186" s="58">
        <v>1588</v>
      </c>
      <c r="F186" s="58">
        <v>0</v>
      </c>
      <c r="G186" s="58">
        <v>6888</v>
      </c>
    </row>
    <row r="187" spans="1:8">
      <c r="A187" s="58">
        <v>120463</v>
      </c>
      <c r="B187" s="30" t="s">
        <v>506</v>
      </c>
      <c r="C187" s="30">
        <v>100463</v>
      </c>
      <c r="D187" s="58">
        <v>1</v>
      </c>
      <c r="E187" s="58">
        <v>2888</v>
      </c>
      <c r="F187" s="58">
        <v>0</v>
      </c>
      <c r="G187" s="58">
        <v>15888</v>
      </c>
    </row>
    <row r="188" spans="1:8">
      <c r="A188" s="58">
        <v>120811</v>
      </c>
      <c r="B188" s="30" t="s">
        <v>571</v>
      </c>
      <c r="C188" s="30">
        <v>100811</v>
      </c>
      <c r="D188" s="58">
        <v>1</v>
      </c>
      <c r="E188" s="58">
        <v>888</v>
      </c>
      <c r="F188" s="58">
        <v>0</v>
      </c>
      <c r="G188" s="58">
        <v>1988</v>
      </c>
    </row>
    <row r="189" spans="1:8">
      <c r="A189" s="58">
        <v>120812</v>
      </c>
      <c r="B189" s="30" t="s">
        <v>571</v>
      </c>
      <c r="C189" s="30">
        <v>100812</v>
      </c>
      <c r="D189" s="58">
        <v>1</v>
      </c>
      <c r="E189" s="58">
        <v>1588</v>
      </c>
      <c r="F189" s="58">
        <v>0</v>
      </c>
      <c r="G189" s="58">
        <v>6888</v>
      </c>
    </row>
    <row r="190" spans="1:8">
      <c r="A190" s="58">
        <v>120813</v>
      </c>
      <c r="B190" s="30" t="s">
        <v>571</v>
      </c>
      <c r="C190" s="30">
        <v>100813</v>
      </c>
      <c r="D190" s="58">
        <v>1</v>
      </c>
      <c r="E190" s="58">
        <v>2888</v>
      </c>
      <c r="F190" s="58">
        <v>0</v>
      </c>
      <c r="G190" s="58">
        <v>15888</v>
      </c>
    </row>
    <row r="191" spans="1:8">
      <c r="A191" s="58">
        <v>120814</v>
      </c>
      <c r="B191" s="30" t="s">
        <v>571</v>
      </c>
      <c r="C191" s="30">
        <v>100814</v>
      </c>
      <c r="D191" s="58">
        <v>1</v>
      </c>
      <c r="E191" s="60">
        <v>588</v>
      </c>
      <c r="F191" s="58">
        <v>0</v>
      </c>
      <c r="G191" s="58">
        <v>888</v>
      </c>
    </row>
    <row r="192" spans="1:8">
      <c r="A192" s="58">
        <v>120831</v>
      </c>
      <c r="B192" s="1" t="s">
        <v>582</v>
      </c>
      <c r="C192" s="77">
        <v>100831</v>
      </c>
      <c r="D192" s="58">
        <v>1</v>
      </c>
      <c r="E192" s="60">
        <v>588</v>
      </c>
      <c r="F192" s="58">
        <v>0</v>
      </c>
      <c r="G192" s="58">
        <v>888</v>
      </c>
    </row>
    <row r="193" spans="1:7">
      <c r="A193" s="58">
        <v>120832</v>
      </c>
      <c r="B193" s="1" t="s">
        <v>582</v>
      </c>
      <c r="C193" s="77">
        <v>100832</v>
      </c>
      <c r="D193" s="58">
        <v>1</v>
      </c>
      <c r="E193" s="60">
        <v>888</v>
      </c>
      <c r="F193" s="58">
        <v>0</v>
      </c>
      <c r="G193" s="58">
        <v>1988</v>
      </c>
    </row>
    <row r="194" spans="1:7">
      <c r="A194" s="58">
        <v>120833</v>
      </c>
      <c r="B194" s="1" t="s">
        <v>582</v>
      </c>
      <c r="C194" s="77">
        <v>100833</v>
      </c>
      <c r="D194" s="58">
        <v>1</v>
      </c>
      <c r="E194" s="60">
        <v>1588</v>
      </c>
      <c r="F194" s="58">
        <v>0</v>
      </c>
      <c r="G194" s="58">
        <v>6888</v>
      </c>
    </row>
    <row r="195" spans="1:7">
      <c r="A195" s="58">
        <v>120834</v>
      </c>
      <c r="B195" s="1" t="s">
        <v>582</v>
      </c>
      <c r="C195" s="77">
        <v>100834</v>
      </c>
      <c r="D195" s="58">
        <v>1</v>
      </c>
      <c r="E195" s="60">
        <v>2888</v>
      </c>
      <c r="F195" s="58">
        <v>0</v>
      </c>
      <c r="G195" s="58">
        <v>15888</v>
      </c>
    </row>
    <row r="196" spans="1:7">
      <c r="A196" s="58">
        <v>120841</v>
      </c>
      <c r="B196" s="1" t="s">
        <v>587</v>
      </c>
      <c r="C196" s="77">
        <v>100841</v>
      </c>
      <c r="D196" s="58">
        <v>1</v>
      </c>
      <c r="E196" s="60">
        <v>588</v>
      </c>
      <c r="F196" s="58">
        <v>0</v>
      </c>
      <c r="G196" s="58">
        <v>888</v>
      </c>
    </row>
    <row r="197" spans="1:7">
      <c r="A197" s="58">
        <v>120842</v>
      </c>
      <c r="B197" s="1" t="s">
        <v>587</v>
      </c>
      <c r="C197" s="77">
        <v>100842</v>
      </c>
      <c r="D197" s="58">
        <v>1</v>
      </c>
      <c r="E197" s="60">
        <v>888</v>
      </c>
      <c r="F197" s="58">
        <v>0</v>
      </c>
      <c r="G197" s="58">
        <v>1988</v>
      </c>
    </row>
    <row r="198" spans="1:7">
      <c r="A198" s="58">
        <v>120843</v>
      </c>
      <c r="B198" s="1" t="s">
        <v>587</v>
      </c>
      <c r="C198" s="77">
        <v>100843</v>
      </c>
      <c r="D198" s="58">
        <v>1</v>
      </c>
      <c r="E198" s="60">
        <v>1588</v>
      </c>
      <c r="F198" s="58">
        <v>0</v>
      </c>
      <c r="G198" s="58">
        <v>6888</v>
      </c>
    </row>
    <row r="199" spans="1:7">
      <c r="A199" s="58">
        <v>120844</v>
      </c>
      <c r="B199" s="1" t="s">
        <v>587</v>
      </c>
      <c r="C199" s="77">
        <v>100844</v>
      </c>
      <c r="D199" s="58">
        <v>1</v>
      </c>
      <c r="E199" s="60">
        <v>2888</v>
      </c>
      <c r="F199" s="58">
        <v>0</v>
      </c>
      <c r="G199" s="58">
        <v>15888</v>
      </c>
    </row>
    <row r="200" spans="1:7">
      <c r="A200" s="58">
        <v>120861</v>
      </c>
      <c r="B200" s="1" t="s">
        <v>597</v>
      </c>
      <c r="C200" s="77">
        <v>100861</v>
      </c>
      <c r="D200" s="58">
        <v>1</v>
      </c>
      <c r="E200" s="60">
        <v>188</v>
      </c>
      <c r="F200" s="58">
        <v>0</v>
      </c>
      <c r="G200" s="58">
        <v>268</v>
      </c>
    </row>
    <row r="201" spans="1:7">
      <c r="A201" s="58">
        <v>120862</v>
      </c>
      <c r="B201" s="1" t="s">
        <v>597</v>
      </c>
      <c r="C201" s="77">
        <v>100862</v>
      </c>
      <c r="D201" s="58">
        <v>1</v>
      </c>
      <c r="E201" s="60">
        <v>588</v>
      </c>
      <c r="F201" s="58">
        <v>0</v>
      </c>
      <c r="G201" s="58">
        <v>888</v>
      </c>
    </row>
    <row r="202" spans="1:7">
      <c r="A202" s="58">
        <v>120863</v>
      </c>
      <c r="B202" s="1" t="s">
        <v>597</v>
      </c>
      <c r="C202" s="77">
        <v>100863</v>
      </c>
      <c r="D202" s="58">
        <v>1</v>
      </c>
      <c r="E202" s="60">
        <v>888</v>
      </c>
      <c r="F202" s="58">
        <v>0</v>
      </c>
      <c r="G202" s="58">
        <v>1988</v>
      </c>
    </row>
    <row r="203" spans="1:7">
      <c r="A203" s="58">
        <v>120872</v>
      </c>
      <c r="B203" s="1" t="s">
        <v>602</v>
      </c>
      <c r="C203" s="77">
        <v>100872</v>
      </c>
      <c r="D203" s="58">
        <v>1</v>
      </c>
      <c r="E203" s="60">
        <v>888</v>
      </c>
      <c r="F203" s="58">
        <v>0</v>
      </c>
      <c r="G203" s="58">
        <v>1988</v>
      </c>
    </row>
    <row r="204" spans="1:7">
      <c r="A204" s="58">
        <v>120873</v>
      </c>
      <c r="B204" s="1" t="s">
        <v>602</v>
      </c>
      <c r="C204" s="77">
        <v>100873</v>
      </c>
      <c r="D204" s="58">
        <v>1</v>
      </c>
      <c r="E204" s="60">
        <v>1588</v>
      </c>
      <c r="F204" s="58">
        <v>0</v>
      </c>
      <c r="G204" s="58">
        <v>6888</v>
      </c>
    </row>
    <row r="205" spans="1:7">
      <c r="A205" s="58">
        <v>120874</v>
      </c>
      <c r="B205" s="1" t="s">
        <v>602</v>
      </c>
      <c r="C205" s="77">
        <v>100874</v>
      </c>
      <c r="D205" s="58">
        <v>1</v>
      </c>
      <c r="E205" s="60">
        <v>2888</v>
      </c>
      <c r="F205" s="58">
        <v>0</v>
      </c>
      <c r="G205" s="58">
        <v>15888</v>
      </c>
    </row>
    <row r="206" spans="1:7">
      <c r="A206" s="58">
        <v>120881</v>
      </c>
      <c r="B206" s="1" t="s">
        <v>607</v>
      </c>
      <c r="C206" s="77">
        <v>110881</v>
      </c>
      <c r="D206" s="58">
        <v>1</v>
      </c>
      <c r="E206" s="60">
        <v>588</v>
      </c>
      <c r="F206" s="58">
        <v>0</v>
      </c>
      <c r="G206" s="58">
        <v>888</v>
      </c>
    </row>
    <row r="207" spans="1:7">
      <c r="A207" s="58">
        <v>120882</v>
      </c>
      <c r="B207" s="1" t="s">
        <v>607</v>
      </c>
      <c r="C207" s="77">
        <v>100882</v>
      </c>
      <c r="D207" s="58">
        <v>1</v>
      </c>
      <c r="E207" s="60">
        <v>888</v>
      </c>
      <c r="F207" s="58">
        <v>0</v>
      </c>
      <c r="G207" s="58">
        <v>1988</v>
      </c>
    </row>
    <row r="208" spans="1:7">
      <c r="A208" s="58">
        <v>120883</v>
      </c>
      <c r="B208" s="1" t="s">
        <v>607</v>
      </c>
      <c r="C208" s="77">
        <v>100883</v>
      </c>
      <c r="D208" s="58">
        <v>1</v>
      </c>
      <c r="E208" s="60">
        <v>1588</v>
      </c>
      <c r="F208" s="58">
        <v>0</v>
      </c>
      <c r="G208" s="58">
        <v>6888</v>
      </c>
    </row>
    <row r="209" spans="1:7">
      <c r="A209" s="58">
        <v>120884</v>
      </c>
      <c r="B209" s="1" t="s">
        <v>607</v>
      </c>
      <c r="C209" s="77">
        <v>100884</v>
      </c>
      <c r="D209" s="58">
        <v>1</v>
      </c>
      <c r="E209" s="60">
        <v>2888</v>
      </c>
      <c r="F209" s="58">
        <v>0</v>
      </c>
      <c r="G209" s="58">
        <v>15888</v>
      </c>
    </row>
    <row r="210" spans="1:7">
      <c r="A210" s="58">
        <v>120894</v>
      </c>
      <c r="B210" s="1" t="s">
        <v>613</v>
      </c>
      <c r="C210" s="77">
        <v>100894</v>
      </c>
      <c r="D210" s="58">
        <v>1</v>
      </c>
      <c r="E210" s="60">
        <v>2888</v>
      </c>
      <c r="F210" s="58">
        <v>0</v>
      </c>
      <c r="G210" s="58">
        <v>15888</v>
      </c>
    </row>
    <row r="211" spans="1:7">
      <c r="A211" s="58">
        <v>120912</v>
      </c>
      <c r="B211" s="1" t="s">
        <v>616</v>
      </c>
      <c r="C211" s="77">
        <v>100912</v>
      </c>
      <c r="D211" s="58">
        <v>1</v>
      </c>
      <c r="E211" s="60">
        <v>888</v>
      </c>
      <c r="F211" s="58">
        <v>0</v>
      </c>
      <c r="G211" s="58">
        <v>1988</v>
      </c>
    </row>
    <row r="212" spans="1:7">
      <c r="A212" s="58">
        <v>120913</v>
      </c>
      <c r="B212" s="1" t="s">
        <v>616</v>
      </c>
      <c r="C212" s="77">
        <v>100913</v>
      </c>
      <c r="D212" s="58">
        <v>1</v>
      </c>
      <c r="E212" s="60">
        <v>1588</v>
      </c>
      <c r="F212" s="58">
        <v>0</v>
      </c>
      <c r="G212" s="58">
        <v>6888</v>
      </c>
    </row>
    <row r="213" spans="1:7">
      <c r="A213" s="58">
        <v>120914</v>
      </c>
      <c r="B213" s="1" t="s">
        <v>616</v>
      </c>
      <c r="C213" s="77">
        <v>100914</v>
      </c>
      <c r="D213" s="58">
        <v>1</v>
      </c>
      <c r="E213" s="60">
        <v>2888</v>
      </c>
      <c r="F213" s="58">
        <v>0</v>
      </c>
      <c r="G213" s="58">
        <v>15888</v>
      </c>
    </row>
    <row r="214" spans="1:7">
      <c r="A214" s="58">
        <v>120922</v>
      </c>
      <c r="B214" s="1" t="s">
        <v>621</v>
      </c>
      <c r="C214" s="77">
        <v>100922</v>
      </c>
      <c r="D214" s="58">
        <v>1</v>
      </c>
      <c r="E214" s="60">
        <v>888</v>
      </c>
      <c r="F214" s="58">
        <v>0</v>
      </c>
      <c r="G214" s="58">
        <v>1988</v>
      </c>
    </row>
    <row r="215" spans="1:7">
      <c r="A215" s="58">
        <v>120923</v>
      </c>
      <c r="B215" s="1" t="s">
        <v>621</v>
      </c>
      <c r="C215" s="77">
        <v>100923</v>
      </c>
      <c r="D215" s="58">
        <v>1</v>
      </c>
      <c r="E215" s="60">
        <v>1588</v>
      </c>
      <c r="F215" s="58">
        <v>0</v>
      </c>
      <c r="G215" s="58">
        <v>6888</v>
      </c>
    </row>
    <row r="216" spans="1:7">
      <c r="A216" s="58">
        <v>120924</v>
      </c>
      <c r="B216" s="1" t="s">
        <v>621</v>
      </c>
      <c r="C216" s="77">
        <v>100924</v>
      </c>
      <c r="D216" s="58">
        <v>1</v>
      </c>
      <c r="E216" s="60">
        <v>2888</v>
      </c>
      <c r="F216" s="58">
        <v>0</v>
      </c>
      <c r="G216" s="58">
        <v>15888</v>
      </c>
    </row>
    <row r="217" spans="1:7">
      <c r="A217" s="58">
        <v>120932</v>
      </c>
      <c r="B217" s="1" t="s">
        <v>626</v>
      </c>
      <c r="C217" s="77">
        <v>100932</v>
      </c>
      <c r="D217" s="58">
        <v>1</v>
      </c>
      <c r="E217" s="60">
        <v>888</v>
      </c>
      <c r="F217" s="58">
        <v>0</v>
      </c>
      <c r="G217" s="58">
        <v>1988</v>
      </c>
    </row>
    <row r="218" spans="1:7">
      <c r="A218" s="58">
        <v>120933</v>
      </c>
      <c r="B218" s="1" t="s">
        <v>626</v>
      </c>
      <c r="C218" s="77">
        <v>100933</v>
      </c>
      <c r="D218" s="58">
        <v>1</v>
      </c>
      <c r="E218" s="60">
        <v>1588</v>
      </c>
      <c r="F218" s="58">
        <v>0</v>
      </c>
      <c r="G218" s="58">
        <v>6888</v>
      </c>
    </row>
    <row r="219" spans="1:7">
      <c r="A219" s="58">
        <v>120934</v>
      </c>
      <c r="B219" s="1" t="s">
        <v>626</v>
      </c>
      <c r="C219" s="77">
        <v>100934</v>
      </c>
      <c r="D219" s="58">
        <v>1</v>
      </c>
      <c r="E219" s="60">
        <v>2888</v>
      </c>
      <c r="F219" s="58">
        <v>0</v>
      </c>
      <c r="G219" s="58">
        <v>15888</v>
      </c>
    </row>
    <row r="220" spans="1:7">
      <c r="A220" s="58">
        <v>120942</v>
      </c>
      <c r="B220" s="1" t="s">
        <v>631</v>
      </c>
      <c r="C220" s="77">
        <v>100942</v>
      </c>
      <c r="D220" s="58">
        <v>1</v>
      </c>
      <c r="E220" s="60">
        <v>888</v>
      </c>
      <c r="F220" s="58">
        <v>0</v>
      </c>
      <c r="G220" s="58">
        <v>1988</v>
      </c>
    </row>
    <row r="221" spans="1:7">
      <c r="A221" s="58">
        <v>120943</v>
      </c>
      <c r="B221" s="1" t="s">
        <v>631</v>
      </c>
      <c r="C221" s="77">
        <v>100943</v>
      </c>
      <c r="D221" s="58">
        <v>1</v>
      </c>
      <c r="E221" s="60">
        <v>1588</v>
      </c>
      <c r="F221" s="58">
        <v>0</v>
      </c>
      <c r="G221" s="58">
        <v>6888</v>
      </c>
    </row>
    <row r="222" spans="1:7">
      <c r="A222" s="58">
        <v>120944</v>
      </c>
      <c r="B222" s="1" t="s">
        <v>631</v>
      </c>
      <c r="C222" s="77">
        <v>100944</v>
      </c>
      <c r="D222" s="58">
        <v>1</v>
      </c>
      <c r="E222" s="60">
        <v>2888</v>
      </c>
      <c r="F222" s="58">
        <v>0</v>
      </c>
      <c r="G222" s="58">
        <v>15888</v>
      </c>
    </row>
    <row r="223" spans="1:7">
      <c r="A223" s="58">
        <v>120952</v>
      </c>
      <c r="B223" s="1" t="s">
        <v>636</v>
      </c>
      <c r="C223" s="77">
        <v>100952</v>
      </c>
      <c r="D223" s="58">
        <v>1</v>
      </c>
      <c r="E223" s="60">
        <v>888</v>
      </c>
      <c r="F223" s="58">
        <v>0</v>
      </c>
      <c r="G223" s="58">
        <v>1988</v>
      </c>
    </row>
    <row r="224" spans="1:7">
      <c r="A224" s="58">
        <v>120953</v>
      </c>
      <c r="B224" s="1" t="s">
        <v>636</v>
      </c>
      <c r="C224" s="77">
        <v>100953</v>
      </c>
      <c r="D224" s="58">
        <v>1</v>
      </c>
      <c r="E224" s="60">
        <v>1588</v>
      </c>
      <c r="F224" s="58">
        <v>0</v>
      </c>
      <c r="G224" s="58">
        <v>6888</v>
      </c>
    </row>
    <row r="225" spans="1:7">
      <c r="A225" s="58">
        <v>120954</v>
      </c>
      <c r="B225" s="1" t="s">
        <v>636</v>
      </c>
      <c r="C225" s="77">
        <v>100954</v>
      </c>
      <c r="D225" s="58">
        <v>1</v>
      </c>
      <c r="E225" s="60">
        <v>2888</v>
      </c>
      <c r="F225" s="58">
        <v>0</v>
      </c>
      <c r="G225" s="58">
        <v>15888</v>
      </c>
    </row>
    <row r="226" spans="1:7">
      <c r="A226" s="58">
        <v>120962</v>
      </c>
      <c r="B226" s="1" t="s">
        <v>643</v>
      </c>
      <c r="C226" s="77">
        <v>100962</v>
      </c>
      <c r="D226" s="58">
        <v>1</v>
      </c>
      <c r="E226" s="60">
        <v>888</v>
      </c>
      <c r="F226" s="58">
        <v>0</v>
      </c>
      <c r="G226" s="58">
        <v>1988</v>
      </c>
    </row>
    <row r="227" spans="1:7">
      <c r="A227" s="58">
        <v>120963</v>
      </c>
      <c r="B227" s="1" t="s">
        <v>643</v>
      </c>
      <c r="C227" s="77">
        <v>100963</v>
      </c>
      <c r="D227" s="58">
        <v>1</v>
      </c>
      <c r="E227" s="60">
        <v>1588</v>
      </c>
      <c r="F227" s="58">
        <v>0</v>
      </c>
      <c r="G227" s="58">
        <v>6888</v>
      </c>
    </row>
    <row r="228" spans="1:7">
      <c r="A228" s="58">
        <v>120964</v>
      </c>
      <c r="B228" s="1" t="s">
        <v>643</v>
      </c>
      <c r="C228" s="77">
        <v>100964</v>
      </c>
      <c r="D228" s="58">
        <v>1</v>
      </c>
      <c r="E228" s="60">
        <v>2888</v>
      </c>
      <c r="F228" s="58">
        <v>0</v>
      </c>
      <c r="G228" s="58">
        <v>15888</v>
      </c>
    </row>
    <row r="229" spans="1:7">
      <c r="A229" s="58">
        <v>100255</v>
      </c>
      <c r="B229" s="1" t="s">
        <v>404</v>
      </c>
      <c r="C229" s="77">
        <v>100254</v>
      </c>
      <c r="D229" s="58">
        <v>1</v>
      </c>
      <c r="E229" s="60">
        <v>1588</v>
      </c>
      <c r="F229" s="58">
        <v>0</v>
      </c>
      <c r="G229" s="58">
        <v>6888</v>
      </c>
    </row>
    <row r="230" spans="1:7">
      <c r="A230" s="58">
        <v>470171</v>
      </c>
      <c r="B230" s="1" t="s">
        <v>355</v>
      </c>
      <c r="C230" s="77">
        <v>100471</v>
      </c>
      <c r="D230" s="58">
        <v>1</v>
      </c>
      <c r="E230" s="60">
        <v>888</v>
      </c>
      <c r="F230" s="58">
        <v>0</v>
      </c>
      <c r="G230" s="58">
        <v>1988</v>
      </c>
    </row>
    <row r="231" spans="1:7">
      <c r="A231" s="58">
        <v>101135</v>
      </c>
      <c r="B231" s="1" t="s">
        <v>762</v>
      </c>
      <c r="C231" s="77">
        <v>101134</v>
      </c>
      <c r="D231" s="58">
        <v>1</v>
      </c>
      <c r="E231" s="60">
        <v>2888</v>
      </c>
      <c r="F231" s="58">
        <v>0</v>
      </c>
      <c r="G231" s="58">
        <v>15888</v>
      </c>
    </row>
    <row r="232" spans="1:7">
      <c r="A232" s="58">
        <v>120982</v>
      </c>
      <c r="B232" s="1" t="s">
        <v>769</v>
      </c>
      <c r="C232" s="78">
        <v>101142</v>
      </c>
      <c r="D232" s="58">
        <v>1</v>
      </c>
      <c r="E232" s="60">
        <v>888</v>
      </c>
      <c r="F232" s="58">
        <v>0</v>
      </c>
      <c r="G232" s="58">
        <v>1988</v>
      </c>
    </row>
    <row r="233" spans="1:7">
      <c r="A233" s="58">
        <v>120983</v>
      </c>
      <c r="B233" s="1" t="s">
        <v>769</v>
      </c>
      <c r="C233" s="78">
        <v>101143</v>
      </c>
      <c r="D233" s="58">
        <v>1</v>
      </c>
      <c r="E233" s="60">
        <v>1588</v>
      </c>
      <c r="F233" s="58">
        <v>0</v>
      </c>
      <c r="G233" s="58">
        <v>6888</v>
      </c>
    </row>
    <row r="234" spans="1:7">
      <c r="A234" s="58">
        <v>120984</v>
      </c>
      <c r="B234" s="1" t="s">
        <v>769</v>
      </c>
      <c r="C234" s="78">
        <v>101144</v>
      </c>
      <c r="D234" s="58">
        <v>1</v>
      </c>
      <c r="E234" s="60">
        <v>2888</v>
      </c>
      <c r="F234" s="58">
        <v>0</v>
      </c>
      <c r="G234" s="58">
        <v>15888</v>
      </c>
    </row>
    <row r="235" spans="1:7">
      <c r="A235" s="58">
        <v>121072</v>
      </c>
      <c r="B235" s="1" t="s">
        <v>5697</v>
      </c>
      <c r="C235" s="78">
        <v>101072</v>
      </c>
      <c r="D235" s="58">
        <v>1</v>
      </c>
      <c r="E235" s="60">
        <v>888</v>
      </c>
      <c r="F235" s="58">
        <v>0</v>
      </c>
      <c r="G235" s="58">
        <v>1988</v>
      </c>
    </row>
    <row r="236" spans="1:7" s="69" customFormat="1">
      <c r="A236" s="69">
        <v>121342</v>
      </c>
      <c r="B236" s="79" t="s">
        <v>822</v>
      </c>
      <c r="C236" s="80">
        <v>101342</v>
      </c>
      <c r="D236" s="69">
        <v>1</v>
      </c>
      <c r="E236" s="81">
        <v>888</v>
      </c>
      <c r="F236" s="69">
        <v>0</v>
      </c>
      <c r="G236" s="69">
        <v>1988</v>
      </c>
    </row>
    <row r="237" spans="1:7" s="69" customFormat="1">
      <c r="A237" s="69">
        <v>121343</v>
      </c>
      <c r="B237" s="79" t="s">
        <v>822</v>
      </c>
      <c r="C237" s="80">
        <v>101343</v>
      </c>
      <c r="D237" s="69">
        <v>1</v>
      </c>
      <c r="E237" s="81">
        <v>1588</v>
      </c>
      <c r="F237" s="69">
        <v>0</v>
      </c>
      <c r="G237" s="69">
        <v>6888</v>
      </c>
    </row>
    <row r="238" spans="1:7" s="69" customFormat="1">
      <c r="A238" s="69">
        <v>121344</v>
      </c>
      <c r="B238" s="79" t="s">
        <v>822</v>
      </c>
      <c r="C238" s="80">
        <v>101344</v>
      </c>
      <c r="D238" s="69">
        <v>1</v>
      </c>
      <c r="E238" s="81">
        <v>2888</v>
      </c>
      <c r="F238" s="69">
        <v>0</v>
      </c>
      <c r="G238" s="69">
        <v>15888</v>
      </c>
    </row>
    <row r="239" spans="1:7" s="69" customFormat="1">
      <c r="A239" s="69">
        <v>121451</v>
      </c>
      <c r="B239" s="79"/>
      <c r="C239" s="80">
        <v>101451</v>
      </c>
      <c r="D239" s="69">
        <v>1</v>
      </c>
      <c r="E239" s="81">
        <v>388</v>
      </c>
      <c r="F239" s="69">
        <v>0</v>
      </c>
      <c r="G239" s="69">
        <v>888</v>
      </c>
    </row>
    <row r="240" spans="1:7">
      <c r="A240" s="69">
        <v>121452</v>
      </c>
      <c r="B240" s="82" t="s">
        <v>5143</v>
      </c>
      <c r="C240" s="83">
        <v>101452</v>
      </c>
      <c r="D240" s="58">
        <v>1</v>
      </c>
      <c r="E240" s="60">
        <v>888</v>
      </c>
      <c r="F240" s="58">
        <v>0</v>
      </c>
      <c r="G240" s="58">
        <v>1988</v>
      </c>
    </row>
    <row r="241" spans="1:7">
      <c r="A241" s="69">
        <v>121453</v>
      </c>
      <c r="B241" s="82" t="s">
        <v>5143</v>
      </c>
      <c r="C241" s="83">
        <v>101453</v>
      </c>
      <c r="D241" s="58">
        <v>1</v>
      </c>
      <c r="E241" s="60">
        <v>1588</v>
      </c>
      <c r="F241" s="58">
        <v>0</v>
      </c>
      <c r="G241" s="58">
        <v>6888</v>
      </c>
    </row>
    <row r="242" spans="1:7">
      <c r="A242" s="69">
        <v>121454</v>
      </c>
      <c r="B242" s="82" t="s">
        <v>5143</v>
      </c>
      <c r="C242" s="83">
        <v>101454</v>
      </c>
      <c r="D242" s="58">
        <v>1</v>
      </c>
      <c r="E242" s="60">
        <v>2888</v>
      </c>
      <c r="F242" s="58">
        <v>0</v>
      </c>
      <c r="G242" s="58">
        <v>15888</v>
      </c>
    </row>
    <row r="243" spans="1:7">
      <c r="A243" s="69">
        <v>121462</v>
      </c>
      <c r="B243" s="82" t="s">
        <v>5588</v>
      </c>
      <c r="C243" s="83">
        <v>101462</v>
      </c>
      <c r="D243" s="58">
        <v>1</v>
      </c>
      <c r="E243" s="60">
        <v>888</v>
      </c>
      <c r="F243" s="58">
        <v>0</v>
      </c>
      <c r="G243" s="58">
        <v>1988</v>
      </c>
    </row>
    <row r="244" spans="1:7">
      <c r="A244" s="58">
        <v>140012</v>
      </c>
      <c r="B244" t="s">
        <v>284</v>
      </c>
      <c r="C244" s="30">
        <v>100012</v>
      </c>
      <c r="D244" s="58">
        <v>1</v>
      </c>
      <c r="E244" s="58">
        <v>888</v>
      </c>
      <c r="F244" s="58">
        <v>0</v>
      </c>
      <c r="G244" s="58">
        <v>1988</v>
      </c>
    </row>
    <row r="245" spans="1:7">
      <c r="A245" s="58">
        <v>140013</v>
      </c>
      <c r="B245" t="s">
        <v>284</v>
      </c>
      <c r="C245" s="30">
        <v>100013</v>
      </c>
      <c r="D245" s="58">
        <v>1</v>
      </c>
      <c r="E245" s="58">
        <v>1588</v>
      </c>
      <c r="F245" s="58">
        <v>0</v>
      </c>
      <c r="G245" s="58">
        <v>6888</v>
      </c>
    </row>
    <row r="246" spans="1:7">
      <c r="A246" s="58">
        <v>140014</v>
      </c>
      <c r="B246" t="s">
        <v>284</v>
      </c>
      <c r="C246" s="30">
        <v>100014</v>
      </c>
      <c r="D246" s="58">
        <v>1</v>
      </c>
      <c r="E246" s="58">
        <v>2888</v>
      </c>
      <c r="F246" s="58">
        <v>0</v>
      </c>
      <c r="G246" s="58">
        <v>15888</v>
      </c>
    </row>
    <row r="247" spans="1:7">
      <c r="A247" s="58">
        <v>140022</v>
      </c>
      <c r="B247" t="s">
        <v>291</v>
      </c>
      <c r="C247" s="30">
        <v>100022</v>
      </c>
      <c r="D247" s="58">
        <v>1</v>
      </c>
      <c r="E247" s="60">
        <v>1588</v>
      </c>
      <c r="F247" s="58">
        <v>0</v>
      </c>
      <c r="G247" s="58">
        <v>6888</v>
      </c>
    </row>
    <row r="248" spans="1:7">
      <c r="A248" s="58">
        <v>140023</v>
      </c>
      <c r="B248" t="s">
        <v>291</v>
      </c>
      <c r="C248" s="30">
        <v>100023</v>
      </c>
      <c r="D248" s="58">
        <v>1</v>
      </c>
      <c r="E248" s="60">
        <v>2888</v>
      </c>
      <c r="F248" s="58">
        <v>0</v>
      </c>
      <c r="G248" s="58">
        <v>15888</v>
      </c>
    </row>
    <row r="249" spans="1:7">
      <c r="A249" s="58">
        <v>140042</v>
      </c>
      <c r="B249" t="s">
        <v>301</v>
      </c>
      <c r="C249" s="30">
        <v>100042</v>
      </c>
      <c r="D249" s="58">
        <v>1</v>
      </c>
      <c r="E249" s="60">
        <v>888</v>
      </c>
      <c r="F249" s="58">
        <v>0</v>
      </c>
      <c r="G249" s="58">
        <v>1988</v>
      </c>
    </row>
    <row r="250" spans="1:7">
      <c r="A250" s="58">
        <v>140043</v>
      </c>
      <c r="B250" t="s">
        <v>301</v>
      </c>
      <c r="C250" s="30">
        <v>100043</v>
      </c>
      <c r="D250" s="58">
        <v>1</v>
      </c>
      <c r="E250" s="60">
        <v>1588</v>
      </c>
      <c r="F250" s="58">
        <v>0</v>
      </c>
      <c r="G250" s="58">
        <v>6888</v>
      </c>
    </row>
    <row r="251" spans="1:7">
      <c r="A251" s="58">
        <v>140044</v>
      </c>
      <c r="B251" t="s">
        <v>301</v>
      </c>
      <c r="C251" s="30">
        <v>100044</v>
      </c>
      <c r="D251" s="58">
        <v>1</v>
      </c>
      <c r="E251" s="60">
        <v>2888</v>
      </c>
      <c r="F251" s="58">
        <v>0</v>
      </c>
      <c r="G251" s="58">
        <v>15888</v>
      </c>
    </row>
    <row r="252" spans="1:7">
      <c r="A252" s="58">
        <v>140052</v>
      </c>
      <c r="B252" t="s">
        <v>308</v>
      </c>
      <c r="C252" s="30">
        <v>100052</v>
      </c>
      <c r="D252" s="58">
        <v>1</v>
      </c>
      <c r="E252" s="60">
        <v>1588</v>
      </c>
      <c r="F252" s="58">
        <v>0</v>
      </c>
      <c r="G252" s="58">
        <v>6888</v>
      </c>
    </row>
    <row r="253" spans="1:7">
      <c r="A253" s="58">
        <v>140053</v>
      </c>
      <c r="B253" t="s">
        <v>308</v>
      </c>
      <c r="C253" s="30">
        <v>100053</v>
      </c>
      <c r="D253" s="58">
        <v>1</v>
      </c>
      <c r="E253" s="60">
        <v>2888</v>
      </c>
      <c r="F253" s="58">
        <v>0</v>
      </c>
      <c r="G253" s="58">
        <v>15888</v>
      </c>
    </row>
    <row r="254" spans="1:7">
      <c r="A254" s="58">
        <v>140062</v>
      </c>
      <c r="B254" t="s">
        <v>314</v>
      </c>
      <c r="C254" s="30">
        <v>100062</v>
      </c>
      <c r="D254" s="58">
        <v>1</v>
      </c>
      <c r="E254" s="60">
        <v>888</v>
      </c>
      <c r="F254" s="58">
        <v>0</v>
      </c>
      <c r="G254" s="58">
        <v>1988</v>
      </c>
    </row>
    <row r="255" spans="1:7">
      <c r="A255" s="58">
        <v>140063</v>
      </c>
      <c r="B255" t="s">
        <v>314</v>
      </c>
      <c r="C255" s="30">
        <v>100063</v>
      </c>
      <c r="D255" s="58">
        <v>1</v>
      </c>
      <c r="E255" s="60">
        <v>1588</v>
      </c>
      <c r="F255" s="58">
        <v>0</v>
      </c>
      <c r="G255" s="58">
        <v>6888</v>
      </c>
    </row>
    <row r="256" spans="1:7">
      <c r="A256" s="58">
        <v>140071</v>
      </c>
      <c r="B256" t="s">
        <v>319</v>
      </c>
      <c r="C256" s="30">
        <v>100071</v>
      </c>
      <c r="D256" s="58">
        <v>1</v>
      </c>
      <c r="E256" s="60">
        <v>2888</v>
      </c>
      <c r="F256" s="58">
        <v>0</v>
      </c>
      <c r="G256" s="58">
        <v>15888</v>
      </c>
    </row>
    <row r="257" spans="1:7">
      <c r="A257" s="58">
        <v>140072</v>
      </c>
      <c r="B257" t="s">
        <v>319</v>
      </c>
      <c r="C257" s="30">
        <v>100072</v>
      </c>
      <c r="D257" s="58">
        <v>1</v>
      </c>
      <c r="E257" s="60">
        <v>1588</v>
      </c>
      <c r="F257" s="58">
        <v>0</v>
      </c>
      <c r="G257" s="58">
        <v>6888</v>
      </c>
    </row>
    <row r="258" spans="1:7">
      <c r="A258" s="58">
        <v>140073</v>
      </c>
      <c r="B258" t="s">
        <v>319</v>
      </c>
      <c r="C258" s="30">
        <v>100073</v>
      </c>
      <c r="D258" s="58">
        <v>1</v>
      </c>
      <c r="E258" s="60">
        <v>2888</v>
      </c>
      <c r="F258" s="58">
        <v>0</v>
      </c>
      <c r="G258" s="58">
        <v>15888</v>
      </c>
    </row>
    <row r="259" spans="1:7">
      <c r="A259" s="58">
        <v>140081</v>
      </c>
      <c r="B259" t="s">
        <v>324</v>
      </c>
      <c r="C259" s="30">
        <v>100081</v>
      </c>
      <c r="D259" s="58">
        <v>1</v>
      </c>
      <c r="E259" s="60">
        <v>888</v>
      </c>
      <c r="F259" s="58">
        <v>0</v>
      </c>
      <c r="G259" s="58">
        <v>1988</v>
      </c>
    </row>
    <row r="260" spans="1:7">
      <c r="A260" s="58">
        <v>140082</v>
      </c>
      <c r="B260" t="s">
        <v>324</v>
      </c>
      <c r="C260" s="30">
        <v>100082</v>
      </c>
      <c r="D260" s="58">
        <v>1</v>
      </c>
      <c r="E260" s="60">
        <v>1588</v>
      </c>
      <c r="F260" s="58">
        <v>0</v>
      </c>
      <c r="G260" s="58">
        <v>6888</v>
      </c>
    </row>
    <row r="261" spans="1:7">
      <c r="A261" s="58">
        <v>140083</v>
      </c>
      <c r="B261" t="s">
        <v>324</v>
      </c>
      <c r="C261" s="30">
        <v>100083</v>
      </c>
      <c r="D261" s="58">
        <v>1</v>
      </c>
      <c r="E261" s="60">
        <v>2888</v>
      </c>
      <c r="F261" s="58">
        <v>0</v>
      </c>
      <c r="G261" s="58">
        <v>15888</v>
      </c>
    </row>
    <row r="262" spans="1:7">
      <c r="A262" s="58">
        <v>140091</v>
      </c>
      <c r="B262" t="s">
        <v>329</v>
      </c>
      <c r="C262" s="30">
        <v>100091</v>
      </c>
      <c r="D262" s="58">
        <v>1</v>
      </c>
      <c r="E262" s="60">
        <v>888</v>
      </c>
      <c r="F262" s="58">
        <v>0</v>
      </c>
      <c r="G262" s="58">
        <v>1988</v>
      </c>
    </row>
    <row r="263" spans="1:7">
      <c r="A263" s="58">
        <v>140092</v>
      </c>
      <c r="B263" t="s">
        <v>329</v>
      </c>
      <c r="C263" s="30">
        <v>100092</v>
      </c>
      <c r="D263" s="58">
        <v>1</v>
      </c>
      <c r="E263" s="60">
        <v>1588</v>
      </c>
      <c r="F263" s="58">
        <v>0</v>
      </c>
      <c r="G263" s="58">
        <v>6888</v>
      </c>
    </row>
    <row r="264" spans="1:7">
      <c r="A264" s="58">
        <v>140093</v>
      </c>
      <c r="B264" t="s">
        <v>329</v>
      </c>
      <c r="C264" s="30">
        <v>100093</v>
      </c>
      <c r="D264" s="58">
        <v>1</v>
      </c>
      <c r="E264" s="60">
        <v>2888</v>
      </c>
      <c r="F264" s="58">
        <v>0</v>
      </c>
      <c r="G264" s="58">
        <v>15888</v>
      </c>
    </row>
    <row r="265" spans="1:7">
      <c r="A265" s="58">
        <v>140101</v>
      </c>
      <c r="B265" t="s">
        <v>334</v>
      </c>
      <c r="C265" s="30">
        <v>100101</v>
      </c>
      <c r="D265" s="58">
        <v>1</v>
      </c>
      <c r="E265" s="60">
        <v>888</v>
      </c>
      <c r="F265" s="58">
        <v>0</v>
      </c>
      <c r="G265" s="58">
        <v>1988</v>
      </c>
    </row>
    <row r="266" spans="1:7">
      <c r="A266" s="58">
        <v>140102</v>
      </c>
      <c r="B266" t="s">
        <v>334</v>
      </c>
      <c r="C266" s="30">
        <v>100102</v>
      </c>
      <c r="D266" s="58">
        <v>1</v>
      </c>
      <c r="E266" s="60">
        <v>1588</v>
      </c>
      <c r="F266" s="58">
        <v>0</v>
      </c>
      <c r="G266" s="58">
        <v>6888</v>
      </c>
    </row>
    <row r="267" spans="1:7">
      <c r="A267" s="58">
        <v>140103</v>
      </c>
      <c r="B267" t="s">
        <v>334</v>
      </c>
      <c r="C267" s="30">
        <v>100103</v>
      </c>
      <c r="D267" s="58">
        <v>1</v>
      </c>
      <c r="E267" s="60">
        <v>2888</v>
      </c>
      <c r="F267" s="58">
        <v>0</v>
      </c>
      <c r="G267" s="58">
        <v>15888</v>
      </c>
    </row>
    <row r="268" spans="1:7">
      <c r="A268" s="58">
        <v>140111</v>
      </c>
      <c r="B268" t="s">
        <v>339</v>
      </c>
      <c r="C268" s="30">
        <v>100111</v>
      </c>
      <c r="D268" s="58">
        <v>1</v>
      </c>
      <c r="E268" s="60">
        <v>1588</v>
      </c>
      <c r="F268" s="58">
        <v>0</v>
      </c>
      <c r="G268" s="58">
        <v>6888</v>
      </c>
    </row>
    <row r="269" spans="1:7">
      <c r="A269" s="58">
        <v>140113</v>
      </c>
      <c r="B269" t="s">
        <v>339</v>
      </c>
      <c r="C269" s="30">
        <v>100113</v>
      </c>
      <c r="D269" s="58">
        <v>1</v>
      </c>
      <c r="E269" s="60">
        <v>2888</v>
      </c>
      <c r="F269" s="58">
        <v>0</v>
      </c>
      <c r="G269" s="58">
        <v>15888</v>
      </c>
    </row>
    <row r="270" spans="1:7">
      <c r="A270" s="58">
        <v>140114</v>
      </c>
      <c r="B270" t="s">
        <v>339</v>
      </c>
      <c r="C270" s="30">
        <v>100114</v>
      </c>
      <c r="D270" s="58">
        <v>1</v>
      </c>
      <c r="E270" s="60">
        <v>888</v>
      </c>
      <c r="F270" s="58">
        <v>0</v>
      </c>
      <c r="G270" s="58">
        <v>1988</v>
      </c>
    </row>
    <row r="271" spans="1:7">
      <c r="A271" s="58">
        <v>140121</v>
      </c>
      <c r="B271" t="s">
        <v>344</v>
      </c>
      <c r="C271" s="30">
        <v>100121</v>
      </c>
      <c r="D271" s="58">
        <v>1</v>
      </c>
      <c r="E271" s="60">
        <v>888</v>
      </c>
      <c r="F271" s="58">
        <v>0</v>
      </c>
      <c r="G271" s="58">
        <v>1988</v>
      </c>
    </row>
    <row r="272" spans="1:7">
      <c r="A272" s="58">
        <v>140122</v>
      </c>
      <c r="B272" t="s">
        <v>344</v>
      </c>
      <c r="C272" s="30">
        <v>100122</v>
      </c>
      <c r="D272" s="58">
        <v>1</v>
      </c>
      <c r="E272" s="60">
        <v>1588</v>
      </c>
      <c r="F272" s="58">
        <v>0</v>
      </c>
      <c r="G272" s="58">
        <v>6888</v>
      </c>
    </row>
    <row r="273" spans="1:7">
      <c r="A273" s="58">
        <v>140123</v>
      </c>
      <c r="B273" t="s">
        <v>344</v>
      </c>
      <c r="C273" s="30">
        <v>100123</v>
      </c>
      <c r="D273" s="58">
        <v>1</v>
      </c>
      <c r="E273" s="60">
        <v>2888</v>
      </c>
      <c r="F273" s="58">
        <v>0</v>
      </c>
      <c r="G273" s="58">
        <v>15888</v>
      </c>
    </row>
    <row r="274" spans="1:7">
      <c r="A274" s="58">
        <v>140131</v>
      </c>
      <c r="B274" t="s">
        <v>350</v>
      </c>
      <c r="C274" s="30">
        <v>100131</v>
      </c>
      <c r="D274" s="58">
        <v>1</v>
      </c>
      <c r="E274" s="60">
        <v>888</v>
      </c>
      <c r="F274" s="58">
        <v>0</v>
      </c>
      <c r="G274" s="58">
        <v>1988</v>
      </c>
    </row>
    <row r="275" spans="1:7">
      <c r="A275" s="58">
        <v>140132</v>
      </c>
      <c r="B275" t="s">
        <v>350</v>
      </c>
      <c r="C275" s="30">
        <v>100132</v>
      </c>
      <c r="D275" s="58">
        <v>1</v>
      </c>
      <c r="E275" s="60">
        <v>1588</v>
      </c>
      <c r="F275" s="58">
        <v>0</v>
      </c>
      <c r="G275" s="58">
        <v>6888</v>
      </c>
    </row>
    <row r="276" spans="1:7">
      <c r="A276" s="58">
        <v>140133</v>
      </c>
      <c r="B276" t="s">
        <v>350</v>
      </c>
      <c r="C276" s="30">
        <v>100133</v>
      </c>
      <c r="D276" s="58">
        <v>1</v>
      </c>
      <c r="E276" s="60">
        <v>2888</v>
      </c>
      <c r="F276" s="58">
        <v>0</v>
      </c>
      <c r="G276" s="58">
        <v>15888</v>
      </c>
    </row>
    <row r="277" spans="1:7">
      <c r="A277" s="58">
        <v>140141</v>
      </c>
      <c r="B277" t="s">
        <v>355</v>
      </c>
      <c r="C277" s="30">
        <v>100141</v>
      </c>
      <c r="D277" s="58">
        <v>1</v>
      </c>
      <c r="E277" s="60">
        <v>888</v>
      </c>
      <c r="F277" s="58">
        <v>0</v>
      </c>
      <c r="G277" s="58">
        <v>1988</v>
      </c>
    </row>
    <row r="278" spans="1:7">
      <c r="A278" s="58">
        <v>140142</v>
      </c>
      <c r="B278" t="s">
        <v>355</v>
      </c>
      <c r="C278" s="30">
        <v>100142</v>
      </c>
      <c r="D278" s="58">
        <v>1</v>
      </c>
      <c r="E278" s="60">
        <v>1588</v>
      </c>
      <c r="F278" s="58">
        <v>0</v>
      </c>
      <c r="G278" s="58">
        <v>6888</v>
      </c>
    </row>
    <row r="279" spans="1:7">
      <c r="A279" s="58">
        <v>140143</v>
      </c>
      <c r="B279" t="s">
        <v>355</v>
      </c>
      <c r="C279" s="30">
        <v>100143</v>
      </c>
      <c r="D279" s="58">
        <v>1</v>
      </c>
      <c r="E279" s="60">
        <v>2888</v>
      </c>
      <c r="F279" s="58">
        <v>0</v>
      </c>
      <c r="G279" s="58">
        <v>15888</v>
      </c>
    </row>
    <row r="280" spans="1:7">
      <c r="A280" s="58">
        <v>140162</v>
      </c>
      <c r="B280" t="s">
        <v>365</v>
      </c>
      <c r="C280" s="30">
        <v>100162</v>
      </c>
      <c r="D280" s="58">
        <v>1</v>
      </c>
      <c r="E280" s="60">
        <v>888</v>
      </c>
      <c r="F280" s="58">
        <v>0</v>
      </c>
      <c r="G280" s="58">
        <v>1988</v>
      </c>
    </row>
    <row r="281" spans="1:7">
      <c r="A281" s="58">
        <v>140173</v>
      </c>
      <c r="B281" t="s">
        <v>369</v>
      </c>
      <c r="C281" s="30">
        <v>100173</v>
      </c>
      <c r="D281" s="58">
        <v>1</v>
      </c>
      <c r="E281" s="60">
        <v>888</v>
      </c>
      <c r="F281" s="58">
        <v>0</v>
      </c>
      <c r="G281" s="58">
        <v>1988</v>
      </c>
    </row>
    <row r="282" spans="1:7">
      <c r="A282" s="58">
        <v>140174</v>
      </c>
      <c r="B282" t="s">
        <v>369</v>
      </c>
      <c r="C282" s="30">
        <v>100174</v>
      </c>
      <c r="D282" s="58">
        <v>1</v>
      </c>
      <c r="E282" s="60">
        <v>1588</v>
      </c>
      <c r="F282" s="58">
        <v>0</v>
      </c>
      <c r="G282" s="58">
        <v>6888</v>
      </c>
    </row>
    <row r="283" spans="1:7">
      <c r="A283" s="58">
        <v>140175</v>
      </c>
      <c r="B283" t="s">
        <v>369</v>
      </c>
      <c r="C283" s="30">
        <v>100175</v>
      </c>
      <c r="D283" s="58">
        <v>1</v>
      </c>
      <c r="E283" s="60">
        <v>2888</v>
      </c>
      <c r="F283" s="58">
        <v>0</v>
      </c>
      <c r="G283" s="58">
        <v>15888</v>
      </c>
    </row>
    <row r="284" spans="1:7">
      <c r="A284" s="58">
        <v>140181</v>
      </c>
      <c r="B284" t="s">
        <v>376</v>
      </c>
      <c r="C284" s="30">
        <v>100181</v>
      </c>
      <c r="D284" s="58">
        <v>1</v>
      </c>
      <c r="E284" s="60">
        <v>1588</v>
      </c>
      <c r="F284" s="58">
        <v>0</v>
      </c>
      <c r="G284" s="58">
        <v>6888</v>
      </c>
    </row>
    <row r="285" spans="1:7">
      <c r="A285" s="58">
        <v>140193</v>
      </c>
      <c r="B285" t="s">
        <v>379</v>
      </c>
      <c r="C285" s="30">
        <v>100193</v>
      </c>
      <c r="D285" s="58">
        <v>1</v>
      </c>
      <c r="E285" s="60">
        <v>888</v>
      </c>
      <c r="F285" s="58">
        <v>0</v>
      </c>
      <c r="G285" s="58">
        <v>1988</v>
      </c>
    </row>
    <row r="286" spans="1:7">
      <c r="A286" s="58">
        <v>140194</v>
      </c>
      <c r="B286" t="s">
        <v>379</v>
      </c>
      <c r="C286" s="30">
        <v>100194</v>
      </c>
      <c r="D286" s="58">
        <v>1</v>
      </c>
      <c r="E286" s="60">
        <v>1588</v>
      </c>
      <c r="F286" s="58">
        <v>0</v>
      </c>
      <c r="G286" s="58">
        <v>6888</v>
      </c>
    </row>
    <row r="287" spans="1:7">
      <c r="A287" s="58">
        <v>140195</v>
      </c>
      <c r="B287" t="s">
        <v>379</v>
      </c>
      <c r="C287" s="30">
        <v>100195</v>
      </c>
      <c r="D287" s="58">
        <v>1</v>
      </c>
      <c r="E287" s="60">
        <v>2888</v>
      </c>
      <c r="F287" s="58">
        <v>0</v>
      </c>
      <c r="G287" s="58">
        <v>15888</v>
      </c>
    </row>
    <row r="288" spans="1:7">
      <c r="A288" s="58">
        <v>140201</v>
      </c>
      <c r="B288" t="s">
        <v>386</v>
      </c>
      <c r="C288" s="30">
        <v>100201</v>
      </c>
      <c r="D288" s="58">
        <v>1</v>
      </c>
      <c r="E288" s="60">
        <v>888</v>
      </c>
      <c r="F288" s="58">
        <v>0</v>
      </c>
      <c r="G288" s="58">
        <v>1988</v>
      </c>
    </row>
    <row r="289" spans="1:7">
      <c r="A289" s="58">
        <v>140202</v>
      </c>
      <c r="B289" t="s">
        <v>386</v>
      </c>
      <c r="C289" s="30">
        <v>100202</v>
      </c>
      <c r="D289" s="58">
        <v>1</v>
      </c>
      <c r="E289" s="60">
        <v>1588</v>
      </c>
      <c r="F289" s="58">
        <v>0</v>
      </c>
      <c r="G289" s="58">
        <v>6888</v>
      </c>
    </row>
    <row r="290" spans="1:7">
      <c r="A290" s="58">
        <v>140203</v>
      </c>
      <c r="B290" t="s">
        <v>386</v>
      </c>
      <c r="C290" s="30">
        <v>100203</v>
      </c>
      <c r="D290" s="58">
        <v>1</v>
      </c>
      <c r="E290" s="60">
        <v>2888</v>
      </c>
      <c r="F290" s="58">
        <v>0</v>
      </c>
      <c r="G290" s="58">
        <v>15888</v>
      </c>
    </row>
    <row r="291" spans="1:7">
      <c r="A291" s="58">
        <v>140222</v>
      </c>
      <c r="B291" t="s">
        <v>391</v>
      </c>
      <c r="C291" s="30">
        <v>100222</v>
      </c>
      <c r="D291" s="58">
        <v>1</v>
      </c>
      <c r="E291" s="60">
        <v>888</v>
      </c>
      <c r="F291" s="58">
        <v>0</v>
      </c>
      <c r="G291" s="58">
        <v>1988</v>
      </c>
    </row>
    <row r="292" spans="1:7">
      <c r="A292" s="58">
        <v>140223</v>
      </c>
      <c r="B292" t="s">
        <v>391</v>
      </c>
      <c r="C292" s="30">
        <v>100223</v>
      </c>
      <c r="D292" s="58">
        <v>1</v>
      </c>
      <c r="E292" s="60">
        <v>1588</v>
      </c>
      <c r="F292" s="58">
        <v>0</v>
      </c>
      <c r="G292" s="58">
        <v>6888</v>
      </c>
    </row>
    <row r="293" spans="1:7">
      <c r="A293" s="58">
        <v>140232</v>
      </c>
      <c r="B293" t="s">
        <v>396</v>
      </c>
      <c r="C293" s="30">
        <v>100232</v>
      </c>
      <c r="D293" s="58">
        <v>1</v>
      </c>
      <c r="E293" s="60">
        <v>888</v>
      </c>
      <c r="F293" s="58">
        <v>0</v>
      </c>
      <c r="G293" s="58">
        <v>1988</v>
      </c>
    </row>
    <row r="294" spans="1:7">
      <c r="A294" s="58">
        <v>140242</v>
      </c>
      <c r="B294" t="s">
        <v>400</v>
      </c>
      <c r="C294" s="30">
        <v>100242</v>
      </c>
      <c r="D294" s="58">
        <v>1</v>
      </c>
      <c r="E294" s="60">
        <v>888</v>
      </c>
      <c r="F294" s="58">
        <v>0</v>
      </c>
      <c r="G294" s="58">
        <v>1988</v>
      </c>
    </row>
    <row r="295" spans="1:7">
      <c r="A295" s="58">
        <v>140253</v>
      </c>
      <c r="B295" t="s">
        <v>404</v>
      </c>
      <c r="C295" s="30">
        <v>100253</v>
      </c>
      <c r="D295" s="58">
        <v>1</v>
      </c>
      <c r="E295" s="60">
        <v>888</v>
      </c>
      <c r="F295" s="58">
        <v>0</v>
      </c>
      <c r="G295" s="58">
        <v>1988</v>
      </c>
    </row>
    <row r="296" spans="1:7">
      <c r="A296" s="58">
        <v>140254</v>
      </c>
      <c r="B296" t="s">
        <v>404</v>
      </c>
      <c r="C296" s="30">
        <v>100254</v>
      </c>
      <c r="D296" s="58">
        <v>1</v>
      </c>
      <c r="E296" s="60">
        <v>1588</v>
      </c>
      <c r="F296" s="58">
        <v>0</v>
      </c>
      <c r="G296" s="58">
        <v>6888</v>
      </c>
    </row>
    <row r="297" spans="1:7">
      <c r="A297" s="58">
        <v>140256</v>
      </c>
      <c r="B297" t="s">
        <v>404</v>
      </c>
      <c r="C297" s="30">
        <v>100256</v>
      </c>
      <c r="D297" s="58">
        <v>1</v>
      </c>
      <c r="E297" s="60">
        <v>2888</v>
      </c>
      <c r="F297" s="58">
        <v>0</v>
      </c>
      <c r="G297" s="58">
        <v>15888</v>
      </c>
    </row>
    <row r="298" spans="1:7">
      <c r="A298" s="58">
        <v>140321</v>
      </c>
      <c r="B298" t="s">
        <v>431</v>
      </c>
      <c r="C298" s="30">
        <v>100321</v>
      </c>
      <c r="D298" s="58">
        <v>1</v>
      </c>
      <c r="E298" s="60">
        <v>888</v>
      </c>
      <c r="F298" s="58">
        <v>0</v>
      </c>
      <c r="G298" s="58">
        <v>1988</v>
      </c>
    </row>
    <row r="299" spans="1:7">
      <c r="A299" s="58">
        <v>140322</v>
      </c>
      <c r="B299" t="s">
        <v>431</v>
      </c>
      <c r="C299" s="30">
        <v>100322</v>
      </c>
      <c r="D299" s="58">
        <v>1</v>
      </c>
      <c r="E299" s="60">
        <v>1588</v>
      </c>
      <c r="F299" s="58">
        <v>0</v>
      </c>
      <c r="G299" s="58">
        <v>6888</v>
      </c>
    </row>
    <row r="300" spans="1:7">
      <c r="A300" s="58">
        <v>140323</v>
      </c>
      <c r="B300" t="s">
        <v>431</v>
      </c>
      <c r="C300" s="30">
        <v>100323</v>
      </c>
      <c r="D300" s="58">
        <v>1</v>
      </c>
      <c r="E300" s="60">
        <v>2888</v>
      </c>
      <c r="F300" s="58">
        <v>0</v>
      </c>
      <c r="G300" s="58">
        <v>15888</v>
      </c>
    </row>
    <row r="301" spans="1:7">
      <c r="A301" s="58">
        <v>140331</v>
      </c>
      <c r="B301" t="s">
        <v>436</v>
      </c>
      <c r="C301" s="30">
        <v>100331</v>
      </c>
      <c r="D301" s="58">
        <v>1</v>
      </c>
      <c r="E301" s="60">
        <v>888</v>
      </c>
      <c r="F301" s="58">
        <v>0</v>
      </c>
      <c r="G301" s="58">
        <v>1988</v>
      </c>
    </row>
    <row r="302" spans="1:7">
      <c r="A302" s="58">
        <v>140332</v>
      </c>
      <c r="B302" t="s">
        <v>436</v>
      </c>
      <c r="C302" s="30">
        <v>100332</v>
      </c>
      <c r="D302" s="58">
        <v>1</v>
      </c>
      <c r="E302" s="60">
        <v>1588</v>
      </c>
      <c r="F302" s="58">
        <v>0</v>
      </c>
      <c r="G302" s="58">
        <v>6888</v>
      </c>
    </row>
    <row r="303" spans="1:7">
      <c r="A303" s="58">
        <v>140333</v>
      </c>
      <c r="B303" t="s">
        <v>436</v>
      </c>
      <c r="C303" s="30">
        <v>100333</v>
      </c>
      <c r="D303" s="58">
        <v>1</v>
      </c>
      <c r="E303" s="60">
        <v>2888</v>
      </c>
      <c r="F303" s="58">
        <v>0</v>
      </c>
      <c r="G303" s="58">
        <v>15888</v>
      </c>
    </row>
    <row r="304" spans="1:7">
      <c r="A304" s="58">
        <v>140334</v>
      </c>
      <c r="B304" t="s">
        <v>436</v>
      </c>
      <c r="C304" s="30">
        <v>100334</v>
      </c>
      <c r="D304" s="58">
        <v>1</v>
      </c>
      <c r="E304" s="58">
        <v>18888</v>
      </c>
      <c r="F304" s="58">
        <v>0</v>
      </c>
      <c r="G304" s="58">
        <v>99999</v>
      </c>
    </row>
    <row r="305" spans="1:7">
      <c r="A305" s="58">
        <v>140341</v>
      </c>
      <c r="B305" t="s">
        <v>442</v>
      </c>
      <c r="C305" s="30">
        <v>100341</v>
      </c>
      <c r="D305" s="58">
        <v>1</v>
      </c>
      <c r="E305" s="60">
        <v>888</v>
      </c>
      <c r="F305" s="58">
        <v>0</v>
      </c>
      <c r="G305" s="58">
        <v>1988</v>
      </c>
    </row>
    <row r="306" spans="1:7">
      <c r="A306" s="58">
        <v>140342</v>
      </c>
      <c r="B306" t="s">
        <v>442</v>
      </c>
      <c r="C306" s="30">
        <v>100342</v>
      </c>
      <c r="D306" s="58">
        <v>1</v>
      </c>
      <c r="E306" s="60">
        <v>1588</v>
      </c>
      <c r="F306" s="58">
        <v>0</v>
      </c>
      <c r="G306" s="58">
        <v>6888</v>
      </c>
    </row>
    <row r="307" spans="1:7">
      <c r="A307" s="58">
        <v>140343</v>
      </c>
      <c r="B307" t="s">
        <v>442</v>
      </c>
      <c r="C307" s="30">
        <v>100343</v>
      </c>
      <c r="D307" s="58">
        <v>1</v>
      </c>
      <c r="E307" s="60">
        <v>2888</v>
      </c>
      <c r="F307" s="58">
        <v>0</v>
      </c>
      <c r="G307" s="58">
        <v>15888</v>
      </c>
    </row>
    <row r="308" spans="1:7">
      <c r="A308" s="58">
        <v>140351</v>
      </c>
      <c r="B308" t="s">
        <v>447</v>
      </c>
      <c r="C308" s="30">
        <v>100351</v>
      </c>
      <c r="D308" s="58">
        <v>1</v>
      </c>
      <c r="E308" s="60">
        <v>888</v>
      </c>
      <c r="F308" s="58">
        <v>0</v>
      </c>
      <c r="G308" s="58">
        <v>1988</v>
      </c>
    </row>
    <row r="309" spans="1:7">
      <c r="A309" s="58">
        <v>140352</v>
      </c>
      <c r="B309" t="s">
        <v>447</v>
      </c>
      <c r="C309" s="30">
        <v>100352</v>
      </c>
      <c r="D309" s="58">
        <v>1</v>
      </c>
      <c r="E309" s="60">
        <v>1588</v>
      </c>
      <c r="F309" s="58">
        <v>0</v>
      </c>
      <c r="G309" s="58">
        <v>6888</v>
      </c>
    </row>
    <row r="310" spans="1:7">
      <c r="A310" s="58">
        <v>140353</v>
      </c>
      <c r="B310" t="s">
        <v>447</v>
      </c>
      <c r="C310" s="30">
        <v>100353</v>
      </c>
      <c r="D310" s="58">
        <v>1</v>
      </c>
      <c r="E310" s="60">
        <v>2888</v>
      </c>
      <c r="F310" s="58">
        <v>0</v>
      </c>
      <c r="G310" s="58">
        <v>15888</v>
      </c>
    </row>
    <row r="311" spans="1:7">
      <c r="A311" s="58">
        <v>140354</v>
      </c>
      <c r="B311" t="s">
        <v>447</v>
      </c>
      <c r="C311" s="30">
        <v>100354</v>
      </c>
      <c r="D311" s="58">
        <v>1</v>
      </c>
      <c r="E311" s="58">
        <v>18888</v>
      </c>
      <c r="F311" s="58">
        <v>0</v>
      </c>
      <c r="G311" s="58">
        <v>99999</v>
      </c>
    </row>
    <row r="312" spans="1:7">
      <c r="A312" s="58">
        <v>140361</v>
      </c>
      <c r="B312" t="s">
        <v>454</v>
      </c>
      <c r="C312" s="30">
        <v>100361</v>
      </c>
      <c r="D312" s="58">
        <v>1</v>
      </c>
      <c r="E312" s="60">
        <v>888</v>
      </c>
      <c r="F312" s="58">
        <v>0</v>
      </c>
      <c r="G312" s="58">
        <v>1988</v>
      </c>
    </row>
    <row r="313" spans="1:7">
      <c r="A313" s="58">
        <v>140362</v>
      </c>
      <c r="B313" t="s">
        <v>454</v>
      </c>
      <c r="C313" s="30">
        <v>100362</v>
      </c>
      <c r="D313" s="58">
        <v>1</v>
      </c>
      <c r="E313" s="60">
        <v>1588</v>
      </c>
      <c r="F313" s="58">
        <v>0</v>
      </c>
      <c r="G313" s="58">
        <v>6888</v>
      </c>
    </row>
    <row r="314" spans="1:7">
      <c r="A314" s="58">
        <v>140363</v>
      </c>
      <c r="B314" t="s">
        <v>454</v>
      </c>
      <c r="C314" s="30">
        <v>100363</v>
      </c>
      <c r="D314" s="58">
        <v>1</v>
      </c>
      <c r="E314" s="60">
        <v>2888</v>
      </c>
      <c r="F314" s="58">
        <v>0</v>
      </c>
      <c r="G314" s="58">
        <v>15888</v>
      </c>
    </row>
    <row r="315" spans="1:7">
      <c r="A315" s="58">
        <v>140371</v>
      </c>
      <c r="B315" t="s">
        <v>459</v>
      </c>
      <c r="C315" s="30">
        <v>100371</v>
      </c>
      <c r="D315" s="58">
        <v>1</v>
      </c>
      <c r="E315" s="60">
        <v>888</v>
      </c>
      <c r="F315" s="58">
        <v>0</v>
      </c>
      <c r="G315" s="58">
        <v>1988</v>
      </c>
    </row>
    <row r="316" spans="1:7">
      <c r="A316" s="58">
        <v>140372</v>
      </c>
      <c r="B316" t="s">
        <v>459</v>
      </c>
      <c r="C316" s="30">
        <v>100372</v>
      </c>
      <c r="D316" s="58">
        <v>1</v>
      </c>
      <c r="E316" s="60">
        <v>1588</v>
      </c>
      <c r="F316" s="58">
        <v>0</v>
      </c>
      <c r="G316" s="58">
        <v>6888</v>
      </c>
    </row>
    <row r="317" spans="1:7">
      <c r="A317" s="58">
        <v>140373</v>
      </c>
      <c r="B317" t="s">
        <v>459</v>
      </c>
      <c r="C317" s="30">
        <v>100373</v>
      </c>
      <c r="D317" s="58">
        <v>1</v>
      </c>
      <c r="E317" s="60">
        <v>2888</v>
      </c>
      <c r="F317" s="58">
        <v>0</v>
      </c>
      <c r="G317" s="58">
        <v>15888</v>
      </c>
    </row>
    <row r="318" spans="1:7">
      <c r="A318" s="58">
        <v>140382</v>
      </c>
      <c r="B318" t="s">
        <v>464</v>
      </c>
      <c r="C318" s="30">
        <v>100382</v>
      </c>
      <c r="D318" s="58">
        <v>1</v>
      </c>
      <c r="E318" s="60">
        <v>888</v>
      </c>
      <c r="F318" s="58">
        <v>0</v>
      </c>
      <c r="G318" s="58">
        <v>1988</v>
      </c>
    </row>
    <row r="319" spans="1:7">
      <c r="A319" s="58">
        <v>140391</v>
      </c>
      <c r="B319" t="s">
        <v>468</v>
      </c>
      <c r="C319" s="30">
        <v>100391</v>
      </c>
      <c r="D319" s="58">
        <v>1</v>
      </c>
      <c r="E319" s="60">
        <v>888</v>
      </c>
      <c r="F319" s="58">
        <v>0</v>
      </c>
      <c r="G319" s="58">
        <v>1988</v>
      </c>
    </row>
    <row r="320" spans="1:7">
      <c r="A320" s="58">
        <v>140392</v>
      </c>
      <c r="B320" t="s">
        <v>468</v>
      </c>
      <c r="C320" s="30">
        <v>100392</v>
      </c>
      <c r="D320" s="58">
        <v>1</v>
      </c>
      <c r="E320" s="60">
        <v>1588</v>
      </c>
      <c r="F320" s="58">
        <v>0</v>
      </c>
      <c r="G320" s="58">
        <v>6888</v>
      </c>
    </row>
    <row r="321" spans="1:7">
      <c r="A321" s="58">
        <v>140393</v>
      </c>
      <c r="B321" t="s">
        <v>468</v>
      </c>
      <c r="C321" s="30">
        <v>100393</v>
      </c>
      <c r="D321" s="58">
        <v>1</v>
      </c>
      <c r="E321" s="60">
        <v>2888</v>
      </c>
      <c r="F321" s="58">
        <v>0</v>
      </c>
      <c r="G321" s="58">
        <v>15888</v>
      </c>
    </row>
    <row r="322" spans="1:7">
      <c r="A322" s="58">
        <v>140401</v>
      </c>
      <c r="B322" t="s">
        <v>473</v>
      </c>
      <c r="C322" s="30">
        <v>100401</v>
      </c>
      <c r="D322" s="58">
        <v>1</v>
      </c>
      <c r="E322" s="60">
        <v>888</v>
      </c>
      <c r="F322" s="58">
        <v>0</v>
      </c>
      <c r="G322" s="58">
        <v>1988</v>
      </c>
    </row>
    <row r="323" spans="1:7">
      <c r="A323" s="58">
        <v>140402</v>
      </c>
      <c r="B323" t="s">
        <v>473</v>
      </c>
      <c r="C323" s="30">
        <v>100402</v>
      </c>
      <c r="D323" s="58">
        <v>1</v>
      </c>
      <c r="E323" s="60">
        <v>1588</v>
      </c>
      <c r="F323" s="58">
        <v>0</v>
      </c>
      <c r="G323" s="58">
        <v>6888</v>
      </c>
    </row>
    <row r="324" spans="1:7">
      <c r="A324" s="58">
        <v>140403</v>
      </c>
      <c r="B324" t="s">
        <v>473</v>
      </c>
      <c r="C324" s="30">
        <v>100403</v>
      </c>
      <c r="D324" s="58">
        <v>1</v>
      </c>
      <c r="E324" s="60">
        <v>2888</v>
      </c>
      <c r="F324" s="58">
        <v>0</v>
      </c>
      <c r="G324" s="58">
        <v>15888</v>
      </c>
    </row>
    <row r="325" spans="1:7">
      <c r="A325" s="58">
        <v>140411</v>
      </c>
      <c r="B325" t="s">
        <v>478</v>
      </c>
      <c r="C325" s="30">
        <v>100411</v>
      </c>
      <c r="D325" s="58">
        <v>1</v>
      </c>
      <c r="E325" s="60">
        <v>888</v>
      </c>
      <c r="F325" s="58">
        <v>0</v>
      </c>
      <c r="G325" s="58">
        <v>1988</v>
      </c>
    </row>
    <row r="326" spans="1:7">
      <c r="A326" s="58">
        <v>140412</v>
      </c>
      <c r="B326" t="s">
        <v>478</v>
      </c>
      <c r="C326" s="30">
        <v>100412</v>
      </c>
      <c r="D326" s="58">
        <v>1</v>
      </c>
      <c r="E326" s="60">
        <v>1588</v>
      </c>
      <c r="F326" s="58">
        <v>0</v>
      </c>
      <c r="G326" s="58">
        <v>6888</v>
      </c>
    </row>
    <row r="327" spans="1:7">
      <c r="A327" s="58">
        <v>140413</v>
      </c>
      <c r="B327" t="s">
        <v>478</v>
      </c>
      <c r="C327" s="30">
        <v>100413</v>
      </c>
      <c r="D327" s="58">
        <v>1</v>
      </c>
      <c r="E327" s="60">
        <v>2888</v>
      </c>
      <c r="F327" s="58">
        <v>0</v>
      </c>
      <c r="G327" s="58">
        <v>15888</v>
      </c>
    </row>
    <row r="328" spans="1:7">
      <c r="A328" s="58">
        <v>140421</v>
      </c>
      <c r="B328" t="s">
        <v>484</v>
      </c>
      <c r="C328" s="30">
        <v>100421</v>
      </c>
      <c r="D328" s="58">
        <v>1</v>
      </c>
      <c r="E328" s="60">
        <v>888</v>
      </c>
      <c r="F328" s="58">
        <v>0</v>
      </c>
      <c r="G328" s="58">
        <v>1988</v>
      </c>
    </row>
    <row r="329" spans="1:7">
      <c r="A329" s="58">
        <v>140422</v>
      </c>
      <c r="B329" t="s">
        <v>484</v>
      </c>
      <c r="C329" s="30">
        <v>100422</v>
      </c>
      <c r="D329" s="58">
        <v>1</v>
      </c>
      <c r="E329" s="60">
        <v>1588</v>
      </c>
      <c r="F329" s="58">
        <v>0</v>
      </c>
      <c r="G329" s="58">
        <v>6888</v>
      </c>
    </row>
    <row r="330" spans="1:7">
      <c r="A330" s="58">
        <v>140423</v>
      </c>
      <c r="B330" t="s">
        <v>484</v>
      </c>
      <c r="C330" s="30">
        <v>100423</v>
      </c>
      <c r="D330" s="58">
        <v>1</v>
      </c>
      <c r="E330" s="60">
        <v>2888</v>
      </c>
      <c r="F330" s="58">
        <v>0</v>
      </c>
      <c r="G330" s="58">
        <v>15888</v>
      </c>
    </row>
    <row r="331" spans="1:7">
      <c r="A331" s="58">
        <v>140431</v>
      </c>
      <c r="B331" t="s">
        <v>489</v>
      </c>
      <c r="C331" s="30">
        <v>100431</v>
      </c>
      <c r="D331" s="58">
        <v>1</v>
      </c>
      <c r="E331" s="60">
        <v>888</v>
      </c>
      <c r="F331" s="58">
        <v>0</v>
      </c>
      <c r="G331" s="58">
        <v>1988</v>
      </c>
    </row>
    <row r="332" spans="1:7">
      <c r="A332" s="58">
        <v>140432</v>
      </c>
      <c r="B332" t="s">
        <v>489</v>
      </c>
      <c r="C332" s="30">
        <v>100432</v>
      </c>
      <c r="D332" s="58">
        <v>1</v>
      </c>
      <c r="E332" s="60">
        <v>1588</v>
      </c>
      <c r="F332" s="58">
        <v>0</v>
      </c>
      <c r="G332" s="58">
        <v>6888</v>
      </c>
    </row>
    <row r="333" spans="1:7">
      <c r="A333" s="58">
        <v>140433</v>
      </c>
      <c r="B333" t="s">
        <v>489</v>
      </c>
      <c r="C333" s="30">
        <v>100433</v>
      </c>
      <c r="D333" s="58">
        <v>1</v>
      </c>
      <c r="E333" s="60">
        <v>2888</v>
      </c>
      <c r="F333" s="58">
        <v>0</v>
      </c>
      <c r="G333" s="58">
        <v>15888</v>
      </c>
    </row>
    <row r="334" spans="1:7">
      <c r="A334" s="58">
        <v>140441</v>
      </c>
      <c r="B334" t="s">
        <v>495</v>
      </c>
      <c r="C334" s="30">
        <v>100441</v>
      </c>
      <c r="D334" s="58">
        <v>1</v>
      </c>
      <c r="E334" s="60">
        <v>888</v>
      </c>
      <c r="F334" s="58">
        <v>0</v>
      </c>
      <c r="G334" s="58">
        <v>1988</v>
      </c>
    </row>
    <row r="335" spans="1:7">
      <c r="A335" s="58">
        <v>140442</v>
      </c>
      <c r="B335" t="s">
        <v>495</v>
      </c>
      <c r="C335" s="30">
        <v>100442</v>
      </c>
      <c r="D335" s="58">
        <v>1</v>
      </c>
      <c r="E335" s="60">
        <v>1588</v>
      </c>
      <c r="F335" s="58">
        <v>0</v>
      </c>
      <c r="G335" s="58">
        <v>6888</v>
      </c>
    </row>
    <row r="336" spans="1:7">
      <c r="A336" s="58">
        <v>140443</v>
      </c>
      <c r="B336" t="s">
        <v>495</v>
      </c>
      <c r="C336" s="30">
        <v>100443</v>
      </c>
      <c r="D336" s="58">
        <v>1</v>
      </c>
      <c r="E336" s="60">
        <v>2888</v>
      </c>
      <c r="F336" s="58">
        <v>0</v>
      </c>
      <c r="G336" s="58">
        <v>15888</v>
      </c>
    </row>
    <row r="337" spans="1:7">
      <c r="A337" s="58">
        <v>140451</v>
      </c>
      <c r="B337" t="s">
        <v>501</v>
      </c>
      <c r="C337" s="30">
        <v>100451</v>
      </c>
      <c r="D337" s="58">
        <v>1</v>
      </c>
      <c r="E337" s="60">
        <v>888</v>
      </c>
      <c r="F337" s="58">
        <v>0</v>
      </c>
      <c r="G337" s="58">
        <v>1988</v>
      </c>
    </row>
    <row r="338" spans="1:7">
      <c r="A338" s="58">
        <v>140452</v>
      </c>
      <c r="B338" t="s">
        <v>501</v>
      </c>
      <c r="C338" s="30">
        <v>100452</v>
      </c>
      <c r="D338" s="58">
        <v>1</v>
      </c>
      <c r="E338" s="60">
        <v>1588</v>
      </c>
      <c r="F338" s="58">
        <v>0</v>
      </c>
      <c r="G338" s="58">
        <v>6888</v>
      </c>
    </row>
    <row r="339" spans="1:7">
      <c r="A339" s="58">
        <v>140453</v>
      </c>
      <c r="B339" t="s">
        <v>501</v>
      </c>
      <c r="C339" s="30">
        <v>100453</v>
      </c>
      <c r="D339" s="58">
        <v>1</v>
      </c>
      <c r="E339" s="60">
        <v>2888</v>
      </c>
      <c r="F339" s="58">
        <v>0</v>
      </c>
      <c r="G339" s="58">
        <v>15888</v>
      </c>
    </row>
    <row r="340" spans="1:7">
      <c r="A340" s="58">
        <v>140461</v>
      </c>
      <c r="B340" t="s">
        <v>506</v>
      </c>
      <c r="C340" s="30">
        <v>100461</v>
      </c>
      <c r="D340" s="58">
        <v>1</v>
      </c>
      <c r="E340" s="60">
        <v>888</v>
      </c>
      <c r="F340" s="58">
        <v>0</v>
      </c>
      <c r="G340" s="58">
        <v>1988</v>
      </c>
    </row>
    <row r="341" spans="1:7">
      <c r="A341" s="58">
        <v>140462</v>
      </c>
      <c r="B341" t="s">
        <v>506</v>
      </c>
      <c r="C341" s="30">
        <v>100462</v>
      </c>
      <c r="D341" s="58">
        <v>1</v>
      </c>
      <c r="E341" s="60">
        <v>1588</v>
      </c>
      <c r="F341" s="58">
        <v>0</v>
      </c>
      <c r="G341" s="58">
        <v>6888</v>
      </c>
    </row>
    <row r="342" spans="1:7">
      <c r="A342" s="58">
        <v>140463</v>
      </c>
      <c r="B342" t="s">
        <v>506</v>
      </c>
      <c r="C342" s="30">
        <v>100463</v>
      </c>
      <c r="D342" s="58">
        <v>1</v>
      </c>
      <c r="E342" s="60">
        <v>2888</v>
      </c>
      <c r="F342" s="58">
        <v>0</v>
      </c>
      <c r="G342" s="58">
        <v>15888</v>
      </c>
    </row>
    <row r="343" spans="1:7">
      <c r="A343" s="58">
        <v>140811</v>
      </c>
      <c r="B343" t="s">
        <v>571</v>
      </c>
      <c r="C343" s="30">
        <v>100811</v>
      </c>
      <c r="D343" s="58">
        <v>1</v>
      </c>
      <c r="E343" s="60">
        <v>888</v>
      </c>
      <c r="F343" s="58">
        <v>0</v>
      </c>
      <c r="G343" s="58">
        <v>1988</v>
      </c>
    </row>
    <row r="344" spans="1:7">
      <c r="A344" s="58">
        <v>140812</v>
      </c>
      <c r="B344" t="s">
        <v>571</v>
      </c>
      <c r="C344" s="30">
        <v>100812</v>
      </c>
      <c r="D344" s="58">
        <v>1</v>
      </c>
      <c r="E344" s="60">
        <v>1588</v>
      </c>
      <c r="F344" s="58">
        <v>0</v>
      </c>
      <c r="G344" s="58">
        <v>6888</v>
      </c>
    </row>
    <row r="345" spans="1:7">
      <c r="A345" s="58">
        <v>140813</v>
      </c>
      <c r="B345" t="s">
        <v>571</v>
      </c>
      <c r="C345" s="30">
        <v>100813</v>
      </c>
      <c r="D345" s="58">
        <v>1</v>
      </c>
      <c r="E345" s="60">
        <v>2888</v>
      </c>
      <c r="F345" s="58">
        <v>0</v>
      </c>
      <c r="G345" s="58">
        <v>15888</v>
      </c>
    </row>
    <row r="346" spans="1:7">
      <c r="A346" s="58">
        <v>140832</v>
      </c>
      <c r="B346" t="s">
        <v>582</v>
      </c>
      <c r="C346" s="30">
        <v>100832</v>
      </c>
      <c r="D346" s="58">
        <v>1</v>
      </c>
      <c r="E346" s="60">
        <v>888</v>
      </c>
      <c r="F346" s="58">
        <v>0</v>
      </c>
      <c r="G346" s="58">
        <v>1988</v>
      </c>
    </row>
    <row r="347" spans="1:7">
      <c r="A347" s="58">
        <v>140833</v>
      </c>
      <c r="B347" t="s">
        <v>582</v>
      </c>
      <c r="C347" s="30">
        <v>100833</v>
      </c>
      <c r="D347" s="58">
        <v>1</v>
      </c>
      <c r="E347" s="60">
        <v>1588</v>
      </c>
      <c r="F347" s="58">
        <v>0</v>
      </c>
      <c r="G347" s="58">
        <v>6888</v>
      </c>
    </row>
    <row r="348" spans="1:7">
      <c r="A348" s="58">
        <v>140834</v>
      </c>
      <c r="B348" t="s">
        <v>582</v>
      </c>
      <c r="C348" s="30">
        <v>100834</v>
      </c>
      <c r="D348" s="58">
        <v>1</v>
      </c>
      <c r="E348" s="60">
        <v>2888</v>
      </c>
      <c r="F348" s="58">
        <v>0</v>
      </c>
      <c r="G348" s="58">
        <v>15888</v>
      </c>
    </row>
    <row r="349" spans="1:7">
      <c r="A349" s="58">
        <v>140842</v>
      </c>
      <c r="B349" t="s">
        <v>587</v>
      </c>
      <c r="C349" s="30">
        <v>100842</v>
      </c>
      <c r="D349" s="58">
        <v>1</v>
      </c>
      <c r="E349" s="60">
        <v>888</v>
      </c>
      <c r="F349" s="58">
        <v>0</v>
      </c>
      <c r="G349" s="58">
        <v>1988</v>
      </c>
    </row>
    <row r="350" spans="1:7">
      <c r="A350" s="58">
        <v>140843</v>
      </c>
      <c r="B350" t="s">
        <v>587</v>
      </c>
      <c r="C350" s="30">
        <v>100843</v>
      </c>
      <c r="D350" s="58">
        <v>1</v>
      </c>
      <c r="E350" s="60">
        <v>1588</v>
      </c>
      <c r="F350" s="58">
        <v>0</v>
      </c>
      <c r="G350" s="58">
        <v>6888</v>
      </c>
    </row>
    <row r="351" spans="1:7">
      <c r="A351" s="58">
        <v>140844</v>
      </c>
      <c r="B351" t="s">
        <v>587</v>
      </c>
      <c r="C351" s="30">
        <v>100844</v>
      </c>
      <c r="D351" s="58">
        <v>1</v>
      </c>
      <c r="E351" s="60">
        <v>2888</v>
      </c>
      <c r="F351" s="58">
        <v>0</v>
      </c>
      <c r="G351" s="58">
        <v>15888</v>
      </c>
    </row>
    <row r="352" spans="1:7">
      <c r="A352" s="58">
        <v>140853</v>
      </c>
      <c r="B352" t="s">
        <v>592</v>
      </c>
      <c r="C352" s="30">
        <v>100853</v>
      </c>
      <c r="D352" s="58">
        <v>1</v>
      </c>
      <c r="E352" s="60">
        <v>1588</v>
      </c>
      <c r="F352" s="58">
        <v>0</v>
      </c>
      <c r="G352" s="58">
        <v>6888</v>
      </c>
    </row>
    <row r="353" spans="1:7">
      <c r="A353" s="58">
        <v>140854</v>
      </c>
      <c r="B353" t="s">
        <v>592</v>
      </c>
      <c r="C353" s="30">
        <v>100854</v>
      </c>
      <c r="D353" s="58">
        <v>1</v>
      </c>
      <c r="E353" s="60">
        <v>2888</v>
      </c>
      <c r="F353" s="58">
        <v>0</v>
      </c>
      <c r="G353" s="58">
        <v>15888</v>
      </c>
    </row>
    <row r="354" spans="1:7">
      <c r="A354" s="58">
        <v>140863</v>
      </c>
      <c r="B354" t="s">
        <v>597</v>
      </c>
      <c r="C354" s="30">
        <v>100863</v>
      </c>
      <c r="D354" s="58">
        <v>1</v>
      </c>
      <c r="E354" s="60">
        <v>888</v>
      </c>
      <c r="F354" s="58">
        <v>0</v>
      </c>
      <c r="G354" s="58">
        <v>1988</v>
      </c>
    </row>
    <row r="355" spans="1:7">
      <c r="A355" s="58">
        <v>140872</v>
      </c>
      <c r="B355" t="s">
        <v>602</v>
      </c>
      <c r="C355" s="30">
        <v>100872</v>
      </c>
      <c r="D355" s="58">
        <v>1</v>
      </c>
      <c r="E355" s="60">
        <v>888</v>
      </c>
      <c r="F355" s="58">
        <v>0</v>
      </c>
      <c r="G355" s="58">
        <v>1988</v>
      </c>
    </row>
    <row r="356" spans="1:7">
      <c r="A356" s="58">
        <v>140873</v>
      </c>
      <c r="B356" t="s">
        <v>602</v>
      </c>
      <c r="C356" s="30">
        <v>100873</v>
      </c>
      <c r="D356" s="58">
        <v>1</v>
      </c>
      <c r="E356" s="60">
        <v>1588</v>
      </c>
      <c r="F356" s="58">
        <v>0</v>
      </c>
      <c r="G356" s="58">
        <v>6888</v>
      </c>
    </row>
    <row r="357" spans="1:7">
      <c r="A357" s="58">
        <v>140874</v>
      </c>
      <c r="B357" t="s">
        <v>602</v>
      </c>
      <c r="C357" s="30">
        <v>100874</v>
      </c>
      <c r="D357" s="58">
        <v>1</v>
      </c>
      <c r="E357" s="60">
        <v>2888</v>
      </c>
      <c r="F357" s="58">
        <v>0</v>
      </c>
      <c r="G357" s="58">
        <v>15888</v>
      </c>
    </row>
    <row r="358" spans="1:7">
      <c r="A358" s="58">
        <v>140882</v>
      </c>
      <c r="B358" t="s">
        <v>607</v>
      </c>
      <c r="C358" s="30">
        <v>100882</v>
      </c>
      <c r="D358" s="58">
        <v>1</v>
      </c>
      <c r="E358" s="60">
        <v>888</v>
      </c>
      <c r="F358" s="58">
        <v>0</v>
      </c>
      <c r="G358" s="58">
        <v>1988</v>
      </c>
    </row>
    <row r="359" spans="1:7">
      <c r="A359" s="58">
        <v>140883</v>
      </c>
      <c r="B359" t="s">
        <v>607</v>
      </c>
      <c r="C359" s="30">
        <v>100883</v>
      </c>
      <c r="D359" s="58">
        <v>1</v>
      </c>
      <c r="E359" s="60">
        <v>1588</v>
      </c>
      <c r="F359" s="58">
        <v>0</v>
      </c>
      <c r="G359" s="58">
        <v>6888</v>
      </c>
    </row>
    <row r="360" spans="1:7">
      <c r="A360" s="58">
        <v>140884</v>
      </c>
      <c r="B360" t="s">
        <v>607</v>
      </c>
      <c r="C360" s="30">
        <v>100884</v>
      </c>
      <c r="D360" s="58">
        <v>1</v>
      </c>
      <c r="E360" s="60">
        <v>2888</v>
      </c>
      <c r="F360" s="58">
        <v>0</v>
      </c>
      <c r="G360" s="58">
        <v>15888</v>
      </c>
    </row>
    <row r="361" spans="1:7">
      <c r="A361" s="58">
        <v>140894</v>
      </c>
      <c r="B361" t="s">
        <v>613</v>
      </c>
      <c r="C361" s="30">
        <v>100894</v>
      </c>
      <c r="D361" s="58">
        <v>1</v>
      </c>
    </row>
    <row r="362" spans="1:7">
      <c r="A362" s="58">
        <v>140912</v>
      </c>
      <c r="B362" t="s">
        <v>616</v>
      </c>
      <c r="C362" s="30">
        <v>100912</v>
      </c>
      <c r="D362" s="58">
        <v>1</v>
      </c>
      <c r="E362" s="60">
        <v>888</v>
      </c>
      <c r="F362" s="58">
        <v>0</v>
      </c>
      <c r="G362" s="58">
        <v>1988</v>
      </c>
    </row>
    <row r="363" spans="1:7">
      <c r="A363" s="58">
        <v>140913</v>
      </c>
      <c r="B363" t="s">
        <v>616</v>
      </c>
      <c r="C363" s="30">
        <v>100913</v>
      </c>
      <c r="D363" s="58">
        <v>1</v>
      </c>
      <c r="E363" s="60">
        <v>1588</v>
      </c>
      <c r="F363" s="58">
        <v>0</v>
      </c>
      <c r="G363" s="58">
        <v>6888</v>
      </c>
    </row>
    <row r="364" spans="1:7">
      <c r="A364" s="58">
        <v>140914</v>
      </c>
      <c r="B364" t="s">
        <v>616</v>
      </c>
      <c r="C364" s="30">
        <v>100914</v>
      </c>
      <c r="D364" s="58">
        <v>1</v>
      </c>
      <c r="E364" s="60">
        <v>2888</v>
      </c>
      <c r="F364" s="58">
        <v>0</v>
      </c>
      <c r="G364" s="58">
        <v>15888</v>
      </c>
    </row>
    <row r="365" spans="1:7">
      <c r="A365" s="58">
        <v>140922</v>
      </c>
      <c r="B365" t="s">
        <v>621</v>
      </c>
      <c r="C365" s="30">
        <v>100922</v>
      </c>
      <c r="D365" s="58">
        <v>1</v>
      </c>
      <c r="E365" s="60">
        <v>888</v>
      </c>
      <c r="F365" s="58">
        <v>0</v>
      </c>
      <c r="G365" s="58">
        <v>1988</v>
      </c>
    </row>
    <row r="366" spans="1:7">
      <c r="A366" s="58">
        <v>140923</v>
      </c>
      <c r="B366" t="s">
        <v>621</v>
      </c>
      <c r="C366" s="30">
        <v>100923</v>
      </c>
      <c r="D366" s="58">
        <v>1</v>
      </c>
      <c r="E366" s="60">
        <v>1588</v>
      </c>
      <c r="F366" s="58">
        <v>0</v>
      </c>
      <c r="G366" s="58">
        <v>6888</v>
      </c>
    </row>
    <row r="367" spans="1:7">
      <c r="A367" s="58">
        <v>140924</v>
      </c>
      <c r="B367" t="s">
        <v>621</v>
      </c>
      <c r="C367" s="30">
        <v>100924</v>
      </c>
      <c r="D367" s="58">
        <v>1</v>
      </c>
      <c r="E367" s="60">
        <v>2888</v>
      </c>
      <c r="F367" s="58">
        <v>0</v>
      </c>
      <c r="G367" s="58">
        <v>15888</v>
      </c>
    </row>
    <row r="368" spans="1:7">
      <c r="A368" s="58">
        <v>140932</v>
      </c>
      <c r="B368" t="s">
        <v>626</v>
      </c>
      <c r="C368" s="30">
        <v>100932</v>
      </c>
      <c r="D368" s="58">
        <v>1</v>
      </c>
      <c r="E368" s="60">
        <v>888</v>
      </c>
      <c r="F368" s="58">
        <v>0</v>
      </c>
      <c r="G368" s="58">
        <v>1988</v>
      </c>
    </row>
    <row r="369" spans="1:7">
      <c r="A369" s="58">
        <v>140933</v>
      </c>
      <c r="B369" t="s">
        <v>626</v>
      </c>
      <c r="C369" s="30">
        <v>100933</v>
      </c>
      <c r="D369" s="58">
        <v>1</v>
      </c>
      <c r="E369" s="60">
        <v>1588</v>
      </c>
      <c r="F369" s="58">
        <v>0</v>
      </c>
      <c r="G369" s="58">
        <v>6888</v>
      </c>
    </row>
    <row r="370" spans="1:7">
      <c r="A370" s="58">
        <v>140934</v>
      </c>
      <c r="B370" t="s">
        <v>626</v>
      </c>
      <c r="C370" s="30">
        <v>100934</v>
      </c>
      <c r="D370" s="58">
        <v>1</v>
      </c>
      <c r="E370" s="60">
        <v>2888</v>
      </c>
      <c r="F370" s="58">
        <v>0</v>
      </c>
      <c r="G370" s="58">
        <v>15888</v>
      </c>
    </row>
    <row r="371" spans="1:7">
      <c r="A371" s="58">
        <v>140942</v>
      </c>
      <c r="B371" t="s">
        <v>631</v>
      </c>
      <c r="C371" s="30">
        <v>100942</v>
      </c>
      <c r="D371" s="58">
        <v>1</v>
      </c>
      <c r="E371" s="60">
        <v>888</v>
      </c>
      <c r="F371" s="58">
        <v>0</v>
      </c>
      <c r="G371" s="58">
        <v>1988</v>
      </c>
    </row>
    <row r="372" spans="1:7">
      <c r="A372" s="58">
        <v>140943</v>
      </c>
      <c r="B372" t="s">
        <v>631</v>
      </c>
      <c r="C372" s="30">
        <v>100943</v>
      </c>
      <c r="D372" s="58">
        <v>1</v>
      </c>
      <c r="E372" s="60">
        <v>1588</v>
      </c>
      <c r="F372" s="58">
        <v>0</v>
      </c>
      <c r="G372" s="58">
        <v>6888</v>
      </c>
    </row>
    <row r="373" spans="1:7">
      <c r="A373" s="58">
        <v>140944</v>
      </c>
      <c r="B373" t="s">
        <v>631</v>
      </c>
      <c r="C373" s="30">
        <v>100944</v>
      </c>
      <c r="D373" s="58">
        <v>1</v>
      </c>
      <c r="E373" s="60">
        <v>2888</v>
      </c>
      <c r="F373" s="58">
        <v>0</v>
      </c>
      <c r="G373" s="58">
        <v>15888</v>
      </c>
    </row>
    <row r="374" spans="1:7">
      <c r="A374" s="58">
        <v>140952</v>
      </c>
      <c r="B374" t="s">
        <v>636</v>
      </c>
      <c r="C374" s="30">
        <v>100952</v>
      </c>
      <c r="D374" s="58">
        <v>1</v>
      </c>
      <c r="E374" s="60">
        <v>888</v>
      </c>
      <c r="F374" s="58">
        <v>0</v>
      </c>
      <c r="G374" s="58">
        <v>1988</v>
      </c>
    </row>
    <row r="375" spans="1:7">
      <c r="A375" s="58">
        <v>140953</v>
      </c>
      <c r="B375" t="s">
        <v>636</v>
      </c>
      <c r="C375" s="30">
        <v>100953</v>
      </c>
      <c r="D375" s="58">
        <v>1</v>
      </c>
      <c r="E375" s="60">
        <v>1588</v>
      </c>
      <c r="F375" s="58">
        <v>0</v>
      </c>
      <c r="G375" s="58">
        <v>6888</v>
      </c>
    </row>
    <row r="376" spans="1:7">
      <c r="A376" s="58">
        <v>140954</v>
      </c>
      <c r="B376" t="s">
        <v>636</v>
      </c>
      <c r="C376" s="30">
        <v>100954</v>
      </c>
      <c r="D376" s="58">
        <v>1</v>
      </c>
      <c r="E376" s="60">
        <v>2888</v>
      </c>
      <c r="F376" s="58">
        <v>0</v>
      </c>
      <c r="G376" s="58">
        <v>15888</v>
      </c>
    </row>
    <row r="377" spans="1:7">
      <c r="A377" s="58">
        <v>140962</v>
      </c>
      <c r="B377" t="s">
        <v>643</v>
      </c>
      <c r="C377" s="30">
        <v>100962</v>
      </c>
      <c r="D377" s="58">
        <v>1</v>
      </c>
      <c r="E377" s="60">
        <v>888</v>
      </c>
      <c r="F377" s="58">
        <v>0</v>
      </c>
      <c r="G377" s="58">
        <v>1988</v>
      </c>
    </row>
    <row r="378" spans="1:7">
      <c r="A378" s="58">
        <v>140963</v>
      </c>
      <c r="B378" t="s">
        <v>643</v>
      </c>
      <c r="C378" s="30">
        <v>100963</v>
      </c>
      <c r="D378" s="58">
        <v>1</v>
      </c>
      <c r="E378" s="60">
        <v>1588</v>
      </c>
      <c r="F378" s="58">
        <v>0</v>
      </c>
      <c r="G378" s="58">
        <v>6888</v>
      </c>
    </row>
    <row r="379" spans="1:7">
      <c r="A379" s="58">
        <v>140964</v>
      </c>
      <c r="B379" t="s">
        <v>643</v>
      </c>
      <c r="C379" s="30">
        <v>100964</v>
      </c>
      <c r="D379" s="58">
        <v>1</v>
      </c>
      <c r="E379" s="60">
        <v>2888</v>
      </c>
      <c r="F379" s="58">
        <v>0</v>
      </c>
      <c r="G379" s="58">
        <v>15888</v>
      </c>
    </row>
    <row r="380" spans="1:7">
      <c r="A380" s="58">
        <v>140972</v>
      </c>
      <c r="B380" t="s">
        <v>650</v>
      </c>
      <c r="C380" s="30">
        <v>100972</v>
      </c>
      <c r="D380" s="58">
        <v>1</v>
      </c>
      <c r="E380" s="60">
        <v>888</v>
      </c>
      <c r="F380" s="58">
        <v>0</v>
      </c>
      <c r="G380" s="58">
        <v>1988</v>
      </c>
    </row>
    <row r="381" spans="1:7">
      <c r="A381" s="58">
        <v>140973</v>
      </c>
      <c r="B381" t="s">
        <v>650</v>
      </c>
      <c r="C381" s="30">
        <v>100973</v>
      </c>
      <c r="D381" s="58">
        <v>1</v>
      </c>
      <c r="E381" s="60">
        <v>1588</v>
      </c>
      <c r="F381" s="58">
        <v>0</v>
      </c>
      <c r="G381" s="58">
        <v>6888</v>
      </c>
    </row>
    <row r="382" spans="1:7">
      <c r="A382" s="58">
        <v>140974</v>
      </c>
      <c r="B382" t="s">
        <v>650</v>
      </c>
      <c r="C382" s="30">
        <v>100974</v>
      </c>
      <c r="D382" s="58">
        <v>1</v>
      </c>
      <c r="E382" s="60">
        <v>2888</v>
      </c>
      <c r="F382" s="58">
        <v>0</v>
      </c>
      <c r="G382" s="58">
        <v>15888</v>
      </c>
    </row>
    <row r="383" spans="1:7">
      <c r="A383" s="58">
        <v>140982</v>
      </c>
      <c r="B383" t="s">
        <v>657</v>
      </c>
      <c r="C383" s="30">
        <v>100982</v>
      </c>
      <c r="D383" s="58">
        <v>1</v>
      </c>
      <c r="E383" s="60">
        <v>888</v>
      </c>
      <c r="F383" s="58">
        <v>0</v>
      </c>
      <c r="G383" s="58">
        <v>1988</v>
      </c>
    </row>
    <row r="384" spans="1:7">
      <c r="A384" s="58">
        <v>140983</v>
      </c>
      <c r="B384" t="s">
        <v>657</v>
      </c>
      <c r="C384" s="30">
        <v>100983</v>
      </c>
      <c r="D384" s="58">
        <v>1</v>
      </c>
      <c r="E384" s="60">
        <v>1588</v>
      </c>
      <c r="F384" s="58">
        <v>0</v>
      </c>
      <c r="G384" s="58">
        <v>6888</v>
      </c>
    </row>
    <row r="385" spans="1:7">
      <c r="A385" s="58">
        <v>140984</v>
      </c>
      <c r="B385" t="s">
        <v>657</v>
      </c>
      <c r="C385" s="30">
        <v>100984</v>
      </c>
      <c r="D385" s="58">
        <v>1</v>
      </c>
      <c r="E385" s="60">
        <v>2888</v>
      </c>
      <c r="F385" s="58">
        <v>0</v>
      </c>
      <c r="G385" s="58">
        <v>15888</v>
      </c>
    </row>
    <row r="386" spans="1:7">
      <c r="A386" s="58">
        <v>140992</v>
      </c>
      <c r="B386" t="s">
        <v>664</v>
      </c>
      <c r="C386" s="30">
        <v>100992</v>
      </c>
      <c r="D386" s="58">
        <v>1</v>
      </c>
      <c r="E386" s="60">
        <v>888</v>
      </c>
      <c r="F386" s="58">
        <v>0</v>
      </c>
      <c r="G386" s="58">
        <v>1988</v>
      </c>
    </row>
    <row r="387" spans="1:7">
      <c r="A387" s="58">
        <v>140993</v>
      </c>
      <c r="B387" t="s">
        <v>664</v>
      </c>
      <c r="C387" s="30">
        <v>100993</v>
      </c>
      <c r="D387" s="58">
        <v>1</v>
      </c>
      <c r="E387" s="60">
        <v>1588</v>
      </c>
      <c r="F387" s="58">
        <v>0</v>
      </c>
      <c r="G387" s="58">
        <v>6888</v>
      </c>
    </row>
    <row r="388" spans="1:7">
      <c r="A388" s="58">
        <v>140994</v>
      </c>
      <c r="B388" t="s">
        <v>664</v>
      </c>
      <c r="C388" s="30">
        <v>100994</v>
      </c>
      <c r="D388" s="58">
        <v>1</v>
      </c>
      <c r="E388" s="60">
        <v>2888</v>
      </c>
      <c r="F388" s="58">
        <v>0</v>
      </c>
      <c r="G388" s="58">
        <v>15888</v>
      </c>
    </row>
    <row r="389" spans="1:7">
      <c r="A389" s="58">
        <v>141002</v>
      </c>
      <c r="B389" t="s">
        <v>671</v>
      </c>
      <c r="C389" s="30">
        <v>101002</v>
      </c>
      <c r="D389" s="58">
        <v>1</v>
      </c>
      <c r="E389" s="60">
        <v>888</v>
      </c>
      <c r="F389" s="58">
        <v>0</v>
      </c>
      <c r="G389" s="58">
        <v>1988</v>
      </c>
    </row>
    <row r="390" spans="1:7">
      <c r="A390" s="58">
        <v>141003</v>
      </c>
      <c r="B390" t="s">
        <v>671</v>
      </c>
      <c r="C390" s="30">
        <v>101003</v>
      </c>
      <c r="D390" s="58">
        <v>1</v>
      </c>
      <c r="E390" s="60">
        <v>1588</v>
      </c>
      <c r="F390" s="58">
        <v>0</v>
      </c>
      <c r="G390" s="58">
        <v>6888</v>
      </c>
    </row>
    <row r="391" spans="1:7">
      <c r="A391" s="58">
        <v>141004</v>
      </c>
      <c r="B391" t="s">
        <v>671</v>
      </c>
      <c r="C391" s="30">
        <v>101004</v>
      </c>
      <c r="D391" s="58">
        <v>1</v>
      </c>
      <c r="E391" s="60">
        <v>2888</v>
      </c>
      <c r="F391" s="58">
        <v>0</v>
      </c>
      <c r="G391" s="58">
        <v>15888</v>
      </c>
    </row>
    <row r="392" spans="1:7" s="68" customFormat="1">
      <c r="A392" s="68">
        <v>141012</v>
      </c>
      <c r="B392" s="43" t="s">
        <v>678</v>
      </c>
      <c r="C392" s="84">
        <v>101012</v>
      </c>
      <c r="D392" s="68">
        <v>1</v>
      </c>
      <c r="E392" s="85">
        <v>888</v>
      </c>
      <c r="F392" s="68">
        <v>0</v>
      </c>
      <c r="G392" s="68">
        <v>1988</v>
      </c>
    </row>
    <row r="393" spans="1:7" s="68" customFormat="1">
      <c r="A393" s="68">
        <v>141013</v>
      </c>
      <c r="B393" s="43" t="s">
        <v>678</v>
      </c>
      <c r="C393" s="84">
        <v>101013</v>
      </c>
      <c r="D393" s="68">
        <v>1</v>
      </c>
      <c r="E393" s="85">
        <v>1588</v>
      </c>
      <c r="F393" s="68">
        <v>0</v>
      </c>
      <c r="G393" s="68">
        <v>6888</v>
      </c>
    </row>
    <row r="394" spans="1:7" s="68" customFormat="1">
      <c r="A394" s="68">
        <v>141014</v>
      </c>
      <c r="B394" s="43" t="s">
        <v>678</v>
      </c>
      <c r="C394" s="84">
        <v>101014</v>
      </c>
      <c r="D394" s="68">
        <v>1</v>
      </c>
      <c r="E394" s="85">
        <v>2888</v>
      </c>
      <c r="F394" s="68">
        <v>0</v>
      </c>
      <c r="G394" s="68">
        <v>15888</v>
      </c>
    </row>
    <row r="395" spans="1:7">
      <c r="A395" s="58">
        <v>141022</v>
      </c>
      <c r="B395" t="s">
        <v>685</v>
      </c>
      <c r="C395" s="30">
        <v>101022</v>
      </c>
      <c r="D395" s="58">
        <v>1</v>
      </c>
      <c r="E395" s="60">
        <v>888</v>
      </c>
      <c r="F395" s="58">
        <v>0</v>
      </c>
      <c r="G395" s="58">
        <v>1988</v>
      </c>
    </row>
    <row r="396" spans="1:7">
      <c r="A396" s="58">
        <v>141023</v>
      </c>
      <c r="B396" t="s">
        <v>685</v>
      </c>
      <c r="C396" s="30">
        <v>101023</v>
      </c>
      <c r="D396" s="58">
        <v>1</v>
      </c>
      <c r="E396" s="60">
        <v>1588</v>
      </c>
      <c r="F396" s="58">
        <v>0</v>
      </c>
      <c r="G396" s="58">
        <v>6888</v>
      </c>
    </row>
    <row r="397" spans="1:7">
      <c r="A397" s="58">
        <v>141024</v>
      </c>
      <c r="B397" t="s">
        <v>685</v>
      </c>
      <c r="C397" s="30">
        <v>101024</v>
      </c>
      <c r="D397" s="58">
        <v>1</v>
      </c>
      <c r="E397" s="60">
        <v>2888</v>
      </c>
      <c r="F397" s="58">
        <v>0</v>
      </c>
      <c r="G397" s="58">
        <v>15888</v>
      </c>
    </row>
    <row r="398" spans="1:7" s="68" customFormat="1">
      <c r="A398" s="68">
        <v>141032</v>
      </c>
      <c r="B398" s="43" t="s">
        <v>692</v>
      </c>
      <c r="C398" s="84">
        <v>101032</v>
      </c>
      <c r="D398" s="68">
        <v>1</v>
      </c>
      <c r="E398" s="85">
        <v>888</v>
      </c>
      <c r="F398" s="68">
        <v>0</v>
      </c>
      <c r="G398" s="68">
        <v>1988</v>
      </c>
    </row>
    <row r="399" spans="1:7" s="68" customFormat="1">
      <c r="A399" s="68">
        <v>141033</v>
      </c>
      <c r="B399" s="43" t="s">
        <v>692</v>
      </c>
      <c r="C399" s="84">
        <v>101033</v>
      </c>
      <c r="D399" s="68">
        <v>1</v>
      </c>
      <c r="E399" s="85">
        <v>1588</v>
      </c>
      <c r="F399" s="68">
        <v>0</v>
      </c>
      <c r="G399" s="68">
        <v>6888</v>
      </c>
    </row>
    <row r="400" spans="1:7" s="68" customFormat="1">
      <c r="A400" s="68">
        <v>141034</v>
      </c>
      <c r="B400" s="43" t="s">
        <v>692</v>
      </c>
      <c r="C400" s="84">
        <v>101034</v>
      </c>
      <c r="D400" s="68">
        <v>1</v>
      </c>
      <c r="E400" s="85">
        <v>2888</v>
      </c>
      <c r="F400" s="68">
        <v>0</v>
      </c>
      <c r="G400" s="68">
        <v>15888</v>
      </c>
    </row>
    <row r="401" spans="1:7">
      <c r="A401" s="58">
        <v>141042</v>
      </c>
      <c r="B401" t="s">
        <v>699</v>
      </c>
      <c r="C401" s="30">
        <v>101042</v>
      </c>
      <c r="D401" s="58">
        <v>1</v>
      </c>
      <c r="E401" s="60">
        <v>888</v>
      </c>
      <c r="F401" s="58">
        <v>0</v>
      </c>
      <c r="G401" s="58">
        <v>1988</v>
      </c>
    </row>
    <row r="402" spans="1:7">
      <c r="A402" s="58">
        <v>141043</v>
      </c>
      <c r="B402" t="s">
        <v>699</v>
      </c>
      <c r="C402" s="30">
        <v>101043</v>
      </c>
      <c r="D402" s="58">
        <v>1</v>
      </c>
      <c r="E402" s="60">
        <v>1588</v>
      </c>
      <c r="F402" s="58">
        <v>0</v>
      </c>
      <c r="G402" s="58">
        <v>6888</v>
      </c>
    </row>
    <row r="403" spans="1:7">
      <c r="A403" s="58">
        <v>141044</v>
      </c>
      <c r="B403" t="s">
        <v>699</v>
      </c>
      <c r="C403" s="30">
        <v>101044</v>
      </c>
      <c r="D403" s="58">
        <v>1</v>
      </c>
      <c r="E403" s="60">
        <v>2888</v>
      </c>
      <c r="F403" s="58">
        <v>0</v>
      </c>
      <c r="G403" s="58">
        <v>15888</v>
      </c>
    </row>
    <row r="404" spans="1:7">
      <c r="A404" s="58">
        <v>141052</v>
      </c>
      <c r="B404" t="s">
        <v>5140</v>
      </c>
      <c r="C404" s="30">
        <v>101052</v>
      </c>
      <c r="D404" s="58">
        <v>1</v>
      </c>
      <c r="E404" s="60">
        <v>888</v>
      </c>
      <c r="F404" s="58">
        <v>0</v>
      </c>
      <c r="G404" s="58">
        <v>1988</v>
      </c>
    </row>
    <row r="405" spans="1:7">
      <c r="A405" s="58">
        <v>141053</v>
      </c>
      <c r="B405" t="s">
        <v>5140</v>
      </c>
      <c r="C405" s="30">
        <v>101053</v>
      </c>
      <c r="D405" s="58">
        <v>1</v>
      </c>
      <c r="E405" s="60">
        <v>1588</v>
      </c>
      <c r="F405" s="58">
        <v>0</v>
      </c>
      <c r="G405" s="58">
        <v>6888</v>
      </c>
    </row>
    <row r="406" spans="1:7">
      <c r="A406" s="58">
        <v>141054</v>
      </c>
      <c r="B406" t="s">
        <v>5140</v>
      </c>
      <c r="C406" s="30">
        <v>101054</v>
      </c>
      <c r="D406" s="58">
        <v>1</v>
      </c>
      <c r="E406" s="60">
        <v>2888</v>
      </c>
      <c r="F406" s="58">
        <v>0</v>
      </c>
      <c r="G406" s="58">
        <v>15888</v>
      </c>
    </row>
    <row r="407" spans="1:7">
      <c r="A407" s="58">
        <v>141062</v>
      </c>
      <c r="B407" t="s">
        <v>713</v>
      </c>
      <c r="C407" s="30">
        <v>101062</v>
      </c>
      <c r="D407" s="58">
        <v>1</v>
      </c>
      <c r="E407" s="60">
        <v>888</v>
      </c>
      <c r="F407" s="58">
        <v>0</v>
      </c>
      <c r="G407" s="58">
        <v>1988</v>
      </c>
    </row>
    <row r="408" spans="1:7">
      <c r="A408" s="58">
        <v>141063</v>
      </c>
      <c r="B408" t="s">
        <v>713</v>
      </c>
      <c r="C408" s="30">
        <v>101063</v>
      </c>
      <c r="D408" s="58">
        <v>1</v>
      </c>
      <c r="E408" s="60">
        <v>1588</v>
      </c>
      <c r="F408" s="58">
        <v>0</v>
      </c>
      <c r="G408" s="58">
        <v>6888</v>
      </c>
    </row>
    <row r="409" spans="1:7">
      <c r="A409" s="58">
        <v>141064</v>
      </c>
      <c r="B409" t="s">
        <v>713</v>
      </c>
      <c r="C409" s="30">
        <v>101064</v>
      </c>
      <c r="D409" s="58">
        <v>1</v>
      </c>
      <c r="E409" s="60">
        <v>2888</v>
      </c>
      <c r="F409" s="58">
        <v>0</v>
      </c>
      <c r="G409" s="58">
        <v>15888</v>
      </c>
    </row>
    <row r="410" spans="1:7">
      <c r="A410" s="58">
        <v>141072</v>
      </c>
      <c r="B410" t="s">
        <v>720</v>
      </c>
      <c r="C410" s="30">
        <v>101072</v>
      </c>
      <c r="D410" s="58">
        <v>1</v>
      </c>
      <c r="E410" s="60">
        <v>888</v>
      </c>
      <c r="F410" s="58">
        <v>0</v>
      </c>
      <c r="G410" s="58">
        <v>1988</v>
      </c>
    </row>
    <row r="411" spans="1:7">
      <c r="A411" s="58">
        <v>141073</v>
      </c>
      <c r="B411" t="s">
        <v>720</v>
      </c>
      <c r="C411" s="30">
        <v>101073</v>
      </c>
      <c r="D411" s="58">
        <v>1</v>
      </c>
      <c r="E411" s="60">
        <v>1588</v>
      </c>
      <c r="F411" s="58">
        <v>0</v>
      </c>
      <c r="G411" s="58">
        <v>6888</v>
      </c>
    </row>
    <row r="412" spans="1:7">
      <c r="A412" s="58">
        <v>141074</v>
      </c>
      <c r="B412" t="s">
        <v>720</v>
      </c>
      <c r="C412" s="30">
        <v>101074</v>
      </c>
      <c r="D412" s="58">
        <v>1</v>
      </c>
      <c r="E412" s="60">
        <v>2888</v>
      </c>
      <c r="F412" s="58">
        <v>0</v>
      </c>
      <c r="G412" s="58">
        <v>15888</v>
      </c>
    </row>
    <row r="413" spans="1:7">
      <c r="A413" s="58">
        <v>141082</v>
      </c>
      <c r="B413" t="s">
        <v>727</v>
      </c>
      <c r="C413" s="30">
        <v>101082</v>
      </c>
      <c r="D413" s="58">
        <v>1</v>
      </c>
      <c r="E413" s="60">
        <v>888</v>
      </c>
      <c r="F413" s="58">
        <v>0</v>
      </c>
      <c r="G413" s="58">
        <v>1988</v>
      </c>
    </row>
    <row r="414" spans="1:7">
      <c r="A414" s="58">
        <v>141083</v>
      </c>
      <c r="B414" t="s">
        <v>727</v>
      </c>
      <c r="C414" s="30">
        <v>101083</v>
      </c>
      <c r="D414" s="58">
        <v>1</v>
      </c>
      <c r="E414" s="60">
        <v>1588</v>
      </c>
      <c r="F414" s="58">
        <v>0</v>
      </c>
      <c r="G414" s="58">
        <v>6888</v>
      </c>
    </row>
    <row r="415" spans="1:7">
      <c r="A415" s="58">
        <v>141084</v>
      </c>
      <c r="B415" t="s">
        <v>727</v>
      </c>
      <c r="C415" s="30">
        <v>101084</v>
      </c>
      <c r="D415" s="58">
        <v>1</v>
      </c>
      <c r="E415" s="60">
        <v>2888</v>
      </c>
      <c r="F415" s="58">
        <v>0</v>
      </c>
      <c r="G415" s="58">
        <v>15888</v>
      </c>
    </row>
    <row r="416" spans="1:7">
      <c r="A416" s="58">
        <v>141092</v>
      </c>
      <c r="B416" t="s">
        <v>734</v>
      </c>
      <c r="C416" s="30">
        <v>101092</v>
      </c>
      <c r="D416" s="58">
        <v>1</v>
      </c>
      <c r="E416" s="60">
        <v>888</v>
      </c>
      <c r="F416" s="58">
        <v>0</v>
      </c>
      <c r="G416" s="58">
        <v>1988</v>
      </c>
    </row>
    <row r="417" spans="1:7">
      <c r="A417" s="58">
        <v>141093</v>
      </c>
      <c r="B417" t="s">
        <v>734</v>
      </c>
      <c r="C417" s="30">
        <v>101093</v>
      </c>
      <c r="D417" s="58">
        <v>1</v>
      </c>
      <c r="E417" s="60">
        <v>1588</v>
      </c>
      <c r="F417" s="58">
        <v>0</v>
      </c>
      <c r="G417" s="58">
        <v>6888</v>
      </c>
    </row>
    <row r="418" spans="1:7">
      <c r="A418" s="58">
        <v>141094</v>
      </c>
      <c r="B418" t="s">
        <v>734</v>
      </c>
      <c r="C418" s="30">
        <v>101094</v>
      </c>
      <c r="D418" s="58">
        <v>1</v>
      </c>
      <c r="E418" s="60">
        <v>2888</v>
      </c>
      <c r="F418" s="58">
        <v>0</v>
      </c>
      <c r="G418" s="58">
        <v>15888</v>
      </c>
    </row>
    <row r="419" spans="1:7">
      <c r="A419" s="58">
        <v>141102</v>
      </c>
      <c r="B419" t="s">
        <v>741</v>
      </c>
      <c r="C419" s="30">
        <v>101102</v>
      </c>
      <c r="D419" s="58">
        <v>1</v>
      </c>
      <c r="E419" s="60">
        <v>888</v>
      </c>
      <c r="F419" s="58">
        <v>0</v>
      </c>
      <c r="G419" s="58">
        <v>1988</v>
      </c>
    </row>
    <row r="420" spans="1:7">
      <c r="A420" s="58">
        <v>141103</v>
      </c>
      <c r="B420" t="s">
        <v>741</v>
      </c>
      <c r="C420" s="30">
        <v>101103</v>
      </c>
      <c r="D420" s="58">
        <v>1</v>
      </c>
      <c r="E420" s="60">
        <v>1588</v>
      </c>
      <c r="F420" s="58">
        <v>0</v>
      </c>
      <c r="G420" s="58">
        <v>6888</v>
      </c>
    </row>
    <row r="421" spans="1:7">
      <c r="A421" s="58">
        <v>141104</v>
      </c>
      <c r="B421" t="s">
        <v>741</v>
      </c>
      <c r="C421" s="30">
        <v>101104</v>
      </c>
      <c r="D421" s="58">
        <v>1</v>
      </c>
      <c r="E421" s="60">
        <v>2888</v>
      </c>
      <c r="F421" s="58">
        <v>0</v>
      </c>
      <c r="G421" s="58">
        <v>15888</v>
      </c>
    </row>
    <row r="422" spans="1:7">
      <c r="A422" s="58">
        <v>141112</v>
      </c>
      <c r="B422" t="s">
        <v>5141</v>
      </c>
      <c r="C422" s="30">
        <v>101112</v>
      </c>
      <c r="D422" s="58">
        <v>1</v>
      </c>
      <c r="E422" s="60">
        <v>888</v>
      </c>
      <c r="F422" s="58">
        <v>0</v>
      </c>
      <c r="G422" s="58">
        <v>1988</v>
      </c>
    </row>
    <row r="423" spans="1:7">
      <c r="A423" s="58">
        <v>141113</v>
      </c>
      <c r="B423" t="s">
        <v>5141</v>
      </c>
      <c r="C423" s="30">
        <v>101113</v>
      </c>
      <c r="D423" s="58">
        <v>1</v>
      </c>
      <c r="E423" s="60">
        <v>1588</v>
      </c>
      <c r="F423" s="58">
        <v>0</v>
      </c>
      <c r="G423" s="58">
        <v>6888</v>
      </c>
    </row>
    <row r="424" spans="1:7">
      <c r="A424" s="58">
        <v>141114</v>
      </c>
      <c r="B424" t="s">
        <v>5141</v>
      </c>
      <c r="C424" s="30">
        <v>101114</v>
      </c>
      <c r="D424" s="58">
        <v>1</v>
      </c>
      <c r="E424" s="60">
        <v>2888</v>
      </c>
      <c r="F424" s="58">
        <v>0</v>
      </c>
      <c r="G424" s="58">
        <v>15888</v>
      </c>
    </row>
    <row r="425" spans="1:7">
      <c r="A425" s="58">
        <v>141122</v>
      </c>
      <c r="B425" t="s">
        <v>755</v>
      </c>
      <c r="C425" s="30">
        <v>101122</v>
      </c>
      <c r="D425" s="58">
        <v>1</v>
      </c>
      <c r="E425" s="60">
        <v>888</v>
      </c>
      <c r="F425" s="58">
        <v>0</v>
      </c>
      <c r="G425" s="58">
        <v>1988</v>
      </c>
    </row>
    <row r="426" spans="1:7">
      <c r="A426" s="58">
        <v>141123</v>
      </c>
      <c r="B426" t="s">
        <v>755</v>
      </c>
      <c r="C426" s="30">
        <v>101123</v>
      </c>
      <c r="D426" s="58">
        <v>1</v>
      </c>
      <c r="E426" s="60">
        <v>1588</v>
      </c>
      <c r="F426" s="58">
        <v>0</v>
      </c>
      <c r="G426" s="58">
        <v>6888</v>
      </c>
    </row>
    <row r="427" spans="1:7">
      <c r="A427" s="58">
        <v>141124</v>
      </c>
      <c r="B427" t="s">
        <v>755</v>
      </c>
      <c r="C427" s="30">
        <v>101124</v>
      </c>
      <c r="D427" s="58">
        <v>1</v>
      </c>
      <c r="E427" s="60">
        <v>2888</v>
      </c>
      <c r="F427" s="58">
        <v>0</v>
      </c>
      <c r="G427" s="58">
        <v>15888</v>
      </c>
    </row>
    <row r="428" spans="1:7">
      <c r="A428" s="58">
        <v>141132</v>
      </c>
      <c r="B428" t="s">
        <v>762</v>
      </c>
      <c r="C428" s="30">
        <v>101132</v>
      </c>
      <c r="D428" s="58">
        <v>1</v>
      </c>
      <c r="E428" s="60">
        <v>888</v>
      </c>
      <c r="F428" s="58">
        <v>0</v>
      </c>
      <c r="G428" s="58">
        <v>1988</v>
      </c>
    </row>
    <row r="429" spans="1:7">
      <c r="A429" s="58">
        <v>141133</v>
      </c>
      <c r="B429" t="s">
        <v>762</v>
      </c>
      <c r="C429" s="30">
        <v>101133</v>
      </c>
      <c r="D429" s="58">
        <v>1</v>
      </c>
      <c r="E429" s="60">
        <v>1588</v>
      </c>
      <c r="F429" s="58">
        <v>0</v>
      </c>
      <c r="G429" s="58">
        <v>6888</v>
      </c>
    </row>
    <row r="430" spans="1:7">
      <c r="A430" s="58">
        <v>141134</v>
      </c>
      <c r="B430" t="s">
        <v>762</v>
      </c>
      <c r="C430" s="30">
        <v>101134</v>
      </c>
      <c r="D430" s="58">
        <v>1</v>
      </c>
      <c r="E430" s="60">
        <v>2888</v>
      </c>
      <c r="F430" s="58">
        <v>0</v>
      </c>
      <c r="G430" s="58">
        <v>15888</v>
      </c>
    </row>
    <row r="431" spans="1:7">
      <c r="A431" s="58">
        <v>141142</v>
      </c>
      <c r="B431" t="s">
        <v>769</v>
      </c>
      <c r="C431" s="30">
        <v>101142</v>
      </c>
      <c r="D431" s="58">
        <v>1</v>
      </c>
      <c r="E431" s="60">
        <v>888</v>
      </c>
      <c r="F431" s="58">
        <v>0</v>
      </c>
      <c r="G431" s="58">
        <v>1988</v>
      </c>
    </row>
    <row r="432" spans="1:7">
      <c r="A432" s="58">
        <v>141143</v>
      </c>
      <c r="B432" t="s">
        <v>769</v>
      </c>
      <c r="C432" s="30">
        <v>101143</v>
      </c>
      <c r="D432" s="58">
        <v>1</v>
      </c>
      <c r="E432" s="60">
        <v>1588</v>
      </c>
      <c r="F432" s="58">
        <v>0</v>
      </c>
      <c r="G432" s="58">
        <v>6888</v>
      </c>
    </row>
    <row r="433" spans="1:7">
      <c r="A433" s="58">
        <v>141144</v>
      </c>
      <c r="B433" t="s">
        <v>769</v>
      </c>
      <c r="C433" s="30">
        <v>101144</v>
      </c>
      <c r="D433" s="58">
        <v>1</v>
      </c>
      <c r="E433" s="60">
        <v>2888</v>
      </c>
      <c r="F433" s="58">
        <v>0</v>
      </c>
      <c r="G433" s="58">
        <v>15888</v>
      </c>
    </row>
    <row r="434" spans="1:7">
      <c r="A434" s="58">
        <v>141152</v>
      </c>
      <c r="B434" s="86" t="s">
        <v>777</v>
      </c>
      <c r="C434" s="87">
        <v>101152</v>
      </c>
      <c r="D434" s="58">
        <v>1</v>
      </c>
      <c r="E434" s="60">
        <v>888</v>
      </c>
      <c r="F434" s="58">
        <v>0</v>
      </c>
      <c r="G434" s="58">
        <v>1988</v>
      </c>
    </row>
    <row r="435" spans="1:7">
      <c r="A435" s="58">
        <v>141153</v>
      </c>
      <c r="B435" s="86" t="s">
        <v>777</v>
      </c>
      <c r="C435" s="87">
        <v>101153</v>
      </c>
      <c r="D435" s="58">
        <v>1</v>
      </c>
      <c r="E435" s="60">
        <v>1588</v>
      </c>
      <c r="F435" s="58">
        <v>0</v>
      </c>
      <c r="G435" s="58">
        <v>6888</v>
      </c>
    </row>
    <row r="436" spans="1:7">
      <c r="A436" s="58">
        <v>141154</v>
      </c>
      <c r="B436" s="86" t="s">
        <v>777</v>
      </c>
      <c r="C436" s="87">
        <v>101154</v>
      </c>
      <c r="D436" s="58">
        <v>1</v>
      </c>
      <c r="E436" s="60">
        <v>2888</v>
      </c>
      <c r="F436" s="58">
        <v>0</v>
      </c>
      <c r="G436" s="58">
        <v>15888</v>
      </c>
    </row>
    <row r="437" spans="1:7">
      <c r="A437" s="58">
        <v>141174</v>
      </c>
      <c r="B437" s="86" t="s">
        <v>790</v>
      </c>
      <c r="C437" s="87">
        <v>101174</v>
      </c>
      <c r="D437" s="58">
        <v>1</v>
      </c>
      <c r="E437" s="58">
        <v>128888</v>
      </c>
      <c r="F437" s="58">
        <v>0</v>
      </c>
      <c r="G437" s="58">
        <v>999999</v>
      </c>
    </row>
    <row r="438" spans="1:7">
      <c r="A438" s="58">
        <v>141183</v>
      </c>
      <c r="B438" s="86" t="s">
        <v>792</v>
      </c>
      <c r="C438" s="87">
        <v>101183</v>
      </c>
      <c r="D438" s="58">
        <v>1</v>
      </c>
      <c r="E438" s="60">
        <v>2888</v>
      </c>
      <c r="F438" s="58">
        <v>0</v>
      </c>
      <c r="G438" s="58">
        <v>15888</v>
      </c>
    </row>
    <row r="439" spans="1:7">
      <c r="A439" s="58">
        <v>141194</v>
      </c>
      <c r="B439" s="88" t="s">
        <v>794</v>
      </c>
      <c r="C439" s="89">
        <v>101194</v>
      </c>
      <c r="D439" s="58">
        <v>1</v>
      </c>
      <c r="E439" s="58">
        <v>128888</v>
      </c>
      <c r="F439" s="58">
        <v>0</v>
      </c>
      <c r="G439" s="58">
        <v>999999</v>
      </c>
    </row>
    <row r="440" spans="1:7">
      <c r="A440" s="58">
        <v>141204</v>
      </c>
      <c r="B440" s="88" t="s">
        <v>795</v>
      </c>
      <c r="C440" s="89">
        <v>101204</v>
      </c>
      <c r="D440" s="58">
        <v>1</v>
      </c>
      <c r="E440" s="58">
        <v>128888</v>
      </c>
      <c r="F440" s="58">
        <v>0</v>
      </c>
      <c r="G440" s="58">
        <v>999999</v>
      </c>
    </row>
    <row r="441" spans="1:7">
      <c r="A441" s="58">
        <v>141214</v>
      </c>
      <c r="B441" s="88" t="s">
        <v>796</v>
      </c>
      <c r="C441" s="89">
        <v>101214</v>
      </c>
      <c r="D441" s="58">
        <v>1</v>
      </c>
      <c r="E441" s="58">
        <v>128888</v>
      </c>
      <c r="F441" s="58">
        <v>0</v>
      </c>
      <c r="G441" s="58">
        <v>999999</v>
      </c>
    </row>
    <row r="442" spans="1:7">
      <c r="A442" s="58">
        <v>141224</v>
      </c>
      <c r="B442" s="88" t="s">
        <v>797</v>
      </c>
      <c r="C442" s="89">
        <v>101224</v>
      </c>
      <c r="D442" s="58">
        <v>1</v>
      </c>
      <c r="E442" s="58">
        <v>128888</v>
      </c>
      <c r="F442" s="58">
        <v>0</v>
      </c>
      <c r="G442" s="58">
        <v>999999</v>
      </c>
    </row>
    <row r="443" spans="1:7">
      <c r="A443" s="58">
        <v>141234</v>
      </c>
      <c r="B443" s="88" t="s">
        <v>798</v>
      </c>
      <c r="C443" s="89">
        <v>101234</v>
      </c>
      <c r="D443" s="58">
        <v>1</v>
      </c>
      <c r="E443" s="58">
        <v>128888</v>
      </c>
      <c r="F443" s="58">
        <v>0</v>
      </c>
      <c r="G443" s="58">
        <v>999999</v>
      </c>
    </row>
    <row r="444" spans="1:7">
      <c r="A444" s="58">
        <v>141244</v>
      </c>
      <c r="B444" s="88" t="s">
        <v>799</v>
      </c>
      <c r="C444" s="89">
        <v>101244</v>
      </c>
      <c r="D444" s="58">
        <v>1</v>
      </c>
      <c r="E444" s="58">
        <v>128888</v>
      </c>
      <c r="F444" s="58">
        <v>0</v>
      </c>
      <c r="G444" s="58">
        <v>999999</v>
      </c>
    </row>
    <row r="445" spans="1:7">
      <c r="A445" s="58">
        <v>141254</v>
      </c>
      <c r="B445" s="86" t="s">
        <v>800</v>
      </c>
      <c r="C445" s="87">
        <v>101254</v>
      </c>
      <c r="D445" s="58">
        <v>1</v>
      </c>
      <c r="E445" s="58">
        <v>128888</v>
      </c>
      <c r="F445" s="58">
        <v>0</v>
      </c>
      <c r="G445" s="58">
        <v>999999</v>
      </c>
    </row>
    <row r="446" spans="1:7">
      <c r="A446" s="58">
        <v>141264</v>
      </c>
      <c r="B446" s="86" t="s">
        <v>801</v>
      </c>
      <c r="C446" s="87">
        <v>101264</v>
      </c>
      <c r="D446" s="58">
        <v>1</v>
      </c>
      <c r="E446" s="58">
        <v>128888</v>
      </c>
      <c r="F446" s="58">
        <v>0</v>
      </c>
      <c r="G446" s="58">
        <v>999999</v>
      </c>
    </row>
    <row r="447" spans="1:7">
      <c r="A447" s="58">
        <v>141274</v>
      </c>
      <c r="B447" s="86" t="s">
        <v>802</v>
      </c>
      <c r="C447" s="87">
        <v>101274</v>
      </c>
      <c r="D447" s="58">
        <v>1</v>
      </c>
      <c r="E447" s="58">
        <v>128888</v>
      </c>
      <c r="F447" s="58">
        <v>0</v>
      </c>
      <c r="G447" s="58">
        <v>999999</v>
      </c>
    </row>
    <row r="448" spans="1:7">
      <c r="A448" s="58">
        <v>141284</v>
      </c>
      <c r="B448" s="86" t="s">
        <v>803</v>
      </c>
      <c r="C448" s="87">
        <v>101284</v>
      </c>
      <c r="D448" s="58">
        <v>1</v>
      </c>
      <c r="E448" s="58">
        <v>128888</v>
      </c>
      <c r="F448" s="58">
        <v>0</v>
      </c>
      <c r="G448" s="58">
        <v>999999</v>
      </c>
    </row>
    <row r="449" spans="1:7">
      <c r="A449" s="58">
        <v>141294</v>
      </c>
      <c r="B449" s="88" t="s">
        <v>804</v>
      </c>
      <c r="C449" s="89">
        <v>101294</v>
      </c>
      <c r="D449" s="58">
        <v>1</v>
      </c>
      <c r="E449" s="58">
        <v>128888</v>
      </c>
      <c r="F449" s="58">
        <v>0</v>
      </c>
      <c r="G449" s="58">
        <v>999999</v>
      </c>
    </row>
    <row r="450" spans="1:7">
      <c r="A450" s="58">
        <v>141304</v>
      </c>
      <c r="B450" s="88" t="s">
        <v>805</v>
      </c>
      <c r="C450" s="89">
        <v>101304</v>
      </c>
      <c r="D450" s="58">
        <v>1</v>
      </c>
      <c r="E450" s="58">
        <v>128888</v>
      </c>
      <c r="F450" s="58">
        <v>0</v>
      </c>
      <c r="G450" s="58">
        <v>999999</v>
      </c>
    </row>
    <row r="451" spans="1:7" s="69" customFormat="1">
      <c r="A451" s="69">
        <v>141314</v>
      </c>
      <c r="B451" s="79" t="s">
        <v>806</v>
      </c>
      <c r="C451" s="80">
        <v>101314</v>
      </c>
      <c r="D451" s="69">
        <v>1</v>
      </c>
      <c r="E451" s="69">
        <v>128888</v>
      </c>
      <c r="F451" s="69">
        <v>0</v>
      </c>
      <c r="G451" s="69">
        <v>999999</v>
      </c>
    </row>
    <row r="452" spans="1:7" s="69" customFormat="1">
      <c r="A452" s="69">
        <v>141322</v>
      </c>
      <c r="B452" s="79" t="s">
        <v>808</v>
      </c>
      <c r="C452" s="80">
        <v>101322</v>
      </c>
      <c r="D452" s="69">
        <v>1</v>
      </c>
      <c r="E452" s="81">
        <v>888</v>
      </c>
      <c r="F452" s="69">
        <v>0</v>
      </c>
      <c r="G452" s="69">
        <v>1988</v>
      </c>
    </row>
    <row r="453" spans="1:7" s="69" customFormat="1">
      <c r="A453" s="69">
        <v>141323</v>
      </c>
      <c r="B453" s="79" t="s">
        <v>808</v>
      </c>
      <c r="C453" s="80">
        <v>101323</v>
      </c>
      <c r="D453" s="69">
        <v>1</v>
      </c>
      <c r="E453" s="81">
        <v>1588</v>
      </c>
      <c r="F453" s="69">
        <v>0</v>
      </c>
      <c r="G453" s="69">
        <v>6888</v>
      </c>
    </row>
    <row r="454" spans="1:7" s="69" customFormat="1">
      <c r="A454" s="69">
        <v>141324</v>
      </c>
      <c r="B454" s="79" t="s">
        <v>808</v>
      </c>
      <c r="C454" s="80">
        <v>101324</v>
      </c>
      <c r="D454" s="69">
        <v>1</v>
      </c>
      <c r="E454" s="81">
        <v>2888</v>
      </c>
      <c r="F454" s="69">
        <v>0</v>
      </c>
      <c r="G454" s="69">
        <v>15888</v>
      </c>
    </row>
    <row r="455" spans="1:7" s="69" customFormat="1">
      <c r="A455" s="69">
        <v>141332</v>
      </c>
      <c r="B455" s="79" t="s">
        <v>815</v>
      </c>
      <c r="C455" s="80">
        <v>101332</v>
      </c>
      <c r="D455" s="69">
        <v>1</v>
      </c>
      <c r="E455" s="81">
        <v>888</v>
      </c>
      <c r="F455" s="69">
        <v>0</v>
      </c>
      <c r="G455" s="69">
        <v>1988</v>
      </c>
    </row>
    <row r="456" spans="1:7" s="69" customFormat="1">
      <c r="A456" s="69">
        <v>141333</v>
      </c>
      <c r="B456" s="79" t="s">
        <v>815</v>
      </c>
      <c r="C456" s="80">
        <v>101333</v>
      </c>
      <c r="D456" s="69">
        <v>1</v>
      </c>
      <c r="E456" s="81">
        <v>1588</v>
      </c>
      <c r="F456" s="69">
        <v>0</v>
      </c>
      <c r="G456" s="69">
        <v>6888</v>
      </c>
    </row>
    <row r="457" spans="1:7" s="69" customFormat="1">
      <c r="A457" s="69">
        <v>141334</v>
      </c>
      <c r="B457" s="79" t="s">
        <v>815</v>
      </c>
      <c r="C457" s="80">
        <v>101334</v>
      </c>
      <c r="D457" s="69">
        <v>1</v>
      </c>
      <c r="E457" s="81">
        <v>2888</v>
      </c>
      <c r="F457" s="69">
        <v>0</v>
      </c>
      <c r="G457" s="69">
        <v>15888</v>
      </c>
    </row>
    <row r="458" spans="1:7" s="69" customFormat="1">
      <c r="A458" s="69">
        <v>141342</v>
      </c>
      <c r="B458" s="79" t="s">
        <v>822</v>
      </c>
      <c r="C458" s="80">
        <v>101342</v>
      </c>
      <c r="D458" s="69">
        <v>1</v>
      </c>
      <c r="E458" s="81">
        <v>888</v>
      </c>
      <c r="F458" s="69">
        <v>0</v>
      </c>
      <c r="G458" s="69">
        <v>1988</v>
      </c>
    </row>
    <row r="459" spans="1:7" s="69" customFormat="1">
      <c r="A459" s="69">
        <v>141343</v>
      </c>
      <c r="B459" s="79" t="s">
        <v>822</v>
      </c>
      <c r="C459" s="80">
        <v>101343</v>
      </c>
      <c r="D459" s="69">
        <v>1</v>
      </c>
      <c r="E459" s="81">
        <v>1588</v>
      </c>
      <c r="F459" s="69">
        <v>0</v>
      </c>
      <c r="G459" s="69">
        <v>6888</v>
      </c>
    </row>
    <row r="460" spans="1:7" s="69" customFormat="1">
      <c r="A460" s="69">
        <v>141344</v>
      </c>
      <c r="B460" s="79" t="s">
        <v>822</v>
      </c>
      <c r="C460" s="80">
        <v>101344</v>
      </c>
      <c r="D460" s="69">
        <v>1</v>
      </c>
      <c r="E460" s="81">
        <v>2888</v>
      </c>
      <c r="F460" s="69">
        <v>0</v>
      </c>
      <c r="G460" s="69">
        <v>15888</v>
      </c>
    </row>
    <row r="461" spans="1:7" s="69" customFormat="1">
      <c r="A461" s="90">
        <v>141352</v>
      </c>
      <c r="B461" s="79" t="s">
        <v>830</v>
      </c>
      <c r="C461" s="80">
        <v>101352</v>
      </c>
      <c r="D461" s="69">
        <v>1</v>
      </c>
      <c r="E461" s="81">
        <v>888</v>
      </c>
      <c r="F461" s="69">
        <v>0</v>
      </c>
      <c r="G461" s="69">
        <v>1988</v>
      </c>
    </row>
    <row r="462" spans="1:7" s="69" customFormat="1">
      <c r="A462" s="90">
        <v>141353</v>
      </c>
      <c r="B462" s="79" t="s">
        <v>830</v>
      </c>
      <c r="C462" s="80">
        <v>101353</v>
      </c>
      <c r="D462" s="69">
        <v>1</v>
      </c>
      <c r="E462" s="81">
        <v>1588</v>
      </c>
      <c r="F462" s="69">
        <v>0</v>
      </c>
      <c r="G462" s="69">
        <v>6888</v>
      </c>
    </row>
    <row r="463" spans="1:7" s="69" customFormat="1">
      <c r="A463" s="90">
        <v>141354</v>
      </c>
      <c r="B463" s="79" t="s">
        <v>830</v>
      </c>
      <c r="C463" s="80">
        <v>101354</v>
      </c>
      <c r="D463" s="69">
        <v>1</v>
      </c>
      <c r="E463" s="81">
        <v>2888</v>
      </c>
      <c r="F463" s="69">
        <v>0</v>
      </c>
      <c r="G463" s="69">
        <v>15888</v>
      </c>
    </row>
    <row r="464" spans="1:7" s="69" customFormat="1">
      <c r="A464" s="90">
        <v>141362</v>
      </c>
      <c r="B464" s="79" t="s">
        <v>837</v>
      </c>
      <c r="C464" s="80">
        <v>101362</v>
      </c>
      <c r="D464" s="69">
        <v>1</v>
      </c>
      <c r="E464" s="81">
        <v>888</v>
      </c>
      <c r="F464" s="69">
        <v>0</v>
      </c>
      <c r="G464" s="69">
        <v>1988</v>
      </c>
    </row>
    <row r="465" spans="1:7" s="69" customFormat="1">
      <c r="A465" s="90">
        <v>141363</v>
      </c>
      <c r="B465" s="79" t="s">
        <v>837</v>
      </c>
      <c r="C465" s="80">
        <v>101363</v>
      </c>
      <c r="D465" s="69">
        <v>1</v>
      </c>
      <c r="E465" s="81">
        <v>1588</v>
      </c>
      <c r="F465" s="69">
        <v>0</v>
      </c>
      <c r="G465" s="69">
        <v>6888</v>
      </c>
    </row>
    <row r="466" spans="1:7" s="69" customFormat="1">
      <c r="A466" s="90">
        <v>141364</v>
      </c>
      <c r="B466" s="79" t="s">
        <v>837</v>
      </c>
      <c r="C466" s="80">
        <v>101364</v>
      </c>
      <c r="D466" s="69">
        <v>1</v>
      </c>
      <c r="E466" s="81">
        <v>2888</v>
      </c>
      <c r="F466" s="69">
        <v>0</v>
      </c>
      <c r="G466" s="69">
        <v>15888</v>
      </c>
    </row>
    <row r="467" spans="1:7" s="69" customFormat="1">
      <c r="A467" s="90">
        <v>141372</v>
      </c>
      <c r="B467" s="79" t="s">
        <v>844</v>
      </c>
      <c r="C467" s="80">
        <v>101372</v>
      </c>
      <c r="D467" s="69">
        <v>1</v>
      </c>
      <c r="E467" s="81">
        <v>888</v>
      </c>
      <c r="F467" s="69">
        <v>0</v>
      </c>
      <c r="G467" s="69">
        <v>1988</v>
      </c>
    </row>
    <row r="468" spans="1:7" s="69" customFormat="1">
      <c r="A468" s="90">
        <v>141373</v>
      </c>
      <c r="B468" s="79" t="s">
        <v>844</v>
      </c>
      <c r="C468" s="80">
        <v>101373</v>
      </c>
      <c r="D468" s="69">
        <v>1</v>
      </c>
      <c r="E468" s="81">
        <v>1588</v>
      </c>
      <c r="F468" s="69">
        <v>0</v>
      </c>
      <c r="G468" s="69">
        <v>6888</v>
      </c>
    </row>
    <row r="469" spans="1:7" s="69" customFormat="1">
      <c r="A469" s="90">
        <v>141374</v>
      </c>
      <c r="B469" s="79" t="s">
        <v>844</v>
      </c>
      <c r="C469" s="80">
        <v>101374</v>
      </c>
      <c r="D469" s="69">
        <v>1</v>
      </c>
      <c r="E469" s="81">
        <v>2888</v>
      </c>
      <c r="F469" s="69">
        <v>0</v>
      </c>
      <c r="G469" s="69">
        <v>15888</v>
      </c>
    </row>
    <row r="470" spans="1:7" s="69" customFormat="1">
      <c r="A470" s="90">
        <v>141382</v>
      </c>
      <c r="B470" s="79" t="s">
        <v>851</v>
      </c>
      <c r="C470" s="80">
        <v>101382</v>
      </c>
      <c r="D470" s="69">
        <v>1</v>
      </c>
      <c r="E470" s="81">
        <v>888</v>
      </c>
      <c r="F470" s="69">
        <v>0</v>
      </c>
      <c r="G470" s="69">
        <v>1988</v>
      </c>
    </row>
    <row r="471" spans="1:7" s="69" customFormat="1">
      <c r="A471" s="90">
        <v>141383</v>
      </c>
      <c r="B471" s="79" t="s">
        <v>851</v>
      </c>
      <c r="C471" s="80">
        <v>101383</v>
      </c>
      <c r="D471" s="69">
        <v>1</v>
      </c>
      <c r="E471" s="81">
        <v>1588</v>
      </c>
      <c r="F471" s="69">
        <v>0</v>
      </c>
      <c r="G471" s="69">
        <v>6888</v>
      </c>
    </row>
    <row r="472" spans="1:7" s="69" customFormat="1">
      <c r="A472" s="90">
        <v>141384</v>
      </c>
      <c r="B472" s="79" t="s">
        <v>851</v>
      </c>
      <c r="C472" s="80">
        <v>101384</v>
      </c>
      <c r="D472" s="69">
        <v>1</v>
      </c>
      <c r="E472" s="81">
        <v>2888</v>
      </c>
      <c r="F472" s="69">
        <v>0</v>
      </c>
      <c r="G472" s="69">
        <v>15888</v>
      </c>
    </row>
    <row r="473" spans="1:7" s="69" customFormat="1">
      <c r="A473" s="90">
        <v>141392</v>
      </c>
      <c r="B473" s="79" t="s">
        <v>858</v>
      </c>
      <c r="C473" s="80">
        <v>101392</v>
      </c>
      <c r="D473" s="69">
        <v>1</v>
      </c>
      <c r="E473" s="81">
        <v>888</v>
      </c>
      <c r="F473" s="69">
        <v>0</v>
      </c>
      <c r="G473" s="69">
        <v>1988</v>
      </c>
    </row>
    <row r="474" spans="1:7" s="69" customFormat="1">
      <c r="A474" s="90">
        <v>141393</v>
      </c>
      <c r="B474" s="79" t="s">
        <v>858</v>
      </c>
      <c r="C474" s="80">
        <v>101393</v>
      </c>
      <c r="D474" s="69">
        <v>1</v>
      </c>
      <c r="E474" s="81">
        <v>1588</v>
      </c>
      <c r="F474" s="69">
        <v>0</v>
      </c>
      <c r="G474" s="69">
        <v>6888</v>
      </c>
    </row>
    <row r="475" spans="1:7" s="69" customFormat="1">
      <c r="A475" s="90">
        <v>141394</v>
      </c>
      <c r="B475" s="79" t="s">
        <v>858</v>
      </c>
      <c r="C475" s="80">
        <v>101394</v>
      </c>
      <c r="D475" s="69">
        <v>1</v>
      </c>
      <c r="E475" s="81">
        <v>2888</v>
      </c>
      <c r="F475" s="69">
        <v>0</v>
      </c>
      <c r="G475" s="69">
        <v>15888</v>
      </c>
    </row>
    <row r="476" spans="1:7" s="69" customFormat="1">
      <c r="A476" s="90">
        <v>141402</v>
      </c>
      <c r="B476" s="79" t="s">
        <v>865</v>
      </c>
      <c r="C476" s="80">
        <v>101402</v>
      </c>
      <c r="D476" s="69">
        <v>1</v>
      </c>
      <c r="E476" s="81">
        <v>888</v>
      </c>
      <c r="F476" s="69">
        <v>0</v>
      </c>
      <c r="G476" s="69">
        <v>1988</v>
      </c>
    </row>
    <row r="477" spans="1:7" s="69" customFormat="1">
      <c r="A477" s="90">
        <v>141403</v>
      </c>
      <c r="B477" s="79" t="s">
        <v>865</v>
      </c>
      <c r="C477" s="80">
        <v>101403</v>
      </c>
      <c r="D477" s="69">
        <v>1</v>
      </c>
      <c r="E477" s="81">
        <v>1588</v>
      </c>
      <c r="F477" s="69">
        <v>0</v>
      </c>
      <c r="G477" s="69">
        <v>6888</v>
      </c>
    </row>
    <row r="478" spans="1:7" s="69" customFormat="1">
      <c r="A478" s="90">
        <v>141404</v>
      </c>
      <c r="B478" s="79" t="s">
        <v>865</v>
      </c>
      <c r="C478" s="80">
        <v>101404</v>
      </c>
      <c r="D478" s="69">
        <v>1</v>
      </c>
      <c r="E478" s="81">
        <v>2888</v>
      </c>
      <c r="F478" s="69">
        <v>0</v>
      </c>
      <c r="G478" s="69">
        <v>15888</v>
      </c>
    </row>
    <row r="479" spans="1:7" s="69" customFormat="1">
      <c r="A479" s="90">
        <v>141412</v>
      </c>
      <c r="B479" s="79" t="s">
        <v>872</v>
      </c>
      <c r="C479" s="80">
        <v>101412</v>
      </c>
      <c r="D479" s="69">
        <v>1</v>
      </c>
      <c r="E479" s="81">
        <v>888</v>
      </c>
      <c r="F479" s="69">
        <v>0</v>
      </c>
      <c r="G479" s="69">
        <v>1988</v>
      </c>
    </row>
    <row r="480" spans="1:7" s="69" customFormat="1">
      <c r="A480" s="90">
        <v>141413</v>
      </c>
      <c r="B480" s="79" t="s">
        <v>872</v>
      </c>
      <c r="C480" s="80">
        <v>101413</v>
      </c>
      <c r="D480" s="69">
        <v>1</v>
      </c>
      <c r="E480" s="81">
        <v>1588</v>
      </c>
      <c r="F480" s="69">
        <v>0</v>
      </c>
      <c r="G480" s="69">
        <v>6888</v>
      </c>
    </row>
    <row r="481" spans="1:7" s="69" customFormat="1">
      <c r="A481" s="90">
        <v>141414</v>
      </c>
      <c r="B481" s="79" t="s">
        <v>872</v>
      </c>
      <c r="C481" s="80">
        <v>101414</v>
      </c>
      <c r="D481" s="69">
        <v>1</v>
      </c>
      <c r="E481" s="81">
        <v>2888</v>
      </c>
      <c r="F481" s="69">
        <v>0</v>
      </c>
      <c r="G481" s="69">
        <v>15888</v>
      </c>
    </row>
    <row r="482" spans="1:7" s="69" customFormat="1">
      <c r="A482" s="90">
        <v>141422</v>
      </c>
      <c r="B482" s="79" t="s">
        <v>879</v>
      </c>
      <c r="C482" s="80">
        <v>101422</v>
      </c>
      <c r="D482" s="69">
        <v>1</v>
      </c>
      <c r="E482" s="81">
        <v>888</v>
      </c>
      <c r="F482" s="69">
        <v>0</v>
      </c>
      <c r="G482" s="69">
        <v>1988</v>
      </c>
    </row>
    <row r="483" spans="1:7" s="69" customFormat="1">
      <c r="A483" s="90">
        <v>141423</v>
      </c>
      <c r="B483" s="79" t="s">
        <v>879</v>
      </c>
      <c r="C483" s="80">
        <v>101423</v>
      </c>
      <c r="D483" s="69">
        <v>1</v>
      </c>
      <c r="E483" s="81">
        <v>1588</v>
      </c>
      <c r="F483" s="69">
        <v>0</v>
      </c>
      <c r="G483" s="69">
        <v>6888</v>
      </c>
    </row>
    <row r="484" spans="1:7" s="69" customFormat="1">
      <c r="A484" s="90">
        <v>141424</v>
      </c>
      <c r="B484" s="79" t="s">
        <v>879</v>
      </c>
      <c r="C484" s="80">
        <v>101424</v>
      </c>
      <c r="D484" s="69">
        <v>1</v>
      </c>
      <c r="E484" s="81">
        <v>2888</v>
      </c>
      <c r="F484" s="69">
        <v>0</v>
      </c>
      <c r="G484" s="69">
        <v>15888</v>
      </c>
    </row>
    <row r="485" spans="1:7">
      <c r="A485" s="90">
        <v>141452</v>
      </c>
      <c r="B485" s="82" t="s">
        <v>5143</v>
      </c>
      <c r="C485" s="83">
        <v>101452</v>
      </c>
      <c r="D485" s="58">
        <v>1</v>
      </c>
      <c r="E485" s="60">
        <v>888</v>
      </c>
      <c r="F485" s="58">
        <v>0</v>
      </c>
      <c r="G485" s="58">
        <v>1988</v>
      </c>
    </row>
    <row r="486" spans="1:7">
      <c r="A486" s="90">
        <v>141453</v>
      </c>
      <c r="B486" s="82" t="s">
        <v>5143</v>
      </c>
      <c r="C486" s="83">
        <v>101453</v>
      </c>
      <c r="D486" s="58">
        <v>1</v>
      </c>
      <c r="E486" s="60">
        <v>1588</v>
      </c>
      <c r="F486" s="58">
        <v>0</v>
      </c>
      <c r="G486" s="58">
        <v>6888</v>
      </c>
    </row>
    <row r="487" spans="1:7">
      <c r="A487" s="90">
        <v>141454</v>
      </c>
      <c r="B487" s="82" t="s">
        <v>5143</v>
      </c>
      <c r="C487" s="83">
        <v>101454</v>
      </c>
      <c r="D487" s="58">
        <v>1</v>
      </c>
      <c r="E487" s="60">
        <v>2888</v>
      </c>
      <c r="F487" s="58">
        <v>0</v>
      </c>
      <c r="G487" s="58">
        <v>15888</v>
      </c>
    </row>
    <row r="488" spans="1:7">
      <c r="A488" s="61">
        <v>141462</v>
      </c>
      <c r="B488" s="82" t="s">
        <v>5144</v>
      </c>
      <c r="C488" s="83">
        <v>101462</v>
      </c>
      <c r="D488" s="58">
        <v>1</v>
      </c>
      <c r="E488" s="60">
        <v>888</v>
      </c>
      <c r="F488" s="58">
        <v>0</v>
      </c>
      <c r="G488" s="58">
        <v>1988</v>
      </c>
    </row>
    <row r="489" spans="1:7">
      <c r="A489" s="61">
        <v>141463</v>
      </c>
      <c r="B489" s="82" t="s">
        <v>5144</v>
      </c>
      <c r="C489" s="83">
        <v>101463</v>
      </c>
      <c r="D489" s="58">
        <v>1</v>
      </c>
      <c r="E489" s="60">
        <v>1588</v>
      </c>
      <c r="F489" s="58">
        <v>0</v>
      </c>
      <c r="G489" s="58">
        <v>6888</v>
      </c>
    </row>
    <row r="490" spans="1:7">
      <c r="A490" s="61">
        <v>141464</v>
      </c>
      <c r="B490" s="82" t="s">
        <v>5144</v>
      </c>
      <c r="C490" s="83">
        <v>101464</v>
      </c>
      <c r="D490" s="58">
        <v>1</v>
      </c>
      <c r="E490" s="60">
        <v>2888</v>
      </c>
      <c r="F490" s="58">
        <v>0</v>
      </c>
      <c r="G490" s="58">
        <v>15888</v>
      </c>
    </row>
  </sheetData>
  <phoneticPr fontId="38" type="noConversion"/>
  <conditionalFormatting sqref="A44:A46">
    <cfRule type="duplicateValues" dxfId="31" priority="42"/>
  </conditionalFormatting>
  <conditionalFormatting sqref="A99:A114">
    <cfRule type="duplicateValues" dxfId="30" priority="41"/>
  </conditionalFormatting>
  <conditionalFormatting sqref="A119">
    <cfRule type="duplicateValues" dxfId="29" priority="8"/>
  </conditionalFormatting>
  <conditionalFormatting sqref="A133:A135">
    <cfRule type="duplicateValues" dxfId="28" priority="44"/>
  </conditionalFormatting>
  <conditionalFormatting sqref="A244:A254">
    <cfRule type="duplicateValues" dxfId="27" priority="121"/>
  </conditionalFormatting>
  <conditionalFormatting sqref="A255:A460 A1:A15 A156:A158 A60:A61 A17:A43 A47:A49 A64:A98 A115:A118 A120:A125 A127:A132 A491:A1048576 A480:A487">
    <cfRule type="duplicateValues" dxfId="26" priority="189"/>
  </conditionalFormatting>
  <conditionalFormatting sqref="C132">
    <cfRule type="duplicateValues" dxfId="25" priority="153"/>
  </conditionalFormatting>
  <conditionalFormatting sqref="D18:E61 J25 E120:E132 E138:E191 E207:E1048576">
    <cfRule type="cellIs" dxfId="24" priority="7" operator="equal">
      <formula>2</formula>
    </cfRule>
  </conditionalFormatting>
  <conditionalFormatting sqref="D119:E119">
    <cfRule type="cellIs" dxfId="23" priority="9" operator="equal">
      <formula>2</formula>
    </cfRule>
  </conditionalFormatting>
  <conditionalFormatting sqref="D133:E137 D138:D143">
    <cfRule type="cellIs" dxfId="22" priority="66" operator="equal">
      <formula>2</formula>
    </cfRule>
  </conditionalFormatting>
  <conditionalFormatting sqref="E1:E10 C11:D12 D16:D17 D64:E64 D65:D89">
    <cfRule type="cellIs" dxfId="21" priority="69" operator="equal">
      <formula>2</formula>
    </cfRule>
  </conditionalFormatting>
  <conditionalFormatting sqref="E65:E118">
    <cfRule type="cellIs" dxfId="20" priority="38" operator="equal">
      <formula>2</formula>
    </cfRule>
  </conditionalFormatting>
  <conditionalFormatting sqref="E193:E195">
    <cfRule type="cellIs" dxfId="19" priority="34" operator="equal">
      <formula>2</formula>
    </cfRule>
  </conditionalFormatting>
  <conditionalFormatting sqref="E197:E200 E202:E205">
    <cfRule type="cellIs" dxfId="18" priority="33" operator="equal">
      <formula>2</formula>
    </cfRule>
  </conditionalFormatting>
  <conditionalFormatting sqref="E11:H11">
    <cfRule type="cellIs" dxfId="17" priority="32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S39"/>
  <sheetViews>
    <sheetView workbookViewId="0">
      <selection activeCell="B3" sqref="B3"/>
    </sheetView>
  </sheetViews>
  <sheetFormatPr defaultColWidth="11" defaultRowHeight="15.75"/>
  <cols>
    <col min="1" max="1" width="26.875" customWidth="1"/>
    <col min="2" max="2" width="13.875" customWidth="1"/>
    <col min="3" max="3" width="11.875" customWidth="1"/>
    <col min="8" max="10" width="9.625" customWidth="1"/>
    <col min="16" max="16" width="12.25" customWidth="1"/>
    <col min="17" max="17" width="12.75" customWidth="1"/>
  </cols>
  <sheetData>
    <row r="1" spans="1:19">
      <c r="A1" s="2" t="s">
        <v>0</v>
      </c>
      <c r="B1" s="1" t="s">
        <v>5241</v>
      </c>
      <c r="C1" s="1" t="s">
        <v>2</v>
      </c>
      <c r="D1" s="1"/>
    </row>
    <row r="2" spans="1:19">
      <c r="A2" s="2" t="s">
        <v>3</v>
      </c>
      <c r="B2" s="1" t="s">
        <v>5242</v>
      </c>
      <c r="C2" s="1" t="s">
        <v>5</v>
      </c>
      <c r="D2" s="1"/>
    </row>
    <row r="3" spans="1:19">
      <c r="A3" s="2" t="s">
        <v>6</v>
      </c>
      <c r="B3" s="3" t="s">
        <v>7</v>
      </c>
      <c r="C3" s="1" t="s">
        <v>8</v>
      </c>
      <c r="D3" s="1"/>
    </row>
    <row r="4" spans="1:19">
      <c r="A4" s="2" t="s">
        <v>9</v>
      </c>
      <c r="B4" s="4" t="s">
        <v>10</v>
      </c>
      <c r="C4" s="1"/>
      <c r="D4" s="1"/>
    </row>
    <row r="5" spans="1:19">
      <c r="A5" s="2" t="s">
        <v>11</v>
      </c>
      <c r="B5" s="1"/>
      <c r="C5" s="1" t="s">
        <v>12</v>
      </c>
      <c r="D5" s="1"/>
    </row>
    <row r="6" spans="1:19">
      <c r="A6" s="2" t="s">
        <v>13</v>
      </c>
      <c r="B6" s="1">
        <v>4</v>
      </c>
      <c r="C6" s="1" t="s">
        <v>14</v>
      </c>
      <c r="D6" s="1"/>
    </row>
    <row r="7" spans="1:19">
      <c r="A7" s="2" t="s">
        <v>15</v>
      </c>
      <c r="B7" s="1"/>
      <c r="C7" s="1"/>
      <c r="D7" s="1"/>
    </row>
    <row r="8" spans="1:19">
      <c r="A8" s="2" t="s">
        <v>16</v>
      </c>
      <c r="B8" s="1"/>
      <c r="C8" s="1"/>
      <c r="D8" s="1"/>
    </row>
    <row r="9" spans="1:19">
      <c r="A9" s="1"/>
      <c r="B9" s="1"/>
      <c r="C9" s="1"/>
    </row>
    <row r="10" spans="1:19">
      <c r="A10" s="1"/>
      <c r="B10" s="1"/>
      <c r="C10" s="1"/>
    </row>
    <row r="11" spans="1:19">
      <c r="A11" s="1" t="s">
        <v>17</v>
      </c>
      <c r="B11" s="1" t="s">
        <v>19</v>
      </c>
      <c r="C11" s="26" t="s">
        <v>5103</v>
      </c>
      <c r="D11" s="46" t="s">
        <v>5243</v>
      </c>
      <c r="E11" s="46" t="s">
        <v>5128</v>
      </c>
    </row>
    <row r="12" spans="1:19">
      <c r="A12" s="4" t="s">
        <v>37</v>
      </c>
      <c r="B12" s="3" t="s">
        <v>39</v>
      </c>
      <c r="C12" s="27" t="s">
        <v>5117</v>
      </c>
      <c r="D12" s="27" t="s">
        <v>5122</v>
      </c>
      <c r="E12" s="27" t="s">
        <v>5123</v>
      </c>
    </row>
    <row r="13" spans="1:19">
      <c r="A13" s="4" t="s">
        <v>56</v>
      </c>
      <c r="B13" s="3" t="s">
        <v>57</v>
      </c>
      <c r="C13" s="27" t="s">
        <v>56</v>
      </c>
      <c r="D13" s="27" t="s">
        <v>56</v>
      </c>
      <c r="E13" s="27" t="s">
        <v>56</v>
      </c>
    </row>
    <row r="14" spans="1:19">
      <c r="A14" s="4" t="s">
        <v>58</v>
      </c>
      <c r="B14" s="3"/>
      <c r="C14" s="27" t="s">
        <v>59</v>
      </c>
      <c r="D14" s="27" t="s">
        <v>59</v>
      </c>
      <c r="E14" s="27" t="s">
        <v>59</v>
      </c>
    </row>
    <row r="15" spans="1:19">
      <c r="A15" s="4"/>
      <c r="B15" s="3">
        <v>0</v>
      </c>
      <c r="C15" s="27">
        <v>0</v>
      </c>
      <c r="D15" s="27">
        <v>0</v>
      </c>
      <c r="E15" s="27">
        <v>0</v>
      </c>
    </row>
    <row r="16" spans="1:19">
      <c r="A16" s="1">
        <v>200001</v>
      </c>
      <c r="B16" s="1" t="s">
        <v>5244</v>
      </c>
      <c r="C16" s="26">
        <v>1000</v>
      </c>
      <c r="D16" s="26">
        <v>1</v>
      </c>
      <c r="E16" s="26">
        <v>1</v>
      </c>
      <c r="F16" s="26"/>
      <c r="G16" s="2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s="43" customFormat="1">
      <c r="A17" s="1">
        <v>200002</v>
      </c>
      <c r="B17" s="1" t="s">
        <v>314</v>
      </c>
      <c r="C17" s="26">
        <v>2000</v>
      </c>
      <c r="D17" s="26">
        <v>1</v>
      </c>
      <c r="E17" s="26">
        <v>1</v>
      </c>
      <c r="F17" s="26"/>
      <c r="G17" s="2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>
        <v>200003</v>
      </c>
      <c r="B18" s="1" t="s">
        <v>1282</v>
      </c>
      <c r="C18" s="26">
        <v>6000</v>
      </c>
      <c r="D18" s="26">
        <v>1</v>
      </c>
      <c r="E18" s="26">
        <v>1</v>
      </c>
      <c r="F18" s="26"/>
      <c r="G18" s="2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>
        <v>200004</v>
      </c>
      <c r="B19" s="8" t="s">
        <v>1285</v>
      </c>
      <c r="C19" s="26">
        <v>4000</v>
      </c>
      <c r="D19" s="26">
        <v>1</v>
      </c>
      <c r="E19" s="26">
        <v>1</v>
      </c>
      <c r="F19" s="26"/>
      <c r="G19" s="2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>
        <v>200005</v>
      </c>
      <c r="B20" s="8" t="s">
        <v>1288</v>
      </c>
      <c r="C20" s="26">
        <v>4000</v>
      </c>
      <c r="D20" s="26">
        <v>1</v>
      </c>
      <c r="E20" s="26">
        <v>1</v>
      </c>
      <c r="F20" s="26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>
        <v>200006</v>
      </c>
      <c r="B21" s="1" t="s">
        <v>1291</v>
      </c>
      <c r="C21" s="26">
        <v>2000</v>
      </c>
      <c r="D21" s="26">
        <v>1</v>
      </c>
      <c r="E21" s="26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>
        <v>200007</v>
      </c>
      <c r="B22" s="1" t="s">
        <v>1294</v>
      </c>
      <c r="C22" s="26">
        <v>6000</v>
      </c>
      <c r="D22" s="26">
        <v>1</v>
      </c>
      <c r="E22" s="26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>
        <v>200008</v>
      </c>
      <c r="B23" s="1" t="s">
        <v>1297</v>
      </c>
      <c r="C23" s="26">
        <v>10000</v>
      </c>
      <c r="D23" s="26">
        <v>1</v>
      </c>
      <c r="E23" s="26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>
        <v>200009</v>
      </c>
      <c r="B24" s="1" t="s">
        <v>1301</v>
      </c>
      <c r="C24" s="26">
        <v>10000</v>
      </c>
      <c r="D24" s="26">
        <v>1</v>
      </c>
      <c r="E24" s="26"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>
        <v>200010</v>
      </c>
      <c r="B25" s="1" t="s">
        <v>1304</v>
      </c>
      <c r="C25" s="26">
        <v>6000</v>
      </c>
      <c r="D25" s="26">
        <v>1</v>
      </c>
      <c r="E25" s="26">
        <v>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>
        <v>200011</v>
      </c>
      <c r="B26" s="1" t="s">
        <v>1307</v>
      </c>
      <c r="C26" s="26">
        <v>6000</v>
      </c>
      <c r="D26" s="26">
        <v>1</v>
      </c>
      <c r="E26" s="26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>
        <v>200012</v>
      </c>
      <c r="B27" t="s">
        <v>613</v>
      </c>
      <c r="C27" s="26">
        <v>6000</v>
      </c>
      <c r="D27" s="26">
        <v>1</v>
      </c>
      <c r="E27" s="26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>
        <v>200013</v>
      </c>
      <c r="B28" t="s">
        <v>5245</v>
      </c>
      <c r="C28" s="26">
        <v>6000</v>
      </c>
      <c r="D28" s="26">
        <v>1</v>
      </c>
      <c r="E28" s="26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>
        <v>200014</v>
      </c>
      <c r="B29" t="s">
        <v>5246</v>
      </c>
      <c r="C29" s="26">
        <v>6000</v>
      </c>
      <c r="D29" s="26">
        <v>1</v>
      </c>
      <c r="E29" s="26">
        <v>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>
        <v>200015</v>
      </c>
      <c r="B30" t="s">
        <v>5247</v>
      </c>
      <c r="C30" s="26">
        <v>6000</v>
      </c>
      <c r="D30" s="26">
        <v>1</v>
      </c>
      <c r="E30" s="26">
        <v>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>
        <v>200016</v>
      </c>
      <c r="B31" t="s">
        <v>1321</v>
      </c>
      <c r="C31" s="26">
        <v>6000</v>
      </c>
      <c r="D31" s="26">
        <v>1</v>
      </c>
      <c r="E31" s="26">
        <v>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>
        <v>200017</v>
      </c>
      <c r="B32" t="s">
        <v>1323</v>
      </c>
      <c r="C32" s="26">
        <v>6000</v>
      </c>
      <c r="D32" s="26">
        <v>1</v>
      </c>
      <c r="E32" s="26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>
        <v>200018</v>
      </c>
      <c r="C33" s="26">
        <v>10000</v>
      </c>
      <c r="D33" s="26">
        <v>1</v>
      </c>
      <c r="E33" s="26">
        <v>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67">
        <v>200020</v>
      </c>
      <c r="B34" t="s">
        <v>1331</v>
      </c>
      <c r="C34" s="26">
        <v>10000</v>
      </c>
      <c r="D34" s="26">
        <v>1</v>
      </c>
      <c r="E34" s="26">
        <v>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67">
        <v>200021</v>
      </c>
      <c r="B35" t="s">
        <v>1336</v>
      </c>
      <c r="C35" s="26">
        <v>10000</v>
      </c>
      <c r="D35" s="26">
        <v>1</v>
      </c>
      <c r="E35" s="26">
        <v>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>
        <v>200022</v>
      </c>
      <c r="B36" s="162" t="s">
        <v>5591</v>
      </c>
      <c r="C36" s="26">
        <v>12000</v>
      </c>
      <c r="D36" s="26">
        <v>1</v>
      </c>
      <c r="E36" s="26">
        <v>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>
        <v>200023</v>
      </c>
      <c r="C37" s="26">
        <v>12000</v>
      </c>
      <c r="D37" s="26">
        <v>1</v>
      </c>
      <c r="E37" s="26">
        <v>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phoneticPr fontId="38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F19"/>
  <sheetViews>
    <sheetView workbookViewId="0">
      <selection activeCell="C30" sqref="C30"/>
    </sheetView>
  </sheetViews>
  <sheetFormatPr defaultColWidth="9" defaultRowHeight="15.75"/>
  <cols>
    <col min="1" max="1" width="24.375" customWidth="1"/>
    <col min="2" max="2" width="18.375" customWidth="1"/>
    <col min="3" max="3" width="19.125" customWidth="1"/>
    <col min="4" max="4" width="12.25" customWidth="1"/>
    <col min="5" max="7" width="11.125" customWidth="1"/>
  </cols>
  <sheetData>
    <row r="1" spans="1:6" s="58" customFormat="1">
      <c r="A1" s="59" t="s">
        <v>0</v>
      </c>
      <c r="B1" s="60" t="s">
        <v>5248</v>
      </c>
      <c r="C1" s="1" t="s">
        <v>2</v>
      </c>
      <c r="D1" s="60"/>
      <c r="E1" s="60"/>
    </row>
    <row r="2" spans="1:6" s="58" customFormat="1">
      <c r="A2" s="59" t="s">
        <v>3</v>
      </c>
      <c r="B2" s="60" t="s">
        <v>5249</v>
      </c>
      <c r="C2" s="1" t="s">
        <v>5</v>
      </c>
      <c r="D2" s="60"/>
      <c r="E2" s="60"/>
    </row>
    <row r="3" spans="1:6" s="58" customFormat="1">
      <c r="A3" s="59" t="s">
        <v>6</v>
      </c>
      <c r="B3" s="61" t="s">
        <v>7</v>
      </c>
      <c r="C3" s="1" t="s">
        <v>8</v>
      </c>
      <c r="D3" s="60"/>
      <c r="E3" s="60"/>
    </row>
    <row r="4" spans="1:6" s="58" customFormat="1">
      <c r="A4" s="59" t="s">
        <v>9</v>
      </c>
      <c r="B4" s="62" t="s">
        <v>10</v>
      </c>
      <c r="C4" s="1"/>
      <c r="D4" s="60"/>
      <c r="E4" s="60"/>
    </row>
    <row r="5" spans="1:6" s="58" customFormat="1">
      <c r="A5" s="59" t="s">
        <v>11</v>
      </c>
      <c r="B5" s="60"/>
      <c r="C5" s="1" t="s">
        <v>12</v>
      </c>
      <c r="D5" s="60"/>
      <c r="E5" s="60"/>
    </row>
    <row r="6" spans="1:6" s="58" customFormat="1">
      <c r="A6" s="59" t="s">
        <v>13</v>
      </c>
      <c r="B6" s="60">
        <v>4</v>
      </c>
      <c r="C6" s="1" t="s">
        <v>14</v>
      </c>
      <c r="D6" s="60"/>
      <c r="E6" s="60"/>
    </row>
    <row r="7" spans="1:6" s="58" customFormat="1">
      <c r="A7" s="59" t="s">
        <v>15</v>
      </c>
      <c r="B7" s="60"/>
      <c r="C7" s="60"/>
      <c r="D7" s="60"/>
      <c r="E7" s="60"/>
    </row>
    <row r="8" spans="1:6" s="58" customFormat="1">
      <c r="A8" s="59" t="s">
        <v>16</v>
      </c>
      <c r="B8" s="60"/>
      <c r="C8" s="60"/>
      <c r="D8" s="60"/>
      <c r="E8" s="60"/>
    </row>
    <row r="9" spans="1:6" s="58" customFormat="1"/>
    <row r="10" spans="1:6" s="58" customFormat="1"/>
    <row r="11" spans="1:6" s="58" customFormat="1">
      <c r="A11" s="63" t="s">
        <v>5250</v>
      </c>
      <c r="B11" s="63" t="s">
        <v>19</v>
      </c>
      <c r="C11" s="63" t="s">
        <v>5227</v>
      </c>
      <c r="D11" s="63" t="s">
        <v>5228</v>
      </c>
      <c r="E11" s="63" t="s">
        <v>5195</v>
      </c>
      <c r="F11" s="63" t="s">
        <v>5229</v>
      </c>
    </row>
    <row r="12" spans="1:6" s="58" customFormat="1">
      <c r="A12" s="64" t="s">
        <v>37</v>
      </c>
      <c r="B12" s="65" t="s">
        <v>39</v>
      </c>
      <c r="C12" s="64" t="s">
        <v>5233</v>
      </c>
      <c r="D12" s="64" t="s">
        <v>5234</v>
      </c>
      <c r="E12" s="64" t="s">
        <v>5205</v>
      </c>
      <c r="F12" s="64" t="s">
        <v>5235</v>
      </c>
    </row>
    <row r="13" spans="1:6" s="58" customFormat="1">
      <c r="A13" s="64" t="s">
        <v>56</v>
      </c>
      <c r="B13" s="65" t="s">
        <v>57</v>
      </c>
      <c r="C13" s="64" t="s">
        <v>56</v>
      </c>
      <c r="D13" s="64" t="s">
        <v>56</v>
      </c>
      <c r="E13" s="64" t="s">
        <v>56</v>
      </c>
      <c r="F13" s="64" t="s">
        <v>56</v>
      </c>
    </row>
    <row r="14" spans="1:6" s="58" customFormat="1">
      <c r="A14" s="64" t="s">
        <v>58</v>
      </c>
      <c r="B14" s="65"/>
      <c r="C14" s="64" t="s">
        <v>59</v>
      </c>
      <c r="D14" s="64" t="s">
        <v>59</v>
      </c>
      <c r="E14" s="64" t="s">
        <v>59</v>
      </c>
      <c r="F14" s="64" t="s">
        <v>59</v>
      </c>
    </row>
    <row r="15" spans="1:6" s="58" customFormat="1">
      <c r="A15" s="64">
        <v>0</v>
      </c>
      <c r="B15" s="65">
        <v>0</v>
      </c>
      <c r="C15" s="64">
        <v>0</v>
      </c>
      <c r="D15" s="64">
        <v>0</v>
      </c>
      <c r="E15" s="64">
        <v>5</v>
      </c>
      <c r="F15" s="64">
        <v>0</v>
      </c>
    </row>
    <row r="16" spans="1:6">
      <c r="A16">
        <v>4</v>
      </c>
      <c r="B16" s="66" t="s">
        <v>5251</v>
      </c>
      <c r="C16">
        <v>1</v>
      </c>
      <c r="D16">
        <v>588</v>
      </c>
      <c r="E16">
        <v>5</v>
      </c>
      <c r="F16">
        <v>888</v>
      </c>
    </row>
    <row r="17" spans="1:6">
      <c r="A17">
        <v>5</v>
      </c>
      <c r="B17" s="66" t="s">
        <v>5252</v>
      </c>
      <c r="C17">
        <v>1</v>
      </c>
      <c r="D17">
        <v>1088</v>
      </c>
      <c r="E17">
        <v>5</v>
      </c>
      <c r="F17">
        <v>1988</v>
      </c>
    </row>
    <row r="18" spans="1:6">
      <c r="A18">
        <v>6</v>
      </c>
      <c r="B18" s="66" t="s">
        <v>5253</v>
      </c>
      <c r="C18">
        <v>1</v>
      </c>
      <c r="D18">
        <v>2088</v>
      </c>
      <c r="E18">
        <v>5</v>
      </c>
      <c r="F18">
        <v>6888</v>
      </c>
    </row>
    <row r="19" spans="1:6">
      <c r="A19">
        <v>7</v>
      </c>
      <c r="B19" s="66" t="s">
        <v>5254</v>
      </c>
      <c r="C19">
        <v>1</v>
      </c>
      <c r="D19">
        <v>3888</v>
      </c>
      <c r="E19">
        <v>5</v>
      </c>
      <c r="F19">
        <v>15888</v>
      </c>
    </row>
  </sheetData>
  <phoneticPr fontId="38" type="noConversion"/>
  <conditionalFormatting sqref="A1:A15">
    <cfRule type="duplicateValues" dxfId="16" priority="2"/>
  </conditionalFormatting>
  <conditionalFormatting sqref="E1:E10 D11:F11 C11:C12">
    <cfRule type="cellIs" dxfId="15" priority="1" operator="equal">
      <formula>2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7"/>
  <dimension ref="A1:P143"/>
  <sheetViews>
    <sheetView topLeftCell="A23" workbookViewId="0">
      <selection activeCell="C55" sqref="C55"/>
    </sheetView>
  </sheetViews>
  <sheetFormatPr defaultColWidth="9" defaultRowHeight="15.75"/>
  <cols>
    <col min="1" max="1" width="26.875" customWidth="1"/>
    <col min="2" max="2" width="13.875" customWidth="1"/>
    <col min="3" max="3" width="18.125" customWidth="1"/>
    <col min="4" max="4" width="18.625" customWidth="1"/>
    <col min="5" max="5" width="11.625" customWidth="1"/>
  </cols>
  <sheetData>
    <row r="1" spans="1:16">
      <c r="A1" s="2" t="s">
        <v>0</v>
      </c>
      <c r="B1" s="1" t="s">
        <v>5255</v>
      </c>
      <c r="C1" s="1" t="s">
        <v>2</v>
      </c>
    </row>
    <row r="2" spans="1:16">
      <c r="A2" s="2" t="s">
        <v>3</v>
      </c>
      <c r="B2" s="1" t="s">
        <v>5256</v>
      </c>
      <c r="C2" s="1" t="s">
        <v>5</v>
      </c>
    </row>
    <row r="3" spans="1:16">
      <c r="A3" s="2" t="s">
        <v>6</v>
      </c>
      <c r="B3" s="3" t="s">
        <v>7</v>
      </c>
      <c r="C3" s="1" t="s">
        <v>8</v>
      </c>
    </row>
    <row r="4" spans="1:16">
      <c r="A4" s="2" t="s">
        <v>9</v>
      </c>
      <c r="B4" s="4" t="s">
        <v>10</v>
      </c>
      <c r="C4" s="1"/>
    </row>
    <row r="5" spans="1:16">
      <c r="A5" s="2" t="s">
        <v>11</v>
      </c>
      <c r="B5" s="1"/>
      <c r="C5" s="1" t="s">
        <v>12</v>
      </c>
    </row>
    <row r="6" spans="1:16">
      <c r="A6" s="2" t="s">
        <v>13</v>
      </c>
      <c r="B6" s="1">
        <v>4</v>
      </c>
      <c r="C6" s="1" t="s">
        <v>14</v>
      </c>
    </row>
    <row r="7" spans="1:16">
      <c r="A7" s="2" t="s">
        <v>15</v>
      </c>
      <c r="B7" s="1"/>
      <c r="C7" s="1"/>
    </row>
    <row r="8" spans="1:16">
      <c r="A8" s="2" t="s">
        <v>16</v>
      </c>
      <c r="B8" s="1"/>
      <c r="C8" s="1"/>
    </row>
    <row r="9" spans="1:16">
      <c r="A9" s="1"/>
      <c r="B9" s="1"/>
      <c r="C9" s="1"/>
    </row>
    <row r="10" spans="1:16">
      <c r="A10" s="1"/>
      <c r="B10" s="1"/>
      <c r="C10" s="1"/>
    </row>
    <row r="11" spans="1:16">
      <c r="A11" s="1" t="s">
        <v>5257</v>
      </c>
      <c r="B11" s="1" t="s">
        <v>19</v>
      </c>
      <c r="C11" s="1" t="s">
        <v>5258</v>
      </c>
      <c r="D11" s="1" t="s">
        <v>5259</v>
      </c>
      <c r="E11" s="1" t="s">
        <v>5260</v>
      </c>
    </row>
    <row r="12" spans="1:16">
      <c r="A12" s="4" t="s">
        <v>5261</v>
      </c>
      <c r="B12" s="3" t="s">
        <v>39</v>
      </c>
      <c r="C12" s="4" t="s">
        <v>5262</v>
      </c>
      <c r="D12" s="4" t="s">
        <v>5263</v>
      </c>
      <c r="E12" s="4" t="s">
        <v>5264</v>
      </c>
    </row>
    <row r="13" spans="1:16">
      <c r="A13" s="4" t="s">
        <v>56</v>
      </c>
      <c r="B13" s="3" t="s">
        <v>57</v>
      </c>
      <c r="C13" s="4" t="s">
        <v>56</v>
      </c>
      <c r="D13" s="4" t="s">
        <v>57</v>
      </c>
      <c r="E13" s="4" t="s">
        <v>56</v>
      </c>
    </row>
    <row r="14" spans="1:16">
      <c r="A14" s="4" t="s">
        <v>58</v>
      </c>
      <c r="B14" s="3"/>
      <c r="C14" s="4" t="s">
        <v>59</v>
      </c>
      <c r="D14" s="4" t="s">
        <v>59</v>
      </c>
      <c r="E14" s="4" t="s">
        <v>59</v>
      </c>
      <c r="L14" s="51" t="s">
        <v>5265</v>
      </c>
      <c r="M14" s="51" t="s">
        <v>5265</v>
      </c>
      <c r="N14" s="51" t="s">
        <v>5265</v>
      </c>
      <c r="O14" s="51" t="s">
        <v>5265</v>
      </c>
      <c r="P14" s="51" t="s">
        <v>5265</v>
      </c>
    </row>
    <row r="15" spans="1:16">
      <c r="A15" s="4"/>
      <c r="B15" s="3">
        <v>0</v>
      </c>
      <c r="C15" s="4">
        <v>0</v>
      </c>
      <c r="D15" s="4" t="s">
        <v>5130</v>
      </c>
      <c r="E15" s="4">
        <v>0</v>
      </c>
      <c r="F15" t="s">
        <v>5266</v>
      </c>
      <c r="G15" t="s">
        <v>5267</v>
      </c>
    </row>
    <row r="16" spans="1:16">
      <c r="A16" s="46">
        <v>100001</v>
      </c>
      <c r="B16" s="46" t="s">
        <v>280</v>
      </c>
      <c r="C16" s="46">
        <v>510001</v>
      </c>
      <c r="D16" s="26" t="s">
        <v>5268</v>
      </c>
      <c r="E16" s="26">
        <v>0</v>
      </c>
      <c r="F16" t="s">
        <v>5131</v>
      </c>
      <c r="G16" s="49"/>
      <c r="I16" t="s">
        <v>5131</v>
      </c>
      <c r="L16" s="46">
        <v>100001</v>
      </c>
      <c r="M16" s="46" t="s">
        <v>280</v>
      </c>
      <c r="N16" s="46">
        <v>510001</v>
      </c>
      <c r="O16" s="26" t="s">
        <v>5268</v>
      </c>
      <c r="P16" s="26">
        <v>0</v>
      </c>
    </row>
    <row r="17" spans="1:16">
      <c r="A17" s="46">
        <v>100011</v>
      </c>
      <c r="B17" s="46" t="s">
        <v>284</v>
      </c>
      <c r="C17" s="50">
        <v>510011</v>
      </c>
      <c r="D17" s="26" t="s">
        <v>5269</v>
      </c>
      <c r="E17" s="26">
        <v>0</v>
      </c>
      <c r="F17" t="s">
        <v>5133</v>
      </c>
      <c r="G17" s="49"/>
      <c r="I17" t="s">
        <v>5132</v>
      </c>
      <c r="L17" s="46">
        <v>100011</v>
      </c>
      <c r="M17" s="46" t="s">
        <v>284</v>
      </c>
      <c r="N17" s="50">
        <v>510011</v>
      </c>
      <c r="O17" s="26" t="s">
        <v>5269</v>
      </c>
      <c r="P17" s="26">
        <v>0</v>
      </c>
    </row>
    <row r="18" spans="1:16" ht="15" customHeight="1">
      <c r="A18" s="46">
        <v>100013</v>
      </c>
      <c r="B18" s="46" t="s">
        <v>284</v>
      </c>
      <c r="C18" s="50">
        <v>510011</v>
      </c>
      <c r="D18" s="26" t="s">
        <v>5270</v>
      </c>
      <c r="E18" s="26"/>
      <c r="F18" t="s">
        <v>5135</v>
      </c>
      <c r="G18" s="49" t="s">
        <v>5271</v>
      </c>
      <c r="I18" t="s">
        <v>5133</v>
      </c>
      <c r="L18" s="46">
        <v>100021</v>
      </c>
      <c r="M18" s="46" t="s">
        <v>291</v>
      </c>
      <c r="N18" s="50">
        <v>510021</v>
      </c>
      <c r="O18" s="26" t="s">
        <v>5272</v>
      </c>
      <c r="P18" s="26">
        <v>0</v>
      </c>
    </row>
    <row r="19" spans="1:16">
      <c r="A19" s="46">
        <v>100021</v>
      </c>
      <c r="B19" s="46" t="s">
        <v>291</v>
      </c>
      <c r="C19" s="50">
        <v>510021</v>
      </c>
      <c r="D19" s="26" t="s">
        <v>5273</v>
      </c>
      <c r="E19" s="26">
        <v>0</v>
      </c>
      <c r="F19" t="s">
        <v>5134</v>
      </c>
      <c r="G19" s="49" t="s">
        <v>5274</v>
      </c>
      <c r="I19" t="s">
        <v>5134</v>
      </c>
      <c r="L19" s="46">
        <v>100031</v>
      </c>
      <c r="M19" s="46" t="s">
        <v>296</v>
      </c>
      <c r="N19" s="46">
        <v>510031</v>
      </c>
      <c r="O19" s="26" t="s">
        <v>5268</v>
      </c>
      <c r="P19" s="26">
        <v>0</v>
      </c>
    </row>
    <row r="20" spans="1:16">
      <c r="A20" s="46">
        <v>100031</v>
      </c>
      <c r="B20" s="46" t="s">
        <v>296</v>
      </c>
      <c r="C20" s="46">
        <v>510031</v>
      </c>
      <c r="D20" s="26" t="s">
        <v>5268</v>
      </c>
      <c r="E20" s="26">
        <v>0</v>
      </c>
      <c r="F20" t="s">
        <v>5131</v>
      </c>
      <c r="G20" s="49" t="s">
        <v>5275</v>
      </c>
      <c r="I20" t="s">
        <v>5135</v>
      </c>
      <c r="L20" s="46">
        <v>100041</v>
      </c>
      <c r="M20" s="46" t="s">
        <v>301</v>
      </c>
      <c r="N20" s="50">
        <v>510041</v>
      </c>
      <c r="O20" s="26" t="s">
        <v>5276</v>
      </c>
      <c r="P20" s="26">
        <v>0</v>
      </c>
    </row>
    <row r="21" spans="1:16">
      <c r="A21" s="46">
        <v>100041</v>
      </c>
      <c r="B21" s="46" t="s">
        <v>301</v>
      </c>
      <c r="C21" s="50">
        <v>510041</v>
      </c>
      <c r="D21" s="26" t="s">
        <v>5269</v>
      </c>
      <c r="E21" s="26">
        <v>0</v>
      </c>
      <c r="F21" t="s">
        <v>5133</v>
      </c>
      <c r="G21" s="49" t="s">
        <v>5277</v>
      </c>
      <c r="I21" t="s">
        <v>5136</v>
      </c>
      <c r="L21" s="3">
        <v>100051</v>
      </c>
      <c r="M21" s="46" t="s">
        <v>308</v>
      </c>
      <c r="N21" s="50">
        <v>510051</v>
      </c>
      <c r="O21" s="26" t="s">
        <v>5272</v>
      </c>
      <c r="P21" s="26">
        <v>0</v>
      </c>
    </row>
    <row r="22" spans="1:16">
      <c r="A22" s="3">
        <v>100051</v>
      </c>
      <c r="B22" s="46" t="s">
        <v>308</v>
      </c>
      <c r="C22" s="50">
        <v>510051</v>
      </c>
      <c r="D22" s="26" t="s">
        <v>5273</v>
      </c>
      <c r="E22" s="26">
        <v>0</v>
      </c>
      <c r="F22" t="s">
        <v>5134</v>
      </c>
      <c r="G22" s="49" t="s">
        <v>5277</v>
      </c>
      <c r="L22" s="46">
        <v>100055</v>
      </c>
      <c r="M22" s="46" t="s">
        <v>308</v>
      </c>
      <c r="N22" s="50">
        <v>510051</v>
      </c>
      <c r="O22" s="26" t="s">
        <v>5272</v>
      </c>
      <c r="P22" s="26">
        <v>0</v>
      </c>
    </row>
    <row r="23" spans="1:16">
      <c r="A23" s="1">
        <v>100055</v>
      </c>
      <c r="B23" s="46" t="s">
        <v>308</v>
      </c>
      <c r="C23" s="50">
        <v>510051</v>
      </c>
      <c r="D23" s="26" t="s">
        <v>5272</v>
      </c>
      <c r="E23" s="26">
        <v>0</v>
      </c>
      <c r="F23" t="s">
        <v>5133</v>
      </c>
      <c r="G23" s="49" t="s">
        <v>5277</v>
      </c>
      <c r="L23" s="46">
        <v>100061</v>
      </c>
      <c r="M23" s="46" t="s">
        <v>314</v>
      </c>
      <c r="N23" s="50">
        <v>510061</v>
      </c>
      <c r="O23" s="26" t="s">
        <v>5276</v>
      </c>
      <c r="P23" s="26">
        <v>0</v>
      </c>
    </row>
    <row r="24" spans="1:16">
      <c r="A24" s="46">
        <v>100061</v>
      </c>
      <c r="B24" s="46" t="s">
        <v>314</v>
      </c>
      <c r="C24" s="50">
        <v>510061</v>
      </c>
      <c r="D24" s="26" t="s">
        <v>5269</v>
      </c>
      <c r="E24" s="26">
        <v>0</v>
      </c>
      <c r="F24" t="s">
        <v>5133</v>
      </c>
      <c r="G24" s="49" t="s">
        <v>5277</v>
      </c>
      <c r="L24" s="46">
        <v>100071</v>
      </c>
      <c r="M24" s="46" t="s">
        <v>319</v>
      </c>
      <c r="N24" s="50">
        <v>510071</v>
      </c>
      <c r="O24" s="26" t="s">
        <v>5272</v>
      </c>
      <c r="P24" s="26">
        <v>0</v>
      </c>
    </row>
    <row r="25" spans="1:16">
      <c r="A25" s="46">
        <v>100071</v>
      </c>
      <c r="B25" s="46" t="s">
        <v>319</v>
      </c>
      <c r="C25" s="50">
        <v>510071</v>
      </c>
      <c r="D25" s="26" t="s">
        <v>5273</v>
      </c>
      <c r="E25" s="26">
        <v>0</v>
      </c>
      <c r="F25" t="s">
        <v>5134</v>
      </c>
      <c r="G25" s="49" t="s">
        <v>5274</v>
      </c>
      <c r="L25" s="46">
        <v>100081</v>
      </c>
      <c r="M25" s="46" t="s">
        <v>324</v>
      </c>
      <c r="N25" s="50">
        <v>510081</v>
      </c>
      <c r="O25" s="26" t="s">
        <v>5272</v>
      </c>
      <c r="P25" s="26">
        <v>0</v>
      </c>
    </row>
    <row r="26" spans="1:16">
      <c r="A26" s="46">
        <v>100081</v>
      </c>
      <c r="B26" s="46" t="s">
        <v>324</v>
      </c>
      <c r="C26" s="50">
        <v>510081</v>
      </c>
      <c r="D26" s="26" t="s">
        <v>5273</v>
      </c>
      <c r="E26" s="26">
        <v>0</v>
      </c>
      <c r="F26" t="s">
        <v>5134</v>
      </c>
      <c r="G26" s="49" t="s">
        <v>5274</v>
      </c>
      <c r="L26" s="46">
        <v>100091</v>
      </c>
      <c r="M26" s="46" t="s">
        <v>5278</v>
      </c>
      <c r="N26" s="50">
        <v>510091</v>
      </c>
      <c r="O26" s="26" t="s">
        <v>5272</v>
      </c>
      <c r="P26" s="26">
        <v>0</v>
      </c>
    </row>
    <row r="27" spans="1:16">
      <c r="A27" s="46">
        <v>100091</v>
      </c>
      <c r="B27" s="46" t="s">
        <v>5278</v>
      </c>
      <c r="C27" s="50">
        <v>510091</v>
      </c>
      <c r="D27" s="26" t="s">
        <v>5273</v>
      </c>
      <c r="E27" s="26">
        <v>0</v>
      </c>
      <c r="F27" t="s">
        <v>5134</v>
      </c>
      <c r="G27" s="49" t="s">
        <v>5274</v>
      </c>
      <c r="L27" s="46">
        <v>100101</v>
      </c>
      <c r="M27" s="46" t="s">
        <v>334</v>
      </c>
      <c r="N27" s="50">
        <v>510101</v>
      </c>
      <c r="O27" s="26" t="s">
        <v>5272</v>
      </c>
      <c r="P27" s="26">
        <v>0</v>
      </c>
    </row>
    <row r="28" spans="1:16">
      <c r="A28" s="46">
        <v>100101</v>
      </c>
      <c r="B28" s="46" t="s">
        <v>334</v>
      </c>
      <c r="C28" s="50">
        <v>510101</v>
      </c>
      <c r="D28" s="26" t="s">
        <v>5273</v>
      </c>
      <c r="E28" s="26">
        <v>0</v>
      </c>
      <c r="F28" t="s">
        <v>5134</v>
      </c>
      <c r="G28" s="49" t="s">
        <v>5274</v>
      </c>
      <c r="L28" s="46">
        <v>100111</v>
      </c>
      <c r="M28" s="46" t="s">
        <v>339</v>
      </c>
      <c r="N28" s="50">
        <v>510111</v>
      </c>
      <c r="O28" s="26" t="s">
        <v>5272</v>
      </c>
      <c r="P28" s="26">
        <v>0</v>
      </c>
    </row>
    <row r="29" spans="1:16" s="1" customFormat="1">
      <c r="A29" s="46">
        <v>100114</v>
      </c>
      <c r="B29" s="46" t="s">
        <v>339</v>
      </c>
      <c r="C29" s="50">
        <v>510111</v>
      </c>
      <c r="D29" s="26" t="s">
        <v>5273</v>
      </c>
      <c r="E29" s="26">
        <v>0</v>
      </c>
      <c r="F29" t="s">
        <v>5134</v>
      </c>
      <c r="G29" s="49" t="s">
        <v>5274</v>
      </c>
      <c r="H29"/>
      <c r="I29"/>
      <c r="J29"/>
      <c r="L29" s="26">
        <v>100121</v>
      </c>
      <c r="M29" s="26" t="s">
        <v>344</v>
      </c>
      <c r="N29" s="26">
        <v>510121</v>
      </c>
      <c r="O29" s="26" t="s">
        <v>5272</v>
      </c>
      <c r="P29" s="26">
        <v>0</v>
      </c>
    </row>
    <row r="30" spans="1:16">
      <c r="A30" s="26">
        <v>100121</v>
      </c>
      <c r="B30" s="26" t="s">
        <v>344</v>
      </c>
      <c r="C30" s="26">
        <v>510121</v>
      </c>
      <c r="D30" s="26" t="s">
        <v>5273</v>
      </c>
      <c r="E30" s="26">
        <v>0</v>
      </c>
      <c r="F30" t="s">
        <v>5134</v>
      </c>
      <c r="G30" s="49" t="s">
        <v>5274</v>
      </c>
      <c r="H30" s="1"/>
      <c r="I30" s="1"/>
      <c r="J30" s="1"/>
      <c r="L30" s="46">
        <v>100131</v>
      </c>
      <c r="M30" s="46" t="s">
        <v>350</v>
      </c>
      <c r="N30" s="50">
        <v>510131</v>
      </c>
      <c r="O30" s="26" t="s">
        <v>5272</v>
      </c>
      <c r="P30" s="26">
        <v>0</v>
      </c>
    </row>
    <row r="31" spans="1:16">
      <c r="A31" s="46">
        <v>100131</v>
      </c>
      <c r="B31" s="46" t="s">
        <v>350</v>
      </c>
      <c r="C31" s="50">
        <v>510131</v>
      </c>
      <c r="D31" s="26" t="s">
        <v>5273</v>
      </c>
      <c r="E31" s="26">
        <v>0</v>
      </c>
      <c r="F31" t="s">
        <v>5134</v>
      </c>
      <c r="G31" s="49" t="s">
        <v>5274</v>
      </c>
      <c r="L31" s="46">
        <v>100141</v>
      </c>
      <c r="M31" s="46" t="s">
        <v>355</v>
      </c>
      <c r="N31" s="50">
        <v>510141</v>
      </c>
      <c r="O31" s="26" t="s">
        <v>5272</v>
      </c>
      <c r="P31" s="26">
        <v>0</v>
      </c>
    </row>
    <row r="32" spans="1:16">
      <c r="A32" s="46">
        <v>100141</v>
      </c>
      <c r="B32" s="46" t="s">
        <v>355</v>
      </c>
      <c r="C32" s="50">
        <v>510141</v>
      </c>
      <c r="D32" s="26" t="s">
        <v>5273</v>
      </c>
      <c r="E32" s="26">
        <v>0</v>
      </c>
      <c r="F32" t="s">
        <v>5134</v>
      </c>
      <c r="G32" s="49" t="s">
        <v>5274</v>
      </c>
      <c r="L32" s="46">
        <v>100151</v>
      </c>
      <c r="M32" s="46" t="s">
        <v>360</v>
      </c>
      <c r="N32" s="46">
        <v>510151</v>
      </c>
      <c r="O32" s="26" t="s">
        <v>5268</v>
      </c>
      <c r="P32" s="26">
        <v>0</v>
      </c>
    </row>
    <row r="33" spans="1:16">
      <c r="A33" s="46">
        <v>100151</v>
      </c>
      <c r="B33" s="46" t="s">
        <v>360</v>
      </c>
      <c r="C33" s="46">
        <v>510151</v>
      </c>
      <c r="D33" s="26" t="s">
        <v>5268</v>
      </c>
      <c r="E33" s="26">
        <v>0</v>
      </c>
      <c r="F33" t="s">
        <v>5131</v>
      </c>
      <c r="G33" s="49" t="s">
        <v>5275</v>
      </c>
      <c r="L33" s="46">
        <v>100161</v>
      </c>
      <c r="M33" s="46" t="s">
        <v>365</v>
      </c>
      <c r="N33" s="50">
        <v>510161</v>
      </c>
      <c r="O33" s="26" t="s">
        <v>5276</v>
      </c>
      <c r="P33" s="26">
        <v>0</v>
      </c>
    </row>
    <row r="34" spans="1:16">
      <c r="A34" s="46">
        <v>100161</v>
      </c>
      <c r="B34" s="46" t="s">
        <v>365</v>
      </c>
      <c r="C34" s="50">
        <v>510161</v>
      </c>
      <c r="D34" s="26" t="s">
        <v>5269</v>
      </c>
      <c r="E34" s="26">
        <v>0</v>
      </c>
      <c r="F34" t="s">
        <v>5133</v>
      </c>
      <c r="G34" s="49" t="s">
        <v>5277</v>
      </c>
      <c r="L34" s="46">
        <v>100172</v>
      </c>
      <c r="M34" s="46" t="s">
        <v>5279</v>
      </c>
      <c r="N34" s="50">
        <v>510171</v>
      </c>
      <c r="O34" s="26" t="s">
        <v>5269</v>
      </c>
      <c r="P34" s="26">
        <v>0</v>
      </c>
    </row>
    <row r="35" spans="1:16">
      <c r="A35" s="46">
        <v>100171</v>
      </c>
      <c r="B35" s="46" t="s">
        <v>5279</v>
      </c>
      <c r="C35" s="50">
        <v>510171</v>
      </c>
      <c r="D35" s="26" t="s">
        <v>5280</v>
      </c>
      <c r="E35" s="26">
        <v>0</v>
      </c>
      <c r="F35" t="s">
        <v>5132</v>
      </c>
      <c r="G35" s="49" t="s">
        <v>5281</v>
      </c>
      <c r="L35" s="46">
        <v>100181</v>
      </c>
      <c r="M35" s="46" t="s">
        <v>376</v>
      </c>
      <c r="N35" s="50">
        <v>510181</v>
      </c>
      <c r="O35" s="26" t="s">
        <v>5272</v>
      </c>
      <c r="P35" s="26">
        <v>0</v>
      </c>
    </row>
    <row r="36" spans="1:16">
      <c r="A36" s="46">
        <v>100181</v>
      </c>
      <c r="B36" s="46" t="s">
        <v>376</v>
      </c>
      <c r="C36" s="50">
        <v>510181</v>
      </c>
      <c r="D36" s="26" t="s">
        <v>5270</v>
      </c>
      <c r="E36" s="26">
        <v>0</v>
      </c>
      <c r="F36" t="s">
        <v>5135</v>
      </c>
      <c r="G36" s="49" t="s">
        <v>5271</v>
      </c>
      <c r="L36" s="46">
        <v>100191</v>
      </c>
      <c r="M36" s="46" t="s">
        <v>379</v>
      </c>
      <c r="N36" s="50">
        <v>510191</v>
      </c>
      <c r="O36" s="26" t="s">
        <v>5269</v>
      </c>
      <c r="P36" s="26">
        <v>0</v>
      </c>
    </row>
    <row r="37" spans="1:16">
      <c r="A37" s="46">
        <v>100191</v>
      </c>
      <c r="B37" s="46" t="s">
        <v>379</v>
      </c>
      <c r="C37" s="50">
        <v>510191</v>
      </c>
      <c r="D37" s="26" t="s">
        <v>5280</v>
      </c>
      <c r="E37" s="26">
        <v>0</v>
      </c>
      <c r="F37" t="s">
        <v>5132</v>
      </c>
      <c r="G37" s="49" t="s">
        <v>5281</v>
      </c>
      <c r="L37" s="46">
        <v>100201</v>
      </c>
      <c r="M37" s="46" t="s">
        <v>386</v>
      </c>
      <c r="N37" s="50">
        <v>510201</v>
      </c>
      <c r="O37" s="26" t="s">
        <v>5272</v>
      </c>
      <c r="P37" s="26">
        <v>0</v>
      </c>
    </row>
    <row r="38" spans="1:16">
      <c r="A38" s="46">
        <v>100201</v>
      </c>
      <c r="B38" s="46" t="s">
        <v>386</v>
      </c>
      <c r="C38" s="50">
        <v>510201</v>
      </c>
      <c r="D38" s="26" t="s">
        <v>5269</v>
      </c>
      <c r="E38" s="26">
        <v>0</v>
      </c>
      <c r="F38" t="s">
        <v>5134</v>
      </c>
      <c r="G38" s="49" t="s">
        <v>5274</v>
      </c>
      <c r="L38" s="46"/>
      <c r="M38" s="46"/>
      <c r="N38" s="50"/>
      <c r="O38" s="26"/>
      <c r="P38" s="26"/>
    </row>
    <row r="39" spans="1:16">
      <c r="A39" s="46">
        <v>100221</v>
      </c>
      <c r="B39" s="46" t="s">
        <v>391</v>
      </c>
      <c r="C39" s="50">
        <v>510221</v>
      </c>
      <c r="D39" s="26" t="s">
        <v>5269</v>
      </c>
      <c r="E39" s="26"/>
      <c r="F39" t="s">
        <v>5133</v>
      </c>
      <c r="G39" s="49" t="s">
        <v>5277</v>
      </c>
      <c r="L39" s="46"/>
      <c r="M39" s="46"/>
      <c r="N39" s="50"/>
      <c r="O39" s="26"/>
      <c r="P39" s="26"/>
    </row>
    <row r="40" spans="1:16">
      <c r="A40" s="22">
        <v>100232</v>
      </c>
      <c r="B40" s="46" t="s">
        <v>396</v>
      </c>
      <c r="C40" s="22">
        <v>510231</v>
      </c>
      <c r="D40" s="26" t="s">
        <v>5273</v>
      </c>
      <c r="E40" s="26">
        <v>0</v>
      </c>
      <c r="F40" t="s">
        <v>5134</v>
      </c>
      <c r="G40" s="49"/>
      <c r="L40" s="46"/>
      <c r="M40" s="46"/>
      <c r="N40" s="50"/>
      <c r="O40" s="26"/>
      <c r="P40" s="26"/>
    </row>
    <row r="41" spans="1:16">
      <c r="A41" s="23">
        <v>100240</v>
      </c>
      <c r="B41" s="43" t="s">
        <v>400</v>
      </c>
      <c r="C41" s="23">
        <v>510241</v>
      </c>
      <c r="D41" s="28" t="s">
        <v>5718</v>
      </c>
      <c r="E41" s="26">
        <v>0</v>
      </c>
      <c r="F41" t="s">
        <v>5132</v>
      </c>
      <c r="G41" s="49"/>
      <c r="L41" s="46"/>
      <c r="M41" s="46"/>
      <c r="N41" s="50"/>
      <c r="O41" s="26"/>
      <c r="P41" s="26"/>
    </row>
    <row r="42" spans="1:16">
      <c r="A42" s="3">
        <v>100241</v>
      </c>
      <c r="B42" s="46" t="s">
        <v>400</v>
      </c>
      <c r="C42" s="22">
        <v>510241</v>
      </c>
      <c r="D42" s="26" t="s">
        <v>5269</v>
      </c>
      <c r="E42" s="26">
        <v>0</v>
      </c>
      <c r="G42" s="49"/>
      <c r="L42" s="46"/>
      <c r="M42" s="46"/>
      <c r="N42" s="50"/>
      <c r="O42" s="26"/>
      <c r="P42" s="26"/>
    </row>
    <row r="43" spans="1:16">
      <c r="A43" s="22">
        <v>100251</v>
      </c>
      <c r="B43" s="46" t="s">
        <v>404</v>
      </c>
      <c r="C43" s="22">
        <v>510251</v>
      </c>
      <c r="D43" s="26" t="s">
        <v>5280</v>
      </c>
      <c r="E43" s="26"/>
      <c r="G43" s="49"/>
    </row>
    <row r="44" spans="1:16">
      <c r="A44" s="46">
        <v>100261</v>
      </c>
      <c r="B44" s="8" t="s">
        <v>412</v>
      </c>
      <c r="C44" s="50">
        <v>510261</v>
      </c>
      <c r="D44" s="26" t="s">
        <v>5268</v>
      </c>
      <c r="E44" s="26">
        <v>0</v>
      </c>
      <c r="F44" t="s">
        <v>5282</v>
      </c>
      <c r="G44" s="49" t="s">
        <v>5275</v>
      </c>
    </row>
    <row r="45" spans="1:16">
      <c r="A45" s="46">
        <v>100271</v>
      </c>
      <c r="B45" s="8" t="s">
        <v>416</v>
      </c>
      <c r="C45" s="50">
        <v>510271</v>
      </c>
      <c r="D45" s="26" t="s">
        <v>5268</v>
      </c>
      <c r="E45" s="26">
        <v>0</v>
      </c>
      <c r="F45" t="s">
        <v>5131</v>
      </c>
      <c r="G45" s="49" t="s">
        <v>5275</v>
      </c>
    </row>
    <row r="46" spans="1:16">
      <c r="A46" s="46">
        <v>100281</v>
      </c>
      <c r="B46" s="8" t="s">
        <v>421</v>
      </c>
      <c r="C46" s="50">
        <v>510281</v>
      </c>
      <c r="D46" s="26" t="s">
        <v>5268</v>
      </c>
      <c r="E46" s="26">
        <v>0</v>
      </c>
      <c r="F46" t="s">
        <v>5131</v>
      </c>
      <c r="G46" s="49" t="s">
        <v>5275</v>
      </c>
    </row>
    <row r="47" spans="1:16">
      <c r="A47" s="46">
        <v>100291</v>
      </c>
      <c r="B47" s="8" t="s">
        <v>426</v>
      </c>
      <c r="C47" s="50">
        <v>510291</v>
      </c>
      <c r="D47" s="26" t="s">
        <v>5268</v>
      </c>
      <c r="E47" s="26">
        <v>0</v>
      </c>
      <c r="F47" t="s">
        <v>5131</v>
      </c>
      <c r="G47" s="49" t="s">
        <v>5275</v>
      </c>
    </row>
    <row r="48" spans="1:16">
      <c r="A48" s="46">
        <v>100321</v>
      </c>
      <c r="B48" s="8"/>
      <c r="C48" s="50">
        <v>510321</v>
      </c>
      <c r="D48" s="26" t="s">
        <v>5273</v>
      </c>
      <c r="E48" s="26">
        <v>0</v>
      </c>
      <c r="G48" s="49"/>
    </row>
    <row r="49" spans="1:7">
      <c r="A49" s="46">
        <v>100331</v>
      </c>
      <c r="B49" s="8"/>
      <c r="C49" s="50">
        <v>510331</v>
      </c>
      <c r="D49" s="26" t="s">
        <v>5273</v>
      </c>
      <c r="E49" s="26">
        <v>0</v>
      </c>
      <c r="G49" s="49"/>
    </row>
    <row r="50" spans="1:7">
      <c r="A50" s="46">
        <v>100341</v>
      </c>
      <c r="B50" s="8"/>
      <c r="C50" s="50">
        <v>510341</v>
      </c>
      <c r="D50" s="26" t="s">
        <v>5273</v>
      </c>
      <c r="E50" s="26">
        <v>0</v>
      </c>
      <c r="G50" s="49"/>
    </row>
    <row r="51" spans="1:7">
      <c r="A51" s="46">
        <v>100351</v>
      </c>
      <c r="B51" s="8"/>
      <c r="C51" s="50">
        <v>510351</v>
      </c>
      <c r="D51" s="26" t="s">
        <v>5269</v>
      </c>
      <c r="E51" s="26">
        <v>0</v>
      </c>
      <c r="G51" s="49"/>
    </row>
    <row r="52" spans="1:7">
      <c r="A52" s="46">
        <v>100354</v>
      </c>
      <c r="B52" s="8"/>
      <c r="C52" s="50">
        <v>510352</v>
      </c>
      <c r="D52" s="26" t="s">
        <v>5269</v>
      </c>
      <c r="E52" s="26">
        <v>0</v>
      </c>
      <c r="G52" s="49"/>
    </row>
    <row r="53" spans="1:7">
      <c r="A53" s="46">
        <v>100361</v>
      </c>
      <c r="B53" s="8"/>
      <c r="C53" s="50">
        <v>510361</v>
      </c>
      <c r="D53" s="26" t="s">
        <v>5273</v>
      </c>
      <c r="E53" s="26">
        <v>0</v>
      </c>
      <c r="G53" s="49"/>
    </row>
    <row r="54" spans="1:7">
      <c r="A54" s="46">
        <v>100371</v>
      </c>
      <c r="B54" s="8"/>
      <c r="C54" s="50">
        <v>510371</v>
      </c>
      <c r="D54" s="26" t="s">
        <v>5273</v>
      </c>
      <c r="E54" s="26">
        <v>0</v>
      </c>
      <c r="G54" s="49"/>
    </row>
    <row r="55" spans="1:7">
      <c r="A55" s="46">
        <v>100381</v>
      </c>
      <c r="B55" s="8"/>
      <c r="C55" s="50">
        <v>510381</v>
      </c>
      <c r="D55" s="26" t="s">
        <v>5269</v>
      </c>
      <c r="E55" s="26">
        <v>0</v>
      </c>
      <c r="G55" s="49"/>
    </row>
    <row r="56" spans="1:7">
      <c r="A56" s="46">
        <v>100391</v>
      </c>
      <c r="B56" s="8"/>
      <c r="C56" s="50">
        <v>510391</v>
      </c>
      <c r="D56" s="26" t="s">
        <v>5273</v>
      </c>
      <c r="E56" s="26">
        <v>0</v>
      </c>
      <c r="G56" s="49"/>
    </row>
    <row r="57" spans="1:7">
      <c r="A57" s="46">
        <v>100401</v>
      </c>
      <c r="B57" s="8" t="s">
        <v>473</v>
      </c>
      <c r="C57" s="50">
        <v>510401</v>
      </c>
      <c r="D57" s="26" t="s">
        <v>5273</v>
      </c>
      <c r="E57" s="26">
        <v>0</v>
      </c>
      <c r="F57" t="s">
        <v>5134</v>
      </c>
      <c r="G57" s="49" t="s">
        <v>5274</v>
      </c>
    </row>
    <row r="58" spans="1:7">
      <c r="A58" s="46">
        <v>100411</v>
      </c>
      <c r="B58" s="8" t="s">
        <v>478</v>
      </c>
      <c r="C58" s="50">
        <v>510411</v>
      </c>
      <c r="D58" s="26" t="s">
        <v>5273</v>
      </c>
      <c r="E58" s="26">
        <v>0</v>
      </c>
      <c r="F58" t="s">
        <v>5134</v>
      </c>
      <c r="G58" s="49" t="s">
        <v>5274</v>
      </c>
    </row>
    <row r="59" spans="1:7">
      <c r="A59" s="46">
        <v>100421</v>
      </c>
      <c r="B59" s="8" t="s">
        <v>484</v>
      </c>
      <c r="C59" s="50">
        <v>510421</v>
      </c>
      <c r="D59" s="26" t="s">
        <v>5273</v>
      </c>
      <c r="E59" s="26">
        <v>0</v>
      </c>
      <c r="F59" t="s">
        <v>5134</v>
      </c>
      <c r="G59" s="49" t="s">
        <v>5274</v>
      </c>
    </row>
    <row r="60" spans="1:7">
      <c r="A60" s="46">
        <v>100431</v>
      </c>
      <c r="B60" s="8" t="s">
        <v>489</v>
      </c>
      <c r="C60" s="50">
        <v>510431</v>
      </c>
      <c r="D60" s="26" t="s">
        <v>5273</v>
      </c>
      <c r="E60" s="26">
        <v>0</v>
      </c>
      <c r="F60" t="s">
        <v>5134</v>
      </c>
      <c r="G60" s="49" t="s">
        <v>5274</v>
      </c>
    </row>
    <row r="61" spans="1:7">
      <c r="A61" s="46">
        <v>100441</v>
      </c>
      <c r="B61" s="8" t="s">
        <v>495</v>
      </c>
      <c r="C61" s="50">
        <v>510441</v>
      </c>
      <c r="D61" s="26" t="s">
        <v>5269</v>
      </c>
      <c r="E61" s="26">
        <v>0</v>
      </c>
      <c r="F61" t="s">
        <v>5134</v>
      </c>
      <c r="G61" s="49" t="s">
        <v>5274</v>
      </c>
    </row>
    <row r="62" spans="1:7">
      <c r="A62" s="46">
        <v>100451</v>
      </c>
      <c r="B62" s="8" t="s">
        <v>501</v>
      </c>
      <c r="C62" s="50">
        <v>510451</v>
      </c>
      <c r="D62" s="26" t="s">
        <v>5269</v>
      </c>
      <c r="E62" s="26">
        <v>0</v>
      </c>
      <c r="F62" t="s">
        <v>5134</v>
      </c>
      <c r="G62" s="49" t="s">
        <v>5274</v>
      </c>
    </row>
    <row r="63" spans="1:7">
      <c r="A63" s="46">
        <v>100461</v>
      </c>
      <c r="B63" s="8" t="s">
        <v>506</v>
      </c>
      <c r="C63" s="50">
        <v>510461</v>
      </c>
      <c r="D63" s="26" t="s">
        <v>5269</v>
      </c>
      <c r="E63" s="26">
        <v>0</v>
      </c>
      <c r="F63" t="s">
        <v>5134</v>
      </c>
      <c r="G63" s="49" t="s">
        <v>5274</v>
      </c>
    </row>
    <row r="64" spans="1:7">
      <c r="A64" s="46">
        <v>100711</v>
      </c>
      <c r="B64" s="8" t="s">
        <v>551</v>
      </c>
      <c r="C64" s="50">
        <v>511051</v>
      </c>
      <c r="D64" s="26" t="s">
        <v>5269</v>
      </c>
      <c r="E64" s="45">
        <v>0</v>
      </c>
      <c r="F64" s="47" t="s">
        <v>5133</v>
      </c>
      <c r="G64" s="49" t="s">
        <v>5277</v>
      </c>
    </row>
    <row r="65" spans="1:16">
      <c r="A65" s="22">
        <v>100814</v>
      </c>
      <c r="B65" s="8" t="s">
        <v>571</v>
      </c>
      <c r="C65" s="50">
        <v>510811</v>
      </c>
      <c r="D65" s="26" t="s">
        <v>5269</v>
      </c>
      <c r="E65" s="26">
        <v>0</v>
      </c>
      <c r="F65" t="s">
        <v>5133</v>
      </c>
      <c r="G65" s="49" t="s">
        <v>5277</v>
      </c>
      <c r="L65" s="46">
        <v>200001</v>
      </c>
      <c r="M65" s="46" t="s">
        <v>1277</v>
      </c>
      <c r="N65" s="26">
        <v>520001</v>
      </c>
      <c r="O65" s="26" t="s">
        <v>5276</v>
      </c>
      <c r="P65" s="26">
        <v>0</v>
      </c>
    </row>
    <row r="66" spans="1:16">
      <c r="A66" s="1">
        <v>100831</v>
      </c>
      <c r="B66" s="8" t="s">
        <v>582</v>
      </c>
      <c r="C66" s="50">
        <v>510831</v>
      </c>
      <c r="D66" s="26" t="s">
        <v>5269</v>
      </c>
      <c r="E66" s="26">
        <v>0</v>
      </c>
      <c r="F66" t="s">
        <v>5133</v>
      </c>
      <c r="G66" s="49" t="s">
        <v>5277</v>
      </c>
      <c r="L66">
        <v>200002</v>
      </c>
      <c r="M66" t="s">
        <v>314</v>
      </c>
      <c r="N66" s="1">
        <v>520002</v>
      </c>
      <c r="O66" s="1" t="s">
        <v>5276</v>
      </c>
      <c r="P66" s="1">
        <v>0</v>
      </c>
    </row>
    <row r="67" spans="1:16">
      <c r="A67" s="3">
        <v>100841</v>
      </c>
      <c r="B67" s="8" t="s">
        <v>587</v>
      </c>
      <c r="C67" s="50">
        <v>510841</v>
      </c>
      <c r="D67" s="26" t="s">
        <v>5269</v>
      </c>
      <c r="E67" s="26">
        <v>0</v>
      </c>
      <c r="F67" t="s">
        <v>5133</v>
      </c>
      <c r="G67" s="49" t="s">
        <v>5277</v>
      </c>
      <c r="N67" s="1"/>
      <c r="O67" s="1"/>
      <c r="P67" s="1"/>
    </row>
    <row r="68" spans="1:16">
      <c r="A68" s="1">
        <v>100843</v>
      </c>
      <c r="B68" s="8" t="s">
        <v>587</v>
      </c>
      <c r="C68" s="50">
        <v>510841</v>
      </c>
      <c r="D68" s="26" t="s">
        <v>5270</v>
      </c>
      <c r="E68" s="26">
        <v>0</v>
      </c>
      <c r="F68" t="s">
        <v>5135</v>
      </c>
      <c r="G68" s="49" t="s">
        <v>5271</v>
      </c>
      <c r="L68">
        <v>200003</v>
      </c>
      <c r="M68" s="46" t="s">
        <v>1282</v>
      </c>
      <c r="N68" s="1">
        <v>520003</v>
      </c>
      <c r="O68" s="1" t="s">
        <v>5272</v>
      </c>
      <c r="P68" s="1">
        <v>0</v>
      </c>
    </row>
    <row r="69" spans="1:16">
      <c r="A69" s="46">
        <v>100853</v>
      </c>
      <c r="B69" s="8" t="s">
        <v>592</v>
      </c>
      <c r="C69" s="50">
        <v>510851</v>
      </c>
      <c r="D69" s="26" t="s">
        <v>5270</v>
      </c>
      <c r="E69" s="26">
        <v>0</v>
      </c>
      <c r="F69" t="s">
        <v>5135</v>
      </c>
      <c r="G69" s="49" t="s">
        <v>5271</v>
      </c>
      <c r="M69" s="46"/>
      <c r="N69" s="1"/>
      <c r="O69" s="1"/>
      <c r="P69" s="1"/>
    </row>
    <row r="70" spans="1:16">
      <c r="A70" s="46">
        <v>100861</v>
      </c>
      <c r="B70" s="8" t="s">
        <v>597</v>
      </c>
      <c r="C70" s="50">
        <v>510861</v>
      </c>
      <c r="D70" s="26" t="s">
        <v>5280</v>
      </c>
      <c r="E70" s="26">
        <v>0</v>
      </c>
      <c r="F70" t="s">
        <v>5132</v>
      </c>
      <c r="G70" s="49" t="s">
        <v>5281</v>
      </c>
      <c r="M70" s="46"/>
      <c r="N70" s="1"/>
      <c r="O70" s="1"/>
      <c r="P70" s="1"/>
    </row>
    <row r="71" spans="1:16">
      <c r="A71" s="46">
        <v>100872</v>
      </c>
      <c r="B71" s="8" t="s">
        <v>602</v>
      </c>
      <c r="C71" s="50">
        <v>510871</v>
      </c>
      <c r="D71" s="26" t="s">
        <v>5273</v>
      </c>
      <c r="E71" s="26">
        <v>0</v>
      </c>
      <c r="F71" t="s">
        <v>5134</v>
      </c>
      <c r="G71" s="49" t="s">
        <v>5274</v>
      </c>
      <c r="M71" s="46"/>
      <c r="N71" s="1"/>
      <c r="O71" s="1"/>
      <c r="P71" s="1"/>
    </row>
    <row r="72" spans="1:16">
      <c r="A72" s="1">
        <v>100881</v>
      </c>
      <c r="B72" s="8" t="s">
        <v>607</v>
      </c>
      <c r="C72" s="50">
        <v>510881</v>
      </c>
      <c r="D72" s="26" t="s">
        <v>5269</v>
      </c>
      <c r="E72" s="26">
        <v>0</v>
      </c>
      <c r="F72" t="s">
        <v>5133</v>
      </c>
      <c r="G72" s="49" t="s">
        <v>5277</v>
      </c>
      <c r="M72" s="46"/>
      <c r="N72" s="1"/>
      <c r="O72" s="1"/>
      <c r="P72" s="1"/>
    </row>
    <row r="73" spans="1:16">
      <c r="A73" s="1">
        <v>100894</v>
      </c>
      <c r="B73" s="8" t="s">
        <v>613</v>
      </c>
      <c r="C73" s="50">
        <v>510891</v>
      </c>
      <c r="D73" s="26" t="s">
        <v>5283</v>
      </c>
      <c r="E73" s="26">
        <v>0</v>
      </c>
      <c r="F73" t="s">
        <v>5136</v>
      </c>
      <c r="G73" s="49" t="s">
        <v>5284</v>
      </c>
      <c r="M73" s="46"/>
      <c r="N73" s="1"/>
      <c r="O73" s="1"/>
      <c r="P73" s="1"/>
    </row>
    <row r="74" spans="1:16">
      <c r="A74" s="1">
        <v>100912</v>
      </c>
      <c r="B74" s="8" t="s">
        <v>616</v>
      </c>
      <c r="C74" s="50">
        <v>510911</v>
      </c>
      <c r="D74" s="26" t="s">
        <v>5273</v>
      </c>
      <c r="E74" s="26">
        <v>0</v>
      </c>
      <c r="F74" t="s">
        <v>5134</v>
      </c>
      <c r="G74" s="49" t="s">
        <v>5274</v>
      </c>
      <c r="M74" s="46"/>
      <c r="N74" s="1"/>
      <c r="O74" s="1"/>
      <c r="P74" s="1"/>
    </row>
    <row r="75" spans="1:16">
      <c r="A75" s="1">
        <v>100922</v>
      </c>
      <c r="B75" s="8" t="s">
        <v>621</v>
      </c>
      <c r="C75" s="50">
        <v>510921</v>
      </c>
      <c r="D75" s="26" t="s">
        <v>5273</v>
      </c>
      <c r="E75" s="26">
        <v>0</v>
      </c>
      <c r="F75" t="s">
        <v>5134</v>
      </c>
      <c r="G75" s="49" t="s">
        <v>5274</v>
      </c>
      <c r="M75" s="46"/>
      <c r="N75" s="1"/>
      <c r="O75" s="1"/>
      <c r="P75" s="1"/>
    </row>
    <row r="76" spans="1:16">
      <c r="A76" s="3">
        <v>100932</v>
      </c>
      <c r="B76" s="8" t="s">
        <v>626</v>
      </c>
      <c r="C76" s="50">
        <v>510931</v>
      </c>
      <c r="D76" s="26" t="s">
        <v>5273</v>
      </c>
      <c r="E76" s="26">
        <v>0</v>
      </c>
      <c r="F76" t="s">
        <v>5134</v>
      </c>
      <c r="G76" s="49" t="s">
        <v>5274</v>
      </c>
      <c r="M76" s="46"/>
      <c r="N76" s="1"/>
      <c r="O76" s="1"/>
      <c r="P76" s="1"/>
    </row>
    <row r="77" spans="1:16">
      <c r="A77" s="45">
        <v>100933</v>
      </c>
      <c r="B77" s="36" t="s">
        <v>626</v>
      </c>
      <c r="C77" s="52">
        <v>510931</v>
      </c>
      <c r="D77" s="45" t="s">
        <v>5270</v>
      </c>
      <c r="E77" s="45">
        <v>0</v>
      </c>
      <c r="G77" s="49"/>
      <c r="M77" s="46"/>
      <c r="N77" s="1"/>
      <c r="O77" s="1"/>
      <c r="P77" s="1"/>
    </row>
    <row r="78" spans="1:16">
      <c r="A78" s="1">
        <v>100942</v>
      </c>
      <c r="B78" s="8" t="s">
        <v>631</v>
      </c>
      <c r="C78" s="50">
        <v>510941</v>
      </c>
      <c r="D78" s="26" t="s">
        <v>5273</v>
      </c>
      <c r="E78" s="26">
        <v>0</v>
      </c>
      <c r="F78" t="s">
        <v>5134</v>
      </c>
      <c r="G78" s="49" t="s">
        <v>5274</v>
      </c>
      <c r="M78" s="46"/>
      <c r="N78" s="1"/>
      <c r="O78" s="1"/>
      <c r="P78" s="1"/>
    </row>
    <row r="79" spans="1:16">
      <c r="A79" s="1">
        <v>100952</v>
      </c>
      <c r="B79" s="8" t="s">
        <v>636</v>
      </c>
      <c r="C79" s="50">
        <v>510951</v>
      </c>
      <c r="D79" s="26" t="s">
        <v>5273</v>
      </c>
      <c r="E79" s="26">
        <v>0</v>
      </c>
      <c r="F79" t="s">
        <v>5134</v>
      </c>
      <c r="G79" s="49" t="s">
        <v>5274</v>
      </c>
      <c r="M79" s="46"/>
      <c r="N79" s="1"/>
      <c r="O79" s="1"/>
      <c r="P79" s="1"/>
    </row>
    <row r="80" spans="1:16" s="47" customFormat="1">
      <c r="A80" s="1">
        <v>100962</v>
      </c>
      <c r="B80" s="8" t="s">
        <v>643</v>
      </c>
      <c r="C80" s="50">
        <v>510961</v>
      </c>
      <c r="D80" s="26" t="s">
        <v>5273</v>
      </c>
      <c r="E80" s="26">
        <v>0</v>
      </c>
      <c r="F80" t="s">
        <v>5134</v>
      </c>
      <c r="G80" s="49" t="s">
        <v>5274</v>
      </c>
      <c r="H80"/>
      <c r="I80"/>
      <c r="J80"/>
      <c r="N80" s="45"/>
      <c r="O80" s="45"/>
      <c r="P80" s="45"/>
    </row>
    <row r="81" spans="1:16" s="47" customFormat="1">
      <c r="A81" s="1">
        <v>100972</v>
      </c>
      <c r="B81" s="8" t="s">
        <v>650</v>
      </c>
      <c r="C81" s="50">
        <v>510971</v>
      </c>
      <c r="D81" s="26" t="s">
        <v>5273</v>
      </c>
      <c r="E81" s="26">
        <v>0</v>
      </c>
      <c r="F81" t="s">
        <v>5134</v>
      </c>
      <c r="G81" s="49" t="s">
        <v>5274</v>
      </c>
      <c r="H81"/>
      <c r="I81"/>
      <c r="J81"/>
      <c r="N81" s="45"/>
      <c r="O81" s="45"/>
      <c r="P81" s="45"/>
    </row>
    <row r="82" spans="1:16" s="47" customFormat="1">
      <c r="A82" s="1">
        <v>100982</v>
      </c>
      <c r="B82" s="8" t="s">
        <v>657</v>
      </c>
      <c r="C82" s="50">
        <v>510981</v>
      </c>
      <c r="D82" s="26" t="s">
        <v>5273</v>
      </c>
      <c r="E82" s="26">
        <v>0</v>
      </c>
      <c r="F82" t="s">
        <v>5134</v>
      </c>
      <c r="G82" s="49" t="s">
        <v>5274</v>
      </c>
      <c r="H82"/>
      <c r="I82"/>
      <c r="J82"/>
      <c r="N82" s="45"/>
      <c r="O82" s="45"/>
      <c r="P82" s="45"/>
    </row>
    <row r="83" spans="1:16" s="47" customFormat="1">
      <c r="A83" s="1">
        <v>100992</v>
      </c>
      <c r="B83" s="8" t="s">
        <v>664</v>
      </c>
      <c r="C83" s="50">
        <v>510991</v>
      </c>
      <c r="D83" s="26" t="s">
        <v>5273</v>
      </c>
      <c r="E83" s="26">
        <v>0</v>
      </c>
      <c r="F83" t="s">
        <v>5134</v>
      </c>
      <c r="G83" s="49" t="s">
        <v>5274</v>
      </c>
      <c r="H83"/>
      <c r="I83"/>
      <c r="J83"/>
      <c r="N83" s="45"/>
      <c r="O83" s="45"/>
      <c r="P83" s="45"/>
    </row>
    <row r="84" spans="1:16" s="47" customFormat="1">
      <c r="A84" s="1">
        <v>101002</v>
      </c>
      <c r="B84" s="8" t="s">
        <v>671</v>
      </c>
      <c r="C84" s="50">
        <v>511001</v>
      </c>
      <c r="D84" s="26" t="s">
        <v>5273</v>
      </c>
      <c r="E84" s="26">
        <v>0</v>
      </c>
      <c r="F84" t="s">
        <v>5134</v>
      </c>
      <c r="G84" s="49" t="s">
        <v>5274</v>
      </c>
      <c r="H84"/>
      <c r="I84"/>
      <c r="J84"/>
      <c r="N84" s="45"/>
      <c r="O84" s="45"/>
      <c r="P84" s="45"/>
    </row>
    <row r="85" spans="1:16" s="47" customFormat="1">
      <c r="A85" s="1">
        <v>101012</v>
      </c>
      <c r="B85" s="8" t="s">
        <v>678</v>
      </c>
      <c r="C85" s="50">
        <v>511011</v>
      </c>
      <c r="D85" s="26" t="s">
        <v>5273</v>
      </c>
      <c r="E85" s="26">
        <v>0</v>
      </c>
      <c r="F85" t="s">
        <v>5134</v>
      </c>
      <c r="G85" s="49" t="s">
        <v>5274</v>
      </c>
      <c r="H85"/>
      <c r="I85"/>
      <c r="J85"/>
      <c r="N85" s="45"/>
      <c r="O85" s="45"/>
      <c r="P85" s="45"/>
    </row>
    <row r="86" spans="1:16" s="47" customFormat="1">
      <c r="A86" s="1">
        <v>101022</v>
      </c>
      <c r="B86" s="8" t="s">
        <v>685</v>
      </c>
      <c r="C86" s="50">
        <v>511021</v>
      </c>
      <c r="D86" s="26" t="s">
        <v>5273</v>
      </c>
      <c r="E86" s="26">
        <v>0</v>
      </c>
      <c r="F86" t="s">
        <v>5134</v>
      </c>
      <c r="G86" s="49" t="s">
        <v>5274</v>
      </c>
      <c r="H86"/>
      <c r="I86"/>
      <c r="J86"/>
      <c r="N86" s="45"/>
      <c r="O86" s="45"/>
      <c r="P86" s="45"/>
    </row>
    <row r="87" spans="1:16" s="47" customFormat="1">
      <c r="A87" s="1">
        <v>101032</v>
      </c>
      <c r="B87" s="8" t="s">
        <v>692</v>
      </c>
      <c r="C87" s="50">
        <v>511031</v>
      </c>
      <c r="D87" s="26" t="s">
        <v>5273</v>
      </c>
      <c r="E87" s="26">
        <v>0</v>
      </c>
      <c r="F87" t="s">
        <v>5134</v>
      </c>
      <c r="G87" s="49" t="s">
        <v>5274</v>
      </c>
      <c r="H87"/>
      <c r="I87"/>
      <c r="J87"/>
      <c r="N87" s="45"/>
      <c r="O87" s="45"/>
      <c r="P87" s="45"/>
    </row>
    <row r="88" spans="1:16" s="47" customFormat="1">
      <c r="A88" s="1">
        <v>101042</v>
      </c>
      <c r="B88" s="8" t="s">
        <v>699</v>
      </c>
      <c r="C88" s="50">
        <v>511041</v>
      </c>
      <c r="D88" s="26" t="s">
        <v>5273</v>
      </c>
      <c r="E88" s="26">
        <v>0</v>
      </c>
      <c r="F88" t="s">
        <v>5134</v>
      </c>
      <c r="G88" s="49" t="s">
        <v>5274</v>
      </c>
      <c r="H88"/>
      <c r="I88"/>
      <c r="J88"/>
      <c r="N88" s="45"/>
      <c r="O88" s="45"/>
      <c r="P88" s="45"/>
    </row>
    <row r="89" spans="1:16" s="47" customFormat="1">
      <c r="A89" s="1">
        <v>101052</v>
      </c>
      <c r="B89" s="8" t="s">
        <v>706</v>
      </c>
      <c r="C89" s="50">
        <v>511052</v>
      </c>
      <c r="D89" s="26" t="s">
        <v>5273</v>
      </c>
      <c r="E89" s="26">
        <v>0</v>
      </c>
      <c r="F89" t="s">
        <v>5134</v>
      </c>
      <c r="G89" s="49" t="s">
        <v>5274</v>
      </c>
      <c r="H89"/>
      <c r="I89"/>
      <c r="J89"/>
      <c r="N89" s="45"/>
      <c r="O89" s="45"/>
      <c r="P89" s="45"/>
    </row>
    <row r="90" spans="1:16" s="47" customFormat="1">
      <c r="A90" s="1">
        <v>101062</v>
      </c>
      <c r="B90" s="8" t="s">
        <v>713</v>
      </c>
      <c r="C90" s="50">
        <v>511061</v>
      </c>
      <c r="D90" s="26" t="s">
        <v>5273</v>
      </c>
      <c r="E90" s="26">
        <v>0</v>
      </c>
      <c r="F90" t="s">
        <v>5134</v>
      </c>
      <c r="G90" s="49" t="s">
        <v>5274</v>
      </c>
      <c r="H90"/>
      <c r="I90"/>
      <c r="J90"/>
      <c r="N90" s="45"/>
      <c r="O90" s="45"/>
      <c r="P90" s="45"/>
    </row>
    <row r="91" spans="1:16" s="47" customFormat="1">
      <c r="A91" s="1">
        <v>101072</v>
      </c>
      <c r="B91" s="8" t="s">
        <v>720</v>
      </c>
      <c r="C91" s="50">
        <v>511071</v>
      </c>
      <c r="D91" s="26" t="s">
        <v>5273</v>
      </c>
      <c r="E91" s="26">
        <v>0</v>
      </c>
      <c r="F91" t="s">
        <v>5134</v>
      </c>
      <c r="G91" s="49" t="s">
        <v>5274</v>
      </c>
      <c r="H91"/>
      <c r="I91"/>
      <c r="J91"/>
      <c r="N91" s="45"/>
      <c r="O91" s="45"/>
      <c r="P91" s="45"/>
    </row>
    <row r="92" spans="1:16" s="47" customFormat="1">
      <c r="A92" s="1">
        <v>101082</v>
      </c>
      <c r="B92" s="8" t="s">
        <v>727</v>
      </c>
      <c r="C92" s="50">
        <v>511081</v>
      </c>
      <c r="D92" s="26" t="s">
        <v>5273</v>
      </c>
      <c r="E92" s="26">
        <v>0</v>
      </c>
      <c r="F92" t="s">
        <v>5134</v>
      </c>
      <c r="G92" s="49" t="s">
        <v>5274</v>
      </c>
      <c r="H92"/>
      <c r="I92"/>
      <c r="J92"/>
      <c r="N92" s="45"/>
      <c r="O92" s="45"/>
      <c r="P92" s="45"/>
    </row>
    <row r="93" spans="1:16" s="47" customFormat="1">
      <c r="A93" s="1">
        <v>101092</v>
      </c>
      <c r="B93" s="8" t="s">
        <v>734</v>
      </c>
      <c r="C93" s="50">
        <v>511091</v>
      </c>
      <c r="D93" s="26" t="s">
        <v>5273</v>
      </c>
      <c r="E93" s="26">
        <v>0</v>
      </c>
      <c r="F93" t="s">
        <v>5134</v>
      </c>
      <c r="G93" s="49" t="s">
        <v>5274</v>
      </c>
      <c r="H93"/>
      <c r="I93"/>
      <c r="J93"/>
      <c r="N93" s="45"/>
      <c r="O93" s="45"/>
      <c r="P93" s="45"/>
    </row>
    <row r="94" spans="1:16" s="47" customFormat="1">
      <c r="A94" s="1">
        <v>101102</v>
      </c>
      <c r="B94" s="8" t="s">
        <v>741</v>
      </c>
      <c r="C94" s="50">
        <v>511101</v>
      </c>
      <c r="D94" s="26" t="s">
        <v>5273</v>
      </c>
      <c r="E94" s="26">
        <v>0</v>
      </c>
      <c r="F94" t="s">
        <v>5134</v>
      </c>
      <c r="G94" s="49" t="s">
        <v>5274</v>
      </c>
      <c r="H94"/>
      <c r="I94"/>
      <c r="J94"/>
      <c r="N94" s="45"/>
      <c r="O94" s="45"/>
      <c r="P94" s="45"/>
    </row>
    <row r="95" spans="1:16" s="47" customFormat="1">
      <c r="A95" s="1">
        <v>101112</v>
      </c>
      <c r="B95" s="8" t="s">
        <v>748</v>
      </c>
      <c r="C95" s="50">
        <v>511111</v>
      </c>
      <c r="D95" s="26" t="s">
        <v>5273</v>
      </c>
      <c r="E95" s="26">
        <v>0</v>
      </c>
      <c r="F95" t="s">
        <v>5134</v>
      </c>
      <c r="G95" s="49" t="s">
        <v>5274</v>
      </c>
      <c r="H95"/>
      <c r="I95"/>
      <c r="J95"/>
      <c r="N95" s="45"/>
      <c r="O95" s="45"/>
      <c r="P95" s="45"/>
    </row>
    <row r="96" spans="1:16" s="47" customFormat="1">
      <c r="A96" s="1">
        <v>101122</v>
      </c>
      <c r="B96" s="8" t="s">
        <v>755</v>
      </c>
      <c r="C96" s="50">
        <v>511121</v>
      </c>
      <c r="D96" s="26" t="s">
        <v>5273</v>
      </c>
      <c r="E96" s="26">
        <v>0</v>
      </c>
      <c r="F96" t="s">
        <v>5134</v>
      </c>
      <c r="G96" s="49" t="s">
        <v>5274</v>
      </c>
      <c r="H96"/>
      <c r="I96"/>
      <c r="J96"/>
      <c r="N96" s="45"/>
      <c r="O96" s="45"/>
      <c r="P96" s="45"/>
    </row>
    <row r="97" spans="1:16" s="47" customFormat="1">
      <c r="A97" s="1">
        <v>101132</v>
      </c>
      <c r="B97" s="8" t="s">
        <v>762</v>
      </c>
      <c r="C97" s="50">
        <v>511131</v>
      </c>
      <c r="D97" s="26" t="s">
        <v>5273</v>
      </c>
      <c r="E97" s="26">
        <v>0</v>
      </c>
      <c r="F97" t="s">
        <v>5134</v>
      </c>
      <c r="G97" s="49" t="s">
        <v>5274</v>
      </c>
      <c r="H97"/>
      <c r="I97"/>
      <c r="J97"/>
      <c r="N97" s="45"/>
      <c r="O97" s="45"/>
      <c r="P97" s="45"/>
    </row>
    <row r="98" spans="1:16">
      <c r="A98" s="1">
        <v>101143</v>
      </c>
      <c r="B98" s="8" t="s">
        <v>769</v>
      </c>
      <c r="C98" s="50">
        <v>511151</v>
      </c>
      <c r="D98" s="26" t="s">
        <v>5270</v>
      </c>
      <c r="E98" s="45">
        <v>0</v>
      </c>
      <c r="F98" t="s">
        <v>5135</v>
      </c>
      <c r="G98" s="53"/>
      <c r="H98" s="47"/>
      <c r="I98" s="47"/>
      <c r="J98" s="47"/>
      <c r="L98" s="46">
        <v>200004</v>
      </c>
      <c r="M98" t="s">
        <v>1285</v>
      </c>
      <c r="N98" s="26">
        <v>520004</v>
      </c>
      <c r="O98" s="1" t="s">
        <v>5272</v>
      </c>
      <c r="P98" s="26">
        <v>0</v>
      </c>
    </row>
    <row r="99" spans="1:16">
      <c r="A99" s="1">
        <v>101314</v>
      </c>
      <c r="B99" s="8" t="s">
        <v>806</v>
      </c>
      <c r="C99" s="50">
        <v>511311</v>
      </c>
      <c r="D99" s="26" t="s">
        <v>5269</v>
      </c>
      <c r="E99" s="45">
        <v>0</v>
      </c>
      <c r="F99" t="s">
        <v>5285</v>
      </c>
      <c r="G99" s="53"/>
      <c r="H99" s="47"/>
      <c r="I99" s="47"/>
      <c r="J99" s="47"/>
      <c r="L99" s="46"/>
      <c r="N99" s="26"/>
      <c r="O99" s="1"/>
      <c r="P99" s="26"/>
    </row>
    <row r="100" spans="1:16">
      <c r="A100" s="1">
        <v>101343</v>
      </c>
      <c r="B100" s="8" t="s">
        <v>822</v>
      </c>
      <c r="C100" s="50">
        <v>511341</v>
      </c>
      <c r="D100" s="26" t="s">
        <v>5270</v>
      </c>
      <c r="E100" s="45">
        <v>0</v>
      </c>
      <c r="F100" t="s">
        <v>5135</v>
      </c>
      <c r="G100" s="53"/>
      <c r="H100" s="47"/>
      <c r="I100" s="47"/>
      <c r="J100" s="47"/>
      <c r="L100" s="46"/>
      <c r="N100" s="26"/>
      <c r="O100" s="1"/>
      <c r="P100" s="26"/>
    </row>
    <row r="101" spans="1:16">
      <c r="A101" s="1">
        <v>101352</v>
      </c>
      <c r="B101" s="8" t="s">
        <v>830</v>
      </c>
      <c r="C101" s="50">
        <v>511351</v>
      </c>
      <c r="D101" s="26" t="s">
        <v>5273</v>
      </c>
      <c r="E101" s="26">
        <v>0</v>
      </c>
      <c r="F101" t="s">
        <v>5134</v>
      </c>
      <c r="G101" s="49" t="s">
        <v>5274</v>
      </c>
      <c r="H101" s="47"/>
      <c r="I101" s="47"/>
      <c r="J101" s="47"/>
      <c r="L101" s="46"/>
      <c r="N101" s="26"/>
      <c r="O101" s="1"/>
      <c r="P101" s="26"/>
    </row>
    <row r="102" spans="1:16">
      <c r="A102" s="1">
        <v>101362</v>
      </c>
      <c r="B102" s="8" t="s">
        <v>837</v>
      </c>
      <c r="C102" s="50">
        <v>511361</v>
      </c>
      <c r="D102" s="26" t="s">
        <v>5273</v>
      </c>
      <c r="E102" s="26">
        <v>0</v>
      </c>
      <c r="F102" t="s">
        <v>5134</v>
      </c>
      <c r="G102" s="49" t="s">
        <v>5274</v>
      </c>
      <c r="H102" s="47"/>
      <c r="I102" s="47"/>
      <c r="J102" s="47"/>
      <c r="L102" s="46"/>
      <c r="N102" s="26"/>
      <c r="O102" s="1"/>
      <c r="P102" s="26"/>
    </row>
    <row r="103" spans="1:16">
      <c r="A103" s="1">
        <v>101372</v>
      </c>
      <c r="B103" s="8" t="s">
        <v>844</v>
      </c>
      <c r="C103" s="50">
        <v>511371</v>
      </c>
      <c r="D103" s="26" t="s">
        <v>5273</v>
      </c>
      <c r="E103" s="26">
        <v>0</v>
      </c>
      <c r="F103" t="s">
        <v>5134</v>
      </c>
      <c r="G103" s="49" t="s">
        <v>5274</v>
      </c>
      <c r="H103" s="47"/>
      <c r="I103" s="47"/>
      <c r="J103" s="47"/>
      <c r="L103" s="46"/>
      <c r="N103" s="26"/>
      <c r="O103" s="1"/>
      <c r="P103" s="26"/>
    </row>
    <row r="104" spans="1:16">
      <c r="A104" s="1">
        <v>101382</v>
      </c>
      <c r="B104" s="8" t="s">
        <v>851</v>
      </c>
      <c r="C104" s="50">
        <v>511381</v>
      </c>
      <c r="D104" s="26" t="s">
        <v>5273</v>
      </c>
      <c r="E104" s="26">
        <v>0</v>
      </c>
      <c r="F104" t="s">
        <v>5134</v>
      </c>
      <c r="G104" s="49" t="s">
        <v>5274</v>
      </c>
      <c r="H104" s="47"/>
      <c r="I104" s="47"/>
      <c r="J104" s="47"/>
      <c r="L104" s="46"/>
      <c r="N104" s="26"/>
      <c r="O104" s="1"/>
      <c r="P104" s="26"/>
    </row>
    <row r="105" spans="1:16">
      <c r="A105" s="1">
        <v>101392</v>
      </c>
      <c r="B105" s="8" t="s">
        <v>858</v>
      </c>
      <c r="C105" s="50">
        <v>511391</v>
      </c>
      <c r="D105" s="26" t="s">
        <v>5273</v>
      </c>
      <c r="E105" s="26">
        <v>0</v>
      </c>
      <c r="F105" t="s">
        <v>5134</v>
      </c>
      <c r="G105" s="49" t="s">
        <v>5274</v>
      </c>
      <c r="H105" s="47"/>
      <c r="I105" s="47"/>
      <c r="J105" s="47"/>
      <c r="L105" s="46"/>
      <c r="N105" s="26"/>
      <c r="O105" s="1"/>
      <c r="P105" s="26"/>
    </row>
    <row r="106" spans="1:16">
      <c r="A106" s="1">
        <v>101402</v>
      </c>
      <c r="B106" s="8" t="s">
        <v>865</v>
      </c>
      <c r="C106" s="50">
        <v>511401</v>
      </c>
      <c r="D106" s="26" t="s">
        <v>5273</v>
      </c>
      <c r="E106" s="26">
        <v>0</v>
      </c>
      <c r="F106" t="s">
        <v>5134</v>
      </c>
      <c r="G106" s="49" t="s">
        <v>5274</v>
      </c>
      <c r="H106" s="47"/>
      <c r="I106" s="47"/>
      <c r="J106" s="47"/>
      <c r="L106" s="46"/>
      <c r="N106" s="26"/>
      <c r="O106" s="1"/>
      <c r="P106" s="26"/>
    </row>
    <row r="107" spans="1:16">
      <c r="A107" s="1">
        <v>101412</v>
      </c>
      <c r="B107" s="8" t="s">
        <v>872</v>
      </c>
      <c r="C107" s="50">
        <v>511411</v>
      </c>
      <c r="D107" s="26" t="s">
        <v>5273</v>
      </c>
      <c r="E107" s="26">
        <v>0</v>
      </c>
      <c r="F107" t="s">
        <v>5134</v>
      </c>
      <c r="G107" s="49" t="s">
        <v>5274</v>
      </c>
      <c r="H107" s="47"/>
      <c r="I107" s="47"/>
      <c r="J107" s="47"/>
      <c r="L107" s="46"/>
      <c r="N107" s="26"/>
      <c r="O107" s="1"/>
      <c r="P107" s="26"/>
    </row>
    <row r="108" spans="1:16">
      <c r="A108" s="1">
        <v>101422</v>
      </c>
      <c r="B108" s="8" t="s">
        <v>879</v>
      </c>
      <c r="C108" s="50">
        <v>511421</v>
      </c>
      <c r="D108" s="26" t="s">
        <v>5273</v>
      </c>
      <c r="E108" s="26">
        <v>0</v>
      </c>
      <c r="F108" t="s">
        <v>5134</v>
      </c>
      <c r="G108" s="49" t="s">
        <v>5274</v>
      </c>
      <c r="H108" s="47"/>
      <c r="I108" s="47"/>
      <c r="J108" s="47"/>
      <c r="L108" s="46"/>
      <c r="N108" s="26"/>
      <c r="O108" s="1"/>
      <c r="P108" s="26"/>
    </row>
    <row r="109" spans="1:16">
      <c r="A109" s="1">
        <v>101434</v>
      </c>
      <c r="B109" s="8" t="s">
        <v>886</v>
      </c>
      <c r="C109" s="50">
        <v>511431</v>
      </c>
      <c r="D109" s="26" t="s">
        <v>5269</v>
      </c>
      <c r="E109" s="26">
        <v>0</v>
      </c>
      <c r="F109" t="s">
        <v>5285</v>
      </c>
      <c r="G109" s="49"/>
      <c r="H109" s="47"/>
      <c r="I109" s="47"/>
      <c r="J109" s="47"/>
      <c r="L109" s="46"/>
      <c r="N109" s="26"/>
      <c r="O109" s="1"/>
      <c r="P109" s="26"/>
    </row>
    <row r="110" spans="1:16">
      <c r="A110" s="1">
        <v>101444</v>
      </c>
      <c r="B110" s="160" t="s">
        <v>5515</v>
      </c>
      <c r="C110" s="50">
        <v>511441</v>
      </c>
      <c r="D110" s="161" t="s">
        <v>5517</v>
      </c>
      <c r="E110" s="26">
        <v>0</v>
      </c>
      <c r="F110" t="s">
        <v>5516</v>
      </c>
      <c r="G110" s="49"/>
      <c r="H110" s="47"/>
      <c r="I110" s="47"/>
      <c r="J110" s="47"/>
      <c r="L110" s="46"/>
      <c r="N110" s="26"/>
      <c r="O110" s="1"/>
      <c r="P110" s="26"/>
    </row>
    <row r="111" spans="1:16" s="48" customFormat="1">
      <c r="A111" s="54">
        <v>101453</v>
      </c>
      <c r="B111" s="55" t="s">
        <v>5143</v>
      </c>
      <c r="C111" s="56">
        <v>511451</v>
      </c>
      <c r="D111" s="54" t="s">
        <v>5270</v>
      </c>
      <c r="E111" s="54">
        <v>0</v>
      </c>
      <c r="F111" s="48" t="s">
        <v>5135</v>
      </c>
      <c r="G111" s="57"/>
      <c r="N111" s="54"/>
      <c r="O111" s="54"/>
      <c r="P111" s="54"/>
    </row>
    <row r="112" spans="1:16" s="48" customFormat="1">
      <c r="A112" s="54">
        <v>101463</v>
      </c>
      <c r="B112" s="55" t="s">
        <v>5144</v>
      </c>
      <c r="C112" s="56">
        <v>511461</v>
      </c>
      <c r="D112" s="54" t="s">
        <v>5270</v>
      </c>
      <c r="E112" s="54">
        <v>0</v>
      </c>
      <c r="F112" s="48" t="s">
        <v>5135</v>
      </c>
      <c r="G112" s="57"/>
      <c r="N112" s="54"/>
      <c r="O112" s="54"/>
      <c r="P112" s="54"/>
    </row>
    <row r="113" spans="1:16" s="48" customFormat="1">
      <c r="A113" s="54">
        <v>101484</v>
      </c>
      <c r="B113" s="55" t="s">
        <v>5653</v>
      </c>
      <c r="C113" s="56">
        <v>511484</v>
      </c>
      <c r="D113" s="54" t="s">
        <v>5517</v>
      </c>
      <c r="E113" s="54">
        <v>0</v>
      </c>
      <c r="F113" s="48" t="s">
        <v>5516</v>
      </c>
      <c r="G113" s="57"/>
      <c r="N113" s="54"/>
      <c r="O113" s="54"/>
      <c r="P113" s="54"/>
    </row>
    <row r="114" spans="1:16" s="48" customFormat="1">
      <c r="A114" s="100">
        <v>101491</v>
      </c>
      <c r="B114" s="163" t="s">
        <v>5708</v>
      </c>
      <c r="C114" s="174">
        <v>511491</v>
      </c>
      <c r="D114" s="26" t="s">
        <v>5273</v>
      </c>
      <c r="E114" s="54"/>
      <c r="F114" t="s">
        <v>5134</v>
      </c>
      <c r="G114" s="57"/>
      <c r="N114" s="54"/>
      <c r="O114" s="54"/>
      <c r="P114" s="54"/>
    </row>
    <row r="115" spans="1:16">
      <c r="A115" s="46">
        <v>200001</v>
      </c>
      <c r="B115" s="8" t="s">
        <v>1277</v>
      </c>
      <c r="C115" s="50">
        <v>520001</v>
      </c>
      <c r="D115" s="26" t="s">
        <v>5280</v>
      </c>
      <c r="E115" s="26">
        <v>0</v>
      </c>
      <c r="F115" t="s">
        <v>5132</v>
      </c>
      <c r="G115" s="49" t="s">
        <v>5281</v>
      </c>
      <c r="L115">
        <v>200005</v>
      </c>
      <c r="M115" t="s">
        <v>1288</v>
      </c>
      <c r="N115" s="1">
        <v>520005</v>
      </c>
      <c r="O115" s="1" t="s">
        <v>5272</v>
      </c>
      <c r="P115" s="1">
        <v>0</v>
      </c>
    </row>
    <row r="116" spans="1:16">
      <c r="A116">
        <v>200002</v>
      </c>
      <c r="B116" s="8" t="s">
        <v>314</v>
      </c>
      <c r="C116" s="50">
        <v>520002</v>
      </c>
      <c r="D116" s="26" t="s">
        <v>5269</v>
      </c>
      <c r="E116" s="1">
        <v>0</v>
      </c>
      <c r="F116" t="s">
        <v>5133</v>
      </c>
      <c r="G116" s="49" t="s">
        <v>5277</v>
      </c>
      <c r="N116" s="1"/>
      <c r="O116" s="1"/>
      <c r="P116" s="1"/>
    </row>
    <row r="117" spans="1:16">
      <c r="A117">
        <v>200003</v>
      </c>
      <c r="B117" s="8" t="s">
        <v>1282</v>
      </c>
      <c r="C117" s="50">
        <v>520003</v>
      </c>
      <c r="D117" s="26" t="s">
        <v>5273</v>
      </c>
      <c r="E117" s="1">
        <v>0</v>
      </c>
      <c r="F117" t="s">
        <v>5134</v>
      </c>
      <c r="G117" s="49" t="s">
        <v>5134</v>
      </c>
      <c r="N117" s="1"/>
      <c r="O117" s="1"/>
      <c r="P117" s="1"/>
    </row>
    <row r="118" spans="1:16">
      <c r="A118" s="46">
        <v>200004</v>
      </c>
      <c r="B118" t="s">
        <v>1285</v>
      </c>
      <c r="C118" s="26">
        <v>520004</v>
      </c>
      <c r="D118" s="26" t="s">
        <v>5273</v>
      </c>
      <c r="E118" s="26">
        <v>0</v>
      </c>
      <c r="F118" t="s">
        <v>5134</v>
      </c>
      <c r="G118" s="49" t="s">
        <v>5134</v>
      </c>
      <c r="N118" s="1"/>
      <c r="O118" s="1"/>
      <c r="P118" s="1"/>
    </row>
    <row r="119" spans="1:16">
      <c r="A119">
        <v>200005</v>
      </c>
      <c r="B119" t="s">
        <v>1288</v>
      </c>
      <c r="C119" s="1">
        <v>520005</v>
      </c>
      <c r="D119" s="26" t="s">
        <v>5273</v>
      </c>
      <c r="E119" s="1">
        <v>0</v>
      </c>
      <c r="F119" t="s">
        <v>5134</v>
      </c>
      <c r="G119" s="49" t="s">
        <v>5134</v>
      </c>
      <c r="N119" s="1"/>
      <c r="O119" s="1"/>
      <c r="P119" s="1"/>
    </row>
    <row r="120" spans="1:16">
      <c r="A120">
        <v>200006</v>
      </c>
      <c r="B120" t="s">
        <v>1291</v>
      </c>
      <c r="C120" s="1">
        <v>520005</v>
      </c>
      <c r="D120" s="26" t="s">
        <v>5269</v>
      </c>
      <c r="E120" s="1">
        <v>0</v>
      </c>
      <c r="F120" t="s">
        <v>5133</v>
      </c>
      <c r="G120" s="49" t="s">
        <v>5133</v>
      </c>
      <c r="L120">
        <v>300001</v>
      </c>
      <c r="M120" t="s">
        <v>1340</v>
      </c>
      <c r="N120" s="1">
        <v>530001</v>
      </c>
      <c r="O120" s="1" t="s">
        <v>5276</v>
      </c>
      <c r="P120" s="1">
        <v>0</v>
      </c>
    </row>
    <row r="121" spans="1:16">
      <c r="A121">
        <v>200007</v>
      </c>
      <c r="B121" t="s">
        <v>1294</v>
      </c>
      <c r="C121" s="1">
        <v>520006</v>
      </c>
      <c r="D121" s="26" t="s">
        <v>5273</v>
      </c>
      <c r="E121" s="1">
        <v>0</v>
      </c>
      <c r="F121" t="s">
        <v>5134</v>
      </c>
      <c r="G121" s="49" t="s">
        <v>5134</v>
      </c>
      <c r="L121">
        <v>300002</v>
      </c>
      <c r="M121" t="s">
        <v>1342</v>
      </c>
      <c r="N121" s="1">
        <v>530002</v>
      </c>
      <c r="O121" s="1" t="s">
        <v>5276</v>
      </c>
      <c r="P121" s="1">
        <v>0</v>
      </c>
    </row>
    <row r="122" spans="1:16">
      <c r="A122">
        <v>200008</v>
      </c>
      <c r="B122" t="s">
        <v>1297</v>
      </c>
      <c r="C122" s="1">
        <v>520008</v>
      </c>
      <c r="D122" s="26" t="s">
        <v>5283</v>
      </c>
      <c r="E122" s="1">
        <v>0</v>
      </c>
      <c r="F122" t="s">
        <v>5136</v>
      </c>
      <c r="G122" s="49" t="s">
        <v>5136</v>
      </c>
      <c r="L122">
        <v>300003</v>
      </c>
      <c r="M122" t="s">
        <v>1344</v>
      </c>
      <c r="N122" s="1">
        <v>530003</v>
      </c>
      <c r="O122" s="1" t="s">
        <v>5276</v>
      </c>
      <c r="P122" s="1">
        <v>0</v>
      </c>
    </row>
    <row r="123" spans="1:16">
      <c r="A123">
        <v>200009</v>
      </c>
      <c r="B123" t="s">
        <v>1301</v>
      </c>
      <c r="C123" s="1">
        <v>520009</v>
      </c>
      <c r="D123" s="26" t="s">
        <v>5283</v>
      </c>
      <c r="E123" s="1">
        <v>0</v>
      </c>
      <c r="F123" t="s">
        <v>5136</v>
      </c>
      <c r="G123" s="49" t="s">
        <v>5136</v>
      </c>
      <c r="L123">
        <v>300004</v>
      </c>
      <c r="M123" t="s">
        <v>1346</v>
      </c>
      <c r="N123" s="1">
        <v>530004</v>
      </c>
      <c r="O123" s="1" t="s">
        <v>5276</v>
      </c>
      <c r="P123" s="1">
        <v>0</v>
      </c>
    </row>
    <row r="124" spans="1:16">
      <c r="A124">
        <v>300001</v>
      </c>
      <c r="B124" t="s">
        <v>1340</v>
      </c>
      <c r="C124" s="1">
        <v>530001</v>
      </c>
      <c r="D124" s="26" t="s">
        <v>5280</v>
      </c>
      <c r="E124" s="1">
        <v>0</v>
      </c>
      <c r="F124" t="s">
        <v>5132</v>
      </c>
      <c r="G124" s="49" t="s">
        <v>5281</v>
      </c>
      <c r="L124">
        <v>300005</v>
      </c>
      <c r="M124" t="s">
        <v>1348</v>
      </c>
      <c r="N124" s="1">
        <v>530005</v>
      </c>
      <c r="O124" s="1" t="s">
        <v>5276</v>
      </c>
      <c r="P124" s="1">
        <v>0</v>
      </c>
    </row>
    <row r="125" spans="1:16">
      <c r="A125">
        <v>300002</v>
      </c>
      <c r="B125" t="s">
        <v>1342</v>
      </c>
      <c r="C125" s="1">
        <v>530002</v>
      </c>
      <c r="D125" s="26" t="s">
        <v>5280</v>
      </c>
      <c r="E125" s="1">
        <v>0</v>
      </c>
      <c r="F125" t="s">
        <v>5132</v>
      </c>
      <c r="G125" s="49" t="s">
        <v>5281</v>
      </c>
      <c r="L125">
        <v>300006</v>
      </c>
      <c r="M125" t="s">
        <v>1350</v>
      </c>
      <c r="N125" s="1">
        <v>530006</v>
      </c>
      <c r="O125" s="1" t="s">
        <v>5276</v>
      </c>
      <c r="P125" s="1">
        <v>0</v>
      </c>
    </row>
    <row r="126" spans="1:16">
      <c r="A126">
        <v>300003</v>
      </c>
      <c r="B126" t="s">
        <v>1344</v>
      </c>
      <c r="C126" s="1">
        <v>530003</v>
      </c>
      <c r="D126" s="26" t="s">
        <v>5280</v>
      </c>
      <c r="E126" s="1">
        <v>0</v>
      </c>
      <c r="F126" t="s">
        <v>5132</v>
      </c>
      <c r="G126" s="49" t="s">
        <v>5281</v>
      </c>
      <c r="L126">
        <v>300007</v>
      </c>
      <c r="M126" t="s">
        <v>1352</v>
      </c>
      <c r="N126" s="1">
        <v>530007</v>
      </c>
      <c r="O126" s="1" t="s">
        <v>5272</v>
      </c>
      <c r="P126" s="1">
        <v>0</v>
      </c>
    </row>
    <row r="127" spans="1:16">
      <c r="A127">
        <v>300004</v>
      </c>
      <c r="B127" t="s">
        <v>1346</v>
      </c>
      <c r="C127" s="1">
        <v>530004</v>
      </c>
      <c r="D127" s="26" t="s">
        <v>5280</v>
      </c>
      <c r="E127" s="1">
        <v>0</v>
      </c>
      <c r="F127" t="s">
        <v>5132</v>
      </c>
      <c r="G127" s="49" t="s">
        <v>5281</v>
      </c>
      <c r="L127">
        <v>300008</v>
      </c>
      <c r="M127" t="s">
        <v>1354</v>
      </c>
      <c r="N127" s="1">
        <v>530008</v>
      </c>
      <c r="O127" s="1" t="s">
        <v>5276</v>
      </c>
      <c r="P127" s="1">
        <v>0</v>
      </c>
    </row>
    <row r="128" spans="1:16">
      <c r="A128">
        <v>300005</v>
      </c>
      <c r="B128" t="s">
        <v>1348</v>
      </c>
      <c r="C128" s="1">
        <v>530005</v>
      </c>
      <c r="D128" s="26" t="s">
        <v>5280</v>
      </c>
      <c r="E128" s="1">
        <v>0</v>
      </c>
      <c r="F128" t="s">
        <v>5132</v>
      </c>
      <c r="G128" s="49" t="s">
        <v>5281</v>
      </c>
      <c r="L128">
        <v>300009</v>
      </c>
      <c r="M128" t="s">
        <v>1356</v>
      </c>
      <c r="N128" s="1">
        <v>530009</v>
      </c>
      <c r="O128" s="1" t="s">
        <v>5272</v>
      </c>
      <c r="P128" s="1">
        <v>0</v>
      </c>
    </row>
    <row r="129" spans="1:16">
      <c r="A129">
        <v>300006</v>
      </c>
      <c r="B129" t="s">
        <v>1350</v>
      </c>
      <c r="C129" s="1">
        <v>530006</v>
      </c>
      <c r="D129" s="26" t="s">
        <v>5269</v>
      </c>
      <c r="E129" s="1">
        <v>0</v>
      </c>
      <c r="F129" t="s">
        <v>5133</v>
      </c>
      <c r="G129" s="49" t="s">
        <v>5277</v>
      </c>
      <c r="L129">
        <v>300010</v>
      </c>
      <c r="M129" t="s">
        <v>1358</v>
      </c>
      <c r="N129" s="1">
        <v>530010</v>
      </c>
      <c r="O129" s="1" t="s">
        <v>5272</v>
      </c>
      <c r="P129" s="1">
        <v>0</v>
      </c>
    </row>
    <row r="130" spans="1:16">
      <c r="A130">
        <v>300007</v>
      </c>
      <c r="B130" t="s">
        <v>1352</v>
      </c>
      <c r="C130" s="1">
        <v>530007</v>
      </c>
      <c r="D130" s="26" t="s">
        <v>5273</v>
      </c>
      <c r="E130" s="1">
        <v>0</v>
      </c>
      <c r="F130" t="s">
        <v>5134</v>
      </c>
      <c r="G130" s="49" t="s">
        <v>5134</v>
      </c>
      <c r="L130">
        <v>300011</v>
      </c>
      <c r="M130" t="s">
        <v>158</v>
      </c>
      <c r="N130" s="1">
        <v>530011</v>
      </c>
      <c r="O130" s="1" t="s">
        <v>5272</v>
      </c>
      <c r="P130" s="1">
        <v>0</v>
      </c>
    </row>
    <row r="131" spans="1:16">
      <c r="A131">
        <v>300008</v>
      </c>
      <c r="B131" t="s">
        <v>1354</v>
      </c>
      <c r="C131" s="1">
        <v>530008</v>
      </c>
      <c r="D131" s="26" t="s">
        <v>5269</v>
      </c>
      <c r="E131" s="1">
        <v>0</v>
      </c>
      <c r="F131" t="s">
        <v>5133</v>
      </c>
      <c r="G131" s="49" t="s">
        <v>5277</v>
      </c>
      <c r="L131">
        <v>300012</v>
      </c>
      <c r="M131" t="s">
        <v>339</v>
      </c>
      <c r="N131" s="1">
        <v>530012</v>
      </c>
      <c r="O131" s="1" t="s">
        <v>5272</v>
      </c>
      <c r="P131" s="1">
        <v>0</v>
      </c>
    </row>
    <row r="132" spans="1:16">
      <c r="A132">
        <v>300009</v>
      </c>
      <c r="B132" t="s">
        <v>1356</v>
      </c>
      <c r="C132" s="1">
        <v>530009</v>
      </c>
      <c r="D132" s="26" t="s">
        <v>5273</v>
      </c>
      <c r="E132" s="1">
        <v>0</v>
      </c>
      <c r="F132" t="s">
        <v>5134</v>
      </c>
      <c r="G132" t="s">
        <v>5134</v>
      </c>
      <c r="L132">
        <v>300013</v>
      </c>
      <c r="M132" s="8" t="s">
        <v>1362</v>
      </c>
      <c r="N132" s="1">
        <v>530013</v>
      </c>
      <c r="O132" s="1" t="s">
        <v>5272</v>
      </c>
      <c r="P132" s="1">
        <v>0</v>
      </c>
    </row>
    <row r="133" spans="1:16">
      <c r="A133">
        <v>300010</v>
      </c>
      <c r="B133" t="s">
        <v>1358</v>
      </c>
      <c r="C133" s="1">
        <v>530010</v>
      </c>
      <c r="D133" s="26" t="s">
        <v>5273</v>
      </c>
      <c r="E133" s="1">
        <v>0</v>
      </c>
      <c r="F133" t="s">
        <v>5134</v>
      </c>
      <c r="G133" t="s">
        <v>5134</v>
      </c>
      <c r="L133">
        <v>300014</v>
      </c>
      <c r="M133" s="8" t="s">
        <v>291</v>
      </c>
      <c r="N133" s="1">
        <v>530014</v>
      </c>
      <c r="O133" s="1" t="s">
        <v>5272</v>
      </c>
      <c r="P133" s="1">
        <v>0</v>
      </c>
    </row>
    <row r="134" spans="1:16">
      <c r="A134">
        <v>300011</v>
      </c>
      <c r="B134" t="s">
        <v>158</v>
      </c>
      <c r="C134" s="1">
        <v>530011</v>
      </c>
      <c r="D134" s="26" t="s">
        <v>5273</v>
      </c>
      <c r="E134" s="1">
        <v>0</v>
      </c>
      <c r="F134" t="s">
        <v>5134</v>
      </c>
      <c r="G134" t="s">
        <v>5134</v>
      </c>
      <c r="L134">
        <v>300015</v>
      </c>
      <c r="M134" s="8" t="s">
        <v>1365</v>
      </c>
      <c r="N134" s="1">
        <v>530015</v>
      </c>
      <c r="O134" s="1" t="s">
        <v>5272</v>
      </c>
      <c r="P134" s="1">
        <v>0</v>
      </c>
    </row>
    <row r="135" spans="1:16">
      <c r="A135">
        <v>300012</v>
      </c>
      <c r="B135" t="s">
        <v>339</v>
      </c>
      <c r="C135" s="1">
        <v>530012</v>
      </c>
      <c r="D135" s="26" t="s">
        <v>5273</v>
      </c>
      <c r="E135" s="1">
        <v>0</v>
      </c>
      <c r="F135" t="s">
        <v>5134</v>
      </c>
      <c r="G135" t="s">
        <v>5134</v>
      </c>
      <c r="L135">
        <v>300016</v>
      </c>
      <c r="M135" s="8" t="s">
        <v>547</v>
      </c>
      <c r="N135" s="1">
        <v>530016</v>
      </c>
      <c r="O135" s="1" t="s">
        <v>5272</v>
      </c>
      <c r="P135" s="1">
        <v>0</v>
      </c>
    </row>
    <row r="136" spans="1:16">
      <c r="A136">
        <v>300013</v>
      </c>
      <c r="B136" s="8" t="s">
        <v>1362</v>
      </c>
      <c r="C136" s="1">
        <v>530013</v>
      </c>
      <c r="D136" s="26" t="s">
        <v>5273</v>
      </c>
      <c r="E136" s="1">
        <v>0</v>
      </c>
      <c r="F136" t="s">
        <v>5134</v>
      </c>
      <c r="G136" t="s">
        <v>5134</v>
      </c>
      <c r="L136">
        <v>300017</v>
      </c>
      <c r="M136" s="8" t="s">
        <v>1368</v>
      </c>
      <c r="N136" s="1">
        <v>530017</v>
      </c>
      <c r="O136" s="1" t="s">
        <v>5272</v>
      </c>
      <c r="P136" s="1">
        <v>0</v>
      </c>
    </row>
    <row r="137" spans="1:16">
      <c r="A137">
        <v>300014</v>
      </c>
      <c r="B137" s="8" t="s">
        <v>291</v>
      </c>
      <c r="C137" s="1">
        <v>530014</v>
      </c>
      <c r="D137" s="26" t="s">
        <v>5273</v>
      </c>
      <c r="E137" s="1">
        <v>0</v>
      </c>
      <c r="F137" t="s">
        <v>5134</v>
      </c>
      <c r="G137" t="s">
        <v>5134</v>
      </c>
    </row>
    <row r="138" spans="1:16">
      <c r="A138">
        <v>300015</v>
      </c>
      <c r="B138" s="8" t="s">
        <v>1365</v>
      </c>
      <c r="C138" s="1">
        <v>530015</v>
      </c>
      <c r="D138" s="26" t="s">
        <v>5273</v>
      </c>
      <c r="E138" s="1">
        <v>0</v>
      </c>
      <c r="F138" t="s">
        <v>5134</v>
      </c>
      <c r="G138" t="s">
        <v>5134</v>
      </c>
    </row>
    <row r="139" spans="1:16">
      <c r="A139">
        <v>300016</v>
      </c>
      <c r="B139" s="8" t="s">
        <v>547</v>
      </c>
      <c r="C139" s="1">
        <v>530016</v>
      </c>
      <c r="D139" s="26" t="s">
        <v>5273</v>
      </c>
      <c r="E139" s="1">
        <v>0</v>
      </c>
      <c r="F139" t="s">
        <v>5134</v>
      </c>
      <c r="G139" t="s">
        <v>5134</v>
      </c>
    </row>
    <row r="140" spans="1:16">
      <c r="A140">
        <v>300017</v>
      </c>
      <c r="B140" s="8" t="s">
        <v>1368</v>
      </c>
      <c r="C140" s="1">
        <v>530017</v>
      </c>
      <c r="D140" s="26" t="s">
        <v>5273</v>
      </c>
      <c r="E140" s="1">
        <v>0</v>
      </c>
      <c r="F140" t="s">
        <v>5134</v>
      </c>
      <c r="G140" t="s">
        <v>5134</v>
      </c>
    </row>
    <row r="141" spans="1:16">
      <c r="A141">
        <v>300018</v>
      </c>
      <c r="C141" s="1">
        <v>530018</v>
      </c>
      <c r="D141" s="26" t="s">
        <v>5272</v>
      </c>
      <c r="E141" s="1">
        <v>0</v>
      </c>
    </row>
    <row r="142" spans="1:16">
      <c r="A142">
        <v>300019</v>
      </c>
      <c r="B142" s="8" t="s">
        <v>1371</v>
      </c>
      <c r="C142" s="1">
        <v>530019</v>
      </c>
      <c r="D142" s="26" t="s">
        <v>5273</v>
      </c>
      <c r="E142" s="1">
        <v>0</v>
      </c>
      <c r="F142" t="s">
        <v>5134</v>
      </c>
      <c r="G142" t="s">
        <v>5134</v>
      </c>
    </row>
    <row r="143" spans="1:16">
      <c r="A143">
        <v>300021</v>
      </c>
      <c r="B143" t="s">
        <v>1375</v>
      </c>
      <c r="C143" s="1">
        <v>530021</v>
      </c>
      <c r="D143" s="26" t="s">
        <v>5273</v>
      </c>
      <c r="E143" s="1">
        <v>0</v>
      </c>
      <c r="F143" t="s">
        <v>5134</v>
      </c>
      <c r="G143" t="s">
        <v>5134</v>
      </c>
    </row>
  </sheetData>
  <phoneticPr fontId="38" type="noConversion"/>
  <conditionalFormatting sqref="F142:F143">
    <cfRule type="cellIs" dxfId="14" priority="153" operator="equal">
      <formula>$I$16</formula>
    </cfRule>
    <cfRule type="cellIs" dxfId="13" priority="154" operator="equal">
      <formula>$I$17</formula>
    </cfRule>
    <cfRule type="cellIs" dxfId="12" priority="155" operator="equal">
      <formula>$I$21</formula>
    </cfRule>
    <cfRule type="cellIs" dxfId="11" priority="156" operator="equal">
      <formula>$I$20</formula>
    </cfRule>
    <cfRule type="cellIs" dxfId="10" priority="157" operator="equal">
      <formula>$I$18</formula>
    </cfRule>
    <cfRule type="cellIs" dxfId="9" priority="158" operator="equal">
      <formula>$I$19</formula>
    </cfRule>
  </conditionalFormatting>
  <conditionalFormatting sqref="G17 B17:B30 G19:G30">
    <cfRule type="cellIs" dxfId="8" priority="30" operator="equal">
      <formula>2</formula>
    </cfRule>
  </conditionalFormatting>
  <conditionalFormatting sqref="I1:I21 F1:F140 I23:I43 I66:I1048576">
    <cfRule type="cellIs" dxfId="7" priority="159" operator="equal">
      <formula>$I$16</formula>
    </cfRule>
    <cfRule type="cellIs" dxfId="6" priority="160" operator="equal">
      <formula>$I$17</formula>
    </cfRule>
    <cfRule type="cellIs" dxfId="5" priority="161" operator="equal">
      <formula>$I$21</formula>
    </cfRule>
    <cfRule type="cellIs" dxfId="4" priority="162" operator="equal">
      <formula>$I$20</formula>
    </cfRule>
    <cfRule type="cellIs" dxfId="3" priority="163" operator="equal">
      <formula>$I$18</formula>
    </cfRule>
  </conditionalFormatting>
  <conditionalFormatting sqref="I16:I21 F16:F140">
    <cfRule type="cellIs" dxfId="2" priority="184" operator="equal">
      <formula>$I$19</formula>
    </cfRule>
  </conditionalFormatting>
  <conditionalFormatting sqref="M17:M29">
    <cfRule type="cellIs" dxfId="1" priority="80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T43"/>
  <sheetViews>
    <sheetView workbookViewId="0">
      <selection activeCell="H46" sqref="H46"/>
    </sheetView>
  </sheetViews>
  <sheetFormatPr defaultColWidth="11" defaultRowHeight="15.75"/>
  <cols>
    <col min="1" max="1" width="26.875" customWidth="1"/>
    <col min="2" max="2" width="13.875" customWidth="1"/>
    <col min="3" max="3" width="11.875" customWidth="1"/>
    <col min="4" max="4" width="14.75" customWidth="1"/>
    <col min="5" max="5" width="13.125" customWidth="1"/>
    <col min="9" max="11" width="9.625" customWidth="1"/>
    <col min="17" max="17" width="12.25" customWidth="1"/>
    <col min="18" max="18" width="12.75" customWidth="1"/>
  </cols>
  <sheetData>
    <row r="1" spans="1:20">
      <c r="A1" s="2" t="s">
        <v>0</v>
      </c>
      <c r="B1" s="1" t="s">
        <v>5286</v>
      </c>
      <c r="C1" s="1" t="s">
        <v>2</v>
      </c>
      <c r="D1" s="1"/>
      <c r="E1" s="1"/>
    </row>
    <row r="2" spans="1:20">
      <c r="A2" s="2" t="s">
        <v>3</v>
      </c>
      <c r="B2" s="1" t="s">
        <v>5287</v>
      </c>
      <c r="C2" s="1" t="s">
        <v>5</v>
      </c>
      <c r="D2" s="1"/>
      <c r="E2" s="1"/>
    </row>
    <row r="3" spans="1:20">
      <c r="A3" s="2" t="s">
        <v>6</v>
      </c>
      <c r="B3" s="3" t="s">
        <v>7</v>
      </c>
      <c r="C3" s="1" t="s">
        <v>8</v>
      </c>
      <c r="D3" s="1"/>
      <c r="E3" s="1"/>
    </row>
    <row r="4" spans="1:20">
      <c r="A4" s="2" t="s">
        <v>9</v>
      </c>
      <c r="B4" s="4" t="s">
        <v>10</v>
      </c>
      <c r="C4" s="1"/>
      <c r="D4" s="1"/>
      <c r="E4" s="1"/>
    </row>
    <row r="5" spans="1:20">
      <c r="A5" s="2" t="s">
        <v>11</v>
      </c>
      <c r="B5" s="1"/>
      <c r="C5" s="1" t="s">
        <v>12</v>
      </c>
      <c r="D5" s="1"/>
      <c r="E5" s="1"/>
    </row>
    <row r="6" spans="1:20">
      <c r="A6" s="2" t="s">
        <v>13</v>
      </c>
      <c r="B6" s="1">
        <v>4</v>
      </c>
      <c r="C6" s="1" t="s">
        <v>14</v>
      </c>
      <c r="D6" s="1"/>
      <c r="E6" s="1"/>
    </row>
    <row r="7" spans="1:20">
      <c r="A7" s="2" t="s">
        <v>15</v>
      </c>
      <c r="B7" s="1"/>
      <c r="C7" s="1"/>
      <c r="D7" s="1"/>
      <c r="E7" s="1"/>
    </row>
    <row r="8" spans="1:20">
      <c r="A8" s="2" t="s">
        <v>16</v>
      </c>
      <c r="B8" s="1"/>
      <c r="C8" s="1"/>
      <c r="D8" s="1"/>
      <c r="E8" s="1"/>
    </row>
    <row r="9" spans="1:20">
      <c r="A9" s="1"/>
      <c r="B9" s="1"/>
      <c r="C9" s="1"/>
      <c r="D9" s="1"/>
    </row>
    <row r="10" spans="1:20">
      <c r="A10" s="1"/>
      <c r="B10" s="1"/>
      <c r="C10" s="1"/>
      <c r="D10" s="1"/>
    </row>
    <row r="11" spans="1:20">
      <c r="A11" s="1" t="s">
        <v>17</v>
      </c>
      <c r="B11" s="1" t="s">
        <v>19</v>
      </c>
      <c r="C11" s="26" t="s">
        <v>5103</v>
      </c>
      <c r="D11" s="26" t="s">
        <v>5288</v>
      </c>
      <c r="E11" s="46" t="s">
        <v>5243</v>
      </c>
      <c r="F11" s="46" t="s">
        <v>5128</v>
      </c>
    </row>
    <row r="12" spans="1:20">
      <c r="A12" s="4" t="s">
        <v>37</v>
      </c>
      <c r="B12" s="3" t="s">
        <v>39</v>
      </c>
      <c r="C12" s="27" t="s">
        <v>5117</v>
      </c>
      <c r="D12" s="27" t="s">
        <v>5289</v>
      </c>
      <c r="E12" s="27" t="s">
        <v>5122</v>
      </c>
      <c r="F12" s="27" t="s">
        <v>5123</v>
      </c>
    </row>
    <row r="13" spans="1:20">
      <c r="A13" s="4" t="s">
        <v>56</v>
      </c>
      <c r="B13" s="3" t="s">
        <v>57</v>
      </c>
      <c r="C13" s="27" t="s">
        <v>56</v>
      </c>
      <c r="D13" s="27" t="s">
        <v>57</v>
      </c>
      <c r="E13" s="27" t="s">
        <v>56</v>
      </c>
      <c r="F13" s="27" t="s">
        <v>56</v>
      </c>
    </row>
    <row r="14" spans="1:20">
      <c r="A14" s="4" t="s">
        <v>58</v>
      </c>
      <c r="B14" s="3"/>
      <c r="C14" s="27" t="s">
        <v>59</v>
      </c>
      <c r="D14" s="27" t="s">
        <v>59</v>
      </c>
      <c r="E14" s="27" t="s">
        <v>59</v>
      </c>
      <c r="F14" s="27" t="s">
        <v>59</v>
      </c>
    </row>
    <row r="15" spans="1:20">
      <c r="A15" s="4"/>
      <c r="B15" s="3">
        <v>0</v>
      </c>
      <c r="C15" s="27">
        <v>0</v>
      </c>
      <c r="D15" s="27" t="s">
        <v>5290</v>
      </c>
      <c r="E15" s="27">
        <v>0</v>
      </c>
      <c r="F15" s="27">
        <v>0</v>
      </c>
    </row>
    <row r="16" spans="1:20">
      <c r="A16" s="1">
        <v>300001</v>
      </c>
      <c r="B16" s="1" t="str">
        <f>VLOOKUP(A16,item!A:C,3,FALSE)</f>
        <v>靛蓝球桌</v>
      </c>
      <c r="C16" s="26">
        <v>1000</v>
      </c>
      <c r="D16" s="26" t="s">
        <v>5291</v>
      </c>
      <c r="E16" s="26">
        <v>1</v>
      </c>
      <c r="F16" s="26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43" customFormat="1">
      <c r="A17" s="1">
        <v>300002</v>
      </c>
      <c r="B17" s="1" t="str">
        <f>VLOOKUP(A17,item!A:C,3,FALSE)</f>
        <v>黛绿球桌</v>
      </c>
      <c r="C17" s="26">
        <v>1000</v>
      </c>
      <c r="D17" s="26" t="s">
        <v>5292</v>
      </c>
      <c r="E17" s="26">
        <v>1</v>
      </c>
      <c r="F17" s="26"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>
        <v>300003</v>
      </c>
      <c r="B18" s="1" t="str">
        <f>VLOOKUP(A18,item!A:C,3,FALSE)</f>
        <v>暗红球桌</v>
      </c>
      <c r="C18" s="26">
        <v>1200</v>
      </c>
      <c r="D18" s="26" t="s">
        <v>5293</v>
      </c>
      <c r="E18" s="26">
        <v>1</v>
      </c>
      <c r="F18" s="26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300004</v>
      </c>
      <c r="B19" s="1" t="s">
        <v>5294</v>
      </c>
      <c r="C19" s="26">
        <v>1200</v>
      </c>
      <c r="D19" s="26" t="s">
        <v>5295</v>
      </c>
      <c r="E19" s="26">
        <v>1</v>
      </c>
      <c r="F19" s="26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0">
      <c r="A20" s="1">
        <v>300005</v>
      </c>
      <c r="B20" s="1" t="s">
        <v>1348</v>
      </c>
      <c r="C20" s="26">
        <v>1200</v>
      </c>
      <c r="D20" s="26" t="s">
        <v>5296</v>
      </c>
      <c r="E20" s="26">
        <v>1</v>
      </c>
      <c r="F20" s="26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20">
      <c r="A21" s="1">
        <v>300006</v>
      </c>
      <c r="B21" s="1" t="s">
        <v>1350</v>
      </c>
      <c r="C21" s="26">
        <v>3000</v>
      </c>
      <c r="D21" s="26" t="s">
        <v>5297</v>
      </c>
      <c r="E21" s="26">
        <v>1</v>
      </c>
      <c r="F21" s="26">
        <v>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300007</v>
      </c>
      <c r="B22" s="1" t="s">
        <v>1352</v>
      </c>
      <c r="C22" s="26">
        <v>5000</v>
      </c>
      <c r="D22" s="26" t="s">
        <v>5298</v>
      </c>
      <c r="E22" s="26">
        <v>1</v>
      </c>
      <c r="F22" s="26">
        <v>10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>
        <v>300008</v>
      </c>
      <c r="B23" s="1" t="s">
        <v>1354</v>
      </c>
      <c r="C23" s="26">
        <v>3000</v>
      </c>
      <c r="D23" s="26" t="s">
        <v>5299</v>
      </c>
      <c r="E23" s="26">
        <v>1</v>
      </c>
      <c r="F23" s="26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300009</v>
      </c>
      <c r="B24" s="1" t="s">
        <v>1356</v>
      </c>
      <c r="C24" s="26">
        <v>5000</v>
      </c>
      <c r="D24" s="26" t="s">
        <v>5300</v>
      </c>
      <c r="E24" s="26">
        <v>1</v>
      </c>
      <c r="F24" s="26">
        <v>10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300010</v>
      </c>
      <c r="B25" s="1" t="s">
        <v>1358</v>
      </c>
      <c r="C25" s="26">
        <v>5000</v>
      </c>
      <c r="D25" s="26" t="s">
        <v>5301</v>
      </c>
      <c r="E25" s="26">
        <v>1</v>
      </c>
      <c r="F25" s="26">
        <v>10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300011</v>
      </c>
      <c r="B26" s="1" t="s">
        <v>158</v>
      </c>
      <c r="C26" s="26">
        <v>5000</v>
      </c>
      <c r="D26" s="26" t="s">
        <v>5302</v>
      </c>
      <c r="E26" s="26">
        <v>1</v>
      </c>
      <c r="F26" s="26">
        <v>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300012</v>
      </c>
      <c r="B27" s="1" t="s">
        <v>339</v>
      </c>
      <c r="C27" s="26">
        <v>5000</v>
      </c>
      <c r="D27" s="26" t="s">
        <v>5303</v>
      </c>
      <c r="E27" s="26">
        <v>1</v>
      </c>
      <c r="F27" s="26">
        <v>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>
        <v>300013</v>
      </c>
      <c r="B28" s="8" t="s">
        <v>1362</v>
      </c>
      <c r="C28" s="26">
        <v>5000</v>
      </c>
      <c r="D28" s="26" t="s">
        <v>5304</v>
      </c>
      <c r="E28" s="26">
        <v>1</v>
      </c>
      <c r="F28" s="26">
        <v>10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300014</v>
      </c>
      <c r="B29" s="8" t="s">
        <v>291</v>
      </c>
      <c r="C29" s="26">
        <v>5000</v>
      </c>
      <c r="D29" s="26" t="s">
        <v>5305</v>
      </c>
      <c r="E29" s="26">
        <v>1</v>
      </c>
      <c r="F29" s="26">
        <v>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300015</v>
      </c>
      <c r="B30" s="8" t="s">
        <v>1365</v>
      </c>
      <c r="C30" s="26">
        <v>5000</v>
      </c>
      <c r="D30" s="26" t="s">
        <v>5306</v>
      </c>
      <c r="E30" s="26">
        <v>1</v>
      </c>
      <c r="F30" s="26">
        <v>10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300016</v>
      </c>
      <c r="B31" s="8" t="s">
        <v>547</v>
      </c>
      <c r="C31" s="26">
        <v>5000</v>
      </c>
      <c r="D31" s="26" t="s">
        <v>5307</v>
      </c>
      <c r="E31" s="26">
        <v>1</v>
      </c>
      <c r="F31" s="26">
        <v>10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300017</v>
      </c>
      <c r="B32" s="8" t="s">
        <v>1368</v>
      </c>
      <c r="C32" s="26">
        <v>5000</v>
      </c>
      <c r="D32" s="26" t="s">
        <v>5308</v>
      </c>
      <c r="E32" s="26">
        <v>1</v>
      </c>
      <c r="F32" s="26">
        <v>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>
        <v>300018</v>
      </c>
      <c r="C33" s="26">
        <v>5000</v>
      </c>
      <c r="D33" s="26" t="s">
        <v>5309</v>
      </c>
      <c r="E33" s="26">
        <v>1</v>
      </c>
      <c r="F33" s="26">
        <v>10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300019</v>
      </c>
      <c r="B34" s="8" t="s">
        <v>1371</v>
      </c>
      <c r="C34" s="26">
        <v>5000</v>
      </c>
      <c r="D34" s="26" t="s">
        <v>5310</v>
      </c>
      <c r="E34" s="26">
        <v>1</v>
      </c>
      <c r="F34" s="26">
        <v>10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300020</v>
      </c>
      <c r="B35" s="8" t="s">
        <v>5311</v>
      </c>
      <c r="C35" s="26">
        <v>10000</v>
      </c>
      <c r="D35" s="26" t="s">
        <v>5312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300021</v>
      </c>
      <c r="B36" s="1" t="s">
        <v>1375</v>
      </c>
      <c r="C36" s="26">
        <v>8000</v>
      </c>
      <c r="D36" s="26" t="s">
        <v>5313</v>
      </c>
      <c r="E36" s="26">
        <v>1</v>
      </c>
      <c r="F36" s="26">
        <v>10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300022</v>
      </c>
      <c r="B37" s="8" t="s">
        <v>5314</v>
      </c>
      <c r="C37" s="26">
        <v>8000</v>
      </c>
      <c r="D37" s="26" t="s">
        <v>5315</v>
      </c>
      <c r="E37" s="26">
        <v>1</v>
      </c>
      <c r="F37" s="26">
        <v>10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>
        <v>300023</v>
      </c>
      <c r="B38" s="8" t="s">
        <v>5316</v>
      </c>
      <c r="C38" s="26">
        <v>8000</v>
      </c>
      <c r="D38" s="26" t="s">
        <v>5317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300024</v>
      </c>
      <c r="B39" s="8" t="s">
        <v>1382</v>
      </c>
      <c r="C39" s="26">
        <v>8000</v>
      </c>
      <c r="D39" s="26" t="s">
        <v>5318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300025</v>
      </c>
      <c r="B40" s="8" t="s">
        <v>1384</v>
      </c>
      <c r="C40" s="26">
        <v>8000</v>
      </c>
      <c r="D40" s="26" t="s">
        <v>5319</v>
      </c>
    </row>
    <row r="41" spans="1:20">
      <c r="A41" s="1">
        <v>300026</v>
      </c>
      <c r="B41" s="1" t="s">
        <v>1386</v>
      </c>
      <c r="C41" s="26">
        <v>8000</v>
      </c>
      <c r="D41" s="26" t="s">
        <v>5320</v>
      </c>
      <c r="E41" s="26">
        <v>1</v>
      </c>
      <c r="F41" s="26">
        <v>10</v>
      </c>
    </row>
    <row r="42" spans="1:20">
      <c r="A42" s="1">
        <v>300027</v>
      </c>
      <c r="B42" s="1" t="s">
        <v>1388</v>
      </c>
      <c r="C42" s="26">
        <v>8000</v>
      </c>
      <c r="D42" s="26" t="s">
        <v>5321</v>
      </c>
      <c r="E42">
        <v>1</v>
      </c>
      <c r="F42">
        <v>10</v>
      </c>
    </row>
    <row r="43" spans="1:20">
      <c r="A43" s="1">
        <v>300028</v>
      </c>
      <c r="B43" s="1" t="s">
        <v>5322</v>
      </c>
      <c r="C43" s="26">
        <v>8000</v>
      </c>
      <c r="D43" s="26" t="s">
        <v>5323</v>
      </c>
      <c r="E43" s="26">
        <v>1</v>
      </c>
      <c r="F43" s="26">
        <v>10</v>
      </c>
      <c r="G43" s="1"/>
    </row>
  </sheetData>
  <phoneticPr fontId="38" type="noConversion"/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M236"/>
  <sheetViews>
    <sheetView workbookViewId="0">
      <pane ySplit="14" topLeftCell="A15" activePane="bottomLeft" state="frozenSplit"/>
      <selection pane="bottomLeft" activeCell="D23" sqref="D23"/>
    </sheetView>
  </sheetViews>
  <sheetFormatPr defaultColWidth="11" defaultRowHeight="14.25"/>
  <cols>
    <col min="1" max="1" width="26.875" style="14" customWidth="1"/>
    <col min="2" max="2" width="12.375" style="14" customWidth="1"/>
    <col min="3" max="3" width="9.625" style="14" customWidth="1"/>
    <col min="4" max="6" width="13.5" style="14" customWidth="1"/>
    <col min="7" max="8" width="48.625" style="14" customWidth="1"/>
    <col min="9" max="9" width="12.875" style="14" customWidth="1"/>
    <col min="10" max="10" width="11" style="14" customWidth="1"/>
    <col min="11" max="16384" width="11" style="14"/>
  </cols>
  <sheetData>
    <row r="1" spans="1:11">
      <c r="A1" s="15" t="s">
        <v>0</v>
      </c>
      <c r="B1" s="16" t="s">
        <v>5324</v>
      </c>
      <c r="C1" s="16" t="s">
        <v>2</v>
      </c>
      <c r="H1" s="16"/>
      <c r="I1" s="16"/>
    </row>
    <row r="2" spans="1:11">
      <c r="A2" s="15" t="s">
        <v>3</v>
      </c>
      <c r="B2" s="16" t="s">
        <v>5325</v>
      </c>
      <c r="C2" s="16" t="s">
        <v>5</v>
      </c>
      <c r="H2" s="16"/>
      <c r="I2" s="16"/>
    </row>
    <row r="3" spans="1:11">
      <c r="A3" s="15" t="s">
        <v>6</v>
      </c>
      <c r="B3" s="17" t="s">
        <v>7</v>
      </c>
      <c r="C3" s="16" t="s">
        <v>8</v>
      </c>
      <c r="H3" s="16"/>
      <c r="I3" s="16"/>
    </row>
    <row r="4" spans="1:11">
      <c r="A4" s="15" t="s">
        <v>9</v>
      </c>
      <c r="B4" s="18" t="s">
        <v>10</v>
      </c>
      <c r="C4" s="16"/>
      <c r="H4" s="16"/>
      <c r="I4" s="16"/>
    </row>
    <row r="5" spans="1:11">
      <c r="A5" s="15" t="s">
        <v>11</v>
      </c>
      <c r="B5" s="16"/>
      <c r="C5" s="16" t="s">
        <v>12</v>
      </c>
      <c r="D5" s="16"/>
      <c r="E5" s="16"/>
      <c r="F5" s="16"/>
      <c r="G5" s="16"/>
      <c r="H5" s="16"/>
      <c r="I5" s="16"/>
    </row>
    <row r="6" spans="1:11">
      <c r="A6" s="15" t="s">
        <v>13</v>
      </c>
      <c r="B6" s="16">
        <v>4</v>
      </c>
      <c r="C6" s="16" t="s">
        <v>14</v>
      </c>
      <c r="D6" s="16"/>
      <c r="E6" s="16"/>
      <c r="F6" s="16"/>
      <c r="G6" s="16"/>
      <c r="H6" s="16"/>
      <c r="I6" s="16"/>
    </row>
    <row r="7" spans="1:11">
      <c r="A7" s="15" t="s">
        <v>15</v>
      </c>
      <c r="B7" s="16"/>
      <c r="C7" s="16"/>
      <c r="D7" s="16"/>
      <c r="E7" s="16"/>
      <c r="F7" s="16"/>
      <c r="G7" s="16"/>
      <c r="H7" s="16"/>
      <c r="I7" s="16"/>
    </row>
    <row r="8" spans="1:11">
      <c r="A8" s="15" t="s">
        <v>16</v>
      </c>
      <c r="B8" s="16"/>
      <c r="C8" s="16"/>
      <c r="D8" s="16"/>
      <c r="E8" s="16"/>
      <c r="F8" s="16"/>
      <c r="G8" s="16"/>
      <c r="H8" s="16"/>
      <c r="I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</row>
    <row r="10" spans="1:11">
      <c r="A10" s="16"/>
      <c r="B10" s="16"/>
      <c r="C10" s="16"/>
      <c r="D10" s="16"/>
      <c r="E10" s="16"/>
      <c r="F10" s="16"/>
      <c r="G10" s="16"/>
    </row>
    <row r="11" spans="1:11" ht="15.75">
      <c r="A11" s="16" t="s">
        <v>17</v>
      </c>
      <c r="B11" s="14" t="s">
        <v>5326</v>
      </c>
      <c r="C11" s="14" t="s">
        <v>5326</v>
      </c>
      <c r="D11" s="19" t="s">
        <v>5327</v>
      </c>
      <c r="E11" s="16" t="s">
        <v>5328</v>
      </c>
      <c r="F11" s="19" t="s">
        <v>5329</v>
      </c>
      <c r="G11" s="19" t="s">
        <v>5330</v>
      </c>
      <c r="H11" s="19" t="s">
        <v>19</v>
      </c>
      <c r="I11" s="14" t="s">
        <v>5331</v>
      </c>
      <c r="J11" s="26" t="s">
        <v>5103</v>
      </c>
      <c r="K11" s="14" t="s">
        <v>5332</v>
      </c>
    </row>
    <row r="12" spans="1:11" ht="15.75">
      <c r="A12" s="18" t="s">
        <v>5333</v>
      </c>
      <c r="B12" s="17" t="s">
        <v>5334</v>
      </c>
      <c r="C12" s="18" t="s">
        <v>5335</v>
      </c>
      <c r="D12" s="20" t="s">
        <v>5336</v>
      </c>
      <c r="E12" s="20" t="s">
        <v>5337</v>
      </c>
      <c r="F12" s="18" t="s">
        <v>49</v>
      </c>
      <c r="G12" s="18" t="s">
        <v>38</v>
      </c>
      <c r="H12" s="17" t="s">
        <v>39</v>
      </c>
      <c r="I12" s="18" t="s">
        <v>5338</v>
      </c>
      <c r="J12" s="27" t="s">
        <v>5117</v>
      </c>
      <c r="K12" s="18" t="s">
        <v>5339</v>
      </c>
    </row>
    <row r="13" spans="1:11" ht="15.75">
      <c r="A13" s="18" t="s">
        <v>56</v>
      </c>
      <c r="B13" s="17" t="s">
        <v>56</v>
      </c>
      <c r="C13" s="18" t="s">
        <v>56</v>
      </c>
      <c r="D13" s="18" t="s">
        <v>56</v>
      </c>
      <c r="E13" s="18" t="s">
        <v>56</v>
      </c>
      <c r="F13" s="18" t="s">
        <v>57</v>
      </c>
      <c r="G13" s="18" t="s">
        <v>56</v>
      </c>
      <c r="H13" s="17" t="s">
        <v>57</v>
      </c>
      <c r="I13" s="18" t="s">
        <v>56</v>
      </c>
      <c r="J13" s="27" t="s">
        <v>56</v>
      </c>
      <c r="K13" s="18" t="s">
        <v>56</v>
      </c>
    </row>
    <row r="14" spans="1:11" ht="15.75">
      <c r="A14" s="18" t="s">
        <v>58</v>
      </c>
      <c r="B14" s="17" t="s">
        <v>59</v>
      </c>
      <c r="C14" s="18" t="s">
        <v>59</v>
      </c>
      <c r="D14" s="18" t="s">
        <v>59</v>
      </c>
      <c r="E14" s="18" t="s">
        <v>59</v>
      </c>
      <c r="F14" s="18" t="s">
        <v>59</v>
      </c>
      <c r="G14" s="18" t="s">
        <v>59</v>
      </c>
      <c r="H14" s="17" t="s">
        <v>60</v>
      </c>
      <c r="I14" s="18" t="s">
        <v>59</v>
      </c>
      <c r="J14" s="27" t="s">
        <v>59</v>
      </c>
      <c r="K14" s="18" t="s">
        <v>59</v>
      </c>
    </row>
    <row r="15" spans="1:11">
      <c r="A15" s="18"/>
      <c r="B15" s="17">
        <v>2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7"/>
      <c r="I15" s="18">
        <v>0</v>
      </c>
      <c r="J15" s="18">
        <v>0</v>
      </c>
      <c r="K15" s="18">
        <v>0</v>
      </c>
    </row>
    <row r="16" spans="1:11">
      <c r="A16" s="17">
        <v>800000</v>
      </c>
      <c r="B16" s="14">
        <v>2</v>
      </c>
      <c r="C16" s="14">
        <v>1</v>
      </c>
      <c r="D16" s="14">
        <v>1</v>
      </c>
      <c r="E16" s="14">
        <v>0</v>
      </c>
      <c r="F16" s="14">
        <v>0</v>
      </c>
      <c r="G16" s="14">
        <v>8000003</v>
      </c>
      <c r="H16" s="14" t="s">
        <v>5340</v>
      </c>
      <c r="I16" s="14">
        <v>0</v>
      </c>
      <c r="J16" s="14">
        <v>0</v>
      </c>
    </row>
    <row r="17" spans="1:10" ht="15.75">
      <c r="A17" s="16">
        <v>800001</v>
      </c>
      <c r="B17" s="14">
        <v>2</v>
      </c>
      <c r="C17" s="14">
        <v>1</v>
      </c>
      <c r="D17" s="19">
        <v>1</v>
      </c>
      <c r="E17" s="16">
        <v>0</v>
      </c>
      <c r="F17" s="14">
        <v>0</v>
      </c>
      <c r="G17" s="14">
        <v>8000013</v>
      </c>
      <c r="H17" s="14" t="s">
        <v>5340</v>
      </c>
      <c r="I17" s="14">
        <v>0</v>
      </c>
      <c r="J17" s="14">
        <v>0</v>
      </c>
    </row>
    <row r="18" spans="1:10" ht="15.75">
      <c r="A18" s="16">
        <v>800002</v>
      </c>
      <c r="B18" s="14">
        <v>2</v>
      </c>
      <c r="C18" s="14">
        <v>1</v>
      </c>
      <c r="D18" s="19">
        <v>1</v>
      </c>
      <c r="E18" s="16">
        <v>0</v>
      </c>
      <c r="F18" s="14">
        <v>0</v>
      </c>
      <c r="G18" s="14">
        <v>8000023</v>
      </c>
      <c r="H18" s="14" t="s">
        <v>5340</v>
      </c>
      <c r="I18" s="14">
        <v>0</v>
      </c>
      <c r="J18" s="14">
        <v>0</v>
      </c>
    </row>
    <row r="19" spans="1:10" s="9" customFormat="1" ht="15.75">
      <c r="A19" s="17">
        <v>800003</v>
      </c>
      <c r="B19" s="9">
        <v>2</v>
      </c>
      <c r="C19" s="14">
        <v>1</v>
      </c>
      <c r="D19" s="19">
        <v>1</v>
      </c>
      <c r="E19" s="19">
        <v>0</v>
      </c>
      <c r="F19" s="14">
        <v>0</v>
      </c>
      <c r="G19" s="14">
        <v>8000033</v>
      </c>
      <c r="H19" s="14" t="s">
        <v>5340</v>
      </c>
      <c r="I19" s="14">
        <v>0</v>
      </c>
      <c r="J19" s="14">
        <v>0</v>
      </c>
    </row>
    <row r="20" spans="1:10" s="9" customFormat="1" ht="15.75">
      <c r="A20" s="17">
        <v>800004</v>
      </c>
      <c r="B20" s="9">
        <v>2</v>
      </c>
      <c r="C20" s="14">
        <v>1</v>
      </c>
      <c r="D20" s="19">
        <v>1</v>
      </c>
      <c r="E20" s="19">
        <v>0</v>
      </c>
      <c r="F20" s="14">
        <v>0</v>
      </c>
      <c r="G20" s="14">
        <v>8000043</v>
      </c>
      <c r="H20" s="14" t="s">
        <v>5340</v>
      </c>
      <c r="I20" s="14">
        <v>0</v>
      </c>
      <c r="J20" s="14">
        <v>0</v>
      </c>
    </row>
    <row r="21" spans="1:10" s="9" customFormat="1" ht="15.75">
      <c r="A21" s="17">
        <v>800005</v>
      </c>
      <c r="B21" s="9">
        <v>2</v>
      </c>
      <c r="C21" s="14">
        <v>1</v>
      </c>
      <c r="D21" s="19">
        <v>1</v>
      </c>
      <c r="E21" s="19">
        <v>0</v>
      </c>
      <c r="F21" s="14">
        <v>0</v>
      </c>
      <c r="G21" s="14">
        <v>8000053</v>
      </c>
      <c r="H21" s="14" t="s">
        <v>5340</v>
      </c>
      <c r="I21" s="14">
        <v>0</v>
      </c>
      <c r="J21" s="14">
        <v>0</v>
      </c>
    </row>
    <row r="22" spans="1:10" s="9" customFormat="1" ht="15.75">
      <c r="A22" s="17">
        <v>800006</v>
      </c>
      <c r="B22" s="9">
        <v>2</v>
      </c>
      <c r="C22" s="14">
        <v>1</v>
      </c>
      <c r="D22" s="19">
        <v>1</v>
      </c>
      <c r="E22" s="19">
        <v>0</v>
      </c>
      <c r="F22" s="14">
        <v>0</v>
      </c>
      <c r="G22" s="14">
        <v>8000063</v>
      </c>
      <c r="H22" s="14" t="s">
        <v>5340</v>
      </c>
      <c r="I22" s="14">
        <v>0</v>
      </c>
      <c r="J22" s="14">
        <v>0</v>
      </c>
    </row>
    <row r="23" spans="1:10" s="9" customFormat="1" ht="15.75">
      <c r="A23" s="16">
        <v>800007</v>
      </c>
      <c r="B23" s="9">
        <v>1</v>
      </c>
      <c r="C23" s="14">
        <v>1</v>
      </c>
      <c r="D23" s="19">
        <v>1</v>
      </c>
      <c r="E23" s="19">
        <v>3</v>
      </c>
      <c r="F23" s="21" t="s">
        <v>5341</v>
      </c>
      <c r="G23" s="14">
        <v>8000073</v>
      </c>
      <c r="H23" s="14" t="s">
        <v>5342</v>
      </c>
      <c r="I23" s="14">
        <v>12</v>
      </c>
      <c r="J23" s="14">
        <v>0</v>
      </c>
    </row>
    <row r="24" spans="1:10" s="9" customFormat="1" ht="15.75">
      <c r="A24" s="16">
        <v>800008</v>
      </c>
      <c r="B24" s="9">
        <v>1</v>
      </c>
      <c r="C24" s="14">
        <v>1</v>
      </c>
      <c r="D24" s="19">
        <v>1</v>
      </c>
      <c r="E24" s="19">
        <v>3</v>
      </c>
      <c r="F24" s="21" t="s">
        <v>5341</v>
      </c>
      <c r="G24" s="14">
        <v>8000083</v>
      </c>
      <c r="H24" s="14" t="s">
        <v>5342</v>
      </c>
      <c r="I24" s="14">
        <v>12</v>
      </c>
      <c r="J24" s="14">
        <v>0</v>
      </c>
    </row>
    <row r="25" spans="1:10" s="9" customFormat="1" ht="15.75">
      <c r="A25" s="16">
        <v>800009</v>
      </c>
      <c r="B25" s="9">
        <v>2</v>
      </c>
      <c r="C25" s="14">
        <v>1</v>
      </c>
      <c r="D25" s="19">
        <v>2</v>
      </c>
      <c r="E25" s="19">
        <v>0</v>
      </c>
      <c r="F25" s="14">
        <v>0</v>
      </c>
      <c r="G25" s="14">
        <v>8000093</v>
      </c>
      <c r="H25" s="14" t="s">
        <v>5340</v>
      </c>
      <c r="I25" s="14">
        <v>0</v>
      </c>
      <c r="J25" s="14">
        <v>0</v>
      </c>
    </row>
    <row r="26" spans="1:10" s="9" customFormat="1" ht="15.75">
      <c r="A26" s="16">
        <v>800010</v>
      </c>
      <c r="B26" s="9">
        <v>2</v>
      </c>
      <c r="C26" s="14">
        <v>1</v>
      </c>
      <c r="D26" s="19">
        <v>3</v>
      </c>
      <c r="E26" s="19">
        <v>0</v>
      </c>
      <c r="F26" s="14">
        <v>0</v>
      </c>
      <c r="G26" s="14">
        <v>8000103</v>
      </c>
      <c r="H26" s="14" t="s">
        <v>5340</v>
      </c>
      <c r="I26" s="14">
        <v>0</v>
      </c>
      <c r="J26" s="14">
        <v>0</v>
      </c>
    </row>
    <row r="27" spans="1:10" s="9" customFormat="1" ht="15.75">
      <c r="A27" s="16">
        <v>800011</v>
      </c>
      <c r="B27" s="9">
        <v>2</v>
      </c>
      <c r="C27" s="14">
        <v>1</v>
      </c>
      <c r="D27" s="19">
        <v>4</v>
      </c>
      <c r="E27" s="19">
        <v>0</v>
      </c>
      <c r="F27" s="14">
        <v>0</v>
      </c>
      <c r="G27" s="14">
        <v>8000113</v>
      </c>
      <c r="H27" s="14" t="s">
        <v>5340</v>
      </c>
      <c r="I27" s="14">
        <v>0</v>
      </c>
      <c r="J27" s="14">
        <v>0</v>
      </c>
    </row>
    <row r="28" spans="1:10" s="9" customFormat="1" ht="15.75">
      <c r="A28" s="16">
        <v>800013</v>
      </c>
      <c r="B28" s="9">
        <v>1</v>
      </c>
      <c r="C28" s="14">
        <v>1</v>
      </c>
      <c r="D28" s="19">
        <v>0</v>
      </c>
      <c r="E28" s="19">
        <v>8</v>
      </c>
      <c r="F28" s="14">
        <v>0</v>
      </c>
      <c r="G28" s="14">
        <v>8000133</v>
      </c>
      <c r="H28" s="14" t="s">
        <v>5343</v>
      </c>
      <c r="I28" s="14">
        <v>0</v>
      </c>
      <c r="J28" s="14">
        <v>0</v>
      </c>
    </row>
    <row r="29" spans="1:10" s="9" customFormat="1" ht="15.75">
      <c r="A29" s="16">
        <v>800014</v>
      </c>
      <c r="B29" s="9">
        <v>1</v>
      </c>
      <c r="C29" s="14">
        <v>1</v>
      </c>
      <c r="D29" s="19">
        <v>0</v>
      </c>
      <c r="E29" s="19">
        <v>8</v>
      </c>
      <c r="F29" s="14">
        <v>0</v>
      </c>
      <c r="G29" s="14">
        <v>8000143</v>
      </c>
      <c r="H29" s="14" t="s">
        <v>5343</v>
      </c>
      <c r="I29" s="14">
        <v>0</v>
      </c>
      <c r="J29" s="14">
        <v>0</v>
      </c>
    </row>
    <row r="30" spans="1:10" s="9" customFormat="1" ht="15.75">
      <c r="A30" s="16">
        <v>800015</v>
      </c>
      <c r="B30" s="9">
        <v>1</v>
      </c>
      <c r="C30" s="14">
        <v>1</v>
      </c>
      <c r="D30" s="19">
        <v>0</v>
      </c>
      <c r="E30" s="19">
        <v>8</v>
      </c>
      <c r="F30" s="14">
        <v>0</v>
      </c>
      <c r="G30" s="14">
        <v>8000153</v>
      </c>
      <c r="H30" s="14" t="s">
        <v>5344</v>
      </c>
      <c r="I30" s="14">
        <v>0</v>
      </c>
      <c r="J30" s="14">
        <v>0</v>
      </c>
    </row>
    <row r="31" spans="1:10" s="9" customFormat="1" ht="15.75">
      <c r="A31" s="16">
        <v>800016</v>
      </c>
      <c r="B31" s="9">
        <v>1</v>
      </c>
      <c r="C31" s="14">
        <v>1</v>
      </c>
      <c r="D31" s="19">
        <v>0</v>
      </c>
      <c r="E31" s="19">
        <v>8</v>
      </c>
      <c r="F31" s="14">
        <v>0</v>
      </c>
      <c r="G31" s="14">
        <v>8000163</v>
      </c>
      <c r="H31" s="14" t="s">
        <v>5340</v>
      </c>
      <c r="I31" s="14">
        <v>0</v>
      </c>
      <c r="J31" s="14">
        <v>0</v>
      </c>
    </row>
    <row r="32" spans="1:10" s="9" customFormat="1" ht="15.75">
      <c r="A32" s="16">
        <v>800017</v>
      </c>
      <c r="B32" s="9">
        <v>1</v>
      </c>
      <c r="C32" s="14">
        <v>1</v>
      </c>
      <c r="D32" s="19">
        <v>0</v>
      </c>
      <c r="E32" s="19">
        <v>8</v>
      </c>
      <c r="F32" s="14">
        <v>0</v>
      </c>
      <c r="G32" s="14">
        <v>8000173</v>
      </c>
      <c r="H32" s="14" t="s">
        <v>5340</v>
      </c>
      <c r="I32" s="14">
        <v>0</v>
      </c>
      <c r="J32" s="14">
        <v>0</v>
      </c>
    </row>
    <row r="33" spans="1:11" s="9" customFormat="1" ht="15.75">
      <c r="A33" s="16">
        <v>800018</v>
      </c>
      <c r="B33" s="9">
        <v>1</v>
      </c>
      <c r="C33" s="14">
        <v>1</v>
      </c>
      <c r="D33" s="19">
        <v>0</v>
      </c>
      <c r="E33" s="19">
        <v>8</v>
      </c>
      <c r="F33" s="14">
        <v>0</v>
      </c>
      <c r="G33" s="14">
        <v>8000183</v>
      </c>
      <c r="H33" s="14" t="s">
        <v>5340</v>
      </c>
      <c r="I33" s="14">
        <v>0</v>
      </c>
      <c r="J33" s="14">
        <v>0</v>
      </c>
    </row>
    <row r="34" spans="1:11" s="9" customFormat="1" ht="15.75">
      <c r="A34" s="16">
        <v>800019</v>
      </c>
      <c r="B34" s="9">
        <v>1</v>
      </c>
      <c r="C34" s="14">
        <v>1</v>
      </c>
      <c r="D34" s="19">
        <v>0</v>
      </c>
      <c r="E34" s="19">
        <v>8</v>
      </c>
      <c r="F34" s="14">
        <v>0</v>
      </c>
      <c r="G34" s="14">
        <v>8000193</v>
      </c>
      <c r="H34" s="14" t="s">
        <v>5340</v>
      </c>
      <c r="I34" s="14">
        <v>0</v>
      </c>
      <c r="J34" s="14">
        <v>0</v>
      </c>
      <c r="K34" s="1"/>
    </row>
    <row r="35" spans="1:11" s="9" customFormat="1" ht="15.75">
      <c r="A35" s="22">
        <v>800020</v>
      </c>
      <c r="B35" s="9">
        <v>1</v>
      </c>
      <c r="C35" s="14">
        <v>1</v>
      </c>
      <c r="D35" s="19">
        <v>0</v>
      </c>
      <c r="E35" s="19">
        <v>8</v>
      </c>
      <c r="F35" s="14">
        <v>0</v>
      </c>
      <c r="G35" s="14">
        <v>8000203</v>
      </c>
      <c r="H35" s="14" t="s">
        <v>5340</v>
      </c>
      <c r="I35" s="14">
        <v>0</v>
      </c>
      <c r="J35" s="14">
        <v>0</v>
      </c>
      <c r="K35" s="1"/>
    </row>
    <row r="36" spans="1:11" s="9" customFormat="1" ht="15.75">
      <c r="A36" s="22">
        <v>800021</v>
      </c>
      <c r="B36" s="9">
        <v>1</v>
      </c>
      <c r="C36" s="14">
        <v>1</v>
      </c>
      <c r="D36" s="19">
        <v>0</v>
      </c>
      <c r="E36" s="19">
        <v>8</v>
      </c>
      <c r="F36" s="14">
        <v>0</v>
      </c>
      <c r="G36" s="14">
        <v>8000213</v>
      </c>
      <c r="H36" s="14" t="s">
        <v>5340</v>
      </c>
      <c r="I36" s="14">
        <v>0</v>
      </c>
      <c r="J36" s="14">
        <v>0</v>
      </c>
      <c r="K36" s="1"/>
    </row>
    <row r="37" spans="1:11" s="9" customFormat="1" ht="15.75">
      <c r="A37" s="22">
        <v>800022</v>
      </c>
      <c r="B37" s="9">
        <v>1</v>
      </c>
      <c r="C37" s="14">
        <v>1</v>
      </c>
      <c r="D37" s="19">
        <v>0</v>
      </c>
      <c r="E37" s="19">
        <v>8</v>
      </c>
      <c r="F37" s="14">
        <v>0</v>
      </c>
      <c r="G37" s="14">
        <v>8000223</v>
      </c>
      <c r="H37" s="14" t="s">
        <v>5345</v>
      </c>
      <c r="I37" s="14">
        <v>0</v>
      </c>
      <c r="J37" s="14">
        <v>0</v>
      </c>
      <c r="K37" s="1"/>
    </row>
    <row r="38" spans="1:11" s="9" customFormat="1" ht="15.75">
      <c r="A38" s="22">
        <v>800023</v>
      </c>
      <c r="B38" s="9">
        <v>1</v>
      </c>
      <c r="C38" s="14">
        <v>1</v>
      </c>
      <c r="D38" s="19">
        <v>0</v>
      </c>
      <c r="E38" s="19">
        <v>8</v>
      </c>
      <c r="F38" s="14">
        <v>0</v>
      </c>
      <c r="G38" s="14">
        <v>8000233</v>
      </c>
      <c r="H38" s="14" t="s">
        <v>5345</v>
      </c>
      <c r="I38" s="14">
        <v>0</v>
      </c>
      <c r="J38" s="14">
        <v>0</v>
      </c>
      <c r="K38" s="1"/>
    </row>
    <row r="39" spans="1:11" s="10" customFormat="1" ht="15.75">
      <c r="A39" s="23">
        <v>800024</v>
      </c>
      <c r="B39" s="10">
        <v>1</v>
      </c>
      <c r="C39" s="13">
        <v>1</v>
      </c>
      <c r="D39" s="24">
        <v>0</v>
      </c>
      <c r="E39" s="24">
        <v>8</v>
      </c>
      <c r="F39" s="13">
        <v>0</v>
      </c>
      <c r="G39" s="13">
        <v>8000243</v>
      </c>
      <c r="H39" s="13" t="s">
        <v>5346</v>
      </c>
      <c r="I39" s="13">
        <v>0</v>
      </c>
      <c r="J39" s="13">
        <v>0</v>
      </c>
      <c r="K39" s="28"/>
    </row>
    <row r="40" spans="1:11" s="10" customFormat="1" ht="15.75">
      <c r="A40" s="23">
        <v>800025</v>
      </c>
      <c r="B40" s="10">
        <v>1</v>
      </c>
      <c r="C40" s="13">
        <v>1</v>
      </c>
      <c r="D40" s="24">
        <v>0</v>
      </c>
      <c r="E40" s="24">
        <v>8</v>
      </c>
      <c r="F40" s="13">
        <v>0</v>
      </c>
      <c r="G40" s="13">
        <v>8000253</v>
      </c>
      <c r="H40" s="13" t="s">
        <v>5346</v>
      </c>
      <c r="I40" s="13">
        <v>0</v>
      </c>
      <c r="J40" s="13">
        <v>0</v>
      </c>
      <c r="K40" s="28"/>
    </row>
    <row r="41" spans="1:11" s="10" customFormat="1" ht="15.75">
      <c r="A41" s="23">
        <v>800027</v>
      </c>
      <c r="B41" s="10">
        <v>1</v>
      </c>
      <c r="C41" s="13">
        <v>1</v>
      </c>
      <c r="D41" s="24">
        <v>0</v>
      </c>
      <c r="E41" s="24">
        <v>8</v>
      </c>
      <c r="F41" s="13">
        <v>0</v>
      </c>
      <c r="G41" s="13">
        <v>8000272</v>
      </c>
      <c r="H41" s="13" t="s">
        <v>5347</v>
      </c>
      <c r="I41" s="13">
        <v>0</v>
      </c>
      <c r="J41" s="13">
        <v>0</v>
      </c>
      <c r="K41" s="28"/>
    </row>
    <row r="42" spans="1:11" s="10" customFormat="1" ht="15.75">
      <c r="A42" s="23">
        <v>800028</v>
      </c>
      <c r="B42" s="10">
        <v>1</v>
      </c>
      <c r="C42" s="13">
        <v>1</v>
      </c>
      <c r="D42" s="24">
        <v>0</v>
      </c>
      <c r="E42" s="24">
        <v>8</v>
      </c>
      <c r="F42" s="13">
        <v>0</v>
      </c>
      <c r="G42" s="13">
        <v>8000282</v>
      </c>
      <c r="H42" s="13" t="s">
        <v>5347</v>
      </c>
      <c r="I42" s="13">
        <v>0</v>
      </c>
      <c r="J42" s="13">
        <v>0</v>
      </c>
      <c r="K42" s="28"/>
    </row>
    <row r="43" spans="1:11" s="10" customFormat="1" ht="15.75">
      <c r="A43" s="23">
        <v>800029</v>
      </c>
      <c r="B43" s="10">
        <v>1</v>
      </c>
      <c r="C43" s="13">
        <v>1</v>
      </c>
      <c r="D43" s="24">
        <v>0</v>
      </c>
      <c r="E43" s="24">
        <v>8</v>
      </c>
      <c r="F43" s="13">
        <v>0</v>
      </c>
      <c r="G43" s="13">
        <v>8000292</v>
      </c>
      <c r="H43" s="13" t="s">
        <v>5348</v>
      </c>
      <c r="I43" s="13">
        <v>0</v>
      </c>
      <c r="J43" s="13">
        <v>0</v>
      </c>
      <c r="K43" s="28"/>
    </row>
    <row r="44" spans="1:11" s="10" customFormat="1" ht="15.75">
      <c r="A44" s="23">
        <v>800030</v>
      </c>
      <c r="B44" s="10">
        <v>1</v>
      </c>
      <c r="C44" s="13">
        <v>1</v>
      </c>
      <c r="D44" s="24">
        <v>0</v>
      </c>
      <c r="E44" s="24">
        <v>8</v>
      </c>
      <c r="F44" s="13">
        <v>0</v>
      </c>
      <c r="G44" s="13">
        <v>8000302</v>
      </c>
      <c r="H44" s="13" t="s">
        <v>5348</v>
      </c>
      <c r="I44" s="13">
        <v>0</v>
      </c>
      <c r="J44" s="13">
        <v>0</v>
      </c>
      <c r="K44" s="28"/>
    </row>
    <row r="45" spans="1:11" s="10" customFormat="1" ht="15.75">
      <c r="A45" s="23">
        <v>800031</v>
      </c>
      <c r="B45" s="10">
        <v>1</v>
      </c>
      <c r="C45" s="13">
        <v>1</v>
      </c>
      <c r="D45" s="24">
        <v>0</v>
      </c>
      <c r="E45" s="24">
        <v>8</v>
      </c>
      <c r="F45" s="13">
        <v>0</v>
      </c>
      <c r="G45" s="13">
        <v>8000312</v>
      </c>
      <c r="H45" s="13" t="s">
        <v>5349</v>
      </c>
      <c r="I45" s="13">
        <v>0</v>
      </c>
      <c r="J45" s="13">
        <v>0</v>
      </c>
      <c r="K45" s="28"/>
    </row>
    <row r="46" spans="1:11" s="10" customFormat="1" ht="15.75">
      <c r="A46" s="23">
        <v>800032</v>
      </c>
      <c r="B46" s="10">
        <v>1</v>
      </c>
      <c r="C46" s="13">
        <v>1</v>
      </c>
      <c r="D46" s="24">
        <v>0</v>
      </c>
      <c r="E46" s="24">
        <v>8</v>
      </c>
      <c r="F46" s="13">
        <v>0</v>
      </c>
      <c r="G46" s="13">
        <v>8000323</v>
      </c>
      <c r="H46" s="13" t="s">
        <v>5593</v>
      </c>
      <c r="I46" s="13">
        <v>0</v>
      </c>
      <c r="J46" s="13">
        <v>0</v>
      </c>
      <c r="K46" s="28"/>
    </row>
    <row r="47" spans="1:11" s="10" customFormat="1" ht="15.75">
      <c r="A47" s="23">
        <v>800033</v>
      </c>
      <c r="B47" s="10">
        <v>1</v>
      </c>
      <c r="C47" s="13">
        <v>1</v>
      </c>
      <c r="D47" s="24">
        <v>0</v>
      </c>
      <c r="E47" s="24">
        <v>8</v>
      </c>
      <c r="F47" s="13">
        <v>0</v>
      </c>
      <c r="G47" s="13">
        <v>8000333</v>
      </c>
      <c r="H47" s="13" t="s">
        <v>5593</v>
      </c>
      <c r="I47" s="13">
        <v>0</v>
      </c>
      <c r="J47" s="13">
        <v>0</v>
      </c>
      <c r="K47" s="28"/>
    </row>
    <row r="48" spans="1:11" s="10" customFormat="1" ht="15.75">
      <c r="A48" s="23">
        <v>800034</v>
      </c>
      <c r="B48" s="10">
        <v>1</v>
      </c>
      <c r="C48" s="13">
        <v>1</v>
      </c>
      <c r="D48" s="24">
        <v>0</v>
      </c>
      <c r="E48" s="24">
        <v>8</v>
      </c>
      <c r="F48" s="13">
        <v>0</v>
      </c>
      <c r="G48" s="13">
        <v>8000343</v>
      </c>
      <c r="H48" s="13" t="s">
        <v>5593</v>
      </c>
      <c r="I48" s="13">
        <v>0</v>
      </c>
      <c r="J48" s="13">
        <v>0</v>
      </c>
      <c r="K48" s="28"/>
    </row>
    <row r="49" spans="1:11" s="10" customFormat="1" ht="15.75">
      <c r="A49" s="23">
        <v>800035</v>
      </c>
      <c r="B49" s="10">
        <v>1</v>
      </c>
      <c r="C49" s="13">
        <v>1</v>
      </c>
      <c r="D49" s="24">
        <v>0</v>
      </c>
      <c r="E49" s="24">
        <v>8</v>
      </c>
      <c r="F49" s="13">
        <v>0</v>
      </c>
      <c r="G49" s="13">
        <v>8000353</v>
      </c>
      <c r="H49" s="13" t="s">
        <v>5593</v>
      </c>
      <c r="I49" s="13">
        <v>0</v>
      </c>
      <c r="J49" s="13">
        <v>0</v>
      </c>
      <c r="K49" s="28"/>
    </row>
    <row r="50" spans="1:11" ht="15.75">
      <c r="A50" s="19">
        <v>810001</v>
      </c>
      <c r="B50" s="16">
        <v>1</v>
      </c>
      <c r="C50" s="14">
        <v>2</v>
      </c>
      <c r="D50" s="19">
        <v>1</v>
      </c>
      <c r="E50" s="19">
        <v>0</v>
      </c>
      <c r="F50" s="14">
        <v>0</v>
      </c>
      <c r="G50" s="14">
        <v>8100013</v>
      </c>
      <c r="H50" s="14" t="s">
        <v>5340</v>
      </c>
      <c r="I50" s="14">
        <v>0</v>
      </c>
      <c r="J50" s="14">
        <v>0</v>
      </c>
      <c r="K50" s="9">
        <v>1</v>
      </c>
    </row>
    <row r="51" spans="1:11" s="9" customFormat="1" ht="15.75">
      <c r="A51" s="19">
        <v>810002</v>
      </c>
      <c r="B51" s="19">
        <v>1</v>
      </c>
      <c r="C51" s="14">
        <v>2</v>
      </c>
      <c r="D51" s="19">
        <v>1</v>
      </c>
      <c r="E51" s="9">
        <v>1</v>
      </c>
      <c r="F51" s="9">
        <v>30</v>
      </c>
      <c r="G51" s="9">
        <v>8100023</v>
      </c>
      <c r="H51" s="9" t="s">
        <v>5350</v>
      </c>
      <c r="I51" s="9">
        <v>2</v>
      </c>
      <c r="J51" s="14">
        <v>0</v>
      </c>
      <c r="K51" s="9">
        <v>6</v>
      </c>
    </row>
    <row r="52" spans="1:11" s="9" customFormat="1" ht="15.75">
      <c r="A52" s="19">
        <v>810003</v>
      </c>
      <c r="B52" s="16">
        <v>1</v>
      </c>
      <c r="C52" s="14">
        <v>2</v>
      </c>
      <c r="D52" s="19">
        <v>1</v>
      </c>
      <c r="E52" s="14">
        <v>2</v>
      </c>
      <c r="F52" s="14">
        <v>1</v>
      </c>
      <c r="G52" s="14">
        <v>8100033</v>
      </c>
      <c r="H52" s="14" t="s">
        <v>5351</v>
      </c>
      <c r="I52" s="14">
        <v>16</v>
      </c>
      <c r="J52" s="14">
        <v>0</v>
      </c>
      <c r="K52" s="9">
        <v>7</v>
      </c>
    </row>
    <row r="53" spans="1:11" s="9" customFormat="1" ht="15.75">
      <c r="A53" s="17">
        <v>810004</v>
      </c>
      <c r="B53" s="19">
        <v>1</v>
      </c>
      <c r="C53" s="14">
        <v>2</v>
      </c>
      <c r="D53" s="19">
        <v>1</v>
      </c>
      <c r="E53" s="9">
        <v>2</v>
      </c>
      <c r="F53" s="9">
        <v>2</v>
      </c>
      <c r="G53" s="9">
        <v>8100043</v>
      </c>
      <c r="H53" s="14" t="s">
        <v>5352</v>
      </c>
      <c r="I53" s="14">
        <v>16</v>
      </c>
      <c r="J53" s="14">
        <v>0</v>
      </c>
      <c r="K53" s="9">
        <v>8</v>
      </c>
    </row>
    <row r="54" spans="1:11" s="9" customFormat="1" ht="15.75">
      <c r="A54" s="17">
        <v>810005</v>
      </c>
      <c r="B54" s="19">
        <v>1</v>
      </c>
      <c r="C54" s="14">
        <v>2</v>
      </c>
      <c r="D54" s="19">
        <v>1</v>
      </c>
      <c r="E54" s="19">
        <v>2</v>
      </c>
      <c r="F54" s="9">
        <v>3</v>
      </c>
      <c r="G54" s="14">
        <v>8100053</v>
      </c>
      <c r="H54" s="14" t="s">
        <v>5353</v>
      </c>
      <c r="I54" s="14">
        <v>16</v>
      </c>
      <c r="J54" s="14">
        <v>0</v>
      </c>
      <c r="K54" s="9">
        <v>9</v>
      </c>
    </row>
    <row r="55" spans="1:11" ht="15.75">
      <c r="A55" s="17">
        <v>810006</v>
      </c>
      <c r="B55" s="19">
        <v>1</v>
      </c>
      <c r="C55" s="14">
        <v>2</v>
      </c>
      <c r="D55" s="19">
        <v>1</v>
      </c>
      <c r="E55" s="19">
        <v>2</v>
      </c>
      <c r="F55" s="9">
        <v>4</v>
      </c>
      <c r="G55" s="9">
        <v>8100063</v>
      </c>
      <c r="H55" s="14" t="s">
        <v>5354</v>
      </c>
      <c r="I55" s="14">
        <v>16</v>
      </c>
      <c r="J55" s="14">
        <v>0</v>
      </c>
      <c r="K55" s="9">
        <v>10</v>
      </c>
    </row>
    <row r="56" spans="1:11" s="9" customFormat="1" ht="15.75">
      <c r="A56" s="17">
        <v>810007</v>
      </c>
      <c r="B56" s="16">
        <v>1</v>
      </c>
      <c r="C56" s="14">
        <v>2</v>
      </c>
      <c r="D56" s="19">
        <v>1</v>
      </c>
      <c r="E56" s="14">
        <v>2</v>
      </c>
      <c r="F56" s="14">
        <v>5</v>
      </c>
      <c r="G56" s="14">
        <v>8100073</v>
      </c>
      <c r="H56" s="14" t="s">
        <v>5355</v>
      </c>
      <c r="I56" s="14">
        <v>16</v>
      </c>
      <c r="J56" s="14">
        <v>0</v>
      </c>
      <c r="K56" s="9">
        <v>11</v>
      </c>
    </row>
    <row r="57" spans="1:11" ht="15.75">
      <c r="A57" s="17">
        <v>810008</v>
      </c>
      <c r="B57" s="19">
        <v>1</v>
      </c>
      <c r="C57" s="14">
        <v>2</v>
      </c>
      <c r="D57" s="19">
        <v>1</v>
      </c>
      <c r="E57" s="9">
        <v>2</v>
      </c>
      <c r="F57" s="9">
        <v>6</v>
      </c>
      <c r="G57" s="9">
        <v>8100083</v>
      </c>
      <c r="H57" s="14" t="s">
        <v>5356</v>
      </c>
      <c r="I57" s="14">
        <v>16</v>
      </c>
      <c r="J57" s="14">
        <v>0</v>
      </c>
      <c r="K57" s="9">
        <v>12</v>
      </c>
    </row>
    <row r="58" spans="1:11" ht="15.75">
      <c r="A58" s="17">
        <v>810009</v>
      </c>
      <c r="B58" s="19">
        <v>1</v>
      </c>
      <c r="C58" s="14">
        <v>2</v>
      </c>
      <c r="D58" s="19">
        <v>1</v>
      </c>
      <c r="E58" s="19">
        <v>2</v>
      </c>
      <c r="F58" s="9">
        <v>7</v>
      </c>
      <c r="G58" s="14">
        <v>8100093</v>
      </c>
      <c r="H58" s="14" t="s">
        <v>5357</v>
      </c>
      <c r="I58" s="14">
        <v>16</v>
      </c>
      <c r="J58" s="14">
        <v>0</v>
      </c>
      <c r="K58" s="9">
        <v>13</v>
      </c>
    </row>
    <row r="59" spans="1:11" ht="15.75">
      <c r="A59" s="17">
        <v>810010</v>
      </c>
      <c r="B59" s="19">
        <v>1</v>
      </c>
      <c r="C59" s="14">
        <v>2</v>
      </c>
      <c r="D59" s="19">
        <v>1</v>
      </c>
      <c r="E59" s="19">
        <v>2</v>
      </c>
      <c r="F59" s="9">
        <v>8</v>
      </c>
      <c r="G59" s="9">
        <v>8100103</v>
      </c>
      <c r="H59" s="14" t="s">
        <v>5358</v>
      </c>
      <c r="I59" s="14">
        <v>16</v>
      </c>
      <c r="J59" s="14">
        <v>0</v>
      </c>
      <c r="K59" s="9">
        <v>14</v>
      </c>
    </row>
    <row r="60" spans="1:11" ht="15.75">
      <c r="A60" s="19">
        <v>810011</v>
      </c>
      <c r="B60" s="19">
        <v>1</v>
      </c>
      <c r="C60" s="14">
        <v>2</v>
      </c>
      <c r="D60" s="19">
        <v>1</v>
      </c>
      <c r="E60" s="19">
        <v>0</v>
      </c>
      <c r="F60" s="9">
        <v>0</v>
      </c>
      <c r="G60" s="14">
        <v>8100113</v>
      </c>
      <c r="H60" s="16" t="s">
        <v>5340</v>
      </c>
      <c r="I60" s="16">
        <v>0</v>
      </c>
      <c r="J60" s="14">
        <v>0</v>
      </c>
      <c r="K60" s="9">
        <v>15</v>
      </c>
    </row>
    <row r="61" spans="1:11" ht="15.75">
      <c r="A61" s="16">
        <v>810012</v>
      </c>
      <c r="B61" s="19">
        <v>1</v>
      </c>
      <c r="C61" s="14">
        <v>2</v>
      </c>
      <c r="D61" s="19">
        <v>1</v>
      </c>
      <c r="E61" s="16">
        <v>6</v>
      </c>
      <c r="F61" s="9">
        <v>20</v>
      </c>
      <c r="G61" s="9">
        <v>8100123</v>
      </c>
      <c r="H61" s="9" t="s">
        <v>5359</v>
      </c>
      <c r="I61" s="16">
        <v>10</v>
      </c>
      <c r="J61" s="14">
        <v>0</v>
      </c>
      <c r="K61" s="9">
        <v>16</v>
      </c>
    </row>
    <row r="62" spans="1:11" ht="15.75">
      <c r="A62" s="19">
        <v>810013</v>
      </c>
      <c r="B62" s="19">
        <v>1</v>
      </c>
      <c r="C62" s="14">
        <v>2</v>
      </c>
      <c r="D62" s="19">
        <v>1</v>
      </c>
      <c r="E62" s="16">
        <v>3</v>
      </c>
      <c r="F62" s="25" t="s">
        <v>5360</v>
      </c>
      <c r="G62" s="14">
        <v>8100133</v>
      </c>
      <c r="H62" s="25" t="s">
        <v>5361</v>
      </c>
      <c r="I62" s="16">
        <v>22</v>
      </c>
      <c r="J62" s="14">
        <v>0</v>
      </c>
      <c r="K62" s="9">
        <v>17</v>
      </c>
    </row>
    <row r="63" spans="1:11" ht="15.75">
      <c r="A63" s="16">
        <v>810014</v>
      </c>
      <c r="B63" s="19">
        <v>1</v>
      </c>
      <c r="C63" s="14">
        <v>2</v>
      </c>
      <c r="D63" s="19">
        <v>1</v>
      </c>
      <c r="E63" s="16">
        <v>4</v>
      </c>
      <c r="F63" s="16">
        <v>5000</v>
      </c>
      <c r="G63" s="9">
        <v>8100143</v>
      </c>
      <c r="H63" s="16" t="s">
        <v>5362</v>
      </c>
      <c r="I63" s="16">
        <v>22</v>
      </c>
      <c r="J63" s="14">
        <v>0</v>
      </c>
      <c r="K63" s="9">
        <v>18</v>
      </c>
    </row>
    <row r="64" spans="1:11" ht="15.75">
      <c r="A64" s="19">
        <v>810015</v>
      </c>
      <c r="B64" s="19">
        <v>1</v>
      </c>
      <c r="C64" s="14">
        <v>2</v>
      </c>
      <c r="D64" s="19">
        <v>1</v>
      </c>
      <c r="E64" s="16">
        <v>5</v>
      </c>
      <c r="F64" s="16">
        <v>100000</v>
      </c>
      <c r="G64" s="14">
        <v>8100153</v>
      </c>
      <c r="H64" s="16" t="s">
        <v>5363</v>
      </c>
      <c r="I64" s="16">
        <v>2</v>
      </c>
      <c r="J64" s="14">
        <v>0</v>
      </c>
      <c r="K64" s="9">
        <v>19</v>
      </c>
    </row>
    <row r="65" spans="1:11" ht="15.75">
      <c r="A65" s="16">
        <v>810016</v>
      </c>
      <c r="B65" s="19">
        <v>1</v>
      </c>
      <c r="C65" s="14">
        <v>2</v>
      </c>
      <c r="D65" s="16">
        <v>1</v>
      </c>
      <c r="E65" s="16">
        <v>8</v>
      </c>
      <c r="F65" s="16">
        <v>0</v>
      </c>
      <c r="G65" s="9">
        <v>8100163</v>
      </c>
      <c r="H65" s="16" t="s">
        <v>5364</v>
      </c>
      <c r="I65" s="16">
        <v>12</v>
      </c>
      <c r="J65" s="14">
        <v>0</v>
      </c>
      <c r="K65" s="9">
        <v>20</v>
      </c>
    </row>
    <row r="66" spans="1:11" ht="15.75">
      <c r="A66" s="19">
        <v>810017</v>
      </c>
      <c r="B66" s="19">
        <v>1</v>
      </c>
      <c r="C66" s="14">
        <v>2</v>
      </c>
      <c r="D66" s="16">
        <v>1</v>
      </c>
      <c r="E66" s="16">
        <v>7</v>
      </c>
      <c r="F66" s="16">
        <v>28</v>
      </c>
      <c r="G66" s="14">
        <v>8100173</v>
      </c>
      <c r="H66" s="16" t="s">
        <v>5595</v>
      </c>
      <c r="I66" s="16">
        <v>2</v>
      </c>
      <c r="J66" s="14">
        <v>0</v>
      </c>
      <c r="K66" s="9">
        <v>21</v>
      </c>
    </row>
    <row r="67" spans="1:11" ht="15.75">
      <c r="A67" s="16">
        <v>810018</v>
      </c>
      <c r="B67" s="19">
        <v>1</v>
      </c>
      <c r="C67" s="14">
        <v>2</v>
      </c>
      <c r="D67" s="16">
        <v>1</v>
      </c>
      <c r="E67" s="16">
        <v>7</v>
      </c>
      <c r="F67" s="16">
        <v>36</v>
      </c>
      <c r="G67" s="9">
        <v>8100183</v>
      </c>
      <c r="H67" s="16" t="s">
        <v>5596</v>
      </c>
      <c r="I67" s="16">
        <v>2</v>
      </c>
      <c r="J67" s="14">
        <v>0</v>
      </c>
      <c r="K67" s="9">
        <v>22</v>
      </c>
    </row>
    <row r="68" spans="1:11" ht="15.75">
      <c r="A68" s="16">
        <v>810019</v>
      </c>
      <c r="B68" s="19">
        <v>1</v>
      </c>
      <c r="C68" s="14">
        <v>2</v>
      </c>
      <c r="D68" s="16">
        <v>0</v>
      </c>
      <c r="E68" s="16">
        <v>8</v>
      </c>
      <c r="F68" s="16">
        <v>0</v>
      </c>
      <c r="G68" s="9">
        <v>8100193</v>
      </c>
      <c r="H68" s="16" t="s">
        <v>5365</v>
      </c>
      <c r="I68" s="16">
        <v>0</v>
      </c>
      <c r="J68" s="14">
        <v>0</v>
      </c>
      <c r="K68" s="9">
        <v>23</v>
      </c>
    </row>
    <row r="69" spans="1:11" ht="15.75">
      <c r="A69" s="16">
        <v>810020</v>
      </c>
      <c r="B69" s="19">
        <v>1</v>
      </c>
      <c r="C69" s="14">
        <v>2</v>
      </c>
      <c r="D69" s="16">
        <v>1</v>
      </c>
      <c r="E69" s="16">
        <v>8</v>
      </c>
      <c r="F69" s="16">
        <v>0</v>
      </c>
      <c r="G69" s="14">
        <v>8100203</v>
      </c>
      <c r="H69" s="16" t="s">
        <v>5366</v>
      </c>
      <c r="I69" s="16">
        <v>2</v>
      </c>
      <c r="J69" s="14">
        <v>0</v>
      </c>
      <c r="K69" s="9">
        <v>24</v>
      </c>
    </row>
    <row r="70" spans="1:11" ht="15.75">
      <c r="A70" s="16">
        <v>810021</v>
      </c>
      <c r="B70" s="19">
        <v>1</v>
      </c>
      <c r="C70" s="14">
        <v>2</v>
      </c>
      <c r="D70" s="16">
        <v>1</v>
      </c>
      <c r="E70" s="16">
        <v>8</v>
      </c>
      <c r="F70" s="16">
        <v>0</v>
      </c>
      <c r="G70" s="9">
        <v>8100213</v>
      </c>
      <c r="H70" s="16" t="s">
        <v>5367</v>
      </c>
      <c r="I70" s="16">
        <v>2</v>
      </c>
      <c r="J70" s="14">
        <v>0</v>
      </c>
      <c r="K70" s="9">
        <v>25</v>
      </c>
    </row>
    <row r="71" spans="1:11" ht="15.75">
      <c r="A71" s="16">
        <v>810022</v>
      </c>
      <c r="B71" s="19">
        <v>1</v>
      </c>
      <c r="C71" s="14">
        <v>2</v>
      </c>
      <c r="D71" s="16">
        <v>1</v>
      </c>
      <c r="E71" s="16">
        <v>8</v>
      </c>
      <c r="F71" s="16">
        <v>0</v>
      </c>
      <c r="G71" s="9">
        <v>8100223</v>
      </c>
      <c r="H71" s="16" t="s">
        <v>5368</v>
      </c>
      <c r="I71" s="16">
        <v>2</v>
      </c>
      <c r="J71" s="14">
        <v>0</v>
      </c>
      <c r="K71" s="9">
        <v>26</v>
      </c>
    </row>
    <row r="72" spans="1:11" ht="15.75">
      <c r="A72" s="16">
        <v>810023</v>
      </c>
      <c r="B72" s="19">
        <v>1</v>
      </c>
      <c r="C72" s="14">
        <v>2</v>
      </c>
      <c r="D72" s="16">
        <v>0</v>
      </c>
      <c r="E72" s="16">
        <v>8</v>
      </c>
      <c r="F72" s="16">
        <v>0</v>
      </c>
      <c r="G72" s="9">
        <v>8100233</v>
      </c>
      <c r="H72" s="16" t="s">
        <v>5369</v>
      </c>
      <c r="I72" s="16">
        <v>2</v>
      </c>
      <c r="J72" s="14">
        <v>0</v>
      </c>
      <c r="K72" s="9">
        <v>27</v>
      </c>
    </row>
    <row r="73" spans="1:11" ht="15.75">
      <c r="A73" s="16">
        <v>810024</v>
      </c>
      <c r="B73" s="19">
        <v>1</v>
      </c>
      <c r="C73" s="14">
        <v>2</v>
      </c>
      <c r="D73" s="16">
        <v>0</v>
      </c>
      <c r="E73" s="16">
        <v>8</v>
      </c>
      <c r="F73" s="16">
        <v>0</v>
      </c>
      <c r="G73" s="9">
        <v>8100243</v>
      </c>
      <c r="H73" s="16" t="s">
        <v>5370</v>
      </c>
      <c r="I73" s="16">
        <v>0</v>
      </c>
      <c r="J73" s="14">
        <v>0</v>
      </c>
      <c r="K73" s="9">
        <v>28</v>
      </c>
    </row>
    <row r="74" spans="1:11" ht="15.75">
      <c r="A74" s="16">
        <v>810025</v>
      </c>
      <c r="B74" s="19">
        <v>1</v>
      </c>
      <c r="C74" s="14">
        <v>2</v>
      </c>
      <c r="D74" s="16">
        <v>0</v>
      </c>
      <c r="E74" s="16">
        <v>8</v>
      </c>
      <c r="F74" s="16">
        <v>0</v>
      </c>
      <c r="G74" s="9">
        <v>8100253</v>
      </c>
      <c r="H74" s="16" t="s">
        <v>5371</v>
      </c>
      <c r="I74" s="16">
        <v>0</v>
      </c>
      <c r="J74" s="14">
        <v>0</v>
      </c>
      <c r="K74" s="9">
        <v>29</v>
      </c>
    </row>
    <row r="75" spans="1:11" ht="15.75">
      <c r="A75" s="16">
        <v>810026</v>
      </c>
      <c r="B75" s="19">
        <v>1</v>
      </c>
      <c r="C75" s="14">
        <v>2</v>
      </c>
      <c r="D75" s="16">
        <v>0</v>
      </c>
      <c r="E75" s="16">
        <v>8</v>
      </c>
      <c r="F75" s="16">
        <v>0</v>
      </c>
      <c r="G75" s="9">
        <v>8100263</v>
      </c>
      <c r="H75" s="16" t="s">
        <v>5372</v>
      </c>
      <c r="I75" s="16">
        <v>0</v>
      </c>
      <c r="J75" s="14">
        <v>0</v>
      </c>
      <c r="K75" s="9">
        <v>30</v>
      </c>
    </row>
    <row r="76" spans="1:11" ht="15.75">
      <c r="A76" s="16">
        <v>810027</v>
      </c>
      <c r="B76" s="19">
        <v>1</v>
      </c>
      <c r="C76" s="14">
        <v>2</v>
      </c>
      <c r="D76" s="16">
        <v>0</v>
      </c>
      <c r="E76" s="16">
        <v>8</v>
      </c>
      <c r="F76" s="16">
        <v>0</v>
      </c>
      <c r="G76" s="9">
        <v>8100273</v>
      </c>
      <c r="H76" s="16" t="s">
        <v>5373</v>
      </c>
      <c r="I76" s="16">
        <v>0</v>
      </c>
      <c r="J76" s="14">
        <v>0</v>
      </c>
      <c r="K76" s="9">
        <v>31</v>
      </c>
    </row>
    <row r="77" spans="1:11" ht="15.75">
      <c r="A77" s="16">
        <v>810028</v>
      </c>
      <c r="B77" s="19">
        <v>1</v>
      </c>
      <c r="C77" s="14">
        <v>2</v>
      </c>
      <c r="D77" s="16">
        <v>0</v>
      </c>
      <c r="E77" s="16">
        <v>8</v>
      </c>
      <c r="F77" s="16">
        <v>0</v>
      </c>
      <c r="G77" s="9">
        <v>8100283</v>
      </c>
      <c r="H77" s="16" t="s">
        <v>5374</v>
      </c>
      <c r="I77" s="16">
        <v>0</v>
      </c>
      <c r="J77" s="14">
        <v>0</v>
      </c>
      <c r="K77" s="9">
        <v>32</v>
      </c>
    </row>
    <row r="78" spans="1:11" ht="15.75">
      <c r="A78" s="16">
        <v>810029</v>
      </c>
      <c r="B78" s="19">
        <v>1</v>
      </c>
      <c r="C78" s="14">
        <v>2</v>
      </c>
      <c r="D78" s="16">
        <v>0</v>
      </c>
      <c r="E78" s="16">
        <v>8</v>
      </c>
      <c r="F78" s="16">
        <v>0</v>
      </c>
      <c r="G78" s="9">
        <v>8100293</v>
      </c>
      <c r="H78" s="16" t="s">
        <v>5375</v>
      </c>
      <c r="I78" s="16">
        <v>0</v>
      </c>
      <c r="J78" s="14">
        <v>0</v>
      </c>
      <c r="K78" s="9">
        <v>33</v>
      </c>
    </row>
    <row r="79" spans="1:11" ht="15.75">
      <c r="A79" s="16">
        <v>810030</v>
      </c>
      <c r="B79" s="19">
        <v>1</v>
      </c>
      <c r="C79" s="14">
        <v>2</v>
      </c>
      <c r="D79" s="16">
        <v>1</v>
      </c>
      <c r="E79" s="16">
        <v>9</v>
      </c>
      <c r="F79" s="25" t="s">
        <v>5376</v>
      </c>
      <c r="G79" s="9">
        <v>8100303</v>
      </c>
      <c r="H79" s="16" t="s">
        <v>5377</v>
      </c>
      <c r="I79" s="16">
        <v>0</v>
      </c>
      <c r="J79" s="14">
        <v>10000</v>
      </c>
      <c r="K79" s="14">
        <v>2</v>
      </c>
    </row>
    <row r="80" spans="1:11" ht="15.75">
      <c r="A80" s="16">
        <v>810031</v>
      </c>
      <c r="B80" s="19">
        <v>1</v>
      </c>
      <c r="C80" s="14">
        <v>2</v>
      </c>
      <c r="D80" s="16">
        <v>1</v>
      </c>
      <c r="E80" s="16">
        <v>9</v>
      </c>
      <c r="F80" s="25" t="s">
        <v>5376</v>
      </c>
      <c r="G80" s="9">
        <v>8100313</v>
      </c>
      <c r="H80" s="16" t="s">
        <v>5378</v>
      </c>
      <c r="I80" s="16">
        <v>0</v>
      </c>
      <c r="J80" s="14">
        <v>10000</v>
      </c>
      <c r="K80" s="14">
        <v>3</v>
      </c>
    </row>
    <row r="81" spans="1:11" ht="15.75">
      <c r="A81" s="16">
        <v>810032</v>
      </c>
      <c r="B81" s="19">
        <v>1</v>
      </c>
      <c r="C81" s="14">
        <v>2</v>
      </c>
      <c r="D81" s="16">
        <v>1</v>
      </c>
      <c r="E81" s="16">
        <v>8</v>
      </c>
      <c r="F81" s="16" t="s">
        <v>86</v>
      </c>
      <c r="G81" s="9">
        <v>8100323</v>
      </c>
      <c r="H81" s="16" t="s">
        <v>5379</v>
      </c>
      <c r="I81" s="16">
        <v>0</v>
      </c>
      <c r="J81" s="14">
        <v>0</v>
      </c>
      <c r="K81" s="14">
        <v>4</v>
      </c>
    </row>
    <row r="82" spans="1:11" ht="15.75">
      <c r="A82" s="16">
        <v>810033</v>
      </c>
      <c r="B82" s="19">
        <v>1</v>
      </c>
      <c r="C82" s="14">
        <v>2</v>
      </c>
      <c r="D82" s="16">
        <v>1</v>
      </c>
      <c r="E82" s="16">
        <v>8</v>
      </c>
      <c r="F82" s="16" t="s">
        <v>86</v>
      </c>
      <c r="G82" s="9">
        <v>8100333</v>
      </c>
      <c r="H82" s="16" t="s">
        <v>5380</v>
      </c>
      <c r="I82" s="16">
        <v>0</v>
      </c>
      <c r="J82" s="14">
        <v>0</v>
      </c>
      <c r="K82" s="14">
        <v>5</v>
      </c>
    </row>
    <row r="83" spans="1:11" ht="15.75">
      <c r="A83" s="16">
        <v>810034</v>
      </c>
      <c r="B83" s="19">
        <v>1</v>
      </c>
      <c r="C83" s="14">
        <v>2</v>
      </c>
      <c r="D83" s="16">
        <v>1</v>
      </c>
      <c r="E83" s="16">
        <v>8</v>
      </c>
      <c r="F83" s="16" t="s">
        <v>86</v>
      </c>
      <c r="G83" s="9">
        <v>8100334</v>
      </c>
      <c r="H83" s="8" t="s">
        <v>3828</v>
      </c>
      <c r="I83" s="16">
        <v>0</v>
      </c>
      <c r="J83" s="14">
        <v>0</v>
      </c>
      <c r="K83" s="14">
        <v>5</v>
      </c>
    </row>
    <row r="84" spans="1:11" ht="15.75">
      <c r="A84" s="16">
        <v>810035</v>
      </c>
      <c r="B84" s="19">
        <v>1</v>
      </c>
      <c r="C84" s="14">
        <v>2</v>
      </c>
      <c r="D84" s="16">
        <v>1</v>
      </c>
      <c r="E84" s="16">
        <v>8</v>
      </c>
      <c r="F84" s="16" t="s">
        <v>86</v>
      </c>
      <c r="G84" s="9">
        <v>8100335</v>
      </c>
      <c r="H84" s="8" t="s">
        <v>3830</v>
      </c>
      <c r="I84" s="16">
        <v>0</v>
      </c>
      <c r="J84" s="14">
        <v>0</v>
      </c>
      <c r="K84" s="14">
        <v>5</v>
      </c>
    </row>
    <row r="85" spans="1:11" ht="15.75">
      <c r="A85" s="16">
        <v>810036</v>
      </c>
      <c r="B85" s="19">
        <v>1</v>
      </c>
      <c r="C85" s="14">
        <v>2</v>
      </c>
      <c r="D85" s="16">
        <v>1</v>
      </c>
      <c r="E85" s="16">
        <v>8</v>
      </c>
      <c r="F85" s="16" t="s">
        <v>86</v>
      </c>
      <c r="G85" s="9">
        <v>8100336</v>
      </c>
      <c r="H85" s="8" t="s">
        <v>3832</v>
      </c>
      <c r="I85" s="16">
        <v>0</v>
      </c>
      <c r="J85" s="14">
        <v>0</v>
      </c>
      <c r="K85" s="14">
        <v>5</v>
      </c>
    </row>
    <row r="86" spans="1:11" ht="15.75">
      <c r="A86">
        <v>810037</v>
      </c>
      <c r="B86" s="19">
        <v>1</v>
      </c>
      <c r="C86" s="14">
        <v>2</v>
      </c>
      <c r="D86" s="16">
        <v>1</v>
      </c>
      <c r="E86" s="16">
        <v>8</v>
      </c>
      <c r="F86" s="16">
        <v>0</v>
      </c>
      <c r="G86">
        <v>8100371</v>
      </c>
      <c r="H86" s="8" t="s">
        <v>5381</v>
      </c>
      <c r="I86" s="16">
        <v>0</v>
      </c>
      <c r="J86" s="14">
        <v>10000</v>
      </c>
      <c r="K86" s="14">
        <v>6</v>
      </c>
    </row>
    <row r="87" spans="1:11" ht="15.75">
      <c r="A87">
        <v>810038</v>
      </c>
      <c r="B87" s="19">
        <v>1</v>
      </c>
      <c r="C87" s="14">
        <v>2</v>
      </c>
      <c r="D87" s="16">
        <v>1</v>
      </c>
      <c r="E87" s="16">
        <v>8</v>
      </c>
      <c r="F87" s="16">
        <v>0</v>
      </c>
      <c r="G87" s="29">
        <v>8100381</v>
      </c>
      <c r="H87" t="s">
        <v>5382</v>
      </c>
      <c r="I87" s="16">
        <v>0</v>
      </c>
      <c r="J87" s="14">
        <v>10000</v>
      </c>
      <c r="K87" s="14">
        <v>7</v>
      </c>
    </row>
    <row r="88" spans="1:11" ht="15.75">
      <c r="A88">
        <v>810039</v>
      </c>
      <c r="B88" s="19">
        <v>1</v>
      </c>
      <c r="C88" s="14">
        <v>2</v>
      </c>
      <c r="D88" s="16">
        <v>1</v>
      </c>
      <c r="E88" s="16">
        <v>8</v>
      </c>
      <c r="F88" s="16">
        <v>0</v>
      </c>
      <c r="G88" s="29">
        <v>8100391</v>
      </c>
      <c r="H88" t="s">
        <v>3835</v>
      </c>
      <c r="I88" s="16">
        <v>0</v>
      </c>
      <c r="J88" s="14">
        <v>10000</v>
      </c>
      <c r="K88" s="14">
        <v>8</v>
      </c>
    </row>
    <row r="89" spans="1:11" ht="15.75">
      <c r="A89">
        <v>810040</v>
      </c>
      <c r="B89" s="19">
        <v>1</v>
      </c>
      <c r="C89" s="14">
        <v>2</v>
      </c>
      <c r="D89" s="16">
        <v>1</v>
      </c>
      <c r="E89" s="16">
        <v>8</v>
      </c>
      <c r="F89" s="16">
        <v>0</v>
      </c>
      <c r="G89" s="29">
        <v>8100401</v>
      </c>
      <c r="H89" t="s">
        <v>3837</v>
      </c>
      <c r="I89" s="16">
        <v>0</v>
      </c>
      <c r="J89" s="14">
        <v>10000</v>
      </c>
      <c r="K89" s="14">
        <v>9</v>
      </c>
    </row>
    <row r="90" spans="1:11" ht="15.75">
      <c r="A90">
        <v>810041</v>
      </c>
      <c r="B90" s="19">
        <v>1</v>
      </c>
      <c r="C90" s="14">
        <v>2</v>
      </c>
      <c r="D90" s="16">
        <v>1</v>
      </c>
      <c r="E90" s="16">
        <v>8</v>
      </c>
      <c r="F90" s="16">
        <v>0</v>
      </c>
      <c r="G90" s="29">
        <v>8100411</v>
      </c>
      <c r="H90" t="s">
        <v>3838</v>
      </c>
      <c r="I90" s="16">
        <v>0</v>
      </c>
      <c r="J90" s="14">
        <v>10000</v>
      </c>
      <c r="K90" s="14">
        <v>10</v>
      </c>
    </row>
    <row r="91" spans="1:11" ht="15.75">
      <c r="A91">
        <v>810042</v>
      </c>
      <c r="B91" s="19">
        <v>1</v>
      </c>
      <c r="C91" s="14">
        <v>2</v>
      </c>
      <c r="D91" s="16">
        <v>1</v>
      </c>
      <c r="E91" s="16">
        <v>8</v>
      </c>
      <c r="F91" s="16">
        <v>0</v>
      </c>
      <c r="G91" s="29">
        <v>8100421</v>
      </c>
      <c r="H91" t="s">
        <v>3840</v>
      </c>
      <c r="I91" s="16">
        <v>0</v>
      </c>
      <c r="J91" s="14">
        <v>10000</v>
      </c>
      <c r="K91" s="14">
        <v>11</v>
      </c>
    </row>
    <row r="92" spans="1:11" ht="15.75">
      <c r="A92">
        <v>810043</v>
      </c>
      <c r="B92" s="19">
        <v>1</v>
      </c>
      <c r="C92" s="14">
        <v>2</v>
      </c>
      <c r="D92" s="16">
        <v>1</v>
      </c>
      <c r="E92" s="16">
        <v>8</v>
      </c>
      <c r="F92" s="16">
        <v>0</v>
      </c>
      <c r="G92" s="29">
        <v>8100431</v>
      </c>
      <c r="H92" t="s">
        <v>3841</v>
      </c>
      <c r="I92" s="16">
        <v>0</v>
      </c>
      <c r="J92" s="14">
        <v>10000</v>
      </c>
      <c r="K92" s="14">
        <v>12</v>
      </c>
    </row>
    <row r="93" spans="1:11" ht="15.75">
      <c r="A93" s="22">
        <v>810044</v>
      </c>
      <c r="B93" s="19">
        <v>1</v>
      </c>
      <c r="C93" s="14">
        <v>2</v>
      </c>
      <c r="D93" s="16">
        <v>1</v>
      </c>
      <c r="E93" s="16">
        <v>8</v>
      </c>
      <c r="F93" s="16">
        <v>0</v>
      </c>
      <c r="G93" s="29">
        <v>8100441</v>
      </c>
      <c r="H93" s="8" t="s">
        <v>3843</v>
      </c>
      <c r="I93" s="16">
        <v>0</v>
      </c>
      <c r="J93" s="14">
        <v>10000</v>
      </c>
      <c r="K93" s="14">
        <v>13</v>
      </c>
    </row>
    <row r="94" spans="1:11" ht="15.75">
      <c r="A94" s="22">
        <v>810045</v>
      </c>
      <c r="B94" s="19">
        <v>1</v>
      </c>
      <c r="C94" s="14">
        <v>2</v>
      </c>
      <c r="D94" s="16">
        <v>1</v>
      </c>
      <c r="E94" s="16">
        <v>8</v>
      </c>
      <c r="F94" s="16">
        <v>0</v>
      </c>
      <c r="G94" s="29">
        <v>8100451</v>
      </c>
      <c r="H94" s="8" t="s">
        <v>3845</v>
      </c>
      <c r="I94" s="16">
        <v>0</v>
      </c>
      <c r="J94" s="14">
        <v>10000</v>
      </c>
      <c r="K94" s="14">
        <v>14</v>
      </c>
    </row>
    <row r="95" spans="1:11" ht="15.75">
      <c r="A95" s="22">
        <v>810046</v>
      </c>
      <c r="B95" s="19">
        <v>1</v>
      </c>
      <c r="C95" s="14">
        <v>2</v>
      </c>
      <c r="D95" s="16">
        <v>1</v>
      </c>
      <c r="E95" s="16">
        <v>8</v>
      </c>
      <c r="F95" s="16">
        <v>0</v>
      </c>
      <c r="G95" s="29">
        <v>8100461</v>
      </c>
      <c r="H95" s="8" t="s">
        <v>3846</v>
      </c>
      <c r="I95" s="16">
        <v>0</v>
      </c>
      <c r="J95" s="14">
        <v>10000</v>
      </c>
      <c r="K95" s="14">
        <v>15</v>
      </c>
    </row>
    <row r="96" spans="1:11" ht="15.75">
      <c r="A96" s="22">
        <v>810047</v>
      </c>
      <c r="B96" s="19">
        <v>1</v>
      </c>
      <c r="C96" s="14">
        <v>2</v>
      </c>
      <c r="D96" s="16">
        <v>1</v>
      </c>
      <c r="E96" s="16">
        <v>8</v>
      </c>
      <c r="F96" s="16">
        <v>0</v>
      </c>
      <c r="G96" s="29">
        <v>8100471</v>
      </c>
      <c r="H96" s="8" t="s">
        <v>3847</v>
      </c>
      <c r="I96" s="16">
        <v>0</v>
      </c>
      <c r="J96" s="14">
        <v>10000</v>
      </c>
      <c r="K96" s="14">
        <v>16</v>
      </c>
    </row>
    <row r="97" spans="1:11" ht="15.75">
      <c r="A97" s="22">
        <v>810048</v>
      </c>
      <c r="B97" s="19">
        <v>1</v>
      </c>
      <c r="C97" s="14">
        <v>2</v>
      </c>
      <c r="D97" s="16">
        <v>1</v>
      </c>
      <c r="E97" s="16">
        <v>8</v>
      </c>
      <c r="F97" s="16">
        <v>0</v>
      </c>
      <c r="G97" s="29">
        <v>8100481</v>
      </c>
      <c r="H97" s="8" t="s">
        <v>3848</v>
      </c>
      <c r="I97" s="16">
        <v>0</v>
      </c>
      <c r="J97" s="14">
        <v>10000</v>
      </c>
      <c r="K97" s="14">
        <v>17</v>
      </c>
    </row>
    <row r="98" spans="1:11" ht="15.75">
      <c r="A98" s="22">
        <v>810049</v>
      </c>
      <c r="B98" s="19">
        <v>1</v>
      </c>
      <c r="C98" s="14">
        <v>2</v>
      </c>
      <c r="D98" s="16">
        <v>1</v>
      </c>
      <c r="E98" s="16">
        <v>8</v>
      </c>
      <c r="F98" s="16">
        <v>0</v>
      </c>
      <c r="G98" s="29">
        <v>8100491</v>
      </c>
      <c r="H98" t="s">
        <v>3849</v>
      </c>
      <c r="I98" s="16">
        <v>0</v>
      </c>
      <c r="J98" s="14">
        <v>10000</v>
      </c>
      <c r="K98" s="14">
        <v>18</v>
      </c>
    </row>
    <row r="99" spans="1:11" ht="15.75">
      <c r="A99" s="22">
        <v>810050</v>
      </c>
      <c r="B99" s="19">
        <v>1</v>
      </c>
      <c r="C99" s="14">
        <v>2</v>
      </c>
      <c r="D99" s="16">
        <v>1</v>
      </c>
      <c r="E99" s="16">
        <v>8</v>
      </c>
      <c r="F99" s="16">
        <v>0</v>
      </c>
      <c r="G99" s="29">
        <v>8100501</v>
      </c>
      <c r="H99" s="8" t="s">
        <v>3850</v>
      </c>
      <c r="I99" s="16">
        <v>0</v>
      </c>
      <c r="J99" s="14">
        <v>10000</v>
      </c>
      <c r="K99" s="14">
        <v>19</v>
      </c>
    </row>
    <row r="100" spans="1:11" ht="15.75">
      <c r="A100" s="22">
        <v>810051</v>
      </c>
      <c r="B100" s="19">
        <v>1</v>
      </c>
      <c r="C100" s="14">
        <v>2</v>
      </c>
      <c r="D100" s="16">
        <v>1</v>
      </c>
      <c r="E100" s="16">
        <v>8</v>
      </c>
      <c r="F100" s="16">
        <v>0</v>
      </c>
      <c r="G100" s="29">
        <v>8100511</v>
      </c>
      <c r="H100" t="s">
        <v>3852</v>
      </c>
      <c r="I100" s="16">
        <v>0</v>
      </c>
      <c r="J100" s="14">
        <v>10000</v>
      </c>
      <c r="K100" s="14">
        <v>20</v>
      </c>
    </row>
    <row r="101" spans="1:11" ht="15.75">
      <c r="A101" s="22">
        <v>810052</v>
      </c>
      <c r="B101" s="19">
        <v>1</v>
      </c>
      <c r="C101" s="14">
        <v>2</v>
      </c>
      <c r="D101" s="16">
        <v>1</v>
      </c>
      <c r="E101" s="16">
        <v>8</v>
      </c>
      <c r="F101" s="16">
        <v>0</v>
      </c>
      <c r="G101" s="29">
        <v>8100521</v>
      </c>
      <c r="H101" t="s">
        <v>3853</v>
      </c>
      <c r="I101" s="16">
        <v>0</v>
      </c>
      <c r="J101" s="14">
        <v>10000</v>
      </c>
      <c r="K101" s="14">
        <v>21</v>
      </c>
    </row>
    <row r="102" spans="1:11" ht="15.75">
      <c r="A102" s="22">
        <v>810053</v>
      </c>
      <c r="B102" s="19">
        <v>1</v>
      </c>
      <c r="C102" s="14">
        <v>2</v>
      </c>
      <c r="D102" s="16">
        <v>0</v>
      </c>
      <c r="E102" s="16">
        <v>8</v>
      </c>
      <c r="F102" s="16">
        <v>0</v>
      </c>
      <c r="G102" s="29">
        <v>8100531</v>
      </c>
      <c r="H102" s="8" t="s">
        <v>3854</v>
      </c>
      <c r="I102" s="16">
        <v>0</v>
      </c>
      <c r="J102" s="14">
        <v>10000</v>
      </c>
      <c r="K102" s="14">
        <v>22</v>
      </c>
    </row>
    <row r="103" spans="1:11" ht="15.75">
      <c r="A103" s="22">
        <v>810054</v>
      </c>
      <c r="B103" s="19">
        <v>1</v>
      </c>
      <c r="C103" s="14">
        <v>2</v>
      </c>
      <c r="D103" s="16">
        <v>0</v>
      </c>
      <c r="E103" s="16">
        <v>8</v>
      </c>
      <c r="F103" s="16">
        <v>0</v>
      </c>
      <c r="G103" s="29">
        <v>8100541</v>
      </c>
      <c r="H103" s="8" t="s">
        <v>3855</v>
      </c>
      <c r="I103" s="16">
        <v>0</v>
      </c>
      <c r="J103" s="14">
        <v>10000</v>
      </c>
      <c r="K103" s="14">
        <v>23</v>
      </c>
    </row>
    <row r="104" spans="1:11" ht="15.75">
      <c r="A104" s="22">
        <v>810055</v>
      </c>
      <c r="B104" s="19">
        <v>1</v>
      </c>
      <c r="C104" s="14">
        <v>2</v>
      </c>
      <c r="D104" s="16">
        <v>0</v>
      </c>
      <c r="E104" s="16">
        <v>8</v>
      </c>
      <c r="F104" s="16">
        <v>0</v>
      </c>
      <c r="G104" s="29">
        <v>8100551</v>
      </c>
      <c r="H104" s="8" t="s">
        <v>3856</v>
      </c>
      <c r="I104" s="16">
        <v>0</v>
      </c>
      <c r="J104" s="14">
        <v>10000</v>
      </c>
      <c r="K104" s="14">
        <v>24</v>
      </c>
    </row>
    <row r="105" spans="1:11" ht="15.75">
      <c r="A105" s="29">
        <v>810056</v>
      </c>
      <c r="B105" s="19">
        <v>1</v>
      </c>
      <c r="C105" s="14">
        <v>2</v>
      </c>
      <c r="D105" s="16">
        <v>0</v>
      </c>
      <c r="E105" s="16">
        <v>8</v>
      </c>
      <c r="F105" s="16">
        <v>0</v>
      </c>
      <c r="G105" s="29">
        <v>8100561</v>
      </c>
      <c r="H105" s="30" t="s">
        <v>3858</v>
      </c>
      <c r="I105" s="16">
        <v>0</v>
      </c>
      <c r="J105" s="14">
        <v>10000</v>
      </c>
      <c r="K105" s="14">
        <v>25</v>
      </c>
    </row>
    <row r="106" spans="1:11" s="11" customFormat="1" ht="15.75">
      <c r="A106" s="22">
        <v>810057</v>
      </c>
      <c r="B106" s="31">
        <v>1</v>
      </c>
      <c r="C106" s="11">
        <v>2</v>
      </c>
      <c r="D106" s="32">
        <v>0</v>
      </c>
      <c r="E106" s="32">
        <v>8</v>
      </c>
      <c r="F106" s="32">
        <v>0</v>
      </c>
      <c r="G106" s="22">
        <v>8100571</v>
      </c>
      <c r="H106" s="8" t="s">
        <v>5383</v>
      </c>
      <c r="I106" s="32">
        <v>0</v>
      </c>
      <c r="J106" s="11">
        <v>10000</v>
      </c>
      <c r="K106" s="11">
        <v>26</v>
      </c>
    </row>
    <row r="107" spans="1:11" s="11" customFormat="1" ht="15.75">
      <c r="A107" s="22">
        <v>810060</v>
      </c>
      <c r="B107" s="31">
        <v>1</v>
      </c>
      <c r="C107" s="11">
        <v>2</v>
      </c>
      <c r="D107" s="32">
        <v>0</v>
      </c>
      <c r="E107" s="32">
        <v>8</v>
      </c>
      <c r="F107" s="32">
        <v>0</v>
      </c>
      <c r="G107" s="22">
        <v>8100601</v>
      </c>
      <c r="H107" s="8" t="s">
        <v>3861</v>
      </c>
      <c r="I107" s="32">
        <v>0</v>
      </c>
      <c r="J107" s="11">
        <v>10000</v>
      </c>
      <c r="K107" s="11">
        <v>32</v>
      </c>
    </row>
    <row r="108" spans="1:11" s="11" customFormat="1" ht="15.75">
      <c r="A108" s="22">
        <v>810061</v>
      </c>
      <c r="B108" s="31">
        <v>1</v>
      </c>
      <c r="C108" s="11">
        <v>2</v>
      </c>
      <c r="D108" s="32">
        <v>0</v>
      </c>
      <c r="E108" s="32">
        <v>8</v>
      </c>
      <c r="F108" s="32">
        <v>0</v>
      </c>
      <c r="G108" s="22">
        <v>8100611</v>
      </c>
      <c r="H108" s="8" t="s">
        <v>3862</v>
      </c>
      <c r="I108" s="32">
        <v>0</v>
      </c>
      <c r="J108" s="11">
        <v>10000</v>
      </c>
      <c r="K108" s="11">
        <v>27</v>
      </c>
    </row>
    <row r="109" spans="1:11" s="12" customFormat="1" ht="15.75">
      <c r="A109" s="33">
        <v>810062</v>
      </c>
      <c r="B109" s="34">
        <v>1</v>
      </c>
      <c r="C109" s="12">
        <v>2</v>
      </c>
      <c r="D109" s="35">
        <v>0</v>
      </c>
      <c r="E109" s="35">
        <v>8</v>
      </c>
      <c r="F109" s="35">
        <v>0</v>
      </c>
      <c r="G109" s="33">
        <v>8100621</v>
      </c>
      <c r="H109" s="36" t="s">
        <v>3863</v>
      </c>
      <c r="I109" s="35">
        <v>0</v>
      </c>
      <c r="J109" s="14">
        <v>10000</v>
      </c>
      <c r="K109" s="12">
        <v>28</v>
      </c>
    </row>
    <row r="110" spans="1:11" s="12" customFormat="1" ht="15.75">
      <c r="A110" s="33">
        <v>810063</v>
      </c>
      <c r="B110" s="34">
        <v>1</v>
      </c>
      <c r="C110" s="12">
        <v>2</v>
      </c>
      <c r="D110" s="35">
        <v>1</v>
      </c>
      <c r="E110" s="35">
        <v>9</v>
      </c>
      <c r="F110" s="25" t="s">
        <v>5376</v>
      </c>
      <c r="G110" s="33">
        <v>8100631</v>
      </c>
      <c r="H110" s="36" t="s">
        <v>5384</v>
      </c>
      <c r="I110" s="35">
        <v>0</v>
      </c>
      <c r="J110" s="14">
        <v>10000</v>
      </c>
      <c r="K110" s="12">
        <v>29</v>
      </c>
    </row>
    <row r="111" spans="1:11" s="12" customFormat="1" ht="15.75">
      <c r="A111" s="33">
        <v>810064</v>
      </c>
      <c r="B111" s="34">
        <v>1</v>
      </c>
      <c r="C111" s="12">
        <v>2</v>
      </c>
      <c r="D111" s="35">
        <v>1</v>
      </c>
      <c r="E111" s="35">
        <v>9</v>
      </c>
      <c r="F111" s="25" t="s">
        <v>5376</v>
      </c>
      <c r="G111" s="33">
        <v>8100641</v>
      </c>
      <c r="H111" s="36" t="s">
        <v>5385</v>
      </c>
      <c r="I111" s="35">
        <v>0</v>
      </c>
      <c r="J111" s="14">
        <v>10000</v>
      </c>
      <c r="K111" s="12">
        <v>30</v>
      </c>
    </row>
    <row r="112" spans="1:11" s="12" customFormat="1" ht="15.75">
      <c r="A112" s="33">
        <v>810065</v>
      </c>
      <c r="B112" s="34">
        <v>1</v>
      </c>
      <c r="C112" s="12">
        <v>2</v>
      </c>
      <c r="D112" s="35">
        <v>1</v>
      </c>
      <c r="E112" s="35">
        <v>9</v>
      </c>
      <c r="F112" s="25" t="s">
        <v>5376</v>
      </c>
      <c r="G112" s="33">
        <v>8100651</v>
      </c>
      <c r="H112" s="36" t="s">
        <v>5386</v>
      </c>
      <c r="I112" s="35">
        <v>0</v>
      </c>
      <c r="J112" s="14">
        <v>10000</v>
      </c>
      <c r="K112" s="12">
        <v>31</v>
      </c>
    </row>
    <row r="113" spans="1:11" s="12" customFormat="1" ht="15.75">
      <c r="A113" s="33">
        <v>810069</v>
      </c>
      <c r="B113" s="34">
        <v>1</v>
      </c>
      <c r="C113" s="12">
        <v>2</v>
      </c>
      <c r="D113" s="35">
        <v>1</v>
      </c>
      <c r="E113" s="35">
        <v>9</v>
      </c>
      <c r="F113" s="37" t="s">
        <v>5376</v>
      </c>
      <c r="G113" s="33">
        <v>8100691</v>
      </c>
      <c r="H113" s="36" t="s">
        <v>5387</v>
      </c>
      <c r="I113" s="35">
        <v>0</v>
      </c>
      <c r="J113" s="14">
        <v>10000</v>
      </c>
      <c r="K113" s="11">
        <v>33</v>
      </c>
    </row>
    <row r="114" spans="1:11" s="12" customFormat="1" ht="15.75">
      <c r="A114" s="33">
        <v>810070</v>
      </c>
      <c r="B114" s="34">
        <v>1</v>
      </c>
      <c r="C114" s="12">
        <v>2</v>
      </c>
      <c r="D114" s="35">
        <v>1</v>
      </c>
      <c r="E114" s="35">
        <v>9</v>
      </c>
      <c r="F114" s="37" t="s">
        <v>5376</v>
      </c>
      <c r="G114" s="33">
        <v>8100701</v>
      </c>
      <c r="H114" s="36" t="s">
        <v>5387</v>
      </c>
      <c r="I114" s="35">
        <v>0</v>
      </c>
      <c r="J114" s="14">
        <v>10000</v>
      </c>
      <c r="K114" s="12">
        <v>34</v>
      </c>
    </row>
    <row r="115" spans="1:11" s="12" customFormat="1" ht="15.75">
      <c r="A115" s="33">
        <v>810071</v>
      </c>
      <c r="B115" s="34">
        <v>1</v>
      </c>
      <c r="C115" s="12">
        <v>2</v>
      </c>
      <c r="D115" s="35">
        <v>1</v>
      </c>
      <c r="E115" s="35">
        <v>9</v>
      </c>
      <c r="F115" s="37" t="s">
        <v>5376</v>
      </c>
      <c r="G115" s="33">
        <v>8100711</v>
      </c>
      <c r="H115" s="36" t="s">
        <v>5387</v>
      </c>
      <c r="I115" s="35">
        <v>0</v>
      </c>
      <c r="J115" s="14">
        <v>10000</v>
      </c>
      <c r="K115" s="11">
        <v>35</v>
      </c>
    </row>
    <row r="116" spans="1:11" s="12" customFormat="1" ht="15.75">
      <c r="A116" s="33">
        <v>810072</v>
      </c>
      <c r="B116" s="34">
        <v>1</v>
      </c>
      <c r="C116" s="12">
        <v>2</v>
      </c>
      <c r="D116" s="35">
        <v>1</v>
      </c>
      <c r="E116" s="35">
        <v>9</v>
      </c>
      <c r="F116" s="37" t="s">
        <v>5376</v>
      </c>
      <c r="G116" s="33">
        <v>8100721</v>
      </c>
      <c r="H116" s="36" t="s">
        <v>5387</v>
      </c>
      <c r="I116" s="35">
        <v>0</v>
      </c>
      <c r="J116" s="14">
        <v>10000</v>
      </c>
      <c r="K116" s="12">
        <v>36</v>
      </c>
    </row>
    <row r="117" spans="1:11" s="12" customFormat="1" ht="15.75">
      <c r="A117" s="33">
        <v>810073</v>
      </c>
      <c r="B117" s="34">
        <v>1</v>
      </c>
      <c r="C117" s="12">
        <v>2</v>
      </c>
      <c r="D117" s="35">
        <v>1</v>
      </c>
      <c r="E117" s="35">
        <v>8</v>
      </c>
      <c r="F117" s="37">
        <v>0</v>
      </c>
      <c r="G117" s="33">
        <v>8100731</v>
      </c>
      <c r="H117" s="36"/>
      <c r="I117" s="35">
        <v>0</v>
      </c>
      <c r="J117" s="14">
        <v>10000</v>
      </c>
      <c r="K117" s="12">
        <v>37</v>
      </c>
    </row>
    <row r="118" spans="1:11" s="12" customFormat="1" ht="15.75">
      <c r="A118" s="16">
        <v>810074</v>
      </c>
      <c r="B118" s="34">
        <v>1</v>
      </c>
      <c r="C118" s="12">
        <v>2</v>
      </c>
      <c r="D118" s="35">
        <v>0</v>
      </c>
      <c r="E118" s="35">
        <v>8</v>
      </c>
      <c r="F118" s="37">
        <v>0</v>
      </c>
      <c r="G118" s="33">
        <v>8100743</v>
      </c>
      <c r="H118" s="36" t="s">
        <v>5594</v>
      </c>
      <c r="I118" s="35">
        <v>0</v>
      </c>
      <c r="J118" s="14">
        <v>5000</v>
      </c>
      <c r="K118" s="12">
        <v>38</v>
      </c>
    </row>
    <row r="119" spans="1:11">
      <c r="A119" s="16">
        <v>820001</v>
      </c>
      <c r="B119" s="16">
        <v>2</v>
      </c>
      <c r="C119" s="14">
        <v>1</v>
      </c>
      <c r="D119" s="16">
        <v>1</v>
      </c>
      <c r="E119" s="16">
        <v>8</v>
      </c>
      <c r="F119" s="16">
        <v>0</v>
      </c>
      <c r="G119" s="16">
        <v>8200013</v>
      </c>
      <c r="H119" s="16" t="s">
        <v>5388</v>
      </c>
      <c r="I119" s="16">
        <v>6</v>
      </c>
      <c r="J119" s="14">
        <v>0</v>
      </c>
    </row>
    <row r="120" spans="1:11">
      <c r="A120" s="16">
        <v>820002</v>
      </c>
      <c r="B120" s="16">
        <v>2</v>
      </c>
      <c r="C120" s="14">
        <v>1</v>
      </c>
      <c r="D120" s="16">
        <v>1</v>
      </c>
      <c r="E120" s="16">
        <v>8</v>
      </c>
      <c r="F120" s="16">
        <v>0</v>
      </c>
      <c r="G120" s="16">
        <v>8200023</v>
      </c>
      <c r="H120" s="16" t="s">
        <v>5389</v>
      </c>
      <c r="I120" s="16">
        <v>6</v>
      </c>
      <c r="J120" s="14">
        <v>0</v>
      </c>
    </row>
    <row r="121" spans="1:11">
      <c r="A121" s="16">
        <v>820003</v>
      </c>
      <c r="B121" s="16">
        <v>2</v>
      </c>
      <c r="C121" s="14">
        <v>1</v>
      </c>
      <c r="D121" s="16">
        <v>1</v>
      </c>
      <c r="E121" s="16">
        <v>8</v>
      </c>
      <c r="F121" s="16">
        <v>0</v>
      </c>
      <c r="G121" s="16">
        <v>8200033</v>
      </c>
      <c r="H121" s="16" t="s">
        <v>5390</v>
      </c>
      <c r="I121" s="16">
        <v>6</v>
      </c>
      <c r="J121" s="14">
        <v>0</v>
      </c>
    </row>
    <row r="122" spans="1:11">
      <c r="A122" s="16">
        <v>820004</v>
      </c>
      <c r="B122" s="16">
        <v>2</v>
      </c>
      <c r="C122" s="14">
        <v>1</v>
      </c>
      <c r="D122" s="16">
        <v>1</v>
      </c>
      <c r="E122" s="16">
        <v>8</v>
      </c>
      <c r="F122" s="16">
        <v>0</v>
      </c>
      <c r="G122" s="16">
        <v>8200043</v>
      </c>
      <c r="H122" s="16" t="s">
        <v>5391</v>
      </c>
      <c r="I122" s="16">
        <v>6</v>
      </c>
      <c r="J122" s="14">
        <v>0</v>
      </c>
    </row>
    <row r="123" spans="1:11">
      <c r="A123" s="16">
        <v>820005</v>
      </c>
      <c r="B123" s="16">
        <v>2</v>
      </c>
      <c r="C123" s="14">
        <v>1</v>
      </c>
      <c r="D123" s="16">
        <v>1</v>
      </c>
      <c r="E123" s="16">
        <v>8</v>
      </c>
      <c r="F123" s="16">
        <v>0</v>
      </c>
      <c r="G123" s="16">
        <v>8200053</v>
      </c>
      <c r="H123" s="16" t="s">
        <v>5392</v>
      </c>
      <c r="I123" s="16">
        <v>6</v>
      </c>
      <c r="J123" s="14">
        <v>0</v>
      </c>
    </row>
    <row r="124" spans="1:11">
      <c r="A124" s="16">
        <v>820006</v>
      </c>
      <c r="B124" s="16">
        <v>2</v>
      </c>
      <c r="C124" s="14">
        <v>1</v>
      </c>
      <c r="D124" s="16">
        <v>1</v>
      </c>
      <c r="E124" s="16">
        <v>8</v>
      </c>
      <c r="F124" s="16">
        <v>0</v>
      </c>
      <c r="G124" s="16">
        <v>8200063</v>
      </c>
      <c r="H124" s="16" t="s">
        <v>5393</v>
      </c>
      <c r="I124" s="16">
        <v>6</v>
      </c>
      <c r="J124" s="14">
        <v>0</v>
      </c>
    </row>
    <row r="125" spans="1:11">
      <c r="A125" s="16">
        <v>820007</v>
      </c>
      <c r="B125" s="16">
        <v>2</v>
      </c>
      <c r="C125" s="14">
        <v>1</v>
      </c>
      <c r="D125" s="16">
        <v>1</v>
      </c>
      <c r="E125" s="16">
        <v>8</v>
      </c>
      <c r="F125" s="16">
        <v>0</v>
      </c>
      <c r="G125" s="16">
        <v>8200073</v>
      </c>
      <c r="H125" s="16" t="s">
        <v>5394</v>
      </c>
      <c r="I125" s="16">
        <v>6</v>
      </c>
      <c r="J125" s="14">
        <v>0</v>
      </c>
    </row>
    <row r="126" spans="1:11">
      <c r="A126" s="16">
        <v>820008</v>
      </c>
      <c r="B126" s="16">
        <v>2</v>
      </c>
      <c r="C126" s="14">
        <v>1</v>
      </c>
      <c r="D126" s="16">
        <v>1</v>
      </c>
      <c r="E126" s="16">
        <v>8</v>
      </c>
      <c r="F126" s="16">
        <v>0</v>
      </c>
      <c r="G126" s="16">
        <v>8200083</v>
      </c>
      <c r="H126" s="16" t="s">
        <v>5395</v>
      </c>
      <c r="I126" s="16">
        <v>6</v>
      </c>
      <c r="J126" s="14">
        <v>0</v>
      </c>
    </row>
    <row r="127" spans="1:11">
      <c r="A127" s="16">
        <v>820009</v>
      </c>
      <c r="B127" s="16">
        <v>2</v>
      </c>
      <c r="C127" s="14">
        <v>1</v>
      </c>
      <c r="D127" s="16">
        <v>1</v>
      </c>
      <c r="E127" s="16">
        <v>8</v>
      </c>
      <c r="F127" s="16">
        <v>0</v>
      </c>
      <c r="G127" s="16">
        <v>8200093</v>
      </c>
      <c r="H127" s="16" t="s">
        <v>5396</v>
      </c>
      <c r="I127" s="16">
        <v>6</v>
      </c>
      <c r="J127" s="14">
        <v>0</v>
      </c>
    </row>
    <row r="128" spans="1:11">
      <c r="A128" s="16">
        <v>820010</v>
      </c>
      <c r="B128" s="16">
        <v>2</v>
      </c>
      <c r="C128" s="14">
        <v>1</v>
      </c>
      <c r="D128" s="16">
        <v>1</v>
      </c>
      <c r="E128" s="16">
        <v>8</v>
      </c>
      <c r="F128" s="16">
        <v>0</v>
      </c>
      <c r="G128" s="16">
        <v>8200103</v>
      </c>
      <c r="H128" s="16" t="s">
        <v>5397</v>
      </c>
      <c r="I128" s="16">
        <v>6</v>
      </c>
      <c r="J128" s="14">
        <v>0</v>
      </c>
    </row>
    <row r="129" spans="1:10">
      <c r="A129" s="16">
        <v>820011</v>
      </c>
      <c r="B129" s="16">
        <v>2</v>
      </c>
      <c r="C129" s="14">
        <v>1</v>
      </c>
      <c r="D129" s="16">
        <v>1</v>
      </c>
      <c r="E129" s="16">
        <v>8</v>
      </c>
      <c r="F129" s="16">
        <v>0</v>
      </c>
      <c r="G129" s="16">
        <v>8200113</v>
      </c>
      <c r="H129" s="16" t="s">
        <v>5398</v>
      </c>
      <c r="I129" s="16">
        <v>6</v>
      </c>
      <c r="J129" s="14">
        <v>0</v>
      </c>
    </row>
    <row r="130" spans="1:10">
      <c r="A130" s="16">
        <v>820012</v>
      </c>
      <c r="B130" s="16">
        <v>2</v>
      </c>
      <c r="C130" s="14">
        <v>1</v>
      </c>
      <c r="D130" s="16">
        <v>1</v>
      </c>
      <c r="E130" s="16">
        <v>8</v>
      </c>
      <c r="F130" s="16">
        <v>0</v>
      </c>
      <c r="G130" s="16">
        <v>8200123</v>
      </c>
      <c r="H130" s="16" t="s">
        <v>5399</v>
      </c>
      <c r="I130" s="16">
        <v>6</v>
      </c>
      <c r="J130" s="14">
        <v>0</v>
      </c>
    </row>
    <row r="131" spans="1:10">
      <c r="A131" s="16">
        <v>820013</v>
      </c>
      <c r="B131" s="16">
        <v>2</v>
      </c>
      <c r="C131" s="14">
        <v>1</v>
      </c>
      <c r="D131" s="16">
        <v>1</v>
      </c>
      <c r="E131" s="16">
        <v>8</v>
      </c>
      <c r="F131" s="16">
        <v>0</v>
      </c>
      <c r="G131" s="16">
        <v>8200133</v>
      </c>
      <c r="H131" s="16" t="s">
        <v>5400</v>
      </c>
      <c r="I131" s="16">
        <v>6</v>
      </c>
      <c r="J131" s="14">
        <v>0</v>
      </c>
    </row>
    <row r="132" spans="1:10">
      <c r="A132" s="16">
        <v>820014</v>
      </c>
      <c r="B132" s="16">
        <v>2</v>
      </c>
      <c r="C132" s="14">
        <v>1</v>
      </c>
      <c r="D132" s="16">
        <v>1</v>
      </c>
      <c r="E132" s="16">
        <v>8</v>
      </c>
      <c r="F132" s="16">
        <v>0</v>
      </c>
      <c r="G132" s="16">
        <v>8200143</v>
      </c>
      <c r="H132" s="16" t="s">
        <v>5401</v>
      </c>
      <c r="I132" s="16">
        <v>6</v>
      </c>
      <c r="J132" s="14">
        <v>0</v>
      </c>
    </row>
    <row r="133" spans="1:10">
      <c r="A133" s="16">
        <v>820015</v>
      </c>
      <c r="B133" s="16">
        <v>2</v>
      </c>
      <c r="C133" s="14">
        <v>1</v>
      </c>
      <c r="D133" s="16">
        <v>1</v>
      </c>
      <c r="E133" s="16">
        <v>8</v>
      </c>
      <c r="F133" s="16">
        <v>0</v>
      </c>
      <c r="G133" s="16">
        <v>8200153</v>
      </c>
      <c r="H133" s="16" t="s">
        <v>5402</v>
      </c>
      <c r="I133" s="16">
        <v>6</v>
      </c>
      <c r="J133" s="14">
        <v>0</v>
      </c>
    </row>
    <row r="134" spans="1:10">
      <c r="A134" s="16">
        <v>820016</v>
      </c>
      <c r="B134" s="16">
        <v>2</v>
      </c>
      <c r="C134" s="14">
        <v>1</v>
      </c>
      <c r="D134" s="16">
        <v>1</v>
      </c>
      <c r="E134" s="16">
        <v>8</v>
      </c>
      <c r="F134" s="16">
        <v>0</v>
      </c>
      <c r="G134" s="16">
        <v>8200163</v>
      </c>
      <c r="H134" s="16" t="s">
        <v>5392</v>
      </c>
      <c r="I134" s="16">
        <v>6</v>
      </c>
      <c r="J134" s="14">
        <v>0</v>
      </c>
    </row>
    <row r="135" spans="1:10">
      <c r="A135" s="16">
        <v>820017</v>
      </c>
      <c r="B135" s="16">
        <v>2</v>
      </c>
      <c r="C135" s="14">
        <v>1</v>
      </c>
      <c r="D135" s="16">
        <v>1</v>
      </c>
      <c r="E135" s="16">
        <v>8</v>
      </c>
      <c r="F135" s="16">
        <v>0</v>
      </c>
      <c r="G135" s="16">
        <v>8200153</v>
      </c>
      <c r="H135" s="16" t="s">
        <v>5403</v>
      </c>
      <c r="I135" s="16">
        <v>6</v>
      </c>
      <c r="J135" s="14">
        <v>0</v>
      </c>
    </row>
    <row r="136" spans="1:10">
      <c r="A136" s="16">
        <v>820018</v>
      </c>
      <c r="B136" s="16">
        <v>2</v>
      </c>
      <c r="C136" s="14">
        <v>1</v>
      </c>
      <c r="D136" s="16">
        <v>1</v>
      </c>
      <c r="E136" s="16">
        <v>8</v>
      </c>
      <c r="F136" s="16">
        <v>0</v>
      </c>
      <c r="G136" s="16">
        <v>8200163</v>
      </c>
      <c r="H136" s="16" t="s">
        <v>5404</v>
      </c>
      <c r="I136" s="16">
        <v>6</v>
      </c>
      <c r="J136" s="14">
        <v>0</v>
      </c>
    </row>
    <row r="137" spans="1:10">
      <c r="A137" s="17">
        <v>830001</v>
      </c>
      <c r="D137" s="14">
        <v>1</v>
      </c>
      <c r="E137" s="14">
        <v>0</v>
      </c>
      <c r="F137" s="14">
        <v>0</v>
      </c>
      <c r="G137" s="14">
        <v>8300013</v>
      </c>
      <c r="H137" s="14" t="s">
        <v>5340</v>
      </c>
      <c r="I137" s="14">
        <v>0</v>
      </c>
      <c r="J137" s="14">
        <v>0</v>
      </c>
    </row>
    <row r="138" spans="1:10">
      <c r="A138" s="17">
        <v>830002</v>
      </c>
      <c r="D138" s="14">
        <v>1</v>
      </c>
      <c r="E138" s="14">
        <v>0</v>
      </c>
      <c r="F138" s="14">
        <v>0</v>
      </c>
      <c r="G138" s="14">
        <v>8300023</v>
      </c>
      <c r="H138" s="14" t="s">
        <v>5340</v>
      </c>
      <c r="I138" s="14">
        <v>0</v>
      </c>
      <c r="J138" s="14">
        <v>0</v>
      </c>
    </row>
    <row r="139" spans="1:10">
      <c r="A139" s="17">
        <v>830003</v>
      </c>
      <c r="D139" s="14">
        <v>1</v>
      </c>
      <c r="E139" s="14">
        <v>0</v>
      </c>
      <c r="F139" s="14">
        <v>0</v>
      </c>
      <c r="G139" s="14">
        <v>8300033</v>
      </c>
      <c r="H139" s="14" t="s">
        <v>5340</v>
      </c>
      <c r="I139" s="14">
        <v>0</v>
      </c>
      <c r="J139" s="14">
        <v>0</v>
      </c>
    </row>
    <row r="140" spans="1:10">
      <c r="A140" s="17">
        <v>830004</v>
      </c>
      <c r="D140" s="14">
        <v>1</v>
      </c>
      <c r="E140" s="14">
        <v>0</v>
      </c>
      <c r="F140" s="14">
        <v>0</v>
      </c>
      <c r="G140" s="14">
        <v>8300043</v>
      </c>
      <c r="H140" s="14" t="s">
        <v>5340</v>
      </c>
      <c r="I140" s="14">
        <v>0</v>
      </c>
      <c r="J140" s="14">
        <v>0</v>
      </c>
    </row>
    <row r="141" spans="1:10">
      <c r="A141" s="17">
        <v>830005</v>
      </c>
      <c r="D141" s="14">
        <v>1</v>
      </c>
      <c r="E141" s="14">
        <v>0</v>
      </c>
      <c r="F141" s="14">
        <v>0</v>
      </c>
      <c r="G141" s="14">
        <v>8300053</v>
      </c>
      <c r="H141" s="14" t="s">
        <v>5340</v>
      </c>
      <c r="I141" s="14">
        <v>0</v>
      </c>
      <c r="J141" s="14">
        <v>0</v>
      </c>
    </row>
    <row r="142" spans="1:10">
      <c r="A142" s="17">
        <v>830006</v>
      </c>
      <c r="D142" s="14">
        <v>1</v>
      </c>
      <c r="E142" s="14">
        <v>0</v>
      </c>
      <c r="F142" s="14">
        <v>0</v>
      </c>
      <c r="G142" s="14">
        <v>8300063</v>
      </c>
      <c r="H142" s="14" t="s">
        <v>5340</v>
      </c>
      <c r="I142" s="14">
        <v>0</v>
      </c>
      <c r="J142" s="14">
        <v>0</v>
      </c>
    </row>
    <row r="143" spans="1:10">
      <c r="A143" s="16">
        <v>840001</v>
      </c>
      <c r="C143" s="14">
        <v>4</v>
      </c>
      <c r="D143" s="14">
        <v>1</v>
      </c>
      <c r="E143" s="14">
        <v>0</v>
      </c>
      <c r="F143" s="14">
        <v>0</v>
      </c>
      <c r="G143" s="14">
        <v>8400013</v>
      </c>
      <c r="H143" s="14" t="s">
        <v>5340</v>
      </c>
      <c r="I143" s="14">
        <v>0</v>
      </c>
      <c r="J143" s="14">
        <v>0</v>
      </c>
    </row>
    <row r="144" spans="1:10">
      <c r="A144" s="16">
        <v>840002</v>
      </c>
      <c r="C144" s="14">
        <v>4</v>
      </c>
      <c r="D144" s="14">
        <v>1</v>
      </c>
      <c r="E144" s="14">
        <v>0</v>
      </c>
      <c r="F144" s="14">
        <v>0</v>
      </c>
      <c r="G144" s="14">
        <v>8400023</v>
      </c>
      <c r="H144" s="14" t="s">
        <v>5340</v>
      </c>
      <c r="I144" s="14">
        <v>0</v>
      </c>
      <c r="J144" s="14">
        <v>0</v>
      </c>
    </row>
    <row r="145" spans="1:10">
      <c r="A145" s="16">
        <v>840003</v>
      </c>
      <c r="C145" s="14">
        <v>4</v>
      </c>
      <c r="D145" s="14">
        <v>1</v>
      </c>
      <c r="E145" s="14">
        <v>0</v>
      </c>
      <c r="F145" s="14">
        <v>0</v>
      </c>
      <c r="G145" s="14">
        <v>8400033</v>
      </c>
      <c r="H145" s="14" t="s">
        <v>5340</v>
      </c>
      <c r="I145" s="14">
        <v>0</v>
      </c>
      <c r="J145" s="14">
        <v>0</v>
      </c>
    </row>
    <row r="146" spans="1:10">
      <c r="A146" s="16">
        <v>840004</v>
      </c>
      <c r="C146" s="14">
        <v>4</v>
      </c>
      <c r="D146" s="14">
        <v>1</v>
      </c>
      <c r="E146" s="14">
        <v>0</v>
      </c>
      <c r="F146" s="14">
        <v>0</v>
      </c>
      <c r="G146" s="14">
        <v>8400043</v>
      </c>
      <c r="H146" s="14" t="s">
        <v>5340</v>
      </c>
      <c r="I146" s="14">
        <v>0</v>
      </c>
      <c r="J146" s="14">
        <v>0</v>
      </c>
    </row>
    <row r="147" spans="1:10">
      <c r="A147" s="16">
        <v>840005</v>
      </c>
      <c r="C147" s="14">
        <v>4</v>
      </c>
      <c r="D147" s="14">
        <v>1</v>
      </c>
      <c r="E147" s="14">
        <v>0</v>
      </c>
      <c r="F147" s="14">
        <v>0</v>
      </c>
      <c r="G147" s="14">
        <v>8400053</v>
      </c>
      <c r="H147" s="14" t="s">
        <v>5340</v>
      </c>
      <c r="I147" s="14">
        <v>0</v>
      </c>
      <c r="J147" s="14">
        <v>0</v>
      </c>
    </row>
    <row r="148" spans="1:10">
      <c r="A148" s="16">
        <v>840006</v>
      </c>
      <c r="C148" s="14">
        <v>4</v>
      </c>
      <c r="D148" s="14">
        <v>1</v>
      </c>
      <c r="E148" s="14">
        <v>0</v>
      </c>
      <c r="F148" s="14">
        <v>0</v>
      </c>
      <c r="G148" s="14">
        <v>8400063</v>
      </c>
      <c r="H148" s="14" t="s">
        <v>5340</v>
      </c>
      <c r="I148" s="14">
        <v>0</v>
      </c>
      <c r="J148" s="14">
        <v>0</v>
      </c>
    </row>
    <row r="149" spans="1:10">
      <c r="A149" s="16">
        <v>840007</v>
      </c>
      <c r="C149" s="14">
        <v>4</v>
      </c>
      <c r="D149" s="14">
        <v>1</v>
      </c>
      <c r="E149" s="14">
        <v>0</v>
      </c>
      <c r="F149" s="14">
        <v>0</v>
      </c>
      <c r="G149" s="14">
        <v>8400073</v>
      </c>
      <c r="H149" s="14" t="s">
        <v>5340</v>
      </c>
      <c r="I149" s="14">
        <v>0</v>
      </c>
      <c r="J149" s="14">
        <v>0</v>
      </c>
    </row>
    <row r="150" spans="1:10">
      <c r="A150" s="16">
        <v>840008</v>
      </c>
      <c r="C150" s="14">
        <v>4</v>
      </c>
      <c r="D150" s="14">
        <v>1</v>
      </c>
      <c r="E150" s="14">
        <v>0</v>
      </c>
      <c r="F150" s="14">
        <v>0</v>
      </c>
      <c r="G150" s="14">
        <v>8400083</v>
      </c>
      <c r="H150" s="14" t="s">
        <v>5340</v>
      </c>
      <c r="I150" s="14">
        <v>0</v>
      </c>
      <c r="J150" s="14">
        <v>0</v>
      </c>
    </row>
    <row r="151" spans="1:10">
      <c r="A151" s="16">
        <v>840009</v>
      </c>
      <c r="C151" s="14">
        <v>4</v>
      </c>
      <c r="D151" s="14">
        <v>1</v>
      </c>
      <c r="E151" s="14">
        <v>0</v>
      </c>
      <c r="F151" s="14">
        <v>0</v>
      </c>
      <c r="G151" s="14">
        <v>8400093</v>
      </c>
      <c r="H151" s="14" t="s">
        <v>5340</v>
      </c>
      <c r="I151" s="14">
        <v>0</v>
      </c>
      <c r="J151" s="14">
        <v>0</v>
      </c>
    </row>
    <row r="152" spans="1:10">
      <c r="A152" s="16">
        <v>840010</v>
      </c>
      <c r="C152" s="14">
        <v>4</v>
      </c>
      <c r="D152" s="14">
        <v>1</v>
      </c>
      <c r="E152" s="14">
        <v>0</v>
      </c>
      <c r="F152" s="14">
        <v>0</v>
      </c>
      <c r="G152" s="14">
        <v>8400103</v>
      </c>
      <c r="H152" s="14" t="s">
        <v>5340</v>
      </c>
      <c r="I152" s="14">
        <v>0</v>
      </c>
      <c r="J152" s="14">
        <v>0</v>
      </c>
    </row>
    <row r="153" spans="1:10">
      <c r="A153" s="16">
        <v>840013</v>
      </c>
      <c r="C153" s="14">
        <v>4</v>
      </c>
      <c r="D153" s="14">
        <v>1</v>
      </c>
      <c r="E153" s="14">
        <v>0</v>
      </c>
      <c r="F153" s="14">
        <v>0</v>
      </c>
      <c r="G153" s="14">
        <v>8400133</v>
      </c>
      <c r="H153" s="14" t="s">
        <v>5340</v>
      </c>
      <c r="I153" s="14">
        <v>0</v>
      </c>
      <c r="J153" s="14">
        <v>0</v>
      </c>
    </row>
    <row r="154" spans="1:10">
      <c r="A154" s="16">
        <v>840014</v>
      </c>
      <c r="C154" s="14">
        <v>4</v>
      </c>
      <c r="D154" s="14">
        <v>1</v>
      </c>
      <c r="E154" s="14">
        <v>0</v>
      </c>
      <c r="F154" s="14">
        <v>0</v>
      </c>
      <c r="G154" s="14">
        <v>8400143</v>
      </c>
      <c r="H154" s="14" t="s">
        <v>5340</v>
      </c>
      <c r="I154" s="14">
        <v>81</v>
      </c>
      <c r="J154" s="14">
        <v>0</v>
      </c>
    </row>
    <row r="155" spans="1:10">
      <c r="A155" s="16">
        <v>840015</v>
      </c>
      <c r="C155" s="14">
        <v>4</v>
      </c>
      <c r="D155" s="14">
        <v>1</v>
      </c>
      <c r="E155" s="14">
        <v>0</v>
      </c>
      <c r="F155" s="14">
        <v>0</v>
      </c>
      <c r="G155" s="14">
        <v>8400153</v>
      </c>
      <c r="H155" s="14" t="s">
        <v>5340</v>
      </c>
      <c r="I155" s="14">
        <v>81</v>
      </c>
      <c r="J155" s="14">
        <v>0</v>
      </c>
    </row>
    <row r="156" spans="1:10">
      <c r="A156" s="16">
        <v>840016</v>
      </c>
      <c r="C156" s="14">
        <v>4</v>
      </c>
      <c r="D156" s="14">
        <v>1</v>
      </c>
      <c r="E156" s="14">
        <v>0</v>
      </c>
      <c r="F156" s="14">
        <v>0</v>
      </c>
      <c r="G156" s="14">
        <v>8400163</v>
      </c>
      <c r="H156" s="14" t="s">
        <v>5340</v>
      </c>
      <c r="I156" s="14">
        <v>81</v>
      </c>
      <c r="J156" s="14">
        <v>0</v>
      </c>
    </row>
    <row r="157" spans="1:10">
      <c r="A157" s="16">
        <v>840017</v>
      </c>
      <c r="C157" s="14">
        <v>4</v>
      </c>
      <c r="D157" s="14">
        <v>1</v>
      </c>
      <c r="E157" s="14">
        <v>0</v>
      </c>
      <c r="F157" s="14">
        <v>0</v>
      </c>
      <c r="G157" s="14">
        <v>8400173</v>
      </c>
      <c r="H157" s="14" t="s">
        <v>5340</v>
      </c>
      <c r="I157" s="14">
        <v>81</v>
      </c>
      <c r="J157" s="14">
        <v>0</v>
      </c>
    </row>
    <row r="158" spans="1:10">
      <c r="A158" s="16">
        <v>840018</v>
      </c>
      <c r="C158" s="14">
        <v>4</v>
      </c>
      <c r="D158" s="14">
        <v>1</v>
      </c>
      <c r="E158" s="14">
        <v>0</v>
      </c>
      <c r="F158" s="14">
        <v>0</v>
      </c>
      <c r="G158" s="14">
        <v>8400183</v>
      </c>
      <c r="H158" s="14" t="s">
        <v>5340</v>
      </c>
      <c r="I158" s="14">
        <v>81</v>
      </c>
      <c r="J158" s="14">
        <v>0</v>
      </c>
    </row>
    <row r="159" spans="1:10">
      <c r="A159" s="16">
        <v>840019</v>
      </c>
      <c r="C159" s="14">
        <v>4</v>
      </c>
      <c r="D159" s="14">
        <v>1</v>
      </c>
      <c r="E159" s="14">
        <v>0</v>
      </c>
      <c r="F159" s="14">
        <v>0</v>
      </c>
      <c r="G159" s="14">
        <v>8400193</v>
      </c>
      <c r="H159" s="14" t="s">
        <v>5340</v>
      </c>
      <c r="I159" s="14">
        <v>81</v>
      </c>
      <c r="J159" s="14">
        <v>0</v>
      </c>
    </row>
    <row r="160" spans="1:10">
      <c r="A160" s="16">
        <v>840020</v>
      </c>
      <c r="C160" s="14">
        <v>4</v>
      </c>
      <c r="D160" s="14">
        <v>1</v>
      </c>
      <c r="E160" s="14">
        <v>0</v>
      </c>
      <c r="F160" s="14">
        <v>0</v>
      </c>
      <c r="G160" s="14">
        <v>8400203</v>
      </c>
      <c r="H160" s="14" t="s">
        <v>5340</v>
      </c>
      <c r="I160" s="14">
        <v>81</v>
      </c>
      <c r="J160" s="14">
        <v>0</v>
      </c>
    </row>
    <row r="161" spans="1:10">
      <c r="A161" s="16">
        <v>840021</v>
      </c>
      <c r="C161" s="14">
        <v>4</v>
      </c>
      <c r="D161" s="14">
        <v>1</v>
      </c>
      <c r="E161" s="14">
        <v>0</v>
      </c>
      <c r="F161" s="14">
        <v>0</v>
      </c>
      <c r="G161" s="14">
        <v>8400213</v>
      </c>
      <c r="H161" s="14" t="s">
        <v>5340</v>
      </c>
      <c r="I161" s="14">
        <v>81</v>
      </c>
      <c r="J161" s="14">
        <v>0</v>
      </c>
    </row>
    <row r="162" spans="1:10">
      <c r="A162" s="16">
        <v>850001</v>
      </c>
      <c r="C162" s="14">
        <v>5</v>
      </c>
      <c r="D162" s="14">
        <v>1</v>
      </c>
      <c r="E162" s="14">
        <v>0</v>
      </c>
      <c r="F162" s="14">
        <v>0</v>
      </c>
      <c r="G162" s="14">
        <v>8500013</v>
      </c>
      <c r="H162" s="14" t="s">
        <v>5340</v>
      </c>
      <c r="I162" s="14">
        <v>0</v>
      </c>
      <c r="J162" s="14">
        <v>0</v>
      </c>
    </row>
    <row r="163" spans="1:10">
      <c r="A163" s="16">
        <v>850002</v>
      </c>
      <c r="C163" s="14">
        <v>5</v>
      </c>
      <c r="D163" s="14">
        <v>1</v>
      </c>
      <c r="E163" s="14">
        <v>8</v>
      </c>
      <c r="F163" s="14">
        <v>0</v>
      </c>
      <c r="G163" s="14">
        <v>8500023</v>
      </c>
      <c r="H163" s="14" t="s">
        <v>5340</v>
      </c>
      <c r="I163" s="14">
        <v>0</v>
      </c>
      <c r="J163" s="14">
        <v>0</v>
      </c>
    </row>
    <row r="164" spans="1:10">
      <c r="A164" s="16">
        <v>850003</v>
      </c>
      <c r="C164" s="14">
        <v>5</v>
      </c>
      <c r="D164" s="14">
        <v>1</v>
      </c>
      <c r="E164" s="14">
        <v>8</v>
      </c>
      <c r="F164" s="14">
        <v>0</v>
      </c>
      <c r="G164" s="14">
        <v>8500033</v>
      </c>
      <c r="H164" s="14" t="s">
        <v>5340</v>
      </c>
      <c r="I164" s="14">
        <v>0</v>
      </c>
      <c r="J164" s="14">
        <v>0</v>
      </c>
    </row>
    <row r="165" spans="1:10">
      <c r="A165" s="16">
        <v>850004</v>
      </c>
      <c r="C165" s="14">
        <v>5</v>
      </c>
      <c r="D165" s="14">
        <v>1</v>
      </c>
      <c r="E165" s="14">
        <v>8</v>
      </c>
      <c r="F165" s="14">
        <v>0</v>
      </c>
      <c r="G165" s="14">
        <v>8500043</v>
      </c>
      <c r="H165" s="14" t="s">
        <v>5340</v>
      </c>
      <c r="I165" s="14">
        <v>0</v>
      </c>
      <c r="J165" s="14">
        <v>0</v>
      </c>
    </row>
    <row r="166" spans="1:10">
      <c r="A166" s="16">
        <v>850005</v>
      </c>
      <c r="C166" s="14">
        <v>5</v>
      </c>
      <c r="D166" s="14">
        <v>1</v>
      </c>
      <c r="E166" s="14">
        <v>8</v>
      </c>
      <c r="F166" s="14">
        <v>0</v>
      </c>
      <c r="G166" s="14">
        <v>8500053</v>
      </c>
      <c r="H166" s="14" t="s">
        <v>5340</v>
      </c>
      <c r="I166" s="14">
        <v>0</v>
      </c>
      <c r="J166" s="14">
        <v>0</v>
      </c>
    </row>
    <row r="167" spans="1:10">
      <c r="A167" s="16">
        <v>850006</v>
      </c>
      <c r="C167" s="14">
        <v>5</v>
      </c>
      <c r="D167" s="14">
        <v>1</v>
      </c>
      <c r="E167" s="14">
        <v>8</v>
      </c>
      <c r="F167" s="14">
        <v>0</v>
      </c>
      <c r="G167" s="14">
        <v>8500063</v>
      </c>
      <c r="H167" s="14" t="s">
        <v>5340</v>
      </c>
      <c r="I167" s="14">
        <v>0</v>
      </c>
      <c r="J167" s="14">
        <v>0</v>
      </c>
    </row>
    <row r="168" spans="1:10">
      <c r="A168" s="16">
        <v>850007</v>
      </c>
      <c r="C168" s="14">
        <v>5</v>
      </c>
      <c r="D168" s="14">
        <v>1</v>
      </c>
      <c r="E168" s="14">
        <v>8</v>
      </c>
      <c r="F168" s="14">
        <v>0</v>
      </c>
      <c r="G168" s="14">
        <v>8500073</v>
      </c>
      <c r="H168" s="14" t="s">
        <v>5340</v>
      </c>
      <c r="I168" s="14">
        <v>0</v>
      </c>
      <c r="J168" s="14">
        <v>0</v>
      </c>
    </row>
    <row r="169" spans="1:10">
      <c r="A169" s="16">
        <v>850008</v>
      </c>
      <c r="C169" s="14">
        <v>5</v>
      </c>
      <c r="D169" s="14">
        <v>1</v>
      </c>
      <c r="E169" s="14">
        <v>8</v>
      </c>
      <c r="F169" s="14">
        <v>0</v>
      </c>
      <c r="G169" s="14">
        <v>8500083</v>
      </c>
      <c r="H169" s="14" t="s">
        <v>5340</v>
      </c>
      <c r="I169" s="14">
        <v>0</v>
      </c>
      <c r="J169" s="14">
        <v>0</v>
      </c>
    </row>
    <row r="170" spans="1:10">
      <c r="A170" s="16">
        <v>850009</v>
      </c>
      <c r="C170" s="14">
        <v>5</v>
      </c>
      <c r="D170" s="14">
        <v>1</v>
      </c>
      <c r="E170" s="14">
        <v>8</v>
      </c>
      <c r="F170" s="14">
        <v>0</v>
      </c>
      <c r="G170" s="14">
        <v>8500093</v>
      </c>
      <c r="H170" s="14" t="s">
        <v>5340</v>
      </c>
      <c r="I170" s="14">
        <v>0</v>
      </c>
      <c r="J170" s="14">
        <v>0</v>
      </c>
    </row>
    <row r="171" spans="1:10">
      <c r="A171" s="16">
        <v>850010</v>
      </c>
      <c r="C171" s="14">
        <v>5</v>
      </c>
      <c r="D171" s="14">
        <v>1</v>
      </c>
      <c r="E171" s="14">
        <v>8</v>
      </c>
      <c r="F171" s="14">
        <v>0</v>
      </c>
      <c r="G171" s="14">
        <v>8500103</v>
      </c>
      <c r="H171" s="14" t="s">
        <v>5340</v>
      </c>
      <c r="I171" s="14">
        <v>0</v>
      </c>
      <c r="J171" s="14">
        <v>0</v>
      </c>
    </row>
    <row r="172" spans="1:10" s="11" customFormat="1">
      <c r="A172" s="32">
        <v>850011</v>
      </c>
      <c r="C172" s="11">
        <v>5</v>
      </c>
      <c r="D172" s="11">
        <v>1</v>
      </c>
      <c r="E172" s="11">
        <v>8</v>
      </c>
      <c r="F172" s="11">
        <v>0</v>
      </c>
      <c r="G172" s="11">
        <v>8500113</v>
      </c>
      <c r="H172" s="11" t="s">
        <v>5340</v>
      </c>
      <c r="I172" s="11">
        <v>0</v>
      </c>
      <c r="J172" s="11">
        <v>0</v>
      </c>
    </row>
    <row r="173" spans="1:10" s="11" customFormat="1">
      <c r="A173" s="32">
        <v>850012</v>
      </c>
      <c r="C173" s="11">
        <v>5</v>
      </c>
      <c r="D173" s="11">
        <v>1</v>
      </c>
      <c r="E173" s="11">
        <v>8</v>
      </c>
      <c r="F173" s="11">
        <v>0</v>
      </c>
      <c r="G173" s="11">
        <v>8500123</v>
      </c>
      <c r="H173" s="11" t="s">
        <v>5340</v>
      </c>
      <c r="I173" s="11">
        <v>0</v>
      </c>
      <c r="J173" s="11">
        <v>0</v>
      </c>
    </row>
    <row r="174" spans="1:10" s="12" customFormat="1">
      <c r="A174" s="32">
        <v>850013</v>
      </c>
      <c r="C174" s="12">
        <v>5</v>
      </c>
      <c r="D174" s="12">
        <v>1</v>
      </c>
      <c r="E174" s="12">
        <v>8</v>
      </c>
      <c r="F174" s="12">
        <v>0</v>
      </c>
      <c r="G174" s="12">
        <v>8500133</v>
      </c>
      <c r="H174" s="12" t="s">
        <v>5340</v>
      </c>
      <c r="I174" s="12">
        <v>0</v>
      </c>
      <c r="J174" s="12">
        <v>0</v>
      </c>
    </row>
    <row r="175" spans="1:10" s="12" customFormat="1">
      <c r="A175" s="32">
        <v>850014</v>
      </c>
      <c r="C175" s="12">
        <v>5</v>
      </c>
      <c r="D175" s="12">
        <v>1</v>
      </c>
      <c r="E175" s="12">
        <v>8</v>
      </c>
      <c r="F175" s="12">
        <v>0</v>
      </c>
      <c r="G175" s="12">
        <v>8500143</v>
      </c>
      <c r="H175" s="12" t="s">
        <v>5340</v>
      </c>
      <c r="I175" s="12">
        <v>0</v>
      </c>
      <c r="J175" s="12">
        <v>0</v>
      </c>
    </row>
    <row r="176" spans="1:10">
      <c r="A176" s="16">
        <v>860001</v>
      </c>
      <c r="C176" s="14">
        <v>5</v>
      </c>
      <c r="D176" s="14">
        <v>1</v>
      </c>
      <c r="E176" s="14">
        <v>8</v>
      </c>
      <c r="F176" s="14">
        <v>0</v>
      </c>
      <c r="G176" s="14">
        <v>8600023</v>
      </c>
      <c r="H176" s="14" t="s">
        <v>5340</v>
      </c>
      <c r="I176" s="14">
        <v>0</v>
      </c>
      <c r="J176" s="14">
        <v>0</v>
      </c>
    </row>
    <row r="177" spans="1:10">
      <c r="A177" s="16">
        <v>860002</v>
      </c>
      <c r="C177" s="14">
        <v>5</v>
      </c>
      <c r="D177" s="14">
        <v>1</v>
      </c>
      <c r="E177" s="14">
        <v>8</v>
      </c>
      <c r="F177" s="14">
        <v>0</v>
      </c>
      <c r="G177" s="14">
        <v>8600033</v>
      </c>
      <c r="H177" s="14" t="s">
        <v>5340</v>
      </c>
      <c r="I177" s="14">
        <v>0</v>
      </c>
      <c r="J177" s="14">
        <v>0</v>
      </c>
    </row>
    <row r="178" spans="1:10">
      <c r="A178" s="16">
        <v>860003</v>
      </c>
      <c r="C178" s="14">
        <v>5</v>
      </c>
      <c r="D178" s="14">
        <v>1</v>
      </c>
      <c r="E178" s="14">
        <v>8</v>
      </c>
      <c r="F178" s="14">
        <v>0</v>
      </c>
      <c r="G178" s="14">
        <v>8600043</v>
      </c>
      <c r="H178" s="14" t="s">
        <v>5340</v>
      </c>
      <c r="I178" s="14">
        <v>0</v>
      </c>
      <c r="J178" s="14">
        <v>0</v>
      </c>
    </row>
    <row r="179" spans="1:10">
      <c r="A179" s="16">
        <v>860004</v>
      </c>
      <c r="C179" s="14">
        <v>5</v>
      </c>
      <c r="D179" s="14">
        <v>1</v>
      </c>
      <c r="E179" s="14">
        <v>8</v>
      </c>
      <c r="F179" s="14">
        <v>0</v>
      </c>
      <c r="G179" s="14">
        <v>8600053</v>
      </c>
      <c r="H179" s="14" t="s">
        <v>5340</v>
      </c>
      <c r="I179" s="14">
        <v>0</v>
      </c>
      <c r="J179" s="14">
        <v>0</v>
      </c>
    </row>
    <row r="180" spans="1:10">
      <c r="A180" s="16">
        <v>860005</v>
      </c>
      <c r="C180" s="14">
        <v>5</v>
      </c>
      <c r="D180" s="14">
        <v>1</v>
      </c>
      <c r="E180" s="14">
        <v>8</v>
      </c>
      <c r="F180" s="14">
        <v>0</v>
      </c>
      <c r="G180" s="14">
        <v>8600063</v>
      </c>
      <c r="H180" s="14" t="s">
        <v>5340</v>
      </c>
      <c r="I180" s="14">
        <v>0</v>
      </c>
      <c r="J180" s="14">
        <v>0</v>
      </c>
    </row>
    <row r="181" spans="1:10">
      <c r="A181" s="16">
        <v>860006</v>
      </c>
      <c r="C181" s="14">
        <v>5</v>
      </c>
      <c r="D181" s="14">
        <v>1</v>
      </c>
      <c r="E181" s="14">
        <v>8</v>
      </c>
      <c r="F181" s="14">
        <v>0</v>
      </c>
      <c r="G181" s="14">
        <v>8600073</v>
      </c>
      <c r="H181" s="14" t="s">
        <v>5340</v>
      </c>
      <c r="I181" s="14">
        <v>0</v>
      </c>
      <c r="J181" s="14">
        <v>0</v>
      </c>
    </row>
    <row r="182" spans="1:10">
      <c r="A182" s="16">
        <v>860007</v>
      </c>
      <c r="C182" s="14">
        <v>5</v>
      </c>
      <c r="D182" s="14">
        <v>1</v>
      </c>
      <c r="E182" s="14">
        <v>8</v>
      </c>
      <c r="F182" s="14">
        <v>0</v>
      </c>
      <c r="G182" s="14">
        <v>8600083</v>
      </c>
      <c r="H182" s="14" t="s">
        <v>5340</v>
      </c>
      <c r="I182" s="14">
        <v>0</v>
      </c>
      <c r="J182" s="14">
        <v>0</v>
      </c>
    </row>
    <row r="183" spans="1:10">
      <c r="A183" s="16">
        <v>860008</v>
      </c>
      <c r="C183" s="14">
        <v>5</v>
      </c>
      <c r="D183" s="14">
        <v>1</v>
      </c>
      <c r="E183" s="14">
        <v>8</v>
      </c>
      <c r="F183" s="14">
        <v>0</v>
      </c>
      <c r="G183" s="14">
        <v>8600093</v>
      </c>
      <c r="H183" s="14" t="s">
        <v>5340</v>
      </c>
      <c r="I183" s="14">
        <v>0</v>
      </c>
      <c r="J183" s="14">
        <v>0</v>
      </c>
    </row>
    <row r="184" spans="1:10">
      <c r="A184" s="16">
        <v>860009</v>
      </c>
      <c r="C184" s="14">
        <v>5</v>
      </c>
      <c r="D184" s="14">
        <v>1</v>
      </c>
      <c r="E184" s="14">
        <v>8</v>
      </c>
      <c r="F184" s="14">
        <v>0</v>
      </c>
      <c r="G184" s="14">
        <v>8600103</v>
      </c>
      <c r="H184" s="14" t="s">
        <v>5340</v>
      </c>
      <c r="I184" s="14">
        <v>0</v>
      </c>
      <c r="J184" s="14">
        <v>0</v>
      </c>
    </row>
    <row r="185" spans="1:10" s="11" customFormat="1" ht="15.75">
      <c r="A185" s="32">
        <v>860010</v>
      </c>
      <c r="C185" s="11">
        <v>5</v>
      </c>
      <c r="D185" s="11">
        <v>1</v>
      </c>
      <c r="E185" s="11">
        <v>8</v>
      </c>
      <c r="F185" s="11">
        <v>0</v>
      </c>
      <c r="G185" s="38">
        <v>8600103</v>
      </c>
      <c r="H185" s="38" t="s">
        <v>5340</v>
      </c>
      <c r="I185" s="11">
        <v>0</v>
      </c>
      <c r="J185" s="11">
        <v>0</v>
      </c>
    </row>
    <row r="186" spans="1:10" s="11" customFormat="1" ht="15.75">
      <c r="A186" s="39">
        <v>860011</v>
      </c>
      <c r="C186" s="11">
        <v>5</v>
      </c>
      <c r="D186" s="11">
        <v>1</v>
      </c>
      <c r="E186" s="11">
        <v>8</v>
      </c>
      <c r="F186" s="11">
        <v>0</v>
      </c>
      <c r="G186" s="38">
        <v>8600113</v>
      </c>
      <c r="H186" s="38" t="s">
        <v>5340</v>
      </c>
      <c r="I186" s="11">
        <v>0</v>
      </c>
      <c r="J186" s="11">
        <v>0</v>
      </c>
    </row>
    <row r="187" spans="1:10" s="11" customFormat="1" ht="15.75">
      <c r="A187" s="32">
        <v>860012</v>
      </c>
      <c r="C187" s="11">
        <v>5</v>
      </c>
      <c r="D187" s="11">
        <v>1</v>
      </c>
      <c r="E187" s="11">
        <v>8</v>
      </c>
      <c r="F187" s="11">
        <v>0</v>
      </c>
      <c r="G187" s="38">
        <v>8600123</v>
      </c>
      <c r="H187" s="38" t="s">
        <v>5340</v>
      </c>
      <c r="I187" s="11">
        <v>0</v>
      </c>
      <c r="J187" s="11">
        <v>0</v>
      </c>
    </row>
    <row r="188" spans="1:10" s="12" customFormat="1" ht="15.75">
      <c r="A188" s="32">
        <v>860013</v>
      </c>
      <c r="C188" s="12">
        <v>5</v>
      </c>
      <c r="D188" s="12">
        <v>1</v>
      </c>
      <c r="E188" s="12">
        <v>8</v>
      </c>
      <c r="F188" s="12">
        <v>0</v>
      </c>
      <c r="G188" s="40">
        <v>8600133</v>
      </c>
      <c r="H188" s="40" t="s">
        <v>5340</v>
      </c>
      <c r="I188" s="12">
        <v>0</v>
      </c>
      <c r="J188" s="12">
        <v>0</v>
      </c>
    </row>
    <row r="189" spans="1:10" s="12" customFormat="1" ht="15.75">
      <c r="A189" s="32">
        <v>860014</v>
      </c>
      <c r="C189" s="12">
        <v>5</v>
      </c>
      <c r="D189" s="12">
        <v>1</v>
      </c>
      <c r="E189" s="12">
        <v>8</v>
      </c>
      <c r="F189" s="12">
        <v>0</v>
      </c>
      <c r="G189" s="40">
        <v>8600143</v>
      </c>
      <c r="H189" s="40" t="s">
        <v>5340</v>
      </c>
      <c r="I189" s="12">
        <v>0</v>
      </c>
      <c r="J189" s="12">
        <v>0</v>
      </c>
    </row>
    <row r="190" spans="1:10">
      <c r="A190" s="16">
        <v>870001</v>
      </c>
      <c r="C190" s="14">
        <v>3</v>
      </c>
      <c r="D190" s="14">
        <v>1</v>
      </c>
      <c r="E190" s="14">
        <v>0</v>
      </c>
      <c r="F190" s="14">
        <v>0</v>
      </c>
      <c r="G190" s="14">
        <v>8700013</v>
      </c>
      <c r="H190" s="14" t="s">
        <v>5405</v>
      </c>
      <c r="I190" s="14">
        <v>0</v>
      </c>
      <c r="J190" s="14">
        <v>0</v>
      </c>
    </row>
    <row r="191" spans="1:10">
      <c r="A191" s="16">
        <v>870002</v>
      </c>
      <c r="C191" s="14">
        <v>3</v>
      </c>
      <c r="D191" s="14">
        <v>1</v>
      </c>
      <c r="E191" s="14">
        <v>8</v>
      </c>
      <c r="F191" s="14">
        <v>0</v>
      </c>
      <c r="G191" s="14">
        <v>8700023</v>
      </c>
      <c r="H191" s="14" t="s">
        <v>5406</v>
      </c>
      <c r="I191" s="14">
        <v>0</v>
      </c>
      <c r="J191" s="14">
        <v>0</v>
      </c>
    </row>
    <row r="192" spans="1:10">
      <c r="A192" s="16">
        <v>870003</v>
      </c>
      <c r="C192" s="14">
        <v>3</v>
      </c>
      <c r="D192" s="14">
        <v>1</v>
      </c>
      <c r="E192" s="14">
        <v>8</v>
      </c>
      <c r="F192" s="14">
        <v>0</v>
      </c>
      <c r="G192" s="14">
        <v>8700033</v>
      </c>
      <c r="H192" s="14" t="s">
        <v>5406</v>
      </c>
      <c r="I192" s="14">
        <v>0</v>
      </c>
      <c r="J192" s="14">
        <v>0</v>
      </c>
    </row>
    <row r="193" spans="1:10">
      <c r="A193" s="16">
        <v>870004</v>
      </c>
      <c r="C193" s="14">
        <v>3</v>
      </c>
      <c r="D193" s="14">
        <v>1</v>
      </c>
      <c r="E193" s="14">
        <v>8</v>
      </c>
      <c r="F193" s="14">
        <v>0</v>
      </c>
      <c r="G193" s="14">
        <v>8700043</v>
      </c>
      <c r="H193" s="14" t="s">
        <v>5406</v>
      </c>
      <c r="I193" s="14">
        <v>0</v>
      </c>
      <c r="J193" s="14">
        <v>0</v>
      </c>
    </row>
    <row r="194" spans="1:10">
      <c r="A194" s="16">
        <v>870005</v>
      </c>
      <c r="C194" s="14">
        <v>3</v>
      </c>
      <c r="D194" s="14">
        <v>1</v>
      </c>
      <c r="E194" s="14">
        <v>3</v>
      </c>
      <c r="F194" s="21" t="s">
        <v>5407</v>
      </c>
      <c r="G194" s="14">
        <v>8700053</v>
      </c>
      <c r="H194" s="14" t="s">
        <v>5408</v>
      </c>
      <c r="I194" s="14">
        <v>0</v>
      </c>
      <c r="J194" s="14">
        <v>0</v>
      </c>
    </row>
    <row r="195" spans="1:10">
      <c r="A195" s="16">
        <v>870006</v>
      </c>
      <c r="C195" s="14">
        <v>3</v>
      </c>
      <c r="D195" s="14">
        <v>1</v>
      </c>
      <c r="E195" s="14">
        <v>8</v>
      </c>
      <c r="F195" s="14">
        <v>0</v>
      </c>
      <c r="G195" s="14">
        <v>8700063</v>
      </c>
      <c r="H195" s="14" t="s">
        <v>5406</v>
      </c>
      <c r="I195" s="14">
        <v>0</v>
      </c>
      <c r="J195" s="14">
        <v>0</v>
      </c>
    </row>
    <row r="196" spans="1:10">
      <c r="A196" s="16">
        <v>870007</v>
      </c>
      <c r="C196" s="14">
        <v>3</v>
      </c>
      <c r="D196" s="14">
        <v>1</v>
      </c>
      <c r="E196" s="14">
        <v>8</v>
      </c>
      <c r="F196" s="14">
        <v>0</v>
      </c>
      <c r="G196" s="14">
        <v>8700073</v>
      </c>
      <c r="H196" s="14" t="s">
        <v>5406</v>
      </c>
      <c r="I196" s="14">
        <v>0</v>
      </c>
      <c r="J196" s="14">
        <v>0</v>
      </c>
    </row>
    <row r="197" spans="1:10">
      <c r="A197" s="16">
        <v>870008</v>
      </c>
      <c r="C197" s="14">
        <v>3</v>
      </c>
      <c r="D197" s="14">
        <v>1</v>
      </c>
      <c r="E197" s="14">
        <v>8</v>
      </c>
      <c r="F197" s="14">
        <v>0</v>
      </c>
      <c r="G197" s="14">
        <v>8700083</v>
      </c>
      <c r="H197" s="14" t="s">
        <v>5406</v>
      </c>
      <c r="I197" s="14">
        <v>0</v>
      </c>
      <c r="J197" s="14">
        <v>0</v>
      </c>
    </row>
    <row r="198" spans="1:10">
      <c r="A198" s="16">
        <v>870009</v>
      </c>
      <c r="C198" s="14">
        <v>3</v>
      </c>
      <c r="D198" s="14">
        <v>1</v>
      </c>
      <c r="E198" s="14">
        <v>8</v>
      </c>
      <c r="F198" s="14">
        <v>0</v>
      </c>
      <c r="G198" s="14">
        <v>8700093</v>
      </c>
      <c r="H198" s="14" t="s">
        <v>5406</v>
      </c>
      <c r="I198" s="14">
        <v>0</v>
      </c>
      <c r="J198" s="14">
        <v>0</v>
      </c>
    </row>
    <row r="199" spans="1:10">
      <c r="A199" s="16">
        <v>870010</v>
      </c>
      <c r="C199" s="14">
        <v>3</v>
      </c>
      <c r="D199" s="14">
        <v>1</v>
      </c>
      <c r="E199" s="14">
        <v>8</v>
      </c>
      <c r="F199" s="14">
        <v>0</v>
      </c>
      <c r="G199" s="14">
        <v>8700103</v>
      </c>
      <c r="H199" s="14" t="s">
        <v>5409</v>
      </c>
      <c r="I199" s="14">
        <v>0</v>
      </c>
      <c r="J199" s="14">
        <v>0</v>
      </c>
    </row>
    <row r="200" spans="1:10">
      <c r="A200" s="16">
        <v>870011</v>
      </c>
      <c r="C200" s="14">
        <v>3</v>
      </c>
      <c r="D200" s="14">
        <v>0</v>
      </c>
      <c r="E200" s="14">
        <v>8</v>
      </c>
      <c r="F200" s="14">
        <v>0</v>
      </c>
      <c r="G200" s="14">
        <v>8700113</v>
      </c>
      <c r="H200" s="14" t="s">
        <v>5410</v>
      </c>
      <c r="I200" s="14">
        <v>0</v>
      </c>
      <c r="J200" s="14">
        <v>0</v>
      </c>
    </row>
    <row r="201" spans="1:10" ht="15.75">
      <c r="A201" s="16">
        <v>870012</v>
      </c>
      <c r="C201" s="14">
        <v>3</v>
      </c>
      <c r="D201" s="14">
        <v>0</v>
      </c>
      <c r="E201" s="14">
        <v>8</v>
      </c>
      <c r="F201" s="14">
        <v>0</v>
      </c>
      <c r="G201">
        <v>8700123</v>
      </c>
      <c r="H201" s="14" t="s">
        <v>5411</v>
      </c>
      <c r="I201" s="14">
        <v>0</v>
      </c>
      <c r="J201" s="14">
        <v>0</v>
      </c>
    </row>
    <row r="202" spans="1:10" ht="15.75">
      <c r="A202" s="16">
        <v>870013</v>
      </c>
      <c r="C202" s="14">
        <v>3</v>
      </c>
      <c r="D202" s="14">
        <v>1</v>
      </c>
      <c r="E202" s="14">
        <v>8</v>
      </c>
      <c r="F202" s="14">
        <v>0</v>
      </c>
      <c r="G202">
        <v>8700133</v>
      </c>
      <c r="H202" s="14" t="s">
        <v>5412</v>
      </c>
      <c r="I202" s="14">
        <v>0</v>
      </c>
      <c r="J202" s="14">
        <v>0</v>
      </c>
    </row>
    <row r="203" spans="1:10" ht="15.75">
      <c r="A203" s="16">
        <v>870014</v>
      </c>
      <c r="C203" s="14">
        <v>3</v>
      </c>
      <c r="D203" s="14">
        <v>1</v>
      </c>
      <c r="E203" s="14">
        <v>8</v>
      </c>
      <c r="F203" s="14">
        <v>0</v>
      </c>
      <c r="G203">
        <v>8700133</v>
      </c>
      <c r="H203" s="14" t="s">
        <v>5412</v>
      </c>
      <c r="I203" s="14">
        <v>0</v>
      </c>
      <c r="J203" s="14">
        <v>0</v>
      </c>
    </row>
    <row r="204" spans="1:10" ht="15.75">
      <c r="A204" s="16">
        <v>870015</v>
      </c>
      <c r="C204" s="14">
        <v>3</v>
      </c>
      <c r="D204" s="14">
        <v>1</v>
      </c>
      <c r="E204" s="14">
        <v>8</v>
      </c>
      <c r="F204" s="14">
        <v>0</v>
      </c>
      <c r="G204">
        <v>8700133</v>
      </c>
      <c r="H204" s="14" t="s">
        <v>5412</v>
      </c>
      <c r="I204" s="14">
        <v>0</v>
      </c>
      <c r="J204" s="14">
        <v>0</v>
      </c>
    </row>
    <row r="205" spans="1:10" ht="15.75">
      <c r="A205" s="16">
        <v>870016</v>
      </c>
      <c r="C205" s="14">
        <v>3</v>
      </c>
      <c r="D205" s="14">
        <v>1</v>
      </c>
      <c r="E205" s="14">
        <v>8</v>
      </c>
      <c r="F205" s="14">
        <v>0</v>
      </c>
      <c r="G205">
        <v>8700133</v>
      </c>
      <c r="H205" s="14" t="s">
        <v>5412</v>
      </c>
      <c r="I205" s="14">
        <v>0</v>
      </c>
      <c r="J205" s="14">
        <v>0</v>
      </c>
    </row>
    <row r="206" spans="1:10" ht="15.75">
      <c r="A206" s="16">
        <v>870017</v>
      </c>
      <c r="C206" s="14">
        <v>3</v>
      </c>
      <c r="D206" s="14">
        <v>1</v>
      </c>
      <c r="E206" s="14">
        <v>8</v>
      </c>
      <c r="F206" s="14">
        <v>0</v>
      </c>
      <c r="G206">
        <v>8700133</v>
      </c>
      <c r="H206" s="14" t="s">
        <v>5412</v>
      </c>
      <c r="I206" s="14">
        <v>0</v>
      </c>
      <c r="J206" s="14">
        <v>0</v>
      </c>
    </row>
    <row r="207" spans="1:10" ht="15.75">
      <c r="A207" s="16">
        <v>870018</v>
      </c>
      <c r="C207" s="14">
        <v>3</v>
      </c>
      <c r="D207" s="14">
        <v>1</v>
      </c>
      <c r="E207" s="14">
        <v>8</v>
      </c>
      <c r="F207" s="14">
        <v>0</v>
      </c>
      <c r="G207">
        <v>8700133</v>
      </c>
      <c r="H207" s="14" t="s">
        <v>5412</v>
      </c>
      <c r="I207" s="14">
        <v>0</v>
      </c>
      <c r="J207" s="14">
        <v>0</v>
      </c>
    </row>
    <row r="208" spans="1:10" ht="15.75">
      <c r="A208" s="16">
        <v>870019</v>
      </c>
      <c r="C208" s="14">
        <v>3</v>
      </c>
      <c r="D208" s="14">
        <v>1</v>
      </c>
      <c r="E208" s="14">
        <v>8</v>
      </c>
      <c r="F208" s="14">
        <v>0</v>
      </c>
      <c r="G208">
        <v>8700193</v>
      </c>
      <c r="H208" s="14" t="s">
        <v>5344</v>
      </c>
      <c r="I208" s="14">
        <v>0</v>
      </c>
      <c r="J208" s="14">
        <v>0</v>
      </c>
    </row>
    <row r="209" spans="1:13" ht="15.75">
      <c r="A209" s="16">
        <v>870020</v>
      </c>
      <c r="C209" s="14">
        <v>3</v>
      </c>
      <c r="D209" s="14">
        <v>1</v>
      </c>
      <c r="E209" s="14">
        <v>8</v>
      </c>
      <c r="F209" s="14">
        <v>0</v>
      </c>
      <c r="G209">
        <v>8700203</v>
      </c>
      <c r="H209" t="s">
        <v>5343</v>
      </c>
      <c r="I209" s="14">
        <v>0</v>
      </c>
      <c r="J209" s="14">
        <v>0</v>
      </c>
    </row>
    <row r="210" spans="1:13" ht="15.75">
      <c r="A210" s="16">
        <v>870021</v>
      </c>
      <c r="C210" s="14">
        <v>3</v>
      </c>
      <c r="D210" s="14">
        <v>1</v>
      </c>
      <c r="E210" s="14">
        <v>8</v>
      </c>
      <c r="F210" s="14">
        <v>0</v>
      </c>
      <c r="G210">
        <v>8700213</v>
      </c>
      <c r="H210" t="s">
        <v>5413</v>
      </c>
      <c r="I210" s="14">
        <v>0</v>
      </c>
      <c r="J210" s="14">
        <v>0</v>
      </c>
      <c r="L210" s="1"/>
      <c r="M210" s="1"/>
    </row>
    <row r="211" spans="1:13" ht="15.75">
      <c r="A211" s="16">
        <v>870022</v>
      </c>
      <c r="C211" s="14">
        <v>3</v>
      </c>
      <c r="D211" s="14">
        <v>1</v>
      </c>
      <c r="E211" s="14">
        <v>8</v>
      </c>
      <c r="F211" s="14">
        <v>0</v>
      </c>
      <c r="G211">
        <v>8700213</v>
      </c>
      <c r="H211" t="s">
        <v>5413</v>
      </c>
      <c r="I211" s="14">
        <v>0</v>
      </c>
      <c r="J211" s="14">
        <v>0</v>
      </c>
      <c r="L211" s="1"/>
      <c r="M211" s="1"/>
    </row>
    <row r="212" spans="1:13" ht="15.75">
      <c r="A212" s="16">
        <v>870023</v>
      </c>
      <c r="C212" s="14">
        <v>3</v>
      </c>
      <c r="D212" s="14">
        <v>1</v>
      </c>
      <c r="E212" s="14">
        <v>8</v>
      </c>
      <c r="F212" s="14">
        <v>0</v>
      </c>
      <c r="G212" s="14">
        <v>8700233</v>
      </c>
      <c r="H212" t="s">
        <v>5414</v>
      </c>
      <c r="I212" s="14">
        <v>0</v>
      </c>
      <c r="J212" s="14">
        <v>0</v>
      </c>
      <c r="L212" s="1"/>
      <c r="M212" s="1"/>
    </row>
    <row r="213" spans="1:13" ht="15.75">
      <c r="A213" s="16">
        <v>870024</v>
      </c>
      <c r="C213" s="14">
        <v>3</v>
      </c>
      <c r="D213" s="14">
        <v>0</v>
      </c>
      <c r="E213" s="14">
        <v>8</v>
      </c>
      <c r="F213" s="14">
        <v>0</v>
      </c>
      <c r="G213" s="14">
        <v>8700243</v>
      </c>
      <c r="H213" t="s">
        <v>5345</v>
      </c>
      <c r="I213" s="14">
        <v>0</v>
      </c>
      <c r="J213" s="14">
        <v>0</v>
      </c>
      <c r="L213" s="1"/>
      <c r="M213" s="1"/>
    </row>
    <row r="214" spans="1:13" ht="15.75">
      <c r="A214" s="41">
        <v>870025</v>
      </c>
      <c r="C214" s="14">
        <v>3</v>
      </c>
      <c r="D214" s="14">
        <v>0</v>
      </c>
      <c r="E214" s="14">
        <v>8</v>
      </c>
      <c r="F214" s="14">
        <v>0</v>
      </c>
      <c r="G214" s="14">
        <v>8700253</v>
      </c>
      <c r="H214" t="s">
        <v>5415</v>
      </c>
      <c r="I214" s="14">
        <v>0</v>
      </c>
      <c r="J214" s="14">
        <v>0</v>
      </c>
      <c r="L214" s="1"/>
      <c r="M214" s="1"/>
    </row>
    <row r="215" spans="1:13" ht="15.75">
      <c r="A215" s="41">
        <v>870026</v>
      </c>
      <c r="C215" s="14">
        <v>3</v>
      </c>
      <c r="D215" s="14">
        <v>0</v>
      </c>
      <c r="E215" s="14">
        <v>8</v>
      </c>
      <c r="F215" s="14">
        <v>0</v>
      </c>
      <c r="G215" s="14">
        <v>8700263</v>
      </c>
      <c r="H215" t="s">
        <v>5416</v>
      </c>
      <c r="I215" s="14">
        <v>0</v>
      </c>
      <c r="J215" s="14">
        <v>0</v>
      </c>
      <c r="L215" s="1"/>
      <c r="M215" s="1"/>
    </row>
    <row r="216" spans="1:13" ht="15.75">
      <c r="A216" s="41">
        <v>870027</v>
      </c>
      <c r="C216" s="14">
        <v>3</v>
      </c>
      <c r="D216" s="14">
        <v>0</v>
      </c>
      <c r="E216" s="14">
        <v>8</v>
      </c>
      <c r="F216" s="14">
        <v>0</v>
      </c>
      <c r="G216" s="14">
        <v>8700273</v>
      </c>
      <c r="H216" t="s">
        <v>5417</v>
      </c>
      <c r="I216" s="14">
        <v>0</v>
      </c>
      <c r="J216" s="14">
        <v>0</v>
      </c>
      <c r="L216" s="1"/>
      <c r="M216" s="1"/>
    </row>
    <row r="217" spans="1:13" ht="15.75">
      <c r="A217" s="16">
        <v>870028</v>
      </c>
      <c r="C217" s="14">
        <v>3</v>
      </c>
      <c r="D217" s="14">
        <v>0</v>
      </c>
      <c r="E217" s="14">
        <v>8</v>
      </c>
      <c r="F217" s="14">
        <v>0</v>
      </c>
      <c r="G217" s="14">
        <v>8700283</v>
      </c>
      <c r="H217" t="s">
        <v>4142</v>
      </c>
      <c r="I217" s="14">
        <v>0</v>
      </c>
      <c r="J217" s="14">
        <v>0</v>
      </c>
      <c r="L217" s="1"/>
      <c r="M217" s="1"/>
    </row>
    <row r="218" spans="1:13" ht="15.75">
      <c r="A218" s="16">
        <v>870029</v>
      </c>
      <c r="C218" s="14">
        <v>3</v>
      </c>
      <c r="D218" s="14">
        <v>0</v>
      </c>
      <c r="E218" s="14">
        <v>8</v>
      </c>
      <c r="F218" s="14">
        <v>0</v>
      </c>
      <c r="G218" s="14">
        <v>8700293</v>
      </c>
      <c r="H218" t="s">
        <v>5418</v>
      </c>
      <c r="I218" s="14">
        <v>0</v>
      </c>
      <c r="J218" s="14">
        <v>0</v>
      </c>
      <c r="L218" s="1"/>
      <c r="M218" s="1"/>
    </row>
    <row r="219" spans="1:13" s="13" customFormat="1" ht="15.75">
      <c r="A219" s="42">
        <v>870031</v>
      </c>
      <c r="C219" s="13">
        <v>3</v>
      </c>
      <c r="D219" s="13">
        <v>0</v>
      </c>
      <c r="E219" s="13">
        <v>8</v>
      </c>
      <c r="F219" s="13">
        <v>0</v>
      </c>
      <c r="G219" s="13">
        <v>8700313</v>
      </c>
      <c r="H219" s="43" t="s">
        <v>5348</v>
      </c>
      <c r="I219" s="13">
        <v>0</v>
      </c>
      <c r="J219" s="13">
        <v>0</v>
      </c>
      <c r="L219" s="28"/>
      <c r="M219" s="28"/>
    </row>
    <row r="220" spans="1:13" s="12" customFormat="1" ht="15.75">
      <c r="A220" s="35">
        <v>870032</v>
      </c>
      <c r="C220" s="12">
        <v>3</v>
      </c>
      <c r="D220" s="12">
        <v>1</v>
      </c>
      <c r="E220" s="12">
        <v>8</v>
      </c>
      <c r="F220" s="12">
        <v>0</v>
      </c>
      <c r="G220" s="12">
        <v>8700323</v>
      </c>
      <c r="H220" s="12" t="s">
        <v>5412</v>
      </c>
      <c r="I220" s="12">
        <v>0</v>
      </c>
      <c r="J220" s="12">
        <v>0</v>
      </c>
      <c r="L220" s="45"/>
      <c r="M220" s="45"/>
    </row>
    <row r="221" spans="1:13" s="12" customFormat="1" ht="15.75">
      <c r="A221" s="35">
        <v>870033</v>
      </c>
      <c r="C221" s="12">
        <v>3</v>
      </c>
      <c r="D221" s="12">
        <v>1</v>
      </c>
      <c r="E221" s="12">
        <v>8</v>
      </c>
      <c r="F221" s="12">
        <v>0</v>
      </c>
      <c r="G221" s="12">
        <v>8700333</v>
      </c>
      <c r="H221" s="12" t="s">
        <v>5412</v>
      </c>
      <c r="I221" s="12">
        <v>0</v>
      </c>
      <c r="J221" s="12">
        <v>0</v>
      </c>
      <c r="L221" s="45"/>
      <c r="M221" s="45"/>
    </row>
    <row r="222" spans="1:13" s="12" customFormat="1" ht="15.75">
      <c r="A222" s="35">
        <v>870034</v>
      </c>
      <c r="C222" s="12">
        <v>3</v>
      </c>
      <c r="D222" s="12">
        <v>1</v>
      </c>
      <c r="E222" s="12">
        <v>8</v>
      </c>
      <c r="F222" s="12">
        <v>0</v>
      </c>
      <c r="G222" s="12">
        <v>8700343</v>
      </c>
      <c r="H222" s="12" t="s">
        <v>5412</v>
      </c>
      <c r="I222" s="12">
        <v>0</v>
      </c>
      <c r="J222" s="12">
        <v>0</v>
      </c>
      <c r="L222" s="45"/>
      <c r="M222" s="45"/>
    </row>
    <row r="223" spans="1:13" s="12" customFormat="1" ht="15.75">
      <c r="A223" s="35">
        <v>870038</v>
      </c>
      <c r="C223" s="12">
        <v>3</v>
      </c>
      <c r="D223" s="12">
        <v>1</v>
      </c>
      <c r="E223" s="12">
        <v>8</v>
      </c>
      <c r="F223" s="12">
        <v>0</v>
      </c>
      <c r="G223" s="12">
        <v>8700383</v>
      </c>
      <c r="H223" s="12" t="s">
        <v>5412</v>
      </c>
      <c r="I223" s="12">
        <v>0</v>
      </c>
      <c r="J223" s="12">
        <v>0</v>
      </c>
      <c r="L223" s="45"/>
      <c r="M223" s="45"/>
    </row>
    <row r="224" spans="1:13" s="13" customFormat="1" ht="15.75">
      <c r="A224" s="42">
        <v>870039</v>
      </c>
      <c r="C224" s="13">
        <v>3</v>
      </c>
      <c r="D224" s="13">
        <v>0</v>
      </c>
      <c r="E224" s="13">
        <v>8</v>
      </c>
      <c r="F224" s="13">
        <v>0</v>
      </c>
      <c r="G224" s="13">
        <v>8700393</v>
      </c>
      <c r="H224" s="43" t="s">
        <v>5349</v>
      </c>
      <c r="I224" s="13">
        <v>0</v>
      </c>
      <c r="J224" s="13">
        <v>0</v>
      </c>
      <c r="L224" s="28"/>
      <c r="M224" s="28"/>
    </row>
    <row r="225" spans="1:13" s="12" customFormat="1" ht="15.75">
      <c r="A225" s="42">
        <v>870040</v>
      </c>
      <c r="C225" s="12">
        <v>3</v>
      </c>
      <c r="D225" s="12">
        <v>1</v>
      </c>
      <c r="E225" s="12">
        <v>8</v>
      </c>
      <c r="F225" s="12">
        <v>0</v>
      </c>
      <c r="G225" s="12">
        <v>8700403</v>
      </c>
      <c r="H225" s="12" t="s">
        <v>5412</v>
      </c>
      <c r="I225" s="12">
        <v>0</v>
      </c>
      <c r="J225" s="12">
        <v>0</v>
      </c>
      <c r="L225" s="45"/>
      <c r="M225" s="45"/>
    </row>
    <row r="226" spans="1:13" s="13" customFormat="1" ht="15.75">
      <c r="A226" s="42">
        <v>870041</v>
      </c>
      <c r="C226" s="13">
        <v>3</v>
      </c>
      <c r="D226" s="13">
        <v>1</v>
      </c>
      <c r="E226" s="13">
        <v>8</v>
      </c>
      <c r="F226" s="13">
        <v>0</v>
      </c>
      <c r="G226" s="13">
        <v>8700413</v>
      </c>
      <c r="H226" s="12" t="s">
        <v>5412</v>
      </c>
      <c r="I226" s="13">
        <v>0</v>
      </c>
      <c r="J226" s="13">
        <v>0</v>
      </c>
      <c r="L226" s="28"/>
      <c r="M226" s="28"/>
    </row>
    <row r="227" spans="1:13" s="12" customFormat="1" ht="15.75">
      <c r="A227" s="42">
        <v>870042</v>
      </c>
      <c r="C227" s="12">
        <v>3</v>
      </c>
      <c r="D227" s="12">
        <v>1</v>
      </c>
      <c r="E227" s="12">
        <v>8</v>
      </c>
      <c r="F227" s="12">
        <v>0</v>
      </c>
      <c r="G227" s="12">
        <v>8700423</v>
      </c>
      <c r="H227" s="12" t="s">
        <v>5412</v>
      </c>
      <c r="I227" s="12">
        <v>0</v>
      </c>
      <c r="J227" s="12">
        <v>0</v>
      </c>
      <c r="L227" s="45"/>
      <c r="M227" s="45"/>
    </row>
    <row r="228" spans="1:13" s="12" customFormat="1" ht="15.75">
      <c r="A228" s="42">
        <v>870043</v>
      </c>
      <c r="C228" s="12">
        <v>3</v>
      </c>
      <c r="D228" s="12">
        <v>0</v>
      </c>
      <c r="E228" s="12">
        <v>8</v>
      </c>
      <c r="F228" s="12">
        <v>0</v>
      </c>
      <c r="G228" s="14">
        <v>8700293</v>
      </c>
      <c r="H228" t="s">
        <v>5418</v>
      </c>
      <c r="I228" s="12">
        <v>0</v>
      </c>
      <c r="J228" s="12">
        <v>0</v>
      </c>
      <c r="L228" s="45"/>
      <c r="M228" s="45"/>
    </row>
    <row r="229" spans="1:13">
      <c r="A229" s="14">
        <v>880001</v>
      </c>
      <c r="C229" s="14">
        <v>6</v>
      </c>
      <c r="D229" s="14">
        <v>1</v>
      </c>
      <c r="E229" s="14">
        <v>0</v>
      </c>
      <c r="F229" s="44" t="s">
        <v>86</v>
      </c>
      <c r="G229" s="14">
        <v>8800013</v>
      </c>
      <c r="H229" s="14" t="s">
        <v>5419</v>
      </c>
      <c r="I229" s="14">
        <v>0</v>
      </c>
      <c r="J229" s="14">
        <v>21000</v>
      </c>
    </row>
    <row r="230" spans="1:13">
      <c r="A230" s="14">
        <v>880002</v>
      </c>
      <c r="C230" s="14">
        <v>6</v>
      </c>
      <c r="D230" s="14">
        <v>1</v>
      </c>
      <c r="E230" s="14">
        <v>9</v>
      </c>
      <c r="F230" s="21" t="s">
        <v>5420</v>
      </c>
      <c r="G230" s="14">
        <v>8800023</v>
      </c>
      <c r="H230" s="14" t="s">
        <v>5421</v>
      </c>
      <c r="I230" s="14">
        <v>0</v>
      </c>
      <c r="J230" s="14">
        <v>21000</v>
      </c>
    </row>
    <row r="231" spans="1:13">
      <c r="A231" s="14">
        <v>880003</v>
      </c>
      <c r="C231" s="14">
        <v>6</v>
      </c>
      <c r="D231" s="14">
        <v>1</v>
      </c>
      <c r="E231" s="14">
        <v>9</v>
      </c>
      <c r="F231" s="21" t="s">
        <v>5420</v>
      </c>
      <c r="G231" s="14">
        <v>8800033</v>
      </c>
      <c r="H231" s="14" t="s">
        <v>5422</v>
      </c>
      <c r="I231" s="14">
        <v>0</v>
      </c>
      <c r="J231" s="14">
        <v>21000</v>
      </c>
    </row>
    <row r="232" spans="1:13">
      <c r="A232" s="14">
        <v>880008</v>
      </c>
      <c r="C232" s="14">
        <v>6</v>
      </c>
      <c r="D232" s="14">
        <v>1</v>
      </c>
      <c r="E232" s="14">
        <v>9</v>
      </c>
      <c r="F232" s="21" t="s">
        <v>5423</v>
      </c>
      <c r="G232" s="14">
        <v>8800083</v>
      </c>
      <c r="H232" s="14" t="s">
        <v>5424</v>
      </c>
      <c r="I232" s="14">
        <v>0</v>
      </c>
      <c r="J232" s="14">
        <v>21000</v>
      </c>
    </row>
    <row r="233" spans="1:13" ht="15.75">
      <c r="A233" s="14">
        <v>880009</v>
      </c>
      <c r="C233" s="14">
        <v>6</v>
      </c>
      <c r="D233" s="14">
        <v>1</v>
      </c>
      <c r="E233" s="14">
        <v>9</v>
      </c>
      <c r="F233" s="21" t="s">
        <v>5423</v>
      </c>
      <c r="G233" s="14">
        <v>8800093</v>
      </c>
      <c r="H233" s="14" t="s">
        <v>5425</v>
      </c>
      <c r="I233" s="14">
        <v>0</v>
      </c>
      <c r="J233" s="14">
        <v>21000</v>
      </c>
      <c r="L233" s="1"/>
    </row>
    <row r="234" spans="1:13">
      <c r="A234" s="14">
        <v>880010</v>
      </c>
      <c r="C234" s="14">
        <v>6</v>
      </c>
      <c r="D234" s="14">
        <v>1</v>
      </c>
      <c r="E234" s="14">
        <v>9</v>
      </c>
      <c r="F234" s="21" t="s">
        <v>5423</v>
      </c>
      <c r="G234" s="14">
        <v>8800103</v>
      </c>
      <c r="H234" s="14" t="s">
        <v>5426</v>
      </c>
      <c r="I234" s="14">
        <v>0</v>
      </c>
      <c r="J234" s="14">
        <v>21000</v>
      </c>
    </row>
    <row r="235" spans="1:13" ht="15.75">
      <c r="A235" s="14">
        <v>880011</v>
      </c>
      <c r="C235" s="14">
        <v>6</v>
      </c>
      <c r="D235" s="14">
        <v>1</v>
      </c>
      <c r="E235" s="14">
        <v>9</v>
      </c>
      <c r="F235" s="21" t="s">
        <v>5423</v>
      </c>
      <c r="G235" s="14">
        <v>8800113</v>
      </c>
      <c r="H235" t="s">
        <v>5427</v>
      </c>
      <c r="I235" s="14">
        <v>0</v>
      </c>
      <c r="J235" s="14">
        <v>21000</v>
      </c>
    </row>
    <row r="236" spans="1:13" ht="15.75">
      <c r="A236" s="41">
        <v>880012</v>
      </c>
      <c r="C236" s="14">
        <v>6</v>
      </c>
      <c r="D236" s="14">
        <v>1</v>
      </c>
      <c r="E236" s="14">
        <v>9</v>
      </c>
      <c r="F236" s="21" t="s">
        <v>5423</v>
      </c>
      <c r="G236" s="1">
        <v>8800123</v>
      </c>
      <c r="H236" s="1" t="s">
        <v>5428</v>
      </c>
      <c r="I236" s="14">
        <v>0</v>
      </c>
      <c r="J236" s="14">
        <v>21000</v>
      </c>
    </row>
  </sheetData>
  <phoneticPr fontId="38" type="noConversion"/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C22"/>
  <sheetViews>
    <sheetView workbookViewId="0">
      <selection activeCell="M18" sqref="M18"/>
    </sheetView>
  </sheetViews>
  <sheetFormatPr defaultColWidth="9" defaultRowHeight="15.75"/>
  <cols>
    <col min="1" max="1" width="23.5" customWidth="1"/>
    <col min="2" max="2" width="17.5" customWidth="1"/>
    <col min="3" max="3" width="18.5" customWidth="1"/>
    <col min="4" max="4" width="16.75" customWidth="1"/>
    <col min="5" max="5" width="11.875" customWidth="1"/>
  </cols>
  <sheetData>
    <row r="1" spans="1:3">
      <c r="A1" s="2" t="s">
        <v>0</v>
      </c>
      <c r="B1" s="1" t="s">
        <v>5429</v>
      </c>
      <c r="C1" s="1" t="s">
        <v>2</v>
      </c>
    </row>
    <row r="2" spans="1:3">
      <c r="A2" s="2" t="s">
        <v>3</v>
      </c>
      <c r="B2" s="1" t="s">
        <v>5430</v>
      </c>
      <c r="C2" s="1" t="s">
        <v>5</v>
      </c>
    </row>
    <row r="3" spans="1:3">
      <c r="A3" s="2" t="s">
        <v>6</v>
      </c>
      <c r="B3" s="3" t="s">
        <v>7</v>
      </c>
      <c r="C3" s="1" t="s">
        <v>8</v>
      </c>
    </row>
    <row r="4" spans="1:3">
      <c r="A4" s="2" t="s">
        <v>9</v>
      </c>
      <c r="B4" s="4" t="s">
        <v>10</v>
      </c>
      <c r="C4" s="1"/>
    </row>
    <row r="5" spans="1:3">
      <c r="A5" s="2" t="s">
        <v>11</v>
      </c>
      <c r="B5" s="1"/>
      <c r="C5" s="1" t="s">
        <v>12</v>
      </c>
    </row>
    <row r="6" spans="1:3">
      <c r="A6" s="2" t="s">
        <v>13</v>
      </c>
      <c r="B6" s="1">
        <v>4</v>
      </c>
      <c r="C6" s="1" t="s">
        <v>14</v>
      </c>
    </row>
    <row r="7" spans="1:3">
      <c r="A7" s="2" t="s">
        <v>15</v>
      </c>
      <c r="B7" s="1"/>
      <c r="C7" s="1"/>
    </row>
    <row r="8" spans="1:3">
      <c r="A8" s="2" t="s">
        <v>16</v>
      </c>
      <c r="B8" s="1"/>
      <c r="C8" s="1"/>
    </row>
    <row r="11" spans="1:3">
      <c r="A11" t="s">
        <v>5431</v>
      </c>
      <c r="B11" t="s">
        <v>19</v>
      </c>
      <c r="C11" t="s">
        <v>5432</v>
      </c>
    </row>
    <row r="12" spans="1:3">
      <c r="A12" s="4" t="s">
        <v>37</v>
      </c>
      <c r="B12" s="7" t="s">
        <v>39</v>
      </c>
      <c r="C12" s="4" t="s">
        <v>5234</v>
      </c>
    </row>
    <row r="13" spans="1:3">
      <c r="A13" s="4" t="s">
        <v>56</v>
      </c>
      <c r="B13" s="7" t="s">
        <v>57</v>
      </c>
      <c r="C13" s="4" t="s">
        <v>56</v>
      </c>
    </row>
    <row r="14" spans="1:3">
      <c r="A14" s="4" t="s">
        <v>58</v>
      </c>
      <c r="B14" s="7" t="s">
        <v>60</v>
      </c>
      <c r="C14" s="4" t="s">
        <v>59</v>
      </c>
    </row>
    <row r="15" spans="1:3">
      <c r="A15" s="4">
        <v>0</v>
      </c>
      <c r="B15" s="7">
        <v>0</v>
      </c>
      <c r="C15" s="4">
        <v>0</v>
      </c>
    </row>
    <row r="16" spans="1:3">
      <c r="A16" s="8">
        <v>600001</v>
      </c>
      <c r="B16" s="7" t="s">
        <v>3621</v>
      </c>
      <c r="C16">
        <v>5</v>
      </c>
    </row>
    <row r="17" spans="1:3">
      <c r="A17">
        <v>13</v>
      </c>
      <c r="B17" s="7" t="s">
        <v>87</v>
      </c>
      <c r="C17">
        <v>1</v>
      </c>
    </row>
    <row r="18" spans="1:3">
      <c r="A18" s="8">
        <v>600003</v>
      </c>
      <c r="B18" s="7" t="s">
        <v>3626</v>
      </c>
      <c r="C18">
        <v>1</v>
      </c>
    </row>
    <row r="19" spans="1:3">
      <c r="A19" s="8">
        <v>600004</v>
      </c>
      <c r="B19" s="7" t="s">
        <v>3628</v>
      </c>
      <c r="C19">
        <v>2</v>
      </c>
    </row>
    <row r="20" spans="1:3">
      <c r="A20" s="8">
        <v>600005</v>
      </c>
      <c r="B20" s="7" t="s">
        <v>3630</v>
      </c>
      <c r="C20">
        <v>10</v>
      </c>
    </row>
    <row r="21" spans="1:3">
      <c r="A21" s="8">
        <v>600006</v>
      </c>
      <c r="B21" s="7" t="s">
        <v>3632</v>
      </c>
      <c r="C21">
        <v>20</v>
      </c>
    </row>
    <row r="22" spans="1:3">
      <c r="A22" s="8">
        <v>600007</v>
      </c>
      <c r="B22" s="7" t="s">
        <v>3634</v>
      </c>
      <c r="C22">
        <v>40</v>
      </c>
    </row>
  </sheetData>
  <phoneticPr fontId="38" type="noConversion"/>
  <conditionalFormatting sqref="C11:C12">
    <cfRule type="cellIs" dxfId="0" priority="2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C29" sqref="C29"/>
    </sheetView>
  </sheetViews>
  <sheetFormatPr defaultColWidth="11" defaultRowHeight="15.75"/>
  <cols>
    <col min="1" max="1" width="31.125" style="1" customWidth="1"/>
    <col min="2" max="2" width="18.625" style="1" customWidth="1"/>
    <col min="3" max="3" width="11.875" style="1" customWidth="1"/>
    <col min="4" max="6" width="11" style="5"/>
    <col min="7" max="16384" width="11" style="1"/>
  </cols>
  <sheetData>
    <row r="1" spans="1:6">
      <c r="A1" s="2" t="s">
        <v>0</v>
      </c>
      <c r="B1" s="1" t="s">
        <v>5433</v>
      </c>
      <c r="C1" s="1" t="s">
        <v>2</v>
      </c>
    </row>
    <row r="2" spans="1:6">
      <c r="A2" s="2" t="s">
        <v>3</v>
      </c>
      <c r="B2" s="1" t="s">
        <v>5434</v>
      </c>
      <c r="C2" s="1" t="s">
        <v>5</v>
      </c>
    </row>
    <row r="3" spans="1:6">
      <c r="A3" s="2" t="s">
        <v>6</v>
      </c>
      <c r="B3" s="3" t="s">
        <v>7</v>
      </c>
      <c r="C3" s="1" t="s">
        <v>8</v>
      </c>
    </row>
    <row r="4" spans="1:6">
      <c r="A4" s="2" t="s">
        <v>9</v>
      </c>
      <c r="B4" s="4" t="s">
        <v>10</v>
      </c>
    </row>
    <row r="5" spans="1:6">
      <c r="A5" s="2" t="s">
        <v>11</v>
      </c>
      <c r="C5" s="1" t="s">
        <v>12</v>
      </c>
    </row>
    <row r="6" spans="1:6">
      <c r="A6" s="2" t="s">
        <v>13</v>
      </c>
      <c r="B6" s="1">
        <v>4</v>
      </c>
      <c r="C6" s="1" t="s">
        <v>14</v>
      </c>
    </row>
    <row r="7" spans="1:6">
      <c r="A7" s="2" t="s">
        <v>15</v>
      </c>
    </row>
    <row r="8" spans="1:6">
      <c r="A8" s="2" t="s">
        <v>16</v>
      </c>
    </row>
    <row r="11" spans="1:6">
      <c r="A11" s="1" t="s">
        <v>5435</v>
      </c>
      <c r="B11" s="1" t="s">
        <v>5267</v>
      </c>
      <c r="C11" s="1" t="s">
        <v>5436</v>
      </c>
      <c r="D11" s="5" t="s">
        <v>5437</v>
      </c>
      <c r="E11" s="5" t="s">
        <v>5438</v>
      </c>
      <c r="F11" s="5" t="s">
        <v>5439</v>
      </c>
    </row>
    <row r="12" spans="1:6">
      <c r="A12" s="4" t="s">
        <v>37</v>
      </c>
      <c r="B12" s="3"/>
      <c r="C12" s="4" t="s">
        <v>5440</v>
      </c>
      <c r="D12" s="6" t="s">
        <v>5441</v>
      </c>
      <c r="E12" s="6" t="s">
        <v>5442</v>
      </c>
      <c r="F12" s="6" t="s">
        <v>5443</v>
      </c>
    </row>
    <row r="13" spans="1:6">
      <c r="A13" s="4" t="s">
        <v>56</v>
      </c>
      <c r="B13" s="3"/>
      <c r="C13" s="4" t="s">
        <v>57</v>
      </c>
      <c r="D13" s="6" t="s">
        <v>57</v>
      </c>
      <c r="E13" s="6" t="s">
        <v>57</v>
      </c>
      <c r="F13" s="6" t="s">
        <v>57</v>
      </c>
    </row>
    <row r="14" spans="1:6">
      <c r="A14" s="4" t="s">
        <v>58</v>
      </c>
      <c r="B14" s="3"/>
      <c r="C14" s="4" t="s">
        <v>59</v>
      </c>
      <c r="D14" s="6" t="s">
        <v>59</v>
      </c>
      <c r="E14" s="6" t="s">
        <v>59</v>
      </c>
      <c r="F14" s="6" t="s">
        <v>59</v>
      </c>
    </row>
    <row r="15" spans="1:6">
      <c r="A15" s="4"/>
      <c r="B15" s="3"/>
      <c r="C15" s="4">
        <v>0</v>
      </c>
      <c r="D15" s="6">
        <v>0</v>
      </c>
      <c r="E15" s="6">
        <v>0</v>
      </c>
      <c r="F15" s="6">
        <v>0</v>
      </c>
    </row>
    <row r="16" spans="1:6">
      <c r="A16" s="1">
        <v>100334</v>
      </c>
      <c r="B16" s="5"/>
      <c r="C16" s="5" t="s">
        <v>5444</v>
      </c>
      <c r="D16" s="5" t="s">
        <v>5445</v>
      </c>
      <c r="E16" s="5" t="s">
        <v>5446</v>
      </c>
      <c r="F16" s="5" t="s">
        <v>5446</v>
      </c>
    </row>
    <row r="17" spans="1:6">
      <c r="A17" s="1">
        <v>100354</v>
      </c>
      <c r="B17" s="5"/>
      <c r="C17" s="5" t="s">
        <v>5447</v>
      </c>
      <c r="D17" s="5" t="s">
        <v>5448</v>
      </c>
      <c r="E17" s="5" t="s">
        <v>5449</v>
      </c>
      <c r="F17" s="5" t="s">
        <v>5449</v>
      </c>
    </row>
    <row r="18" spans="1:6">
      <c r="A18" s="1">
        <v>101314</v>
      </c>
      <c r="B18" s="5"/>
      <c r="C18" s="5" t="s">
        <v>5450</v>
      </c>
      <c r="D18" s="5" t="s">
        <v>5451</v>
      </c>
      <c r="E18" s="5" t="s">
        <v>5452</v>
      </c>
      <c r="F18" s="5" t="s">
        <v>5453</v>
      </c>
    </row>
    <row r="19" spans="1:6">
      <c r="A19" s="1">
        <v>101434</v>
      </c>
      <c r="B19" s="5"/>
      <c r="C19" s="5" t="s">
        <v>5454</v>
      </c>
      <c r="D19" s="5" t="s">
        <v>5448</v>
      </c>
      <c r="E19" s="5" t="s">
        <v>5449</v>
      </c>
      <c r="F19" s="5" t="s">
        <v>5449</v>
      </c>
    </row>
    <row r="20" spans="1:6">
      <c r="A20" s="1">
        <v>140334</v>
      </c>
      <c r="C20" s="5" t="s">
        <v>5444</v>
      </c>
      <c r="D20" s="5" t="s">
        <v>5445</v>
      </c>
      <c r="E20" s="5" t="s">
        <v>5446</v>
      </c>
      <c r="F20" s="5" t="s">
        <v>5446</v>
      </c>
    </row>
    <row r="21" spans="1:6">
      <c r="A21" s="1">
        <v>140354</v>
      </c>
      <c r="C21" s="5" t="s">
        <v>5447</v>
      </c>
      <c r="D21" s="5" t="s">
        <v>5448</v>
      </c>
      <c r="E21" s="5" t="s">
        <v>5449</v>
      </c>
      <c r="F21" s="5" t="s">
        <v>5449</v>
      </c>
    </row>
    <row r="22" spans="1:6">
      <c r="A22" s="1">
        <v>141314</v>
      </c>
      <c r="C22" s="5" t="s">
        <v>5450</v>
      </c>
      <c r="D22" s="5" t="s">
        <v>5451</v>
      </c>
      <c r="E22" s="5" t="s">
        <v>5452</v>
      </c>
      <c r="F22" s="5" t="s">
        <v>5453</v>
      </c>
    </row>
    <row r="23" spans="1:6">
      <c r="A23" s="1">
        <v>101444</v>
      </c>
      <c r="C23" s="1" t="s">
        <v>5545</v>
      </c>
      <c r="D23" s="5" t="s">
        <v>5546</v>
      </c>
      <c r="E23" s="5" t="s">
        <v>5547</v>
      </c>
      <c r="F23" s="5" t="s">
        <v>5548</v>
      </c>
    </row>
    <row r="24" spans="1:6">
      <c r="A24" s="1">
        <v>101484</v>
      </c>
      <c r="C24" s="1" t="s">
        <v>5655</v>
      </c>
      <c r="D24" s="5" t="s">
        <v>5656</v>
      </c>
      <c r="E24" s="5" t="s">
        <v>5657</v>
      </c>
      <c r="F24" s="5" t="s">
        <v>5658</v>
      </c>
    </row>
  </sheetData>
  <phoneticPr fontId="3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G30" sqref="G30"/>
    </sheetView>
  </sheetViews>
  <sheetFormatPr defaultColWidth="11" defaultRowHeight="15.75"/>
  <cols>
    <col min="1" max="1" width="24.875" style="1" customWidth="1"/>
    <col min="2" max="2" width="18.625" style="1" customWidth="1"/>
    <col min="3" max="3" width="21" style="1" customWidth="1"/>
    <col min="4" max="4" width="11.125" style="1" customWidth="1"/>
    <col min="5" max="16384" width="11" style="1"/>
  </cols>
  <sheetData>
    <row r="1" spans="1:8">
      <c r="A1" s="2" t="s">
        <v>0</v>
      </c>
      <c r="B1" s="1" t="s">
        <v>5440</v>
      </c>
      <c r="C1" s="1" t="s">
        <v>2</v>
      </c>
    </row>
    <row r="2" spans="1:8">
      <c r="A2" s="2" t="s">
        <v>3</v>
      </c>
      <c r="B2" s="1" t="s">
        <v>5455</v>
      </c>
      <c r="C2" s="1" t="s">
        <v>5</v>
      </c>
    </row>
    <row r="3" spans="1:8">
      <c r="A3" s="2" t="s">
        <v>6</v>
      </c>
      <c r="B3" s="3" t="s">
        <v>7</v>
      </c>
      <c r="C3" s="1" t="s">
        <v>8</v>
      </c>
    </row>
    <row r="4" spans="1:8">
      <c r="A4" s="2" t="s">
        <v>9</v>
      </c>
      <c r="B4" s="4" t="s">
        <v>10</v>
      </c>
    </row>
    <row r="5" spans="1:8">
      <c r="A5" s="2" t="s">
        <v>11</v>
      </c>
      <c r="C5" s="1" t="s">
        <v>12</v>
      </c>
    </row>
    <row r="6" spans="1:8">
      <c r="A6" s="2" t="s">
        <v>13</v>
      </c>
      <c r="B6" s="1">
        <v>4</v>
      </c>
      <c r="C6" s="1" t="s">
        <v>14</v>
      </c>
    </row>
    <row r="7" spans="1:8">
      <c r="A7" s="2" t="s">
        <v>15</v>
      </c>
    </row>
    <row r="8" spans="1:8">
      <c r="A8" s="2" t="s">
        <v>16</v>
      </c>
    </row>
    <row r="11" spans="1:8">
      <c r="A11" s="1" t="s">
        <v>5456</v>
      </c>
      <c r="B11" s="1" t="s">
        <v>5267</v>
      </c>
      <c r="C11" s="1" t="s">
        <v>5457</v>
      </c>
      <c r="D11" s="1" t="s">
        <v>5458</v>
      </c>
      <c r="E11" s="1" t="s">
        <v>5459</v>
      </c>
      <c r="F11" s="1" t="s">
        <v>5460</v>
      </c>
      <c r="G11" s="1" t="s">
        <v>5461</v>
      </c>
      <c r="H11" s="1" t="s">
        <v>5462</v>
      </c>
    </row>
    <row r="12" spans="1:8">
      <c r="A12" s="4" t="s">
        <v>37</v>
      </c>
      <c r="B12" s="3"/>
      <c r="C12" s="4" t="s">
        <v>38</v>
      </c>
      <c r="D12" s="4" t="s">
        <v>5441</v>
      </c>
      <c r="E12" s="4" t="s">
        <v>5442</v>
      </c>
      <c r="F12" s="4" t="s">
        <v>5443</v>
      </c>
      <c r="G12" s="4" t="s">
        <v>5463</v>
      </c>
      <c r="H12" s="4" t="s">
        <v>5464</v>
      </c>
    </row>
    <row r="13" spans="1:8">
      <c r="A13" s="4" t="s">
        <v>56</v>
      </c>
      <c r="B13" s="3"/>
      <c r="C13" s="4" t="s">
        <v>57</v>
      </c>
      <c r="D13" s="4" t="s">
        <v>57</v>
      </c>
      <c r="E13" s="4" t="s">
        <v>57</v>
      </c>
      <c r="F13" s="4" t="s">
        <v>57</v>
      </c>
      <c r="G13" s="4" t="s">
        <v>57</v>
      </c>
      <c r="H13" s="4" t="s">
        <v>56</v>
      </c>
    </row>
    <row r="14" spans="1:8">
      <c r="A14" s="4" t="s">
        <v>58</v>
      </c>
      <c r="B14" s="3"/>
      <c r="C14" s="4" t="s">
        <v>59</v>
      </c>
      <c r="D14" s="4" t="s">
        <v>59</v>
      </c>
      <c r="E14" s="4" t="s">
        <v>59</v>
      </c>
      <c r="F14" s="4" t="s">
        <v>59</v>
      </c>
      <c r="G14" s="4" t="s">
        <v>59</v>
      </c>
      <c r="H14" s="4" t="s">
        <v>59</v>
      </c>
    </row>
    <row r="15" spans="1:8">
      <c r="A15" s="4"/>
      <c r="B15" s="3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s="5">
        <v>1</v>
      </c>
      <c r="B16" s="5"/>
      <c r="C16" s="5" t="s">
        <v>5465</v>
      </c>
      <c r="D16" s="5" t="s">
        <v>5445</v>
      </c>
      <c r="E16" s="5" t="s">
        <v>5446</v>
      </c>
      <c r="F16" s="5" t="s">
        <v>5446</v>
      </c>
      <c r="G16" s="5" t="s">
        <v>5466</v>
      </c>
      <c r="H16" s="5"/>
    </row>
    <row r="17" spans="1:8">
      <c r="A17" s="5">
        <v>2</v>
      </c>
      <c r="B17" s="5"/>
      <c r="C17" s="5" t="s">
        <v>5467</v>
      </c>
      <c r="D17" s="5" t="s">
        <v>5468</v>
      </c>
      <c r="E17" s="5" t="s">
        <v>5469</v>
      </c>
      <c r="F17" s="5" t="s">
        <v>5468</v>
      </c>
      <c r="G17" s="5" t="s">
        <v>5470</v>
      </c>
      <c r="H17" s="5"/>
    </row>
    <row r="18" spans="1:8">
      <c r="A18" s="5">
        <v>3</v>
      </c>
      <c r="B18" s="5"/>
      <c r="C18" s="5" t="s">
        <v>5471</v>
      </c>
      <c r="D18" s="5" t="s">
        <v>5472</v>
      </c>
      <c r="E18" s="5" t="s">
        <v>5473</v>
      </c>
      <c r="F18" s="5" t="s">
        <v>5474</v>
      </c>
      <c r="G18" s="5" t="s">
        <v>5470</v>
      </c>
      <c r="H18" s="5"/>
    </row>
    <row r="19" spans="1:8">
      <c r="A19" s="5">
        <v>4</v>
      </c>
      <c r="B19" s="5"/>
      <c r="C19" s="5" t="s">
        <v>5475</v>
      </c>
      <c r="D19" s="5" t="s">
        <v>5451</v>
      </c>
      <c r="E19" s="5" t="s">
        <v>5476</v>
      </c>
      <c r="F19" s="5" t="s">
        <v>5449</v>
      </c>
      <c r="G19" s="5" t="s">
        <v>5466</v>
      </c>
      <c r="H19" s="5" t="s">
        <v>5477</v>
      </c>
    </row>
    <row r="20" spans="1:8">
      <c r="A20" s="5">
        <v>5</v>
      </c>
      <c r="B20" s="5"/>
      <c r="C20" s="5" t="s">
        <v>5475</v>
      </c>
      <c r="D20" s="5" t="s">
        <v>5451</v>
      </c>
      <c r="E20" s="5" t="s">
        <v>5476</v>
      </c>
      <c r="F20" s="5" t="s">
        <v>5449</v>
      </c>
      <c r="G20" s="5" t="s">
        <v>5466</v>
      </c>
      <c r="H20" s="5" t="s">
        <v>5478</v>
      </c>
    </row>
    <row r="21" spans="1:8">
      <c r="A21" s="5">
        <v>6</v>
      </c>
      <c r="B21" s="5"/>
      <c r="C21" s="5" t="s">
        <v>5479</v>
      </c>
      <c r="D21" s="5" t="s">
        <v>5480</v>
      </c>
      <c r="E21" s="5" t="s">
        <v>5473</v>
      </c>
      <c r="F21" s="5" t="s">
        <v>5449</v>
      </c>
      <c r="G21" s="5" t="s">
        <v>5470</v>
      </c>
      <c r="H21" s="5"/>
    </row>
    <row r="22" spans="1:8">
      <c r="A22" s="5">
        <v>7</v>
      </c>
      <c r="B22" s="5"/>
      <c r="C22" s="5" t="s">
        <v>5481</v>
      </c>
      <c r="D22" s="5" t="s">
        <v>5451</v>
      </c>
      <c r="E22" s="5" t="s">
        <v>5452</v>
      </c>
      <c r="F22" s="5" t="s">
        <v>5452</v>
      </c>
      <c r="G22" s="5" t="s">
        <v>5466</v>
      </c>
      <c r="H22" s="5"/>
    </row>
    <row r="23" spans="1:8">
      <c r="A23" s="5">
        <v>8</v>
      </c>
      <c r="B23" s="5"/>
      <c r="C23" s="5" t="s">
        <v>5482</v>
      </c>
      <c r="D23" s="5" t="s">
        <v>5483</v>
      </c>
      <c r="E23" s="5" t="s">
        <v>5484</v>
      </c>
      <c r="F23" s="5" t="s">
        <v>5484</v>
      </c>
      <c r="G23" s="5" t="s">
        <v>5466</v>
      </c>
      <c r="H23" s="5"/>
    </row>
    <row r="24" spans="1:8">
      <c r="A24" s="5">
        <v>9</v>
      </c>
      <c r="B24" s="5"/>
      <c r="C24" s="5" t="s">
        <v>5485</v>
      </c>
      <c r="D24" s="5" t="s">
        <v>5486</v>
      </c>
      <c r="E24" s="5" t="s">
        <v>5487</v>
      </c>
      <c r="F24" s="5" t="s">
        <v>5488</v>
      </c>
      <c r="G24" s="5" t="s">
        <v>5466</v>
      </c>
      <c r="H24" s="5"/>
    </row>
    <row r="25" spans="1:8">
      <c r="A25" s="5">
        <v>10</v>
      </c>
      <c r="B25" s="5"/>
      <c r="C25" s="5" t="s">
        <v>5489</v>
      </c>
      <c r="D25" s="5" t="s">
        <v>5490</v>
      </c>
      <c r="E25" s="5" t="s">
        <v>5491</v>
      </c>
      <c r="F25" s="5" t="s">
        <v>5449</v>
      </c>
      <c r="G25" s="5" t="s">
        <v>5466</v>
      </c>
      <c r="H25" s="5" t="s">
        <v>5492</v>
      </c>
    </row>
    <row r="26" spans="1:8">
      <c r="A26" s="5">
        <v>11</v>
      </c>
      <c r="B26" s="5"/>
      <c r="C26" s="5" t="s">
        <v>5493</v>
      </c>
      <c r="D26" s="5" t="s">
        <v>5494</v>
      </c>
      <c r="E26" s="5" t="s">
        <v>5495</v>
      </c>
      <c r="F26" s="5" t="s">
        <v>5449</v>
      </c>
      <c r="G26" s="5" t="s">
        <v>5466</v>
      </c>
      <c r="H26" s="5" t="s">
        <v>5492</v>
      </c>
    </row>
    <row r="27" spans="1:8">
      <c r="A27" s="5">
        <v>12</v>
      </c>
      <c r="B27" s="5"/>
      <c r="C27" s="5" t="s">
        <v>5496</v>
      </c>
      <c r="D27" s="5" t="s">
        <v>5474</v>
      </c>
      <c r="E27" s="5" t="s">
        <v>5497</v>
      </c>
      <c r="F27" s="5" t="s">
        <v>5449</v>
      </c>
      <c r="G27" s="5" t="s">
        <v>5466</v>
      </c>
      <c r="H27" s="5"/>
    </row>
    <row r="28" spans="1:8">
      <c r="A28" s="5">
        <v>13</v>
      </c>
      <c r="B28" s="5"/>
      <c r="C28" s="5" t="s">
        <v>5549</v>
      </c>
      <c r="D28" s="5" t="s">
        <v>5546</v>
      </c>
      <c r="E28" s="5" t="s">
        <v>5547</v>
      </c>
      <c r="F28" s="5" t="s">
        <v>5547</v>
      </c>
      <c r="G28" s="5" t="s">
        <v>5466</v>
      </c>
    </row>
    <row r="29" spans="1:8">
      <c r="A29" s="5">
        <v>14</v>
      </c>
      <c r="B29" s="5"/>
      <c r="C29" s="5" t="s">
        <v>5550</v>
      </c>
      <c r="D29" s="5" t="s">
        <v>5551</v>
      </c>
      <c r="E29" s="5" t="s">
        <v>5552</v>
      </c>
      <c r="F29" s="5" t="s">
        <v>5553</v>
      </c>
      <c r="G29" s="5" t="s">
        <v>5470</v>
      </c>
    </row>
    <row r="30" spans="1:8">
      <c r="A30" s="5" t="s">
        <v>5554</v>
      </c>
      <c r="B30" s="5"/>
      <c r="C30" s="5" t="s">
        <v>5555</v>
      </c>
      <c r="D30" s="5" t="s">
        <v>5556</v>
      </c>
      <c r="E30" s="5" t="s">
        <v>5557</v>
      </c>
      <c r="F30" s="5" t="s">
        <v>5558</v>
      </c>
      <c r="G30" s="5" t="s">
        <v>5466</v>
      </c>
    </row>
    <row r="31" spans="1:8">
      <c r="A31" s="5" t="s">
        <v>5659</v>
      </c>
      <c r="C31" s="5" t="s">
        <v>5660</v>
      </c>
      <c r="D31" s="5" t="s">
        <v>5656</v>
      </c>
      <c r="E31" s="5" t="s">
        <v>5657</v>
      </c>
      <c r="F31" s="5" t="s">
        <v>5657</v>
      </c>
      <c r="G31" s="5" t="s">
        <v>5466</v>
      </c>
    </row>
    <row r="32" spans="1:8">
      <c r="A32" s="5" t="s">
        <v>5661</v>
      </c>
      <c r="C32" s="5" t="s">
        <v>5662</v>
      </c>
      <c r="D32" s="5" t="s">
        <v>5663</v>
      </c>
      <c r="E32" s="5" t="s">
        <v>5664</v>
      </c>
      <c r="F32" s="5" t="s">
        <v>5657</v>
      </c>
      <c r="G32" s="5" t="s">
        <v>5466</v>
      </c>
    </row>
    <row r="33" spans="1:7">
      <c r="A33" s="5" t="s">
        <v>5665</v>
      </c>
      <c r="C33" s="5" t="s">
        <v>5666</v>
      </c>
      <c r="D33" s="5" t="s">
        <v>5667</v>
      </c>
      <c r="E33" s="5" t="s">
        <v>5668</v>
      </c>
      <c r="F33" s="5" t="s">
        <v>5657</v>
      </c>
      <c r="G33" s="5" t="s">
        <v>5466</v>
      </c>
    </row>
    <row r="34" spans="1:7">
      <c r="A34" s="5" t="s">
        <v>5669</v>
      </c>
      <c r="C34" s="5" t="s">
        <v>5670</v>
      </c>
      <c r="D34" s="5" t="s">
        <v>5671</v>
      </c>
      <c r="E34" s="5" t="s">
        <v>5672</v>
      </c>
      <c r="F34" s="5" t="s">
        <v>5657</v>
      </c>
      <c r="G34" s="5" t="s">
        <v>5466</v>
      </c>
    </row>
  </sheetData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item</vt:lpstr>
      <vt:lpstr>cue</vt:lpstr>
      <vt:lpstr>cue_level</vt:lpstr>
      <vt:lpstr>cue_attribute</vt:lpstr>
      <vt:lpstr>cue_experience</vt:lpstr>
      <vt:lpstr>clothes</vt:lpstr>
      <vt:lpstr>quality_price</vt:lpstr>
      <vt:lpstr>combination</vt:lpstr>
      <vt:lpstr>cue_table</vt:lpstr>
      <vt:lpstr>head</vt:lpstr>
      <vt:lpstr>direct_purchase</vt:lpstr>
      <vt:lpstr>cue_effect</vt:lpstr>
      <vt:lpstr>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111</cp:lastModifiedBy>
  <dcterms:created xsi:type="dcterms:W3CDTF">2019-10-08T10:19:00Z</dcterms:created>
  <dcterms:modified xsi:type="dcterms:W3CDTF">2024-07-30T07:34:24Z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EM_Doc_Temp_ID">
    <vt:lpwstr>48af558d</vt:lpwstr>
  </property>
  <property fmtid="{D5CDD505-2E9C-101B-9397-08002B2CF9AE}" pid="4" name="ICV">
    <vt:lpwstr>9BAC73D208314F74808F2A9DF0910CE1</vt:lpwstr>
  </property>
</Properties>
</file>