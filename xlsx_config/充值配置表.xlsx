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BD564463-DC5A-496B-A167-967DF9D7E5A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change" sheetId="6" r:id="rId1"/>
    <sheet name="charge" sheetId="4" r:id="rId2"/>
    <sheet name="charge_new" sheetId="1" r:id="rId3"/>
    <sheet name="Sheet1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5" i="1" l="1"/>
  <c r="H215" i="1"/>
  <c r="K214" i="1" l="1"/>
  <c r="H214" i="1"/>
  <c r="K213" i="1" l="1"/>
  <c r="K212" i="1"/>
  <c r="K211" i="1"/>
  <c r="K210" i="1"/>
  <c r="K209" i="1"/>
  <c r="K208" i="1"/>
  <c r="K207" i="1"/>
  <c r="H206" i="1" l="1"/>
  <c r="H205" i="1"/>
  <c r="H204" i="1"/>
  <c r="H203" i="1"/>
  <c r="H202" i="1"/>
  <c r="H201" i="1"/>
  <c r="K339" i="1"/>
  <c r="K259" i="1" l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H90" i="1"/>
  <c r="H89" i="1"/>
  <c r="H88" i="1"/>
  <c r="H87" i="1"/>
  <c r="H86" i="1"/>
  <c r="H85" i="1"/>
  <c r="H84" i="1"/>
  <c r="H8" i="1"/>
  <c r="H7" i="1"/>
  <c r="N57" i="6"/>
  <c r="N56" i="6"/>
  <c r="N55" i="6"/>
  <c r="N54" i="6"/>
  <c r="N53" i="6"/>
  <c r="N52" i="6"/>
  <c r="N51" i="6"/>
  <c r="N50" i="6"/>
  <c r="N49" i="6"/>
  <c r="N48" i="6"/>
  <c r="N47" i="6"/>
  <c r="N46" i="6"/>
  <c r="N4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</author>
    <author>杨宗水</author>
    <author>zhouzhen</author>
  </authors>
  <commentList>
    <comment ref="E12" authorId="0" shapeId="0" xr:uid="{00000000-0006-0000-0000-000001000000}">
      <text>
        <r>
          <rPr>
            <sz val="9"/>
            <rFont val="宋体"/>
            <family val="3"/>
            <charset val="134"/>
          </rPr>
          <t xml:space="preserve">存储在Hall\atlas\recharge文件夹里
</t>
        </r>
      </text>
    </comment>
    <comment ref="F12" authorId="0" shapeId="0" xr:uid="{00000000-0006-0000-0000-000002000000}">
      <text>
        <r>
          <rPr>
            <sz val="9"/>
            <rFont val="宋体"/>
            <family val="3"/>
            <charset val="134"/>
          </rPr>
          <t>存储在Hall\atlas\recharge文件夹里
命名规则：
icon_diamond_金额</t>
        </r>
      </text>
    </comment>
    <comment ref="I12" authorId="1" shapeId="0" xr:uid="{00000000-0006-0000-0000-000003000000}">
      <text>
        <r>
          <rPr>
            <sz val="9"/>
            <rFont val="宋体"/>
            <family val="3"/>
            <charset val="134"/>
          </rPr>
          <t>格式：金币下限,金币上限,边界标记
边界标记：
0为未超出，
1为超出时为此档。</t>
        </r>
      </text>
    </comment>
    <comment ref="J12" authorId="2" shapeId="0" xr:uid="{00000000-0006-0000-00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1：金币商城兑换
2：免输礼包
3：加注礼包
4：高手礼包
5：复仇礼包
6：翻本礼包
7：通用金币礼包
8：破产礼包
9：金币不足钻石购买
101：血流币商城兑换
102：血流币金币兑换
103：东山再起
104：疯狂血流货币不足局内兑换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</author>
    <author>win10</author>
  </authors>
  <commentList>
    <comment ref="E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杨宗水:
没有VIP前暂时不做</t>
        </r>
      </text>
    </comment>
    <comment ref="G12" authorId="1" shapeId="0" xr:uid="{00000000-0006-0000-0100-000002000000}">
      <text>
        <r>
          <rPr>
            <b/>
            <sz val="9"/>
            <rFont val="宋体"/>
            <family val="3"/>
            <charset val="134"/>
          </rPr>
          <t>以1美元=7人民币计算</t>
        </r>
      </text>
    </comment>
    <comment ref="H12" authorId="2" shapeId="0" xr:uid="{00000000-0006-0000-0100-000003000000}">
      <text>
        <r>
          <rPr>
            <sz val="9"/>
            <rFont val="宋体"/>
            <family val="3"/>
            <charset val="134"/>
          </rPr>
          <t>存储在Hall\atlas\recharge文件夹里
命名规则：
icon_diamond_金额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</author>
    <author>win10</author>
    <author>Administrator</author>
    <author>zhouzhen</author>
  </authors>
  <commentList>
    <comment ref="B12" authorId="0" shapeId="0" xr:uid="{00000000-0006-0000-0200-000001000000}">
      <text>
        <r>
          <rPr>
            <sz val="9"/>
            <rFont val="宋体"/>
            <family val="3"/>
            <charset val="134"/>
          </rPr>
          <t xml:space="preserve">1充值
2免输礼包
3加注礼包
4高手专属礼包
5复仇礼包
6翻本礼包
7金币通用礼包
8月卡
9订阅
10每日特惠礼包
11幸运一击付费价格
12付费转盘
131元超值购
14新手成长1元直购
15：3元免7天广告
17：通行证
18：首充礼包
19:3元直购礼包
21：航海活动礼包
22:1元5视频券
23:1元转转乐
24：购买钻石理财
25：破产礼包
26：每日特惠礼包(新)
27：幸运1+1
28：金币不足充值购买
29：商城推荐礼包
30：新手特价球杆
31：翻翻乐充值
32：期限活动礼包
46：储钱罐
</t>
        </r>
      </text>
    </comment>
    <comment ref="D1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H12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以1美元=7人民币计算</t>
        </r>
      </text>
    </comment>
    <comment ref="I12" authorId="2" shapeId="0" xr:uid="{00000000-0006-0000-0200-000004000000}">
      <text>
        <r>
          <rPr>
            <sz val="9"/>
            <rFont val="宋体"/>
            <family val="3"/>
            <charset val="134"/>
          </rPr>
          <t>存储在Hall\atlas\recharge文件夹里
命名规则：
icon_diamond_金额</t>
        </r>
      </text>
    </comment>
    <comment ref="J12" authorId="2" shapeId="0" xr:uid="{00000000-0006-0000-0200-000005000000}">
      <text>
        <r>
          <rPr>
            <sz val="9"/>
            <rFont val="宋体"/>
            <family val="3"/>
            <charset val="134"/>
          </rPr>
          <t>存储在Hall\atlas\recharge文件夹里
命名规则：
icon_diamond_金额</t>
        </r>
      </text>
    </comment>
    <comment ref="K12" authorId="0" shapeId="0" xr:uid="{00000000-0006-0000-0200-000006000000}">
      <text>
        <r>
          <rPr>
            <b/>
            <sz val="9"/>
            <rFont val="宋体"/>
            <family val="3"/>
            <charset val="134"/>
          </rPr>
          <t>杨宗水:
没有VIP前暂时不做</t>
        </r>
      </text>
    </comment>
    <comment ref="O70" authorId="3" shapeId="0" xr:uid="{00000000-0006-0000-0200-00000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原1元超值购手qid</t>
        </r>
      </text>
    </comment>
    <comment ref="P70" authorId="3" shapeId="0" xr:uid="{F3CF785E-6BC6-4A51-8134-39FB25F45AC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原1元超值购手qid</t>
        </r>
      </text>
    </comment>
    <comment ref="Q70" authorId="3" shapeId="0" xr:uid="{6DBB44A3-14E5-41C9-AE9B-13371DA0013B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原1元超值购手qid</t>
        </r>
      </text>
    </comment>
    <comment ref="A219" authorId="4" shapeId="0" xr:uid="{00000000-0006-0000-0200-000008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2001~2999:礼包</t>
        </r>
      </text>
    </comment>
  </commentList>
</comments>
</file>

<file path=xl/sharedStrings.xml><?xml version="1.0" encoding="utf-8"?>
<sst xmlns="http://schemas.openxmlformats.org/spreadsheetml/2006/main" count="1753" uniqueCount="793">
  <si>
    <t>CONFIG_NAME</t>
  </si>
  <si>
    <t>exchange</t>
  </si>
  <si>
    <t>配置名, 如果没有这个字段, 则这个Sheet不会导出</t>
  </si>
  <si>
    <t>CONFIG_DESCRIPTION</t>
  </si>
  <si>
    <t>兑换金币配置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</si>
  <si>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</si>
  <si>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</si>
  <si>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</si>
  <si>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</si>
  <si>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</si>
  <si>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</si>
  <si>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</si>
  <si>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</si>
  <si>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</si>
  <si>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</si>
  <si>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</si>
  <si>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</si>
  <si>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档位</t>
  </si>
  <si>
    <t>兑换金币数</t>
  </si>
  <si>
    <t>额外赠送金币</t>
  </si>
  <si>
    <t>需要钻石</t>
  </si>
  <si>
    <t>图片名称</t>
  </si>
  <si>
    <t>图片名称（快速购买）</t>
  </si>
  <si>
    <t>礼包名称</t>
  </si>
  <si>
    <t>金币范围</t>
  </si>
  <si>
    <t>兑换类型</t>
  </si>
  <si>
    <t>兑换货币id</t>
  </si>
  <si>
    <t>id</t>
  </si>
  <si>
    <t>jb</t>
  </si>
  <si>
    <t>jb_ex</t>
  </si>
  <si>
    <t>zs</t>
  </si>
  <si>
    <t>img</t>
  </si>
  <si>
    <t>img_ks</t>
  </si>
  <si>
    <t>name_gift</t>
  </si>
  <si>
    <t>name_gift_ch</t>
  </si>
  <si>
    <t>coin_range</t>
  </si>
  <si>
    <t>type_exchange</t>
  </si>
  <si>
    <t>type_coin</t>
  </si>
  <si>
    <t>int32</t>
  </si>
  <si>
    <t>int64</t>
  </si>
  <si>
    <t>string</t>
  </si>
  <si>
    <t>list</t>
  </si>
  <si>
    <t>key,lua,pb,json</t>
  </si>
  <si>
    <t>lua,pb,json</t>
  </si>
  <si>
    <t>vb</t>
  </si>
  <si>
    <t>png</t>
  </si>
  <si>
    <t>[2,1]</t>
  </si>
  <si>
    <t>icon_coin_1</t>
  </si>
  <si>
    <t>icon_coin_3</t>
  </si>
  <si>
    <t>icon_coin_4</t>
  </si>
  <si>
    <t>icon_coin_5</t>
  </si>
  <si>
    <t>icon_coin_6</t>
  </si>
  <si>
    <t>icon_coin_7</t>
  </si>
  <si>
    <t>ui_icon_jb1</t>
  </si>
  <si>
    <t>charge_coin1</t>
  </si>
  <si>
    <t>1元免输礼包</t>
  </si>
  <si>
    <t>0,4000,0</t>
  </si>
  <si>
    <t>ui_icon_jb2</t>
  </si>
  <si>
    <t>3元免输礼包</t>
  </si>
  <si>
    <t>4001,12000,0</t>
  </si>
  <si>
    <t>6元免输礼包</t>
  </si>
  <si>
    <t>12001,24000,0</t>
  </si>
  <si>
    <t>12元免输礼包</t>
  </si>
  <si>
    <t>24001,48000,0</t>
  </si>
  <si>
    <t>ui_icon_jb3</t>
  </si>
  <si>
    <t>18元免输礼包</t>
  </si>
  <si>
    <t>48001,72000,0</t>
  </si>
  <si>
    <t>30元免输礼包</t>
  </si>
  <si>
    <t>72001,120000,0</t>
  </si>
  <si>
    <t>ui_icon_jb4</t>
  </si>
  <si>
    <t>50元免输礼包</t>
  </si>
  <si>
    <t>120001,250000,0</t>
  </si>
  <si>
    <t>68元免输礼包</t>
  </si>
  <si>
    <t>250001,340000,0</t>
  </si>
  <si>
    <t>ui_icon_jb5</t>
  </si>
  <si>
    <t>98元免输礼包</t>
  </si>
  <si>
    <t>340001,490000,0</t>
  </si>
  <si>
    <t>ui_icon_jb6</t>
  </si>
  <si>
    <t>128元免输礼包</t>
  </si>
  <si>
    <t>490001,640000,0</t>
  </si>
  <si>
    <t>ui_icon_jb7</t>
  </si>
  <si>
    <t>198元免输礼包</t>
  </si>
  <si>
    <t>640001,990000,0</t>
  </si>
  <si>
    <t>328元免输礼包</t>
  </si>
  <si>
    <t>990001,1640000,0</t>
  </si>
  <si>
    <t>648元免输礼包</t>
  </si>
  <si>
    <t>1640001,3240000,1</t>
  </si>
  <si>
    <t>ui_icon_coin_large</t>
  </si>
  <si>
    <t>2元添彩礼包</t>
  </si>
  <si>
    <t>0,20000,0</t>
  </si>
  <si>
    <t>5元添彩礼包</t>
  </si>
  <si>
    <t>20001,54000,0</t>
  </si>
  <si>
    <t>12元添彩礼包</t>
  </si>
  <si>
    <t>54001,132000,0</t>
  </si>
  <si>
    <t>20元添彩礼包</t>
  </si>
  <si>
    <t>132001,224000,0</t>
  </si>
  <si>
    <t>50元添彩礼包</t>
  </si>
  <si>
    <t>224001,575000,0</t>
  </si>
  <si>
    <t>100元添彩礼包</t>
  </si>
  <si>
    <t>575001,1180000,0</t>
  </si>
  <si>
    <t>300元添彩礼包</t>
  </si>
  <si>
    <t>1180001,3600000,0</t>
  </si>
  <si>
    <t>500元添彩礼包</t>
  </si>
  <si>
    <t>3600001,6500000,1</t>
  </si>
  <si>
    <t>1元高手专属礼包</t>
  </si>
  <si>
    <t>2元高手专属礼包</t>
  </si>
  <si>
    <t>6元高手专属礼包</t>
  </si>
  <si>
    <t>20元高手专属礼包</t>
  </si>
  <si>
    <t>50元高手专属礼包</t>
  </si>
  <si>
    <t>300元高手专属礼包</t>
  </si>
  <si>
    <t>1元复仇礼包</t>
  </si>
  <si>
    <t>2元复仇礼包</t>
  </si>
  <si>
    <t>5元复仇礼包</t>
  </si>
  <si>
    <t>10元复仇礼包</t>
  </si>
  <si>
    <t>15元复仇礼包</t>
  </si>
  <si>
    <t>30元复仇礼包</t>
  </si>
  <si>
    <t>100元复仇礼包</t>
  </si>
  <si>
    <t>ui_icon_coin_small</t>
  </si>
  <si>
    <t>2元翻本礼包</t>
  </si>
  <si>
    <t>0,4000,1</t>
  </si>
  <si>
    <t>10钻石兑换金币礼包</t>
  </si>
  <si>
    <t>3元破产礼包</t>
  </si>
  <si>
    <t>12元破产礼包</t>
  </si>
  <si>
    <t>50元破产礼包</t>
  </si>
  <si>
    <t>金币不足10钻购买</t>
  </si>
  <si>
    <t>金币不足30钻购买</t>
  </si>
  <si>
    <t>金币不足60钻购买</t>
  </si>
  <si>
    <t>金币不足120钻购买</t>
  </si>
  <si>
    <t>金币不足180钻购买</t>
  </si>
  <si>
    <t>金币不足500钻购买</t>
  </si>
  <si>
    <t>50钻石兑换金币礼包</t>
  </si>
  <si>
    <t>250钻石兑换金币礼包</t>
  </si>
  <si>
    <t>30钻石兑换金币礼包</t>
  </si>
  <si>
    <t>100钻石兑换金币礼包</t>
  </si>
  <si>
    <t>金币不足1000钻购买</t>
  </si>
  <si>
    <t>12元高手专属礼包</t>
  </si>
  <si>
    <t>30元破产礼包</t>
  </si>
  <si>
    <t>ui_crazy_2</t>
  </si>
  <si>
    <t>[100,1]</t>
  </si>
  <si>
    <t>ui_crazy_3</t>
  </si>
  <si>
    <t>ui_crazy_4</t>
  </si>
  <si>
    <t>ui_crazy_5</t>
  </si>
  <si>
    <t>ui_crazy_8</t>
  </si>
  <si>
    <t>[100,2]</t>
  </si>
  <si>
    <t>3元东山再起礼包</t>
  </si>
  <si>
    <t>25元东山再起礼包</t>
  </si>
  <si>
    <t>100元东山再起礼包</t>
  </si>
  <si>
    <t>500元东山再起礼包</t>
  </si>
  <si>
    <t>18元东山再起礼包</t>
  </si>
  <si>
    <t>50元东山再起礼包</t>
  </si>
  <si>
    <t>68元东山再起礼包</t>
  </si>
  <si>
    <t>ui_crazy_6</t>
  </si>
  <si>
    <t>98元东山再起礼包</t>
  </si>
  <si>
    <t>ui_crazy_7</t>
  </si>
  <si>
    <t>128元东山再起礼包</t>
  </si>
  <si>
    <t>198元东山再起礼包</t>
  </si>
  <si>
    <t>328元东山再起礼包</t>
  </si>
  <si>
    <t>648元东山再起礼包</t>
  </si>
  <si>
    <t>10钻血流补币</t>
  </si>
  <si>
    <t>60钻血流补币</t>
  </si>
  <si>
    <t>300钻血流补币</t>
  </si>
  <si>
    <t>1000钻血流补币</t>
  </si>
  <si>
    <t>charge</t>
  </si>
  <si>
    <t xml:space="preserve">cx  </t>
  </si>
  <si>
    <t>充值钻石</t>
  </si>
  <si>
    <t>ID</t>
  </si>
  <si>
    <t>钻石数</t>
  </si>
  <si>
    <t>额外赠送钻石</t>
  </si>
  <si>
    <t>赠送百分比</t>
  </si>
  <si>
    <t>额外获得VIP经验</t>
  </si>
  <si>
    <t>人民币</t>
  </si>
  <si>
    <t>美元</t>
  </si>
  <si>
    <t>zs_ex</t>
  </si>
  <si>
    <t>zs_percent</t>
  </si>
  <si>
    <t>count_vip</t>
  </si>
  <si>
    <t>currency_ch</t>
  </si>
  <si>
    <t>currency_us</t>
  </si>
  <si>
    <t>icon_diamond_1</t>
  </si>
  <si>
    <t>icon_diamond_6</t>
  </si>
  <si>
    <t>icon_diamond_30</t>
  </si>
  <si>
    <t>icon_diamond_68</t>
  </si>
  <si>
    <t>icon_diamond_128</t>
  </si>
  <si>
    <t>icon_diamond_328</t>
  </si>
  <si>
    <t>icon_diamond_648</t>
  </si>
  <si>
    <t>charge_new</t>
  </si>
  <si>
    <t>充值表</t>
  </si>
  <si>
    <t>类型</t>
  </si>
  <si>
    <t>充值礼包名称id</t>
  </si>
  <si>
    <t>参考中文名</t>
  </si>
  <si>
    <t>奖品组id</t>
  </si>
  <si>
    <t>额外赠送百分比</t>
  </si>
  <si>
    <t>图片名称（商城）</t>
  </si>
  <si>
    <t>自有渠道产品id</t>
  </si>
  <si>
    <t>4399渠道产品id</t>
  </si>
  <si>
    <t>4399渠道产品id（沙箱）</t>
  </si>
  <si>
    <t>手Q渠道产品id</t>
  </si>
  <si>
    <t>type</t>
  </si>
  <si>
    <t>name_charge</t>
  </si>
  <si>
    <t>id_ch</t>
  </si>
  <si>
    <t>award</t>
  </si>
  <si>
    <t>ios_self_productId</t>
  </si>
  <si>
    <t>ios_4399_productId</t>
  </si>
  <si>
    <t>ios_4399_productId_sandbox</t>
  </si>
  <si>
    <t>id_qq_productld</t>
  </si>
  <si>
    <t>充值钻石3元</t>
  </si>
  <si>
    <t>charge_diamond</t>
  </si>
  <si>
    <t>com.tqwz.testgame.diamond3</t>
  </si>
  <si>
    <t>d621f85e9c2158293452e1b2589a84a2</t>
  </si>
  <si>
    <t>充值钻石6元</t>
  </si>
  <si>
    <t>com.tqwz.testgame.diamond6</t>
  </si>
  <si>
    <t>32a13d23cb518b1ca7882dafbf66f738</t>
  </si>
  <si>
    <t>充值钻石18元</t>
  </si>
  <si>
    <t>com.tqwz.testgame.diamond18</t>
  </si>
  <si>
    <t>0184291f7f61c3cf7a71882645197e47</t>
  </si>
  <si>
    <t>充值钻石30元</t>
  </si>
  <si>
    <t>com.tqwz.testgame.diamond30</t>
  </si>
  <si>
    <t>3e65f3f3b6255c81570764500774d365</t>
  </si>
  <si>
    <t>充值钻石68元</t>
  </si>
  <si>
    <t>com.tqwz.testgame.diamond68</t>
  </si>
  <si>
    <t>2d6eb876e24c5940363ea02eed0711f5</t>
  </si>
  <si>
    <t>充值钻石128元</t>
  </si>
  <si>
    <t>com.tqwz.testgame.diamond128</t>
  </si>
  <si>
    <t>dee098267d688036705e3d88bf2453a0</t>
  </si>
  <si>
    <t>充值钻石328元</t>
  </si>
  <si>
    <t>com.tqwz.testgame.diamond328</t>
  </si>
  <si>
    <t>c6acc8814fdae271d3b679e6cab4dc44</t>
  </si>
  <si>
    <t>充值钻石648元</t>
  </si>
  <si>
    <t>com.tqwz.testgame.diamond648</t>
  </si>
  <si>
    <t>a6218d51a613247899dc5fc3b1f76cc6</t>
  </si>
  <si>
    <t>com.tqwz.testgame.gift1</t>
  </si>
  <si>
    <t>com.tqwz.testgame.gift3</t>
  </si>
  <si>
    <t>com.tqwz.testgame.gift6</t>
  </si>
  <si>
    <t>com.tqwz.testgame.gift12</t>
  </si>
  <si>
    <t>com.tqwz.testgame.gift18</t>
  </si>
  <si>
    <t>com.tqwz.testgame.gift30</t>
  </si>
  <si>
    <t>com.tqwz.testgame.gift50</t>
  </si>
  <si>
    <t>com.tqwz.testgame.gift68</t>
  </si>
  <si>
    <t>com.tqwz.testgame.gift98</t>
  </si>
  <si>
    <t>com.tqwz.testgame.gift128</t>
  </si>
  <si>
    <t>com.tqwz.testgame.gift198</t>
  </si>
  <si>
    <t>com.tqwz.testgame.gift328</t>
  </si>
  <si>
    <t>com.tqwz.testgame.gift648</t>
  </si>
  <si>
    <t>1元添彩礼包</t>
  </si>
  <si>
    <t>3元添彩礼包</t>
  </si>
  <si>
    <t>30元添彩礼包</t>
  </si>
  <si>
    <t>3元高手专属礼包</t>
  </si>
  <si>
    <t>3元复仇礼包</t>
  </si>
  <si>
    <t>6元复仇礼包</t>
  </si>
  <si>
    <t>12元复仇礼包</t>
  </si>
  <si>
    <t>18元复仇礼包</t>
  </si>
  <si>
    <t>50元复仇礼包</t>
  </si>
  <si>
    <t>68元复仇礼包</t>
  </si>
  <si>
    <t>98元复仇礼包</t>
  </si>
  <si>
    <t>128元复仇礼包</t>
  </si>
  <si>
    <t>198元复仇礼包</t>
  </si>
  <si>
    <t>328元复仇礼包</t>
  </si>
  <si>
    <t>648元复仇礼包</t>
  </si>
  <si>
    <t>1元翻本礼包</t>
  </si>
  <si>
    <t>2元通用金币礼包</t>
  </si>
  <si>
    <t>charge_coin</t>
  </si>
  <si>
    <t>com.tqwz.testgame.gift2</t>
  </si>
  <si>
    <t>0be04c98e4efe12ccfc08113cfd7f969</t>
  </si>
  <si>
    <t>5元通用金币礼包</t>
  </si>
  <si>
    <t>com.tqwz.testgame.gift5</t>
  </si>
  <si>
    <t>6a072daa39cbab2abb477e5622d951d4</t>
  </si>
  <si>
    <t>10元通用金币礼包</t>
  </si>
  <si>
    <t>com.tqwz.testgame.gift10</t>
  </si>
  <si>
    <t>7a3547e95c939adb462bb22866aee109</t>
  </si>
  <si>
    <t>20元通用金币礼包</t>
  </si>
  <si>
    <t>com.tqwz.testgame.gift20</t>
  </si>
  <si>
    <t>30913dfa099052e4e9db6a3a7aa5c1ec</t>
  </si>
  <si>
    <t>50元通用金币礼包</t>
  </si>
  <si>
    <t>cc690b972bb7518b6e8b9bd5c6906b28</t>
  </si>
  <si>
    <t>100元通用金币礼包</t>
  </si>
  <si>
    <t>com.tqwz.testgame.gift100</t>
  </si>
  <si>
    <t>4b039e6dbb5b4d1e30cc143e09a4a508</t>
  </si>
  <si>
    <t>300元通用金币礼包</t>
  </si>
  <si>
    <t>com.tqwz.testgame.gift300</t>
  </si>
  <si>
    <t>dfc0cab91a166d7337a0edcebad680de</t>
  </si>
  <si>
    <t>500元通用金币礼包</t>
  </si>
  <si>
    <t>com.tqwz.testgame.gift500</t>
  </si>
  <si>
    <t>fb426fe1e480a605b0de13815a689db6</t>
  </si>
  <si>
    <t>周卡首次开通礼包</t>
  </si>
  <si>
    <t>eee4826d12081991188870d5b42487a3</t>
  </si>
  <si>
    <t>周卡礼包</t>
  </si>
  <si>
    <t>ca026ab56d1ebc0674a195f764a667c0</t>
  </si>
  <si>
    <t>月卡首次开通礼包</t>
  </si>
  <si>
    <t>7143b1299bf222916ca9761070eb2561</t>
  </si>
  <si>
    <t>月卡礼包</t>
  </si>
  <si>
    <t>com.tqwz.testgame.gift25</t>
  </si>
  <si>
    <t>27b2a5034a0f7979a8a14b08e68d4e21</t>
  </si>
  <si>
    <t>回归周卡</t>
  </si>
  <si>
    <t>2f6aedace543149bc528b63689710870</t>
  </si>
  <si>
    <t>订阅礼包</t>
  </si>
  <si>
    <t>d02f04762659f1767c618ced4236dbb3</t>
  </si>
  <si>
    <t>订阅首次开通礼包</t>
  </si>
  <si>
    <t>209bd20ff8b26561bca82d8e3c5f4141</t>
  </si>
  <si>
    <t>1元秒杀礼包</t>
  </si>
  <si>
    <t>9c20d5a7977adbcbd85265fe6f5337c6</t>
  </si>
  <si>
    <t>6元惊喜礼包</t>
  </si>
  <si>
    <t>ee6bd7bfe3687cbd48359d76a521570a</t>
  </si>
  <si>
    <t>30元至尊礼包</t>
  </si>
  <si>
    <t>39d93edfba0d7aa5330418c35e4b711b</t>
  </si>
  <si>
    <t>幸运一击次数</t>
  </si>
  <si>
    <t>eeb658bde9b7874224b919e71af52b8e</t>
  </si>
  <si>
    <t>付费转盘</t>
  </si>
  <si>
    <t>d29695fb15b5595f43e2c651d6430fdd</t>
  </si>
  <si>
    <t>6元超值购</t>
  </si>
  <si>
    <t>239bbab0e899d8cababa2d59947f57e4</t>
  </si>
  <si>
    <t>新手成长3元直购</t>
  </si>
  <si>
    <t>9359b2b59200a1ebbca7a87670867989</t>
  </si>
  <si>
    <t>3元秒杀礼包</t>
  </si>
  <si>
    <t>aa158ae94ca115958789a91bf12f04a9</t>
  </si>
  <si>
    <t>3元免7天广告</t>
  </si>
  <si>
    <t>a7ef7cc3b478c29a2dbd1fe40b3953d9</t>
  </si>
  <si>
    <t>通信证普通版进阶</t>
  </si>
  <si>
    <t>11bd1305acf167679f9ed2f540aacbc7</t>
  </si>
  <si>
    <t>通行证高级版进阶</t>
  </si>
  <si>
    <t>384b7db67dd9f7e19770d74700e03f0c</t>
  </si>
  <si>
    <t>6元首充礼包</t>
  </si>
  <si>
    <t>ebf72b56c62ef468fbfc8e6af45a0da2</t>
  </si>
  <si>
    <t>12元首充礼包</t>
  </si>
  <si>
    <t>055371e97f3266342f61b870d0b424e7</t>
  </si>
  <si>
    <t>30元首充礼包</t>
  </si>
  <si>
    <t>497b7ec4a2493f5e2b8270096d5ef5c2</t>
  </si>
  <si>
    <t>98元首充礼包</t>
  </si>
  <si>
    <t>e62a45933b2ac568ff9e69d8cb321aeb</t>
  </si>
  <si>
    <t>3元超级特惠礼包</t>
  </si>
  <si>
    <t>290f9f7569f298d2d756f83be94696d5</t>
  </si>
  <si>
    <t>6元超级特惠礼包</t>
  </si>
  <si>
    <t>00e3ce6fc12d6c70c883cf5ffe181a51</t>
  </si>
  <si>
    <t>12元超级特惠礼包</t>
  </si>
  <si>
    <t>b97008c8834d942bed83b5299cbdbb60</t>
  </si>
  <si>
    <t>1元超值礼包</t>
  </si>
  <si>
    <t>8d7566838f8ef1f5b07cd6fedf0d0e6d</t>
  </si>
  <si>
    <t>48f504bdaf20f587b471f2d1c7ff615f</t>
  </si>
  <si>
    <t>9597118bad1a66b7b55caf8606927c22</t>
  </si>
  <si>
    <t>86b3bb0d16847a2e2410a8aecb355b63</t>
  </si>
  <si>
    <t>992f3a2c2dd3a5e48f078ea7442cacd4</t>
  </si>
  <si>
    <t>f43f5c97d0e5b88a5e2a371419b7b4f5</t>
  </si>
  <si>
    <t>航海活动充值礼包1</t>
  </si>
  <si>
    <t>bfa78da6b7e09191f3df0af50a31d0e2</t>
  </si>
  <si>
    <t>航海活动充值礼包3</t>
  </si>
  <si>
    <t>99f32a6a37f856606cae81b7b09c5e9a</t>
  </si>
  <si>
    <t>视频券礼包</t>
  </si>
  <si>
    <t>5ae850b0e377739dc8ce1b0dacc528b5</t>
  </si>
  <si>
    <t>3元转转乐</t>
  </si>
  <si>
    <t>08f30dde2ddaed0f8466ea5f3d316241</t>
  </si>
  <si>
    <t>购买钻石理财</t>
  </si>
  <si>
    <t>eda5e5b0e27ca75d0c927e66be58787d</t>
  </si>
  <si>
    <t>6元3折礼包</t>
  </si>
  <si>
    <t>03ea68efbc133b7fc2fce1a0197ad67e</t>
  </si>
  <si>
    <t>6元2折礼包</t>
  </si>
  <si>
    <t>f10797d4d2ddbe69e38a1c012e5d6607</t>
  </si>
  <si>
    <t>6元1折礼包</t>
  </si>
  <si>
    <t>ef588f2184bd30e2f8d5cfd2bc35d864</t>
  </si>
  <si>
    <t>12元3折礼包</t>
  </si>
  <si>
    <t>73fe5aed4a629d42326c25ed044b28e6</t>
  </si>
  <si>
    <t>12元2折礼包</t>
  </si>
  <si>
    <t>c32e19c3bd3fdbb4fb1286d0c352ddbe</t>
  </si>
  <si>
    <t>12元1折礼包</t>
  </si>
  <si>
    <t>18fbb81a7ef15e4cb296050fa55be31d</t>
  </si>
  <si>
    <t>幸运1+1(1元)</t>
  </si>
  <si>
    <t>0670ccaecec32ba31f47a8aa32ffa333</t>
  </si>
  <si>
    <t>幸运1+1(3元)</t>
  </si>
  <si>
    <t>935229da6f37af50195efa5c8ecb0d71</t>
  </si>
  <si>
    <t>幸运1+1(6元)</t>
  </si>
  <si>
    <t>f465ace5a7931e3a57219bba4e601283</t>
  </si>
  <si>
    <t>幸运1+1(12元)</t>
  </si>
  <si>
    <t>2ad301f1fea89cd22237f420805d375d</t>
  </si>
  <si>
    <t>幸运1+1(25元)</t>
  </si>
  <si>
    <t>bd47c4b4e600d64776a81ecce563be38</t>
  </si>
  <si>
    <t>幸运1+1(50元)</t>
  </si>
  <si>
    <t>a2152470a46bfb51da51baa6f0962e7e</t>
  </si>
  <si>
    <t>幸运1+1(98元)</t>
  </si>
  <si>
    <t>e7233cf4281c23622a38799791bc6618</t>
  </si>
  <si>
    <t>幸运1+1(128元)</t>
  </si>
  <si>
    <t>f75dd76f37cdd12f0ab7031f244af859</t>
  </si>
  <si>
    <t>幸运1+1(328元)</t>
  </si>
  <si>
    <t>ccf0c8bf6aba5557c5c3ee6c66f00e78</t>
  </si>
  <si>
    <t>幸运1+1(648元)</t>
  </si>
  <si>
    <t>62368bad1481f4863ef9886ad546f5c4</t>
  </si>
  <si>
    <t>金币不足1元购买</t>
  </si>
  <si>
    <t>37113fd3f686379f9d706457e3168f01</t>
  </si>
  <si>
    <t>金币不足3元购买</t>
  </si>
  <si>
    <t>a424a7b665ac4d63095c5df66b780cc9</t>
  </si>
  <si>
    <t>金币不足6元购买</t>
  </si>
  <si>
    <t>12ad92e66ccc19339ce56342ff39d3e9</t>
  </si>
  <si>
    <t>金币不足12元购买</t>
  </si>
  <si>
    <t>95486a06071487d3a057afd33f2c7a1d</t>
  </si>
  <si>
    <t>金币不足18元购买</t>
  </si>
  <si>
    <t>26afda7fb62216f49f1a285e84da1545</t>
  </si>
  <si>
    <t>金币不足50元购买</t>
  </si>
  <si>
    <t>5922f1e46c329d563676f80e75b6c78b</t>
  </si>
  <si>
    <t>700万金币</t>
  </si>
  <si>
    <t>5ac4e530bc62d4f089f4b45559f1810b</t>
  </si>
  <si>
    <t>b265d040f873374babee031e54293d1e</t>
  </si>
  <si>
    <t>38c88ee04ca7bbe06520809f4312df29</t>
  </si>
  <si>
    <t>e8f3e2bc88294ec9ce3e9da72b320f50</t>
  </si>
  <si>
    <t>新手特价球杆</t>
  </si>
  <si>
    <t>3fa6b501bcca63d84382fc064173ff21</t>
  </si>
  <si>
    <t>升级高级通行证</t>
  </si>
  <si>
    <t>f48145033dbf0bdef09800696a295719</t>
  </si>
  <si>
    <t>升级超级通行证</t>
  </si>
  <si>
    <t>ebcbdec501aa683ef7f8393a3c19e73d</t>
  </si>
  <si>
    <t>高级升超级补差价</t>
  </si>
  <si>
    <t>09798a4ef03cff09de1564b4bf056795</t>
  </si>
  <si>
    <t>翻翻乐6元购买</t>
  </si>
  <si>
    <t>49741f82924aa74408108e7c70c1315f</t>
  </si>
  <si>
    <t>小金币礼包</t>
  </si>
  <si>
    <t>7cb537d940b95ca9b72c23b9add4f0d7</t>
  </si>
  <si>
    <t>球桌礼包</t>
  </si>
  <si>
    <t>116d736f37f9a779836d0a5c5cfef5dd</t>
  </si>
  <si>
    <t>大金币礼包</t>
  </si>
  <si>
    <t>852ea050727258bda19a29770891088f</t>
  </si>
  <si>
    <t>活动钻石理财</t>
  </si>
  <si>
    <t>65b4d6e823eba9cb15f7b299f46d03dc</t>
  </si>
  <si>
    <t>击球特效礼包</t>
  </si>
  <si>
    <t>8c9301107fe08a376d124c1d55e9f31d</t>
  </si>
  <si>
    <t>金币不足100元购买</t>
  </si>
  <si>
    <t>f26726267dd6b05590a8d951a749c4d7</t>
  </si>
  <si>
    <t>新手充值礼包</t>
  </si>
  <si>
    <t>ca863a0dd563b1c189e786b752198fec</t>
  </si>
  <si>
    <t>订阅月卡档位￥25</t>
  </si>
  <si>
    <t>fe0a2d5eca6d18d3e42355519c4e79e5</t>
  </si>
  <si>
    <t>订阅季卡档位￥60</t>
  </si>
  <si>
    <t>520c386f4be02eceb2aeba47ad62ffe6</t>
  </si>
  <si>
    <t>订阅年卡档位￥198</t>
  </si>
  <si>
    <t>c34d7f78fe46a88930c1e17a6cc2eec2</t>
  </si>
  <si>
    <t>新手球杆</t>
  </si>
  <si>
    <t>2ff8ba75c99eb2209c6b61727836d2d3</t>
  </si>
  <si>
    <t>球杆直售模板1</t>
  </si>
  <si>
    <t>6edbac4f1fdc149ffdf745e34ac9f736</t>
  </si>
  <si>
    <t>炽热火焰A礼包</t>
  </si>
  <si>
    <t>2b17801a51d870d977b593b79f1b96e2</t>
  </si>
  <si>
    <t>S杆直售模板</t>
  </si>
  <si>
    <t>881496adf968ab627cf62cb8308f49fc</t>
  </si>
  <si>
    <t>SS杆直售模板</t>
  </si>
  <si>
    <t>808c8ae8a127990198fd60954e53c72d</t>
  </si>
  <si>
    <t>SSS杆直售模板</t>
  </si>
  <si>
    <t>a8ed82c0165fb6364d54039d80e2502f</t>
  </si>
  <si>
    <t>3级直售礼包</t>
  </si>
  <si>
    <t>4级直售礼包</t>
  </si>
  <si>
    <t>4d4cf01076ded88ca7b6cc8fa8620873</t>
  </si>
  <si>
    <t>5级直售礼包</t>
  </si>
  <si>
    <t>8ea9ff5214a135e997defde414290077</t>
  </si>
  <si>
    <t>6级直售礼包</t>
  </si>
  <si>
    <t>b66d59e8b2d896ebb26e4011b6a03c02</t>
  </si>
  <si>
    <t>7级直售礼包</t>
  </si>
  <si>
    <t>ffe88d7c1d438363e91f08ecfaf53e35</t>
  </si>
  <si>
    <t>疯狂血流新手礼包</t>
  </si>
  <si>
    <t>38081079a43f7b1e785539af76e1eb3d</t>
  </si>
  <si>
    <t>疯狂血流6元秒杀</t>
  </si>
  <si>
    <t>7187b3f08ab25354a1b8ddd17a365803</t>
  </si>
  <si>
    <t>疯狂血流30元惊喜</t>
  </si>
  <si>
    <t>07678a22f8abb2b3fe5b4260bde4eeaa</t>
  </si>
  <si>
    <t>疯狂血流98元至尊</t>
  </si>
  <si>
    <t>eb63b9f75cc7f2d02686f4926314a77d</t>
  </si>
  <si>
    <t>血流币不足3元充值</t>
  </si>
  <si>
    <t>6ab35d5b49208312c2e70c439afc6414</t>
  </si>
  <si>
    <t>血流币不足25元充值</t>
  </si>
  <si>
    <t>35590a40c5efe1570f0700e4bd8d950e</t>
  </si>
  <si>
    <t>血流币不足98元充值</t>
  </si>
  <si>
    <t>5303513a06063588c5f7ddeabf453c00</t>
  </si>
  <si>
    <t>血流币不足328元充值</t>
  </si>
  <si>
    <t>1f528bbe0b8b57e300a521064ee5d787</t>
  </si>
  <si>
    <t>血流币不足6元充值</t>
  </si>
  <si>
    <t>edc7b9b01d8639fdfb4959a0b792c217</t>
  </si>
  <si>
    <t>广告免打扰礼包</t>
  </si>
  <si>
    <t>51ee42dad5aeb1b9f40ddc5cabf07507</t>
  </si>
  <si>
    <t>无限体力礼包</t>
  </si>
  <si>
    <t>a51c2a2c29c7b1dbdca6bf726092f716</t>
  </si>
  <si>
    <t>3级直售礼包(新)</t>
  </si>
  <si>
    <t>疯狂血流12元秒杀</t>
  </si>
  <si>
    <t>血流币不足12元充值</t>
  </si>
  <si>
    <t>血流币不足30元充值</t>
  </si>
  <si>
    <t>DBA礼包</t>
  </si>
  <si>
    <t>55a1f0c0c2ea7acf765253c2fc738cc7</t>
  </si>
  <si>
    <t>S杆直售模板（2）</t>
  </si>
  <si>
    <t>635b3fea44c1951a8e7df4629d5873b7</t>
  </si>
  <si>
    <t>SS杆直售模板（2）</t>
  </si>
  <si>
    <t>91d26d9c4e9f680b60be009fa6c497b3</t>
  </si>
  <si>
    <t>SSS杆直售模板（2）</t>
  </si>
  <si>
    <t>2226dbf684bdf01c3123ee8271b18a6c</t>
  </si>
  <si>
    <t>S杆第一直售模板4</t>
  </si>
  <si>
    <t>9d521d32f501472207b7da6ff23a9ab5</t>
  </si>
  <si>
    <t>S杆第二直售模板4</t>
  </si>
  <si>
    <t>a9ec79bdb7fa2e868e7f7517a76c6138</t>
  </si>
  <si>
    <t>S杆第三直售模板4</t>
  </si>
  <si>
    <t>c6f0b2b20d7438f778c679269cd286e6</t>
  </si>
  <si>
    <t>S杆打包购买剩余一个</t>
  </si>
  <si>
    <t>8f84f2203e159730ce074aa4615b80d6</t>
  </si>
  <si>
    <t>S杆打包购买剩余两个</t>
  </si>
  <si>
    <t>8de29782bff0b2a086739608d224315d</t>
  </si>
  <si>
    <t>S杆打包全部购买</t>
  </si>
  <si>
    <t>ac5cae24054a70dcf93b48911894373c</t>
  </si>
  <si>
    <t>S杆0升1</t>
  </si>
  <si>
    <t>S杆1升2</t>
  </si>
  <si>
    <t>314265c30f4e1658243014bf7a203bf8</t>
  </si>
  <si>
    <t>S杆2升3</t>
  </si>
  <si>
    <t>037a5e85c5acea7d9c0e8f0c68cc58d8</t>
  </si>
  <si>
    <t>S杆3升4</t>
  </si>
  <si>
    <t>4c81dd99ca8054af3158ef2f8b6c438e</t>
  </si>
  <si>
    <t>S杆4升5</t>
  </si>
  <si>
    <t>8367b4b35668cffb62cb5cbaae9bdf1b</t>
  </si>
  <si>
    <t>S杆5升SS0</t>
  </si>
  <si>
    <t>98ef3204a483a092214d6742e7d0f712</t>
  </si>
  <si>
    <t>S杆0升SS杆0</t>
  </si>
  <si>
    <t>23171af8982f499325af85b0f2514ddc</t>
  </si>
  <si>
    <t>SS杆0升1</t>
  </si>
  <si>
    <t>44e3b1c8177a604b7faf5d84bc1accb0</t>
  </si>
  <si>
    <t>SS杆1升2</t>
  </si>
  <si>
    <t>8cf51eb1b26bc61b63ce133de01e55b4</t>
  </si>
  <si>
    <t>SS杆2升3</t>
  </si>
  <si>
    <t>89e7d593216f3cb394413ff79078835b</t>
  </si>
  <si>
    <t>SS杆3升4</t>
  </si>
  <si>
    <t>459ab5e3da1cf0f3bba75a69d230e821</t>
  </si>
  <si>
    <t>SS杆4升5</t>
  </si>
  <si>
    <t>f56e161691fbf921be582755c84274a8</t>
  </si>
  <si>
    <t>SS杆5升SS0</t>
  </si>
  <si>
    <t>e2ad3e082aace582cce8706292ffb1cd</t>
  </si>
  <si>
    <t>SS杆0升SS杆0</t>
  </si>
  <si>
    <t>94e6d12b22080bd36731e92f4a629c96</t>
  </si>
  <si>
    <t>SSS杆0升1</t>
  </si>
  <si>
    <t>e86e4539d87609647ea62691683b5c0c</t>
  </si>
  <si>
    <t>SSS杆1升2</t>
  </si>
  <si>
    <t>1f7917e8f53b0694a6db607f3041a1a1</t>
  </si>
  <si>
    <t>SSS杆2升3</t>
  </si>
  <si>
    <t>SSS杆3升4</t>
  </si>
  <si>
    <t>SSS杆4升5</t>
  </si>
  <si>
    <t>d00109b8e2be39e72baacdc22a00d57a</t>
  </si>
  <si>
    <t>SSS杆0升SSS杆5</t>
  </si>
  <si>
    <t>bdefd741f73ff24eda1ed462876ab807</t>
  </si>
  <si>
    <t>虎啸生风</t>
  </si>
  <si>
    <t>9e2151f696cd825c9df6fe2823b8ca9f</t>
  </si>
  <si>
    <t>哪吒礼包</t>
  </si>
  <si>
    <t>丈八蛇矛礼包</t>
  </si>
  <si>
    <t>吉运锦鲤礼包</t>
  </si>
  <si>
    <t>法老权杖礼包</t>
  </si>
  <si>
    <t>甜蜜邂逅礼包</t>
  </si>
  <si>
    <t>桃之夭夭 S 礼包</t>
  </si>
  <si>
    <t>桃之夭夭 SS 礼包</t>
  </si>
  <si>
    <t>桃之夭夭 SSS 礼包</t>
  </si>
  <si>
    <t>祥瑞之星礼包</t>
  </si>
  <si>
    <t>朝气蓬勃礼包</t>
  </si>
  <si>
    <t>至尊皇权 S 礼包</t>
  </si>
  <si>
    <t>至尊皇权 SS 礼包</t>
  </si>
  <si>
    <t>至尊皇权 SSS 礼包</t>
  </si>
  <si>
    <t>蓝梦月泪礼包</t>
  </si>
  <si>
    <t>澄心定意 S 礼包</t>
  </si>
  <si>
    <t>澄心定意 SS 礼包</t>
  </si>
  <si>
    <t>澄心定意 SSS 礼包</t>
  </si>
  <si>
    <t>樱韵霜芒礼包</t>
  </si>
  <si>
    <t>虎啸风生礼包2</t>
  </si>
  <si>
    <t>惩戒之刃 S 礼包</t>
  </si>
  <si>
    <t>惩戒之刃 SS 礼包</t>
  </si>
  <si>
    <t>惩戒之刃 SSS 礼包</t>
  </si>
  <si>
    <t>青花瓷A礼包</t>
  </si>
  <si>
    <t>翠竹清韵 S 礼包</t>
  </si>
  <si>
    <t>翠竹清韵 SS 礼包</t>
  </si>
  <si>
    <t>翠竹清韵 SSS 礼包</t>
  </si>
  <si>
    <t>凛冽冰川A礼包</t>
  </si>
  <si>
    <t>海洋之心礼包</t>
  </si>
  <si>
    <t>弧电枪 S 礼包</t>
  </si>
  <si>
    <t>弧电枪 SS 礼包</t>
  </si>
  <si>
    <t>弧电枪 SSS 礼包</t>
  </si>
  <si>
    <t>夏日海滩礼包</t>
  </si>
  <si>
    <t>神童出世礼包</t>
  </si>
  <si>
    <t>神圣羽杖礼包</t>
  </si>
  <si>
    <t>澄心定意礼包</t>
  </si>
  <si>
    <t>川流之径礼包</t>
  </si>
  <si>
    <t>墨韵留香礼包</t>
  </si>
  <si>
    <t>DBA星耀礼包</t>
  </si>
  <si>
    <t>七彩宝石A礼包</t>
  </si>
  <si>
    <t>祥瑞之星 S 礼包</t>
  </si>
  <si>
    <t>祥瑞之星 SS 礼包</t>
  </si>
  <si>
    <t>祥瑞之星 SSS 礼包</t>
  </si>
  <si>
    <t>冰源风暴 S 礼包</t>
  </si>
  <si>
    <t>冰源风暴 SS 礼包</t>
  </si>
  <si>
    <t>冰源风暴 SSS 礼包</t>
  </si>
  <si>
    <t>朝气蓬勃礼包2</t>
  </si>
  <si>
    <t>5b3e81b0371a9826e6e851354075ce72</t>
  </si>
  <si>
    <t>活力四射礼包</t>
  </si>
  <si>
    <t>至尊皇权礼包</t>
  </si>
  <si>
    <t>惩戒之刃礼包</t>
  </si>
  <si>
    <t>海王三叉戟礼包</t>
  </si>
  <si>
    <t>翠竹清韵礼包</t>
  </si>
  <si>
    <t>笔落春秋礼包</t>
  </si>
  <si>
    <t>凤羽流霞S礼包</t>
  </si>
  <si>
    <t>凤羽流霞SS礼包</t>
  </si>
  <si>
    <t>凤羽流霞SSS礼包</t>
  </si>
  <si>
    <t>樱韵霜芒S礼包</t>
  </si>
  <si>
    <t>樱韵霜芒SS礼包</t>
  </si>
  <si>
    <t>樱韵霜芒SSS礼包</t>
  </si>
  <si>
    <t>秩序之矛S礼包</t>
  </si>
  <si>
    <t>秩序之矛SS礼包</t>
  </si>
  <si>
    <t>秩序之矛SSS礼包</t>
  </si>
  <si>
    <t>虎啸风生2礼包</t>
  </si>
  <si>
    <t>c02648040ecfaf2e24fc8c819d605e6a</t>
  </si>
  <si>
    <t>cb3060795af238e8eeb046910aabac2f</t>
  </si>
  <si>
    <t>ebc1809772fb1aa2d6fe06c0e672485e</t>
  </si>
  <si>
    <t>47579c7e475eaca55f4ecee8245280dd</t>
  </si>
  <si>
    <t>9e2151f696cd825c9df6fe2823b8ca9f</t>
    <phoneticPr fontId="17" type="noConversion"/>
  </si>
  <si>
    <t>弧电枪礼包</t>
    <phoneticPr fontId="17" type="noConversion"/>
  </si>
  <si>
    <t>冰源风暴礼包</t>
    <phoneticPr fontId="17" type="noConversion"/>
  </si>
  <si>
    <t>守护之刃S礼包</t>
  </si>
  <si>
    <t>守护之刃SS礼包</t>
  </si>
  <si>
    <t>守护之刃SSS礼包</t>
  </si>
  <si>
    <t>神圣羽杖S礼包</t>
  </si>
  <si>
    <t>神圣羽杖SS礼包</t>
  </si>
  <si>
    <t>神圣羽杖SSS礼包</t>
  </si>
  <si>
    <t>术士权杖S礼包</t>
  </si>
  <si>
    <t>术士权杖SS礼包</t>
  </si>
  <si>
    <t>术士权杖SSS礼包</t>
  </si>
  <si>
    <t>18元档赠送20%</t>
    <phoneticPr fontId="17" type="noConversion"/>
  </si>
  <si>
    <t>30元档赠送15%</t>
    <phoneticPr fontId="17" type="noConversion"/>
  </si>
  <si>
    <t>68元档赠送18%</t>
    <phoneticPr fontId="17" type="noConversion"/>
  </si>
  <si>
    <t>68元档赠送20%</t>
    <phoneticPr fontId="17" type="noConversion"/>
  </si>
  <si>
    <t>金色权杖礼包</t>
    <phoneticPr fontId="17" type="noConversion"/>
  </si>
  <si>
    <t>圣光祈福S礼包</t>
  </si>
  <si>
    <t>圣光祈福SS礼包</t>
  </si>
  <si>
    <t>圣光祈福SSS礼包</t>
  </si>
  <si>
    <t>幻影萧萧S礼包</t>
  </si>
  <si>
    <t>幻影萧萧SS礼包</t>
  </si>
  <si>
    <t>幻影萧萧SSS礼包</t>
  </si>
  <si>
    <t>哪吒S礼包</t>
  </si>
  <si>
    <t>哪吒SS礼包</t>
  </si>
  <si>
    <t>哪吒SSS礼包</t>
  </si>
  <si>
    <t>山雨箭来S礼包</t>
  </si>
  <si>
    <t>山雨箭来SS礼包</t>
  </si>
  <si>
    <t>山雨箭来SSS礼包</t>
  </si>
  <si>
    <t>新手-视频券礼包</t>
    <phoneticPr fontId="17" type="noConversion"/>
  </si>
  <si>
    <t>新手-钻石基金</t>
    <phoneticPr fontId="17" type="noConversion"/>
  </si>
  <si>
    <t>新手-金币礼包</t>
    <phoneticPr fontId="17" type="noConversion"/>
  </si>
  <si>
    <t>新手-球杆礼包</t>
    <phoneticPr fontId="17" type="noConversion"/>
  </si>
  <si>
    <t>新手-服装礼包</t>
    <phoneticPr fontId="17" type="noConversion"/>
  </si>
  <si>
    <t>新手-球桌礼包</t>
    <phoneticPr fontId="17" type="noConversion"/>
  </si>
  <si>
    <t>47579c7e475eaca55f4ecee8245280dd</t>
    <phoneticPr fontId="17" type="noConversion"/>
  </si>
  <si>
    <t>ebc1809772fb1aa2d6fe06c0e672485e</t>
    <phoneticPr fontId="17" type="noConversion"/>
  </si>
  <si>
    <t>867e410884ab9261ac9cc7a9fa56f78c</t>
    <phoneticPr fontId="17" type="noConversion"/>
  </si>
  <si>
    <t>dd1f696618c1ee38dc12998cd6182035</t>
    <phoneticPr fontId="17" type="noConversion"/>
  </si>
  <si>
    <t>9cf56da7db0a0b99c85a21f08905c2f7</t>
    <phoneticPr fontId="17" type="noConversion"/>
  </si>
  <si>
    <t>qq小游戏充值id</t>
    <phoneticPr fontId="19" type="noConversion"/>
  </si>
  <si>
    <t>9cf56da7db0a0b99c85a21f08905c2f7</t>
    <phoneticPr fontId="19" type="noConversion"/>
  </si>
  <si>
    <t>3元礼包</t>
    <phoneticPr fontId="19" type="noConversion"/>
  </si>
  <si>
    <t>cb3060795af238e8eeb046910aabac2f</t>
    <phoneticPr fontId="19" type="noConversion"/>
  </si>
  <si>
    <t>ebc1809772fb1aa2d6fe06c0e672485e</t>
    <phoneticPr fontId="19" type="noConversion"/>
  </si>
  <si>
    <t>6元礼包</t>
    <phoneticPr fontId="19" type="noConversion"/>
  </si>
  <si>
    <t>12元礼包</t>
    <phoneticPr fontId="19" type="noConversion"/>
  </si>
  <si>
    <t>867e410884ab9261ac9cc7a9fa56f78c</t>
    <phoneticPr fontId="19" type="noConversion"/>
  </si>
  <si>
    <t>18元礼包</t>
    <phoneticPr fontId="19" type="noConversion"/>
  </si>
  <si>
    <t>47579c7e475eaca55f4ecee8245280dd</t>
    <phoneticPr fontId="19" type="noConversion"/>
  </si>
  <si>
    <t>30元礼包</t>
    <phoneticPr fontId="19" type="noConversion"/>
  </si>
  <si>
    <t>dd1f696618c1ee38dc12998cd6182035</t>
    <phoneticPr fontId="19" type="noConversion"/>
  </si>
  <si>
    <t>68元礼包</t>
    <phoneticPr fontId="19" type="noConversion"/>
  </si>
  <si>
    <t>圣诞树礼包</t>
    <phoneticPr fontId="17" type="noConversion"/>
  </si>
  <si>
    <t>秩序之矛礼包</t>
    <phoneticPr fontId="17" type="noConversion"/>
  </si>
  <si>
    <t>凤羽流霞礼包</t>
    <phoneticPr fontId="17" type="noConversion"/>
  </si>
  <si>
    <t>炽热阳炎礼包</t>
    <phoneticPr fontId="17" type="noConversion"/>
  </si>
  <si>
    <t>剑影飒沓S礼包</t>
  </si>
  <si>
    <t>剑影飒沓SS礼包</t>
  </si>
  <si>
    <t>剑影飒沓SSS礼包</t>
  </si>
  <si>
    <t>花飞鹤舞S礼包</t>
  </si>
  <si>
    <t>花飞鹤舞SS礼包</t>
  </si>
  <si>
    <t>花飞鹤舞SSS礼包</t>
  </si>
  <si>
    <t>敦煌琴音S礼包</t>
  </si>
  <si>
    <t>敦煌琴音SS礼包</t>
  </si>
  <si>
    <t>敦煌琴音SSS礼包</t>
  </si>
  <si>
    <t>6元首充礼包(地狱火焰)</t>
    <phoneticPr fontId="17" type="noConversion"/>
  </si>
  <si>
    <t>30元首充礼包(地狱火焰)</t>
    <phoneticPr fontId="17" type="noConversion"/>
  </si>
  <si>
    <t>6元首充礼包(街头潮牌)</t>
    <phoneticPr fontId="17" type="noConversion"/>
  </si>
  <si>
    <t>30元首充礼包(街头潮牌)</t>
    <phoneticPr fontId="17" type="noConversion"/>
  </si>
  <si>
    <t>6元首充礼包(骑士长枪)</t>
    <phoneticPr fontId="17" type="noConversion"/>
  </si>
  <si>
    <t>30元首充礼包(骑士长枪)</t>
    <phoneticPr fontId="17" type="noConversion"/>
  </si>
  <si>
    <t>免广告-永久版</t>
    <phoneticPr fontId="17" type="noConversion"/>
  </si>
  <si>
    <t>免广告-30天</t>
    <phoneticPr fontId="17" type="noConversion"/>
  </si>
  <si>
    <t>免广告-7天</t>
    <phoneticPr fontId="17" type="noConversion"/>
  </si>
  <si>
    <t>33b3cc14851ef9eb509d0aea9e4b0f18</t>
    <phoneticPr fontId="17" type="noConversion"/>
  </si>
  <si>
    <t>fafad78ac8bda99e8411979d9ac1cee9</t>
    <phoneticPr fontId="17" type="noConversion"/>
  </si>
  <si>
    <t>icon_coin_1</t>
    <phoneticPr fontId="17" type="noConversion"/>
  </si>
  <si>
    <t>[2,0]</t>
    <phoneticPr fontId="17" type="noConversion"/>
  </si>
  <si>
    <t>兑换次数</t>
    <phoneticPr fontId="17" type="noConversion"/>
  </si>
  <si>
    <t>limit_time</t>
    <phoneticPr fontId="17" type="noConversion"/>
  </si>
  <si>
    <t>int32</t>
    <phoneticPr fontId="17" type="noConversion"/>
  </si>
  <si>
    <t>lua,pb,json</t>
    <phoneticPr fontId="17" type="noConversion"/>
  </si>
  <si>
    <t>500万金币</t>
    <phoneticPr fontId="17" type="noConversion"/>
  </si>
  <si>
    <t>1400万金币</t>
    <phoneticPr fontId="17" type="noConversion"/>
  </si>
  <si>
    <t>3200万金币</t>
    <phoneticPr fontId="17" type="noConversion"/>
  </si>
  <si>
    <t>敦煌琴音礼包</t>
    <phoneticPr fontId="17" type="noConversion"/>
  </si>
  <si>
    <t>瑞兔锦衣礼包</t>
    <phoneticPr fontId="17" type="noConversion"/>
  </si>
  <si>
    <t>icon_coin_2</t>
    <phoneticPr fontId="17" type="noConversion"/>
  </si>
  <si>
    <t>icon_coin_3</t>
    <phoneticPr fontId="17" type="noConversion"/>
  </si>
  <si>
    <t>icon_coin_4</t>
    <phoneticPr fontId="17" type="noConversion"/>
  </si>
  <si>
    <t>icon_coin_6</t>
    <phoneticPr fontId="17" type="noConversion"/>
  </si>
  <si>
    <t>免广告-体验卡</t>
    <phoneticPr fontId="17" type="noConversion"/>
  </si>
  <si>
    <t>孔翠鸣筝礼包</t>
    <phoneticPr fontId="17" type="noConversion"/>
  </si>
  <si>
    <t>像素剑影礼包</t>
    <phoneticPr fontId="17" type="noConversion"/>
  </si>
  <si>
    <t>55a1f0c0c2ea7acf765253c2fc738cc7</t>
    <phoneticPr fontId="19" type="noConversion"/>
  </si>
  <si>
    <t>168元直售礼包</t>
    <phoneticPr fontId="19" type="noConversion"/>
  </si>
  <si>
    <t>梦幻琴海S礼包</t>
    <phoneticPr fontId="17" type="noConversion"/>
  </si>
  <si>
    <t>梦幻琴海SS礼包</t>
    <phoneticPr fontId="17" type="noConversion"/>
  </si>
  <si>
    <t>梦幻琴海SSS礼包</t>
    <phoneticPr fontId="17" type="noConversion"/>
  </si>
  <si>
    <t>635b3fea44c1951a8e7df4629d5873b7</t>
    <phoneticPr fontId="19" type="noConversion"/>
  </si>
  <si>
    <t>91d26d9c4e9f680b60be009fa6c497b3</t>
    <phoneticPr fontId="19" type="noConversion"/>
  </si>
  <si>
    <t>2226dbf684bdf01c3123ee8271b18a6c</t>
    <phoneticPr fontId="19" type="noConversion"/>
  </si>
  <si>
    <t>78元S球杆礼包</t>
    <phoneticPr fontId="19" type="noConversion"/>
  </si>
  <si>
    <t>128元SS球杆礼包</t>
    <phoneticPr fontId="19" type="noConversion"/>
  </si>
  <si>
    <t>168元SSS球杆礼包</t>
    <phoneticPr fontId="19" type="noConversion"/>
  </si>
  <si>
    <t>9cf56da7db0a0b99c85a21f08905c2f7</t>
  </si>
  <si>
    <t>免广告-体验卡1元</t>
    <phoneticPr fontId="17" type="noConversion"/>
  </si>
  <si>
    <t>9c20d5a7977adbcbd85265fe6f5337c6</t>
    <phoneticPr fontId="17" type="noConversion"/>
  </si>
  <si>
    <t>梦幻校园礼包</t>
    <phoneticPr fontId="17" type="noConversion"/>
  </si>
  <si>
    <t>com.sfgame.zq_diamond_3</t>
  </si>
  <si>
    <t>com.sfgame.zq_diamond_6</t>
  </si>
  <si>
    <t>com.sfgame.zq_diamond_18</t>
  </si>
  <si>
    <t>com.sfgame.zq_diamond_30</t>
  </si>
  <si>
    <t>com.sfgame.zq_diamond_68</t>
  </si>
  <si>
    <t>com.sfgame.zq_diamond_128</t>
  </si>
  <si>
    <t>com.sfgame.zq_diamond_328</t>
  </si>
  <si>
    <t>com.sfgame.zq_diamond_648</t>
  </si>
  <si>
    <t>com.sfgame.zq_gift_1</t>
  </si>
  <si>
    <t>com.sfgame.zq_gift_3</t>
  </si>
  <si>
    <t>com.sfgame.zq_gift_6</t>
  </si>
  <si>
    <t>com.sfgame.zq_gift_12</t>
  </si>
  <si>
    <t>com.sfgame.zq_gift_18</t>
  </si>
  <si>
    <t>com.sfgame.zq_gift_30</t>
  </si>
  <si>
    <t>com.sfgame.zq_gift_50</t>
  </si>
  <si>
    <t>com.sfgame.zq_gift_68</t>
  </si>
  <si>
    <t>com.sfgame.zq_gift_98</t>
  </si>
  <si>
    <t>com.sfgame.zq_gift_128</t>
  </si>
  <si>
    <t>com.sfgame.zq_gift_198</t>
  </si>
  <si>
    <t>com.sfgame.zq_gift_328</t>
  </si>
  <si>
    <t>com.sfgame.zq_gift_648</t>
  </si>
  <si>
    <t>com.sfgame.zq_gift_2</t>
  </si>
  <si>
    <t>com.sfgame.zq_gift_20</t>
  </si>
  <si>
    <t>com.sfgame.zq_gift_25</t>
  </si>
  <si>
    <t>com.sfgame.zq_gift_1</t>
    <phoneticPr fontId="17" type="noConversion"/>
  </si>
  <si>
    <t>com.sfgame.zq_gift_40</t>
  </si>
  <si>
    <t>com.sfgame.zq_gift_45</t>
  </si>
  <si>
    <t>com.sfgame.zq_gift_60</t>
  </si>
  <si>
    <t>com.sfgame.zq_gift_168</t>
  </si>
  <si>
    <t>com.sfgame.zq_gift_78</t>
  </si>
  <si>
    <t>com.sfgame.zq_gift_108</t>
  </si>
  <si>
    <t>com.sfgame.zq_gift_188</t>
  </si>
  <si>
    <t>com.sfgame.zq_gift_73</t>
  </si>
  <si>
    <t>com.sfgame.zq_gift_88</t>
  </si>
  <si>
    <t>com.sfgame.zq_gift_118</t>
  </si>
  <si>
    <t>com.sfgame.zq_gift_158</t>
  </si>
  <si>
    <t>com.sfgame.zq_gift_6</t>
    <phoneticPr fontId="17" type="noConversion"/>
  </si>
  <si>
    <t>0级储钱罐购买</t>
    <phoneticPr fontId="17" type="noConversion"/>
  </si>
  <si>
    <t>1级储钱罐购买</t>
    <phoneticPr fontId="17" type="noConversion"/>
  </si>
  <si>
    <t>2级储钱罐购买</t>
    <phoneticPr fontId="17" type="noConversion"/>
  </si>
  <si>
    <t>3级储钱罐购买</t>
  </si>
  <si>
    <t>4级储钱罐购买</t>
  </si>
  <si>
    <t>5级储钱罐购买</t>
  </si>
  <si>
    <t>6级储钱罐购买</t>
  </si>
  <si>
    <t>icon_cqg</t>
    <phoneticPr fontId="17" type="noConversion"/>
  </si>
  <si>
    <t>com.sfgame.zq_gift_12</t>
    <phoneticPr fontId="17" type="noConversion"/>
  </si>
  <si>
    <t>com.sfgame.zq_gift_18</t>
    <phoneticPr fontId="17" type="noConversion"/>
  </si>
  <si>
    <t>18元档赠送15%</t>
    <phoneticPr fontId="17" type="noConversion"/>
  </si>
  <si>
    <t>18元档赠送18%</t>
    <phoneticPr fontId="17" type="noConversion"/>
  </si>
  <si>
    <t>6元档赠送15%</t>
    <phoneticPr fontId="17" type="noConversion"/>
  </si>
  <si>
    <t>6元档赠送18%</t>
    <phoneticPr fontId="17" type="noConversion"/>
  </si>
  <si>
    <t>6元档赠送20%</t>
    <phoneticPr fontId="17" type="noConversion"/>
  </si>
  <si>
    <t>30元档赠送18%</t>
    <phoneticPr fontId="17" type="noConversion"/>
  </si>
  <si>
    <t>30元档赠送20%</t>
  </si>
  <si>
    <t>12元档赠送15%</t>
    <phoneticPr fontId="17" type="noConversion"/>
  </si>
  <si>
    <t>12元档赠送18%</t>
    <phoneticPr fontId="17" type="noConversion"/>
  </si>
  <si>
    <t>12元档赠送20%</t>
    <phoneticPr fontId="17" type="noConversion"/>
  </si>
  <si>
    <t>68元档赠送15%</t>
    <phoneticPr fontId="17" type="noConversion"/>
  </si>
  <si>
    <t>98元档赠送15%</t>
    <phoneticPr fontId="17" type="noConversion"/>
  </si>
  <si>
    <t>98元档赠送18%</t>
    <phoneticPr fontId="17" type="noConversion"/>
  </si>
  <si>
    <t>98元档赠送20%</t>
    <phoneticPr fontId="17" type="noConversion"/>
  </si>
  <si>
    <t>com.sfgame.zq_gift_98</t>
    <phoneticPr fontId="17" type="noConversion"/>
  </si>
  <si>
    <t>98元礼包</t>
    <phoneticPr fontId="19" type="noConversion"/>
  </si>
  <si>
    <t>c2cdb8e1ee0f1669c5459ddff085451e</t>
    <phoneticPr fontId="19" type="noConversion"/>
  </si>
  <si>
    <t>98元首充礼包</t>
    <phoneticPr fontId="17" type="noConversion"/>
  </si>
  <si>
    <t>68元首充礼包</t>
    <phoneticPr fontId="17" type="noConversion"/>
  </si>
  <si>
    <t>com.sfgame.zq_gift_68</t>
    <phoneticPr fontId="17" type="noConversion"/>
  </si>
  <si>
    <t>com.sfgame.zq_gift_198</t>
    <phoneticPr fontId="17" type="noConversion"/>
  </si>
  <si>
    <t>华为渠道产品id</t>
    <phoneticPr fontId="17" type="noConversion"/>
  </si>
  <si>
    <t>荣耀渠道产品id</t>
    <phoneticPr fontId="17" type="noConversion"/>
  </si>
  <si>
    <t>id_huawei_productld</t>
    <phoneticPr fontId="17" type="noConversion"/>
  </si>
  <si>
    <t>id_honnr_productld</t>
    <phoneticPr fontId="17" type="noConversion"/>
  </si>
  <si>
    <t>gift_6</t>
  </si>
  <si>
    <t>gift_6</t>
    <phoneticPr fontId="17" type="noConversion"/>
  </si>
  <si>
    <t>gift_12</t>
  </si>
  <si>
    <t>gift_12</t>
    <phoneticPr fontId="17" type="noConversion"/>
  </si>
  <si>
    <t>gift_18</t>
    <phoneticPr fontId="17" type="noConversion"/>
  </si>
  <si>
    <t>gift_68</t>
  </si>
  <si>
    <t>gift_68</t>
    <phoneticPr fontId="17" type="noConversion"/>
  </si>
  <si>
    <t>gift_98</t>
  </si>
  <si>
    <t>gift_98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</si>
</sst>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0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rgb="FF000000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  <font>
      <sz val="12"/>
      <color rgb="FFFF0000"/>
      <name val="等线"/>
      <family val="3"/>
      <charset val="134"/>
    </font>
    <font>
      <sz val="12"/>
      <color theme="1"/>
      <name val="等线"/>
      <family val="3"/>
      <charset val="134"/>
    </font>
    <font>
      <sz val="12"/>
      <color theme="5"/>
      <name val="等线"/>
      <family val="3"/>
      <charset val="134"/>
    </font>
    <font>
      <sz val="12"/>
      <name val="等线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7F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/>
    <xf numFmtId="0" fontId="0" fillId="4" borderId="0" xfId="0" applyFill="1"/>
    <xf numFmtId="0" fontId="5" fillId="0" borderId="0" xfId="0" applyFont="1"/>
    <xf numFmtId="0" fontId="5" fillId="4" borderId="0" xfId="0" applyFont="1" applyFill="1"/>
    <xf numFmtId="0" fontId="5" fillId="3" borderId="0" xfId="0" applyFont="1" applyFill="1"/>
    <xf numFmtId="2" fontId="0" fillId="0" borderId="0" xfId="0" applyNumberFormat="1"/>
    <xf numFmtId="0" fontId="1" fillId="0" borderId="0" xfId="0" applyFont="1" applyAlignment="1">
      <alignment vertical="center"/>
    </xf>
    <xf numFmtId="2" fontId="1" fillId="0" borderId="0" xfId="0" applyNumberFormat="1" applyFont="1"/>
    <xf numFmtId="0" fontId="6" fillId="0" borderId="0" xfId="0" applyFont="1"/>
    <xf numFmtId="0" fontId="7" fillId="4" borderId="0" xfId="0" applyFont="1" applyFill="1"/>
    <xf numFmtId="0" fontId="3" fillId="4" borderId="0" xfId="0" applyFont="1" applyFill="1"/>
    <xf numFmtId="0" fontId="0" fillId="5" borderId="0" xfId="0" applyFill="1"/>
    <xf numFmtId="0" fontId="8" fillId="0" borderId="1" xfId="0" applyFont="1" applyBorder="1"/>
    <xf numFmtId="176" fontId="5" fillId="0" borderId="0" xfId="0" applyNumberFormat="1" applyFont="1" applyAlignment="1">
      <alignment vertical="center"/>
    </xf>
    <xf numFmtId="0" fontId="9" fillId="0" borderId="1" xfId="0" applyFont="1" applyBorder="1"/>
    <xf numFmtId="176" fontId="7" fillId="0" borderId="0" xfId="0" applyNumberFormat="1" applyFont="1" applyAlignment="1">
      <alignment vertical="center"/>
    </xf>
    <xf numFmtId="0" fontId="10" fillId="0" borderId="1" xfId="0" applyFont="1" applyBorder="1"/>
    <xf numFmtId="0" fontId="8" fillId="6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4"/>
    <xf numFmtId="0" fontId="2" fillId="0" borderId="0" xfId="4" applyFont="1"/>
    <xf numFmtId="2" fontId="1" fillId="0" borderId="0" xfId="4" applyNumberFormat="1" applyFont="1"/>
    <xf numFmtId="0" fontId="6" fillId="0" borderId="0" xfId="4" applyFont="1"/>
    <xf numFmtId="0" fontId="3" fillId="0" borderId="0" xfId="5"/>
    <xf numFmtId="0" fontId="3" fillId="0" borderId="0" xfId="6"/>
    <xf numFmtId="0" fontId="8" fillId="6" borderId="2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" fillId="0" borderId="0" xfId="4" applyFont="1"/>
    <xf numFmtId="0" fontId="7" fillId="0" borderId="0" xfId="0" applyFont="1"/>
    <xf numFmtId="0" fontId="1" fillId="0" borderId="0" xfId="6" applyFont="1"/>
    <xf numFmtId="0" fontId="1" fillId="0" borderId="0" xfId="5" applyFont="1"/>
    <xf numFmtId="0" fontId="12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49" fontId="0" fillId="0" borderId="0" xfId="0" applyNumberFormat="1"/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3" fillId="0" borderId="0" xfId="2" applyAlignment="1">
      <alignment vertical="center"/>
    </xf>
    <xf numFmtId="0" fontId="3" fillId="0" borderId="0" xfId="2"/>
    <xf numFmtId="0" fontId="3" fillId="2" borderId="0" xfId="2" applyFill="1"/>
    <xf numFmtId="0" fontId="3" fillId="3" borderId="0" xfId="2" applyFill="1"/>
    <xf numFmtId="0" fontId="3" fillId="4" borderId="0" xfId="2" applyFill="1"/>
    <xf numFmtId="0" fontId="5" fillId="0" borderId="0" xfId="2" applyFont="1"/>
    <xf numFmtId="0" fontId="6" fillId="0" borderId="0" xfId="2" applyFont="1"/>
    <xf numFmtId="0" fontId="5" fillId="4" borderId="0" xfId="2" applyFont="1" applyFill="1"/>
    <xf numFmtId="0" fontId="7" fillId="4" borderId="0" xfId="2" applyFont="1" applyFill="1"/>
    <xf numFmtId="0" fontId="5" fillId="3" borderId="0" xfId="2" applyFont="1" applyFill="1"/>
    <xf numFmtId="0" fontId="7" fillId="0" borderId="0" xfId="2" applyFont="1"/>
    <xf numFmtId="0" fontId="8" fillId="0" borderId="0" xfId="2" applyFont="1"/>
    <xf numFmtId="0" fontId="18" fillId="6" borderId="1" xfId="0" applyFont="1" applyFill="1" applyBorder="1" applyAlignment="1">
      <alignment horizontal="left" vertical="center" wrapText="1"/>
    </xf>
    <xf numFmtId="0" fontId="2" fillId="0" borderId="0" xfId="5" applyFont="1"/>
    <xf numFmtId="0" fontId="8" fillId="6" borderId="0" xfId="0" applyFont="1" applyFill="1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14" fillId="6" borderId="0" xfId="0" applyFont="1" applyFill="1" applyAlignment="1">
      <alignment horizontal="left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2 2 2" xfId="3" xr:uid="{00000000-0005-0000-0000-000033000000}"/>
    <cellStyle name="常规 3" xfId="4" xr:uid="{00000000-0005-0000-0000-000034000000}"/>
    <cellStyle name="常规 3 2" xfId="5" xr:uid="{00000000-0005-0000-0000-000035000000}"/>
    <cellStyle name="常规 5" xfId="6" xr:uid="{00000000-0005-0000-0000-00003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"/>
  <sheetViews>
    <sheetView tabSelected="1" topLeftCell="A10" zoomScale="85" zoomScaleNormal="85" workbookViewId="0">
      <pane ySplit="6" topLeftCell="A85" activePane="bottomLeft" state="frozen"/>
      <selection activeCell="A10" sqref="A10"/>
      <selection pane="bottomLeft" activeCell="L106" sqref="L106"/>
    </sheetView>
  </sheetViews>
  <sheetFormatPr defaultColWidth="11" defaultRowHeight="13.8" x14ac:dyDescent="0.25"/>
  <cols>
    <col min="1" max="1" width="26.88671875" style="45" customWidth="1"/>
    <col min="2" max="2" width="15.6640625" style="45" customWidth="1"/>
    <col min="3" max="3" width="12.6640625" style="45" customWidth="1"/>
    <col min="4" max="4" width="11" style="45" customWidth="1"/>
    <col min="5" max="5" width="12.33203125" style="45" customWidth="1"/>
    <col min="6" max="7" width="22.44140625" style="45" customWidth="1"/>
    <col min="8" max="8" width="22.88671875" style="46" customWidth="1"/>
    <col min="9" max="9" width="17.21875" style="45" customWidth="1"/>
    <col min="10" max="10" width="15.88671875" style="45" customWidth="1"/>
    <col min="11" max="11" width="14.6640625" style="45" customWidth="1"/>
    <col min="12" max="12" width="13" style="45" customWidth="1"/>
    <col min="13" max="13" width="14.44140625" style="45" customWidth="1"/>
    <col min="14" max="14" width="17.21875" style="45" customWidth="1"/>
    <col min="15" max="15" width="13" style="45" customWidth="1"/>
    <col min="16" max="16" width="16.33203125" style="45" customWidth="1"/>
    <col min="17" max="17" width="11" style="45" customWidth="1"/>
    <col min="18" max="16384" width="11" style="45"/>
  </cols>
  <sheetData>
    <row r="1" spans="1:12" x14ac:dyDescent="0.25">
      <c r="A1" s="47" t="s">
        <v>0</v>
      </c>
      <c r="B1" s="45" t="s">
        <v>1</v>
      </c>
      <c r="C1" s="45" t="s">
        <v>2</v>
      </c>
    </row>
    <row r="2" spans="1:12" x14ac:dyDescent="0.25">
      <c r="A2" s="47" t="s">
        <v>3</v>
      </c>
      <c r="B2" s="45" t="s">
        <v>4</v>
      </c>
      <c r="C2" s="45" t="s">
        <v>5</v>
      </c>
    </row>
    <row r="3" spans="1:12" x14ac:dyDescent="0.25">
      <c r="A3" s="47" t="s">
        <v>6</v>
      </c>
      <c r="B3" s="48" t="s">
        <v>7</v>
      </c>
      <c r="C3" s="45" t="s">
        <v>8</v>
      </c>
    </row>
    <row r="4" spans="1:12" x14ac:dyDescent="0.25">
      <c r="A4" s="47" t="s">
        <v>9</v>
      </c>
      <c r="B4" s="49" t="s">
        <v>10</v>
      </c>
    </row>
    <row r="5" spans="1:12" x14ac:dyDescent="0.25">
      <c r="A5" s="47" t="s">
        <v>11</v>
      </c>
      <c r="C5" s="45" t="s">
        <v>12</v>
      </c>
    </row>
    <row r="6" spans="1:12" x14ac:dyDescent="0.25">
      <c r="A6" s="47" t="s">
        <v>13</v>
      </c>
      <c r="B6" s="45">
        <v>4</v>
      </c>
      <c r="C6" s="45" t="s">
        <v>14</v>
      </c>
    </row>
    <row r="7" spans="1:12" x14ac:dyDescent="0.25">
      <c r="A7" s="47" t="s">
        <v>15</v>
      </c>
    </row>
    <row r="8" spans="1:12" x14ac:dyDescent="0.25">
      <c r="A8" s="47" t="s">
        <v>16</v>
      </c>
    </row>
    <row r="11" spans="1:12" ht="15.6" x14ac:dyDescent="0.3">
      <c r="A11" s="50" t="s">
        <v>17</v>
      </c>
      <c r="B11" s="43" t="s">
        <v>18</v>
      </c>
      <c r="C11" s="43" t="s">
        <v>19</v>
      </c>
      <c r="D11" s="43" t="s">
        <v>20</v>
      </c>
      <c r="E11" s="51" t="s">
        <v>21</v>
      </c>
      <c r="F11" s="51" t="s">
        <v>22</v>
      </c>
      <c r="G11" s="51" t="s">
        <v>23</v>
      </c>
      <c r="H11" s="43" t="s">
        <v>23</v>
      </c>
      <c r="I11" s="43" t="s">
        <v>24</v>
      </c>
      <c r="J11" s="43" t="s">
        <v>25</v>
      </c>
      <c r="K11" s="45" t="s">
        <v>26</v>
      </c>
      <c r="L11" s="45" t="s">
        <v>681</v>
      </c>
    </row>
    <row r="12" spans="1:12" ht="15.6" x14ac:dyDescent="0.3">
      <c r="A12" s="52" t="s">
        <v>27</v>
      </c>
      <c r="B12" s="52" t="s">
        <v>28</v>
      </c>
      <c r="C12" s="52" t="s">
        <v>29</v>
      </c>
      <c r="D12" s="52" t="s">
        <v>30</v>
      </c>
      <c r="E12" s="53" t="s">
        <v>31</v>
      </c>
      <c r="F12" s="53" t="s">
        <v>32</v>
      </c>
      <c r="G12" s="53" t="s">
        <v>33</v>
      </c>
      <c r="H12" s="54" t="s">
        <v>34</v>
      </c>
      <c r="I12" s="52" t="s">
        <v>35</v>
      </c>
      <c r="J12" s="52" t="s">
        <v>36</v>
      </c>
      <c r="K12" s="49" t="s">
        <v>37</v>
      </c>
      <c r="L12" s="49" t="s">
        <v>682</v>
      </c>
    </row>
    <row r="13" spans="1:12" ht="15.6" x14ac:dyDescent="0.3">
      <c r="A13" s="52" t="s">
        <v>38</v>
      </c>
      <c r="B13" s="52" t="s">
        <v>38</v>
      </c>
      <c r="C13" s="52" t="s">
        <v>39</v>
      </c>
      <c r="D13" s="52" t="s">
        <v>38</v>
      </c>
      <c r="E13" s="52" t="s">
        <v>40</v>
      </c>
      <c r="F13" s="52" t="s">
        <v>40</v>
      </c>
      <c r="G13" s="52" t="s">
        <v>38</v>
      </c>
      <c r="H13" s="54" t="s">
        <v>40</v>
      </c>
      <c r="I13" s="52" t="s">
        <v>40</v>
      </c>
      <c r="J13" s="52" t="s">
        <v>38</v>
      </c>
      <c r="K13" s="49" t="s">
        <v>41</v>
      </c>
      <c r="L13" s="49" t="s">
        <v>683</v>
      </c>
    </row>
    <row r="14" spans="1:12" ht="15.6" x14ac:dyDescent="0.3">
      <c r="A14" s="52" t="s">
        <v>42</v>
      </c>
      <c r="B14" s="52" t="s">
        <v>43</v>
      </c>
      <c r="C14" s="52" t="s">
        <v>43</v>
      </c>
      <c r="D14" s="52" t="s">
        <v>43</v>
      </c>
      <c r="E14" s="52" t="s">
        <v>43</v>
      </c>
      <c r="F14" s="52" t="s">
        <v>43</v>
      </c>
      <c r="G14" s="52" t="s">
        <v>43</v>
      </c>
      <c r="H14" s="54" t="s">
        <v>44</v>
      </c>
      <c r="I14" s="52" t="s">
        <v>43</v>
      </c>
      <c r="J14" s="52" t="s">
        <v>43</v>
      </c>
      <c r="K14" s="49" t="s">
        <v>43</v>
      </c>
      <c r="L14" s="49" t="s">
        <v>684</v>
      </c>
    </row>
    <row r="15" spans="1:12" ht="15.6" x14ac:dyDescent="0.3">
      <c r="A15" s="52">
        <v>0</v>
      </c>
      <c r="B15" s="52">
        <v>0</v>
      </c>
      <c r="C15" s="52">
        <v>0</v>
      </c>
      <c r="D15" s="52">
        <v>0</v>
      </c>
      <c r="E15" s="52" t="s">
        <v>45</v>
      </c>
      <c r="F15" s="52" t="s">
        <v>45</v>
      </c>
      <c r="G15" s="52">
        <v>0</v>
      </c>
      <c r="H15" s="54"/>
      <c r="I15" s="52">
        <v>0</v>
      </c>
      <c r="J15" s="52">
        <v>0</v>
      </c>
      <c r="K15" s="49" t="s">
        <v>46</v>
      </c>
      <c r="L15" s="49">
        <v>0</v>
      </c>
    </row>
    <row r="16" spans="1:12" s="43" customFormat="1" ht="15.6" x14ac:dyDescent="0.3">
      <c r="A16" s="50">
        <v>1</v>
      </c>
      <c r="B16" s="43">
        <v>20000</v>
      </c>
      <c r="C16" s="43">
        <v>0</v>
      </c>
      <c r="D16" s="43">
        <v>20</v>
      </c>
      <c r="E16" s="43" t="s">
        <v>690</v>
      </c>
      <c r="J16" s="43">
        <v>1</v>
      </c>
      <c r="K16" s="43" t="s">
        <v>46</v>
      </c>
    </row>
    <row r="17" spans="1:11" s="43" customFormat="1" ht="15.6" x14ac:dyDescent="0.3">
      <c r="A17" s="50">
        <v>2</v>
      </c>
      <c r="B17" s="43">
        <v>50000</v>
      </c>
      <c r="C17" s="43">
        <v>4000</v>
      </c>
      <c r="D17" s="43">
        <v>50</v>
      </c>
      <c r="E17" s="43" t="s">
        <v>691</v>
      </c>
      <c r="J17" s="43">
        <v>1</v>
      </c>
      <c r="K17" s="43" t="s">
        <v>46</v>
      </c>
    </row>
    <row r="18" spans="1:11" s="43" customFormat="1" ht="15.6" x14ac:dyDescent="0.3">
      <c r="A18" s="50">
        <v>3</v>
      </c>
      <c r="B18" s="43">
        <v>100000</v>
      </c>
      <c r="C18" s="43">
        <v>10000</v>
      </c>
      <c r="D18" s="43">
        <v>100</v>
      </c>
      <c r="E18" s="43" t="s">
        <v>692</v>
      </c>
      <c r="J18" s="43">
        <v>1</v>
      </c>
      <c r="K18" s="43" t="s">
        <v>46</v>
      </c>
    </row>
    <row r="19" spans="1:11" s="43" customFormat="1" ht="15.6" x14ac:dyDescent="0.3">
      <c r="A19" s="54">
        <v>4</v>
      </c>
      <c r="B19" s="43">
        <v>200000</v>
      </c>
      <c r="C19" s="43">
        <v>24000</v>
      </c>
      <c r="D19" s="43">
        <v>200</v>
      </c>
      <c r="E19" s="43" t="s">
        <v>49</v>
      </c>
      <c r="J19" s="43">
        <v>1</v>
      </c>
      <c r="K19" s="43" t="s">
        <v>46</v>
      </c>
    </row>
    <row r="20" spans="1:11" ht="15.6" x14ac:dyDescent="0.3">
      <c r="A20" s="50">
        <v>5</v>
      </c>
      <c r="B20" s="43">
        <v>500000</v>
      </c>
      <c r="C20" s="43">
        <v>75000</v>
      </c>
      <c r="D20" s="43">
        <v>500</v>
      </c>
      <c r="E20" s="43" t="s">
        <v>50</v>
      </c>
      <c r="F20" s="43"/>
      <c r="G20" s="43"/>
      <c r="H20" s="43"/>
      <c r="I20" s="43"/>
      <c r="J20" s="43">
        <v>1</v>
      </c>
      <c r="K20" s="43" t="s">
        <v>46</v>
      </c>
    </row>
    <row r="21" spans="1:11" s="43" customFormat="1" ht="15.6" x14ac:dyDescent="0.3">
      <c r="A21" s="54">
        <v>6</v>
      </c>
      <c r="B21" s="43">
        <v>1000000</v>
      </c>
      <c r="C21" s="43">
        <v>180000</v>
      </c>
      <c r="D21" s="43">
        <v>1000</v>
      </c>
      <c r="E21" s="43" t="s">
        <v>51</v>
      </c>
      <c r="J21" s="43">
        <v>1</v>
      </c>
      <c r="K21" s="43" t="s">
        <v>46</v>
      </c>
    </row>
    <row r="22" spans="1:11" s="43" customFormat="1" ht="15.6" x14ac:dyDescent="0.3">
      <c r="A22" s="50">
        <v>7</v>
      </c>
      <c r="B22" s="43">
        <v>3000000</v>
      </c>
      <c r="C22" s="43">
        <v>600000</v>
      </c>
      <c r="D22" s="43">
        <v>3000</v>
      </c>
      <c r="E22" s="43" t="s">
        <v>693</v>
      </c>
      <c r="J22" s="43">
        <v>1</v>
      </c>
      <c r="K22" s="43" t="s">
        <v>46</v>
      </c>
    </row>
    <row r="23" spans="1:11" s="43" customFormat="1" ht="15.6" x14ac:dyDescent="0.3">
      <c r="A23" s="54">
        <v>8</v>
      </c>
      <c r="B23" s="43">
        <v>5000000</v>
      </c>
      <c r="C23" s="43">
        <v>1500000</v>
      </c>
      <c r="D23" s="43">
        <v>5000</v>
      </c>
      <c r="E23" s="43" t="s">
        <v>52</v>
      </c>
      <c r="J23" s="43">
        <v>1</v>
      </c>
      <c r="K23" s="43" t="s">
        <v>46</v>
      </c>
    </row>
    <row r="24" spans="1:11" s="43" customFormat="1" ht="15.6" x14ac:dyDescent="0.3">
      <c r="A24" s="50">
        <v>9</v>
      </c>
      <c r="B24" s="50">
        <v>10000</v>
      </c>
      <c r="C24" s="43">
        <v>0</v>
      </c>
      <c r="D24" s="43">
        <v>10</v>
      </c>
      <c r="E24" s="43" t="s">
        <v>53</v>
      </c>
      <c r="F24" s="43" t="s">
        <v>54</v>
      </c>
      <c r="G24" s="43">
        <v>900012</v>
      </c>
      <c r="H24" s="50" t="s">
        <v>55</v>
      </c>
      <c r="I24" s="43" t="s">
        <v>56</v>
      </c>
      <c r="J24" s="43">
        <v>2</v>
      </c>
      <c r="K24" s="43" t="s">
        <v>46</v>
      </c>
    </row>
    <row r="25" spans="1:11" ht="15.6" x14ac:dyDescent="0.3">
      <c r="A25" s="50">
        <v>10</v>
      </c>
      <c r="B25" s="50">
        <v>30000</v>
      </c>
      <c r="C25" s="43">
        <v>0</v>
      </c>
      <c r="D25" s="43">
        <v>30</v>
      </c>
      <c r="E25" s="43" t="s">
        <v>57</v>
      </c>
      <c r="F25" s="43" t="s">
        <v>54</v>
      </c>
      <c r="G25" s="43">
        <v>900022</v>
      </c>
      <c r="H25" s="50" t="s">
        <v>58</v>
      </c>
      <c r="I25" s="43" t="s">
        <v>59</v>
      </c>
      <c r="J25" s="43">
        <v>2</v>
      </c>
      <c r="K25" s="43" t="s">
        <v>46</v>
      </c>
    </row>
    <row r="26" spans="1:11" s="44" customFormat="1" ht="15.6" x14ac:dyDescent="0.3">
      <c r="A26" s="50">
        <v>11</v>
      </c>
      <c r="B26" s="50">
        <v>60000</v>
      </c>
      <c r="C26" s="43">
        <v>0</v>
      </c>
      <c r="D26" s="43">
        <v>60</v>
      </c>
      <c r="E26" s="44" t="s">
        <v>57</v>
      </c>
      <c r="F26" s="44" t="s">
        <v>54</v>
      </c>
      <c r="G26" s="43">
        <v>900032</v>
      </c>
      <c r="H26" s="50" t="s">
        <v>60</v>
      </c>
      <c r="I26" s="44" t="s">
        <v>61</v>
      </c>
      <c r="J26" s="43">
        <v>2</v>
      </c>
      <c r="K26" s="43" t="s">
        <v>46</v>
      </c>
    </row>
    <row r="27" spans="1:11" ht="15.6" x14ac:dyDescent="0.3">
      <c r="A27" s="50">
        <v>12</v>
      </c>
      <c r="B27" s="50">
        <v>120000</v>
      </c>
      <c r="C27" s="43">
        <v>0</v>
      </c>
      <c r="D27" s="43">
        <v>120</v>
      </c>
      <c r="E27" s="50" t="s">
        <v>57</v>
      </c>
      <c r="F27" s="43" t="s">
        <v>54</v>
      </c>
      <c r="G27" s="43">
        <v>900042</v>
      </c>
      <c r="H27" s="50" t="s">
        <v>62</v>
      </c>
      <c r="I27" s="43" t="s">
        <v>63</v>
      </c>
      <c r="J27" s="43">
        <v>2</v>
      </c>
      <c r="K27" s="43" t="s">
        <v>46</v>
      </c>
    </row>
    <row r="28" spans="1:11" ht="15.6" x14ac:dyDescent="0.3">
      <c r="A28" s="50">
        <v>13</v>
      </c>
      <c r="B28" s="50">
        <v>180000</v>
      </c>
      <c r="C28" s="43">
        <v>0</v>
      </c>
      <c r="D28" s="43">
        <v>180</v>
      </c>
      <c r="E28" s="50" t="s">
        <v>64</v>
      </c>
      <c r="F28" s="51" t="s">
        <v>54</v>
      </c>
      <c r="G28" s="43">
        <v>900052</v>
      </c>
      <c r="H28" s="50" t="s">
        <v>65</v>
      </c>
      <c r="I28" s="43" t="s">
        <v>66</v>
      </c>
      <c r="J28" s="43">
        <v>2</v>
      </c>
      <c r="K28" s="43" t="s">
        <v>46</v>
      </c>
    </row>
    <row r="29" spans="1:11" ht="15.6" x14ac:dyDescent="0.3">
      <c r="A29" s="50">
        <v>14</v>
      </c>
      <c r="B29" s="50">
        <v>300000</v>
      </c>
      <c r="C29" s="43">
        <v>0</v>
      </c>
      <c r="D29" s="43">
        <v>300</v>
      </c>
      <c r="E29" s="50" t="s">
        <v>64</v>
      </c>
      <c r="F29" s="50" t="s">
        <v>54</v>
      </c>
      <c r="G29" s="43">
        <v>900062</v>
      </c>
      <c r="H29" s="50" t="s">
        <v>67</v>
      </c>
      <c r="I29" s="43" t="s">
        <v>68</v>
      </c>
      <c r="J29" s="43">
        <v>2</v>
      </c>
      <c r="K29" s="43" t="s">
        <v>46</v>
      </c>
    </row>
    <row r="30" spans="1:11" ht="15.6" x14ac:dyDescent="0.3">
      <c r="A30" s="50">
        <v>15</v>
      </c>
      <c r="B30" s="50">
        <v>500000</v>
      </c>
      <c r="C30" s="43">
        <v>0</v>
      </c>
      <c r="D30" s="43">
        <v>500</v>
      </c>
      <c r="E30" s="50" t="s">
        <v>69</v>
      </c>
      <c r="F30" s="50" t="s">
        <v>54</v>
      </c>
      <c r="G30" s="43">
        <v>900072</v>
      </c>
      <c r="H30" s="50" t="s">
        <v>70</v>
      </c>
      <c r="I30" s="43" t="s">
        <v>71</v>
      </c>
      <c r="J30" s="43">
        <v>2</v>
      </c>
      <c r="K30" s="43" t="s">
        <v>46</v>
      </c>
    </row>
    <row r="31" spans="1:11" ht="15.6" x14ac:dyDescent="0.3">
      <c r="A31" s="50">
        <v>16</v>
      </c>
      <c r="B31" s="50">
        <v>680000</v>
      </c>
      <c r="C31" s="43">
        <v>0</v>
      </c>
      <c r="D31" s="43">
        <v>680</v>
      </c>
      <c r="E31" s="50" t="s">
        <v>69</v>
      </c>
      <c r="F31" s="50" t="s">
        <v>54</v>
      </c>
      <c r="G31" s="43">
        <v>900082</v>
      </c>
      <c r="H31" s="50" t="s">
        <v>72</v>
      </c>
      <c r="I31" s="43" t="s">
        <v>73</v>
      </c>
      <c r="J31" s="43">
        <v>2</v>
      </c>
      <c r="K31" s="43" t="s">
        <v>46</v>
      </c>
    </row>
    <row r="32" spans="1:11" ht="15.6" x14ac:dyDescent="0.3">
      <c r="A32" s="50">
        <v>17</v>
      </c>
      <c r="B32" s="50">
        <v>980000</v>
      </c>
      <c r="C32" s="43">
        <v>0</v>
      </c>
      <c r="D32" s="43">
        <v>980</v>
      </c>
      <c r="E32" s="50" t="s">
        <v>74</v>
      </c>
      <c r="F32" s="50" t="s">
        <v>54</v>
      </c>
      <c r="G32" s="43">
        <v>900092</v>
      </c>
      <c r="H32" s="50" t="s">
        <v>75</v>
      </c>
      <c r="I32" s="43" t="s">
        <v>76</v>
      </c>
      <c r="J32" s="43">
        <v>2</v>
      </c>
      <c r="K32" s="43" t="s">
        <v>46</v>
      </c>
    </row>
    <row r="33" spans="1:14" ht="15.6" x14ac:dyDescent="0.3">
      <c r="A33" s="50">
        <v>18</v>
      </c>
      <c r="B33" s="50">
        <v>1280000</v>
      </c>
      <c r="C33" s="43">
        <v>0</v>
      </c>
      <c r="D33" s="43">
        <v>1280</v>
      </c>
      <c r="E33" s="50" t="s">
        <v>77</v>
      </c>
      <c r="F33" s="50" t="s">
        <v>54</v>
      </c>
      <c r="G33" s="43">
        <v>900102</v>
      </c>
      <c r="H33" s="50" t="s">
        <v>78</v>
      </c>
      <c r="I33" s="43" t="s">
        <v>79</v>
      </c>
      <c r="J33" s="43">
        <v>2</v>
      </c>
      <c r="K33" s="43" t="s">
        <v>46</v>
      </c>
    </row>
    <row r="34" spans="1:14" ht="15.6" x14ac:dyDescent="0.3">
      <c r="A34" s="50">
        <v>19</v>
      </c>
      <c r="B34" s="50">
        <v>1980000</v>
      </c>
      <c r="C34" s="43">
        <v>0</v>
      </c>
      <c r="D34" s="43">
        <v>1980</v>
      </c>
      <c r="E34" s="50" t="s">
        <v>80</v>
      </c>
      <c r="F34" s="50" t="s">
        <v>54</v>
      </c>
      <c r="G34" s="43">
        <v>900112</v>
      </c>
      <c r="H34" s="50" t="s">
        <v>81</v>
      </c>
      <c r="I34" s="43" t="s">
        <v>82</v>
      </c>
      <c r="J34" s="43">
        <v>2</v>
      </c>
      <c r="K34" s="43" t="s">
        <v>46</v>
      </c>
    </row>
    <row r="35" spans="1:14" ht="15.6" x14ac:dyDescent="0.3">
      <c r="A35" s="50">
        <v>20</v>
      </c>
      <c r="B35" s="50">
        <v>3280000</v>
      </c>
      <c r="C35" s="43">
        <v>0</v>
      </c>
      <c r="D35" s="43">
        <v>3280</v>
      </c>
      <c r="E35" s="50" t="s">
        <v>80</v>
      </c>
      <c r="F35" s="50" t="s">
        <v>54</v>
      </c>
      <c r="G35" s="43">
        <v>900122</v>
      </c>
      <c r="H35" s="50" t="s">
        <v>83</v>
      </c>
      <c r="I35" s="43" t="s">
        <v>84</v>
      </c>
      <c r="J35" s="43">
        <v>2</v>
      </c>
      <c r="K35" s="43" t="s">
        <v>46</v>
      </c>
    </row>
    <row r="36" spans="1:14" ht="15.6" x14ac:dyDescent="0.3">
      <c r="A36" s="50">
        <v>21</v>
      </c>
      <c r="B36" s="50">
        <v>6480000</v>
      </c>
      <c r="C36" s="43">
        <v>0</v>
      </c>
      <c r="D36" s="43">
        <v>6480</v>
      </c>
      <c r="E36" s="50" t="s">
        <v>80</v>
      </c>
      <c r="F36" s="50" t="s">
        <v>54</v>
      </c>
      <c r="G36" s="43">
        <v>900132</v>
      </c>
      <c r="H36" s="50" t="s">
        <v>85</v>
      </c>
      <c r="I36" s="43" t="s">
        <v>86</v>
      </c>
      <c r="J36" s="43">
        <v>2</v>
      </c>
      <c r="K36" s="43" t="s">
        <v>46</v>
      </c>
    </row>
    <row r="37" spans="1:14" ht="15.6" x14ac:dyDescent="0.3">
      <c r="A37" s="50">
        <v>22</v>
      </c>
      <c r="B37" s="50">
        <v>20000</v>
      </c>
      <c r="C37" s="43">
        <v>0</v>
      </c>
      <c r="D37" s="43">
        <v>20</v>
      </c>
      <c r="E37" s="50" t="s">
        <v>53</v>
      </c>
      <c r="F37" s="50" t="s">
        <v>87</v>
      </c>
      <c r="G37" s="43">
        <v>900142</v>
      </c>
      <c r="H37" s="50" t="s">
        <v>88</v>
      </c>
      <c r="I37" s="43" t="s">
        <v>89</v>
      </c>
      <c r="J37" s="43">
        <v>3</v>
      </c>
      <c r="K37" s="43" t="s">
        <v>46</v>
      </c>
    </row>
    <row r="38" spans="1:14" ht="15.6" x14ac:dyDescent="0.3">
      <c r="A38" s="50">
        <v>23</v>
      </c>
      <c r="B38" s="50">
        <v>50000</v>
      </c>
      <c r="C38" s="43">
        <v>4000</v>
      </c>
      <c r="D38" s="43">
        <v>50</v>
      </c>
      <c r="E38" s="50" t="s">
        <v>57</v>
      </c>
      <c r="F38" s="50" t="s">
        <v>87</v>
      </c>
      <c r="G38" s="43">
        <v>900152</v>
      </c>
      <c r="H38" s="50" t="s">
        <v>90</v>
      </c>
      <c r="I38" s="43" t="s">
        <v>91</v>
      </c>
      <c r="J38" s="43">
        <v>3</v>
      </c>
      <c r="K38" s="43" t="s">
        <v>46</v>
      </c>
    </row>
    <row r="39" spans="1:14" ht="15.6" x14ac:dyDescent="0.3">
      <c r="A39" s="50">
        <v>24</v>
      </c>
      <c r="B39" s="50">
        <v>120000</v>
      </c>
      <c r="C39" s="43">
        <v>12000</v>
      </c>
      <c r="D39" s="43">
        <v>120</v>
      </c>
      <c r="E39" s="50" t="s">
        <v>64</v>
      </c>
      <c r="F39" s="50" t="s">
        <v>87</v>
      </c>
      <c r="G39" s="43">
        <v>900162</v>
      </c>
      <c r="H39" s="50" t="s">
        <v>92</v>
      </c>
      <c r="I39" s="43" t="s">
        <v>93</v>
      </c>
      <c r="J39" s="43">
        <v>3</v>
      </c>
      <c r="K39" s="43" t="s">
        <v>46</v>
      </c>
    </row>
    <row r="40" spans="1:14" ht="15.6" x14ac:dyDescent="0.3">
      <c r="A40" s="50">
        <v>25</v>
      </c>
      <c r="B40" s="50">
        <v>200000</v>
      </c>
      <c r="C40" s="43">
        <v>24000</v>
      </c>
      <c r="D40" s="43">
        <v>200</v>
      </c>
      <c r="E40" s="50" t="s">
        <v>69</v>
      </c>
      <c r="F40" s="50" t="s">
        <v>87</v>
      </c>
      <c r="G40" s="43">
        <v>900172</v>
      </c>
      <c r="H40" s="50" t="s">
        <v>94</v>
      </c>
      <c r="I40" s="43" t="s">
        <v>95</v>
      </c>
      <c r="J40" s="43">
        <v>3</v>
      </c>
      <c r="K40" s="43" t="s">
        <v>46</v>
      </c>
    </row>
    <row r="41" spans="1:14" ht="15.6" x14ac:dyDescent="0.3">
      <c r="A41" s="50">
        <v>26</v>
      </c>
      <c r="B41" s="50">
        <v>500000</v>
      </c>
      <c r="C41" s="43">
        <v>75000</v>
      </c>
      <c r="D41" s="43">
        <v>500</v>
      </c>
      <c r="E41" s="50" t="s">
        <v>69</v>
      </c>
      <c r="F41" s="50" t="s">
        <v>87</v>
      </c>
      <c r="G41" s="43">
        <v>900182</v>
      </c>
      <c r="H41" s="50" t="s">
        <v>96</v>
      </c>
      <c r="I41" s="43" t="s">
        <v>97</v>
      </c>
      <c r="J41" s="43">
        <v>3</v>
      </c>
      <c r="K41" s="43" t="s">
        <v>46</v>
      </c>
    </row>
    <row r="42" spans="1:14" ht="15.6" x14ac:dyDescent="0.3">
      <c r="A42" s="50">
        <v>27</v>
      </c>
      <c r="B42" s="50">
        <v>1000000</v>
      </c>
      <c r="C42" s="43">
        <v>180000</v>
      </c>
      <c r="D42" s="43">
        <v>1000</v>
      </c>
      <c r="E42" s="50" t="s">
        <v>69</v>
      </c>
      <c r="F42" s="50" t="s">
        <v>87</v>
      </c>
      <c r="G42" s="43">
        <v>900192</v>
      </c>
      <c r="H42" s="50" t="s">
        <v>98</v>
      </c>
      <c r="I42" s="43" t="s">
        <v>99</v>
      </c>
      <c r="J42" s="43">
        <v>3</v>
      </c>
      <c r="K42" s="43" t="s">
        <v>46</v>
      </c>
    </row>
    <row r="43" spans="1:14" ht="15.6" x14ac:dyDescent="0.3">
      <c r="A43" s="50">
        <v>28</v>
      </c>
      <c r="B43" s="50">
        <v>3000000</v>
      </c>
      <c r="C43" s="43">
        <v>600000</v>
      </c>
      <c r="D43" s="43">
        <v>3000</v>
      </c>
      <c r="E43" s="50" t="s">
        <v>69</v>
      </c>
      <c r="F43" s="50" t="s">
        <v>87</v>
      </c>
      <c r="G43" s="43">
        <v>900202</v>
      </c>
      <c r="H43" s="50" t="s">
        <v>100</v>
      </c>
      <c r="I43" s="43" t="s">
        <v>101</v>
      </c>
      <c r="J43" s="43">
        <v>3</v>
      </c>
      <c r="K43" s="43" t="s">
        <v>46</v>
      </c>
    </row>
    <row r="44" spans="1:14" ht="15.6" x14ac:dyDescent="0.3">
      <c r="A44" s="50">
        <v>29</v>
      </c>
      <c r="B44" s="50">
        <v>5000000</v>
      </c>
      <c r="C44" s="43">
        <v>1500000</v>
      </c>
      <c r="D44" s="43">
        <v>5000</v>
      </c>
      <c r="E44" s="50" t="s">
        <v>69</v>
      </c>
      <c r="F44" s="50" t="s">
        <v>87</v>
      </c>
      <c r="G44" s="43">
        <v>900212</v>
      </c>
      <c r="H44" s="50" t="s">
        <v>102</v>
      </c>
      <c r="I44" s="43" t="s">
        <v>103</v>
      </c>
      <c r="J44" s="43">
        <v>3</v>
      </c>
      <c r="K44" s="43" t="s">
        <v>46</v>
      </c>
    </row>
    <row r="45" spans="1:14" ht="15.6" x14ac:dyDescent="0.3">
      <c r="A45" s="50">
        <v>30</v>
      </c>
      <c r="B45" s="50">
        <v>10000</v>
      </c>
      <c r="C45" s="43">
        <v>0</v>
      </c>
      <c r="D45" s="43">
        <v>10</v>
      </c>
      <c r="E45" s="50" t="s">
        <v>53</v>
      </c>
      <c r="F45" s="50" t="s">
        <v>87</v>
      </c>
      <c r="G45" s="43">
        <v>900222</v>
      </c>
      <c r="H45" s="50" t="s">
        <v>104</v>
      </c>
      <c r="I45" s="43"/>
      <c r="J45" s="43">
        <v>4</v>
      </c>
      <c r="K45" s="43" t="s">
        <v>46</v>
      </c>
      <c r="L45" s="50"/>
      <c r="N45" s="45">
        <f t="shared" ref="N45:N57" si="0">L45*M45</f>
        <v>0</v>
      </c>
    </row>
    <row r="46" spans="1:14" ht="15.6" x14ac:dyDescent="0.3">
      <c r="A46" s="50">
        <v>31</v>
      </c>
      <c r="B46" s="50">
        <v>20000</v>
      </c>
      <c r="C46" s="43">
        <v>1000</v>
      </c>
      <c r="D46" s="43">
        <v>20</v>
      </c>
      <c r="E46" s="50" t="s">
        <v>57</v>
      </c>
      <c r="F46" s="50" t="s">
        <v>87</v>
      </c>
      <c r="G46" s="43">
        <v>900232</v>
      </c>
      <c r="H46" s="50" t="s">
        <v>105</v>
      </c>
      <c r="I46" s="43"/>
      <c r="J46" s="43">
        <v>4</v>
      </c>
      <c r="K46" s="43" t="s">
        <v>46</v>
      </c>
      <c r="L46" s="50"/>
      <c r="N46" s="45">
        <f t="shared" si="0"/>
        <v>0</v>
      </c>
    </row>
    <row r="47" spans="1:14" ht="15.6" x14ac:dyDescent="0.3">
      <c r="A47" s="50">
        <v>32</v>
      </c>
      <c r="B47" s="50">
        <v>60000</v>
      </c>
      <c r="C47" s="43">
        <v>4800</v>
      </c>
      <c r="D47" s="43">
        <v>60</v>
      </c>
      <c r="E47" s="50" t="s">
        <v>64</v>
      </c>
      <c r="F47" s="50" t="s">
        <v>87</v>
      </c>
      <c r="G47" s="43">
        <v>900242</v>
      </c>
      <c r="H47" s="50" t="s">
        <v>106</v>
      </c>
      <c r="I47" s="43"/>
      <c r="J47" s="43">
        <v>4</v>
      </c>
      <c r="K47" s="43" t="s">
        <v>46</v>
      </c>
      <c r="L47" s="50"/>
      <c r="N47" s="45">
        <f t="shared" si="0"/>
        <v>0</v>
      </c>
    </row>
    <row r="48" spans="1:14" ht="15.6" x14ac:dyDescent="0.3">
      <c r="A48" s="50">
        <v>33</v>
      </c>
      <c r="B48" s="50">
        <v>200000</v>
      </c>
      <c r="C48" s="43">
        <v>24000</v>
      </c>
      <c r="D48" s="43">
        <v>200</v>
      </c>
      <c r="E48" s="50" t="s">
        <v>64</v>
      </c>
      <c r="F48" s="50" t="s">
        <v>87</v>
      </c>
      <c r="G48" s="43">
        <v>900252</v>
      </c>
      <c r="H48" s="50" t="s">
        <v>107</v>
      </c>
      <c r="I48" s="43"/>
      <c r="J48" s="43">
        <v>4</v>
      </c>
      <c r="K48" s="43" t="s">
        <v>46</v>
      </c>
      <c r="L48" s="50"/>
      <c r="N48" s="45">
        <f t="shared" si="0"/>
        <v>0</v>
      </c>
    </row>
    <row r="49" spans="1:14" ht="15.6" x14ac:dyDescent="0.3">
      <c r="A49" s="50">
        <v>34</v>
      </c>
      <c r="B49" s="50">
        <v>500000</v>
      </c>
      <c r="C49" s="43">
        <v>75000</v>
      </c>
      <c r="D49" s="43">
        <v>500</v>
      </c>
      <c r="E49" s="50" t="s">
        <v>64</v>
      </c>
      <c r="F49" s="50" t="s">
        <v>87</v>
      </c>
      <c r="G49" s="43">
        <v>900262</v>
      </c>
      <c r="H49" s="50" t="s">
        <v>108</v>
      </c>
      <c r="I49" s="43"/>
      <c r="J49" s="43">
        <v>4</v>
      </c>
      <c r="K49" s="43" t="s">
        <v>46</v>
      </c>
      <c r="L49" s="50"/>
      <c r="N49" s="45">
        <f t="shared" si="0"/>
        <v>0</v>
      </c>
    </row>
    <row r="50" spans="1:14" ht="15.6" x14ac:dyDescent="0.3">
      <c r="A50" s="50">
        <v>35</v>
      </c>
      <c r="B50" s="50">
        <v>3000000</v>
      </c>
      <c r="C50" s="43">
        <v>540000</v>
      </c>
      <c r="D50" s="43">
        <v>3000</v>
      </c>
      <c r="E50" s="50" t="s">
        <v>64</v>
      </c>
      <c r="F50" s="50" t="s">
        <v>87</v>
      </c>
      <c r="G50" s="43">
        <v>900272</v>
      </c>
      <c r="H50" s="50" t="s">
        <v>109</v>
      </c>
      <c r="I50" s="43"/>
      <c r="J50" s="43">
        <v>4</v>
      </c>
      <c r="K50" s="43" t="s">
        <v>46</v>
      </c>
      <c r="L50" s="50"/>
      <c r="N50" s="45">
        <f t="shared" si="0"/>
        <v>0</v>
      </c>
    </row>
    <row r="51" spans="1:14" ht="15.6" x14ac:dyDescent="0.3">
      <c r="A51" s="50">
        <v>36</v>
      </c>
      <c r="B51" s="50">
        <v>10000</v>
      </c>
      <c r="C51" s="43">
        <v>0</v>
      </c>
      <c r="D51" s="43">
        <v>10</v>
      </c>
      <c r="E51" s="50" t="s">
        <v>53</v>
      </c>
      <c r="F51" s="50" t="s">
        <v>87</v>
      </c>
      <c r="G51" s="43">
        <v>900282</v>
      </c>
      <c r="H51" s="50" t="s">
        <v>110</v>
      </c>
      <c r="I51" s="43"/>
      <c r="J51" s="43">
        <v>5</v>
      </c>
      <c r="K51" s="43" t="s">
        <v>46</v>
      </c>
      <c r="L51" s="50"/>
      <c r="N51" s="45">
        <f t="shared" si="0"/>
        <v>0</v>
      </c>
    </row>
    <row r="52" spans="1:14" ht="15.6" x14ac:dyDescent="0.3">
      <c r="A52" s="50">
        <v>37</v>
      </c>
      <c r="B52" s="50">
        <v>20000</v>
      </c>
      <c r="C52" s="43">
        <v>1000</v>
      </c>
      <c r="D52" s="43">
        <v>20</v>
      </c>
      <c r="E52" s="43" t="s">
        <v>57</v>
      </c>
      <c r="F52" s="50" t="s">
        <v>87</v>
      </c>
      <c r="G52" s="43">
        <v>900292</v>
      </c>
      <c r="H52" s="50" t="s">
        <v>111</v>
      </c>
      <c r="I52" s="43"/>
      <c r="J52" s="43">
        <v>5</v>
      </c>
      <c r="K52" s="43" t="s">
        <v>46</v>
      </c>
      <c r="L52" s="50"/>
      <c r="N52" s="45">
        <f t="shared" si="0"/>
        <v>0</v>
      </c>
    </row>
    <row r="53" spans="1:14" ht="15.6" x14ac:dyDescent="0.3">
      <c r="A53" s="50">
        <v>38</v>
      </c>
      <c r="B53" s="50">
        <v>50000</v>
      </c>
      <c r="C53" s="43">
        <v>4000</v>
      </c>
      <c r="D53" s="43">
        <v>50</v>
      </c>
      <c r="E53" s="43" t="s">
        <v>57</v>
      </c>
      <c r="F53" s="50" t="s">
        <v>87</v>
      </c>
      <c r="G53" s="43">
        <v>900302</v>
      </c>
      <c r="H53" s="50" t="s">
        <v>112</v>
      </c>
      <c r="I53" s="43"/>
      <c r="J53" s="43">
        <v>5</v>
      </c>
      <c r="K53" s="43" t="s">
        <v>46</v>
      </c>
      <c r="L53" s="50"/>
      <c r="N53" s="45">
        <f t="shared" si="0"/>
        <v>0</v>
      </c>
    </row>
    <row r="54" spans="1:14" ht="15.6" x14ac:dyDescent="0.3">
      <c r="A54" s="50">
        <v>39</v>
      </c>
      <c r="B54" s="50">
        <v>100000</v>
      </c>
      <c r="C54" s="43">
        <v>10000</v>
      </c>
      <c r="D54" s="43">
        <v>100</v>
      </c>
      <c r="E54" s="43" t="s">
        <v>57</v>
      </c>
      <c r="F54" s="50" t="s">
        <v>87</v>
      </c>
      <c r="G54" s="43">
        <v>900312</v>
      </c>
      <c r="H54" s="50" t="s">
        <v>113</v>
      </c>
      <c r="I54" s="43"/>
      <c r="J54" s="43">
        <v>5</v>
      </c>
      <c r="K54" s="43" t="s">
        <v>46</v>
      </c>
      <c r="L54" s="50"/>
      <c r="N54" s="45">
        <f t="shared" si="0"/>
        <v>0</v>
      </c>
    </row>
    <row r="55" spans="1:14" ht="15.6" x14ac:dyDescent="0.3">
      <c r="A55" s="50">
        <v>40</v>
      </c>
      <c r="B55" s="50">
        <v>150000</v>
      </c>
      <c r="C55" s="43">
        <v>18000</v>
      </c>
      <c r="D55" s="43">
        <v>150</v>
      </c>
      <c r="E55" s="43" t="s">
        <v>57</v>
      </c>
      <c r="F55" s="50" t="s">
        <v>87</v>
      </c>
      <c r="G55" s="43">
        <v>900322</v>
      </c>
      <c r="H55" s="50" t="s">
        <v>114</v>
      </c>
      <c r="I55" s="43"/>
      <c r="J55" s="43">
        <v>5</v>
      </c>
      <c r="K55" s="43" t="s">
        <v>46</v>
      </c>
      <c r="L55" s="50"/>
      <c r="N55" s="45">
        <f t="shared" si="0"/>
        <v>0</v>
      </c>
    </row>
    <row r="56" spans="1:14" ht="15.6" x14ac:dyDescent="0.3">
      <c r="A56" s="50">
        <v>41</v>
      </c>
      <c r="B56" s="50">
        <v>300000</v>
      </c>
      <c r="C56" s="43">
        <v>45000</v>
      </c>
      <c r="D56" s="43">
        <v>300</v>
      </c>
      <c r="E56" s="43" t="s">
        <v>57</v>
      </c>
      <c r="F56" s="50" t="s">
        <v>87</v>
      </c>
      <c r="G56" s="43">
        <v>900332</v>
      </c>
      <c r="H56" s="50" t="s">
        <v>115</v>
      </c>
      <c r="I56" s="43"/>
      <c r="J56" s="43">
        <v>5</v>
      </c>
      <c r="K56" s="43" t="s">
        <v>46</v>
      </c>
      <c r="L56" s="50"/>
      <c r="N56" s="45">
        <f t="shared" si="0"/>
        <v>0</v>
      </c>
    </row>
    <row r="57" spans="1:14" ht="15.6" x14ac:dyDescent="0.3">
      <c r="A57" s="50">
        <v>42</v>
      </c>
      <c r="B57" s="50">
        <v>1000000</v>
      </c>
      <c r="C57" s="43">
        <v>180000</v>
      </c>
      <c r="D57" s="43">
        <v>1000</v>
      </c>
      <c r="E57" s="43" t="s">
        <v>64</v>
      </c>
      <c r="F57" s="50" t="s">
        <v>87</v>
      </c>
      <c r="G57" s="43">
        <v>900342</v>
      </c>
      <c r="H57" s="50" t="s">
        <v>116</v>
      </c>
      <c r="I57" s="43"/>
      <c r="J57" s="43">
        <v>5</v>
      </c>
      <c r="K57" s="43" t="s">
        <v>46</v>
      </c>
      <c r="L57" s="50"/>
      <c r="N57" s="45">
        <f t="shared" si="0"/>
        <v>0</v>
      </c>
    </row>
    <row r="58" spans="1:14" ht="15.6" x14ac:dyDescent="0.3">
      <c r="A58" s="50">
        <v>43</v>
      </c>
      <c r="B58" s="50">
        <v>20000</v>
      </c>
      <c r="C58" s="43">
        <v>0</v>
      </c>
      <c r="D58" s="43">
        <v>20</v>
      </c>
      <c r="E58" s="43" t="s">
        <v>117</v>
      </c>
      <c r="F58" s="50" t="s">
        <v>87</v>
      </c>
      <c r="G58" s="43">
        <v>900352</v>
      </c>
      <c r="H58" s="55" t="s">
        <v>118</v>
      </c>
      <c r="I58" s="43" t="s">
        <v>119</v>
      </c>
      <c r="J58" s="43">
        <v>6</v>
      </c>
      <c r="K58" s="43" t="s">
        <v>46</v>
      </c>
    </row>
    <row r="59" spans="1:14" ht="15.6" x14ac:dyDescent="0.3">
      <c r="A59" s="50">
        <v>44</v>
      </c>
      <c r="B59" s="50">
        <v>10000</v>
      </c>
      <c r="C59" s="43">
        <v>0</v>
      </c>
      <c r="D59" s="43">
        <v>10</v>
      </c>
      <c r="E59" s="43" t="s">
        <v>47</v>
      </c>
      <c r="G59" s="43">
        <v>900362</v>
      </c>
      <c r="H59" s="55" t="s">
        <v>120</v>
      </c>
      <c r="J59" s="43">
        <v>7</v>
      </c>
      <c r="K59" s="43" t="s">
        <v>46</v>
      </c>
    </row>
    <row r="60" spans="1:14" ht="15.6" x14ac:dyDescent="0.3">
      <c r="A60" s="50">
        <v>45</v>
      </c>
      <c r="B60" s="50">
        <v>30000</v>
      </c>
      <c r="C60" s="43">
        <v>1800</v>
      </c>
      <c r="D60" s="43">
        <v>30</v>
      </c>
      <c r="G60" s="43">
        <v>900372</v>
      </c>
      <c r="H60" s="55" t="s">
        <v>121</v>
      </c>
      <c r="J60" s="43">
        <v>8</v>
      </c>
      <c r="K60" s="43" t="s">
        <v>46</v>
      </c>
    </row>
    <row r="61" spans="1:14" ht="15.6" x14ac:dyDescent="0.3">
      <c r="A61" s="50">
        <v>46</v>
      </c>
      <c r="B61" s="50">
        <v>120000</v>
      </c>
      <c r="C61" s="43">
        <v>12000</v>
      </c>
      <c r="D61" s="43">
        <v>120</v>
      </c>
      <c r="G61" s="43">
        <v>900382</v>
      </c>
      <c r="H61" s="55" t="s">
        <v>122</v>
      </c>
      <c r="J61" s="43">
        <v>8</v>
      </c>
      <c r="K61" s="43" t="s">
        <v>46</v>
      </c>
    </row>
    <row r="62" spans="1:14" ht="15.6" x14ac:dyDescent="0.3">
      <c r="A62" s="50">
        <v>47</v>
      </c>
      <c r="B62" s="50">
        <v>500000</v>
      </c>
      <c r="C62" s="43">
        <v>75000</v>
      </c>
      <c r="D62" s="43">
        <v>500</v>
      </c>
      <c r="G62" s="43">
        <v>900392</v>
      </c>
      <c r="H62" s="55" t="s">
        <v>123</v>
      </c>
      <c r="J62" s="43">
        <v>8</v>
      </c>
      <c r="K62" s="43" t="s">
        <v>46</v>
      </c>
    </row>
    <row r="63" spans="1:14" ht="15.6" x14ac:dyDescent="0.3">
      <c r="A63" s="50">
        <v>48</v>
      </c>
      <c r="B63" s="50">
        <v>10000</v>
      </c>
      <c r="C63" s="43"/>
      <c r="D63" s="43">
        <v>10</v>
      </c>
      <c r="E63" s="43" t="s">
        <v>48</v>
      </c>
      <c r="G63" s="43">
        <v>900402</v>
      </c>
      <c r="H63" s="55" t="s">
        <v>124</v>
      </c>
      <c r="J63" s="43">
        <v>9</v>
      </c>
      <c r="K63" s="43" t="s">
        <v>46</v>
      </c>
    </row>
    <row r="64" spans="1:14" ht="15.6" x14ac:dyDescent="0.3">
      <c r="A64" s="50">
        <v>49</v>
      </c>
      <c r="B64" s="50">
        <v>30000</v>
      </c>
      <c r="C64" s="43">
        <v>0</v>
      </c>
      <c r="D64" s="43">
        <v>30</v>
      </c>
      <c r="E64" s="43" t="s">
        <v>48</v>
      </c>
      <c r="G64" s="43">
        <v>900412</v>
      </c>
      <c r="H64" s="55" t="s">
        <v>125</v>
      </c>
      <c r="J64" s="43">
        <v>9</v>
      </c>
      <c r="K64" s="43" t="s">
        <v>46</v>
      </c>
    </row>
    <row r="65" spans="1:11" ht="15.6" x14ac:dyDescent="0.3">
      <c r="A65" s="50">
        <v>50</v>
      </c>
      <c r="B65" s="50">
        <v>60000</v>
      </c>
      <c r="C65" s="43">
        <v>4800</v>
      </c>
      <c r="D65" s="43">
        <v>60</v>
      </c>
      <c r="E65" s="43" t="s">
        <v>48</v>
      </c>
      <c r="G65" s="43">
        <v>900422</v>
      </c>
      <c r="H65" s="55" t="s">
        <v>126</v>
      </c>
      <c r="J65" s="43">
        <v>9</v>
      </c>
      <c r="K65" s="43" t="s">
        <v>46</v>
      </c>
    </row>
    <row r="66" spans="1:11" ht="15.6" x14ac:dyDescent="0.3">
      <c r="A66" s="50">
        <v>51</v>
      </c>
      <c r="B66" s="50">
        <v>120000</v>
      </c>
      <c r="C66" s="43">
        <v>12000</v>
      </c>
      <c r="D66" s="43">
        <v>120</v>
      </c>
      <c r="E66" s="43" t="s">
        <v>48</v>
      </c>
      <c r="G66" s="43">
        <v>900432</v>
      </c>
      <c r="H66" s="55" t="s">
        <v>127</v>
      </c>
      <c r="J66" s="43">
        <v>9</v>
      </c>
      <c r="K66" s="43" t="s">
        <v>46</v>
      </c>
    </row>
    <row r="67" spans="1:11" ht="15.6" x14ac:dyDescent="0.3">
      <c r="A67" s="50">
        <v>52</v>
      </c>
      <c r="B67" s="50">
        <v>180000</v>
      </c>
      <c r="C67" s="43">
        <v>21600</v>
      </c>
      <c r="D67" s="43">
        <v>180</v>
      </c>
      <c r="E67" s="43" t="s">
        <v>48</v>
      </c>
      <c r="G67" s="43">
        <v>900442</v>
      </c>
      <c r="H67" s="55" t="s">
        <v>128</v>
      </c>
      <c r="J67" s="43">
        <v>9</v>
      </c>
      <c r="K67" s="43" t="s">
        <v>46</v>
      </c>
    </row>
    <row r="68" spans="1:11" ht="15.6" x14ac:dyDescent="0.3">
      <c r="A68" s="50">
        <v>53</v>
      </c>
      <c r="B68" s="50">
        <v>500000</v>
      </c>
      <c r="C68" s="50">
        <v>75000</v>
      </c>
      <c r="D68" s="43">
        <v>500</v>
      </c>
      <c r="E68" s="43" t="s">
        <v>48</v>
      </c>
      <c r="G68" s="43">
        <v>900452</v>
      </c>
      <c r="H68" s="55" t="s">
        <v>129</v>
      </c>
      <c r="J68" s="43">
        <v>9</v>
      </c>
      <c r="K68" s="43" t="s">
        <v>46</v>
      </c>
    </row>
    <row r="69" spans="1:11" ht="15.6" x14ac:dyDescent="0.3">
      <c r="A69" s="50">
        <v>54</v>
      </c>
      <c r="B69" s="50">
        <v>50000</v>
      </c>
      <c r="C69" s="43">
        <v>4000</v>
      </c>
      <c r="D69" s="43">
        <v>50</v>
      </c>
      <c r="E69" s="43" t="s">
        <v>47</v>
      </c>
      <c r="G69" s="43">
        <v>900462</v>
      </c>
      <c r="H69" s="55" t="s">
        <v>130</v>
      </c>
      <c r="J69" s="43">
        <v>7</v>
      </c>
      <c r="K69" s="43" t="s">
        <v>46</v>
      </c>
    </row>
    <row r="70" spans="1:11" ht="15.6" x14ac:dyDescent="0.3">
      <c r="A70" s="50">
        <v>55</v>
      </c>
      <c r="B70" s="50">
        <v>250000</v>
      </c>
      <c r="C70" s="43">
        <v>30000</v>
      </c>
      <c r="D70" s="43">
        <v>250</v>
      </c>
      <c r="E70" s="43" t="s">
        <v>47</v>
      </c>
      <c r="G70" s="43">
        <v>900472</v>
      </c>
      <c r="H70" s="55" t="s">
        <v>131</v>
      </c>
      <c r="J70" s="45">
        <v>7</v>
      </c>
      <c r="K70" s="43" t="s">
        <v>46</v>
      </c>
    </row>
    <row r="71" spans="1:11" ht="15.6" x14ac:dyDescent="0.3">
      <c r="A71" s="50">
        <v>56</v>
      </c>
      <c r="B71" s="50">
        <v>30000</v>
      </c>
      <c r="C71" s="43">
        <v>1500</v>
      </c>
      <c r="D71" s="43">
        <v>30</v>
      </c>
      <c r="E71" s="43" t="s">
        <v>47</v>
      </c>
      <c r="G71" s="43">
        <v>900482</v>
      </c>
      <c r="H71" s="55" t="s">
        <v>132</v>
      </c>
      <c r="J71" s="43">
        <v>7</v>
      </c>
      <c r="K71" s="43" t="s">
        <v>46</v>
      </c>
    </row>
    <row r="72" spans="1:11" ht="15.6" x14ac:dyDescent="0.3">
      <c r="A72" s="50">
        <v>57</v>
      </c>
      <c r="B72" s="50">
        <v>100000</v>
      </c>
      <c r="C72" s="43">
        <v>10000</v>
      </c>
      <c r="D72" s="43">
        <v>100</v>
      </c>
      <c r="E72" s="43" t="s">
        <v>47</v>
      </c>
      <c r="G72" s="43">
        <v>900492</v>
      </c>
      <c r="H72" s="55" t="s">
        <v>133</v>
      </c>
      <c r="J72" s="43">
        <v>7</v>
      </c>
      <c r="K72" s="43" t="s">
        <v>46</v>
      </c>
    </row>
    <row r="73" spans="1:11" ht="15.6" x14ac:dyDescent="0.3">
      <c r="A73" s="45">
        <v>58</v>
      </c>
      <c r="B73" s="50">
        <v>1000000</v>
      </c>
      <c r="C73" s="50">
        <v>180000</v>
      </c>
      <c r="D73" s="43">
        <v>1000</v>
      </c>
      <c r="E73" s="43" t="s">
        <v>48</v>
      </c>
      <c r="G73" s="43">
        <v>900453</v>
      </c>
      <c r="H73" s="55" t="s">
        <v>134</v>
      </c>
      <c r="J73" s="43">
        <v>9</v>
      </c>
      <c r="K73" s="43" t="s">
        <v>46</v>
      </c>
    </row>
    <row r="74" spans="1:11" ht="15.6" x14ac:dyDescent="0.3">
      <c r="A74" s="56">
        <v>63</v>
      </c>
      <c r="B74" s="50">
        <v>120000</v>
      </c>
      <c r="C74" s="43">
        <v>12000</v>
      </c>
      <c r="D74" s="43">
        <v>120</v>
      </c>
      <c r="E74" s="50" t="s">
        <v>64</v>
      </c>
      <c r="F74" s="50" t="s">
        <v>87</v>
      </c>
      <c r="G74" s="43">
        <v>900632</v>
      </c>
      <c r="H74" s="50" t="s">
        <v>135</v>
      </c>
      <c r="I74" s="43"/>
      <c r="J74" s="43">
        <v>4</v>
      </c>
      <c r="K74" s="43" t="s">
        <v>46</v>
      </c>
    </row>
    <row r="75" spans="1:11" ht="15.6" x14ac:dyDescent="0.3">
      <c r="A75" s="56">
        <v>64</v>
      </c>
      <c r="B75" s="50">
        <v>300000</v>
      </c>
      <c r="C75" s="43">
        <v>40000</v>
      </c>
      <c r="D75" s="43">
        <v>300</v>
      </c>
      <c r="G75" s="43">
        <v>900642</v>
      </c>
      <c r="H75" s="55" t="s">
        <v>136</v>
      </c>
      <c r="J75" s="43">
        <v>8</v>
      </c>
      <c r="K75" s="43" t="s">
        <v>46</v>
      </c>
    </row>
    <row r="76" spans="1:11" x14ac:dyDescent="0.25">
      <c r="A76" s="45">
        <v>1000</v>
      </c>
      <c r="B76" s="45">
        <v>3000000</v>
      </c>
      <c r="C76" s="45">
        <v>300000</v>
      </c>
      <c r="D76" s="45">
        <v>30</v>
      </c>
      <c r="E76" s="45" t="s">
        <v>137</v>
      </c>
      <c r="J76" s="45">
        <v>101</v>
      </c>
      <c r="K76" s="45" t="s">
        <v>138</v>
      </c>
    </row>
    <row r="77" spans="1:11" x14ac:dyDescent="0.25">
      <c r="A77" s="45">
        <v>1001</v>
      </c>
      <c r="B77" s="45">
        <v>125000000</v>
      </c>
      <c r="C77" s="45">
        <v>125000000</v>
      </c>
      <c r="D77" s="45">
        <v>250</v>
      </c>
      <c r="E77" s="45" t="s">
        <v>139</v>
      </c>
      <c r="J77" s="45">
        <v>101</v>
      </c>
      <c r="K77" s="45" t="s">
        <v>138</v>
      </c>
    </row>
    <row r="78" spans="1:11" x14ac:dyDescent="0.25">
      <c r="A78" s="45">
        <v>1002</v>
      </c>
      <c r="B78" s="45">
        <v>500000000</v>
      </c>
      <c r="C78" s="45">
        <v>2000000000</v>
      </c>
      <c r="D78" s="45">
        <v>1000</v>
      </c>
      <c r="E78" s="45" t="s">
        <v>140</v>
      </c>
      <c r="J78" s="45">
        <v>101</v>
      </c>
      <c r="K78" s="45" t="s">
        <v>138</v>
      </c>
    </row>
    <row r="79" spans="1:11" x14ac:dyDescent="0.25">
      <c r="A79" s="45">
        <v>1003</v>
      </c>
      <c r="B79" s="45">
        <v>250000000</v>
      </c>
      <c r="C79" s="45">
        <v>22500000000</v>
      </c>
      <c r="D79" s="45">
        <v>5000</v>
      </c>
      <c r="E79" s="45" t="s">
        <v>141</v>
      </c>
      <c r="J79" s="45">
        <v>101</v>
      </c>
      <c r="K79" s="45" t="s">
        <v>138</v>
      </c>
    </row>
    <row r="80" spans="1:11" x14ac:dyDescent="0.25">
      <c r="A80" s="45">
        <v>1004</v>
      </c>
      <c r="B80" s="45">
        <v>30000000</v>
      </c>
      <c r="C80" s="45">
        <v>7500000</v>
      </c>
      <c r="D80" s="45">
        <v>60</v>
      </c>
      <c r="E80" s="45" t="s">
        <v>139</v>
      </c>
      <c r="J80" s="45">
        <v>101</v>
      </c>
      <c r="K80" s="45" t="s">
        <v>138</v>
      </c>
    </row>
    <row r="81" spans="1:11" x14ac:dyDescent="0.25">
      <c r="A81" s="46">
        <v>1005</v>
      </c>
      <c r="B81" s="45">
        <v>18000000</v>
      </c>
      <c r="C81" s="45">
        <v>50000000</v>
      </c>
      <c r="D81" s="45">
        <v>180</v>
      </c>
      <c r="E81" s="45" t="s">
        <v>140</v>
      </c>
      <c r="J81" s="45">
        <v>101</v>
      </c>
      <c r="K81" s="45" t="s">
        <v>138</v>
      </c>
    </row>
    <row r="82" spans="1:11" x14ac:dyDescent="0.25">
      <c r="A82" s="46">
        <v>1006</v>
      </c>
      <c r="B82" s="45">
        <v>50000000</v>
      </c>
      <c r="C82" s="45">
        <v>300000000</v>
      </c>
      <c r="D82" s="45">
        <v>500</v>
      </c>
      <c r="E82" s="45" t="s">
        <v>141</v>
      </c>
      <c r="J82" s="45">
        <v>101</v>
      </c>
      <c r="K82" s="45" t="s">
        <v>138</v>
      </c>
    </row>
    <row r="83" spans="1:11" x14ac:dyDescent="0.25">
      <c r="A83" s="48">
        <v>1007</v>
      </c>
      <c r="B83" s="45">
        <v>5000000</v>
      </c>
      <c r="C83" s="45">
        <v>1500000</v>
      </c>
      <c r="D83" s="45">
        <v>5000</v>
      </c>
      <c r="E83" s="45" t="s">
        <v>142</v>
      </c>
      <c r="J83" s="45">
        <v>101</v>
      </c>
      <c r="K83" s="45" t="s">
        <v>138</v>
      </c>
    </row>
    <row r="84" spans="1:11" x14ac:dyDescent="0.25">
      <c r="A84" s="45">
        <v>1008</v>
      </c>
      <c r="B84" s="45">
        <v>2000000</v>
      </c>
      <c r="D84" s="45">
        <v>20000</v>
      </c>
      <c r="J84" s="45">
        <v>102</v>
      </c>
      <c r="K84" s="45" t="s">
        <v>143</v>
      </c>
    </row>
    <row r="85" spans="1:11" x14ac:dyDescent="0.25">
      <c r="A85" s="45">
        <v>1009</v>
      </c>
      <c r="B85" s="45">
        <v>20000000</v>
      </c>
      <c r="D85" s="45">
        <v>200000</v>
      </c>
      <c r="J85" s="45">
        <v>102</v>
      </c>
      <c r="K85" s="45" t="s">
        <v>143</v>
      </c>
    </row>
    <row r="86" spans="1:11" x14ac:dyDescent="0.25">
      <c r="A86" s="45">
        <v>1010</v>
      </c>
      <c r="B86" s="45">
        <v>200000000</v>
      </c>
      <c r="D86" s="45">
        <v>2000000</v>
      </c>
      <c r="J86" s="45">
        <v>102</v>
      </c>
      <c r="K86" s="45" t="s">
        <v>143</v>
      </c>
    </row>
    <row r="87" spans="1:11" x14ac:dyDescent="0.25">
      <c r="A87" s="45">
        <v>1011</v>
      </c>
      <c r="B87" s="45">
        <v>3000000</v>
      </c>
      <c r="C87" s="45">
        <v>300000</v>
      </c>
      <c r="D87" s="45">
        <v>30</v>
      </c>
      <c r="E87" s="45" t="s">
        <v>137</v>
      </c>
      <c r="F87" s="45" t="s">
        <v>54</v>
      </c>
      <c r="G87" s="45">
        <v>910111</v>
      </c>
      <c r="H87" s="46" t="s">
        <v>144</v>
      </c>
      <c r="J87" s="45">
        <v>103</v>
      </c>
      <c r="K87" s="45" t="s">
        <v>138</v>
      </c>
    </row>
    <row r="88" spans="1:11" x14ac:dyDescent="0.25">
      <c r="A88" s="45">
        <v>1012</v>
      </c>
      <c r="B88" s="45">
        <v>125000000</v>
      </c>
      <c r="C88" s="45">
        <v>125000000</v>
      </c>
      <c r="D88" s="45">
        <v>250</v>
      </c>
      <c r="E88" s="45" t="s">
        <v>139</v>
      </c>
      <c r="F88" s="45" t="s">
        <v>54</v>
      </c>
      <c r="G88" s="45">
        <v>910121</v>
      </c>
      <c r="H88" s="46" t="s">
        <v>145</v>
      </c>
      <c r="J88" s="45">
        <v>103</v>
      </c>
      <c r="K88" s="45" t="s">
        <v>138</v>
      </c>
    </row>
    <row r="89" spans="1:11" x14ac:dyDescent="0.25">
      <c r="A89" s="45">
        <v>1013</v>
      </c>
      <c r="B89" s="45">
        <v>500000000</v>
      </c>
      <c r="C89" s="45">
        <v>2000000000</v>
      </c>
      <c r="D89" s="45">
        <v>1000</v>
      </c>
      <c r="E89" s="45" t="s">
        <v>140</v>
      </c>
      <c r="F89" s="45" t="s">
        <v>54</v>
      </c>
      <c r="G89" s="45">
        <v>910131</v>
      </c>
      <c r="H89" s="46" t="s">
        <v>146</v>
      </c>
      <c r="J89" s="45">
        <v>103</v>
      </c>
      <c r="K89" s="45" t="s">
        <v>138</v>
      </c>
    </row>
    <row r="90" spans="1:11" x14ac:dyDescent="0.25">
      <c r="A90" s="45">
        <v>1014</v>
      </c>
      <c r="B90" s="45">
        <v>250000000</v>
      </c>
      <c r="C90" s="45">
        <v>22500000000</v>
      </c>
      <c r="D90" s="45">
        <v>5000</v>
      </c>
      <c r="E90" s="45" t="s">
        <v>141</v>
      </c>
      <c r="F90" s="45" t="s">
        <v>54</v>
      </c>
      <c r="G90" s="45">
        <v>910141</v>
      </c>
      <c r="H90" s="46" t="s">
        <v>147</v>
      </c>
      <c r="J90" s="45">
        <v>103</v>
      </c>
      <c r="K90" s="45" t="s">
        <v>138</v>
      </c>
    </row>
    <row r="91" spans="1:11" x14ac:dyDescent="0.25">
      <c r="A91" s="45">
        <v>1015</v>
      </c>
      <c r="B91" s="45">
        <v>18000000</v>
      </c>
      <c r="C91" s="45">
        <v>50000000</v>
      </c>
      <c r="D91" s="45">
        <v>180</v>
      </c>
      <c r="E91" s="45" t="s">
        <v>139</v>
      </c>
      <c r="F91" s="45" t="s">
        <v>54</v>
      </c>
      <c r="G91" s="45">
        <v>910151</v>
      </c>
      <c r="H91" s="46" t="s">
        <v>148</v>
      </c>
      <c r="J91" s="45">
        <v>103</v>
      </c>
      <c r="K91" s="45" t="s">
        <v>138</v>
      </c>
    </row>
    <row r="92" spans="1:11" x14ac:dyDescent="0.25">
      <c r="A92" s="45">
        <v>1016</v>
      </c>
      <c r="B92" s="45">
        <v>50000000</v>
      </c>
      <c r="C92" s="45">
        <v>300000000</v>
      </c>
      <c r="D92" s="45">
        <v>500</v>
      </c>
      <c r="E92" s="45" t="s">
        <v>140</v>
      </c>
      <c r="F92" s="45" t="s">
        <v>54</v>
      </c>
      <c r="G92" s="45">
        <v>910161</v>
      </c>
      <c r="H92" s="46" t="s">
        <v>149</v>
      </c>
      <c r="J92" s="45">
        <v>103</v>
      </c>
      <c r="K92" s="45" t="s">
        <v>138</v>
      </c>
    </row>
    <row r="93" spans="1:11" x14ac:dyDescent="0.25">
      <c r="A93" s="45">
        <v>1017</v>
      </c>
      <c r="B93" s="45">
        <v>500000</v>
      </c>
      <c r="C93" s="45">
        <v>0</v>
      </c>
      <c r="D93" s="45">
        <v>500</v>
      </c>
      <c r="E93" s="45" t="s">
        <v>140</v>
      </c>
      <c r="F93" s="45" t="s">
        <v>54</v>
      </c>
      <c r="H93" s="46" t="s">
        <v>149</v>
      </c>
      <c r="J93" s="45">
        <v>103</v>
      </c>
      <c r="K93" s="45" t="s">
        <v>138</v>
      </c>
    </row>
    <row r="94" spans="1:11" x14ac:dyDescent="0.25">
      <c r="A94" s="45">
        <v>1018</v>
      </c>
      <c r="B94" s="45">
        <v>680000</v>
      </c>
      <c r="C94" s="45">
        <v>0</v>
      </c>
      <c r="D94" s="45">
        <v>680</v>
      </c>
      <c r="E94" s="45" t="s">
        <v>141</v>
      </c>
      <c r="F94" s="45" t="s">
        <v>54</v>
      </c>
      <c r="H94" s="46" t="s">
        <v>150</v>
      </c>
      <c r="J94" s="45">
        <v>103</v>
      </c>
      <c r="K94" s="45" t="s">
        <v>138</v>
      </c>
    </row>
    <row r="95" spans="1:11" x14ac:dyDescent="0.25">
      <c r="A95" s="45">
        <v>1019</v>
      </c>
      <c r="B95" s="45">
        <v>980000</v>
      </c>
      <c r="C95" s="45">
        <v>0</v>
      </c>
      <c r="D95" s="45">
        <v>980</v>
      </c>
      <c r="E95" s="45" t="s">
        <v>151</v>
      </c>
      <c r="F95" s="45" t="s">
        <v>54</v>
      </c>
      <c r="H95" s="46" t="s">
        <v>152</v>
      </c>
      <c r="J95" s="45">
        <v>103</v>
      </c>
      <c r="K95" s="45" t="s">
        <v>138</v>
      </c>
    </row>
    <row r="96" spans="1:11" x14ac:dyDescent="0.25">
      <c r="A96" s="45">
        <v>1020</v>
      </c>
      <c r="B96" s="45">
        <v>1280000</v>
      </c>
      <c r="C96" s="45">
        <v>0</v>
      </c>
      <c r="D96" s="45">
        <v>1280</v>
      </c>
      <c r="E96" s="45" t="s">
        <v>153</v>
      </c>
      <c r="F96" s="45" t="s">
        <v>54</v>
      </c>
      <c r="H96" s="46" t="s">
        <v>154</v>
      </c>
      <c r="J96" s="45">
        <v>103</v>
      </c>
      <c r="K96" s="45" t="s">
        <v>138</v>
      </c>
    </row>
    <row r="97" spans="1:12" x14ac:dyDescent="0.25">
      <c r="A97" s="45">
        <v>1021</v>
      </c>
      <c r="B97" s="45">
        <v>1980000</v>
      </c>
      <c r="C97" s="45">
        <v>0</v>
      </c>
      <c r="D97" s="45">
        <v>1980</v>
      </c>
      <c r="E97" s="45" t="s">
        <v>153</v>
      </c>
      <c r="F97" s="45" t="s">
        <v>54</v>
      </c>
      <c r="H97" s="46" t="s">
        <v>155</v>
      </c>
      <c r="J97" s="45">
        <v>103</v>
      </c>
      <c r="K97" s="45" t="s">
        <v>138</v>
      </c>
    </row>
    <row r="98" spans="1:12" x14ac:dyDescent="0.25">
      <c r="A98" s="45">
        <v>1022</v>
      </c>
      <c r="B98" s="45">
        <v>3280000</v>
      </c>
      <c r="C98" s="45">
        <v>0</v>
      </c>
      <c r="D98" s="45">
        <v>3280</v>
      </c>
      <c r="E98" s="45" t="s">
        <v>142</v>
      </c>
      <c r="F98" s="45" t="s">
        <v>54</v>
      </c>
      <c r="H98" s="46" t="s">
        <v>156</v>
      </c>
      <c r="J98" s="45">
        <v>103</v>
      </c>
      <c r="K98" s="45" t="s">
        <v>138</v>
      </c>
    </row>
    <row r="99" spans="1:12" x14ac:dyDescent="0.25">
      <c r="A99" s="45">
        <v>1023</v>
      </c>
      <c r="B99" s="45">
        <v>6480000</v>
      </c>
      <c r="C99" s="45">
        <v>0</v>
      </c>
      <c r="D99" s="45">
        <v>6480</v>
      </c>
      <c r="E99" s="45" t="s">
        <v>142</v>
      </c>
      <c r="F99" s="45" t="s">
        <v>54</v>
      </c>
      <c r="H99" s="46" t="s">
        <v>157</v>
      </c>
      <c r="J99" s="45">
        <v>103</v>
      </c>
      <c r="K99" s="45" t="s">
        <v>138</v>
      </c>
    </row>
    <row r="100" spans="1:12" x14ac:dyDescent="0.25">
      <c r="A100" s="45">
        <v>1024</v>
      </c>
      <c r="B100" s="45">
        <v>1000000</v>
      </c>
      <c r="C100" s="45">
        <v>0</v>
      </c>
      <c r="D100" s="45">
        <v>10</v>
      </c>
      <c r="G100" s="45">
        <v>910241</v>
      </c>
      <c r="H100" s="46" t="s">
        <v>158</v>
      </c>
      <c r="J100" s="45">
        <v>104</v>
      </c>
      <c r="K100" s="45" t="s">
        <v>138</v>
      </c>
    </row>
    <row r="101" spans="1:12" x14ac:dyDescent="0.25">
      <c r="A101" s="45">
        <v>1025</v>
      </c>
      <c r="B101" s="45">
        <v>50000000</v>
      </c>
      <c r="C101" s="45">
        <v>0</v>
      </c>
      <c r="D101" s="45">
        <v>60</v>
      </c>
      <c r="G101" s="45">
        <v>910251</v>
      </c>
      <c r="H101" s="46" t="s">
        <v>159</v>
      </c>
      <c r="J101" s="45">
        <v>104</v>
      </c>
      <c r="K101" s="45" t="s">
        <v>138</v>
      </c>
    </row>
    <row r="102" spans="1:12" x14ac:dyDescent="0.25">
      <c r="A102" s="45">
        <v>1026</v>
      </c>
      <c r="B102" s="45">
        <v>300000000</v>
      </c>
      <c r="C102" s="45">
        <v>0</v>
      </c>
      <c r="D102" s="45">
        <v>300</v>
      </c>
      <c r="G102" s="45">
        <v>910261</v>
      </c>
      <c r="H102" s="46" t="s">
        <v>160</v>
      </c>
      <c r="J102" s="45">
        <v>104</v>
      </c>
      <c r="K102" s="45" t="s">
        <v>138</v>
      </c>
    </row>
    <row r="103" spans="1:12" x14ac:dyDescent="0.25">
      <c r="A103" s="45">
        <v>1027</v>
      </c>
      <c r="B103" s="45">
        <v>2000000000</v>
      </c>
      <c r="C103" s="45">
        <v>0</v>
      </c>
      <c r="D103" s="45">
        <v>1000</v>
      </c>
      <c r="G103" s="45">
        <v>910271</v>
      </c>
      <c r="H103" s="46" t="s">
        <v>161</v>
      </c>
      <c r="J103" s="45">
        <v>104</v>
      </c>
      <c r="K103" s="45" t="s">
        <v>138</v>
      </c>
    </row>
    <row r="104" spans="1:12" x14ac:dyDescent="0.25">
      <c r="A104" s="45">
        <v>2001</v>
      </c>
      <c r="B104" s="45">
        <v>100</v>
      </c>
      <c r="C104" s="45">
        <v>0</v>
      </c>
      <c r="D104" s="45">
        <v>3600</v>
      </c>
      <c r="E104" s="45" t="s">
        <v>679</v>
      </c>
      <c r="J104" s="45">
        <v>201</v>
      </c>
      <c r="K104" s="45" t="s">
        <v>680</v>
      </c>
    </row>
    <row r="105" spans="1:12" x14ac:dyDescent="0.25">
      <c r="A105" s="45">
        <v>2002</v>
      </c>
      <c r="B105" s="45">
        <v>2000</v>
      </c>
      <c r="C105" s="45">
        <v>0</v>
      </c>
      <c r="D105" s="45">
        <v>1800</v>
      </c>
      <c r="E105" s="45" t="s">
        <v>679</v>
      </c>
      <c r="J105" s="45">
        <v>202</v>
      </c>
      <c r="K105" s="45" t="s">
        <v>680</v>
      </c>
      <c r="L105" s="45">
        <v>5</v>
      </c>
    </row>
  </sheetData>
  <phoneticPr fontId="1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8"/>
  <sheetViews>
    <sheetView topLeftCell="A4" workbookViewId="0">
      <selection activeCell="A23" sqref="A23"/>
    </sheetView>
  </sheetViews>
  <sheetFormatPr defaultColWidth="9" defaultRowHeight="13.8" x14ac:dyDescent="0.25"/>
  <cols>
    <col min="1" max="1" width="25.77734375" customWidth="1"/>
    <col min="2" max="4" width="11.6640625" customWidth="1"/>
    <col min="5" max="5" width="45.109375" customWidth="1"/>
    <col min="6" max="6" width="11" customWidth="1"/>
    <col min="7" max="7" width="17.44140625" customWidth="1"/>
    <col min="8" max="8" width="16" customWidth="1"/>
    <col min="9" max="9" width="11.109375" customWidth="1"/>
    <col min="10" max="10" width="11" customWidth="1"/>
    <col min="11" max="11" width="17.44140625" customWidth="1"/>
    <col min="12" max="12" width="16" customWidth="1"/>
    <col min="15" max="15" width="10.44140625" customWidth="1"/>
  </cols>
  <sheetData>
    <row r="1" spans="1:9" x14ac:dyDescent="0.25">
      <c r="A1" s="5" t="s">
        <v>0</v>
      </c>
      <c r="B1" t="s">
        <v>162</v>
      </c>
      <c r="E1" t="s">
        <v>2</v>
      </c>
      <c r="G1" s="6"/>
      <c r="H1" s="6"/>
      <c r="I1" s="6"/>
    </row>
    <row r="2" spans="1:9" x14ac:dyDescent="0.25">
      <c r="A2" s="5" t="s">
        <v>163</v>
      </c>
      <c r="B2" t="s">
        <v>164</v>
      </c>
      <c r="E2" t="s">
        <v>5</v>
      </c>
      <c r="G2" s="6"/>
      <c r="H2" s="6"/>
      <c r="I2" s="6"/>
    </row>
    <row r="3" spans="1:9" x14ac:dyDescent="0.25">
      <c r="A3" s="5" t="s">
        <v>6</v>
      </c>
      <c r="B3" s="7" t="s">
        <v>7</v>
      </c>
      <c r="C3" s="7"/>
      <c r="D3" s="7"/>
      <c r="E3" t="s">
        <v>8</v>
      </c>
      <c r="G3" s="6"/>
      <c r="H3" s="6"/>
      <c r="I3" s="6"/>
    </row>
    <row r="4" spans="1:9" x14ac:dyDescent="0.25">
      <c r="A4" s="5" t="s">
        <v>9</v>
      </c>
      <c r="B4" s="8" t="s">
        <v>10</v>
      </c>
      <c r="C4" s="8"/>
      <c r="D4" s="8"/>
      <c r="G4" s="6"/>
      <c r="H4" s="6"/>
      <c r="I4" s="6"/>
    </row>
    <row r="5" spans="1:9" x14ac:dyDescent="0.25">
      <c r="A5" s="5" t="s">
        <v>11</v>
      </c>
      <c r="E5" t="s">
        <v>12</v>
      </c>
      <c r="I5" s="6"/>
    </row>
    <row r="6" spans="1:9" x14ac:dyDescent="0.25">
      <c r="A6" s="5" t="s">
        <v>13</v>
      </c>
      <c r="B6">
        <v>4</v>
      </c>
      <c r="E6" t="s">
        <v>14</v>
      </c>
      <c r="I6" s="6"/>
    </row>
    <row r="7" spans="1:9" x14ac:dyDescent="0.25">
      <c r="A7" s="5" t="s">
        <v>15</v>
      </c>
    </row>
    <row r="8" spans="1:9" x14ac:dyDescent="0.25">
      <c r="A8" s="5" t="s">
        <v>16</v>
      </c>
      <c r="G8" s="6"/>
      <c r="H8" s="6"/>
      <c r="I8" s="6"/>
    </row>
    <row r="9" spans="1:9" x14ac:dyDescent="0.25">
      <c r="B9" s="6"/>
      <c r="C9" s="6"/>
      <c r="D9" s="6"/>
      <c r="E9" s="6"/>
      <c r="F9" s="6"/>
      <c r="G9" s="6"/>
      <c r="H9" s="6"/>
      <c r="I9" s="6"/>
    </row>
    <row r="10" spans="1:9" x14ac:dyDescent="0.25">
      <c r="B10" s="6"/>
      <c r="C10" s="6"/>
      <c r="D10" s="6"/>
      <c r="E10" s="6"/>
      <c r="F10" s="6"/>
      <c r="G10" s="6"/>
      <c r="H10" s="6"/>
      <c r="I10" s="6"/>
    </row>
    <row r="11" spans="1:9" ht="15.6" x14ac:dyDescent="0.3">
      <c r="A11" t="s">
        <v>165</v>
      </c>
      <c r="B11" t="s">
        <v>166</v>
      </c>
      <c r="C11" t="s">
        <v>167</v>
      </c>
      <c r="D11" t="s">
        <v>168</v>
      </c>
      <c r="E11" s="6" t="s">
        <v>169</v>
      </c>
      <c r="F11" s="6" t="s">
        <v>170</v>
      </c>
      <c r="G11" s="6" t="s">
        <v>171</v>
      </c>
      <c r="H11" s="36" t="s">
        <v>21</v>
      </c>
    </row>
    <row r="12" spans="1:9" ht="15.6" x14ac:dyDescent="0.3">
      <c r="A12" s="8" t="s">
        <v>27</v>
      </c>
      <c r="B12" s="8" t="s">
        <v>30</v>
      </c>
      <c r="C12" s="8" t="s">
        <v>172</v>
      </c>
      <c r="D12" s="8" t="s">
        <v>173</v>
      </c>
      <c r="E12" s="8" t="s">
        <v>174</v>
      </c>
      <c r="F12" s="8" t="s">
        <v>175</v>
      </c>
      <c r="G12" s="8" t="s">
        <v>176</v>
      </c>
      <c r="H12" s="16" t="s">
        <v>31</v>
      </c>
    </row>
    <row r="13" spans="1:9" ht="15.6" x14ac:dyDescent="0.3">
      <c r="A13" s="8" t="s">
        <v>38</v>
      </c>
      <c r="B13" s="8" t="s">
        <v>38</v>
      </c>
      <c r="C13" s="10" t="s">
        <v>38</v>
      </c>
      <c r="D13" s="10" t="s">
        <v>38</v>
      </c>
      <c r="E13" s="8" t="s">
        <v>38</v>
      </c>
      <c r="F13" s="8" t="s">
        <v>38</v>
      </c>
      <c r="G13" s="8" t="s">
        <v>40</v>
      </c>
      <c r="H13" s="10" t="s">
        <v>40</v>
      </c>
    </row>
    <row r="14" spans="1:9" ht="15.6" x14ac:dyDescent="0.3">
      <c r="A14" s="8" t="s">
        <v>42</v>
      </c>
      <c r="B14" s="8" t="s">
        <v>43</v>
      </c>
      <c r="C14" s="10" t="s">
        <v>43</v>
      </c>
      <c r="D14" s="10" t="s">
        <v>43</v>
      </c>
      <c r="E14" s="8" t="s">
        <v>43</v>
      </c>
      <c r="F14" s="8" t="s">
        <v>43</v>
      </c>
      <c r="G14" s="8" t="s">
        <v>43</v>
      </c>
      <c r="H14" s="10" t="s">
        <v>43</v>
      </c>
    </row>
    <row r="15" spans="1:9" ht="15.6" x14ac:dyDescent="0.3">
      <c r="A15" s="8">
        <v>0</v>
      </c>
      <c r="B15" s="8"/>
      <c r="C15" s="8"/>
      <c r="D15" s="8"/>
      <c r="E15" s="8">
        <v>0</v>
      </c>
      <c r="F15" s="8">
        <v>0</v>
      </c>
      <c r="G15" s="8">
        <v>0</v>
      </c>
      <c r="H15" s="10" t="s">
        <v>45</v>
      </c>
    </row>
    <row r="16" spans="1:9" x14ac:dyDescent="0.25">
      <c r="A16">
        <v>1</v>
      </c>
      <c r="B16">
        <v>30</v>
      </c>
      <c r="C16">
        <v>0</v>
      </c>
      <c r="D16">
        <v>0</v>
      </c>
      <c r="E16">
        <v>30</v>
      </c>
      <c r="F16">
        <v>3</v>
      </c>
      <c r="G16">
        <v>0.43</v>
      </c>
      <c r="H16" s="18" t="s">
        <v>177</v>
      </c>
    </row>
    <row r="17" spans="1:14" x14ac:dyDescent="0.25">
      <c r="A17">
        <v>2</v>
      </c>
      <c r="B17">
        <v>60</v>
      </c>
      <c r="C17">
        <v>0</v>
      </c>
      <c r="D17">
        <v>0</v>
      </c>
      <c r="E17">
        <v>60</v>
      </c>
      <c r="F17">
        <v>6</v>
      </c>
      <c r="G17">
        <v>0.86</v>
      </c>
      <c r="H17" t="s">
        <v>178</v>
      </c>
    </row>
    <row r="18" spans="1:14" x14ac:dyDescent="0.25">
      <c r="A18">
        <v>3</v>
      </c>
      <c r="B18">
        <v>300</v>
      </c>
      <c r="C18">
        <v>18</v>
      </c>
      <c r="D18">
        <v>6</v>
      </c>
      <c r="E18">
        <v>300</v>
      </c>
      <c r="F18">
        <v>30</v>
      </c>
      <c r="G18">
        <v>4.29</v>
      </c>
      <c r="H18" t="s">
        <v>179</v>
      </c>
    </row>
    <row r="19" spans="1:14" x14ac:dyDescent="0.25">
      <c r="A19">
        <v>4</v>
      </c>
      <c r="B19">
        <v>680</v>
      </c>
      <c r="C19">
        <v>50</v>
      </c>
      <c r="D19">
        <v>8</v>
      </c>
      <c r="E19">
        <v>680</v>
      </c>
      <c r="F19">
        <v>68</v>
      </c>
      <c r="G19">
        <v>9.7100000000000009</v>
      </c>
      <c r="H19" t="s">
        <v>180</v>
      </c>
    </row>
    <row r="20" spans="1:14" x14ac:dyDescent="0.25">
      <c r="A20">
        <v>5</v>
      </c>
      <c r="B20">
        <v>1280</v>
      </c>
      <c r="C20">
        <v>128</v>
      </c>
      <c r="D20">
        <v>10</v>
      </c>
      <c r="E20">
        <v>1280</v>
      </c>
      <c r="F20">
        <v>128</v>
      </c>
      <c r="G20">
        <v>18.29</v>
      </c>
      <c r="H20" t="s">
        <v>181</v>
      </c>
    </row>
    <row r="21" spans="1:14" x14ac:dyDescent="0.25">
      <c r="A21">
        <v>6</v>
      </c>
      <c r="B21">
        <v>3280</v>
      </c>
      <c r="C21">
        <v>328</v>
      </c>
      <c r="D21">
        <v>10</v>
      </c>
      <c r="E21">
        <v>3280</v>
      </c>
      <c r="F21">
        <v>328</v>
      </c>
      <c r="G21">
        <v>46.86</v>
      </c>
      <c r="H21" t="s">
        <v>182</v>
      </c>
    </row>
    <row r="22" spans="1:14" x14ac:dyDescent="0.25">
      <c r="A22">
        <v>7</v>
      </c>
      <c r="B22">
        <v>6480</v>
      </c>
      <c r="C22">
        <v>1000</v>
      </c>
      <c r="D22">
        <v>15</v>
      </c>
      <c r="E22">
        <v>6480</v>
      </c>
      <c r="F22">
        <v>648</v>
      </c>
      <c r="G22">
        <v>92.57</v>
      </c>
      <c r="H22" t="s">
        <v>183</v>
      </c>
    </row>
    <row r="23" spans="1:14" ht="15.6" x14ac:dyDescent="0.25">
      <c r="E23" s="6"/>
      <c r="F23" s="12"/>
      <c r="G23" s="26"/>
      <c r="I23" s="12"/>
      <c r="J23" s="12"/>
      <c r="M23" s="6"/>
      <c r="N23" s="6"/>
    </row>
    <row r="24" spans="1:14" ht="15.6" x14ac:dyDescent="0.25">
      <c r="E24" s="6"/>
      <c r="F24" s="12"/>
      <c r="G24" s="26"/>
      <c r="I24" s="12"/>
      <c r="J24" s="12"/>
      <c r="M24" s="6"/>
      <c r="N24" s="6"/>
    </row>
    <row r="25" spans="1:14" ht="15.6" x14ac:dyDescent="0.25">
      <c r="E25" s="6"/>
      <c r="F25" s="12"/>
      <c r="G25" s="26"/>
      <c r="I25" s="12"/>
      <c r="J25" s="12"/>
      <c r="M25" s="6"/>
      <c r="N25" s="6"/>
    </row>
    <row r="26" spans="1:14" ht="15.6" x14ac:dyDescent="0.25">
      <c r="E26" s="6"/>
      <c r="F26" s="12"/>
      <c r="G26" s="26"/>
      <c r="I26" s="12"/>
      <c r="J26" s="12"/>
      <c r="M26" s="6"/>
      <c r="N26" s="6"/>
    </row>
    <row r="27" spans="1:14" ht="15.6" x14ac:dyDescent="0.25">
      <c r="F27" s="12"/>
      <c r="G27" s="26"/>
      <c r="I27" s="12"/>
      <c r="J27" s="12"/>
      <c r="M27" s="6"/>
      <c r="N27" s="6"/>
    </row>
    <row r="28" spans="1:14" ht="15.6" x14ac:dyDescent="0.25">
      <c r="F28" s="12"/>
      <c r="G28" s="26"/>
      <c r="I28" s="12"/>
      <c r="J28" s="12"/>
      <c r="M28" s="6"/>
    </row>
    <row r="29" spans="1:14" x14ac:dyDescent="0.25">
      <c r="F29" s="12"/>
      <c r="G29" s="6"/>
      <c r="I29" s="12"/>
      <c r="J29" s="12"/>
      <c r="M29" s="6"/>
    </row>
    <row r="30" spans="1:14" ht="15.6" x14ac:dyDescent="0.25">
      <c r="F30" s="12"/>
      <c r="G30" s="26"/>
      <c r="I30" s="12"/>
      <c r="J30" s="12"/>
      <c r="M30" s="6"/>
    </row>
    <row r="31" spans="1:14" ht="15.6" x14ac:dyDescent="0.25">
      <c r="F31" s="12"/>
      <c r="G31" s="26"/>
      <c r="I31" s="12"/>
      <c r="J31" s="12"/>
      <c r="M31" s="6"/>
    </row>
    <row r="32" spans="1:14" ht="15.6" x14ac:dyDescent="0.25">
      <c r="F32" s="12"/>
      <c r="G32" s="26"/>
      <c r="I32" s="12"/>
      <c r="J32" s="12"/>
      <c r="M32" s="6"/>
    </row>
    <row r="33" spans="5:7" ht="15.6" x14ac:dyDescent="0.25">
      <c r="F33" s="12"/>
      <c r="G33" s="26"/>
    </row>
    <row r="34" spans="5:7" ht="15.6" x14ac:dyDescent="0.25">
      <c r="F34" s="12"/>
      <c r="G34" s="26"/>
    </row>
    <row r="35" spans="5:7" ht="15.6" x14ac:dyDescent="0.25">
      <c r="F35" s="12"/>
      <c r="G35" s="26"/>
    </row>
    <row r="36" spans="5:7" ht="15.6" x14ac:dyDescent="0.25">
      <c r="F36" s="12"/>
      <c r="G36" s="26"/>
    </row>
    <row r="37" spans="5:7" ht="15.6" x14ac:dyDescent="0.25">
      <c r="F37" s="12"/>
      <c r="G37" s="26"/>
    </row>
    <row r="38" spans="5:7" ht="15.6" x14ac:dyDescent="0.25">
      <c r="F38" s="12"/>
      <c r="G38" s="26"/>
    </row>
    <row r="39" spans="5:7" ht="15.6" x14ac:dyDescent="0.25">
      <c r="E39" s="6"/>
      <c r="F39" s="12"/>
      <c r="G39" s="26"/>
    </row>
    <row r="40" spans="5:7" ht="15.6" x14ac:dyDescent="0.25">
      <c r="E40" s="6"/>
      <c r="F40" s="12"/>
      <c r="G40" s="26"/>
    </row>
    <row r="41" spans="5:7" ht="15.6" x14ac:dyDescent="0.25">
      <c r="E41" s="6"/>
      <c r="F41" s="12"/>
      <c r="G41" s="26"/>
    </row>
    <row r="42" spans="5:7" ht="15.6" x14ac:dyDescent="0.25">
      <c r="E42" s="6"/>
      <c r="F42" s="12"/>
      <c r="G42" s="26"/>
    </row>
    <row r="43" spans="5:7" ht="15.6" x14ac:dyDescent="0.25">
      <c r="F43" s="12"/>
      <c r="G43" s="26"/>
    </row>
    <row r="44" spans="5:7" ht="15.6" x14ac:dyDescent="0.25">
      <c r="F44" s="12"/>
      <c r="G44" s="26"/>
    </row>
    <row r="45" spans="5:7" x14ac:dyDescent="0.25">
      <c r="F45" s="12"/>
      <c r="G45" s="6"/>
    </row>
    <row r="46" spans="5:7" ht="15.6" x14ac:dyDescent="0.25">
      <c r="F46" s="12"/>
      <c r="G46" s="26"/>
    </row>
    <row r="47" spans="5:7" ht="15.6" x14ac:dyDescent="0.25">
      <c r="F47" s="12"/>
      <c r="G47" s="26"/>
    </row>
    <row r="49" spans="8:8" x14ac:dyDescent="0.25">
      <c r="H49" s="42"/>
    </row>
    <row r="50" spans="8:8" x14ac:dyDescent="0.25">
      <c r="H50" s="42"/>
    </row>
    <row r="51" spans="8:8" x14ac:dyDescent="0.25">
      <c r="H51" s="42"/>
    </row>
    <row r="52" spans="8:8" x14ac:dyDescent="0.25">
      <c r="H52" s="42"/>
    </row>
    <row r="53" spans="8:8" x14ac:dyDescent="0.25">
      <c r="H53" s="42"/>
    </row>
    <row r="54" spans="8:8" x14ac:dyDescent="0.25">
      <c r="H54" s="42"/>
    </row>
    <row r="55" spans="8:8" x14ac:dyDescent="0.25">
      <c r="H55" s="42"/>
    </row>
    <row r="56" spans="8:8" x14ac:dyDescent="0.25">
      <c r="H56" s="42"/>
    </row>
    <row r="57" spans="8:8" x14ac:dyDescent="0.25">
      <c r="H57" s="42"/>
    </row>
    <row r="58" spans="8:8" x14ac:dyDescent="0.25">
      <c r="H58" s="42"/>
    </row>
  </sheetData>
  <phoneticPr fontId="17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Q356"/>
  <sheetViews>
    <sheetView workbookViewId="0">
      <pane xSplit="4" ySplit="15" topLeftCell="E199" activePane="bottomRight" state="frozen"/>
      <selection pane="topRight"/>
      <selection pane="bottomLeft"/>
      <selection pane="bottomRight" activeCell="C205" sqref="C205"/>
    </sheetView>
  </sheetViews>
  <sheetFormatPr defaultColWidth="9" defaultRowHeight="13.8" x14ac:dyDescent="0.25"/>
  <cols>
    <col min="1" max="1" width="25.77734375" customWidth="1"/>
    <col min="2" max="2" width="11.33203125" customWidth="1"/>
    <col min="3" max="3" width="15.33203125" customWidth="1"/>
    <col min="4" max="4" width="21.6640625" customWidth="1"/>
    <col min="5" max="6" width="15.33203125" customWidth="1"/>
    <col min="7" max="7" width="11" customWidth="1"/>
    <col min="8" max="8" width="18.77734375" customWidth="1"/>
    <col min="9" max="9" width="17.44140625" customWidth="1"/>
    <col min="10" max="10" width="24.21875" customWidth="1"/>
    <col min="11" max="11" width="16" customWidth="1"/>
    <col min="12" max="12" width="29.44140625" customWidth="1"/>
    <col min="13" max="13" width="18.109375" customWidth="1"/>
    <col min="14" max="14" width="26.77734375" customWidth="1"/>
    <col min="15" max="15" width="39.44140625" customWidth="1"/>
    <col min="16" max="16" width="21.33203125" customWidth="1"/>
    <col min="17" max="17" width="19.109375" customWidth="1"/>
  </cols>
  <sheetData>
    <row r="1" spans="1:17" x14ac:dyDescent="0.25">
      <c r="A1" s="5" t="s">
        <v>0</v>
      </c>
      <c r="B1" t="s">
        <v>184</v>
      </c>
      <c r="C1" t="s">
        <v>2</v>
      </c>
      <c r="E1" s="6"/>
      <c r="F1" s="6"/>
    </row>
    <row r="2" spans="1:17" x14ac:dyDescent="0.25">
      <c r="A2" s="5" t="s">
        <v>163</v>
      </c>
      <c r="B2" t="s">
        <v>185</v>
      </c>
      <c r="C2" t="s">
        <v>5</v>
      </c>
      <c r="E2" s="6"/>
      <c r="F2" s="6"/>
    </row>
    <row r="3" spans="1:17" x14ac:dyDescent="0.25">
      <c r="A3" s="5" t="s">
        <v>6</v>
      </c>
      <c r="B3" s="7" t="s">
        <v>7</v>
      </c>
      <c r="C3" t="s">
        <v>8</v>
      </c>
      <c r="E3" s="6"/>
      <c r="F3" s="6"/>
    </row>
    <row r="4" spans="1:17" x14ac:dyDescent="0.25">
      <c r="A4" s="5" t="s">
        <v>9</v>
      </c>
      <c r="B4" s="8" t="s">
        <v>10</v>
      </c>
      <c r="E4" s="6"/>
      <c r="F4" s="6"/>
    </row>
    <row r="5" spans="1:17" x14ac:dyDescent="0.25">
      <c r="A5" s="5" t="s">
        <v>11</v>
      </c>
      <c r="C5" t="s">
        <v>12</v>
      </c>
    </row>
    <row r="6" spans="1:17" x14ac:dyDescent="0.25">
      <c r="A6" s="5" t="s">
        <v>13</v>
      </c>
      <c r="B6">
        <v>4</v>
      </c>
      <c r="C6" t="s">
        <v>14</v>
      </c>
    </row>
    <row r="7" spans="1:17" x14ac:dyDescent="0.25">
      <c r="A7" s="5" t="s">
        <v>15</v>
      </c>
      <c r="H7">
        <f>68/7</f>
        <v>9.7142857142857135</v>
      </c>
    </row>
    <row r="8" spans="1:17" x14ac:dyDescent="0.25">
      <c r="A8" s="5" t="s">
        <v>16</v>
      </c>
      <c r="E8" s="6"/>
      <c r="F8" s="6"/>
      <c r="H8">
        <f>128/7</f>
        <v>18.285714285714285</v>
      </c>
    </row>
    <row r="9" spans="1:17" x14ac:dyDescent="0.25">
      <c r="B9" s="6"/>
      <c r="C9" s="6"/>
      <c r="D9" s="6"/>
      <c r="E9" s="6"/>
      <c r="F9" s="6"/>
    </row>
    <row r="10" spans="1:17" x14ac:dyDescent="0.25">
      <c r="B10" s="6"/>
      <c r="C10" s="6"/>
      <c r="D10" s="6"/>
      <c r="E10" s="6"/>
      <c r="F10" s="6"/>
    </row>
    <row r="11" spans="1:17" ht="15.6" x14ac:dyDescent="0.3">
      <c r="A11" t="s">
        <v>165</v>
      </c>
      <c r="B11" s="6" t="s">
        <v>186</v>
      </c>
      <c r="C11" s="6" t="s">
        <v>187</v>
      </c>
      <c r="D11" s="9" t="s">
        <v>188</v>
      </c>
      <c r="E11" s="6" t="s">
        <v>189</v>
      </c>
      <c r="F11" t="s">
        <v>190</v>
      </c>
      <c r="G11" s="6" t="s">
        <v>170</v>
      </c>
      <c r="H11" s="6" t="s">
        <v>171</v>
      </c>
      <c r="I11" s="15" t="s">
        <v>191</v>
      </c>
      <c r="J11" s="15" t="s">
        <v>22</v>
      </c>
      <c r="K11" s="6" t="s">
        <v>169</v>
      </c>
      <c r="L11" t="s">
        <v>192</v>
      </c>
      <c r="M11" t="s">
        <v>193</v>
      </c>
      <c r="N11" t="s">
        <v>194</v>
      </c>
      <c r="O11" t="s">
        <v>195</v>
      </c>
      <c r="P11" s="3" t="s">
        <v>780</v>
      </c>
      <c r="Q11" s="3" t="s">
        <v>781</v>
      </c>
    </row>
    <row r="12" spans="1:17" ht="15.6" x14ac:dyDescent="0.3">
      <c r="A12" s="8" t="s">
        <v>27</v>
      </c>
      <c r="B12" s="10" t="s">
        <v>196</v>
      </c>
      <c r="C12" s="10" t="s">
        <v>197</v>
      </c>
      <c r="D12" s="11" t="s">
        <v>198</v>
      </c>
      <c r="E12" s="8" t="s">
        <v>199</v>
      </c>
      <c r="F12" s="8" t="s">
        <v>173</v>
      </c>
      <c r="G12" s="8" t="s">
        <v>175</v>
      </c>
      <c r="H12" s="8" t="s">
        <v>176</v>
      </c>
      <c r="I12" s="16" t="s">
        <v>31</v>
      </c>
      <c r="J12" s="16" t="s">
        <v>32</v>
      </c>
      <c r="K12" s="8" t="s">
        <v>174</v>
      </c>
      <c r="L12" s="8" t="s">
        <v>200</v>
      </c>
      <c r="M12" s="8" t="s">
        <v>201</v>
      </c>
      <c r="N12" s="8" t="s">
        <v>202</v>
      </c>
      <c r="O12" s="17" t="s">
        <v>203</v>
      </c>
      <c r="P12" s="17" t="s">
        <v>782</v>
      </c>
      <c r="Q12" s="17" t="s">
        <v>783</v>
      </c>
    </row>
    <row r="13" spans="1:17" ht="15.6" x14ac:dyDescent="0.3">
      <c r="A13" s="8" t="s">
        <v>38</v>
      </c>
      <c r="B13" s="8" t="s">
        <v>38</v>
      </c>
      <c r="C13" s="8" t="s">
        <v>38</v>
      </c>
      <c r="D13" s="11" t="s">
        <v>40</v>
      </c>
      <c r="E13" s="8" t="s">
        <v>38</v>
      </c>
      <c r="F13" s="10" t="s">
        <v>38</v>
      </c>
      <c r="G13" s="8" t="s">
        <v>38</v>
      </c>
      <c r="H13" s="8" t="s">
        <v>40</v>
      </c>
      <c r="I13" s="10" t="s">
        <v>40</v>
      </c>
      <c r="J13" s="10" t="s">
        <v>40</v>
      </c>
      <c r="K13" s="8" t="s">
        <v>38</v>
      </c>
      <c r="L13" s="10" t="s">
        <v>40</v>
      </c>
      <c r="M13" s="10" t="s">
        <v>40</v>
      </c>
      <c r="N13" s="10" t="s">
        <v>40</v>
      </c>
      <c r="O13" s="10" t="s">
        <v>40</v>
      </c>
      <c r="P13" s="10" t="s">
        <v>40</v>
      </c>
      <c r="Q13" s="10" t="s">
        <v>40</v>
      </c>
    </row>
    <row r="14" spans="1:17" ht="15.6" x14ac:dyDescent="0.3">
      <c r="A14" s="8" t="s">
        <v>42</v>
      </c>
      <c r="B14" s="10" t="s">
        <v>43</v>
      </c>
      <c r="C14" s="10" t="s">
        <v>43</v>
      </c>
      <c r="D14" s="11" t="s">
        <v>44</v>
      </c>
      <c r="E14" s="10" t="s">
        <v>43</v>
      </c>
      <c r="F14" s="10" t="s">
        <v>43</v>
      </c>
      <c r="G14" s="8" t="s">
        <v>43</v>
      </c>
      <c r="H14" s="8" t="s">
        <v>43</v>
      </c>
      <c r="I14" s="10" t="s">
        <v>43</v>
      </c>
      <c r="J14" s="10" t="s">
        <v>43</v>
      </c>
      <c r="K14" s="8" t="s">
        <v>43</v>
      </c>
      <c r="L14" s="10" t="s">
        <v>43</v>
      </c>
      <c r="M14" s="8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</row>
    <row r="15" spans="1:17" ht="15.6" x14ac:dyDescent="0.3">
      <c r="A15" s="8">
        <v>0</v>
      </c>
      <c r="B15" s="10">
        <v>0</v>
      </c>
      <c r="C15" s="10">
        <v>0</v>
      </c>
      <c r="D15" s="11"/>
      <c r="E15" s="10">
        <v>0</v>
      </c>
      <c r="F15" s="10">
        <v>0</v>
      </c>
      <c r="G15" s="8">
        <v>0</v>
      </c>
      <c r="H15" s="8">
        <v>0</v>
      </c>
      <c r="I15" s="10" t="s">
        <v>45</v>
      </c>
      <c r="J15" s="10" t="s">
        <v>45</v>
      </c>
      <c r="K15" s="8">
        <v>0</v>
      </c>
      <c r="L15" s="8" t="s">
        <v>720</v>
      </c>
      <c r="M15" s="8"/>
      <c r="N15" s="8"/>
      <c r="O15" s="8"/>
      <c r="P15" s="8">
        <v>0</v>
      </c>
      <c r="Q15" s="8">
        <v>0</v>
      </c>
    </row>
    <row r="16" spans="1:17" ht="15.6" x14ac:dyDescent="0.3">
      <c r="A16" s="7">
        <v>1</v>
      </c>
      <c r="B16">
        <v>1</v>
      </c>
      <c r="C16">
        <v>900011</v>
      </c>
      <c r="D16" s="3" t="s">
        <v>204</v>
      </c>
      <c r="E16">
        <v>8001</v>
      </c>
      <c r="F16">
        <v>0</v>
      </c>
      <c r="G16">
        <v>3</v>
      </c>
      <c r="H16">
        <v>0.43</v>
      </c>
      <c r="I16" s="18" t="s">
        <v>177</v>
      </c>
      <c r="J16" t="s">
        <v>205</v>
      </c>
      <c r="K16">
        <v>30</v>
      </c>
      <c r="L16" t="s">
        <v>712</v>
      </c>
      <c r="N16" t="s">
        <v>206</v>
      </c>
      <c r="O16" s="19" t="s">
        <v>207</v>
      </c>
      <c r="P16" s="19">
        <v>1</v>
      </c>
      <c r="Q16" s="19">
        <v>1</v>
      </c>
    </row>
    <row r="17" spans="1:17" ht="15.6" x14ac:dyDescent="0.3">
      <c r="A17">
        <v>2</v>
      </c>
      <c r="B17">
        <v>1</v>
      </c>
      <c r="C17">
        <v>900021</v>
      </c>
      <c r="D17" s="3" t="s">
        <v>208</v>
      </c>
      <c r="E17">
        <v>8002</v>
      </c>
      <c r="F17">
        <v>0</v>
      </c>
      <c r="G17">
        <v>6</v>
      </c>
      <c r="H17">
        <v>0.86</v>
      </c>
      <c r="I17" t="s">
        <v>178</v>
      </c>
      <c r="J17" t="s">
        <v>205</v>
      </c>
      <c r="K17">
        <v>60</v>
      </c>
      <c r="L17" t="s">
        <v>713</v>
      </c>
      <c r="N17" t="s">
        <v>209</v>
      </c>
      <c r="O17" s="19" t="s">
        <v>210</v>
      </c>
      <c r="P17" s="19">
        <v>2</v>
      </c>
      <c r="Q17" s="19">
        <v>2</v>
      </c>
    </row>
    <row r="18" spans="1:17" ht="15.6" x14ac:dyDescent="0.3">
      <c r="A18">
        <v>3</v>
      </c>
      <c r="B18">
        <v>1</v>
      </c>
      <c r="C18">
        <v>900031</v>
      </c>
      <c r="D18" s="3" t="s">
        <v>211</v>
      </c>
      <c r="E18">
        <v>8003</v>
      </c>
      <c r="F18">
        <v>0</v>
      </c>
      <c r="G18">
        <v>18</v>
      </c>
      <c r="H18">
        <v>2.57</v>
      </c>
      <c r="I18" t="s">
        <v>178</v>
      </c>
      <c r="J18" t="s">
        <v>205</v>
      </c>
      <c r="K18">
        <v>180</v>
      </c>
      <c r="L18" t="s">
        <v>714</v>
      </c>
      <c r="N18" t="s">
        <v>212</v>
      </c>
      <c r="O18" s="19" t="s">
        <v>213</v>
      </c>
      <c r="P18" s="19">
        <v>3</v>
      </c>
      <c r="Q18" s="19">
        <v>3</v>
      </c>
    </row>
    <row r="19" spans="1:17" ht="15.6" x14ac:dyDescent="0.3">
      <c r="A19">
        <v>4</v>
      </c>
      <c r="B19">
        <v>1</v>
      </c>
      <c r="C19">
        <v>900041</v>
      </c>
      <c r="D19" s="3" t="s">
        <v>214</v>
      </c>
      <c r="E19">
        <v>8004</v>
      </c>
      <c r="F19">
        <v>6</v>
      </c>
      <c r="G19">
        <v>30</v>
      </c>
      <c r="H19">
        <v>4.29</v>
      </c>
      <c r="I19" t="s">
        <v>179</v>
      </c>
      <c r="J19" t="s">
        <v>205</v>
      </c>
      <c r="K19">
        <v>300</v>
      </c>
      <c r="L19" t="s">
        <v>715</v>
      </c>
      <c r="N19" t="s">
        <v>215</v>
      </c>
      <c r="O19" s="19" t="s">
        <v>216</v>
      </c>
      <c r="P19" s="19">
        <v>4</v>
      </c>
      <c r="Q19" s="19">
        <v>4</v>
      </c>
    </row>
    <row r="20" spans="1:17" ht="15.6" x14ac:dyDescent="0.3">
      <c r="A20">
        <v>5</v>
      </c>
      <c r="B20">
        <v>1</v>
      </c>
      <c r="C20">
        <v>900051</v>
      </c>
      <c r="D20" s="3" t="s">
        <v>217</v>
      </c>
      <c r="E20">
        <v>8005</v>
      </c>
      <c r="F20">
        <v>8</v>
      </c>
      <c r="G20">
        <v>68</v>
      </c>
      <c r="H20">
        <v>9.7100000000000009</v>
      </c>
      <c r="I20" t="s">
        <v>180</v>
      </c>
      <c r="J20" t="s">
        <v>205</v>
      </c>
      <c r="K20">
        <v>680</v>
      </c>
      <c r="L20" t="s">
        <v>716</v>
      </c>
      <c r="N20" t="s">
        <v>218</v>
      </c>
      <c r="O20" s="19" t="s">
        <v>219</v>
      </c>
      <c r="P20" s="19">
        <v>5</v>
      </c>
      <c r="Q20" s="19">
        <v>5</v>
      </c>
    </row>
    <row r="21" spans="1:17" ht="15.6" x14ac:dyDescent="0.3">
      <c r="A21">
        <v>6</v>
      </c>
      <c r="B21">
        <v>1</v>
      </c>
      <c r="C21">
        <v>900061</v>
      </c>
      <c r="D21" s="3" t="s">
        <v>220</v>
      </c>
      <c r="E21">
        <v>8006</v>
      </c>
      <c r="F21">
        <v>10</v>
      </c>
      <c r="G21">
        <v>128</v>
      </c>
      <c r="H21">
        <v>18.29</v>
      </c>
      <c r="I21" t="s">
        <v>181</v>
      </c>
      <c r="J21" t="s">
        <v>205</v>
      </c>
      <c r="K21">
        <v>1280</v>
      </c>
      <c r="L21" t="s">
        <v>717</v>
      </c>
      <c r="N21" t="s">
        <v>221</v>
      </c>
      <c r="O21" s="19" t="s">
        <v>222</v>
      </c>
      <c r="P21" s="19">
        <v>6</v>
      </c>
      <c r="Q21" s="19">
        <v>6</v>
      </c>
    </row>
    <row r="22" spans="1:17" ht="15.6" x14ac:dyDescent="0.3">
      <c r="A22">
        <v>7</v>
      </c>
      <c r="B22">
        <v>1</v>
      </c>
      <c r="C22">
        <v>900071</v>
      </c>
      <c r="D22" s="3" t="s">
        <v>223</v>
      </c>
      <c r="E22">
        <v>8007</v>
      </c>
      <c r="F22">
        <v>10</v>
      </c>
      <c r="G22">
        <v>328</v>
      </c>
      <c r="H22">
        <v>46.86</v>
      </c>
      <c r="I22" t="s">
        <v>182</v>
      </c>
      <c r="J22" t="s">
        <v>205</v>
      </c>
      <c r="K22">
        <v>3280</v>
      </c>
      <c r="L22" t="s">
        <v>718</v>
      </c>
      <c r="N22" t="s">
        <v>224</v>
      </c>
      <c r="O22" s="19" t="s">
        <v>225</v>
      </c>
      <c r="P22" s="19">
        <v>7</v>
      </c>
      <c r="Q22" s="19">
        <v>7</v>
      </c>
    </row>
    <row r="23" spans="1:17" ht="15.6" x14ac:dyDescent="0.3">
      <c r="A23">
        <v>8</v>
      </c>
      <c r="B23">
        <v>1</v>
      </c>
      <c r="C23">
        <v>900081</v>
      </c>
      <c r="D23" s="3" t="s">
        <v>226</v>
      </c>
      <c r="E23">
        <v>8008</v>
      </c>
      <c r="F23">
        <v>15</v>
      </c>
      <c r="G23">
        <v>648</v>
      </c>
      <c r="H23">
        <v>92.57</v>
      </c>
      <c r="I23" t="s">
        <v>183</v>
      </c>
      <c r="J23" t="s">
        <v>205</v>
      </c>
      <c r="K23">
        <v>6480</v>
      </c>
      <c r="L23" t="s">
        <v>719</v>
      </c>
      <c r="N23" t="s">
        <v>227</v>
      </c>
      <c r="O23" s="19" t="s">
        <v>228</v>
      </c>
      <c r="P23" s="19">
        <v>8</v>
      </c>
      <c r="Q23" s="19">
        <v>8</v>
      </c>
    </row>
    <row r="24" spans="1:17" ht="15.6" x14ac:dyDescent="0.25">
      <c r="A24" s="7">
        <v>8</v>
      </c>
      <c r="B24">
        <v>2</v>
      </c>
      <c r="D24" t="s">
        <v>55</v>
      </c>
      <c r="E24">
        <v>8101</v>
      </c>
      <c r="G24" s="6">
        <v>1</v>
      </c>
      <c r="H24" s="12">
        <v>0.14000000000000001</v>
      </c>
      <c r="I24" s="20" t="s">
        <v>53</v>
      </c>
      <c r="J24" t="s">
        <v>54</v>
      </c>
      <c r="K24">
        <v>10</v>
      </c>
      <c r="L24" t="s">
        <v>720</v>
      </c>
      <c r="M24" s="12"/>
      <c r="N24" t="s">
        <v>229</v>
      </c>
      <c r="O24" s="21"/>
      <c r="P24" s="21">
        <v>8</v>
      </c>
      <c r="Q24" s="21">
        <v>8</v>
      </c>
    </row>
    <row r="25" spans="1:17" ht="15.6" x14ac:dyDescent="0.25">
      <c r="A25" s="7">
        <v>9</v>
      </c>
      <c r="B25">
        <v>2</v>
      </c>
      <c r="D25" t="s">
        <v>58</v>
      </c>
      <c r="E25">
        <v>8102</v>
      </c>
      <c r="G25" s="6">
        <v>3</v>
      </c>
      <c r="H25" s="12">
        <v>0.43</v>
      </c>
      <c r="I25" s="20" t="s">
        <v>57</v>
      </c>
      <c r="J25" t="s">
        <v>54</v>
      </c>
      <c r="K25">
        <v>30</v>
      </c>
      <c r="L25" t="s">
        <v>721</v>
      </c>
      <c r="M25" s="12"/>
      <c r="N25" t="s">
        <v>230</v>
      </c>
      <c r="O25" s="21"/>
      <c r="P25" s="21">
        <v>9</v>
      </c>
      <c r="Q25" s="21">
        <v>9</v>
      </c>
    </row>
    <row r="26" spans="1:17" ht="15.6" x14ac:dyDescent="0.25">
      <c r="A26" s="7">
        <v>10</v>
      </c>
      <c r="B26">
        <v>2</v>
      </c>
      <c r="D26" t="s">
        <v>60</v>
      </c>
      <c r="E26">
        <v>8103</v>
      </c>
      <c r="G26" s="6">
        <v>6</v>
      </c>
      <c r="H26" s="12">
        <v>0.86</v>
      </c>
      <c r="I26" s="20" t="s">
        <v>57</v>
      </c>
      <c r="J26" t="s">
        <v>54</v>
      </c>
      <c r="K26">
        <v>60</v>
      </c>
      <c r="L26" t="s">
        <v>722</v>
      </c>
      <c r="M26" s="12"/>
      <c r="N26" t="s">
        <v>231</v>
      </c>
      <c r="O26" s="21"/>
      <c r="P26" s="21">
        <v>10</v>
      </c>
      <c r="Q26" s="21">
        <v>10</v>
      </c>
    </row>
    <row r="27" spans="1:17" ht="15.6" x14ac:dyDescent="0.25">
      <c r="A27" s="7">
        <v>11</v>
      </c>
      <c r="B27">
        <v>2</v>
      </c>
      <c r="D27" t="s">
        <v>62</v>
      </c>
      <c r="E27">
        <v>8104</v>
      </c>
      <c r="G27" s="6">
        <v>12</v>
      </c>
      <c r="H27" s="12">
        <v>1.71</v>
      </c>
      <c r="I27" s="20" t="s">
        <v>57</v>
      </c>
      <c r="J27" t="s">
        <v>54</v>
      </c>
      <c r="K27">
        <v>120</v>
      </c>
      <c r="L27" t="s">
        <v>723</v>
      </c>
      <c r="M27" s="12"/>
      <c r="N27" t="s">
        <v>232</v>
      </c>
      <c r="O27" s="21"/>
      <c r="P27" s="21">
        <v>11</v>
      </c>
      <c r="Q27" s="21">
        <v>11</v>
      </c>
    </row>
    <row r="28" spans="1:17" ht="15.6" x14ac:dyDescent="0.25">
      <c r="A28" s="7">
        <v>12</v>
      </c>
      <c r="B28">
        <v>2</v>
      </c>
      <c r="D28" t="s">
        <v>65</v>
      </c>
      <c r="E28">
        <v>8105</v>
      </c>
      <c r="G28" s="6">
        <v>18</v>
      </c>
      <c r="H28" s="12">
        <v>2.57</v>
      </c>
      <c r="I28" s="20" t="s">
        <v>64</v>
      </c>
      <c r="J28" t="s">
        <v>54</v>
      </c>
      <c r="K28">
        <v>180</v>
      </c>
      <c r="L28" t="s">
        <v>724</v>
      </c>
      <c r="M28" s="12"/>
      <c r="N28" t="s">
        <v>233</v>
      </c>
      <c r="O28" s="21"/>
      <c r="P28" s="21">
        <v>12</v>
      </c>
      <c r="Q28" s="21">
        <v>12</v>
      </c>
    </row>
    <row r="29" spans="1:17" ht="15.6" x14ac:dyDescent="0.25">
      <c r="A29" s="7">
        <v>13</v>
      </c>
      <c r="B29">
        <v>2</v>
      </c>
      <c r="D29" t="s">
        <v>67</v>
      </c>
      <c r="E29">
        <v>8106</v>
      </c>
      <c r="G29">
        <v>30</v>
      </c>
      <c r="H29" s="12">
        <v>4.29</v>
      </c>
      <c r="I29" s="20" t="s">
        <v>64</v>
      </c>
      <c r="J29" t="s">
        <v>54</v>
      </c>
      <c r="K29">
        <v>300</v>
      </c>
      <c r="L29" t="s">
        <v>725</v>
      </c>
      <c r="M29" s="12"/>
      <c r="N29" t="s">
        <v>234</v>
      </c>
      <c r="O29" s="21"/>
      <c r="P29" s="21">
        <v>13</v>
      </c>
      <c r="Q29" s="21">
        <v>13</v>
      </c>
    </row>
    <row r="30" spans="1:17" ht="15.6" x14ac:dyDescent="0.25">
      <c r="A30" s="7">
        <v>14</v>
      </c>
      <c r="B30">
        <v>2</v>
      </c>
      <c r="D30" t="s">
        <v>70</v>
      </c>
      <c r="E30">
        <v>8107</v>
      </c>
      <c r="G30">
        <v>50</v>
      </c>
      <c r="H30" s="12">
        <v>7.14</v>
      </c>
      <c r="I30" s="20" t="s">
        <v>69</v>
      </c>
      <c r="J30" t="s">
        <v>54</v>
      </c>
      <c r="K30">
        <v>500</v>
      </c>
      <c r="L30" t="s">
        <v>726</v>
      </c>
      <c r="M30" s="12"/>
      <c r="N30" t="s">
        <v>235</v>
      </c>
      <c r="O30" s="21"/>
      <c r="P30" s="21">
        <v>14</v>
      </c>
      <c r="Q30" s="21">
        <v>14</v>
      </c>
    </row>
    <row r="31" spans="1:17" ht="15.6" x14ac:dyDescent="0.25">
      <c r="A31" s="7">
        <v>15</v>
      </c>
      <c r="B31">
        <v>2</v>
      </c>
      <c r="D31" t="s">
        <v>72</v>
      </c>
      <c r="E31">
        <v>8108</v>
      </c>
      <c r="G31" s="6">
        <v>68</v>
      </c>
      <c r="H31" s="12">
        <v>9.7100000000000009</v>
      </c>
      <c r="I31" s="20" t="s">
        <v>69</v>
      </c>
      <c r="J31" t="s">
        <v>54</v>
      </c>
      <c r="K31">
        <v>680</v>
      </c>
      <c r="L31" t="s">
        <v>727</v>
      </c>
      <c r="M31" s="12"/>
      <c r="N31" t="s">
        <v>236</v>
      </c>
      <c r="O31" s="21"/>
      <c r="P31" s="21">
        <v>15</v>
      </c>
      <c r="Q31" s="21">
        <v>15</v>
      </c>
    </row>
    <row r="32" spans="1:17" ht="15.6" x14ac:dyDescent="0.25">
      <c r="A32" s="7">
        <v>16</v>
      </c>
      <c r="B32">
        <v>2</v>
      </c>
      <c r="D32" t="s">
        <v>75</v>
      </c>
      <c r="E32">
        <v>8109</v>
      </c>
      <c r="G32" s="6">
        <v>98</v>
      </c>
      <c r="H32" s="12">
        <v>14</v>
      </c>
      <c r="I32" s="20" t="s">
        <v>74</v>
      </c>
      <c r="J32" t="s">
        <v>54</v>
      </c>
      <c r="K32">
        <v>980</v>
      </c>
      <c r="L32" t="s">
        <v>728</v>
      </c>
      <c r="M32" s="12"/>
      <c r="N32" t="s">
        <v>237</v>
      </c>
      <c r="O32" s="21"/>
      <c r="P32" s="21">
        <v>16</v>
      </c>
      <c r="Q32" s="21">
        <v>16</v>
      </c>
    </row>
    <row r="33" spans="1:17" ht="15.6" x14ac:dyDescent="0.25">
      <c r="A33" s="7">
        <v>17</v>
      </c>
      <c r="B33">
        <v>2</v>
      </c>
      <c r="D33" t="s">
        <v>78</v>
      </c>
      <c r="E33">
        <v>8110</v>
      </c>
      <c r="G33">
        <v>128</v>
      </c>
      <c r="H33" s="12">
        <v>18.29</v>
      </c>
      <c r="I33" s="20" t="s">
        <v>77</v>
      </c>
      <c r="J33" t="s">
        <v>54</v>
      </c>
      <c r="K33">
        <v>1280</v>
      </c>
      <c r="L33" t="s">
        <v>729</v>
      </c>
      <c r="M33" s="12"/>
      <c r="N33" t="s">
        <v>238</v>
      </c>
      <c r="O33" s="21"/>
      <c r="P33" s="21">
        <v>17</v>
      </c>
      <c r="Q33" s="21">
        <v>17</v>
      </c>
    </row>
    <row r="34" spans="1:17" ht="15.6" x14ac:dyDescent="0.25">
      <c r="A34" s="7">
        <v>18</v>
      </c>
      <c r="B34">
        <v>2</v>
      </c>
      <c r="D34" t="s">
        <v>81</v>
      </c>
      <c r="E34">
        <v>8111</v>
      </c>
      <c r="G34">
        <v>198</v>
      </c>
      <c r="H34" s="12">
        <v>28.29</v>
      </c>
      <c r="I34" s="20" t="s">
        <v>80</v>
      </c>
      <c r="J34" t="s">
        <v>54</v>
      </c>
      <c r="K34">
        <v>1980</v>
      </c>
      <c r="L34" t="s">
        <v>730</v>
      </c>
      <c r="M34" s="12"/>
      <c r="N34" t="s">
        <v>239</v>
      </c>
      <c r="O34" s="21"/>
      <c r="P34" s="21">
        <v>18</v>
      </c>
      <c r="Q34" s="21">
        <v>18</v>
      </c>
    </row>
    <row r="35" spans="1:17" ht="15.6" x14ac:dyDescent="0.25">
      <c r="A35" s="7">
        <v>19</v>
      </c>
      <c r="B35">
        <v>2</v>
      </c>
      <c r="D35" t="s">
        <v>83</v>
      </c>
      <c r="E35">
        <v>8112</v>
      </c>
      <c r="G35">
        <v>328</v>
      </c>
      <c r="H35" s="12">
        <v>46.86</v>
      </c>
      <c r="I35" s="20" t="s">
        <v>80</v>
      </c>
      <c r="J35" t="s">
        <v>54</v>
      </c>
      <c r="K35">
        <v>3280</v>
      </c>
      <c r="L35" t="s">
        <v>731</v>
      </c>
      <c r="M35" s="12"/>
      <c r="N35" t="s">
        <v>240</v>
      </c>
      <c r="O35" s="21"/>
      <c r="P35" s="21">
        <v>19</v>
      </c>
      <c r="Q35" s="21">
        <v>19</v>
      </c>
    </row>
    <row r="36" spans="1:17" ht="15.6" x14ac:dyDescent="0.25">
      <c r="A36" s="7">
        <v>20</v>
      </c>
      <c r="B36">
        <v>2</v>
      </c>
      <c r="D36" t="s">
        <v>85</v>
      </c>
      <c r="E36">
        <v>8113</v>
      </c>
      <c r="G36">
        <v>648</v>
      </c>
      <c r="H36" s="12">
        <v>92.57</v>
      </c>
      <c r="I36" s="20" t="s">
        <v>80</v>
      </c>
      <c r="J36" t="s">
        <v>54</v>
      </c>
      <c r="K36">
        <v>6480</v>
      </c>
      <c r="L36" t="s">
        <v>732</v>
      </c>
      <c r="M36" s="12"/>
      <c r="N36" t="s">
        <v>241</v>
      </c>
      <c r="O36" s="21"/>
      <c r="P36" s="21">
        <v>20</v>
      </c>
      <c r="Q36" s="21">
        <v>20</v>
      </c>
    </row>
    <row r="37" spans="1:17" ht="15.6" x14ac:dyDescent="0.25">
      <c r="A37" s="7">
        <v>21</v>
      </c>
      <c r="B37">
        <v>3</v>
      </c>
      <c r="D37" t="s">
        <v>242</v>
      </c>
      <c r="E37">
        <v>8201</v>
      </c>
      <c r="G37">
        <v>1</v>
      </c>
      <c r="H37" s="12">
        <v>0.14000000000000001</v>
      </c>
      <c r="I37" s="20" t="s">
        <v>53</v>
      </c>
      <c r="J37" t="s">
        <v>54</v>
      </c>
      <c r="K37">
        <v>10</v>
      </c>
      <c r="L37" t="s">
        <v>720</v>
      </c>
      <c r="M37" s="12"/>
      <c r="N37" t="s">
        <v>229</v>
      </c>
      <c r="O37" s="21"/>
      <c r="P37" s="21">
        <v>21</v>
      </c>
      <c r="Q37" s="21">
        <v>21</v>
      </c>
    </row>
    <row r="38" spans="1:17" ht="15.6" x14ac:dyDescent="0.25">
      <c r="A38" s="7">
        <v>22</v>
      </c>
      <c r="B38">
        <v>3</v>
      </c>
      <c r="D38" t="s">
        <v>243</v>
      </c>
      <c r="E38">
        <v>8202</v>
      </c>
      <c r="G38">
        <v>3</v>
      </c>
      <c r="H38" s="12">
        <v>0.43</v>
      </c>
      <c r="I38" s="20" t="s">
        <v>57</v>
      </c>
      <c r="J38" t="s">
        <v>54</v>
      </c>
      <c r="K38">
        <v>30</v>
      </c>
      <c r="L38" t="s">
        <v>721</v>
      </c>
      <c r="M38" s="12"/>
      <c r="N38" t="s">
        <v>230</v>
      </c>
      <c r="O38" s="21"/>
      <c r="P38" s="21">
        <v>22</v>
      </c>
      <c r="Q38" s="21">
        <v>22</v>
      </c>
    </row>
    <row r="39" spans="1:17" ht="15.6" x14ac:dyDescent="0.25">
      <c r="A39" s="7">
        <v>23</v>
      </c>
      <c r="B39">
        <v>3</v>
      </c>
      <c r="D39" t="s">
        <v>92</v>
      </c>
      <c r="E39">
        <v>8203</v>
      </c>
      <c r="G39">
        <v>12</v>
      </c>
      <c r="H39" s="12">
        <v>1.71</v>
      </c>
      <c r="I39" s="20" t="s">
        <v>64</v>
      </c>
      <c r="J39" t="s">
        <v>54</v>
      </c>
      <c r="K39">
        <v>120</v>
      </c>
      <c r="L39" t="s">
        <v>723</v>
      </c>
      <c r="M39" s="12"/>
      <c r="N39" t="s">
        <v>232</v>
      </c>
      <c r="O39" s="21"/>
      <c r="P39" s="21">
        <v>23</v>
      </c>
      <c r="Q39" s="21">
        <v>23</v>
      </c>
    </row>
    <row r="40" spans="1:17" ht="15.6" x14ac:dyDescent="0.25">
      <c r="A40" s="7">
        <v>24</v>
      </c>
      <c r="B40">
        <v>3</v>
      </c>
      <c r="D40" t="s">
        <v>244</v>
      </c>
      <c r="E40">
        <v>8204</v>
      </c>
      <c r="G40">
        <v>30</v>
      </c>
      <c r="H40" s="12">
        <v>4.29</v>
      </c>
      <c r="I40" s="20" t="s">
        <v>69</v>
      </c>
      <c r="J40" t="s">
        <v>54</v>
      </c>
      <c r="K40">
        <v>300</v>
      </c>
      <c r="L40" t="s">
        <v>725</v>
      </c>
      <c r="M40" s="12"/>
      <c r="N40" t="s">
        <v>234</v>
      </c>
      <c r="O40" s="21"/>
      <c r="P40" s="21">
        <v>24</v>
      </c>
      <c r="Q40" s="21">
        <v>24</v>
      </c>
    </row>
    <row r="41" spans="1:17" ht="15.6" x14ac:dyDescent="0.25">
      <c r="A41" s="7">
        <v>25</v>
      </c>
      <c r="B41">
        <v>4</v>
      </c>
      <c r="D41" t="s">
        <v>104</v>
      </c>
      <c r="E41">
        <v>8301</v>
      </c>
      <c r="G41">
        <v>1</v>
      </c>
      <c r="H41" s="12">
        <v>0.14000000000000001</v>
      </c>
      <c r="I41" s="20" t="s">
        <v>53</v>
      </c>
      <c r="J41" t="s">
        <v>54</v>
      </c>
      <c r="K41">
        <v>10</v>
      </c>
      <c r="L41" t="s">
        <v>720</v>
      </c>
      <c r="M41" s="12"/>
      <c r="N41" t="s">
        <v>229</v>
      </c>
      <c r="O41" s="21"/>
      <c r="P41" s="21">
        <v>25</v>
      </c>
      <c r="Q41" s="21">
        <v>25</v>
      </c>
    </row>
    <row r="42" spans="1:17" ht="15.6" x14ac:dyDescent="0.25">
      <c r="A42" s="7">
        <v>26</v>
      </c>
      <c r="B42">
        <v>4</v>
      </c>
      <c r="D42" t="s">
        <v>245</v>
      </c>
      <c r="E42">
        <v>8302</v>
      </c>
      <c r="G42">
        <v>3</v>
      </c>
      <c r="H42" s="12">
        <v>0.43</v>
      </c>
      <c r="I42" s="20" t="s">
        <v>57</v>
      </c>
      <c r="J42" t="s">
        <v>54</v>
      </c>
      <c r="K42">
        <v>30</v>
      </c>
      <c r="L42" t="s">
        <v>721</v>
      </c>
      <c r="M42" s="12"/>
      <c r="N42" t="s">
        <v>230</v>
      </c>
      <c r="O42" s="21"/>
      <c r="P42" s="21">
        <v>26</v>
      </c>
      <c r="Q42" s="21">
        <v>26</v>
      </c>
    </row>
    <row r="43" spans="1:17" ht="15.6" x14ac:dyDescent="0.25">
      <c r="A43" s="7">
        <v>27</v>
      </c>
      <c r="B43">
        <v>4</v>
      </c>
      <c r="D43" t="s">
        <v>106</v>
      </c>
      <c r="E43">
        <v>8303</v>
      </c>
      <c r="G43">
        <v>6</v>
      </c>
      <c r="H43" s="12">
        <v>0.86</v>
      </c>
      <c r="I43" s="20" t="s">
        <v>64</v>
      </c>
      <c r="J43" t="s">
        <v>54</v>
      </c>
      <c r="K43">
        <v>60</v>
      </c>
      <c r="L43" t="s">
        <v>722</v>
      </c>
      <c r="M43" s="12"/>
      <c r="N43" t="s">
        <v>231</v>
      </c>
      <c r="O43" s="21"/>
      <c r="P43" s="21">
        <v>27</v>
      </c>
      <c r="Q43" s="21">
        <v>27</v>
      </c>
    </row>
    <row r="44" spans="1:17" ht="15.6" x14ac:dyDescent="0.25">
      <c r="A44" s="7">
        <v>28</v>
      </c>
      <c r="B44">
        <v>5</v>
      </c>
      <c r="D44" t="s">
        <v>110</v>
      </c>
      <c r="E44">
        <v>8401</v>
      </c>
      <c r="G44" s="6">
        <v>1</v>
      </c>
      <c r="H44" s="12">
        <v>0.14000000000000001</v>
      </c>
      <c r="I44" s="20" t="s">
        <v>53</v>
      </c>
      <c r="J44" t="s">
        <v>54</v>
      </c>
      <c r="K44">
        <v>10</v>
      </c>
      <c r="L44" t="s">
        <v>720</v>
      </c>
      <c r="M44" s="12"/>
      <c r="N44" t="s">
        <v>229</v>
      </c>
      <c r="O44" s="21"/>
      <c r="P44" s="21">
        <v>28</v>
      </c>
      <c r="Q44" s="21">
        <v>28</v>
      </c>
    </row>
    <row r="45" spans="1:17" ht="15.6" x14ac:dyDescent="0.25">
      <c r="A45" s="7">
        <v>29</v>
      </c>
      <c r="B45">
        <v>5</v>
      </c>
      <c r="D45" t="s">
        <v>246</v>
      </c>
      <c r="E45">
        <v>8402</v>
      </c>
      <c r="G45" s="6">
        <v>3</v>
      </c>
      <c r="H45" s="12">
        <v>0.43</v>
      </c>
      <c r="I45" s="20" t="s">
        <v>57</v>
      </c>
      <c r="J45" t="s">
        <v>54</v>
      </c>
      <c r="K45">
        <v>30</v>
      </c>
      <c r="L45" t="s">
        <v>721</v>
      </c>
      <c r="M45" s="12"/>
      <c r="N45" t="s">
        <v>230</v>
      </c>
      <c r="O45" s="21"/>
      <c r="P45" s="21">
        <v>29</v>
      </c>
      <c r="Q45" s="21">
        <v>29</v>
      </c>
    </row>
    <row r="46" spans="1:17" ht="15.6" x14ac:dyDescent="0.25">
      <c r="A46" s="7">
        <v>30</v>
      </c>
      <c r="B46">
        <v>5</v>
      </c>
      <c r="D46" t="s">
        <v>247</v>
      </c>
      <c r="E46">
        <v>8403</v>
      </c>
      <c r="G46" s="6">
        <v>6</v>
      </c>
      <c r="H46" s="12">
        <v>0.86</v>
      </c>
      <c r="I46" s="20" t="s">
        <v>57</v>
      </c>
      <c r="J46" t="s">
        <v>54</v>
      </c>
      <c r="K46">
        <v>60</v>
      </c>
      <c r="L46" t="s">
        <v>722</v>
      </c>
      <c r="M46" s="12"/>
      <c r="N46" t="s">
        <v>231</v>
      </c>
      <c r="O46" s="21"/>
      <c r="P46" s="21">
        <v>30</v>
      </c>
      <c r="Q46" s="21">
        <v>30</v>
      </c>
    </row>
    <row r="47" spans="1:17" ht="15.6" x14ac:dyDescent="0.25">
      <c r="A47" s="7">
        <v>31</v>
      </c>
      <c r="B47">
        <v>5</v>
      </c>
      <c r="D47" t="s">
        <v>248</v>
      </c>
      <c r="E47">
        <v>8404</v>
      </c>
      <c r="G47" s="6">
        <v>12</v>
      </c>
      <c r="H47" s="12">
        <v>1.71</v>
      </c>
      <c r="I47" s="20" t="s">
        <v>57</v>
      </c>
      <c r="J47" t="s">
        <v>54</v>
      </c>
      <c r="K47">
        <v>120</v>
      </c>
      <c r="L47" t="s">
        <v>723</v>
      </c>
      <c r="M47" s="12"/>
      <c r="N47" t="s">
        <v>232</v>
      </c>
      <c r="O47" s="21"/>
      <c r="P47" s="21">
        <v>31</v>
      </c>
      <c r="Q47" s="21">
        <v>31</v>
      </c>
    </row>
    <row r="48" spans="1:17" ht="15.6" x14ac:dyDescent="0.25">
      <c r="A48" s="7">
        <v>32</v>
      </c>
      <c r="B48">
        <v>5</v>
      </c>
      <c r="D48" t="s">
        <v>249</v>
      </c>
      <c r="E48">
        <v>8405</v>
      </c>
      <c r="G48" s="6">
        <v>18</v>
      </c>
      <c r="H48" s="12">
        <v>2.57</v>
      </c>
      <c r="I48" s="20" t="s">
        <v>64</v>
      </c>
      <c r="J48" t="s">
        <v>54</v>
      </c>
      <c r="K48">
        <v>180</v>
      </c>
      <c r="L48" t="s">
        <v>724</v>
      </c>
      <c r="M48" s="12"/>
      <c r="N48" t="s">
        <v>233</v>
      </c>
      <c r="O48" s="21"/>
      <c r="P48" s="21">
        <v>32</v>
      </c>
      <c r="Q48" s="21">
        <v>32</v>
      </c>
    </row>
    <row r="49" spans="1:17" ht="15.6" x14ac:dyDescent="0.25">
      <c r="A49" s="7">
        <v>33</v>
      </c>
      <c r="B49">
        <v>5</v>
      </c>
      <c r="D49" t="s">
        <v>115</v>
      </c>
      <c r="E49">
        <v>8406</v>
      </c>
      <c r="G49">
        <v>30</v>
      </c>
      <c r="H49" s="12">
        <v>4.29</v>
      </c>
      <c r="I49" s="20" t="s">
        <v>64</v>
      </c>
      <c r="J49" t="s">
        <v>54</v>
      </c>
      <c r="K49">
        <v>300</v>
      </c>
      <c r="L49" t="s">
        <v>725</v>
      </c>
      <c r="M49" s="12"/>
      <c r="N49" t="s">
        <v>234</v>
      </c>
      <c r="O49" s="21"/>
      <c r="P49" s="21">
        <v>33</v>
      </c>
      <c r="Q49" s="21">
        <v>33</v>
      </c>
    </row>
    <row r="50" spans="1:17" ht="15.6" x14ac:dyDescent="0.25">
      <c r="A50" s="7">
        <v>34</v>
      </c>
      <c r="B50">
        <v>5</v>
      </c>
      <c r="D50" t="s">
        <v>250</v>
      </c>
      <c r="E50">
        <v>8407</v>
      </c>
      <c r="G50">
        <v>50</v>
      </c>
      <c r="H50" s="12">
        <v>7.14</v>
      </c>
      <c r="I50" s="20" t="s">
        <v>69</v>
      </c>
      <c r="J50" t="s">
        <v>54</v>
      </c>
      <c r="K50">
        <v>500</v>
      </c>
      <c r="L50" t="s">
        <v>726</v>
      </c>
      <c r="M50" s="12"/>
      <c r="N50" t="s">
        <v>235</v>
      </c>
      <c r="O50" s="21"/>
      <c r="P50" s="21">
        <v>34</v>
      </c>
      <c r="Q50" s="21">
        <v>34</v>
      </c>
    </row>
    <row r="51" spans="1:17" ht="15.6" x14ac:dyDescent="0.25">
      <c r="A51" s="7">
        <v>35</v>
      </c>
      <c r="B51">
        <v>5</v>
      </c>
      <c r="D51" t="s">
        <v>251</v>
      </c>
      <c r="E51">
        <v>8408</v>
      </c>
      <c r="G51" s="6">
        <v>68</v>
      </c>
      <c r="H51" s="12">
        <v>9.7100000000000009</v>
      </c>
      <c r="I51" s="20" t="s">
        <v>69</v>
      </c>
      <c r="J51" t="s">
        <v>54</v>
      </c>
      <c r="K51">
        <v>680</v>
      </c>
      <c r="L51" t="s">
        <v>727</v>
      </c>
      <c r="M51" s="12"/>
      <c r="N51" t="s">
        <v>236</v>
      </c>
      <c r="O51" s="21"/>
      <c r="P51" s="21">
        <v>35</v>
      </c>
      <c r="Q51" s="21">
        <v>35</v>
      </c>
    </row>
    <row r="52" spans="1:17" ht="15.6" x14ac:dyDescent="0.25">
      <c r="A52" s="7">
        <v>36</v>
      </c>
      <c r="B52">
        <v>5</v>
      </c>
      <c r="D52" t="s">
        <v>252</v>
      </c>
      <c r="E52">
        <v>8409</v>
      </c>
      <c r="G52" s="6">
        <v>98</v>
      </c>
      <c r="H52" s="12">
        <v>14</v>
      </c>
      <c r="I52" s="20" t="s">
        <v>74</v>
      </c>
      <c r="J52" t="s">
        <v>54</v>
      </c>
      <c r="K52">
        <v>980</v>
      </c>
      <c r="L52" t="s">
        <v>728</v>
      </c>
      <c r="M52" s="12"/>
      <c r="N52" t="s">
        <v>237</v>
      </c>
      <c r="O52" s="21"/>
      <c r="P52" s="21">
        <v>36</v>
      </c>
      <c r="Q52" s="21">
        <v>36</v>
      </c>
    </row>
    <row r="53" spans="1:17" ht="15.6" x14ac:dyDescent="0.25">
      <c r="A53" s="7">
        <v>37</v>
      </c>
      <c r="B53">
        <v>5</v>
      </c>
      <c r="D53" t="s">
        <v>253</v>
      </c>
      <c r="E53">
        <v>8410</v>
      </c>
      <c r="G53">
        <v>128</v>
      </c>
      <c r="H53" s="12">
        <v>18.29</v>
      </c>
      <c r="I53" s="20" t="s">
        <v>77</v>
      </c>
      <c r="J53" t="s">
        <v>54</v>
      </c>
      <c r="K53">
        <v>1280</v>
      </c>
      <c r="L53" t="s">
        <v>729</v>
      </c>
      <c r="M53" s="12"/>
      <c r="N53" t="s">
        <v>238</v>
      </c>
      <c r="O53" s="21"/>
      <c r="P53" s="21">
        <v>37</v>
      </c>
      <c r="Q53" s="21">
        <v>37</v>
      </c>
    </row>
    <row r="54" spans="1:17" ht="15.6" x14ac:dyDescent="0.25">
      <c r="A54" s="7">
        <v>38</v>
      </c>
      <c r="B54">
        <v>5</v>
      </c>
      <c r="D54" t="s">
        <v>254</v>
      </c>
      <c r="E54">
        <v>8411</v>
      </c>
      <c r="G54">
        <v>198</v>
      </c>
      <c r="H54" s="12">
        <v>28.29</v>
      </c>
      <c r="I54" s="20" t="s">
        <v>80</v>
      </c>
      <c r="J54" t="s">
        <v>54</v>
      </c>
      <c r="K54">
        <v>1980</v>
      </c>
      <c r="L54" t="s">
        <v>730</v>
      </c>
      <c r="M54" s="12"/>
      <c r="N54" t="s">
        <v>239</v>
      </c>
      <c r="O54" s="21"/>
      <c r="P54" s="21">
        <v>38</v>
      </c>
      <c r="Q54" s="21">
        <v>38</v>
      </c>
    </row>
    <row r="55" spans="1:17" ht="15.6" x14ac:dyDescent="0.25">
      <c r="A55" s="7">
        <v>39</v>
      </c>
      <c r="B55">
        <v>5</v>
      </c>
      <c r="D55" t="s">
        <v>255</v>
      </c>
      <c r="E55">
        <v>8412</v>
      </c>
      <c r="G55">
        <v>328</v>
      </c>
      <c r="H55" s="12">
        <v>46.86</v>
      </c>
      <c r="I55" s="20" t="s">
        <v>80</v>
      </c>
      <c r="J55" t="s">
        <v>54</v>
      </c>
      <c r="K55">
        <v>3280</v>
      </c>
      <c r="L55" t="s">
        <v>731</v>
      </c>
      <c r="M55" s="12"/>
      <c r="N55" t="s">
        <v>240</v>
      </c>
      <c r="O55" s="21"/>
      <c r="P55" s="21">
        <v>39</v>
      </c>
      <c r="Q55" s="21">
        <v>39</v>
      </c>
    </row>
    <row r="56" spans="1:17" ht="15.6" x14ac:dyDescent="0.25">
      <c r="A56" s="7">
        <v>40</v>
      </c>
      <c r="B56">
        <v>5</v>
      </c>
      <c r="D56" t="s">
        <v>256</v>
      </c>
      <c r="E56">
        <v>8413</v>
      </c>
      <c r="G56">
        <v>648</v>
      </c>
      <c r="H56" s="12">
        <v>92.57</v>
      </c>
      <c r="I56" s="20" t="s">
        <v>80</v>
      </c>
      <c r="J56" t="s">
        <v>54</v>
      </c>
      <c r="K56">
        <v>6480</v>
      </c>
      <c r="L56" t="s">
        <v>732</v>
      </c>
      <c r="M56" s="12"/>
      <c r="N56" t="s">
        <v>241</v>
      </c>
      <c r="O56" s="21"/>
      <c r="P56" s="21">
        <v>40</v>
      </c>
      <c r="Q56" s="21">
        <v>40</v>
      </c>
    </row>
    <row r="57" spans="1:17" s="1" customFormat="1" ht="15.6" x14ac:dyDescent="0.25">
      <c r="A57" s="7">
        <v>41</v>
      </c>
      <c r="B57" s="1">
        <v>6</v>
      </c>
      <c r="D57" s="1" t="s">
        <v>257</v>
      </c>
      <c r="E57" s="1">
        <v>8414</v>
      </c>
      <c r="G57" s="13">
        <v>1</v>
      </c>
      <c r="H57" s="14">
        <v>0.14000000000000001</v>
      </c>
      <c r="I57" s="22" t="s">
        <v>53</v>
      </c>
      <c r="J57" t="s">
        <v>54</v>
      </c>
      <c r="K57" s="1">
        <v>10</v>
      </c>
      <c r="L57" t="s">
        <v>720</v>
      </c>
      <c r="N57" t="s">
        <v>229</v>
      </c>
      <c r="O57" s="23"/>
      <c r="P57" s="23">
        <v>41</v>
      </c>
      <c r="Q57" s="23">
        <v>41</v>
      </c>
    </row>
    <row r="58" spans="1:17" s="1" customFormat="1" ht="15.6" x14ac:dyDescent="0.3">
      <c r="A58">
        <v>42</v>
      </c>
      <c r="B58" s="1">
        <v>7</v>
      </c>
      <c r="C58" s="1">
        <v>900421</v>
      </c>
      <c r="D58" s="1" t="s">
        <v>258</v>
      </c>
      <c r="E58" s="1">
        <v>8415</v>
      </c>
      <c r="G58" s="13">
        <v>2</v>
      </c>
      <c r="H58" s="14">
        <v>0.28571428571428598</v>
      </c>
      <c r="I58" s="22" t="s">
        <v>53</v>
      </c>
      <c r="J58" s="1" t="s">
        <v>259</v>
      </c>
      <c r="K58" s="1">
        <v>20</v>
      </c>
      <c r="L58" t="s">
        <v>733</v>
      </c>
      <c r="N58" t="s">
        <v>260</v>
      </c>
      <c r="O58" s="19" t="s">
        <v>261</v>
      </c>
      <c r="P58" s="19">
        <v>42</v>
      </c>
      <c r="Q58" s="19">
        <v>42</v>
      </c>
    </row>
    <row r="59" spans="1:17" s="1" customFormat="1" ht="15.6" x14ac:dyDescent="0.3">
      <c r="A59">
        <v>43</v>
      </c>
      <c r="B59" s="1">
        <v>7</v>
      </c>
      <c r="C59" s="1">
        <v>900431</v>
      </c>
      <c r="D59" s="1" t="s">
        <v>262</v>
      </c>
      <c r="E59" s="1">
        <v>8416</v>
      </c>
      <c r="G59" s="13">
        <v>5</v>
      </c>
      <c r="H59" s="14">
        <v>0.71428571428571397</v>
      </c>
      <c r="I59" s="22" t="s">
        <v>57</v>
      </c>
      <c r="J59" s="1" t="s">
        <v>259</v>
      </c>
      <c r="K59" s="1">
        <v>50</v>
      </c>
      <c r="L59"/>
      <c r="N59" t="s">
        <v>263</v>
      </c>
      <c r="O59" s="19" t="s">
        <v>264</v>
      </c>
      <c r="P59" s="19">
        <v>43</v>
      </c>
      <c r="Q59" s="19">
        <v>43</v>
      </c>
    </row>
    <row r="60" spans="1:17" s="1" customFormat="1" ht="15.6" x14ac:dyDescent="0.3">
      <c r="A60">
        <v>44</v>
      </c>
      <c r="B60" s="1">
        <v>7</v>
      </c>
      <c r="C60" s="1">
        <v>900441</v>
      </c>
      <c r="D60" s="1" t="s">
        <v>265</v>
      </c>
      <c r="E60" s="1">
        <v>8417</v>
      </c>
      <c r="G60" s="13">
        <v>10</v>
      </c>
      <c r="H60" s="14">
        <v>1.4285714285714299</v>
      </c>
      <c r="I60" s="22" t="s">
        <v>57</v>
      </c>
      <c r="J60" s="1" t="s">
        <v>259</v>
      </c>
      <c r="K60" s="1">
        <v>100</v>
      </c>
      <c r="L60"/>
      <c r="N60" t="s">
        <v>266</v>
      </c>
      <c r="O60" s="19" t="s">
        <v>267</v>
      </c>
      <c r="P60" s="19">
        <v>44</v>
      </c>
      <c r="Q60" s="19">
        <v>44</v>
      </c>
    </row>
    <row r="61" spans="1:17" s="1" customFormat="1" ht="15.6" x14ac:dyDescent="0.3">
      <c r="A61">
        <v>45</v>
      </c>
      <c r="B61" s="1">
        <v>7</v>
      </c>
      <c r="C61" s="1">
        <v>900451</v>
      </c>
      <c r="D61" s="1" t="s">
        <v>268</v>
      </c>
      <c r="E61" s="1">
        <v>8418</v>
      </c>
      <c r="G61" s="13">
        <v>20</v>
      </c>
      <c r="H61" s="14">
        <v>2.8571428571428599</v>
      </c>
      <c r="I61" s="22" t="s">
        <v>57</v>
      </c>
      <c r="J61" s="1" t="s">
        <v>259</v>
      </c>
      <c r="K61" s="1">
        <v>200</v>
      </c>
      <c r="L61" t="s">
        <v>734</v>
      </c>
      <c r="N61" t="s">
        <v>269</v>
      </c>
      <c r="O61" s="19" t="s">
        <v>270</v>
      </c>
      <c r="P61" s="19">
        <v>45</v>
      </c>
      <c r="Q61" s="19">
        <v>45</v>
      </c>
    </row>
    <row r="62" spans="1:17" s="1" customFormat="1" ht="15.6" x14ac:dyDescent="0.25">
      <c r="A62">
        <v>46</v>
      </c>
      <c r="B62" s="1">
        <v>7</v>
      </c>
      <c r="C62" s="1">
        <v>900461</v>
      </c>
      <c r="D62" s="1" t="s">
        <v>271</v>
      </c>
      <c r="E62" s="1">
        <v>8419</v>
      </c>
      <c r="G62" s="13">
        <v>50</v>
      </c>
      <c r="H62" s="14">
        <v>7.1428571428571397</v>
      </c>
      <c r="I62" s="22" t="s">
        <v>64</v>
      </c>
      <c r="J62" s="1" t="s">
        <v>259</v>
      </c>
      <c r="K62" s="1">
        <v>500</v>
      </c>
      <c r="L62" t="s">
        <v>726</v>
      </c>
      <c r="N62" t="s">
        <v>235</v>
      </c>
      <c r="O62" s="24" t="s">
        <v>272</v>
      </c>
      <c r="P62" s="24">
        <v>46</v>
      </c>
      <c r="Q62" s="24">
        <v>46</v>
      </c>
    </row>
    <row r="63" spans="1:17" s="1" customFormat="1" ht="15.6" x14ac:dyDescent="0.3">
      <c r="A63">
        <v>47</v>
      </c>
      <c r="B63" s="1">
        <v>7</v>
      </c>
      <c r="C63" s="1">
        <v>900471</v>
      </c>
      <c r="D63" s="1" t="s">
        <v>273</v>
      </c>
      <c r="E63" s="1">
        <v>8420</v>
      </c>
      <c r="G63" s="1">
        <v>100</v>
      </c>
      <c r="H63" s="14">
        <v>14.285714285714301</v>
      </c>
      <c r="I63" s="22" t="s">
        <v>64</v>
      </c>
      <c r="J63" s="1" t="s">
        <v>259</v>
      </c>
      <c r="K63" s="1">
        <v>1000</v>
      </c>
      <c r="L63"/>
      <c r="N63" t="s">
        <v>274</v>
      </c>
      <c r="O63" s="19" t="s">
        <v>275</v>
      </c>
      <c r="P63" s="19">
        <v>47</v>
      </c>
      <c r="Q63" s="19">
        <v>47</v>
      </c>
    </row>
    <row r="64" spans="1:17" s="1" customFormat="1" ht="15.6" x14ac:dyDescent="0.3">
      <c r="A64">
        <v>48</v>
      </c>
      <c r="B64" s="1">
        <v>7</v>
      </c>
      <c r="C64" s="1">
        <v>900481</v>
      </c>
      <c r="D64" s="1" t="s">
        <v>276</v>
      </c>
      <c r="E64" s="1">
        <v>8421</v>
      </c>
      <c r="G64" s="1">
        <v>300</v>
      </c>
      <c r="H64" s="14">
        <v>42.857142857142897</v>
      </c>
      <c r="I64" s="22" t="s">
        <v>69</v>
      </c>
      <c r="J64" s="1" t="s">
        <v>259</v>
      </c>
      <c r="K64" s="1">
        <v>3000</v>
      </c>
      <c r="L64"/>
      <c r="N64" t="s">
        <v>277</v>
      </c>
      <c r="O64" s="19" t="s">
        <v>278</v>
      </c>
      <c r="P64" s="19">
        <v>48</v>
      </c>
      <c r="Q64" s="19">
        <v>48</v>
      </c>
    </row>
    <row r="65" spans="1:17" s="1" customFormat="1" ht="15.6" x14ac:dyDescent="0.3">
      <c r="A65">
        <v>49</v>
      </c>
      <c r="B65" s="1">
        <v>7</v>
      </c>
      <c r="C65" s="1">
        <v>900491</v>
      </c>
      <c r="D65" s="1" t="s">
        <v>279</v>
      </c>
      <c r="E65" s="1">
        <v>8422</v>
      </c>
      <c r="G65" s="13">
        <v>500</v>
      </c>
      <c r="H65" s="14">
        <v>71.428571428571402</v>
      </c>
      <c r="I65" s="22" t="s">
        <v>69</v>
      </c>
      <c r="J65" s="1" t="s">
        <v>259</v>
      </c>
      <c r="K65" s="1">
        <v>5000</v>
      </c>
      <c r="L65"/>
      <c r="N65" t="s">
        <v>280</v>
      </c>
      <c r="O65" s="19" t="s">
        <v>281</v>
      </c>
      <c r="P65" s="19">
        <v>49</v>
      </c>
      <c r="Q65" s="19">
        <v>49</v>
      </c>
    </row>
    <row r="66" spans="1:17" ht="15.6" x14ac:dyDescent="0.3">
      <c r="A66" s="2">
        <v>60</v>
      </c>
      <c r="B66" s="2">
        <v>8</v>
      </c>
      <c r="C66" s="2">
        <v>900601</v>
      </c>
      <c r="D66" s="2" t="s">
        <v>282</v>
      </c>
      <c r="E66" s="2">
        <v>0</v>
      </c>
      <c r="F66" s="2"/>
      <c r="G66" s="2">
        <v>3</v>
      </c>
      <c r="H66" s="14">
        <v>0.43</v>
      </c>
      <c r="K66" s="2">
        <v>0</v>
      </c>
      <c r="L66" t="s">
        <v>721</v>
      </c>
      <c r="N66" t="s">
        <v>230</v>
      </c>
      <c r="O66" s="19" t="s">
        <v>283</v>
      </c>
      <c r="P66" s="19">
        <v>60</v>
      </c>
      <c r="Q66" s="19">
        <v>60</v>
      </c>
    </row>
    <row r="67" spans="1:17" ht="15.6" x14ac:dyDescent="0.3">
      <c r="A67" s="2">
        <v>61</v>
      </c>
      <c r="B67" s="2">
        <v>8</v>
      </c>
      <c r="C67" s="2">
        <v>900611</v>
      </c>
      <c r="D67" s="2" t="s">
        <v>284</v>
      </c>
      <c r="E67" s="2">
        <v>0</v>
      </c>
      <c r="F67" s="2"/>
      <c r="G67" s="2">
        <v>6</v>
      </c>
      <c r="H67" s="14">
        <v>0.86</v>
      </c>
      <c r="K67" s="2">
        <v>0</v>
      </c>
      <c r="L67" t="s">
        <v>722</v>
      </c>
      <c r="N67" t="s">
        <v>231</v>
      </c>
      <c r="O67" s="19" t="s">
        <v>285</v>
      </c>
      <c r="P67" s="19">
        <v>61</v>
      </c>
      <c r="Q67" s="19">
        <v>61</v>
      </c>
    </row>
    <row r="68" spans="1:17" ht="15.6" x14ac:dyDescent="0.3">
      <c r="A68" s="2">
        <v>62</v>
      </c>
      <c r="B68" s="2">
        <v>8</v>
      </c>
      <c r="C68" s="2">
        <v>900621</v>
      </c>
      <c r="D68" s="2" t="s">
        <v>286</v>
      </c>
      <c r="E68" s="2">
        <v>0</v>
      </c>
      <c r="F68" s="2"/>
      <c r="G68" s="2">
        <v>20</v>
      </c>
      <c r="H68" s="14">
        <v>2.86</v>
      </c>
      <c r="K68" s="2">
        <v>0</v>
      </c>
      <c r="L68" t="s">
        <v>734</v>
      </c>
      <c r="N68" t="s">
        <v>269</v>
      </c>
      <c r="O68" s="19" t="s">
        <v>287</v>
      </c>
      <c r="P68" s="19">
        <v>62</v>
      </c>
      <c r="Q68" s="19">
        <v>62</v>
      </c>
    </row>
    <row r="69" spans="1:17" ht="15.6" x14ac:dyDescent="0.3">
      <c r="A69" s="2">
        <v>63</v>
      </c>
      <c r="B69" s="2">
        <v>8</v>
      </c>
      <c r="C69" s="2">
        <v>900631</v>
      </c>
      <c r="D69" s="2" t="s">
        <v>288</v>
      </c>
      <c r="E69" s="2">
        <v>0</v>
      </c>
      <c r="F69" s="2"/>
      <c r="G69" s="2">
        <v>25</v>
      </c>
      <c r="H69">
        <v>3.57</v>
      </c>
      <c r="K69" s="2">
        <v>0</v>
      </c>
      <c r="L69" t="s">
        <v>735</v>
      </c>
      <c r="N69" t="s">
        <v>289</v>
      </c>
      <c r="O69" s="19" t="s">
        <v>290</v>
      </c>
      <c r="P69" s="19">
        <v>63</v>
      </c>
      <c r="Q69" s="19">
        <v>63</v>
      </c>
    </row>
    <row r="70" spans="1:17" ht="15.6" x14ac:dyDescent="0.3">
      <c r="A70" s="2">
        <v>64</v>
      </c>
      <c r="B70" s="2">
        <v>8</v>
      </c>
      <c r="C70" s="2">
        <v>900641</v>
      </c>
      <c r="D70" s="2" t="s">
        <v>291</v>
      </c>
      <c r="E70" s="2">
        <v>0</v>
      </c>
      <c r="F70" s="2"/>
      <c r="G70" s="2">
        <v>1</v>
      </c>
      <c r="H70" s="14">
        <v>0.14000000000000001</v>
      </c>
      <c r="K70" s="2">
        <v>0</v>
      </c>
      <c r="L70" t="s">
        <v>720</v>
      </c>
      <c r="N70" t="s">
        <v>229</v>
      </c>
      <c r="O70" s="19" t="s">
        <v>292</v>
      </c>
      <c r="P70" s="19">
        <v>64</v>
      </c>
      <c r="Q70" s="19">
        <v>64</v>
      </c>
    </row>
    <row r="71" spans="1:17" ht="15.6" x14ac:dyDescent="0.3">
      <c r="A71" s="2">
        <v>70</v>
      </c>
      <c r="B71" s="2">
        <v>9</v>
      </c>
      <c r="C71" s="2">
        <v>900701</v>
      </c>
      <c r="D71" s="2" t="s">
        <v>293</v>
      </c>
      <c r="E71" s="2">
        <v>0</v>
      </c>
      <c r="F71" s="2"/>
      <c r="G71" s="2">
        <v>18</v>
      </c>
      <c r="H71" s="14">
        <v>2.57</v>
      </c>
      <c r="K71" s="2">
        <v>180</v>
      </c>
      <c r="L71" t="s">
        <v>724</v>
      </c>
      <c r="N71" t="s">
        <v>233</v>
      </c>
      <c r="O71" s="19" t="s">
        <v>294</v>
      </c>
      <c r="P71" s="19">
        <v>70</v>
      </c>
      <c r="Q71" s="19">
        <v>70</v>
      </c>
    </row>
    <row r="72" spans="1:17" ht="15.6" x14ac:dyDescent="0.3">
      <c r="A72" s="2">
        <v>71</v>
      </c>
      <c r="B72" s="15">
        <v>9</v>
      </c>
      <c r="C72" s="2">
        <v>900711</v>
      </c>
      <c r="D72" s="2" t="s">
        <v>295</v>
      </c>
      <c r="E72" s="2">
        <v>0</v>
      </c>
      <c r="F72" s="2"/>
      <c r="G72" s="2">
        <v>18</v>
      </c>
      <c r="H72" s="2">
        <v>2.57</v>
      </c>
      <c r="K72" s="2">
        <v>180</v>
      </c>
      <c r="L72" t="s">
        <v>724</v>
      </c>
      <c r="N72" t="s">
        <v>233</v>
      </c>
      <c r="O72" s="19" t="s">
        <v>296</v>
      </c>
      <c r="P72" s="19">
        <v>71</v>
      </c>
      <c r="Q72" s="19">
        <v>71</v>
      </c>
    </row>
    <row r="73" spans="1:17" ht="15.6" x14ac:dyDescent="0.3">
      <c r="A73" s="2">
        <v>72</v>
      </c>
      <c r="B73" s="15">
        <v>10</v>
      </c>
      <c r="C73" s="2">
        <v>900721</v>
      </c>
      <c r="D73" s="2" t="s">
        <v>297</v>
      </c>
      <c r="E73" s="2">
        <v>8428</v>
      </c>
      <c r="F73" s="2"/>
      <c r="G73" s="2">
        <v>1</v>
      </c>
      <c r="H73">
        <v>0.14000000000000001</v>
      </c>
      <c r="K73" s="2">
        <v>10</v>
      </c>
      <c r="L73" t="s">
        <v>720</v>
      </c>
      <c r="N73" t="s">
        <v>229</v>
      </c>
      <c r="O73" s="19" t="s">
        <v>298</v>
      </c>
      <c r="P73" s="19">
        <v>72</v>
      </c>
      <c r="Q73" s="19">
        <v>72</v>
      </c>
    </row>
    <row r="74" spans="1:17" ht="15.6" x14ac:dyDescent="0.3">
      <c r="A74" s="2">
        <v>73</v>
      </c>
      <c r="B74" s="15">
        <v>10</v>
      </c>
      <c r="C74" s="2">
        <v>900731</v>
      </c>
      <c r="D74" s="2" t="s">
        <v>299</v>
      </c>
      <c r="E74" s="2">
        <v>8429</v>
      </c>
      <c r="F74" s="2"/>
      <c r="G74" s="2">
        <v>6</v>
      </c>
      <c r="H74">
        <v>0.86</v>
      </c>
      <c r="K74" s="2">
        <v>60</v>
      </c>
      <c r="L74" t="s">
        <v>722</v>
      </c>
      <c r="N74" t="s">
        <v>231</v>
      </c>
      <c r="O74" s="19" t="s">
        <v>300</v>
      </c>
      <c r="P74" s="19">
        <v>73</v>
      </c>
      <c r="Q74" s="19">
        <v>73</v>
      </c>
    </row>
    <row r="75" spans="1:17" ht="15.6" x14ac:dyDescent="0.3">
      <c r="A75" s="2">
        <v>74</v>
      </c>
      <c r="B75" s="15">
        <v>10</v>
      </c>
      <c r="C75" s="2">
        <v>900741</v>
      </c>
      <c r="D75" s="2" t="s">
        <v>301</v>
      </c>
      <c r="E75" s="2">
        <v>8430</v>
      </c>
      <c r="F75" s="2"/>
      <c r="G75" s="2">
        <v>30</v>
      </c>
      <c r="H75">
        <v>4.29</v>
      </c>
      <c r="K75" s="2">
        <v>300</v>
      </c>
      <c r="L75" t="s">
        <v>725</v>
      </c>
      <c r="N75" t="s">
        <v>234</v>
      </c>
      <c r="O75" s="19" t="s">
        <v>302</v>
      </c>
      <c r="P75" s="19">
        <v>74</v>
      </c>
      <c r="Q75" s="19">
        <v>74</v>
      </c>
    </row>
    <row r="76" spans="1:17" ht="15.6" x14ac:dyDescent="0.3">
      <c r="A76" s="2">
        <v>75</v>
      </c>
      <c r="B76" s="15">
        <v>11</v>
      </c>
      <c r="C76" s="2">
        <v>900751</v>
      </c>
      <c r="D76" s="2" t="s">
        <v>303</v>
      </c>
      <c r="E76" s="2">
        <v>0</v>
      </c>
      <c r="F76" s="2"/>
      <c r="G76" s="2">
        <v>6</v>
      </c>
      <c r="H76" s="2">
        <v>0.86</v>
      </c>
      <c r="K76" s="2">
        <v>60</v>
      </c>
      <c r="L76" t="s">
        <v>722</v>
      </c>
      <c r="N76" t="s">
        <v>231</v>
      </c>
      <c r="O76" s="19" t="s">
        <v>304</v>
      </c>
      <c r="P76" s="19">
        <v>75</v>
      </c>
      <c r="Q76" s="19">
        <v>75</v>
      </c>
    </row>
    <row r="77" spans="1:17" ht="15.6" x14ac:dyDescent="0.3">
      <c r="A77" s="2">
        <v>76</v>
      </c>
      <c r="B77" s="15">
        <v>12</v>
      </c>
      <c r="C77" s="2">
        <v>900761</v>
      </c>
      <c r="D77" s="2" t="s">
        <v>305</v>
      </c>
      <c r="E77" s="2">
        <v>0</v>
      </c>
      <c r="F77" s="2"/>
      <c r="G77" s="2">
        <v>3</v>
      </c>
      <c r="H77" s="2">
        <v>0.43</v>
      </c>
      <c r="I77" s="2"/>
      <c r="K77" s="2">
        <v>30</v>
      </c>
      <c r="L77" t="s">
        <v>721</v>
      </c>
      <c r="N77" t="s">
        <v>230</v>
      </c>
      <c r="O77" s="19" t="s">
        <v>306</v>
      </c>
      <c r="P77" s="19">
        <v>76</v>
      </c>
      <c r="Q77" s="19">
        <v>76</v>
      </c>
    </row>
    <row r="78" spans="1:17" ht="15.6" x14ac:dyDescent="0.3">
      <c r="A78" s="2">
        <v>77</v>
      </c>
      <c r="B78" s="15">
        <v>13</v>
      </c>
      <c r="C78" s="2">
        <v>900771</v>
      </c>
      <c r="D78" s="2" t="s">
        <v>307</v>
      </c>
      <c r="E78" s="2">
        <v>0</v>
      </c>
      <c r="F78" s="2"/>
      <c r="G78" s="2">
        <v>6</v>
      </c>
      <c r="H78" s="2">
        <v>0.86</v>
      </c>
      <c r="K78" s="2">
        <v>60</v>
      </c>
      <c r="L78" s="3" t="s">
        <v>722</v>
      </c>
      <c r="N78" t="s">
        <v>231</v>
      </c>
      <c r="O78" s="19" t="s">
        <v>308</v>
      </c>
      <c r="P78" s="19">
        <v>77</v>
      </c>
      <c r="Q78" s="19">
        <v>77</v>
      </c>
    </row>
    <row r="79" spans="1:17" ht="15.6" x14ac:dyDescent="0.3">
      <c r="A79" s="2">
        <v>78</v>
      </c>
      <c r="B79" s="15">
        <v>14</v>
      </c>
      <c r="C79" s="2">
        <v>900781</v>
      </c>
      <c r="D79" s="2" t="s">
        <v>309</v>
      </c>
      <c r="E79" s="2">
        <v>3601</v>
      </c>
      <c r="F79" s="2"/>
      <c r="G79" s="2">
        <v>3</v>
      </c>
      <c r="H79" s="2">
        <v>0.43</v>
      </c>
      <c r="K79" s="2">
        <v>30</v>
      </c>
      <c r="L79" s="3" t="s">
        <v>736</v>
      </c>
      <c r="N79" t="s">
        <v>229</v>
      </c>
      <c r="O79" s="24" t="s">
        <v>310</v>
      </c>
      <c r="P79" s="24">
        <v>78</v>
      </c>
      <c r="Q79" s="24">
        <v>78</v>
      </c>
    </row>
    <row r="80" spans="1:17" ht="15.6" x14ac:dyDescent="0.3">
      <c r="A80" s="2">
        <v>79</v>
      </c>
      <c r="B80" s="15">
        <v>10</v>
      </c>
      <c r="C80" s="2">
        <v>900791</v>
      </c>
      <c r="D80" s="2" t="s">
        <v>311</v>
      </c>
      <c r="E80" s="2">
        <v>8434</v>
      </c>
      <c r="F80" s="2"/>
      <c r="G80" s="2">
        <v>3</v>
      </c>
      <c r="H80">
        <v>0.43</v>
      </c>
      <c r="K80" s="2">
        <v>30</v>
      </c>
      <c r="L80" t="s">
        <v>721</v>
      </c>
      <c r="O80" s="19" t="s">
        <v>312</v>
      </c>
      <c r="P80" s="19">
        <v>79</v>
      </c>
      <c r="Q80" s="19">
        <v>79</v>
      </c>
    </row>
    <row r="81" spans="1:17" ht="15.6" x14ac:dyDescent="0.3">
      <c r="A81" s="2">
        <v>80</v>
      </c>
      <c r="B81" s="15">
        <v>15</v>
      </c>
      <c r="C81" s="2">
        <v>900801</v>
      </c>
      <c r="D81" s="2" t="s">
        <v>313</v>
      </c>
      <c r="E81" s="2">
        <v>9505</v>
      </c>
      <c r="F81" s="2"/>
      <c r="G81" s="2">
        <v>3</v>
      </c>
      <c r="H81" s="2">
        <v>0.43</v>
      </c>
      <c r="K81" s="2">
        <v>30</v>
      </c>
      <c r="L81" t="s">
        <v>721</v>
      </c>
      <c r="O81" s="24" t="s">
        <v>314</v>
      </c>
      <c r="P81" s="24">
        <v>80</v>
      </c>
      <c r="Q81" s="24">
        <v>80</v>
      </c>
    </row>
    <row r="82" spans="1:17" ht="15.6" x14ac:dyDescent="0.3">
      <c r="A82" s="7">
        <v>131</v>
      </c>
      <c r="B82" s="15">
        <v>17</v>
      </c>
      <c r="C82" s="62">
        <v>901311</v>
      </c>
      <c r="D82" s="2" t="s">
        <v>315</v>
      </c>
      <c r="E82" s="2">
        <v>0</v>
      </c>
      <c r="F82" s="2"/>
      <c r="G82" s="2">
        <v>30</v>
      </c>
      <c r="H82" s="2">
        <v>4.29</v>
      </c>
      <c r="K82" s="2">
        <v>300</v>
      </c>
      <c r="L82" t="s">
        <v>725</v>
      </c>
      <c r="O82" s="19" t="s">
        <v>316</v>
      </c>
      <c r="P82" s="19">
        <v>131</v>
      </c>
      <c r="Q82" s="19">
        <v>131</v>
      </c>
    </row>
    <row r="83" spans="1:17" ht="15.6" x14ac:dyDescent="0.3">
      <c r="A83" s="7">
        <v>132</v>
      </c>
      <c r="B83" s="15">
        <v>17</v>
      </c>
      <c r="C83" s="2">
        <v>901321</v>
      </c>
      <c r="D83" s="2" t="s">
        <v>317</v>
      </c>
      <c r="E83" s="2">
        <v>0</v>
      </c>
      <c r="F83" s="2"/>
      <c r="G83" s="2">
        <v>40</v>
      </c>
      <c r="H83" s="2">
        <v>5.72</v>
      </c>
      <c r="K83" s="2">
        <v>400</v>
      </c>
      <c r="L83" t="s">
        <v>737</v>
      </c>
      <c r="O83" s="19" t="s">
        <v>318</v>
      </c>
      <c r="P83" s="19">
        <v>132</v>
      </c>
      <c r="Q83" s="19">
        <v>132</v>
      </c>
    </row>
    <row r="84" spans="1:17" ht="15.6" x14ac:dyDescent="0.3">
      <c r="A84" s="2">
        <v>83</v>
      </c>
      <c r="B84" s="15">
        <v>18</v>
      </c>
      <c r="C84" s="2">
        <v>900831</v>
      </c>
      <c r="D84" s="2" t="s">
        <v>319</v>
      </c>
      <c r="G84" s="2">
        <v>6</v>
      </c>
      <c r="H84" s="12">
        <f>6/7</f>
        <v>0.8571428571428571</v>
      </c>
      <c r="K84" s="2">
        <v>60</v>
      </c>
      <c r="L84" t="s">
        <v>722</v>
      </c>
      <c r="O84" s="19" t="s">
        <v>320</v>
      </c>
      <c r="P84" s="19">
        <v>83</v>
      </c>
      <c r="Q84" s="19">
        <v>83</v>
      </c>
    </row>
    <row r="85" spans="1:17" ht="15.6" x14ac:dyDescent="0.3">
      <c r="A85" s="2">
        <v>84</v>
      </c>
      <c r="B85" s="15">
        <v>18</v>
      </c>
      <c r="C85" s="2">
        <v>900841</v>
      </c>
      <c r="D85" s="2" t="s">
        <v>321</v>
      </c>
      <c r="G85" s="2">
        <v>12</v>
      </c>
      <c r="H85" s="12">
        <f>12/7</f>
        <v>1.7142857142857142</v>
      </c>
      <c r="K85" s="2">
        <v>120</v>
      </c>
      <c r="L85" t="s">
        <v>723</v>
      </c>
      <c r="O85" s="24" t="s">
        <v>322</v>
      </c>
      <c r="P85" s="24">
        <v>84</v>
      </c>
      <c r="Q85" s="24">
        <v>84</v>
      </c>
    </row>
    <row r="86" spans="1:17" ht="15.6" x14ac:dyDescent="0.3">
      <c r="A86" s="2">
        <v>85</v>
      </c>
      <c r="B86" s="15">
        <v>18</v>
      </c>
      <c r="C86" s="2">
        <v>900851</v>
      </c>
      <c r="D86" s="2" t="s">
        <v>323</v>
      </c>
      <c r="G86" s="2">
        <v>30</v>
      </c>
      <c r="H86" s="12">
        <f>30/7</f>
        <v>4.2857142857142856</v>
      </c>
      <c r="K86" s="2">
        <v>300</v>
      </c>
      <c r="L86" t="s">
        <v>725</v>
      </c>
      <c r="N86" s="24"/>
      <c r="O86" s="19" t="s">
        <v>324</v>
      </c>
      <c r="P86" s="19">
        <v>85</v>
      </c>
      <c r="Q86" s="19">
        <v>85</v>
      </c>
    </row>
    <row r="87" spans="1:17" ht="15.6" x14ac:dyDescent="0.3">
      <c r="A87" s="2">
        <v>86</v>
      </c>
      <c r="B87" s="15">
        <v>18</v>
      </c>
      <c r="C87" s="2">
        <v>900861</v>
      </c>
      <c r="D87" s="2" t="s">
        <v>325</v>
      </c>
      <c r="G87" s="2">
        <v>98</v>
      </c>
      <c r="H87" s="12">
        <f>98/7</f>
        <v>14</v>
      </c>
      <c r="K87" s="2">
        <v>980</v>
      </c>
      <c r="L87" t="s">
        <v>728</v>
      </c>
      <c r="O87" s="19" t="s">
        <v>326</v>
      </c>
      <c r="P87" s="19">
        <v>86</v>
      </c>
      <c r="Q87" s="19">
        <v>86</v>
      </c>
    </row>
    <row r="88" spans="1:17" ht="15.6" x14ac:dyDescent="0.3">
      <c r="A88" s="2">
        <v>87</v>
      </c>
      <c r="B88" s="15">
        <v>19</v>
      </c>
      <c r="C88" s="2">
        <v>900871</v>
      </c>
      <c r="D88" s="2" t="s">
        <v>327</v>
      </c>
      <c r="E88" s="6">
        <v>940001</v>
      </c>
      <c r="F88" s="6"/>
      <c r="G88" s="2">
        <v>3</v>
      </c>
      <c r="H88" s="12">
        <f>3/7</f>
        <v>0.42857142857142855</v>
      </c>
      <c r="I88" s="12"/>
      <c r="K88" s="2">
        <v>30</v>
      </c>
      <c r="L88" t="s">
        <v>721</v>
      </c>
      <c r="O88" s="24" t="s">
        <v>328</v>
      </c>
      <c r="P88" s="24">
        <v>87</v>
      </c>
      <c r="Q88" s="24">
        <v>87</v>
      </c>
    </row>
    <row r="89" spans="1:17" ht="15.6" x14ac:dyDescent="0.3">
      <c r="A89" s="2">
        <v>88</v>
      </c>
      <c r="B89" s="15">
        <v>19</v>
      </c>
      <c r="C89" s="2">
        <v>900881</v>
      </c>
      <c r="D89" s="2" t="s">
        <v>329</v>
      </c>
      <c r="E89" s="6">
        <v>940002</v>
      </c>
      <c r="F89" s="6"/>
      <c r="G89" s="2">
        <v>6</v>
      </c>
      <c r="H89" s="12">
        <f>6/7</f>
        <v>0.8571428571428571</v>
      </c>
      <c r="I89" s="12"/>
      <c r="K89" s="2">
        <v>60</v>
      </c>
      <c r="L89" t="s">
        <v>722</v>
      </c>
      <c r="O89" s="24" t="s">
        <v>330</v>
      </c>
      <c r="P89" s="24">
        <v>88</v>
      </c>
      <c r="Q89" s="24">
        <v>88</v>
      </c>
    </row>
    <row r="90" spans="1:17" ht="15.6" x14ac:dyDescent="0.3">
      <c r="A90" s="2">
        <v>89</v>
      </c>
      <c r="B90" s="15">
        <v>19</v>
      </c>
      <c r="C90" s="2">
        <v>900891</v>
      </c>
      <c r="D90" s="2" t="s">
        <v>331</v>
      </c>
      <c r="E90" s="6">
        <v>940003</v>
      </c>
      <c r="F90" s="6"/>
      <c r="G90" s="2">
        <v>12</v>
      </c>
      <c r="H90" s="12">
        <f>12/7</f>
        <v>1.7142857142857142</v>
      </c>
      <c r="I90" s="12"/>
      <c r="K90" s="2">
        <v>120</v>
      </c>
      <c r="L90" t="s">
        <v>723</v>
      </c>
      <c r="O90" s="24" t="s">
        <v>332</v>
      </c>
      <c r="P90" s="24">
        <v>89</v>
      </c>
      <c r="Q90" s="24">
        <v>89</v>
      </c>
    </row>
    <row r="91" spans="1:17" ht="15.6" x14ac:dyDescent="0.3">
      <c r="A91" s="2">
        <v>90</v>
      </c>
      <c r="B91" s="15">
        <v>20</v>
      </c>
      <c r="C91" s="2">
        <v>900901</v>
      </c>
      <c r="D91" s="2" t="s">
        <v>333</v>
      </c>
      <c r="E91" s="6">
        <v>8435</v>
      </c>
      <c r="F91" s="6"/>
      <c r="G91" s="2">
        <v>1</v>
      </c>
      <c r="H91">
        <v>0.14000000000000001</v>
      </c>
      <c r="K91" s="2">
        <v>10</v>
      </c>
      <c r="L91" t="s">
        <v>720</v>
      </c>
      <c r="O91" s="24" t="s">
        <v>334</v>
      </c>
      <c r="P91" s="24">
        <v>90</v>
      </c>
      <c r="Q91" s="24">
        <v>90</v>
      </c>
    </row>
    <row r="92" spans="1:17" ht="15.6" x14ac:dyDescent="0.3">
      <c r="A92" s="2">
        <v>91</v>
      </c>
      <c r="B92" s="15">
        <v>20</v>
      </c>
      <c r="C92" s="2">
        <v>900911</v>
      </c>
      <c r="D92" s="2" t="s">
        <v>333</v>
      </c>
      <c r="E92" s="6">
        <v>8436</v>
      </c>
      <c r="F92" s="6"/>
      <c r="G92" s="2">
        <v>1</v>
      </c>
      <c r="H92">
        <v>0.14000000000000001</v>
      </c>
      <c r="K92" s="2">
        <v>10</v>
      </c>
      <c r="L92" t="s">
        <v>720</v>
      </c>
      <c r="O92" s="24" t="s">
        <v>335</v>
      </c>
      <c r="P92" s="24">
        <v>91</v>
      </c>
      <c r="Q92" s="24">
        <v>91</v>
      </c>
    </row>
    <row r="93" spans="1:17" ht="15.6" x14ac:dyDescent="0.3">
      <c r="A93" s="2">
        <v>92</v>
      </c>
      <c r="B93" s="15">
        <v>20</v>
      </c>
      <c r="C93" s="2">
        <v>900921</v>
      </c>
      <c r="D93" s="2" t="s">
        <v>333</v>
      </c>
      <c r="E93" s="6">
        <v>8437</v>
      </c>
      <c r="F93" s="6"/>
      <c r="G93" s="2">
        <v>1</v>
      </c>
      <c r="H93">
        <v>0.14000000000000001</v>
      </c>
      <c r="K93" s="2">
        <v>10</v>
      </c>
      <c r="L93" t="s">
        <v>720</v>
      </c>
      <c r="O93" s="24" t="s">
        <v>336</v>
      </c>
      <c r="P93" s="24">
        <v>92</v>
      </c>
      <c r="Q93" s="24">
        <v>92</v>
      </c>
    </row>
    <row r="94" spans="1:17" ht="15.6" x14ac:dyDescent="0.3">
      <c r="A94" s="2">
        <v>93</v>
      </c>
      <c r="B94" s="15">
        <v>20</v>
      </c>
      <c r="C94" s="2">
        <v>900931</v>
      </c>
      <c r="D94" s="2" t="s">
        <v>333</v>
      </c>
      <c r="E94" s="6">
        <v>8438</v>
      </c>
      <c r="F94" s="6"/>
      <c r="G94" s="2">
        <v>1</v>
      </c>
      <c r="H94">
        <v>0.14000000000000001</v>
      </c>
      <c r="K94" s="2">
        <v>10</v>
      </c>
      <c r="L94" t="s">
        <v>720</v>
      </c>
      <c r="O94" s="24" t="s">
        <v>337</v>
      </c>
      <c r="P94" s="24">
        <v>93</v>
      </c>
      <c r="Q94" s="24">
        <v>93</v>
      </c>
    </row>
    <row r="95" spans="1:17" ht="15.6" x14ac:dyDescent="0.3">
      <c r="A95" s="2">
        <v>94</v>
      </c>
      <c r="B95" s="15">
        <v>20</v>
      </c>
      <c r="C95" s="2">
        <v>900941</v>
      </c>
      <c r="D95" s="2" t="s">
        <v>333</v>
      </c>
      <c r="E95" s="6">
        <v>8439</v>
      </c>
      <c r="F95" s="6"/>
      <c r="G95" s="2">
        <v>1</v>
      </c>
      <c r="H95">
        <v>0.14000000000000001</v>
      </c>
      <c r="K95" s="2">
        <v>10</v>
      </c>
      <c r="L95" t="s">
        <v>720</v>
      </c>
      <c r="O95" s="24" t="s">
        <v>338</v>
      </c>
      <c r="P95" s="24">
        <v>94</v>
      </c>
      <c r="Q95" s="24">
        <v>94</v>
      </c>
    </row>
    <row r="96" spans="1:17" ht="15" customHeight="1" x14ac:dyDescent="0.3">
      <c r="A96" s="2">
        <v>95</v>
      </c>
      <c r="B96" s="15">
        <v>20</v>
      </c>
      <c r="C96" s="2">
        <v>900951</v>
      </c>
      <c r="D96" s="2" t="s">
        <v>333</v>
      </c>
      <c r="E96" s="6">
        <v>8440</v>
      </c>
      <c r="F96" s="6"/>
      <c r="G96" s="2">
        <v>1</v>
      </c>
      <c r="H96">
        <v>0.14000000000000001</v>
      </c>
      <c r="K96" s="2">
        <v>10</v>
      </c>
      <c r="L96" t="s">
        <v>720</v>
      </c>
      <c r="O96" s="24" t="s">
        <v>339</v>
      </c>
      <c r="P96" s="24">
        <v>95</v>
      </c>
      <c r="Q96" s="24">
        <v>95</v>
      </c>
    </row>
    <row r="97" spans="1:17" ht="15.6" x14ac:dyDescent="0.3">
      <c r="A97" s="2">
        <v>96</v>
      </c>
      <c r="B97" s="15">
        <v>21</v>
      </c>
      <c r="C97" s="2">
        <v>900961</v>
      </c>
      <c r="D97" s="2" t="s">
        <v>340</v>
      </c>
      <c r="G97" s="2">
        <v>1</v>
      </c>
      <c r="H97">
        <v>0.14000000000000001</v>
      </c>
      <c r="K97" s="2">
        <v>10</v>
      </c>
      <c r="L97" t="s">
        <v>720</v>
      </c>
      <c r="O97" s="24" t="s">
        <v>341</v>
      </c>
      <c r="P97" s="24">
        <v>96</v>
      </c>
      <c r="Q97" s="24">
        <v>96</v>
      </c>
    </row>
    <row r="98" spans="1:17" ht="15.6" x14ac:dyDescent="0.3">
      <c r="A98" s="2">
        <v>97</v>
      </c>
      <c r="B98" s="15">
        <v>21</v>
      </c>
      <c r="C98" s="2">
        <v>900971</v>
      </c>
      <c r="D98" s="2" t="s">
        <v>342</v>
      </c>
      <c r="G98" s="2">
        <v>3</v>
      </c>
      <c r="H98">
        <v>0.43</v>
      </c>
      <c r="K98" s="2">
        <v>30</v>
      </c>
      <c r="L98" t="s">
        <v>721</v>
      </c>
      <c r="O98" s="24" t="s">
        <v>343</v>
      </c>
      <c r="P98" s="24">
        <v>97</v>
      </c>
      <c r="Q98" s="24">
        <v>97</v>
      </c>
    </row>
    <row r="99" spans="1:17" ht="15.6" x14ac:dyDescent="0.3">
      <c r="A99" s="2">
        <v>98</v>
      </c>
      <c r="B99" s="15">
        <v>22</v>
      </c>
      <c r="C99" s="2">
        <v>900981</v>
      </c>
      <c r="D99" s="2" t="s">
        <v>344</v>
      </c>
      <c r="E99" s="6">
        <v>9600</v>
      </c>
      <c r="G99" s="2">
        <v>1</v>
      </c>
      <c r="H99">
        <v>0.14000000000000001</v>
      </c>
      <c r="K99" s="2">
        <v>10</v>
      </c>
      <c r="L99" t="s">
        <v>720</v>
      </c>
      <c r="O99" s="24" t="s">
        <v>345</v>
      </c>
      <c r="P99" s="24">
        <v>98</v>
      </c>
      <c r="Q99" s="24">
        <v>98</v>
      </c>
    </row>
    <row r="100" spans="1:17" ht="15.6" x14ac:dyDescent="0.3">
      <c r="A100" s="2">
        <v>99</v>
      </c>
      <c r="B100" s="15">
        <v>23</v>
      </c>
      <c r="C100" s="2">
        <v>901201</v>
      </c>
      <c r="D100" s="2" t="s">
        <v>346</v>
      </c>
      <c r="G100" s="2">
        <v>3</v>
      </c>
      <c r="H100">
        <v>0.43</v>
      </c>
      <c r="K100" s="2">
        <v>30</v>
      </c>
      <c r="L100" t="s">
        <v>721</v>
      </c>
      <c r="O100" s="24" t="s">
        <v>347</v>
      </c>
      <c r="P100" s="24">
        <v>99</v>
      </c>
      <c r="Q100" s="24">
        <v>99</v>
      </c>
    </row>
    <row r="101" spans="1:17" ht="15.6" x14ac:dyDescent="0.3">
      <c r="A101" s="2">
        <v>100</v>
      </c>
      <c r="B101" s="15">
        <v>24</v>
      </c>
      <c r="C101" s="2">
        <v>901001</v>
      </c>
      <c r="D101" s="2" t="s">
        <v>348</v>
      </c>
      <c r="G101" s="2">
        <v>30</v>
      </c>
      <c r="H101">
        <v>4.29</v>
      </c>
      <c r="K101" s="2">
        <v>300</v>
      </c>
      <c r="L101" t="s">
        <v>725</v>
      </c>
      <c r="O101" s="24" t="s">
        <v>349</v>
      </c>
      <c r="P101" s="24">
        <v>100</v>
      </c>
      <c r="Q101" s="24">
        <v>100</v>
      </c>
    </row>
    <row r="102" spans="1:17" ht="15.6" x14ac:dyDescent="0.3">
      <c r="A102" s="7">
        <v>101</v>
      </c>
      <c r="B102" s="15">
        <v>25</v>
      </c>
      <c r="C102" s="2">
        <v>901401</v>
      </c>
      <c r="D102" s="2" t="s">
        <v>121</v>
      </c>
      <c r="E102" s="6">
        <v>8441</v>
      </c>
      <c r="G102" s="2">
        <v>3</v>
      </c>
      <c r="H102">
        <v>0.43</v>
      </c>
      <c r="K102" s="2">
        <v>30</v>
      </c>
      <c r="L102" t="s">
        <v>721</v>
      </c>
      <c r="O102" s="24"/>
      <c r="P102" s="24">
        <v>101</v>
      </c>
      <c r="Q102" s="24">
        <v>101</v>
      </c>
    </row>
    <row r="103" spans="1:17" ht="15.6" x14ac:dyDescent="0.3">
      <c r="A103" s="7">
        <v>102</v>
      </c>
      <c r="B103" s="15">
        <v>25</v>
      </c>
      <c r="C103" s="2">
        <v>901411</v>
      </c>
      <c r="D103" s="2" t="s">
        <v>122</v>
      </c>
      <c r="E103" s="6">
        <v>8442</v>
      </c>
      <c r="G103" s="2">
        <v>12</v>
      </c>
      <c r="H103">
        <v>1.71</v>
      </c>
      <c r="K103" s="2">
        <v>120</v>
      </c>
      <c r="L103" t="s">
        <v>723</v>
      </c>
      <c r="O103" s="24"/>
      <c r="P103" s="24">
        <v>102</v>
      </c>
      <c r="Q103" s="24">
        <v>102</v>
      </c>
    </row>
    <row r="104" spans="1:17" ht="15.6" x14ac:dyDescent="0.3">
      <c r="A104" s="7">
        <v>103</v>
      </c>
      <c r="B104" s="15">
        <v>25</v>
      </c>
      <c r="C104" s="2">
        <v>901421</v>
      </c>
      <c r="D104" s="2" t="s">
        <v>123</v>
      </c>
      <c r="E104" s="6">
        <v>8443</v>
      </c>
      <c r="G104" s="2">
        <v>50</v>
      </c>
      <c r="H104">
        <v>7.14</v>
      </c>
      <c r="K104" s="2">
        <v>500</v>
      </c>
      <c r="L104" t="s">
        <v>726</v>
      </c>
      <c r="O104" s="24"/>
      <c r="P104" s="24">
        <v>103</v>
      </c>
      <c r="Q104" s="24">
        <v>103</v>
      </c>
    </row>
    <row r="105" spans="1:17" ht="15.6" x14ac:dyDescent="0.3">
      <c r="A105" s="2">
        <v>104</v>
      </c>
      <c r="B105" s="15">
        <v>26</v>
      </c>
      <c r="C105" s="2">
        <v>901501</v>
      </c>
      <c r="D105" s="2" t="s">
        <v>350</v>
      </c>
      <c r="E105" s="25">
        <v>5201</v>
      </c>
      <c r="G105">
        <v>6</v>
      </c>
      <c r="H105">
        <v>0.86</v>
      </c>
      <c r="K105" s="2">
        <v>60</v>
      </c>
      <c r="L105" t="s">
        <v>722</v>
      </c>
      <c r="O105" s="24" t="s">
        <v>351</v>
      </c>
      <c r="P105" s="24">
        <v>104</v>
      </c>
      <c r="Q105" s="24">
        <v>104</v>
      </c>
    </row>
    <row r="106" spans="1:17" ht="15.6" x14ac:dyDescent="0.3">
      <c r="A106" s="2">
        <v>105</v>
      </c>
      <c r="B106" s="15">
        <v>26</v>
      </c>
      <c r="C106" s="2">
        <v>901511</v>
      </c>
      <c r="D106" s="2" t="s">
        <v>352</v>
      </c>
      <c r="E106" s="25">
        <v>5202</v>
      </c>
      <c r="G106">
        <v>6</v>
      </c>
      <c r="H106">
        <v>0.86</v>
      </c>
      <c r="K106" s="2">
        <v>60</v>
      </c>
      <c r="L106" t="s">
        <v>722</v>
      </c>
      <c r="O106" s="24" t="s">
        <v>353</v>
      </c>
      <c r="P106" s="24">
        <v>105</v>
      </c>
      <c r="Q106" s="24">
        <v>105</v>
      </c>
    </row>
    <row r="107" spans="1:17" ht="15.6" x14ac:dyDescent="0.3">
      <c r="A107" s="2">
        <v>106</v>
      </c>
      <c r="B107" s="15">
        <v>26</v>
      </c>
      <c r="C107" s="2">
        <v>901521</v>
      </c>
      <c r="D107" s="2" t="s">
        <v>354</v>
      </c>
      <c r="E107" s="25">
        <v>5203</v>
      </c>
      <c r="G107">
        <v>6</v>
      </c>
      <c r="H107">
        <v>0.86</v>
      </c>
      <c r="K107" s="2">
        <v>60</v>
      </c>
      <c r="L107" t="s">
        <v>722</v>
      </c>
      <c r="O107" s="24" t="s">
        <v>355</v>
      </c>
      <c r="P107" s="24">
        <v>106</v>
      </c>
      <c r="Q107" s="24">
        <v>106</v>
      </c>
    </row>
    <row r="108" spans="1:17" ht="15.6" x14ac:dyDescent="0.3">
      <c r="A108" s="2">
        <v>107</v>
      </c>
      <c r="B108" s="15">
        <v>26</v>
      </c>
      <c r="C108" s="2">
        <v>901531</v>
      </c>
      <c r="D108" s="2" t="s">
        <v>356</v>
      </c>
      <c r="E108" s="25">
        <v>5204</v>
      </c>
      <c r="G108">
        <v>12</v>
      </c>
      <c r="H108">
        <v>1.71</v>
      </c>
      <c r="K108" s="2">
        <v>120</v>
      </c>
      <c r="L108" t="s">
        <v>723</v>
      </c>
      <c r="O108" s="24" t="s">
        <v>357</v>
      </c>
      <c r="P108" s="24">
        <v>107</v>
      </c>
      <c r="Q108" s="24">
        <v>107</v>
      </c>
    </row>
    <row r="109" spans="1:17" ht="15.6" x14ac:dyDescent="0.3">
      <c r="A109" s="2">
        <v>108</v>
      </c>
      <c r="B109" s="15">
        <v>26</v>
      </c>
      <c r="C109" s="2">
        <v>901541</v>
      </c>
      <c r="D109" s="2" t="s">
        <v>358</v>
      </c>
      <c r="E109" s="25">
        <v>5205</v>
      </c>
      <c r="G109">
        <v>12</v>
      </c>
      <c r="H109">
        <v>1.71</v>
      </c>
      <c r="K109" s="2">
        <v>120</v>
      </c>
      <c r="L109" t="s">
        <v>723</v>
      </c>
      <c r="O109" s="24" t="s">
        <v>359</v>
      </c>
      <c r="P109" s="24">
        <v>108</v>
      </c>
      <c r="Q109" s="24">
        <v>108</v>
      </c>
    </row>
    <row r="110" spans="1:17" ht="15.6" x14ac:dyDescent="0.3">
      <c r="A110" s="2">
        <v>109</v>
      </c>
      <c r="B110" s="15">
        <v>26</v>
      </c>
      <c r="C110" s="2">
        <v>901551</v>
      </c>
      <c r="D110" s="2" t="s">
        <v>360</v>
      </c>
      <c r="E110" s="25">
        <v>5206</v>
      </c>
      <c r="G110">
        <v>12</v>
      </c>
      <c r="H110">
        <v>1.71</v>
      </c>
      <c r="K110" s="2">
        <v>120</v>
      </c>
      <c r="L110" t="s">
        <v>723</v>
      </c>
      <c r="O110" s="24" t="s">
        <v>361</v>
      </c>
      <c r="P110" s="24">
        <v>109</v>
      </c>
      <c r="Q110" s="24">
        <v>109</v>
      </c>
    </row>
    <row r="111" spans="1:17" ht="15.6" x14ac:dyDescent="0.3">
      <c r="A111" s="2">
        <v>110</v>
      </c>
      <c r="B111" s="15">
        <v>27</v>
      </c>
      <c r="C111" s="2">
        <v>901101</v>
      </c>
      <c r="D111" s="2" t="s">
        <v>362</v>
      </c>
      <c r="G111">
        <v>1</v>
      </c>
      <c r="H111">
        <v>0.14000000000000001</v>
      </c>
      <c r="K111" s="2">
        <v>10</v>
      </c>
      <c r="L111" t="s">
        <v>720</v>
      </c>
      <c r="O111" s="24" t="s">
        <v>363</v>
      </c>
      <c r="P111" s="24">
        <v>110</v>
      </c>
      <c r="Q111" s="24">
        <v>110</v>
      </c>
    </row>
    <row r="112" spans="1:17" ht="15.6" x14ac:dyDescent="0.3">
      <c r="A112" s="2">
        <v>111</v>
      </c>
      <c r="B112" s="15">
        <v>27</v>
      </c>
      <c r="C112" s="2">
        <v>901111</v>
      </c>
      <c r="D112" s="2" t="s">
        <v>364</v>
      </c>
      <c r="G112">
        <v>3</v>
      </c>
      <c r="H112">
        <v>0.43</v>
      </c>
      <c r="K112" s="2">
        <v>30</v>
      </c>
      <c r="L112" t="s">
        <v>721</v>
      </c>
      <c r="O112" s="24" t="s">
        <v>365</v>
      </c>
      <c r="P112" s="24">
        <v>111</v>
      </c>
      <c r="Q112" s="24">
        <v>111</v>
      </c>
    </row>
    <row r="113" spans="1:17" ht="15.6" x14ac:dyDescent="0.3">
      <c r="A113" s="2">
        <v>112</v>
      </c>
      <c r="B113" s="15">
        <v>27</v>
      </c>
      <c r="C113" s="2">
        <v>901121</v>
      </c>
      <c r="D113" s="2" t="s">
        <v>366</v>
      </c>
      <c r="G113">
        <v>6</v>
      </c>
      <c r="H113">
        <v>0.86</v>
      </c>
      <c r="K113" s="2">
        <v>60</v>
      </c>
      <c r="L113" t="s">
        <v>722</v>
      </c>
      <c r="O113" s="24" t="s">
        <v>367</v>
      </c>
      <c r="P113" s="24">
        <v>112</v>
      </c>
      <c r="Q113" s="24">
        <v>112</v>
      </c>
    </row>
    <row r="114" spans="1:17" ht="15.6" x14ac:dyDescent="0.3">
      <c r="A114" s="2">
        <v>113</v>
      </c>
      <c r="B114" s="15">
        <v>27</v>
      </c>
      <c r="C114" s="2">
        <v>901131</v>
      </c>
      <c r="D114" s="2" t="s">
        <v>368</v>
      </c>
      <c r="G114">
        <v>12</v>
      </c>
      <c r="H114">
        <v>1.71</v>
      </c>
      <c r="K114" s="2">
        <v>120</v>
      </c>
      <c r="L114" t="s">
        <v>723</v>
      </c>
      <c r="O114" s="24" t="s">
        <v>369</v>
      </c>
      <c r="P114" s="24">
        <v>113</v>
      </c>
      <c r="Q114" s="24">
        <v>113</v>
      </c>
    </row>
    <row r="115" spans="1:17" ht="15.6" x14ac:dyDescent="0.3">
      <c r="A115" s="2">
        <v>114</v>
      </c>
      <c r="B115" s="15">
        <v>27</v>
      </c>
      <c r="C115" s="2">
        <v>901141</v>
      </c>
      <c r="D115" s="2" t="s">
        <v>370</v>
      </c>
      <c r="G115">
        <v>25</v>
      </c>
      <c r="H115">
        <v>3.57</v>
      </c>
      <c r="K115" s="2">
        <v>250</v>
      </c>
      <c r="L115" t="s">
        <v>735</v>
      </c>
      <c r="O115" s="24" t="s">
        <v>371</v>
      </c>
      <c r="P115" s="24">
        <v>114</v>
      </c>
      <c r="Q115" s="24">
        <v>114</v>
      </c>
    </row>
    <row r="116" spans="1:17" ht="15.6" x14ac:dyDescent="0.3">
      <c r="A116" s="2">
        <v>115</v>
      </c>
      <c r="B116" s="15">
        <v>27</v>
      </c>
      <c r="C116" s="2">
        <v>901151</v>
      </c>
      <c r="D116" s="2" t="s">
        <v>372</v>
      </c>
      <c r="G116">
        <v>50</v>
      </c>
      <c r="H116">
        <v>7.14</v>
      </c>
      <c r="K116" s="2">
        <v>500</v>
      </c>
      <c r="L116" t="s">
        <v>726</v>
      </c>
      <c r="O116" s="24" t="s">
        <v>373</v>
      </c>
      <c r="P116" s="24">
        <v>115</v>
      </c>
      <c r="Q116" s="24">
        <v>115</v>
      </c>
    </row>
    <row r="117" spans="1:17" ht="15.6" x14ac:dyDescent="0.3">
      <c r="A117" s="2">
        <v>116</v>
      </c>
      <c r="B117" s="15">
        <v>27</v>
      </c>
      <c r="C117" s="2">
        <v>901161</v>
      </c>
      <c r="D117" s="2" t="s">
        <v>374</v>
      </c>
      <c r="G117">
        <v>98</v>
      </c>
      <c r="H117">
        <v>14</v>
      </c>
      <c r="K117" s="2">
        <v>980</v>
      </c>
      <c r="L117" t="s">
        <v>728</v>
      </c>
      <c r="O117" s="24" t="s">
        <v>375</v>
      </c>
      <c r="P117" s="24">
        <v>116</v>
      </c>
      <c r="Q117" s="24">
        <v>116</v>
      </c>
    </row>
    <row r="118" spans="1:17" ht="15.6" x14ac:dyDescent="0.3">
      <c r="A118" s="2">
        <v>117</v>
      </c>
      <c r="B118" s="15">
        <v>27</v>
      </c>
      <c r="C118" s="2">
        <v>901171</v>
      </c>
      <c r="D118" s="2" t="s">
        <v>376</v>
      </c>
      <c r="G118">
        <v>128</v>
      </c>
      <c r="H118">
        <v>18.29</v>
      </c>
      <c r="K118" s="2">
        <v>1280</v>
      </c>
      <c r="L118" t="s">
        <v>729</v>
      </c>
      <c r="O118" s="24" t="s">
        <v>377</v>
      </c>
      <c r="P118" s="24">
        <v>117</v>
      </c>
      <c r="Q118" s="24">
        <v>117</v>
      </c>
    </row>
    <row r="119" spans="1:17" ht="15.6" x14ac:dyDescent="0.3">
      <c r="A119" s="2">
        <v>118</v>
      </c>
      <c r="B119" s="15">
        <v>27</v>
      </c>
      <c r="C119" s="2">
        <v>901181</v>
      </c>
      <c r="D119" s="2" t="s">
        <v>378</v>
      </c>
      <c r="G119">
        <v>328</v>
      </c>
      <c r="H119">
        <v>46.86</v>
      </c>
      <c r="K119" s="2">
        <v>3280</v>
      </c>
      <c r="L119" t="s">
        <v>731</v>
      </c>
      <c r="O119" s="24" t="s">
        <v>379</v>
      </c>
      <c r="P119" s="24">
        <v>118</v>
      </c>
      <c r="Q119" s="24">
        <v>118</v>
      </c>
    </row>
    <row r="120" spans="1:17" ht="15.6" x14ac:dyDescent="0.3">
      <c r="A120" s="2">
        <v>119</v>
      </c>
      <c r="B120" s="15">
        <v>27</v>
      </c>
      <c r="C120" s="2">
        <v>901191</v>
      </c>
      <c r="D120" s="2" t="s">
        <v>380</v>
      </c>
      <c r="G120">
        <v>648</v>
      </c>
      <c r="H120">
        <v>92.57</v>
      </c>
      <c r="K120" s="2">
        <v>6480</v>
      </c>
      <c r="L120" t="s">
        <v>732</v>
      </c>
      <c r="O120" s="24" t="s">
        <v>381</v>
      </c>
      <c r="P120" s="24">
        <v>119</v>
      </c>
      <c r="Q120" s="24">
        <v>119</v>
      </c>
    </row>
    <row r="121" spans="1:17" ht="15.6" x14ac:dyDescent="0.3">
      <c r="A121" s="2">
        <v>120</v>
      </c>
      <c r="B121" s="15">
        <v>28</v>
      </c>
      <c r="C121" s="2">
        <v>901771</v>
      </c>
      <c r="D121" s="2" t="s">
        <v>382</v>
      </c>
      <c r="E121" s="25">
        <v>8701</v>
      </c>
      <c r="G121">
        <v>1</v>
      </c>
      <c r="H121">
        <v>0.14000000000000001</v>
      </c>
      <c r="I121" s="26" t="s">
        <v>49</v>
      </c>
      <c r="K121" s="2">
        <v>10</v>
      </c>
      <c r="L121" t="s">
        <v>720</v>
      </c>
      <c r="O121" s="24" t="s">
        <v>383</v>
      </c>
      <c r="P121" s="24">
        <v>120</v>
      </c>
      <c r="Q121" s="24">
        <v>120</v>
      </c>
    </row>
    <row r="122" spans="1:17" ht="15.6" x14ac:dyDescent="0.3">
      <c r="A122" s="2">
        <v>121</v>
      </c>
      <c r="B122" s="15">
        <v>28</v>
      </c>
      <c r="C122" s="2">
        <v>901711</v>
      </c>
      <c r="D122" s="2" t="s">
        <v>384</v>
      </c>
      <c r="E122" s="25">
        <v>8702</v>
      </c>
      <c r="F122" s="25"/>
      <c r="G122" s="25">
        <v>3</v>
      </c>
      <c r="H122" s="25">
        <v>0.43</v>
      </c>
      <c r="I122" s="26" t="s">
        <v>50</v>
      </c>
      <c r="K122" s="2">
        <v>30</v>
      </c>
      <c r="L122" t="s">
        <v>721</v>
      </c>
      <c r="O122" s="24" t="s">
        <v>385</v>
      </c>
      <c r="P122" s="24">
        <v>121</v>
      </c>
      <c r="Q122" s="24">
        <v>121</v>
      </c>
    </row>
    <row r="123" spans="1:17" ht="15.6" x14ac:dyDescent="0.3">
      <c r="A123" s="2">
        <v>122</v>
      </c>
      <c r="B123" s="15">
        <v>28</v>
      </c>
      <c r="C123" s="2">
        <v>901721</v>
      </c>
      <c r="D123" s="2" t="s">
        <v>386</v>
      </c>
      <c r="E123" s="25">
        <v>8703</v>
      </c>
      <c r="G123">
        <v>6</v>
      </c>
      <c r="H123">
        <v>0.86</v>
      </c>
      <c r="I123" s="26" t="s">
        <v>51</v>
      </c>
      <c r="K123" s="2">
        <v>60</v>
      </c>
      <c r="L123" t="s">
        <v>722</v>
      </c>
      <c r="O123" s="24" t="s">
        <v>387</v>
      </c>
      <c r="P123" s="24">
        <v>122</v>
      </c>
      <c r="Q123" s="24">
        <v>122</v>
      </c>
    </row>
    <row r="124" spans="1:17" ht="15.6" x14ac:dyDescent="0.3">
      <c r="A124" s="2">
        <v>123</v>
      </c>
      <c r="B124" s="15">
        <v>28</v>
      </c>
      <c r="C124" s="2">
        <v>901731</v>
      </c>
      <c r="D124" s="2" t="s">
        <v>388</v>
      </c>
      <c r="E124" s="25">
        <v>8704</v>
      </c>
      <c r="F124" s="25"/>
      <c r="G124" s="25">
        <v>12</v>
      </c>
      <c r="H124" s="25">
        <v>1.71</v>
      </c>
      <c r="I124" s="26" t="s">
        <v>51</v>
      </c>
      <c r="K124" s="2">
        <v>120</v>
      </c>
      <c r="L124" t="s">
        <v>723</v>
      </c>
      <c r="O124" s="24" t="s">
        <v>389</v>
      </c>
      <c r="P124" s="24">
        <v>123</v>
      </c>
      <c r="Q124" s="24">
        <v>123</v>
      </c>
    </row>
    <row r="125" spans="1:17" ht="15.6" x14ac:dyDescent="0.3">
      <c r="A125" s="2">
        <v>124</v>
      </c>
      <c r="B125" s="15">
        <v>28</v>
      </c>
      <c r="C125" s="2">
        <v>901741</v>
      </c>
      <c r="D125" s="2" t="s">
        <v>390</v>
      </c>
      <c r="E125" s="25">
        <v>8705</v>
      </c>
      <c r="G125">
        <v>18</v>
      </c>
      <c r="H125">
        <v>2.57</v>
      </c>
      <c r="I125" s="26" t="s">
        <v>52</v>
      </c>
      <c r="K125" s="2">
        <v>180</v>
      </c>
      <c r="L125" t="s">
        <v>724</v>
      </c>
      <c r="O125" s="24" t="s">
        <v>391</v>
      </c>
      <c r="P125" s="24">
        <v>124</v>
      </c>
      <c r="Q125" s="24">
        <v>124</v>
      </c>
    </row>
    <row r="126" spans="1:17" ht="15.6" x14ac:dyDescent="0.3">
      <c r="A126" s="2">
        <v>125</v>
      </c>
      <c r="B126" s="15">
        <v>28</v>
      </c>
      <c r="C126" s="2">
        <v>901751</v>
      </c>
      <c r="D126" s="2" t="s">
        <v>392</v>
      </c>
      <c r="E126" s="25">
        <v>8706</v>
      </c>
      <c r="G126">
        <v>50</v>
      </c>
      <c r="H126">
        <v>7.14</v>
      </c>
      <c r="I126" s="26" t="s">
        <v>52</v>
      </c>
      <c r="K126" s="2">
        <v>500</v>
      </c>
      <c r="L126" t="s">
        <v>726</v>
      </c>
      <c r="O126" s="24" t="s">
        <v>393</v>
      </c>
      <c r="P126" s="24">
        <v>125</v>
      </c>
      <c r="Q126" s="24">
        <v>125</v>
      </c>
    </row>
    <row r="127" spans="1:17" ht="15.6" x14ac:dyDescent="0.3">
      <c r="A127" s="2">
        <v>126</v>
      </c>
      <c r="B127" s="15">
        <v>29</v>
      </c>
      <c r="C127" s="2">
        <v>901791</v>
      </c>
      <c r="D127" s="2" t="s">
        <v>394</v>
      </c>
      <c r="E127" s="25">
        <v>8801</v>
      </c>
      <c r="G127">
        <v>98</v>
      </c>
      <c r="H127">
        <v>14</v>
      </c>
      <c r="I127" s="26" t="s">
        <v>52</v>
      </c>
      <c r="K127" s="2">
        <v>500</v>
      </c>
      <c r="L127" t="s">
        <v>728</v>
      </c>
      <c r="O127" s="24" t="s">
        <v>395</v>
      </c>
      <c r="P127" s="24">
        <v>126</v>
      </c>
      <c r="Q127" s="24">
        <v>126</v>
      </c>
    </row>
    <row r="128" spans="1:17" ht="15.6" x14ac:dyDescent="0.3">
      <c r="A128" s="2">
        <v>127</v>
      </c>
      <c r="B128" s="15">
        <v>29</v>
      </c>
      <c r="C128" s="2">
        <v>901801</v>
      </c>
      <c r="D128" s="2" t="s">
        <v>685</v>
      </c>
      <c r="E128" s="25">
        <v>8802</v>
      </c>
      <c r="G128">
        <v>128</v>
      </c>
      <c r="H128">
        <v>18.29</v>
      </c>
      <c r="I128" s="26" t="s">
        <v>52</v>
      </c>
      <c r="K128" s="2">
        <v>500</v>
      </c>
      <c r="L128" t="s">
        <v>729</v>
      </c>
      <c r="O128" s="24" t="s">
        <v>396</v>
      </c>
      <c r="P128" s="24">
        <v>127</v>
      </c>
      <c r="Q128" s="24">
        <v>127</v>
      </c>
    </row>
    <row r="129" spans="1:17" ht="15.6" x14ac:dyDescent="0.3">
      <c r="A129" s="2">
        <v>128</v>
      </c>
      <c r="B129" s="15">
        <v>29</v>
      </c>
      <c r="C129" s="2">
        <v>901811</v>
      </c>
      <c r="D129" s="2" t="s">
        <v>686</v>
      </c>
      <c r="E129" s="25">
        <v>8803</v>
      </c>
      <c r="G129">
        <v>328</v>
      </c>
      <c r="H129">
        <v>46.86</v>
      </c>
      <c r="I129" s="26" t="s">
        <v>52</v>
      </c>
      <c r="K129" s="2">
        <v>500</v>
      </c>
      <c r="L129" t="s">
        <v>731</v>
      </c>
      <c r="O129" s="24" t="s">
        <v>397</v>
      </c>
      <c r="P129" s="24">
        <v>128</v>
      </c>
      <c r="Q129" s="24">
        <v>128</v>
      </c>
    </row>
    <row r="130" spans="1:17" ht="15.6" x14ac:dyDescent="0.3">
      <c r="A130" s="2">
        <v>129</v>
      </c>
      <c r="B130" s="15">
        <v>29</v>
      </c>
      <c r="C130" s="2">
        <v>901821</v>
      </c>
      <c r="D130" s="2" t="s">
        <v>687</v>
      </c>
      <c r="E130" s="25">
        <v>8804</v>
      </c>
      <c r="G130">
        <v>648</v>
      </c>
      <c r="H130">
        <v>46.86</v>
      </c>
      <c r="I130" s="26" t="s">
        <v>52</v>
      </c>
      <c r="K130" s="2">
        <v>500</v>
      </c>
      <c r="L130" t="s">
        <v>732</v>
      </c>
      <c r="O130" s="24" t="s">
        <v>398</v>
      </c>
      <c r="P130" s="24">
        <v>129</v>
      </c>
      <c r="Q130" s="24">
        <v>129</v>
      </c>
    </row>
    <row r="131" spans="1:17" ht="15.6" x14ac:dyDescent="0.3">
      <c r="A131" s="2">
        <v>130</v>
      </c>
      <c r="B131" s="15">
        <v>30</v>
      </c>
      <c r="C131" s="2">
        <v>901301</v>
      </c>
      <c r="D131" s="2" t="s">
        <v>399</v>
      </c>
      <c r="E131" s="25">
        <v>8901</v>
      </c>
      <c r="G131">
        <v>12</v>
      </c>
      <c r="H131" s="25">
        <v>1.71</v>
      </c>
      <c r="I131" s="26"/>
      <c r="K131" s="2">
        <v>120</v>
      </c>
      <c r="L131" t="s">
        <v>723</v>
      </c>
      <c r="O131" s="33" t="s">
        <v>400</v>
      </c>
      <c r="P131" s="33">
        <v>130</v>
      </c>
      <c r="Q131" s="33">
        <v>130</v>
      </c>
    </row>
    <row r="132" spans="1:17" ht="15.6" x14ac:dyDescent="0.3">
      <c r="A132" s="2">
        <v>81</v>
      </c>
      <c r="B132" s="15">
        <v>17</v>
      </c>
      <c r="C132" s="2">
        <v>900811</v>
      </c>
      <c r="D132" s="2" t="s">
        <v>401</v>
      </c>
      <c r="E132" s="25">
        <v>0</v>
      </c>
      <c r="G132">
        <v>30</v>
      </c>
      <c r="H132">
        <v>4.29</v>
      </c>
      <c r="K132" s="2">
        <v>300</v>
      </c>
      <c r="L132" t="s">
        <v>725</v>
      </c>
      <c r="O132" s="24" t="s">
        <v>402</v>
      </c>
      <c r="P132" s="24">
        <v>81</v>
      </c>
      <c r="Q132" s="24">
        <v>81</v>
      </c>
    </row>
    <row r="133" spans="1:17" ht="15.6" x14ac:dyDescent="0.3">
      <c r="A133" s="2">
        <v>82</v>
      </c>
      <c r="B133" s="15">
        <v>17</v>
      </c>
      <c r="C133" s="2">
        <v>900821</v>
      </c>
      <c r="D133" s="2" t="s">
        <v>403</v>
      </c>
      <c r="E133" s="25">
        <v>0</v>
      </c>
      <c r="G133">
        <v>98</v>
      </c>
      <c r="H133">
        <v>14</v>
      </c>
      <c r="K133" s="2">
        <v>980</v>
      </c>
      <c r="L133" t="s">
        <v>728</v>
      </c>
      <c r="O133" s="24" t="s">
        <v>404</v>
      </c>
      <c r="P133" s="24">
        <v>82</v>
      </c>
      <c r="Q133" s="24">
        <v>82</v>
      </c>
    </row>
    <row r="134" spans="1:17" ht="15.6" x14ac:dyDescent="0.3">
      <c r="A134" s="2">
        <v>133</v>
      </c>
      <c r="B134" s="15">
        <v>17</v>
      </c>
      <c r="C134" s="2">
        <v>901331</v>
      </c>
      <c r="D134" s="2" t="s">
        <v>405</v>
      </c>
      <c r="E134" s="25">
        <v>0</v>
      </c>
      <c r="G134">
        <v>68</v>
      </c>
      <c r="H134">
        <v>9.7100000000000009</v>
      </c>
      <c r="K134" s="2">
        <v>680</v>
      </c>
      <c r="L134" t="s">
        <v>727</v>
      </c>
      <c r="O134" s="24" t="s">
        <v>406</v>
      </c>
      <c r="P134" s="24">
        <v>133</v>
      </c>
      <c r="Q134" s="24">
        <v>133</v>
      </c>
    </row>
    <row r="135" spans="1:17" ht="15.6" x14ac:dyDescent="0.3">
      <c r="A135" s="2">
        <v>134</v>
      </c>
      <c r="B135" s="15">
        <v>31</v>
      </c>
      <c r="C135" s="2">
        <v>902101</v>
      </c>
      <c r="D135" s="2" t="s">
        <v>407</v>
      </c>
      <c r="E135" s="25">
        <v>0</v>
      </c>
      <c r="G135">
        <v>6</v>
      </c>
      <c r="H135">
        <v>0.86</v>
      </c>
      <c r="K135" s="2">
        <v>60</v>
      </c>
      <c r="L135" t="s">
        <v>722</v>
      </c>
      <c r="O135" s="24" t="s">
        <v>408</v>
      </c>
      <c r="P135" s="24">
        <v>134</v>
      </c>
      <c r="Q135" s="24">
        <v>134</v>
      </c>
    </row>
    <row r="136" spans="1:17" ht="15.6" x14ac:dyDescent="0.3">
      <c r="A136" s="2">
        <v>135</v>
      </c>
      <c r="B136" s="15">
        <v>32</v>
      </c>
      <c r="C136" s="2">
        <v>902201</v>
      </c>
      <c r="D136" s="2" t="s">
        <v>409</v>
      </c>
      <c r="E136" s="25">
        <v>0</v>
      </c>
      <c r="G136">
        <v>3</v>
      </c>
      <c r="H136">
        <v>0.43</v>
      </c>
      <c r="K136" s="2">
        <v>30</v>
      </c>
      <c r="L136" t="s">
        <v>721</v>
      </c>
      <c r="O136" s="24" t="s">
        <v>410</v>
      </c>
      <c r="P136" s="24">
        <v>135</v>
      </c>
      <c r="Q136" s="24">
        <v>135</v>
      </c>
    </row>
    <row r="137" spans="1:17" ht="15.6" x14ac:dyDescent="0.3">
      <c r="A137" s="2">
        <v>136</v>
      </c>
      <c r="B137" s="15">
        <v>32</v>
      </c>
      <c r="C137" s="2">
        <v>902211</v>
      </c>
      <c r="D137" s="2" t="s">
        <v>411</v>
      </c>
      <c r="E137" s="25">
        <v>0</v>
      </c>
      <c r="G137">
        <v>45</v>
      </c>
      <c r="H137">
        <v>6.43</v>
      </c>
      <c r="K137" s="2">
        <v>450</v>
      </c>
      <c r="L137" t="s">
        <v>738</v>
      </c>
      <c r="O137" s="24" t="s">
        <v>412</v>
      </c>
      <c r="P137" s="24">
        <v>136</v>
      </c>
      <c r="Q137" s="24">
        <v>136</v>
      </c>
    </row>
    <row r="138" spans="1:17" ht="15.6" x14ac:dyDescent="0.3">
      <c r="A138" s="2">
        <v>137</v>
      </c>
      <c r="B138" s="15">
        <v>32</v>
      </c>
      <c r="C138" s="2">
        <v>902221</v>
      </c>
      <c r="D138" s="2" t="s">
        <v>413</v>
      </c>
      <c r="E138" s="25">
        <v>0</v>
      </c>
      <c r="G138">
        <v>68</v>
      </c>
      <c r="H138">
        <v>9.7100000000000009</v>
      </c>
      <c r="K138" s="2">
        <v>680</v>
      </c>
      <c r="L138" t="s">
        <v>727</v>
      </c>
      <c r="O138" s="24" t="s">
        <v>414</v>
      </c>
      <c r="P138" s="24">
        <v>137</v>
      </c>
      <c r="Q138" s="24">
        <v>137</v>
      </c>
    </row>
    <row r="139" spans="1:17" ht="15.6" x14ac:dyDescent="0.3">
      <c r="A139" s="2">
        <v>138</v>
      </c>
      <c r="B139" s="15">
        <v>33</v>
      </c>
      <c r="C139">
        <v>902301</v>
      </c>
      <c r="D139" t="s">
        <v>415</v>
      </c>
      <c r="E139">
        <v>0</v>
      </c>
      <c r="G139">
        <v>30</v>
      </c>
      <c r="H139">
        <v>4.29</v>
      </c>
      <c r="K139" s="2">
        <v>300</v>
      </c>
      <c r="L139" t="s">
        <v>725</v>
      </c>
      <c r="O139" s="24" t="s">
        <v>416</v>
      </c>
      <c r="P139" s="24">
        <v>138</v>
      </c>
      <c r="Q139" s="24">
        <v>138</v>
      </c>
    </row>
    <row r="140" spans="1:17" ht="15.6" x14ac:dyDescent="0.3">
      <c r="A140" s="2">
        <v>139</v>
      </c>
      <c r="B140" s="15">
        <v>32</v>
      </c>
      <c r="C140" s="2">
        <v>902231</v>
      </c>
      <c r="D140" s="2" t="s">
        <v>417</v>
      </c>
      <c r="E140">
        <v>0</v>
      </c>
      <c r="G140">
        <v>30</v>
      </c>
      <c r="H140">
        <v>4.29</v>
      </c>
      <c r="K140" s="2">
        <v>300</v>
      </c>
      <c r="L140" t="s">
        <v>725</v>
      </c>
      <c r="O140" s="24" t="s">
        <v>418</v>
      </c>
      <c r="P140" s="24">
        <v>139</v>
      </c>
      <c r="Q140" s="24">
        <v>139</v>
      </c>
    </row>
    <row r="141" spans="1:17" ht="15.6" x14ac:dyDescent="0.3">
      <c r="A141" s="2">
        <v>140</v>
      </c>
      <c r="B141" s="15">
        <v>28</v>
      </c>
      <c r="C141" s="2">
        <v>901761</v>
      </c>
      <c r="D141" s="2" t="s">
        <v>419</v>
      </c>
      <c r="E141" s="25">
        <v>8707</v>
      </c>
      <c r="G141" s="1">
        <v>100</v>
      </c>
      <c r="H141" s="14">
        <v>14.285714285714301</v>
      </c>
      <c r="I141" s="26" t="s">
        <v>52</v>
      </c>
      <c r="K141" s="2">
        <v>1000</v>
      </c>
      <c r="O141" s="24" t="s">
        <v>420</v>
      </c>
      <c r="P141" s="24">
        <v>140</v>
      </c>
      <c r="Q141" s="24">
        <v>140</v>
      </c>
    </row>
    <row r="142" spans="1:17" ht="15.6" x14ac:dyDescent="0.3">
      <c r="A142" s="2">
        <v>141</v>
      </c>
      <c r="B142" s="15">
        <v>34</v>
      </c>
      <c r="C142" s="2">
        <v>902401</v>
      </c>
      <c r="D142" s="2" t="s">
        <v>421</v>
      </c>
      <c r="E142" s="25">
        <v>0</v>
      </c>
      <c r="G142">
        <v>12</v>
      </c>
      <c r="H142">
        <v>1.71</v>
      </c>
      <c r="K142" s="2">
        <v>120</v>
      </c>
      <c r="L142" t="s">
        <v>723</v>
      </c>
      <c r="O142" s="24" t="s">
        <v>422</v>
      </c>
      <c r="P142" s="24">
        <v>141</v>
      </c>
      <c r="Q142" s="24">
        <v>141</v>
      </c>
    </row>
    <row r="143" spans="1:17" ht="15.6" x14ac:dyDescent="0.25">
      <c r="A143" s="27">
        <v>142</v>
      </c>
      <c r="B143" s="28">
        <v>9</v>
      </c>
      <c r="C143" s="28">
        <v>901421</v>
      </c>
      <c r="D143" s="28" t="s">
        <v>423</v>
      </c>
      <c r="E143" s="28">
        <v>0</v>
      </c>
      <c r="G143" s="28">
        <v>25</v>
      </c>
      <c r="H143" s="29">
        <v>3.57</v>
      </c>
      <c r="K143" s="28">
        <v>250</v>
      </c>
      <c r="L143" t="s">
        <v>735</v>
      </c>
      <c r="O143" s="24" t="s">
        <v>424</v>
      </c>
      <c r="P143" s="24">
        <v>142</v>
      </c>
      <c r="Q143" s="24">
        <v>142</v>
      </c>
    </row>
    <row r="144" spans="1:17" ht="15.6" x14ac:dyDescent="0.3">
      <c r="A144" s="27">
        <v>143</v>
      </c>
      <c r="B144" s="30">
        <v>9</v>
      </c>
      <c r="C144" s="28">
        <v>901431</v>
      </c>
      <c r="D144" s="28" t="s">
        <v>425</v>
      </c>
      <c r="E144" s="28">
        <v>0</v>
      </c>
      <c r="G144" s="28">
        <v>60</v>
      </c>
      <c r="H144" s="28">
        <v>8.57</v>
      </c>
      <c r="K144" s="28">
        <v>600</v>
      </c>
      <c r="L144" t="s">
        <v>739</v>
      </c>
      <c r="O144" s="24" t="s">
        <v>426</v>
      </c>
      <c r="P144" s="24">
        <v>143</v>
      </c>
      <c r="Q144" s="24">
        <v>143</v>
      </c>
    </row>
    <row r="145" spans="1:17" ht="15.6" x14ac:dyDescent="0.25">
      <c r="A145" s="27">
        <v>144</v>
      </c>
      <c r="B145" s="28">
        <v>9</v>
      </c>
      <c r="C145" s="28">
        <v>901441</v>
      </c>
      <c r="D145" s="28" t="s">
        <v>427</v>
      </c>
      <c r="E145" s="28">
        <v>0</v>
      </c>
      <c r="G145" s="28">
        <v>198</v>
      </c>
      <c r="H145" s="29">
        <v>28.29</v>
      </c>
      <c r="K145" s="28">
        <v>1980</v>
      </c>
      <c r="L145" t="s">
        <v>730</v>
      </c>
      <c r="O145" s="24" t="s">
        <v>428</v>
      </c>
      <c r="P145" s="24">
        <v>144</v>
      </c>
      <c r="Q145" s="24">
        <v>144</v>
      </c>
    </row>
    <row r="146" spans="1:17" ht="15.6" x14ac:dyDescent="0.3">
      <c r="A146" s="27">
        <v>145</v>
      </c>
      <c r="B146" s="30">
        <v>35</v>
      </c>
      <c r="C146" s="28">
        <v>902501</v>
      </c>
      <c r="D146" s="28" t="s">
        <v>429</v>
      </c>
      <c r="E146" s="28">
        <v>3604</v>
      </c>
      <c r="G146" s="28">
        <v>18</v>
      </c>
      <c r="H146">
        <v>2.57</v>
      </c>
      <c r="K146" s="2">
        <v>180</v>
      </c>
      <c r="L146" t="s">
        <v>724</v>
      </c>
      <c r="O146" s="24" t="s">
        <v>430</v>
      </c>
      <c r="P146" s="24">
        <v>145</v>
      </c>
      <c r="Q146" s="24">
        <v>145</v>
      </c>
    </row>
    <row r="147" spans="1:17" ht="15.6" x14ac:dyDescent="0.25">
      <c r="A147" s="27">
        <v>146</v>
      </c>
      <c r="B147" s="28">
        <v>36</v>
      </c>
      <c r="C147" s="28">
        <v>902601</v>
      </c>
      <c r="D147" s="28" t="s">
        <v>431</v>
      </c>
      <c r="E147" s="28">
        <v>8902</v>
      </c>
      <c r="G147" s="28">
        <v>168</v>
      </c>
      <c r="H147" s="28">
        <v>24</v>
      </c>
      <c r="K147" s="28">
        <v>1680</v>
      </c>
      <c r="L147" t="s">
        <v>740</v>
      </c>
      <c r="O147" s="24" t="s">
        <v>432</v>
      </c>
      <c r="P147" s="24">
        <v>146</v>
      </c>
      <c r="Q147" s="24">
        <v>146</v>
      </c>
    </row>
    <row r="148" spans="1:17" ht="15.6" x14ac:dyDescent="0.25">
      <c r="A148" s="27">
        <v>147</v>
      </c>
      <c r="B148" s="28">
        <v>36</v>
      </c>
      <c r="C148" s="28">
        <v>902602</v>
      </c>
      <c r="D148" s="28" t="s">
        <v>433</v>
      </c>
      <c r="E148" s="28">
        <v>8903</v>
      </c>
      <c r="G148" s="28">
        <v>98</v>
      </c>
      <c r="H148" s="28">
        <v>14</v>
      </c>
      <c r="K148" s="28">
        <v>980</v>
      </c>
      <c r="L148" t="s">
        <v>728</v>
      </c>
      <c r="O148" s="24" t="s">
        <v>434</v>
      </c>
      <c r="P148" s="24">
        <v>147</v>
      </c>
      <c r="Q148" s="24">
        <v>147</v>
      </c>
    </row>
    <row r="149" spans="1:17" ht="15.6" x14ac:dyDescent="0.25">
      <c r="A149" s="27">
        <v>148</v>
      </c>
      <c r="B149" s="28">
        <v>36</v>
      </c>
      <c r="C149" s="28">
        <v>902603</v>
      </c>
      <c r="D149" s="28" t="s">
        <v>435</v>
      </c>
      <c r="E149" s="28">
        <v>8904</v>
      </c>
      <c r="G149" s="28">
        <v>78</v>
      </c>
      <c r="H149" s="28">
        <v>11.14</v>
      </c>
      <c r="K149" s="28">
        <v>780</v>
      </c>
      <c r="L149" t="s">
        <v>741</v>
      </c>
      <c r="O149" s="24" t="s">
        <v>436</v>
      </c>
      <c r="P149" s="24">
        <v>148</v>
      </c>
      <c r="Q149" s="24">
        <v>148</v>
      </c>
    </row>
    <row r="150" spans="1:17" ht="15.6" x14ac:dyDescent="0.25">
      <c r="A150" s="27">
        <v>149</v>
      </c>
      <c r="B150" s="28">
        <v>36</v>
      </c>
      <c r="C150" s="28">
        <v>902604</v>
      </c>
      <c r="D150" s="28" t="s">
        <v>437</v>
      </c>
      <c r="E150" s="28">
        <v>8905</v>
      </c>
      <c r="G150" s="28">
        <v>128</v>
      </c>
      <c r="H150" s="28">
        <v>18.3</v>
      </c>
      <c r="K150" s="28">
        <v>1280</v>
      </c>
      <c r="L150" t="s">
        <v>729</v>
      </c>
      <c r="O150" s="24" t="s">
        <v>438</v>
      </c>
      <c r="P150" s="24">
        <v>149</v>
      </c>
      <c r="Q150" s="24">
        <v>149</v>
      </c>
    </row>
    <row r="151" spans="1:17" ht="15.6" x14ac:dyDescent="0.25">
      <c r="A151" s="27">
        <v>150</v>
      </c>
      <c r="B151" s="28">
        <v>36</v>
      </c>
      <c r="C151" s="28">
        <v>902605</v>
      </c>
      <c r="D151" s="28" t="s">
        <v>439</v>
      </c>
      <c r="E151" s="28">
        <v>8906</v>
      </c>
      <c r="G151" s="28">
        <v>168</v>
      </c>
      <c r="H151" s="28">
        <v>24</v>
      </c>
      <c r="K151" s="28">
        <v>1680</v>
      </c>
      <c r="L151" t="s">
        <v>740</v>
      </c>
      <c r="O151" s="24" t="s">
        <v>440</v>
      </c>
      <c r="P151" s="24">
        <v>150</v>
      </c>
      <c r="Q151" s="24">
        <v>150</v>
      </c>
    </row>
    <row r="152" spans="1:17" ht="15.6" x14ac:dyDescent="0.25">
      <c r="A152">
        <v>151</v>
      </c>
      <c r="B152">
        <v>37</v>
      </c>
      <c r="C152">
        <v>902701</v>
      </c>
      <c r="D152" s="31" t="s">
        <v>441</v>
      </c>
      <c r="E152">
        <v>0</v>
      </c>
      <c r="G152" s="32">
        <v>6</v>
      </c>
      <c r="H152">
        <v>0.86</v>
      </c>
      <c r="K152" s="28">
        <v>60</v>
      </c>
      <c r="L152" s="3" t="s">
        <v>748</v>
      </c>
      <c r="O152" s="24" t="s">
        <v>599</v>
      </c>
      <c r="P152" s="24">
        <v>151</v>
      </c>
      <c r="Q152" s="24">
        <v>151</v>
      </c>
    </row>
    <row r="153" spans="1:17" ht="15.6" x14ac:dyDescent="0.25">
      <c r="A153">
        <v>152</v>
      </c>
      <c r="B153">
        <v>37</v>
      </c>
      <c r="C153">
        <v>902702</v>
      </c>
      <c r="D153" s="31" t="s">
        <v>442</v>
      </c>
      <c r="E153">
        <v>0</v>
      </c>
      <c r="G153" s="13">
        <v>50</v>
      </c>
      <c r="H153" s="14">
        <v>7.1428571428571397</v>
      </c>
      <c r="K153" s="28">
        <v>500</v>
      </c>
      <c r="L153" t="s">
        <v>726</v>
      </c>
      <c r="O153" s="24" t="s">
        <v>443</v>
      </c>
      <c r="P153" s="24">
        <v>152</v>
      </c>
      <c r="Q153" s="24">
        <v>152</v>
      </c>
    </row>
    <row r="154" spans="1:17" ht="15.6" x14ac:dyDescent="0.25">
      <c r="A154">
        <v>153</v>
      </c>
      <c r="B154">
        <v>37</v>
      </c>
      <c r="C154">
        <v>902703</v>
      </c>
      <c r="D154" s="31" t="s">
        <v>444</v>
      </c>
      <c r="E154">
        <v>0</v>
      </c>
      <c r="G154">
        <v>30</v>
      </c>
      <c r="H154">
        <v>4.29</v>
      </c>
      <c r="K154" s="28">
        <v>300</v>
      </c>
      <c r="L154" t="s">
        <v>725</v>
      </c>
      <c r="O154" s="24" t="s">
        <v>445</v>
      </c>
      <c r="P154" s="24">
        <v>153</v>
      </c>
      <c r="Q154" s="24">
        <v>153</v>
      </c>
    </row>
    <row r="155" spans="1:17" ht="15.6" x14ac:dyDescent="0.25">
      <c r="A155">
        <v>154</v>
      </c>
      <c r="B155">
        <v>37</v>
      </c>
      <c r="C155">
        <v>902704</v>
      </c>
      <c r="D155" s="31" t="s">
        <v>446</v>
      </c>
      <c r="E155">
        <v>0</v>
      </c>
      <c r="G155" s="6">
        <v>98</v>
      </c>
      <c r="H155" s="12">
        <v>14</v>
      </c>
      <c r="K155" s="28">
        <v>980</v>
      </c>
      <c r="L155" t="s">
        <v>728</v>
      </c>
      <c r="O155" s="24" t="s">
        <v>447</v>
      </c>
      <c r="P155" s="24">
        <v>154</v>
      </c>
      <c r="Q155" s="24">
        <v>154</v>
      </c>
    </row>
    <row r="156" spans="1:17" ht="15.6" x14ac:dyDescent="0.25">
      <c r="A156">
        <v>155</v>
      </c>
      <c r="B156">
        <v>37</v>
      </c>
      <c r="C156">
        <v>902705</v>
      </c>
      <c r="D156" s="31" t="s">
        <v>448</v>
      </c>
      <c r="E156">
        <v>0</v>
      </c>
      <c r="G156">
        <v>128</v>
      </c>
      <c r="H156" s="27">
        <v>18.3</v>
      </c>
      <c r="K156" s="28">
        <v>1280</v>
      </c>
      <c r="L156" t="s">
        <v>729</v>
      </c>
      <c r="O156" s="24" t="s">
        <v>449</v>
      </c>
      <c r="P156" s="24">
        <v>155</v>
      </c>
      <c r="Q156" s="24">
        <v>155</v>
      </c>
    </row>
    <row r="157" spans="1:17" ht="15.6" x14ac:dyDescent="0.25">
      <c r="A157">
        <v>156</v>
      </c>
      <c r="B157">
        <v>38</v>
      </c>
      <c r="C157">
        <v>901561</v>
      </c>
      <c r="D157" s="31" t="s">
        <v>450</v>
      </c>
      <c r="E157" s="31">
        <v>8807</v>
      </c>
      <c r="G157">
        <v>68</v>
      </c>
      <c r="H157">
        <v>9.7100000000000009</v>
      </c>
      <c r="K157" s="28">
        <v>680</v>
      </c>
      <c r="L157" t="s">
        <v>727</v>
      </c>
      <c r="O157" s="24" t="s">
        <v>451</v>
      </c>
      <c r="P157" s="24">
        <v>156</v>
      </c>
      <c r="Q157" s="24">
        <v>156</v>
      </c>
    </row>
    <row r="158" spans="1:17" ht="15.6" x14ac:dyDescent="0.25">
      <c r="A158">
        <v>157</v>
      </c>
      <c r="B158">
        <v>39</v>
      </c>
      <c r="C158">
        <v>901571</v>
      </c>
      <c r="D158" s="31" t="s">
        <v>452</v>
      </c>
      <c r="G158">
        <v>6</v>
      </c>
      <c r="H158">
        <v>0.86</v>
      </c>
      <c r="I158" s="26" t="s">
        <v>140</v>
      </c>
      <c r="K158" s="28">
        <v>60</v>
      </c>
      <c r="L158" t="s">
        <v>722</v>
      </c>
      <c r="O158" s="24" t="s">
        <v>453</v>
      </c>
      <c r="P158" s="24">
        <v>157</v>
      </c>
      <c r="Q158" s="24">
        <v>157</v>
      </c>
    </row>
    <row r="159" spans="1:17" ht="15.6" x14ac:dyDescent="0.25">
      <c r="A159">
        <v>158</v>
      </c>
      <c r="B159">
        <v>39</v>
      </c>
      <c r="C159">
        <v>901581</v>
      </c>
      <c r="D159" s="31" t="s">
        <v>454</v>
      </c>
      <c r="E159" s="31"/>
      <c r="G159">
        <v>30</v>
      </c>
      <c r="H159">
        <v>8.6</v>
      </c>
      <c r="I159" s="26" t="s">
        <v>141</v>
      </c>
      <c r="K159" s="28">
        <v>300</v>
      </c>
      <c r="L159" t="s">
        <v>725</v>
      </c>
      <c r="O159" s="24" t="s">
        <v>455</v>
      </c>
      <c r="P159" s="24">
        <v>158</v>
      </c>
      <c r="Q159" s="24">
        <v>158</v>
      </c>
    </row>
    <row r="160" spans="1:17" ht="15.6" x14ac:dyDescent="0.25">
      <c r="A160">
        <v>159</v>
      </c>
      <c r="B160">
        <v>39</v>
      </c>
      <c r="C160">
        <v>901591</v>
      </c>
      <c r="D160" s="31" t="s">
        <v>456</v>
      </c>
      <c r="G160">
        <v>98</v>
      </c>
      <c r="H160">
        <v>14</v>
      </c>
      <c r="I160" s="26" t="s">
        <v>151</v>
      </c>
      <c r="K160" s="28">
        <v>980</v>
      </c>
      <c r="L160" t="s">
        <v>728</v>
      </c>
      <c r="O160" s="24" t="s">
        <v>457</v>
      </c>
      <c r="P160" s="24">
        <v>159</v>
      </c>
      <c r="Q160" s="24">
        <v>159</v>
      </c>
    </row>
    <row r="161" spans="1:17" ht="15.6" x14ac:dyDescent="0.25">
      <c r="A161">
        <v>160</v>
      </c>
      <c r="B161">
        <v>40</v>
      </c>
      <c r="C161">
        <v>901601</v>
      </c>
      <c r="D161" s="31" t="s">
        <v>458</v>
      </c>
      <c r="E161" s="31">
        <v>8811</v>
      </c>
      <c r="G161">
        <v>3</v>
      </c>
      <c r="H161">
        <v>0.43</v>
      </c>
      <c r="I161" s="26" t="s">
        <v>139</v>
      </c>
      <c r="K161" s="28">
        <v>30</v>
      </c>
      <c r="L161" t="s">
        <v>721</v>
      </c>
      <c r="O161" s="24" t="s">
        <v>459</v>
      </c>
      <c r="P161" s="24">
        <v>160</v>
      </c>
      <c r="Q161" s="24">
        <v>160</v>
      </c>
    </row>
    <row r="162" spans="1:17" ht="15.6" x14ac:dyDescent="0.25">
      <c r="A162">
        <v>161</v>
      </c>
      <c r="B162">
        <v>40</v>
      </c>
      <c r="C162">
        <v>901611</v>
      </c>
      <c r="D162" s="31" t="s">
        <v>460</v>
      </c>
      <c r="E162">
        <v>8812</v>
      </c>
      <c r="G162">
        <v>25</v>
      </c>
      <c r="H162">
        <v>3.57</v>
      </c>
      <c r="I162" s="26" t="s">
        <v>140</v>
      </c>
      <c r="K162" s="28">
        <v>250</v>
      </c>
      <c r="L162" t="s">
        <v>735</v>
      </c>
      <c r="O162" s="24" t="s">
        <v>461</v>
      </c>
      <c r="P162" s="24">
        <v>161</v>
      </c>
      <c r="Q162" s="24">
        <v>161</v>
      </c>
    </row>
    <row r="163" spans="1:17" ht="15.6" x14ac:dyDescent="0.25">
      <c r="A163">
        <v>162</v>
      </c>
      <c r="B163">
        <v>40</v>
      </c>
      <c r="C163">
        <v>901621</v>
      </c>
      <c r="D163" s="31" t="s">
        <v>462</v>
      </c>
      <c r="E163">
        <v>8814</v>
      </c>
      <c r="G163">
        <v>98</v>
      </c>
      <c r="H163">
        <v>14</v>
      </c>
      <c r="I163" s="26" t="s">
        <v>141</v>
      </c>
      <c r="K163" s="28">
        <v>980</v>
      </c>
      <c r="L163" t="s">
        <v>728</v>
      </c>
      <c r="O163" s="24" t="s">
        <v>463</v>
      </c>
      <c r="P163" s="24">
        <v>162</v>
      </c>
      <c r="Q163" s="24">
        <v>162</v>
      </c>
    </row>
    <row r="164" spans="1:17" ht="15.6" x14ac:dyDescent="0.25">
      <c r="A164">
        <v>163</v>
      </c>
      <c r="B164">
        <v>40</v>
      </c>
      <c r="C164">
        <v>901631</v>
      </c>
      <c r="D164" s="31" t="s">
        <v>464</v>
      </c>
      <c r="E164">
        <v>8814</v>
      </c>
      <c r="G164">
        <v>328</v>
      </c>
      <c r="H164">
        <v>46.86</v>
      </c>
      <c r="I164" s="26" t="s">
        <v>151</v>
      </c>
      <c r="K164" s="28">
        <v>3280</v>
      </c>
      <c r="L164" t="s">
        <v>731</v>
      </c>
      <c r="O164" s="24" t="s">
        <v>465</v>
      </c>
      <c r="P164" s="24">
        <v>163</v>
      </c>
      <c r="Q164" s="24">
        <v>163</v>
      </c>
    </row>
    <row r="165" spans="1:17" ht="15.6" x14ac:dyDescent="0.25">
      <c r="A165">
        <v>164</v>
      </c>
      <c r="B165">
        <v>40</v>
      </c>
      <c r="C165">
        <v>901641</v>
      </c>
      <c r="D165" s="31" t="s">
        <v>466</v>
      </c>
      <c r="E165" s="31">
        <v>8815</v>
      </c>
      <c r="G165">
        <v>6</v>
      </c>
      <c r="H165">
        <v>0.86</v>
      </c>
      <c r="I165" s="26" t="s">
        <v>139</v>
      </c>
      <c r="K165" s="28">
        <v>60</v>
      </c>
      <c r="L165" t="s">
        <v>722</v>
      </c>
      <c r="O165" s="24" t="s">
        <v>467</v>
      </c>
      <c r="P165" s="24">
        <v>164</v>
      </c>
      <c r="Q165" s="24">
        <v>164</v>
      </c>
    </row>
    <row r="166" spans="1:17" ht="15.6" x14ac:dyDescent="0.25">
      <c r="A166">
        <v>165</v>
      </c>
      <c r="B166">
        <v>41</v>
      </c>
      <c r="C166">
        <v>901651</v>
      </c>
      <c r="D166" s="31" t="s">
        <v>468</v>
      </c>
      <c r="E166" s="31">
        <v>8819</v>
      </c>
      <c r="G166">
        <v>98</v>
      </c>
      <c r="H166">
        <v>14</v>
      </c>
      <c r="I166" s="26"/>
      <c r="K166" s="28">
        <v>980</v>
      </c>
      <c r="L166" t="s">
        <v>728</v>
      </c>
      <c r="O166" s="24" t="s">
        <v>469</v>
      </c>
      <c r="P166" s="24">
        <v>165</v>
      </c>
      <c r="Q166" s="24">
        <v>165</v>
      </c>
    </row>
    <row r="167" spans="1:17" ht="15.6" x14ac:dyDescent="0.25">
      <c r="A167">
        <v>166</v>
      </c>
      <c r="B167">
        <v>42</v>
      </c>
      <c r="C167">
        <v>901661</v>
      </c>
      <c r="D167" s="31" t="s">
        <v>470</v>
      </c>
      <c r="E167" s="31"/>
      <c r="G167">
        <v>12</v>
      </c>
      <c r="H167">
        <v>1.71</v>
      </c>
      <c r="I167" s="26"/>
      <c r="K167" s="28">
        <v>120</v>
      </c>
      <c r="L167" t="s">
        <v>723</v>
      </c>
      <c r="O167" s="24" t="s">
        <v>471</v>
      </c>
      <c r="P167" s="24">
        <v>166</v>
      </c>
      <c r="Q167" s="24">
        <v>166</v>
      </c>
    </row>
    <row r="168" spans="1:17" ht="15.6" x14ac:dyDescent="0.25">
      <c r="A168">
        <v>167</v>
      </c>
      <c r="B168">
        <v>37</v>
      </c>
      <c r="C168">
        <v>901671</v>
      </c>
      <c r="D168" s="31" t="s">
        <v>472</v>
      </c>
      <c r="E168" s="31">
        <v>0</v>
      </c>
      <c r="G168">
        <v>6</v>
      </c>
      <c r="H168">
        <v>0.86</v>
      </c>
      <c r="I168" s="26"/>
      <c r="K168" s="28">
        <v>60</v>
      </c>
      <c r="L168" t="s">
        <v>722</v>
      </c>
      <c r="O168" s="24" t="s">
        <v>599</v>
      </c>
      <c r="P168" s="24">
        <v>167</v>
      </c>
      <c r="Q168" s="24">
        <v>167</v>
      </c>
    </row>
    <row r="169" spans="1:17" ht="15.6" x14ac:dyDescent="0.25">
      <c r="A169">
        <v>168</v>
      </c>
      <c r="B169">
        <v>39</v>
      </c>
      <c r="C169">
        <v>901681</v>
      </c>
      <c r="D169" s="31" t="s">
        <v>473</v>
      </c>
      <c r="E169" s="31"/>
      <c r="G169">
        <v>12</v>
      </c>
      <c r="H169">
        <v>1.71</v>
      </c>
      <c r="I169" s="26" t="s">
        <v>140</v>
      </c>
      <c r="K169" s="28">
        <v>120</v>
      </c>
      <c r="L169" t="s">
        <v>723</v>
      </c>
      <c r="O169" s="24" t="s">
        <v>600</v>
      </c>
      <c r="P169" s="24">
        <v>168</v>
      </c>
      <c r="Q169" s="24">
        <v>168</v>
      </c>
    </row>
    <row r="170" spans="1:17" ht="15.6" x14ac:dyDescent="0.25">
      <c r="A170">
        <v>169</v>
      </c>
      <c r="B170">
        <v>40</v>
      </c>
      <c r="C170">
        <v>901691</v>
      </c>
      <c r="D170" s="31" t="s">
        <v>474</v>
      </c>
      <c r="E170" s="31">
        <v>8821</v>
      </c>
      <c r="G170">
        <v>12</v>
      </c>
      <c r="H170">
        <v>1.71</v>
      </c>
      <c r="I170" s="26" t="s">
        <v>140</v>
      </c>
      <c r="K170" s="28">
        <v>120</v>
      </c>
      <c r="L170" t="s">
        <v>723</v>
      </c>
      <c r="O170" s="24" t="s">
        <v>600</v>
      </c>
      <c r="P170" s="24">
        <v>169</v>
      </c>
      <c r="Q170" s="24">
        <v>169</v>
      </c>
    </row>
    <row r="171" spans="1:17" ht="15.6" x14ac:dyDescent="0.25">
      <c r="A171">
        <v>170</v>
      </c>
      <c r="B171">
        <v>40</v>
      </c>
      <c r="C171">
        <v>901701</v>
      </c>
      <c r="D171" s="31" t="s">
        <v>475</v>
      </c>
      <c r="E171" s="31">
        <v>8822</v>
      </c>
      <c r="G171">
        <v>30</v>
      </c>
      <c r="H171">
        <v>8.6</v>
      </c>
      <c r="I171" s="26" t="s">
        <v>141</v>
      </c>
      <c r="K171" s="28">
        <v>300</v>
      </c>
      <c r="L171" t="s">
        <v>725</v>
      </c>
      <c r="O171" s="24" t="s">
        <v>601</v>
      </c>
      <c r="P171" s="24">
        <v>170</v>
      </c>
      <c r="Q171" s="24">
        <v>170</v>
      </c>
    </row>
    <row r="172" spans="1:17" ht="15.6" x14ac:dyDescent="0.3">
      <c r="A172">
        <v>171</v>
      </c>
      <c r="B172">
        <v>43</v>
      </c>
      <c r="C172" s="3">
        <v>902801</v>
      </c>
      <c r="D172" s="31" t="s">
        <v>759</v>
      </c>
      <c r="E172" s="36">
        <v>0</v>
      </c>
      <c r="G172">
        <v>18</v>
      </c>
      <c r="H172">
        <v>2.57</v>
      </c>
      <c r="I172" s="26"/>
      <c r="K172" s="58">
        <v>180</v>
      </c>
      <c r="L172" t="s">
        <v>724</v>
      </c>
      <c r="O172" s="24" t="s">
        <v>639</v>
      </c>
      <c r="P172" s="24">
        <v>171</v>
      </c>
      <c r="Q172" s="24">
        <v>171</v>
      </c>
    </row>
    <row r="173" spans="1:17" ht="15.6" x14ac:dyDescent="0.3">
      <c r="A173">
        <v>172</v>
      </c>
      <c r="B173">
        <v>43</v>
      </c>
      <c r="C173" s="3">
        <v>902802</v>
      </c>
      <c r="D173" s="31" t="s">
        <v>760</v>
      </c>
      <c r="E173" s="36">
        <v>0</v>
      </c>
      <c r="G173">
        <v>18</v>
      </c>
      <c r="H173">
        <v>2.57</v>
      </c>
      <c r="I173" s="26"/>
      <c r="K173" s="58">
        <v>180</v>
      </c>
      <c r="L173" t="s">
        <v>724</v>
      </c>
      <c r="O173" s="24" t="s">
        <v>639</v>
      </c>
      <c r="P173" s="24">
        <v>172</v>
      </c>
      <c r="Q173" s="24">
        <v>172</v>
      </c>
    </row>
    <row r="174" spans="1:17" ht="15.6" x14ac:dyDescent="0.3">
      <c r="A174">
        <v>173</v>
      </c>
      <c r="B174">
        <v>43</v>
      </c>
      <c r="C174" s="3">
        <v>902803</v>
      </c>
      <c r="D174" s="31" t="s">
        <v>614</v>
      </c>
      <c r="E174" s="36">
        <v>0</v>
      </c>
      <c r="G174">
        <v>18</v>
      </c>
      <c r="H174">
        <v>2.57</v>
      </c>
      <c r="I174" s="26"/>
      <c r="K174" s="58">
        <v>180</v>
      </c>
      <c r="L174" t="s">
        <v>724</v>
      </c>
      <c r="O174" s="24" t="s">
        <v>639</v>
      </c>
      <c r="P174" s="24">
        <v>173</v>
      </c>
      <c r="Q174" s="24">
        <v>173</v>
      </c>
    </row>
    <row r="175" spans="1:17" ht="15.6" x14ac:dyDescent="0.3">
      <c r="A175" s="2">
        <v>174</v>
      </c>
      <c r="B175" s="2">
        <v>43</v>
      </c>
      <c r="C175" s="2">
        <v>902804</v>
      </c>
      <c r="D175" s="58" t="s">
        <v>761</v>
      </c>
      <c r="E175" s="36">
        <v>0</v>
      </c>
      <c r="G175" s="2">
        <v>6</v>
      </c>
      <c r="H175">
        <v>2.57</v>
      </c>
      <c r="I175" s="26"/>
      <c r="K175" s="58">
        <v>60</v>
      </c>
      <c r="L175" s="2" t="s">
        <v>722</v>
      </c>
      <c r="O175" s="34" t="s">
        <v>599</v>
      </c>
      <c r="P175" s="34" t="s">
        <v>784</v>
      </c>
      <c r="Q175" s="34" t="s">
        <v>784</v>
      </c>
    </row>
    <row r="176" spans="1:17" ht="15.6" x14ac:dyDescent="0.3">
      <c r="A176" s="2">
        <v>175</v>
      </c>
      <c r="B176" s="2">
        <v>43</v>
      </c>
      <c r="C176" s="2">
        <v>902805</v>
      </c>
      <c r="D176" s="58" t="s">
        <v>762</v>
      </c>
      <c r="E176" s="36">
        <v>0</v>
      </c>
      <c r="G176" s="2">
        <v>6</v>
      </c>
      <c r="H176">
        <v>2.57</v>
      </c>
      <c r="I176" s="26"/>
      <c r="K176" s="58">
        <v>60</v>
      </c>
      <c r="L176" s="2" t="s">
        <v>722</v>
      </c>
      <c r="O176" s="34" t="s">
        <v>599</v>
      </c>
      <c r="P176" s="34" t="s">
        <v>784</v>
      </c>
      <c r="Q176" s="34" t="s">
        <v>784</v>
      </c>
    </row>
    <row r="177" spans="1:17" ht="15.6" x14ac:dyDescent="0.3">
      <c r="A177" s="2">
        <v>176</v>
      </c>
      <c r="B177" s="2">
        <v>43</v>
      </c>
      <c r="C177" s="2">
        <v>902806</v>
      </c>
      <c r="D177" s="58" t="s">
        <v>763</v>
      </c>
      <c r="E177" s="36">
        <v>0</v>
      </c>
      <c r="G177" s="2">
        <v>6</v>
      </c>
      <c r="H177">
        <v>2.57</v>
      </c>
      <c r="I177" s="26"/>
      <c r="K177" s="58">
        <v>60</v>
      </c>
      <c r="L177" s="2" t="s">
        <v>722</v>
      </c>
      <c r="O177" s="34" t="s">
        <v>599</v>
      </c>
      <c r="P177" s="34" t="s">
        <v>784</v>
      </c>
      <c r="Q177" s="34" t="s">
        <v>784</v>
      </c>
    </row>
    <row r="178" spans="1:17" ht="15.6" x14ac:dyDescent="0.3">
      <c r="A178">
        <v>177</v>
      </c>
      <c r="B178">
        <v>43</v>
      </c>
      <c r="C178" s="3">
        <v>902807</v>
      </c>
      <c r="D178" s="31" t="s">
        <v>615</v>
      </c>
      <c r="E178" s="36">
        <v>0</v>
      </c>
      <c r="G178">
        <v>30</v>
      </c>
      <c r="H178">
        <v>8.6</v>
      </c>
      <c r="I178" s="26"/>
      <c r="K178" s="58">
        <v>300</v>
      </c>
      <c r="L178" t="s">
        <v>725</v>
      </c>
      <c r="O178" s="24" t="s">
        <v>637</v>
      </c>
      <c r="P178" s="24">
        <v>177</v>
      </c>
      <c r="Q178" s="24">
        <v>177</v>
      </c>
    </row>
    <row r="179" spans="1:17" ht="15.6" x14ac:dyDescent="0.3">
      <c r="A179">
        <v>178</v>
      </c>
      <c r="B179">
        <v>43</v>
      </c>
      <c r="C179" s="3">
        <v>902808</v>
      </c>
      <c r="D179" s="31" t="s">
        <v>764</v>
      </c>
      <c r="E179" s="36">
        <v>0</v>
      </c>
      <c r="G179">
        <v>30</v>
      </c>
      <c r="H179">
        <v>8.6</v>
      </c>
      <c r="I179" s="26"/>
      <c r="K179" s="58">
        <v>300</v>
      </c>
      <c r="L179" t="s">
        <v>725</v>
      </c>
      <c r="O179" s="24" t="s">
        <v>637</v>
      </c>
      <c r="P179" s="24">
        <v>178</v>
      </c>
      <c r="Q179" s="24">
        <v>178</v>
      </c>
    </row>
    <row r="180" spans="1:17" ht="15.6" x14ac:dyDescent="0.3">
      <c r="A180">
        <v>179</v>
      </c>
      <c r="B180">
        <v>43</v>
      </c>
      <c r="C180" s="3">
        <v>902809</v>
      </c>
      <c r="D180" s="31" t="s">
        <v>765</v>
      </c>
      <c r="E180" s="36">
        <v>0</v>
      </c>
      <c r="G180">
        <v>30</v>
      </c>
      <c r="H180">
        <v>8.6</v>
      </c>
      <c r="I180" s="26"/>
      <c r="K180" s="58">
        <v>300</v>
      </c>
      <c r="L180" t="s">
        <v>725</v>
      </c>
      <c r="O180" s="24" t="s">
        <v>637</v>
      </c>
      <c r="P180" s="24">
        <v>179</v>
      </c>
      <c r="Q180" s="24">
        <v>179</v>
      </c>
    </row>
    <row r="181" spans="1:17" ht="15.6" x14ac:dyDescent="0.3">
      <c r="A181" s="2">
        <v>180</v>
      </c>
      <c r="B181" s="2">
        <v>43</v>
      </c>
      <c r="C181" s="2">
        <v>902810</v>
      </c>
      <c r="D181" s="58" t="s">
        <v>766</v>
      </c>
      <c r="E181" s="36">
        <v>0</v>
      </c>
      <c r="G181" s="2">
        <v>12</v>
      </c>
      <c r="H181">
        <v>8.6</v>
      </c>
      <c r="I181" s="26"/>
      <c r="K181" s="58">
        <v>120</v>
      </c>
      <c r="L181" s="2" t="s">
        <v>723</v>
      </c>
      <c r="O181" s="34" t="s">
        <v>638</v>
      </c>
      <c r="P181" s="34" t="s">
        <v>786</v>
      </c>
      <c r="Q181" s="34" t="s">
        <v>786</v>
      </c>
    </row>
    <row r="182" spans="1:17" ht="15.6" x14ac:dyDescent="0.3">
      <c r="A182" s="2">
        <v>181</v>
      </c>
      <c r="B182" s="2">
        <v>43</v>
      </c>
      <c r="C182" s="2">
        <v>902811</v>
      </c>
      <c r="D182" s="58" t="s">
        <v>767</v>
      </c>
      <c r="E182" s="36">
        <v>0</v>
      </c>
      <c r="G182" s="2">
        <v>12</v>
      </c>
      <c r="H182">
        <v>8.6</v>
      </c>
      <c r="I182" s="26"/>
      <c r="K182" s="58">
        <v>120</v>
      </c>
      <c r="L182" s="2" t="s">
        <v>723</v>
      </c>
      <c r="O182" s="34" t="s">
        <v>600</v>
      </c>
      <c r="P182" s="34" t="s">
        <v>786</v>
      </c>
      <c r="Q182" s="34" t="s">
        <v>786</v>
      </c>
    </row>
    <row r="183" spans="1:17" ht="15.6" x14ac:dyDescent="0.3">
      <c r="A183" s="2">
        <v>182</v>
      </c>
      <c r="B183" s="2">
        <v>43</v>
      </c>
      <c r="C183" s="2">
        <v>902812</v>
      </c>
      <c r="D183" s="58" t="s">
        <v>768</v>
      </c>
      <c r="E183" s="36">
        <v>0</v>
      </c>
      <c r="G183" s="2">
        <v>12</v>
      </c>
      <c r="H183">
        <v>8.6</v>
      </c>
      <c r="I183" s="26"/>
      <c r="K183" s="58">
        <v>120</v>
      </c>
      <c r="L183" s="2" t="s">
        <v>723</v>
      </c>
      <c r="O183" s="34" t="s">
        <v>600</v>
      </c>
      <c r="P183" s="34" t="s">
        <v>786</v>
      </c>
      <c r="Q183" s="34" t="s">
        <v>786</v>
      </c>
    </row>
    <row r="184" spans="1:17" ht="15.6" x14ac:dyDescent="0.3">
      <c r="A184">
        <v>183</v>
      </c>
      <c r="B184">
        <v>43</v>
      </c>
      <c r="C184" s="3">
        <v>902813</v>
      </c>
      <c r="D184" s="31" t="s">
        <v>769</v>
      </c>
      <c r="E184" s="36">
        <v>0</v>
      </c>
      <c r="G184">
        <v>68</v>
      </c>
      <c r="H184">
        <v>9.7100000000000009</v>
      </c>
      <c r="I184" s="26"/>
      <c r="K184" s="58">
        <v>680</v>
      </c>
      <c r="L184" t="s">
        <v>727</v>
      </c>
      <c r="O184" s="24" t="s">
        <v>640</v>
      </c>
      <c r="P184" s="24">
        <v>183</v>
      </c>
      <c r="Q184" s="24">
        <v>183</v>
      </c>
    </row>
    <row r="185" spans="1:17" ht="15.6" x14ac:dyDescent="0.3">
      <c r="A185">
        <v>184</v>
      </c>
      <c r="B185">
        <v>43</v>
      </c>
      <c r="C185" s="3">
        <v>902814</v>
      </c>
      <c r="D185" s="31" t="s">
        <v>616</v>
      </c>
      <c r="E185" s="36">
        <v>0</v>
      </c>
      <c r="G185">
        <v>68</v>
      </c>
      <c r="H185">
        <v>9.7100000000000009</v>
      </c>
      <c r="I185" s="26"/>
      <c r="K185" s="58">
        <v>680</v>
      </c>
      <c r="L185" t="s">
        <v>727</v>
      </c>
      <c r="O185" s="24" t="s">
        <v>640</v>
      </c>
      <c r="P185" s="24">
        <v>184</v>
      </c>
      <c r="Q185" s="24">
        <v>184</v>
      </c>
    </row>
    <row r="186" spans="1:17" ht="15.6" x14ac:dyDescent="0.3">
      <c r="A186">
        <v>185</v>
      </c>
      <c r="B186">
        <v>43</v>
      </c>
      <c r="C186" s="3">
        <v>902815</v>
      </c>
      <c r="D186" s="31" t="s">
        <v>617</v>
      </c>
      <c r="E186" s="36">
        <v>0</v>
      </c>
      <c r="G186">
        <v>68</v>
      </c>
      <c r="H186">
        <v>9.7100000000000009</v>
      </c>
      <c r="I186" s="26"/>
      <c r="K186" s="58">
        <v>680</v>
      </c>
      <c r="L186" t="s">
        <v>727</v>
      </c>
      <c r="O186" s="24" t="s">
        <v>640</v>
      </c>
      <c r="P186" s="24">
        <v>185</v>
      </c>
      <c r="Q186" s="24">
        <v>185</v>
      </c>
    </row>
    <row r="187" spans="1:17" ht="15.6" x14ac:dyDescent="0.3">
      <c r="A187" s="2">
        <v>186</v>
      </c>
      <c r="B187" s="2">
        <v>43</v>
      </c>
      <c r="C187" s="2">
        <v>902816</v>
      </c>
      <c r="D187" s="58" t="s">
        <v>770</v>
      </c>
      <c r="E187" s="36">
        <v>0</v>
      </c>
      <c r="G187" s="2">
        <v>98</v>
      </c>
      <c r="H187">
        <v>9.7100000000000009</v>
      </c>
      <c r="I187" s="26"/>
      <c r="K187" s="58">
        <v>980</v>
      </c>
      <c r="L187" s="2" t="s">
        <v>773</v>
      </c>
      <c r="O187" s="34" t="s">
        <v>775</v>
      </c>
      <c r="P187" s="34" t="s">
        <v>791</v>
      </c>
      <c r="Q187" s="34" t="s">
        <v>791</v>
      </c>
    </row>
    <row r="188" spans="1:17" ht="15.6" x14ac:dyDescent="0.3">
      <c r="A188" s="2">
        <v>187</v>
      </c>
      <c r="B188" s="2">
        <v>43</v>
      </c>
      <c r="C188" s="2">
        <v>902817</v>
      </c>
      <c r="D188" s="58" t="s">
        <v>771</v>
      </c>
      <c r="E188" s="36">
        <v>0</v>
      </c>
      <c r="G188" s="2">
        <v>98</v>
      </c>
      <c r="H188">
        <v>9.7100000000000009</v>
      </c>
      <c r="I188" s="26"/>
      <c r="K188" s="58">
        <v>980</v>
      </c>
      <c r="L188" s="2" t="s">
        <v>773</v>
      </c>
      <c r="O188" s="34" t="s">
        <v>775</v>
      </c>
      <c r="P188" s="34" t="s">
        <v>791</v>
      </c>
      <c r="Q188" s="34" t="s">
        <v>791</v>
      </c>
    </row>
    <row r="189" spans="1:17" ht="15.6" x14ac:dyDescent="0.3">
      <c r="A189" s="2">
        <v>188</v>
      </c>
      <c r="B189" s="2">
        <v>43</v>
      </c>
      <c r="C189" s="2">
        <v>902818</v>
      </c>
      <c r="D189" s="58" t="s">
        <v>772</v>
      </c>
      <c r="E189" s="36">
        <v>0</v>
      </c>
      <c r="G189" s="2">
        <v>98</v>
      </c>
      <c r="H189">
        <v>9.7100000000000009</v>
      </c>
      <c r="I189" s="26"/>
      <c r="K189" s="58">
        <v>980</v>
      </c>
      <c r="L189" s="2" t="s">
        <v>773</v>
      </c>
      <c r="O189" s="34" t="s">
        <v>775</v>
      </c>
      <c r="P189" s="34" t="s">
        <v>791</v>
      </c>
      <c r="Q189" s="34" t="s">
        <v>791</v>
      </c>
    </row>
    <row r="190" spans="1:17" ht="15.6" x14ac:dyDescent="0.3">
      <c r="A190">
        <v>189</v>
      </c>
      <c r="B190">
        <v>44</v>
      </c>
      <c r="C190" s="3">
        <v>901891</v>
      </c>
      <c r="D190" s="31" t="s">
        <v>632</v>
      </c>
      <c r="E190" s="36">
        <v>0</v>
      </c>
      <c r="G190">
        <v>30</v>
      </c>
      <c r="H190">
        <v>8.6</v>
      </c>
      <c r="I190" s="26"/>
      <c r="K190" s="58">
        <v>300</v>
      </c>
      <c r="L190" t="s">
        <v>725</v>
      </c>
      <c r="O190" s="24" t="s">
        <v>637</v>
      </c>
      <c r="P190" s="24">
        <v>189</v>
      </c>
      <c r="Q190" s="24">
        <v>189</v>
      </c>
    </row>
    <row r="191" spans="1:17" ht="15.6" x14ac:dyDescent="0.3">
      <c r="A191">
        <v>190</v>
      </c>
      <c r="B191">
        <v>45</v>
      </c>
      <c r="C191" s="3">
        <v>901901</v>
      </c>
      <c r="D191" s="31" t="s">
        <v>631</v>
      </c>
      <c r="E191" s="36">
        <v>0</v>
      </c>
      <c r="G191">
        <v>3</v>
      </c>
      <c r="H191">
        <v>0.86</v>
      </c>
      <c r="I191" s="26"/>
      <c r="K191" s="58">
        <v>30</v>
      </c>
      <c r="L191" t="s">
        <v>721</v>
      </c>
      <c r="O191" s="24" t="s">
        <v>641</v>
      </c>
      <c r="P191" s="24">
        <v>190</v>
      </c>
      <c r="Q191" s="24">
        <v>190</v>
      </c>
    </row>
    <row r="192" spans="1:17" ht="15.6" x14ac:dyDescent="0.3">
      <c r="A192">
        <v>191</v>
      </c>
      <c r="B192">
        <v>45</v>
      </c>
      <c r="C192" s="3">
        <v>901911</v>
      </c>
      <c r="D192" s="31" t="s">
        <v>633</v>
      </c>
      <c r="E192" s="36">
        <v>0</v>
      </c>
      <c r="G192">
        <v>18</v>
      </c>
      <c r="H192">
        <v>2.57</v>
      </c>
      <c r="I192" s="26"/>
      <c r="K192" s="58">
        <v>180</v>
      </c>
      <c r="L192" t="s">
        <v>724</v>
      </c>
      <c r="O192" s="24" t="s">
        <v>639</v>
      </c>
      <c r="P192" s="24">
        <v>191</v>
      </c>
      <c r="Q192" s="24">
        <v>191</v>
      </c>
    </row>
    <row r="193" spans="1:17" ht="15.6" x14ac:dyDescent="0.3">
      <c r="A193">
        <v>192</v>
      </c>
      <c r="B193">
        <v>45</v>
      </c>
      <c r="C193" s="3">
        <v>901921</v>
      </c>
      <c r="D193" s="31" t="s">
        <v>634</v>
      </c>
      <c r="E193" s="36">
        <v>0</v>
      </c>
      <c r="G193">
        <v>68</v>
      </c>
      <c r="H193">
        <v>9.7100000000000009</v>
      </c>
      <c r="I193" s="26"/>
      <c r="K193" s="58">
        <v>680</v>
      </c>
      <c r="L193" t="s">
        <v>727</v>
      </c>
      <c r="O193" s="24" t="s">
        <v>640</v>
      </c>
      <c r="P193" s="24">
        <v>192</v>
      </c>
      <c r="Q193" s="24">
        <v>192</v>
      </c>
    </row>
    <row r="194" spans="1:17" ht="15.6" x14ac:dyDescent="0.3">
      <c r="A194">
        <v>193</v>
      </c>
      <c r="B194">
        <v>45</v>
      </c>
      <c r="C194" s="3">
        <v>901931</v>
      </c>
      <c r="D194" s="31" t="s">
        <v>635</v>
      </c>
      <c r="E194" s="36">
        <v>0</v>
      </c>
      <c r="G194">
        <v>68</v>
      </c>
      <c r="H194">
        <v>9.7100000000000009</v>
      </c>
      <c r="I194" s="26"/>
      <c r="K194" s="58">
        <v>680</v>
      </c>
      <c r="L194" t="s">
        <v>727</v>
      </c>
      <c r="O194" s="24" t="s">
        <v>640</v>
      </c>
      <c r="P194" s="24">
        <v>193</v>
      </c>
      <c r="Q194" s="24">
        <v>193</v>
      </c>
    </row>
    <row r="195" spans="1:17" ht="15.6" x14ac:dyDescent="0.3">
      <c r="A195">
        <v>194</v>
      </c>
      <c r="B195">
        <v>45</v>
      </c>
      <c r="C195" s="3">
        <v>901941</v>
      </c>
      <c r="D195" s="31" t="s">
        <v>636</v>
      </c>
      <c r="E195" s="36">
        <v>0</v>
      </c>
      <c r="G195">
        <v>12</v>
      </c>
      <c r="H195">
        <v>1.71</v>
      </c>
      <c r="I195" s="26"/>
      <c r="K195" s="58">
        <v>120</v>
      </c>
      <c r="L195" t="s">
        <v>723</v>
      </c>
      <c r="O195" s="24" t="s">
        <v>638</v>
      </c>
      <c r="P195" s="24">
        <v>194</v>
      </c>
      <c r="Q195" s="24">
        <v>194</v>
      </c>
    </row>
    <row r="196" spans="1:17" ht="15.6" x14ac:dyDescent="0.3">
      <c r="A196">
        <v>195</v>
      </c>
      <c r="B196">
        <v>41</v>
      </c>
      <c r="C196" s="3">
        <v>901951</v>
      </c>
      <c r="D196" s="31" t="s">
        <v>674</v>
      </c>
      <c r="E196" s="36">
        <v>0</v>
      </c>
      <c r="G196">
        <v>328</v>
      </c>
      <c r="I196" s="26"/>
      <c r="K196" s="58">
        <v>3280</v>
      </c>
      <c r="L196" t="s">
        <v>731</v>
      </c>
      <c r="O196" s="24" t="s">
        <v>678</v>
      </c>
      <c r="P196" s="24">
        <v>195</v>
      </c>
      <c r="Q196" s="24">
        <v>195</v>
      </c>
    </row>
    <row r="197" spans="1:17" ht="15.6" x14ac:dyDescent="0.3">
      <c r="A197">
        <v>196</v>
      </c>
      <c r="B197">
        <v>41</v>
      </c>
      <c r="C197" s="3">
        <v>901961</v>
      </c>
      <c r="D197" s="31" t="s">
        <v>675</v>
      </c>
      <c r="E197" s="36">
        <v>0</v>
      </c>
      <c r="G197">
        <v>45</v>
      </c>
      <c r="I197" s="26"/>
      <c r="K197" s="58">
        <v>450</v>
      </c>
      <c r="L197" t="s">
        <v>738</v>
      </c>
      <c r="O197" s="24" t="s">
        <v>677</v>
      </c>
      <c r="P197" s="24">
        <v>196</v>
      </c>
      <c r="Q197" s="24">
        <v>196</v>
      </c>
    </row>
    <row r="198" spans="1:17" ht="15.6" x14ac:dyDescent="0.3">
      <c r="A198">
        <v>197</v>
      </c>
      <c r="B198">
        <v>41</v>
      </c>
      <c r="C198" s="3">
        <v>901971</v>
      </c>
      <c r="D198" s="31" t="s">
        <v>676</v>
      </c>
      <c r="E198" s="36">
        <v>0</v>
      </c>
      <c r="G198">
        <v>12</v>
      </c>
      <c r="I198" s="26"/>
      <c r="K198" s="58">
        <v>120</v>
      </c>
      <c r="L198" t="s">
        <v>723</v>
      </c>
      <c r="O198" s="24" t="s">
        <v>638</v>
      </c>
      <c r="P198" s="24">
        <v>197</v>
      </c>
      <c r="Q198" s="24">
        <v>197</v>
      </c>
    </row>
    <row r="199" spans="1:17" ht="15.6" x14ac:dyDescent="0.3">
      <c r="A199">
        <v>198</v>
      </c>
      <c r="B199">
        <v>41</v>
      </c>
      <c r="C199" s="3">
        <v>901981</v>
      </c>
      <c r="D199" s="31" t="s">
        <v>694</v>
      </c>
      <c r="E199" s="36">
        <v>0</v>
      </c>
      <c r="G199">
        <v>3</v>
      </c>
      <c r="I199" s="26"/>
      <c r="K199" s="58">
        <v>30</v>
      </c>
      <c r="L199" t="s">
        <v>721</v>
      </c>
      <c r="O199" s="24" t="s">
        <v>708</v>
      </c>
      <c r="P199" s="24">
        <v>198</v>
      </c>
      <c r="Q199" s="24">
        <v>198</v>
      </c>
    </row>
    <row r="200" spans="1:17" ht="15.6" x14ac:dyDescent="0.3">
      <c r="A200">
        <v>199</v>
      </c>
      <c r="B200">
        <v>41</v>
      </c>
      <c r="C200" s="3">
        <v>901991</v>
      </c>
      <c r="D200" s="31" t="s">
        <v>709</v>
      </c>
      <c r="E200" s="36">
        <v>0</v>
      </c>
      <c r="G200">
        <v>1</v>
      </c>
      <c r="I200" s="26"/>
      <c r="K200" s="58">
        <v>10</v>
      </c>
      <c r="L200" t="s">
        <v>720</v>
      </c>
      <c r="O200" s="24" t="s">
        <v>710</v>
      </c>
      <c r="P200" s="24">
        <v>199</v>
      </c>
      <c r="Q200" s="24">
        <v>199</v>
      </c>
    </row>
    <row r="201" spans="1:17" ht="15.6" x14ac:dyDescent="0.3">
      <c r="A201" s="2">
        <v>201</v>
      </c>
      <c r="B201" s="15">
        <v>18</v>
      </c>
      <c r="C201" s="2">
        <v>902011</v>
      </c>
      <c r="D201" s="26" t="s">
        <v>668</v>
      </c>
      <c r="G201" s="2">
        <v>6</v>
      </c>
      <c r="H201" s="12">
        <f>6/7</f>
        <v>0.8571428571428571</v>
      </c>
      <c r="K201" s="2">
        <v>60</v>
      </c>
      <c r="L201" t="s">
        <v>722</v>
      </c>
      <c r="O201" s="19" t="s">
        <v>320</v>
      </c>
      <c r="P201" s="19">
        <v>201</v>
      </c>
      <c r="Q201" s="19">
        <v>201</v>
      </c>
    </row>
    <row r="202" spans="1:17" ht="15.6" x14ac:dyDescent="0.3">
      <c r="A202" s="2">
        <v>202</v>
      </c>
      <c r="B202" s="15">
        <v>18</v>
      </c>
      <c r="C202" s="2">
        <v>902021</v>
      </c>
      <c r="D202" s="26" t="s">
        <v>669</v>
      </c>
      <c r="G202" s="2">
        <v>30</v>
      </c>
      <c r="H202" s="12">
        <f>30/7</f>
        <v>4.2857142857142856</v>
      </c>
      <c r="K202" s="2">
        <v>300</v>
      </c>
      <c r="L202" t="s">
        <v>725</v>
      </c>
      <c r="N202" s="24"/>
      <c r="O202" s="19" t="s">
        <v>324</v>
      </c>
      <c r="P202" s="19">
        <v>202</v>
      </c>
      <c r="Q202" s="19">
        <v>202</v>
      </c>
    </row>
    <row r="203" spans="1:17" ht="15.6" x14ac:dyDescent="0.3">
      <c r="A203" s="2">
        <v>203</v>
      </c>
      <c r="B203" s="15">
        <v>18</v>
      </c>
      <c r="C203" s="2">
        <v>902031</v>
      </c>
      <c r="D203" s="26" t="s">
        <v>670</v>
      </c>
      <c r="G203" s="2">
        <v>6</v>
      </c>
      <c r="H203" s="12">
        <f>6/7</f>
        <v>0.8571428571428571</v>
      </c>
      <c r="K203" s="2">
        <v>60</v>
      </c>
      <c r="L203" t="s">
        <v>722</v>
      </c>
      <c r="O203" s="19" t="s">
        <v>320</v>
      </c>
      <c r="P203" s="19">
        <v>203</v>
      </c>
      <c r="Q203" s="19">
        <v>203</v>
      </c>
    </row>
    <row r="204" spans="1:17" ht="15.6" x14ac:dyDescent="0.3">
      <c r="A204" s="2">
        <v>204</v>
      </c>
      <c r="B204" s="15">
        <v>18</v>
      </c>
      <c r="C204" s="2">
        <v>902041</v>
      </c>
      <c r="D204" s="26" t="s">
        <v>671</v>
      </c>
      <c r="G204" s="2">
        <v>30</v>
      </c>
      <c r="H204" s="12">
        <f>30/7</f>
        <v>4.2857142857142856</v>
      </c>
      <c r="K204" s="2">
        <v>300</v>
      </c>
      <c r="L204" t="s">
        <v>725</v>
      </c>
      <c r="N204" s="24"/>
      <c r="O204" s="19" t="s">
        <v>324</v>
      </c>
      <c r="P204" s="19">
        <v>204</v>
      </c>
      <c r="Q204" s="19">
        <v>204</v>
      </c>
    </row>
    <row r="205" spans="1:17" ht="15.6" x14ac:dyDescent="0.3">
      <c r="A205" s="2">
        <v>205</v>
      </c>
      <c r="B205" s="15">
        <v>18</v>
      </c>
      <c r="C205" s="2">
        <v>902051</v>
      </c>
      <c r="D205" s="26" t="s">
        <v>672</v>
      </c>
      <c r="G205" s="2">
        <v>6</v>
      </c>
      <c r="H205" s="12">
        <f>6/7</f>
        <v>0.8571428571428571</v>
      </c>
      <c r="K205" s="2">
        <v>60</v>
      </c>
      <c r="L205" t="s">
        <v>722</v>
      </c>
      <c r="O205" s="19" t="s">
        <v>320</v>
      </c>
      <c r="P205" s="19">
        <v>205</v>
      </c>
      <c r="Q205" s="19">
        <v>205</v>
      </c>
    </row>
    <row r="206" spans="1:17" ht="15.6" x14ac:dyDescent="0.3">
      <c r="A206" s="2">
        <v>206</v>
      </c>
      <c r="B206" s="15">
        <v>18</v>
      </c>
      <c r="C206" s="2">
        <v>902061</v>
      </c>
      <c r="D206" s="26" t="s">
        <v>673</v>
      </c>
      <c r="G206" s="2">
        <v>30</v>
      </c>
      <c r="H206" s="12">
        <f>30/7</f>
        <v>4.2857142857142856</v>
      </c>
      <c r="K206" s="2">
        <v>300</v>
      </c>
      <c r="L206" t="s">
        <v>725</v>
      </c>
      <c r="N206" s="24"/>
      <c r="O206" s="19" t="s">
        <v>324</v>
      </c>
      <c r="P206" s="19">
        <v>206</v>
      </c>
      <c r="Q206" s="19">
        <v>206</v>
      </c>
    </row>
    <row r="207" spans="1:17" ht="15.6" x14ac:dyDescent="0.3">
      <c r="A207" s="2">
        <v>207</v>
      </c>
      <c r="B207" s="15">
        <v>46</v>
      </c>
      <c r="C207" s="3">
        <v>902070</v>
      </c>
      <c r="D207" s="31" t="s">
        <v>749</v>
      </c>
      <c r="G207" s="61">
        <v>6</v>
      </c>
      <c r="H207" s="12"/>
      <c r="I207" s="3" t="s">
        <v>756</v>
      </c>
      <c r="K207" s="2">
        <f>G207*10</f>
        <v>60</v>
      </c>
      <c r="L207" s="3" t="s">
        <v>748</v>
      </c>
      <c r="N207" s="59"/>
      <c r="O207" s="24" t="s">
        <v>599</v>
      </c>
      <c r="P207" s="24" t="s">
        <v>785</v>
      </c>
      <c r="Q207" s="24" t="s">
        <v>785</v>
      </c>
    </row>
    <row r="208" spans="1:17" ht="15.6" x14ac:dyDescent="0.3">
      <c r="A208" s="2">
        <v>208</v>
      </c>
      <c r="B208" s="15">
        <v>46</v>
      </c>
      <c r="C208" s="3">
        <v>902071</v>
      </c>
      <c r="D208" s="31" t="s">
        <v>750</v>
      </c>
      <c r="G208" s="61">
        <v>6</v>
      </c>
      <c r="H208" s="12"/>
      <c r="I208" s="3" t="s">
        <v>756</v>
      </c>
      <c r="K208" s="2">
        <f t="shared" ref="K208:K213" si="0">G208*10</f>
        <v>60</v>
      </c>
      <c r="L208" s="3" t="s">
        <v>748</v>
      </c>
      <c r="N208" s="59"/>
      <c r="O208" s="24" t="s">
        <v>599</v>
      </c>
      <c r="P208" s="24" t="s">
        <v>785</v>
      </c>
      <c r="Q208" s="24" t="s">
        <v>785</v>
      </c>
    </row>
    <row r="209" spans="1:17" ht="15.6" x14ac:dyDescent="0.3">
      <c r="A209" s="2">
        <v>209</v>
      </c>
      <c r="B209" s="15">
        <v>46</v>
      </c>
      <c r="C209" s="3">
        <v>902072</v>
      </c>
      <c r="D209" s="31" t="s">
        <v>751</v>
      </c>
      <c r="G209" s="61">
        <v>6</v>
      </c>
      <c r="H209" s="12"/>
      <c r="I209" s="3" t="s">
        <v>756</v>
      </c>
      <c r="K209" s="2">
        <f t="shared" si="0"/>
        <v>60</v>
      </c>
      <c r="L209" s="3" t="s">
        <v>748</v>
      </c>
      <c r="N209" s="59"/>
      <c r="O209" s="24" t="s">
        <v>599</v>
      </c>
      <c r="P209" s="24" t="s">
        <v>785</v>
      </c>
      <c r="Q209" s="24" t="s">
        <v>785</v>
      </c>
    </row>
    <row r="210" spans="1:17" ht="15.6" x14ac:dyDescent="0.3">
      <c r="A210" s="2">
        <v>210</v>
      </c>
      <c r="B210" s="15">
        <v>46</v>
      </c>
      <c r="C210" s="3">
        <v>902073</v>
      </c>
      <c r="D210" s="31" t="s">
        <v>752</v>
      </c>
      <c r="G210" s="61">
        <v>12</v>
      </c>
      <c r="H210" s="12"/>
      <c r="I210" s="3" t="s">
        <v>756</v>
      </c>
      <c r="K210" s="2">
        <f t="shared" si="0"/>
        <v>120</v>
      </c>
      <c r="L210" s="3" t="s">
        <v>757</v>
      </c>
      <c r="N210" s="59"/>
      <c r="O210" s="24" t="s">
        <v>600</v>
      </c>
      <c r="P210" s="24" t="s">
        <v>787</v>
      </c>
      <c r="Q210" s="24" t="s">
        <v>787</v>
      </c>
    </row>
    <row r="211" spans="1:17" ht="15.6" x14ac:dyDescent="0.3">
      <c r="A211" s="2">
        <v>211</v>
      </c>
      <c r="B211" s="15">
        <v>46</v>
      </c>
      <c r="C211" s="3">
        <v>902074</v>
      </c>
      <c r="D211" s="31" t="s">
        <v>753</v>
      </c>
      <c r="G211" s="61">
        <v>12</v>
      </c>
      <c r="H211" s="12"/>
      <c r="I211" s="3" t="s">
        <v>756</v>
      </c>
      <c r="K211" s="2">
        <f t="shared" si="0"/>
        <v>120</v>
      </c>
      <c r="L211" s="3" t="s">
        <v>757</v>
      </c>
      <c r="N211" s="59"/>
      <c r="O211" s="24" t="s">
        <v>600</v>
      </c>
      <c r="P211" s="24" t="s">
        <v>787</v>
      </c>
      <c r="Q211" s="24" t="s">
        <v>787</v>
      </c>
    </row>
    <row r="212" spans="1:17" ht="15.6" x14ac:dyDescent="0.3">
      <c r="A212" s="2">
        <v>212</v>
      </c>
      <c r="B212" s="15">
        <v>46</v>
      </c>
      <c r="C212" s="3">
        <v>902075</v>
      </c>
      <c r="D212" s="31" t="s">
        <v>754</v>
      </c>
      <c r="G212" s="61">
        <v>18</v>
      </c>
      <c r="H212" s="12"/>
      <c r="I212" s="3" t="s">
        <v>756</v>
      </c>
      <c r="K212" s="2">
        <f t="shared" si="0"/>
        <v>180</v>
      </c>
      <c r="L212" s="3" t="s">
        <v>758</v>
      </c>
      <c r="N212" s="59"/>
      <c r="O212" s="24" t="s">
        <v>639</v>
      </c>
      <c r="P212" s="24" t="s">
        <v>788</v>
      </c>
      <c r="Q212" s="24" t="s">
        <v>788</v>
      </c>
    </row>
    <row r="213" spans="1:17" ht="15.6" x14ac:dyDescent="0.3">
      <c r="A213" s="2">
        <v>213</v>
      </c>
      <c r="B213" s="15">
        <v>46</v>
      </c>
      <c r="C213" s="3">
        <v>902076</v>
      </c>
      <c r="D213" s="31" t="s">
        <v>755</v>
      </c>
      <c r="G213" s="61">
        <v>18</v>
      </c>
      <c r="H213" s="12"/>
      <c r="I213" s="3" t="s">
        <v>756</v>
      </c>
      <c r="K213" s="2">
        <f t="shared" si="0"/>
        <v>180</v>
      </c>
      <c r="L213" s="3" t="s">
        <v>758</v>
      </c>
      <c r="N213" s="59"/>
      <c r="O213" s="24" t="s">
        <v>639</v>
      </c>
      <c r="P213" s="24" t="s">
        <v>788</v>
      </c>
      <c r="Q213" s="24" t="s">
        <v>788</v>
      </c>
    </row>
    <row r="214" spans="1:17" ht="15.6" x14ac:dyDescent="0.3">
      <c r="A214" s="2">
        <v>214</v>
      </c>
      <c r="B214" s="15">
        <v>18</v>
      </c>
      <c r="C214" s="3">
        <v>902141</v>
      </c>
      <c r="D214" s="31" t="s">
        <v>777</v>
      </c>
      <c r="G214" s="2">
        <v>68</v>
      </c>
      <c r="H214" s="12">
        <f>G214/7</f>
        <v>9.7142857142857135</v>
      </c>
      <c r="K214" s="2">
        <f>G214*10</f>
        <v>680</v>
      </c>
      <c r="L214" s="3" t="s">
        <v>778</v>
      </c>
      <c r="N214" s="24"/>
      <c r="O214" s="2" t="s">
        <v>653</v>
      </c>
      <c r="P214" s="24" t="s">
        <v>790</v>
      </c>
      <c r="Q214" s="2" t="s">
        <v>789</v>
      </c>
    </row>
    <row r="215" spans="1:17" ht="15.6" x14ac:dyDescent="0.3">
      <c r="A215" s="2">
        <v>215</v>
      </c>
      <c r="B215" s="15">
        <v>18</v>
      </c>
      <c r="C215" s="3">
        <v>902151</v>
      </c>
      <c r="D215" s="31" t="s">
        <v>776</v>
      </c>
      <c r="G215" s="2">
        <v>98</v>
      </c>
      <c r="H215" s="12">
        <f>G215/7</f>
        <v>14</v>
      </c>
      <c r="K215" s="2">
        <f>G215*10</f>
        <v>980</v>
      </c>
      <c r="L215" s="3" t="s">
        <v>773</v>
      </c>
      <c r="N215" s="24"/>
      <c r="O215" s="2" t="s">
        <v>775</v>
      </c>
      <c r="P215" s="2" t="s">
        <v>792</v>
      </c>
      <c r="Q215" s="2" t="s">
        <v>791</v>
      </c>
    </row>
    <row r="216" spans="1:17" ht="15.6" x14ac:dyDescent="0.3">
      <c r="A216" s="1">
        <v>1041</v>
      </c>
      <c r="B216" s="36">
        <v>36</v>
      </c>
      <c r="C216" s="1">
        <v>910411</v>
      </c>
      <c r="D216" s="25" t="s">
        <v>695</v>
      </c>
      <c r="E216" s="1">
        <v>91041</v>
      </c>
      <c r="F216" s="1"/>
      <c r="G216" s="1">
        <v>168</v>
      </c>
      <c r="H216" s="14"/>
      <c r="I216" s="1"/>
      <c r="J216" s="1"/>
      <c r="K216" s="1">
        <v>1680</v>
      </c>
      <c r="L216" s="1" t="s">
        <v>740</v>
      </c>
      <c r="M216" s="1"/>
      <c r="N216" s="63"/>
      <c r="O216" s="19" t="s">
        <v>477</v>
      </c>
      <c r="P216" s="19">
        <v>1041</v>
      </c>
      <c r="Q216" s="19">
        <v>1041</v>
      </c>
    </row>
    <row r="217" spans="1:17" ht="15.6" x14ac:dyDescent="0.3">
      <c r="A217" s="1">
        <v>1042</v>
      </c>
      <c r="B217" s="36">
        <v>36</v>
      </c>
      <c r="C217" s="1">
        <v>910421</v>
      </c>
      <c r="D217" s="25" t="s">
        <v>696</v>
      </c>
      <c r="E217" s="1">
        <v>91042</v>
      </c>
      <c r="F217" s="1"/>
      <c r="G217" s="1">
        <v>168</v>
      </c>
      <c r="H217" s="14"/>
      <c r="I217" s="1"/>
      <c r="J217" s="1"/>
      <c r="K217" s="1">
        <v>1680</v>
      </c>
      <c r="L217" s="1" t="s">
        <v>740</v>
      </c>
      <c r="M217" s="1"/>
      <c r="N217" s="63"/>
      <c r="O217" s="19" t="s">
        <v>477</v>
      </c>
      <c r="P217" s="19">
        <v>1042</v>
      </c>
      <c r="Q217" s="19">
        <v>1042</v>
      </c>
    </row>
    <row r="218" spans="1:17" ht="15.6" x14ac:dyDescent="0.3">
      <c r="A218" s="1">
        <v>1043</v>
      </c>
      <c r="B218" s="36">
        <v>36</v>
      </c>
      <c r="C218" s="1">
        <v>910431</v>
      </c>
      <c r="D218" s="25" t="s">
        <v>711</v>
      </c>
      <c r="E218" s="1">
        <v>91043</v>
      </c>
      <c r="F218" s="1"/>
      <c r="G218" s="1">
        <v>168</v>
      </c>
      <c r="H218" s="14"/>
      <c r="I218" s="1"/>
      <c r="J218" s="1"/>
      <c r="K218" s="1">
        <v>1680</v>
      </c>
      <c r="L218" s="1" t="s">
        <v>740</v>
      </c>
      <c r="M218" s="1"/>
      <c r="N218" s="63"/>
      <c r="O218" s="19" t="s">
        <v>477</v>
      </c>
      <c r="P218" s="19">
        <v>1043</v>
      </c>
      <c r="Q218" s="19">
        <v>1043</v>
      </c>
    </row>
    <row r="219" spans="1:17" s="2" customFormat="1" ht="15.6" x14ac:dyDescent="0.25">
      <c r="A219" s="1">
        <v>2001</v>
      </c>
      <c r="B219" s="35">
        <v>36</v>
      </c>
      <c r="C219" s="35">
        <v>902601</v>
      </c>
      <c r="D219" s="35" t="s">
        <v>476</v>
      </c>
      <c r="E219" s="35">
        <v>8907</v>
      </c>
      <c r="F219" s="1"/>
      <c r="G219" s="35">
        <v>168</v>
      </c>
      <c r="H219" s="35">
        <v>24</v>
      </c>
      <c r="I219" s="1"/>
      <c r="J219" s="1"/>
      <c r="K219" s="35">
        <v>1680</v>
      </c>
      <c r="L219" s="1" t="s">
        <v>740</v>
      </c>
      <c r="M219" s="1"/>
      <c r="N219" s="1"/>
      <c r="O219" s="41" t="s">
        <v>477</v>
      </c>
      <c r="P219" s="41">
        <v>2001</v>
      </c>
      <c r="Q219" s="41">
        <v>2001</v>
      </c>
    </row>
    <row r="220" spans="1:17" s="2" customFormat="1" ht="15.6" x14ac:dyDescent="0.25">
      <c r="A220" s="1">
        <v>2002</v>
      </c>
      <c r="B220" s="35">
        <v>36</v>
      </c>
      <c r="C220" s="35">
        <v>902603</v>
      </c>
      <c r="D220" s="35" t="s">
        <v>478</v>
      </c>
      <c r="E220" s="35">
        <v>8908</v>
      </c>
      <c r="F220" s="1"/>
      <c r="G220" s="35">
        <v>78</v>
      </c>
      <c r="H220" s="35">
        <v>11.14</v>
      </c>
      <c r="I220" s="1"/>
      <c r="J220" s="1"/>
      <c r="K220" s="35">
        <v>780</v>
      </c>
      <c r="L220" s="1" t="s">
        <v>741</v>
      </c>
      <c r="M220" s="1"/>
      <c r="N220" s="1"/>
      <c r="O220" s="41" t="s">
        <v>479</v>
      </c>
      <c r="P220" s="41">
        <v>2002</v>
      </c>
      <c r="Q220" s="41">
        <v>2002</v>
      </c>
    </row>
    <row r="221" spans="1:17" s="2" customFormat="1" ht="15.6" x14ac:dyDescent="0.25">
      <c r="A221" s="1">
        <v>2003</v>
      </c>
      <c r="B221" s="35">
        <v>36</v>
      </c>
      <c r="C221" s="35">
        <v>902604</v>
      </c>
      <c r="D221" s="35" t="s">
        <v>480</v>
      </c>
      <c r="E221" s="35">
        <v>8909</v>
      </c>
      <c r="F221" s="1"/>
      <c r="G221" s="35">
        <v>128</v>
      </c>
      <c r="H221" s="35">
        <v>18.3</v>
      </c>
      <c r="I221" s="1"/>
      <c r="J221" s="1"/>
      <c r="K221" s="35">
        <v>1280</v>
      </c>
      <c r="L221" s="1" t="s">
        <v>729</v>
      </c>
      <c r="M221" s="1"/>
      <c r="N221" s="1"/>
      <c r="O221" s="41" t="s">
        <v>481</v>
      </c>
      <c r="P221" s="41">
        <v>2003</v>
      </c>
      <c r="Q221" s="41">
        <v>2003</v>
      </c>
    </row>
    <row r="222" spans="1:17" s="2" customFormat="1" ht="15.6" x14ac:dyDescent="0.25">
      <c r="A222" s="1">
        <v>2004</v>
      </c>
      <c r="B222" s="35">
        <v>36</v>
      </c>
      <c r="C222" s="35">
        <v>902605</v>
      </c>
      <c r="D222" s="35" t="s">
        <v>482</v>
      </c>
      <c r="E222" s="35">
        <v>8910</v>
      </c>
      <c r="F222" s="1"/>
      <c r="G222" s="35">
        <v>168</v>
      </c>
      <c r="H222" s="35">
        <v>24</v>
      </c>
      <c r="I222" s="1"/>
      <c r="J222" s="1"/>
      <c r="K222" s="35">
        <v>1680</v>
      </c>
      <c r="L222" s="1" t="s">
        <v>740</v>
      </c>
      <c r="M222" s="1"/>
      <c r="N222" s="1"/>
      <c r="O222" s="41" t="s">
        <v>483</v>
      </c>
      <c r="P222" s="41">
        <v>2004</v>
      </c>
      <c r="Q222" s="41">
        <v>2004</v>
      </c>
    </row>
    <row r="223" spans="1:17" ht="15.6" x14ac:dyDescent="0.25">
      <c r="A223" s="1">
        <v>2005</v>
      </c>
      <c r="B223" s="35">
        <v>36</v>
      </c>
      <c r="C223" s="35">
        <v>902606</v>
      </c>
      <c r="D223" s="35" t="s">
        <v>484</v>
      </c>
      <c r="E223" s="1"/>
      <c r="F223" s="1"/>
      <c r="G223" s="35">
        <v>78</v>
      </c>
      <c r="H223" s="35">
        <v>11.14</v>
      </c>
      <c r="I223" s="1"/>
      <c r="J223" s="1"/>
      <c r="K223" s="35">
        <v>780</v>
      </c>
      <c r="L223" s="1" t="s">
        <v>741</v>
      </c>
      <c r="M223" s="1"/>
      <c r="N223" s="1"/>
      <c r="O223" s="41" t="s">
        <v>485</v>
      </c>
      <c r="P223" s="41">
        <v>2005</v>
      </c>
      <c r="Q223" s="41">
        <v>2005</v>
      </c>
    </row>
    <row r="224" spans="1:17" ht="15.6" x14ac:dyDescent="0.25">
      <c r="A224" s="1">
        <v>2006</v>
      </c>
      <c r="B224" s="35">
        <v>36</v>
      </c>
      <c r="C224" s="35">
        <v>902607</v>
      </c>
      <c r="D224" s="35" t="s">
        <v>486</v>
      </c>
      <c r="E224" s="1"/>
      <c r="F224" s="1"/>
      <c r="G224" s="35">
        <v>78</v>
      </c>
      <c r="H224" s="35">
        <v>11.14</v>
      </c>
      <c r="I224" s="1"/>
      <c r="J224" s="1"/>
      <c r="K224" s="35">
        <v>780</v>
      </c>
      <c r="L224" s="1" t="s">
        <v>741</v>
      </c>
      <c r="M224" s="1"/>
      <c r="N224" s="1"/>
      <c r="O224" s="41" t="s">
        <v>487</v>
      </c>
      <c r="P224" s="41">
        <v>2006</v>
      </c>
      <c r="Q224" s="41">
        <v>2006</v>
      </c>
    </row>
    <row r="225" spans="1:17" ht="15.6" x14ac:dyDescent="0.25">
      <c r="A225" s="1">
        <v>2007</v>
      </c>
      <c r="B225" s="35">
        <v>36</v>
      </c>
      <c r="C225" s="35">
        <v>902608</v>
      </c>
      <c r="D225" s="35" t="s">
        <v>488</v>
      </c>
      <c r="E225" s="1"/>
      <c r="F225" s="1"/>
      <c r="G225" s="35">
        <v>78</v>
      </c>
      <c r="H225" s="35">
        <v>11.14</v>
      </c>
      <c r="I225" s="1"/>
      <c r="J225" s="1"/>
      <c r="K225" s="35">
        <v>780</v>
      </c>
      <c r="L225" s="1" t="s">
        <v>741</v>
      </c>
      <c r="M225" s="1"/>
      <c r="N225" s="1"/>
      <c r="O225" s="24" t="s">
        <v>489</v>
      </c>
      <c r="P225" s="24">
        <v>2007</v>
      </c>
      <c r="Q225" s="24">
        <v>2007</v>
      </c>
    </row>
    <row r="226" spans="1:17" ht="15.6" x14ac:dyDescent="0.25">
      <c r="A226" s="1">
        <v>2008</v>
      </c>
      <c r="B226" s="35">
        <v>36</v>
      </c>
      <c r="C226" s="35">
        <v>902609</v>
      </c>
      <c r="D226" s="35" t="s">
        <v>490</v>
      </c>
      <c r="E226" s="1"/>
      <c r="F226" s="1"/>
      <c r="G226" s="35">
        <v>30</v>
      </c>
      <c r="H226" s="35">
        <v>4.29</v>
      </c>
      <c r="I226" s="1"/>
      <c r="J226" s="1"/>
      <c r="K226" s="35">
        <v>300</v>
      </c>
      <c r="L226" s="1" t="s">
        <v>725</v>
      </c>
      <c r="M226" s="1"/>
      <c r="N226" s="1"/>
      <c r="O226" s="24" t="s">
        <v>491</v>
      </c>
      <c r="P226" s="24">
        <v>2008</v>
      </c>
      <c r="Q226" s="24">
        <v>2008</v>
      </c>
    </row>
    <row r="227" spans="1:17" ht="15.6" x14ac:dyDescent="0.25">
      <c r="A227" s="1">
        <v>2009</v>
      </c>
      <c r="B227" s="35">
        <v>36</v>
      </c>
      <c r="C227" s="35">
        <v>902610</v>
      </c>
      <c r="D227" s="35" t="s">
        <v>492</v>
      </c>
      <c r="E227" s="1"/>
      <c r="F227" s="1"/>
      <c r="G227" s="35">
        <v>108</v>
      </c>
      <c r="H227" s="35">
        <v>15.43</v>
      </c>
      <c r="I227" s="1"/>
      <c r="J227" s="1"/>
      <c r="K227" s="35">
        <v>1080</v>
      </c>
      <c r="L227" s="1" t="s">
        <v>742</v>
      </c>
      <c r="M227" s="1"/>
      <c r="N227" s="1"/>
      <c r="O227" s="24" t="s">
        <v>493</v>
      </c>
      <c r="P227" s="24">
        <v>2009</v>
      </c>
      <c r="Q227" s="24">
        <v>2009</v>
      </c>
    </row>
    <row r="228" spans="1:17" ht="15.6" x14ac:dyDescent="0.25">
      <c r="A228" s="1">
        <v>2010</v>
      </c>
      <c r="B228" s="35">
        <v>36</v>
      </c>
      <c r="C228" s="35">
        <v>902611</v>
      </c>
      <c r="D228" s="35" t="s">
        <v>494</v>
      </c>
      <c r="E228" s="1"/>
      <c r="F228" s="1"/>
      <c r="G228" s="35">
        <v>188</v>
      </c>
      <c r="H228" s="35">
        <v>26.86</v>
      </c>
      <c r="I228" s="1"/>
      <c r="J228" s="1"/>
      <c r="K228" s="35">
        <v>1880</v>
      </c>
      <c r="L228" s="1" t="s">
        <v>743</v>
      </c>
      <c r="M228" s="1"/>
      <c r="N228" s="1"/>
      <c r="O228" s="24" t="s">
        <v>495</v>
      </c>
      <c r="P228" s="24">
        <v>2010</v>
      </c>
      <c r="Q228" s="24">
        <v>2010</v>
      </c>
    </row>
    <row r="229" spans="1:17" ht="15.6" x14ac:dyDescent="0.25">
      <c r="A229" s="1">
        <v>2011</v>
      </c>
      <c r="B229" s="35">
        <v>36</v>
      </c>
      <c r="C229" s="35">
        <v>902612</v>
      </c>
      <c r="D229" s="35" t="s">
        <v>496</v>
      </c>
      <c r="E229" s="1">
        <v>8916</v>
      </c>
      <c r="F229" s="1"/>
      <c r="G229" s="35">
        <v>12</v>
      </c>
      <c r="H229" s="35">
        <v>1.71</v>
      </c>
      <c r="I229" s="1"/>
      <c r="J229" s="1"/>
      <c r="K229" s="1">
        <f>G229*10</f>
        <v>120</v>
      </c>
      <c r="L229" s="1" t="s">
        <v>723</v>
      </c>
      <c r="M229" s="1"/>
      <c r="N229" s="1"/>
      <c r="O229" s="24" t="s">
        <v>471</v>
      </c>
      <c r="P229" s="24">
        <v>2011</v>
      </c>
      <c r="Q229" s="24">
        <v>2011</v>
      </c>
    </row>
    <row r="230" spans="1:17" ht="15.6" x14ac:dyDescent="0.25">
      <c r="A230" s="1">
        <v>2012</v>
      </c>
      <c r="B230" s="35">
        <v>36</v>
      </c>
      <c r="C230" s="35">
        <v>902613</v>
      </c>
      <c r="D230" s="35" t="s">
        <v>497</v>
      </c>
      <c r="E230" s="1">
        <v>8917</v>
      </c>
      <c r="F230" s="1"/>
      <c r="G230" s="35">
        <v>12</v>
      </c>
      <c r="H230" s="35">
        <v>1.71</v>
      </c>
      <c r="I230" s="1"/>
      <c r="J230" s="1"/>
      <c r="K230" s="1">
        <f t="shared" ref="K230:K248" si="1">G230*10</f>
        <v>120</v>
      </c>
      <c r="L230" s="1" t="s">
        <v>723</v>
      </c>
      <c r="M230" s="1"/>
      <c r="N230" s="1"/>
      <c r="O230" s="24" t="s">
        <v>498</v>
      </c>
      <c r="P230" s="24">
        <v>2012</v>
      </c>
      <c r="Q230" s="24">
        <v>2012</v>
      </c>
    </row>
    <row r="231" spans="1:17" ht="15.6" x14ac:dyDescent="0.25">
      <c r="A231" s="1">
        <v>2013</v>
      </c>
      <c r="B231" s="35">
        <v>36</v>
      </c>
      <c r="C231" s="35">
        <v>902614</v>
      </c>
      <c r="D231" s="35" t="s">
        <v>499</v>
      </c>
      <c r="E231" s="1">
        <v>8918</v>
      </c>
      <c r="F231" s="1"/>
      <c r="G231" s="35">
        <v>12</v>
      </c>
      <c r="H231" s="35">
        <v>1.71</v>
      </c>
      <c r="I231" s="1"/>
      <c r="J231" s="1"/>
      <c r="K231" s="1">
        <f t="shared" si="1"/>
        <v>120</v>
      </c>
      <c r="L231" s="1" t="s">
        <v>723</v>
      </c>
      <c r="M231" s="1"/>
      <c r="N231" s="1"/>
      <c r="O231" s="24" t="s">
        <v>500</v>
      </c>
      <c r="P231" s="24">
        <v>2013</v>
      </c>
      <c r="Q231" s="24">
        <v>2013</v>
      </c>
    </row>
    <row r="232" spans="1:17" ht="15.6" x14ac:dyDescent="0.25">
      <c r="A232" s="1">
        <v>2014</v>
      </c>
      <c r="B232" s="35">
        <v>36</v>
      </c>
      <c r="C232" s="35">
        <v>902615</v>
      </c>
      <c r="D232" s="35" t="s">
        <v>501</v>
      </c>
      <c r="E232" s="1">
        <v>8919</v>
      </c>
      <c r="F232" s="1"/>
      <c r="G232" s="35">
        <v>18</v>
      </c>
      <c r="H232" s="35">
        <v>2.57</v>
      </c>
      <c r="I232" s="1"/>
      <c r="J232" s="1"/>
      <c r="K232" s="1">
        <f t="shared" si="1"/>
        <v>180</v>
      </c>
      <c r="L232" s="1" t="s">
        <v>724</v>
      </c>
      <c r="M232" s="1"/>
      <c r="N232" s="1"/>
      <c r="O232" s="24" t="s">
        <v>502</v>
      </c>
      <c r="P232" s="24">
        <v>2014</v>
      </c>
      <c r="Q232" s="24">
        <v>2014</v>
      </c>
    </row>
    <row r="233" spans="1:17" ht="15.6" x14ac:dyDescent="0.25">
      <c r="A233" s="1">
        <v>2015</v>
      </c>
      <c r="B233" s="35">
        <v>36</v>
      </c>
      <c r="C233" s="35">
        <v>902616</v>
      </c>
      <c r="D233" s="35" t="s">
        <v>503</v>
      </c>
      <c r="E233" s="1">
        <v>8920</v>
      </c>
      <c r="F233" s="1"/>
      <c r="G233" s="35">
        <v>18</v>
      </c>
      <c r="H233" s="35">
        <v>2.57</v>
      </c>
      <c r="I233" s="1"/>
      <c r="J233" s="1"/>
      <c r="K233" s="1">
        <f t="shared" si="1"/>
        <v>180</v>
      </c>
      <c r="L233" s="1" t="s">
        <v>724</v>
      </c>
      <c r="M233" s="1"/>
      <c r="N233" s="1"/>
      <c r="O233" s="24" t="s">
        <v>504</v>
      </c>
      <c r="P233" s="24">
        <v>2015</v>
      </c>
      <c r="Q233" s="24">
        <v>2015</v>
      </c>
    </row>
    <row r="234" spans="1:17" ht="15.6" x14ac:dyDescent="0.25">
      <c r="A234" s="1">
        <v>2016</v>
      </c>
      <c r="B234" s="35">
        <v>36</v>
      </c>
      <c r="C234" s="35">
        <v>902617</v>
      </c>
      <c r="D234" s="35" t="s">
        <v>505</v>
      </c>
      <c r="E234" s="1">
        <v>8921</v>
      </c>
      <c r="F234" s="1"/>
      <c r="G234" s="35">
        <v>30</v>
      </c>
      <c r="H234" s="35">
        <v>4.29</v>
      </c>
      <c r="I234" s="1"/>
      <c r="J234" s="1"/>
      <c r="K234" s="1">
        <f t="shared" si="1"/>
        <v>300</v>
      </c>
      <c r="L234" s="1" t="s">
        <v>725</v>
      </c>
      <c r="M234" s="1"/>
      <c r="N234" s="1"/>
      <c r="O234" s="24" t="s">
        <v>506</v>
      </c>
      <c r="P234" s="24">
        <v>2016</v>
      </c>
      <c r="Q234" s="24">
        <v>2016</v>
      </c>
    </row>
    <row r="235" spans="1:17" ht="15.6" x14ac:dyDescent="0.25">
      <c r="A235" s="1">
        <v>2017</v>
      </c>
      <c r="B235" s="35">
        <v>36</v>
      </c>
      <c r="C235" s="35">
        <v>902618</v>
      </c>
      <c r="D235" s="35" t="s">
        <v>507</v>
      </c>
      <c r="E235" s="1">
        <v>8922</v>
      </c>
      <c r="F235" s="1"/>
      <c r="G235" s="35">
        <v>78</v>
      </c>
      <c r="H235" s="35">
        <v>11.14</v>
      </c>
      <c r="I235" s="1"/>
      <c r="J235" s="1"/>
      <c r="K235" s="1">
        <f t="shared" si="1"/>
        <v>780</v>
      </c>
      <c r="L235" s="1" t="s">
        <v>741</v>
      </c>
      <c r="M235" s="1"/>
      <c r="N235" s="1"/>
      <c r="O235" s="24" t="s">
        <v>508</v>
      </c>
      <c r="P235" s="24">
        <v>2017</v>
      </c>
      <c r="Q235" s="24">
        <v>2017</v>
      </c>
    </row>
    <row r="236" spans="1:17" ht="15.6" x14ac:dyDescent="0.25">
      <c r="A236" s="1">
        <v>2018</v>
      </c>
      <c r="B236" s="35">
        <v>36</v>
      </c>
      <c r="C236" s="35">
        <v>902619</v>
      </c>
      <c r="D236" s="35" t="s">
        <v>509</v>
      </c>
      <c r="E236" s="1">
        <v>8923</v>
      </c>
      <c r="F236" s="1"/>
      <c r="G236" s="35">
        <v>25</v>
      </c>
      <c r="H236" s="35">
        <v>3.57</v>
      </c>
      <c r="I236" s="1"/>
      <c r="J236" s="1"/>
      <c r="K236" s="1">
        <f t="shared" si="1"/>
        <v>250</v>
      </c>
      <c r="L236" s="1" t="s">
        <v>735</v>
      </c>
      <c r="M236" s="1"/>
      <c r="N236" s="1"/>
      <c r="O236" s="24" t="s">
        <v>510</v>
      </c>
      <c r="P236" s="24">
        <v>2018</v>
      </c>
      <c r="Q236" s="24">
        <v>2018</v>
      </c>
    </row>
    <row r="237" spans="1:17" ht="15.6" x14ac:dyDescent="0.25">
      <c r="A237" s="1">
        <v>2019</v>
      </c>
      <c r="B237" s="35">
        <v>36</v>
      </c>
      <c r="C237" s="35">
        <v>902620</v>
      </c>
      <c r="D237" s="35" t="s">
        <v>511</v>
      </c>
      <c r="E237" s="1">
        <v>8924</v>
      </c>
      <c r="F237" s="1"/>
      <c r="G237" s="35">
        <v>30</v>
      </c>
      <c r="H237" s="35">
        <v>4.29</v>
      </c>
      <c r="I237" s="1"/>
      <c r="J237" s="1"/>
      <c r="K237" s="1">
        <f t="shared" si="1"/>
        <v>300</v>
      </c>
      <c r="L237" s="1" t="s">
        <v>725</v>
      </c>
      <c r="M237" s="1"/>
      <c r="N237" s="1"/>
      <c r="O237" s="24" t="s">
        <v>512</v>
      </c>
      <c r="P237" s="24">
        <v>2019</v>
      </c>
      <c r="Q237" s="24">
        <v>2019</v>
      </c>
    </row>
    <row r="238" spans="1:17" ht="15.6" x14ac:dyDescent="0.25">
      <c r="A238" s="1">
        <v>2020</v>
      </c>
      <c r="B238" s="35">
        <v>36</v>
      </c>
      <c r="C238" s="35">
        <v>902621</v>
      </c>
      <c r="D238" s="35" t="s">
        <v>513</v>
      </c>
      <c r="E238" s="1">
        <v>8925</v>
      </c>
      <c r="F238" s="1"/>
      <c r="G238" s="35">
        <v>30</v>
      </c>
      <c r="H238" s="35">
        <v>4.29</v>
      </c>
      <c r="I238" s="1"/>
      <c r="J238" s="1"/>
      <c r="K238" s="1">
        <f t="shared" si="1"/>
        <v>300</v>
      </c>
      <c r="L238" s="1" t="s">
        <v>725</v>
      </c>
      <c r="M238" s="1"/>
      <c r="N238" s="1"/>
      <c r="O238" s="24" t="s">
        <v>514</v>
      </c>
      <c r="P238" s="24">
        <v>2020</v>
      </c>
      <c r="Q238" s="24">
        <v>2020</v>
      </c>
    </row>
    <row r="239" spans="1:17" ht="15.6" x14ac:dyDescent="0.25">
      <c r="A239" s="1">
        <v>2021</v>
      </c>
      <c r="B239" s="35">
        <v>36</v>
      </c>
      <c r="C239" s="35">
        <v>902622</v>
      </c>
      <c r="D239" s="35" t="s">
        <v>515</v>
      </c>
      <c r="E239" s="1">
        <v>8926</v>
      </c>
      <c r="F239" s="1"/>
      <c r="G239" s="35">
        <v>30</v>
      </c>
      <c r="H239" s="35">
        <v>4.29</v>
      </c>
      <c r="I239" s="1"/>
      <c r="J239" s="1"/>
      <c r="K239" s="1">
        <f t="shared" si="1"/>
        <v>300</v>
      </c>
      <c r="L239" s="1" t="s">
        <v>725</v>
      </c>
      <c r="M239" s="1"/>
      <c r="N239" s="1"/>
      <c r="O239" s="24" t="s">
        <v>516</v>
      </c>
      <c r="P239" s="24">
        <v>2021</v>
      </c>
      <c r="Q239" s="24">
        <v>2021</v>
      </c>
    </row>
    <row r="240" spans="1:17" ht="15.6" x14ac:dyDescent="0.25">
      <c r="A240" s="1">
        <v>2022</v>
      </c>
      <c r="B240" s="35">
        <v>36</v>
      </c>
      <c r="C240" s="35">
        <v>902623</v>
      </c>
      <c r="D240" s="35" t="s">
        <v>517</v>
      </c>
      <c r="E240" s="1">
        <v>8927</v>
      </c>
      <c r="F240" s="1"/>
      <c r="G240" s="35">
        <v>40</v>
      </c>
      <c r="H240" s="35">
        <v>5.71</v>
      </c>
      <c r="I240" s="1"/>
      <c r="J240" s="1"/>
      <c r="K240" s="1">
        <f t="shared" si="1"/>
        <v>400</v>
      </c>
      <c r="L240" s="1" t="s">
        <v>737</v>
      </c>
      <c r="M240" s="1"/>
      <c r="N240" s="1"/>
      <c r="O240" s="24" t="s">
        <v>518</v>
      </c>
      <c r="P240" s="24">
        <v>2022</v>
      </c>
      <c r="Q240" s="24">
        <v>2022</v>
      </c>
    </row>
    <row r="241" spans="1:17" ht="15.6" x14ac:dyDescent="0.25">
      <c r="A241" s="1">
        <v>2023</v>
      </c>
      <c r="B241" s="35">
        <v>36</v>
      </c>
      <c r="C241" s="35">
        <v>902624</v>
      </c>
      <c r="D241" s="35" t="s">
        <v>519</v>
      </c>
      <c r="E241" s="1">
        <v>8928</v>
      </c>
      <c r="F241" s="1"/>
      <c r="G241" s="35">
        <v>60</v>
      </c>
      <c r="H241" s="35">
        <v>8.57</v>
      </c>
      <c r="I241" s="1"/>
      <c r="J241" s="1"/>
      <c r="K241" s="1">
        <f t="shared" si="1"/>
        <v>600</v>
      </c>
      <c r="L241" s="1" t="s">
        <v>739</v>
      </c>
      <c r="M241" s="1"/>
      <c r="N241" s="1"/>
      <c r="O241" s="24" t="s">
        <v>520</v>
      </c>
      <c r="P241" s="24">
        <v>2023</v>
      </c>
      <c r="Q241" s="24">
        <v>2023</v>
      </c>
    </row>
    <row r="242" spans="1:17" ht="15.6" x14ac:dyDescent="0.25">
      <c r="A242" s="1">
        <v>2024</v>
      </c>
      <c r="B242" s="35">
        <v>36</v>
      </c>
      <c r="C242" s="35">
        <v>902625</v>
      </c>
      <c r="D242" s="35" t="s">
        <v>521</v>
      </c>
      <c r="E242" s="1">
        <v>8929</v>
      </c>
      <c r="F242" s="1"/>
      <c r="G242" s="35">
        <v>188</v>
      </c>
      <c r="H242" s="35">
        <v>26.86</v>
      </c>
      <c r="I242" s="1"/>
      <c r="J242" s="1"/>
      <c r="K242" s="1">
        <f t="shared" si="1"/>
        <v>1880</v>
      </c>
      <c r="L242" s="1" t="s">
        <v>743</v>
      </c>
      <c r="M242" s="1"/>
      <c r="N242" s="1"/>
      <c r="O242" s="24" t="s">
        <v>522</v>
      </c>
      <c r="P242" s="24">
        <v>2024</v>
      </c>
      <c r="Q242" s="24">
        <v>2024</v>
      </c>
    </row>
    <row r="243" spans="1:17" ht="15.6" x14ac:dyDescent="0.25">
      <c r="A243" s="1">
        <v>2025</v>
      </c>
      <c r="B243" s="35">
        <v>36</v>
      </c>
      <c r="C243" s="35">
        <v>902626</v>
      </c>
      <c r="D243" s="35" t="s">
        <v>523</v>
      </c>
      <c r="E243" s="1">
        <v>8930</v>
      </c>
      <c r="F243" s="1"/>
      <c r="G243" s="35">
        <v>60</v>
      </c>
      <c r="H243" s="35">
        <v>8.57</v>
      </c>
      <c r="I243" s="1"/>
      <c r="J243" s="1"/>
      <c r="K243" s="1">
        <f t="shared" si="1"/>
        <v>600</v>
      </c>
      <c r="L243" s="1" t="s">
        <v>739</v>
      </c>
      <c r="M243" s="1"/>
      <c r="N243" s="1"/>
      <c r="O243" s="24" t="s">
        <v>524</v>
      </c>
      <c r="P243" s="24">
        <v>2025</v>
      </c>
      <c r="Q243" s="24">
        <v>2025</v>
      </c>
    </row>
    <row r="244" spans="1:17" ht="15.6" x14ac:dyDescent="0.25">
      <c r="A244" s="1">
        <v>2026</v>
      </c>
      <c r="B244" s="35">
        <v>36</v>
      </c>
      <c r="C244" s="35">
        <v>902627</v>
      </c>
      <c r="D244" s="35" t="s">
        <v>525</v>
      </c>
      <c r="E244" s="1">
        <v>8931</v>
      </c>
      <c r="F244" s="1"/>
      <c r="G244" s="35">
        <v>68</v>
      </c>
      <c r="H244" s="35">
        <v>9.7100000000000009</v>
      </c>
      <c r="I244" s="1"/>
      <c r="J244" s="1"/>
      <c r="K244" s="1">
        <f t="shared" si="1"/>
        <v>680</v>
      </c>
      <c r="L244" s="1" t="s">
        <v>727</v>
      </c>
      <c r="M244" s="1"/>
      <c r="N244" s="1"/>
      <c r="O244" s="24" t="s">
        <v>526</v>
      </c>
      <c r="P244" s="24">
        <v>2026</v>
      </c>
      <c r="Q244" s="24">
        <v>2026</v>
      </c>
    </row>
    <row r="245" spans="1:17" ht="15.6" x14ac:dyDescent="0.25">
      <c r="A245" s="1">
        <v>2027</v>
      </c>
      <c r="B245" s="35">
        <v>36</v>
      </c>
      <c r="C245" s="35">
        <v>902628</v>
      </c>
      <c r="D245" s="35" t="s">
        <v>527</v>
      </c>
      <c r="E245" s="1">
        <v>8932</v>
      </c>
      <c r="F245" s="1"/>
      <c r="G245" s="35">
        <v>73</v>
      </c>
      <c r="H245" s="35">
        <v>10.43</v>
      </c>
      <c r="I245" s="1"/>
      <c r="J245" s="1"/>
      <c r="K245" s="1">
        <f t="shared" si="1"/>
        <v>730</v>
      </c>
      <c r="L245" s="1" t="s">
        <v>744</v>
      </c>
      <c r="M245" s="1"/>
      <c r="N245" s="1"/>
      <c r="O245" s="24" t="s">
        <v>598</v>
      </c>
      <c r="P245" s="24">
        <v>2027</v>
      </c>
      <c r="Q245" s="24">
        <v>2027</v>
      </c>
    </row>
    <row r="246" spans="1:17" ht="15.6" x14ac:dyDescent="0.25">
      <c r="A246" s="1">
        <v>2028</v>
      </c>
      <c r="B246" s="35">
        <v>36</v>
      </c>
      <c r="C246" s="35">
        <v>902629</v>
      </c>
      <c r="D246" s="35" t="s">
        <v>528</v>
      </c>
      <c r="E246" s="1">
        <v>8933</v>
      </c>
      <c r="F246" s="1"/>
      <c r="G246" s="35">
        <v>88</v>
      </c>
      <c r="H246" s="35">
        <v>12.57</v>
      </c>
      <c r="I246" s="1"/>
      <c r="J246" s="1"/>
      <c r="K246" s="1">
        <f t="shared" si="1"/>
        <v>880</v>
      </c>
      <c r="L246" s="1" t="s">
        <v>745</v>
      </c>
      <c r="M246" s="1"/>
      <c r="N246" s="1"/>
      <c r="O246" s="24" t="s">
        <v>581</v>
      </c>
      <c r="P246" s="24">
        <v>2028</v>
      </c>
      <c r="Q246" s="24">
        <v>2028</v>
      </c>
    </row>
    <row r="247" spans="1:17" ht="15.6" x14ac:dyDescent="0.25">
      <c r="A247" s="1">
        <v>2029</v>
      </c>
      <c r="B247" s="35">
        <v>36</v>
      </c>
      <c r="C247" s="35">
        <v>902630</v>
      </c>
      <c r="D247" s="35" t="s">
        <v>529</v>
      </c>
      <c r="E247" s="1">
        <v>8934</v>
      </c>
      <c r="F247" s="1"/>
      <c r="G247" s="35">
        <v>98</v>
      </c>
      <c r="H247" s="35">
        <v>14</v>
      </c>
      <c r="I247" s="1"/>
      <c r="J247" s="1"/>
      <c r="K247" s="1">
        <f t="shared" si="1"/>
        <v>980</v>
      </c>
      <c r="L247" s="1" t="s">
        <v>728</v>
      </c>
      <c r="M247" s="1"/>
      <c r="N247" s="1"/>
      <c r="O247" s="24" t="s">
        <v>530</v>
      </c>
      <c r="P247" s="24">
        <v>2029</v>
      </c>
      <c r="Q247" s="24">
        <v>2029</v>
      </c>
    </row>
    <row r="248" spans="1:17" ht="15.6" x14ac:dyDescent="0.25">
      <c r="A248" s="1">
        <v>2030</v>
      </c>
      <c r="B248" s="35">
        <v>36</v>
      </c>
      <c r="C248" s="35">
        <v>902631</v>
      </c>
      <c r="D248" s="35" t="s">
        <v>531</v>
      </c>
      <c r="E248" s="1">
        <v>8935</v>
      </c>
      <c r="F248" s="1"/>
      <c r="G248" s="35">
        <v>328</v>
      </c>
      <c r="H248" s="35">
        <v>46.86</v>
      </c>
      <c r="I248" s="1"/>
      <c r="J248" s="1"/>
      <c r="K248" s="1">
        <f t="shared" si="1"/>
        <v>3280</v>
      </c>
      <c r="L248" s="1" t="s">
        <v>731</v>
      </c>
      <c r="M248" s="1"/>
      <c r="N248" s="1"/>
      <c r="O248" s="24" t="s">
        <v>532</v>
      </c>
      <c r="P248" s="24">
        <v>2030</v>
      </c>
      <c r="Q248" s="24">
        <v>2030</v>
      </c>
    </row>
    <row r="249" spans="1:17" ht="15.6" x14ac:dyDescent="0.25">
      <c r="A249" s="1">
        <v>2031</v>
      </c>
      <c r="B249" s="35">
        <v>36</v>
      </c>
      <c r="C249" s="35">
        <v>902632</v>
      </c>
      <c r="D249" s="35" t="s">
        <v>533</v>
      </c>
      <c r="E249" s="1">
        <v>8936</v>
      </c>
      <c r="F249" s="1"/>
      <c r="G249" s="35">
        <v>60</v>
      </c>
      <c r="H249" s="35">
        <v>8.57</v>
      </c>
      <c r="I249" s="1"/>
      <c r="J249" s="1"/>
      <c r="K249" s="1">
        <v>600</v>
      </c>
      <c r="L249" s="1" t="s">
        <v>739</v>
      </c>
      <c r="M249" s="1"/>
      <c r="N249" s="1"/>
      <c r="O249" s="24" t="s">
        <v>534</v>
      </c>
      <c r="P249" s="24">
        <v>2031</v>
      </c>
      <c r="Q249" s="24">
        <v>2031</v>
      </c>
    </row>
    <row r="250" spans="1:17" s="3" customFormat="1" ht="15.6" x14ac:dyDescent="0.25">
      <c r="A250" s="3">
        <v>2032</v>
      </c>
      <c r="B250" s="27">
        <v>36</v>
      </c>
      <c r="C250" s="27">
        <v>920321</v>
      </c>
      <c r="D250" s="27" t="s">
        <v>535</v>
      </c>
      <c r="E250" s="3">
        <v>8937</v>
      </c>
      <c r="G250" s="27">
        <v>168</v>
      </c>
      <c r="H250" s="27">
        <v>24</v>
      </c>
      <c r="K250" s="27">
        <v>1680</v>
      </c>
      <c r="L250" t="s">
        <v>740</v>
      </c>
      <c r="O250" s="39" t="s">
        <v>477</v>
      </c>
      <c r="P250" s="39">
        <v>2032</v>
      </c>
      <c r="Q250" s="39">
        <v>2032</v>
      </c>
    </row>
    <row r="251" spans="1:17" s="3" customFormat="1" ht="15.6" x14ac:dyDescent="0.25">
      <c r="A251" s="3">
        <v>2033</v>
      </c>
      <c r="B251" s="27">
        <v>36</v>
      </c>
      <c r="C251" s="27">
        <v>920322</v>
      </c>
      <c r="D251" s="27" t="s">
        <v>536</v>
      </c>
      <c r="E251" s="3">
        <v>8938</v>
      </c>
      <c r="G251" s="27">
        <v>168</v>
      </c>
      <c r="H251" s="27">
        <v>24</v>
      </c>
      <c r="K251" s="27">
        <v>1680</v>
      </c>
      <c r="L251" t="s">
        <v>740</v>
      </c>
      <c r="O251" s="39" t="s">
        <v>477</v>
      </c>
      <c r="P251" s="39">
        <v>2033</v>
      </c>
      <c r="Q251" s="39">
        <v>2033</v>
      </c>
    </row>
    <row r="252" spans="1:17" s="3" customFormat="1" ht="15.6" x14ac:dyDescent="0.25">
      <c r="A252" s="3">
        <v>2034</v>
      </c>
      <c r="B252" s="27">
        <v>36</v>
      </c>
      <c r="C252" s="27">
        <v>920323</v>
      </c>
      <c r="D252" s="27" t="s">
        <v>537</v>
      </c>
      <c r="E252" s="27">
        <v>8939</v>
      </c>
      <c r="G252" s="27">
        <v>168</v>
      </c>
      <c r="H252" s="27">
        <v>24</v>
      </c>
      <c r="K252" s="27">
        <v>1680</v>
      </c>
      <c r="L252" t="s">
        <v>740</v>
      </c>
      <c r="O252" s="39" t="s">
        <v>477</v>
      </c>
      <c r="P252" s="39">
        <v>2034</v>
      </c>
      <c r="Q252" s="39">
        <v>2034</v>
      </c>
    </row>
    <row r="253" spans="1:17" s="3" customFormat="1" ht="15.6" x14ac:dyDescent="0.25">
      <c r="A253" s="3">
        <v>2035</v>
      </c>
      <c r="B253" s="27">
        <v>36</v>
      </c>
      <c r="C253" s="27">
        <v>920324</v>
      </c>
      <c r="D253" s="27" t="s">
        <v>538</v>
      </c>
      <c r="E253" s="3">
        <v>8940</v>
      </c>
      <c r="G253" s="27">
        <v>168</v>
      </c>
      <c r="H253" s="27">
        <v>24</v>
      </c>
      <c r="K253" s="27">
        <v>1680</v>
      </c>
      <c r="L253" t="s">
        <v>740</v>
      </c>
      <c r="O253" s="39" t="s">
        <v>477</v>
      </c>
      <c r="P253" s="39">
        <v>2035</v>
      </c>
      <c r="Q253" s="39">
        <v>2035</v>
      </c>
    </row>
    <row r="254" spans="1:17" s="3" customFormat="1" ht="15.6" x14ac:dyDescent="0.25">
      <c r="A254" s="3">
        <v>2036</v>
      </c>
      <c r="B254" s="27">
        <v>36</v>
      </c>
      <c r="C254" s="27">
        <v>920325</v>
      </c>
      <c r="D254" s="31" t="s">
        <v>539</v>
      </c>
      <c r="E254" s="3">
        <v>8944</v>
      </c>
      <c r="G254" s="27">
        <v>168</v>
      </c>
      <c r="H254" s="27">
        <v>24</v>
      </c>
      <c r="K254" s="27">
        <v>1680</v>
      </c>
      <c r="L254" t="s">
        <v>740</v>
      </c>
      <c r="O254" s="39" t="s">
        <v>477</v>
      </c>
      <c r="P254" s="39">
        <v>2036</v>
      </c>
      <c r="Q254" s="39">
        <v>2036</v>
      </c>
    </row>
    <row r="255" spans="1:17" s="4" customFormat="1" ht="15.6" x14ac:dyDescent="0.3">
      <c r="A255" s="3">
        <v>2037</v>
      </c>
      <c r="B255" s="27">
        <v>36</v>
      </c>
      <c r="C255" s="27">
        <v>920326</v>
      </c>
      <c r="D255" s="27" t="s">
        <v>540</v>
      </c>
      <c r="E255" s="9">
        <v>8941</v>
      </c>
      <c r="F255" s="3"/>
      <c r="G255" s="27">
        <v>78</v>
      </c>
      <c r="H255" s="27">
        <v>11.14</v>
      </c>
      <c r="I255" s="3"/>
      <c r="J255" s="3"/>
      <c r="K255" s="27">
        <v>780</v>
      </c>
      <c r="L255" t="s">
        <v>741</v>
      </c>
      <c r="O255" s="40" t="s">
        <v>479</v>
      </c>
      <c r="P255" s="40">
        <v>2037</v>
      </c>
      <c r="Q255" s="40">
        <v>2037</v>
      </c>
    </row>
    <row r="256" spans="1:17" s="3" customFormat="1" ht="15.6" x14ac:dyDescent="0.3">
      <c r="A256" s="3">
        <v>2038</v>
      </c>
      <c r="B256" s="27">
        <v>36</v>
      </c>
      <c r="C256" s="27">
        <v>920327</v>
      </c>
      <c r="D256" s="27" t="s">
        <v>541</v>
      </c>
      <c r="E256" s="9">
        <v>8942</v>
      </c>
      <c r="G256" s="27">
        <v>128</v>
      </c>
      <c r="H256" s="27">
        <v>18.3</v>
      </c>
      <c r="K256" s="27">
        <v>1280</v>
      </c>
      <c r="L256" t="s">
        <v>729</v>
      </c>
      <c r="O256" s="39" t="s">
        <v>481</v>
      </c>
      <c r="P256" s="39">
        <v>2038</v>
      </c>
      <c r="Q256" s="39">
        <v>2038</v>
      </c>
    </row>
    <row r="257" spans="1:17" s="3" customFormat="1" ht="15.6" x14ac:dyDescent="0.3">
      <c r="A257" s="3">
        <v>2039</v>
      </c>
      <c r="B257" s="27">
        <v>36</v>
      </c>
      <c r="C257" s="27">
        <v>920328</v>
      </c>
      <c r="D257" s="27" t="s">
        <v>542</v>
      </c>
      <c r="E257" s="9">
        <v>8943</v>
      </c>
      <c r="G257" s="27">
        <v>168</v>
      </c>
      <c r="H257" s="27">
        <v>24</v>
      </c>
      <c r="K257" s="27">
        <v>1680</v>
      </c>
      <c r="L257" t="s">
        <v>740</v>
      </c>
      <c r="O257" s="39" t="s">
        <v>477</v>
      </c>
      <c r="P257" s="39">
        <v>2039</v>
      </c>
      <c r="Q257" s="39">
        <v>2039</v>
      </c>
    </row>
    <row r="258" spans="1:17" s="3" customFormat="1" ht="15.6" x14ac:dyDescent="0.25">
      <c r="A258" s="3">
        <v>2040</v>
      </c>
      <c r="B258" s="27">
        <v>36</v>
      </c>
      <c r="C258" s="27">
        <v>920329</v>
      </c>
      <c r="D258" s="31" t="s">
        <v>543</v>
      </c>
      <c r="E258" s="3">
        <v>8945</v>
      </c>
      <c r="G258" s="27">
        <v>168</v>
      </c>
      <c r="H258" s="27">
        <v>24</v>
      </c>
      <c r="K258" s="27">
        <v>1680</v>
      </c>
      <c r="L258" t="s">
        <v>740</v>
      </c>
      <c r="O258" s="39" t="s">
        <v>432</v>
      </c>
      <c r="P258" s="39">
        <v>2040</v>
      </c>
      <c r="Q258" s="39">
        <v>2040</v>
      </c>
    </row>
    <row r="259" spans="1:17" s="3" customFormat="1" ht="15.6" x14ac:dyDescent="0.3">
      <c r="A259" s="3">
        <v>2041</v>
      </c>
      <c r="B259" s="27">
        <v>36</v>
      </c>
      <c r="C259" s="27">
        <v>920330</v>
      </c>
      <c r="D259" s="27" t="s">
        <v>544</v>
      </c>
      <c r="E259" s="9">
        <v>8946</v>
      </c>
      <c r="G259" s="27">
        <v>188</v>
      </c>
      <c r="H259" s="3">
        <v>26.86</v>
      </c>
      <c r="K259" s="3">
        <f t="shared" ref="K259" si="2">G259*10</f>
        <v>1880</v>
      </c>
      <c r="L259" t="s">
        <v>743</v>
      </c>
      <c r="O259" s="39" t="s">
        <v>432</v>
      </c>
      <c r="P259" s="39">
        <v>2041</v>
      </c>
      <c r="Q259" s="39">
        <v>2041</v>
      </c>
    </row>
    <row r="260" spans="1:17" s="3" customFormat="1" ht="15.6" x14ac:dyDescent="0.25">
      <c r="A260" s="3">
        <v>2042</v>
      </c>
      <c r="B260" s="27">
        <v>36</v>
      </c>
      <c r="C260" s="27">
        <v>920331</v>
      </c>
      <c r="D260" s="27" t="s">
        <v>545</v>
      </c>
      <c r="E260" s="3">
        <v>8947</v>
      </c>
      <c r="G260" s="27">
        <v>118</v>
      </c>
      <c r="H260" s="3">
        <v>16.86</v>
      </c>
      <c r="K260" s="27">
        <v>1180</v>
      </c>
      <c r="L260" t="s">
        <v>746</v>
      </c>
      <c r="O260" s="39" t="s">
        <v>479</v>
      </c>
      <c r="P260" s="39">
        <v>2042</v>
      </c>
      <c r="Q260" s="39">
        <v>2042</v>
      </c>
    </row>
    <row r="261" spans="1:17" s="3" customFormat="1" ht="15.6" x14ac:dyDescent="0.3">
      <c r="A261" s="3">
        <v>2043</v>
      </c>
      <c r="B261" s="27">
        <v>36</v>
      </c>
      <c r="C261" s="27">
        <v>920332</v>
      </c>
      <c r="D261" s="27" t="s">
        <v>546</v>
      </c>
      <c r="E261" s="9">
        <v>8948</v>
      </c>
      <c r="G261" s="27">
        <v>158</v>
      </c>
      <c r="H261" s="3">
        <v>22.57</v>
      </c>
      <c r="K261" s="27">
        <v>1580</v>
      </c>
      <c r="L261" t="s">
        <v>747</v>
      </c>
      <c r="O261" s="39" t="s">
        <v>481</v>
      </c>
      <c r="P261" s="39">
        <v>2043</v>
      </c>
      <c r="Q261" s="39">
        <v>2043</v>
      </c>
    </row>
    <row r="262" spans="1:17" s="3" customFormat="1" ht="15.6" x14ac:dyDescent="0.25">
      <c r="A262" s="3">
        <v>2044</v>
      </c>
      <c r="B262" s="27">
        <v>36</v>
      </c>
      <c r="C262" s="27">
        <v>920333</v>
      </c>
      <c r="D262" s="27" t="s">
        <v>547</v>
      </c>
      <c r="E262" s="3">
        <v>8949</v>
      </c>
      <c r="G262" s="27">
        <v>198</v>
      </c>
      <c r="H262" s="3">
        <v>28.29</v>
      </c>
      <c r="K262" s="27">
        <v>1980</v>
      </c>
      <c r="L262" t="s">
        <v>730</v>
      </c>
      <c r="O262" s="39" t="s">
        <v>483</v>
      </c>
      <c r="P262" s="39">
        <v>2044</v>
      </c>
      <c r="Q262" s="39">
        <v>2044</v>
      </c>
    </row>
    <row r="263" spans="1:17" s="3" customFormat="1" ht="15.6" x14ac:dyDescent="0.3">
      <c r="A263" s="3">
        <v>2045</v>
      </c>
      <c r="B263" s="27">
        <v>36</v>
      </c>
      <c r="C263" s="27">
        <v>920334</v>
      </c>
      <c r="D263" s="27" t="s">
        <v>548</v>
      </c>
      <c r="E263" s="9">
        <v>8950</v>
      </c>
      <c r="G263" s="27">
        <v>168</v>
      </c>
      <c r="H263" s="27">
        <v>24</v>
      </c>
      <c r="K263" s="27">
        <v>1680</v>
      </c>
      <c r="L263" t="s">
        <v>740</v>
      </c>
      <c r="O263" s="39" t="s">
        <v>432</v>
      </c>
      <c r="P263" s="39">
        <v>2045</v>
      </c>
      <c r="Q263" s="39">
        <v>2045</v>
      </c>
    </row>
    <row r="264" spans="1:17" s="3" customFormat="1" ht="15.6" x14ac:dyDescent="0.3">
      <c r="A264" s="3">
        <v>2046</v>
      </c>
      <c r="B264" s="27">
        <v>36</v>
      </c>
      <c r="C264" s="27">
        <v>920335</v>
      </c>
      <c r="D264" s="27" t="s">
        <v>549</v>
      </c>
      <c r="E264" s="9">
        <v>8951</v>
      </c>
      <c r="G264" s="27">
        <v>118</v>
      </c>
      <c r="H264" s="3">
        <v>16.86</v>
      </c>
      <c r="K264" s="27">
        <v>1180</v>
      </c>
      <c r="L264" t="s">
        <v>746</v>
      </c>
      <c r="O264" s="39" t="s">
        <v>479</v>
      </c>
      <c r="P264" s="39">
        <v>2046</v>
      </c>
      <c r="Q264" s="39">
        <v>2046</v>
      </c>
    </row>
    <row r="265" spans="1:17" s="3" customFormat="1" ht="15.6" x14ac:dyDescent="0.25">
      <c r="A265" s="3">
        <v>2047</v>
      </c>
      <c r="B265" s="27">
        <v>36</v>
      </c>
      <c r="C265" s="27">
        <v>920336</v>
      </c>
      <c r="D265" s="27" t="s">
        <v>550</v>
      </c>
      <c r="E265" s="3">
        <v>8952</v>
      </c>
      <c r="G265" s="27">
        <v>158</v>
      </c>
      <c r="H265" s="3">
        <v>22.57</v>
      </c>
      <c r="K265" s="27">
        <v>1580</v>
      </c>
      <c r="L265" t="s">
        <v>747</v>
      </c>
      <c r="O265" s="39" t="s">
        <v>481</v>
      </c>
      <c r="P265" s="39">
        <v>2047</v>
      </c>
      <c r="Q265" s="39">
        <v>2047</v>
      </c>
    </row>
    <row r="266" spans="1:17" s="3" customFormat="1" ht="15.6" x14ac:dyDescent="0.3">
      <c r="A266" s="3">
        <v>2048</v>
      </c>
      <c r="B266" s="27">
        <v>36</v>
      </c>
      <c r="C266" s="27">
        <v>920337</v>
      </c>
      <c r="D266" s="27" t="s">
        <v>551</v>
      </c>
      <c r="E266" s="9">
        <v>8953</v>
      </c>
      <c r="G266" s="27">
        <v>198</v>
      </c>
      <c r="H266" s="3">
        <v>28.29</v>
      </c>
      <c r="K266" s="27">
        <v>1980</v>
      </c>
      <c r="L266" t="s">
        <v>730</v>
      </c>
      <c r="O266" s="39" t="s">
        <v>483</v>
      </c>
      <c r="P266" s="39">
        <v>2048</v>
      </c>
      <c r="Q266" s="39">
        <v>2048</v>
      </c>
    </row>
    <row r="267" spans="1:17" s="3" customFormat="1" ht="15.6" x14ac:dyDescent="0.3">
      <c r="A267" s="3">
        <v>2049</v>
      </c>
      <c r="B267" s="27">
        <v>36</v>
      </c>
      <c r="C267" s="27">
        <v>920338</v>
      </c>
      <c r="D267" s="27" t="s">
        <v>552</v>
      </c>
      <c r="E267" s="9">
        <v>8954</v>
      </c>
      <c r="G267" s="27">
        <v>168</v>
      </c>
      <c r="H267" s="27">
        <v>24</v>
      </c>
      <c r="K267" s="27">
        <v>1680</v>
      </c>
      <c r="L267" t="s">
        <v>740</v>
      </c>
      <c r="O267" s="39" t="s">
        <v>432</v>
      </c>
      <c r="P267" s="39">
        <v>2049</v>
      </c>
      <c r="Q267" s="39">
        <v>2049</v>
      </c>
    </row>
    <row r="268" spans="1:17" s="3" customFormat="1" ht="15.6" x14ac:dyDescent="0.3">
      <c r="A268" s="3">
        <v>2050</v>
      </c>
      <c r="B268" s="27">
        <v>36</v>
      </c>
      <c r="C268" s="27">
        <v>920339</v>
      </c>
      <c r="D268" s="27" t="s">
        <v>553</v>
      </c>
      <c r="E268" s="9">
        <v>8955</v>
      </c>
      <c r="G268" s="27">
        <v>60</v>
      </c>
      <c r="H268" s="27">
        <v>8.57</v>
      </c>
      <c r="K268" s="3">
        <v>600</v>
      </c>
      <c r="L268" t="s">
        <v>739</v>
      </c>
      <c r="O268" s="57" t="s">
        <v>602</v>
      </c>
      <c r="P268" s="57">
        <v>2050</v>
      </c>
      <c r="Q268" s="57">
        <v>2050</v>
      </c>
    </row>
    <row r="269" spans="1:17" s="3" customFormat="1" ht="15.6" x14ac:dyDescent="0.3">
      <c r="A269" s="3">
        <v>2051</v>
      </c>
      <c r="B269" s="27">
        <v>36</v>
      </c>
      <c r="C269" s="27">
        <v>920340</v>
      </c>
      <c r="D269" s="27" t="s">
        <v>554</v>
      </c>
      <c r="E269" s="9">
        <v>8956</v>
      </c>
      <c r="G269" s="27">
        <v>78</v>
      </c>
      <c r="H269" s="27">
        <v>11.14</v>
      </c>
      <c r="K269" s="27">
        <v>1180</v>
      </c>
      <c r="L269" t="s">
        <v>741</v>
      </c>
      <c r="O269" s="39" t="s">
        <v>479</v>
      </c>
      <c r="P269" s="39">
        <v>2051</v>
      </c>
      <c r="Q269" s="39">
        <v>2051</v>
      </c>
    </row>
    <row r="270" spans="1:17" s="3" customFormat="1" ht="15.6" x14ac:dyDescent="0.3">
      <c r="A270" s="3">
        <v>2052</v>
      </c>
      <c r="B270" s="27">
        <v>36</v>
      </c>
      <c r="C270" s="27">
        <v>920341</v>
      </c>
      <c r="D270" s="27" t="s">
        <v>555</v>
      </c>
      <c r="E270" s="9">
        <v>8957</v>
      </c>
      <c r="G270" s="27">
        <v>128</v>
      </c>
      <c r="H270" s="27">
        <v>18.3</v>
      </c>
      <c r="K270" s="27">
        <v>1580</v>
      </c>
      <c r="L270" t="s">
        <v>729</v>
      </c>
      <c r="O270" s="39" t="s">
        <v>481</v>
      </c>
      <c r="P270" s="39">
        <v>2052</v>
      </c>
      <c r="Q270" s="39">
        <v>2052</v>
      </c>
    </row>
    <row r="271" spans="1:17" s="3" customFormat="1" ht="15.6" x14ac:dyDescent="0.3">
      <c r="A271" s="3">
        <v>2053</v>
      </c>
      <c r="B271" s="27">
        <v>36</v>
      </c>
      <c r="C271" s="27">
        <v>920342</v>
      </c>
      <c r="D271" s="27" t="s">
        <v>556</v>
      </c>
      <c r="E271" s="9">
        <v>8958</v>
      </c>
      <c r="G271" s="27">
        <v>168</v>
      </c>
      <c r="H271" s="27">
        <v>24</v>
      </c>
      <c r="K271" s="27">
        <v>1980</v>
      </c>
      <c r="L271" t="s">
        <v>740</v>
      </c>
      <c r="O271" s="39" t="s">
        <v>483</v>
      </c>
      <c r="P271" s="39">
        <v>2053</v>
      </c>
      <c r="Q271" s="39">
        <v>2053</v>
      </c>
    </row>
    <row r="272" spans="1:17" s="3" customFormat="1" ht="15.6" x14ac:dyDescent="0.3">
      <c r="A272" s="3">
        <v>2054</v>
      </c>
      <c r="B272" s="27">
        <v>36</v>
      </c>
      <c r="C272" s="27">
        <v>920343</v>
      </c>
      <c r="D272" s="27" t="s">
        <v>549</v>
      </c>
      <c r="E272" s="9">
        <v>8951</v>
      </c>
      <c r="G272" s="27">
        <v>78</v>
      </c>
      <c r="H272" s="27">
        <v>11.14</v>
      </c>
      <c r="K272" s="27">
        <v>1180</v>
      </c>
      <c r="L272" t="s">
        <v>741</v>
      </c>
      <c r="O272" s="39" t="s">
        <v>479</v>
      </c>
      <c r="P272" s="39">
        <v>2054</v>
      </c>
      <c r="Q272" s="39">
        <v>2054</v>
      </c>
    </row>
    <row r="273" spans="1:17" s="3" customFormat="1" ht="15.6" x14ac:dyDescent="0.25">
      <c r="A273" s="3">
        <v>2055</v>
      </c>
      <c r="B273" s="27">
        <v>36</v>
      </c>
      <c r="C273" s="27">
        <v>920344</v>
      </c>
      <c r="D273" s="27" t="s">
        <v>550</v>
      </c>
      <c r="E273" s="3">
        <v>8952</v>
      </c>
      <c r="G273" s="27">
        <v>128</v>
      </c>
      <c r="H273" s="27">
        <v>18.3</v>
      </c>
      <c r="K273" s="27">
        <v>1580</v>
      </c>
      <c r="L273" t="s">
        <v>729</v>
      </c>
      <c r="O273" s="39" t="s">
        <v>481</v>
      </c>
      <c r="P273" s="39">
        <v>2055</v>
      </c>
      <c r="Q273" s="39">
        <v>2055</v>
      </c>
    </row>
    <row r="274" spans="1:17" s="3" customFormat="1" ht="15.6" x14ac:dyDescent="0.3">
      <c r="A274" s="3">
        <v>2056</v>
      </c>
      <c r="B274" s="27">
        <v>36</v>
      </c>
      <c r="C274" s="27">
        <v>920345</v>
      </c>
      <c r="D274" s="27" t="s">
        <v>551</v>
      </c>
      <c r="E274" s="9">
        <v>8953</v>
      </c>
      <c r="G274" s="27">
        <v>168</v>
      </c>
      <c r="H274" s="27">
        <v>24</v>
      </c>
      <c r="K274" s="27">
        <v>1980</v>
      </c>
      <c r="L274" t="s">
        <v>740</v>
      </c>
      <c r="O274" s="39" t="s">
        <v>483</v>
      </c>
      <c r="P274" s="39">
        <v>2056</v>
      </c>
      <c r="Q274" s="39">
        <v>2056</v>
      </c>
    </row>
    <row r="275" spans="1:17" s="3" customFormat="1" ht="15.6" x14ac:dyDescent="0.3">
      <c r="A275" s="3">
        <v>2057</v>
      </c>
      <c r="B275" s="27">
        <v>36</v>
      </c>
      <c r="C275" s="27">
        <v>920346</v>
      </c>
      <c r="D275" s="27" t="s">
        <v>557</v>
      </c>
      <c r="E275" s="9">
        <v>8959</v>
      </c>
      <c r="G275" s="27">
        <v>98</v>
      </c>
      <c r="H275" s="27">
        <v>14</v>
      </c>
      <c r="K275" s="27">
        <v>980</v>
      </c>
      <c r="L275" t="s">
        <v>728</v>
      </c>
      <c r="O275" s="39" t="s">
        <v>434</v>
      </c>
      <c r="P275" s="39">
        <v>2057</v>
      </c>
      <c r="Q275" s="39">
        <v>2057</v>
      </c>
    </row>
    <row r="276" spans="1:17" s="1" customFormat="1" ht="15.6" x14ac:dyDescent="0.3">
      <c r="A276" s="1">
        <v>2058</v>
      </c>
      <c r="B276" s="35">
        <v>36</v>
      </c>
      <c r="C276" s="35">
        <v>920347</v>
      </c>
      <c r="D276" s="35" t="s">
        <v>558</v>
      </c>
      <c r="E276" s="36">
        <v>8960</v>
      </c>
      <c r="G276" s="35">
        <v>78</v>
      </c>
      <c r="H276" s="35">
        <v>11.14</v>
      </c>
      <c r="K276" s="35">
        <v>1180</v>
      </c>
      <c r="L276" t="s">
        <v>741</v>
      </c>
      <c r="O276" s="41" t="s">
        <v>479</v>
      </c>
      <c r="P276" s="41">
        <v>2058</v>
      </c>
      <c r="Q276" s="41">
        <v>2058</v>
      </c>
    </row>
    <row r="277" spans="1:17" s="1" customFormat="1" ht="15.6" x14ac:dyDescent="0.3">
      <c r="A277" s="1">
        <v>2059</v>
      </c>
      <c r="B277" s="35">
        <v>36</v>
      </c>
      <c r="C277" s="35">
        <v>920348</v>
      </c>
      <c r="D277" s="35" t="s">
        <v>559</v>
      </c>
      <c r="E277" s="36">
        <v>8961</v>
      </c>
      <c r="G277" s="35">
        <v>128</v>
      </c>
      <c r="H277" s="35">
        <v>18.3</v>
      </c>
      <c r="K277" s="35">
        <v>1580</v>
      </c>
      <c r="L277" t="s">
        <v>729</v>
      </c>
      <c r="O277" s="41" t="s">
        <v>481</v>
      </c>
      <c r="P277" s="41">
        <v>2059</v>
      </c>
      <c r="Q277" s="41">
        <v>2059</v>
      </c>
    </row>
    <row r="278" spans="1:17" s="1" customFormat="1" ht="15.6" x14ac:dyDescent="0.3">
      <c r="A278" s="1">
        <v>2060</v>
      </c>
      <c r="B278" s="35">
        <v>36</v>
      </c>
      <c r="C278" s="35">
        <v>920349</v>
      </c>
      <c r="D278" s="35" t="s">
        <v>560</v>
      </c>
      <c r="E278" s="36">
        <v>8962</v>
      </c>
      <c r="G278" s="35">
        <v>168</v>
      </c>
      <c r="H278" s="35">
        <v>24</v>
      </c>
      <c r="K278" s="35">
        <v>1980</v>
      </c>
      <c r="L278" t="s">
        <v>740</v>
      </c>
      <c r="O278" s="41" t="s">
        <v>483</v>
      </c>
      <c r="P278" s="41">
        <v>2060</v>
      </c>
      <c r="Q278" s="41">
        <v>2060</v>
      </c>
    </row>
    <row r="279" spans="1:17" s="1" customFormat="1" ht="15.6" x14ac:dyDescent="0.3">
      <c r="A279" s="1">
        <v>2061</v>
      </c>
      <c r="B279" s="35">
        <v>36</v>
      </c>
      <c r="C279" s="35">
        <v>920350</v>
      </c>
      <c r="D279" s="35" t="s">
        <v>561</v>
      </c>
      <c r="E279" s="36">
        <v>8963</v>
      </c>
      <c r="G279" s="35">
        <v>98</v>
      </c>
      <c r="H279" s="35">
        <v>14</v>
      </c>
      <c r="K279" s="35">
        <v>980</v>
      </c>
      <c r="L279" t="s">
        <v>728</v>
      </c>
      <c r="O279" s="41" t="s">
        <v>434</v>
      </c>
      <c r="P279" s="41">
        <v>2061</v>
      </c>
      <c r="Q279" s="41">
        <v>2061</v>
      </c>
    </row>
    <row r="280" spans="1:17" s="1" customFormat="1" ht="15.6" x14ac:dyDescent="0.3">
      <c r="A280" s="1">
        <v>2062</v>
      </c>
      <c r="B280" s="35">
        <v>36</v>
      </c>
      <c r="C280" s="35">
        <v>920351</v>
      </c>
      <c r="D280" s="35" t="s">
        <v>562</v>
      </c>
      <c r="E280" s="36">
        <v>8964</v>
      </c>
      <c r="G280" s="35">
        <v>168</v>
      </c>
      <c r="H280" s="35">
        <v>24</v>
      </c>
      <c r="K280" s="35">
        <v>1680</v>
      </c>
      <c r="L280" t="s">
        <v>740</v>
      </c>
      <c r="O280" s="39" t="s">
        <v>432</v>
      </c>
      <c r="P280" s="39">
        <v>2062</v>
      </c>
      <c r="Q280" s="39">
        <v>2062</v>
      </c>
    </row>
    <row r="281" spans="1:17" s="1" customFormat="1" ht="15.6" x14ac:dyDescent="0.3">
      <c r="A281" s="1">
        <v>2063</v>
      </c>
      <c r="B281" s="35">
        <v>36</v>
      </c>
      <c r="C281" s="35">
        <v>920352</v>
      </c>
      <c r="D281" s="35" t="s">
        <v>563</v>
      </c>
      <c r="E281" s="36">
        <v>8965</v>
      </c>
      <c r="G281" s="35">
        <v>78</v>
      </c>
      <c r="H281" s="35">
        <v>11.14</v>
      </c>
      <c r="K281" s="35">
        <v>1180</v>
      </c>
      <c r="L281" t="s">
        <v>741</v>
      </c>
      <c r="O281" s="41" t="s">
        <v>479</v>
      </c>
      <c r="P281" s="41">
        <v>2063</v>
      </c>
      <c r="Q281" s="41">
        <v>2063</v>
      </c>
    </row>
    <row r="282" spans="1:17" s="1" customFormat="1" ht="15.6" x14ac:dyDescent="0.3">
      <c r="A282" s="1">
        <v>2064</v>
      </c>
      <c r="B282" s="35">
        <v>36</v>
      </c>
      <c r="C282" s="1">
        <v>920353</v>
      </c>
      <c r="D282" s="35" t="s">
        <v>564</v>
      </c>
      <c r="E282" s="36">
        <v>8966</v>
      </c>
      <c r="G282" s="35">
        <v>128</v>
      </c>
      <c r="H282" s="35">
        <v>18.3</v>
      </c>
      <c r="K282" s="35">
        <v>1580</v>
      </c>
      <c r="L282" t="s">
        <v>729</v>
      </c>
      <c r="O282" s="41" t="s">
        <v>481</v>
      </c>
      <c r="P282" s="41">
        <v>2064</v>
      </c>
      <c r="Q282" s="41">
        <v>2064</v>
      </c>
    </row>
    <row r="283" spans="1:17" s="1" customFormat="1" ht="15.6" x14ac:dyDescent="0.3">
      <c r="A283" s="1">
        <v>2065</v>
      </c>
      <c r="B283" s="35">
        <v>36</v>
      </c>
      <c r="C283" s="35">
        <v>920354</v>
      </c>
      <c r="D283" s="35" t="s">
        <v>565</v>
      </c>
      <c r="E283" s="36">
        <v>8967</v>
      </c>
      <c r="G283" s="35">
        <v>168</v>
      </c>
      <c r="H283" s="35">
        <v>24</v>
      </c>
      <c r="K283" s="35">
        <v>1980</v>
      </c>
      <c r="L283" t="s">
        <v>740</v>
      </c>
      <c r="O283" s="41" t="s">
        <v>483</v>
      </c>
      <c r="P283" s="41">
        <v>2065</v>
      </c>
      <c r="Q283" s="41">
        <v>2065</v>
      </c>
    </row>
    <row r="284" spans="1:17" s="1" customFormat="1" ht="15.6" x14ac:dyDescent="0.3">
      <c r="A284" s="1">
        <v>2066</v>
      </c>
      <c r="B284" s="35">
        <v>36</v>
      </c>
      <c r="C284" s="35">
        <v>920355</v>
      </c>
      <c r="D284" s="35" t="s">
        <v>566</v>
      </c>
      <c r="E284" s="36">
        <v>8968</v>
      </c>
      <c r="G284" s="35">
        <v>168</v>
      </c>
      <c r="H284" s="35">
        <v>24</v>
      </c>
      <c r="K284" s="35">
        <v>1680</v>
      </c>
      <c r="L284" t="s">
        <v>740</v>
      </c>
      <c r="O284" s="41" t="s">
        <v>477</v>
      </c>
      <c r="P284" s="41">
        <v>2066</v>
      </c>
      <c r="Q284" s="41">
        <v>2066</v>
      </c>
    </row>
    <row r="285" spans="1:17" s="1" customFormat="1" ht="15.6" x14ac:dyDescent="0.3">
      <c r="A285" s="1">
        <v>2077</v>
      </c>
      <c r="B285" s="1">
        <v>36</v>
      </c>
      <c r="C285" s="35">
        <v>920356</v>
      </c>
      <c r="D285" s="1" t="s">
        <v>567</v>
      </c>
      <c r="E285" s="36">
        <v>8969</v>
      </c>
      <c r="G285" s="1">
        <v>168</v>
      </c>
      <c r="H285" s="1">
        <v>24</v>
      </c>
      <c r="K285" s="1">
        <v>1680</v>
      </c>
      <c r="L285" t="s">
        <v>740</v>
      </c>
      <c r="O285" s="1" t="s">
        <v>477</v>
      </c>
      <c r="P285" s="1">
        <v>2077</v>
      </c>
      <c r="Q285" s="1">
        <v>2077</v>
      </c>
    </row>
    <row r="286" spans="1:17" s="1" customFormat="1" ht="15.6" x14ac:dyDescent="0.3">
      <c r="A286" s="1">
        <v>2078</v>
      </c>
      <c r="B286" s="1">
        <v>36</v>
      </c>
      <c r="C286" s="35">
        <v>920357</v>
      </c>
      <c r="D286" s="35" t="s">
        <v>568</v>
      </c>
      <c r="E286" s="36">
        <v>8970</v>
      </c>
      <c r="G286" s="1">
        <v>168</v>
      </c>
      <c r="H286" s="1">
        <v>24</v>
      </c>
      <c r="K286" s="1">
        <v>1680</v>
      </c>
      <c r="L286" t="s">
        <v>740</v>
      </c>
      <c r="O286" s="1" t="s">
        <v>477</v>
      </c>
      <c r="P286" s="1">
        <v>2078</v>
      </c>
      <c r="Q286" s="1">
        <v>2078</v>
      </c>
    </row>
    <row r="287" spans="1:17" s="1" customFormat="1" ht="15.6" x14ac:dyDescent="0.3">
      <c r="A287" s="37">
        <v>2079</v>
      </c>
      <c r="B287" s="1">
        <v>36</v>
      </c>
      <c r="C287" s="35">
        <v>920358</v>
      </c>
      <c r="D287" s="37" t="s">
        <v>569</v>
      </c>
      <c r="E287" s="36">
        <v>8971</v>
      </c>
      <c r="G287" s="35">
        <v>168</v>
      </c>
      <c r="H287" s="35">
        <v>24</v>
      </c>
      <c r="K287" s="35">
        <v>1680</v>
      </c>
      <c r="L287" t="s">
        <v>740</v>
      </c>
      <c r="O287" s="1" t="s">
        <v>477</v>
      </c>
      <c r="P287" s="1">
        <v>2079</v>
      </c>
      <c r="Q287" s="1">
        <v>2079</v>
      </c>
    </row>
    <row r="288" spans="1:17" s="1" customFormat="1" ht="15.6" x14ac:dyDescent="0.3">
      <c r="A288" s="37">
        <v>2080</v>
      </c>
      <c r="B288" s="1">
        <v>36</v>
      </c>
      <c r="C288" s="35">
        <v>920359</v>
      </c>
      <c r="D288" s="37" t="s">
        <v>570</v>
      </c>
      <c r="E288" s="36">
        <v>8972</v>
      </c>
      <c r="G288" s="1">
        <v>168</v>
      </c>
      <c r="H288" s="35">
        <v>24</v>
      </c>
      <c r="K288" s="1">
        <v>1680</v>
      </c>
      <c r="L288" t="s">
        <v>740</v>
      </c>
      <c r="O288" s="1" t="s">
        <v>477</v>
      </c>
      <c r="P288" s="1">
        <v>2080</v>
      </c>
      <c r="Q288" s="1">
        <v>2080</v>
      </c>
    </row>
    <row r="289" spans="1:17" s="1" customFormat="1" ht="15.6" x14ac:dyDescent="0.3">
      <c r="A289" s="37">
        <v>2081</v>
      </c>
      <c r="B289" s="1">
        <v>36</v>
      </c>
      <c r="C289" s="35">
        <v>920360</v>
      </c>
      <c r="D289" s="37" t="s">
        <v>571</v>
      </c>
      <c r="E289" s="36">
        <v>8973</v>
      </c>
      <c r="G289" s="1">
        <v>168</v>
      </c>
      <c r="H289" s="1">
        <v>24</v>
      </c>
      <c r="K289" s="1">
        <v>1680</v>
      </c>
      <c r="L289" t="s">
        <v>740</v>
      </c>
      <c r="O289" s="1" t="s">
        <v>477</v>
      </c>
      <c r="P289" s="1">
        <v>2081</v>
      </c>
      <c r="Q289" s="1">
        <v>2081</v>
      </c>
    </row>
    <row r="290" spans="1:17" s="1" customFormat="1" ht="15.6" x14ac:dyDescent="0.3">
      <c r="A290" s="37">
        <v>2082</v>
      </c>
      <c r="B290" s="1">
        <v>36</v>
      </c>
      <c r="C290" s="35">
        <v>920361</v>
      </c>
      <c r="D290" s="37" t="s">
        <v>572</v>
      </c>
      <c r="E290" s="36">
        <v>8974</v>
      </c>
      <c r="G290" s="35">
        <v>168</v>
      </c>
      <c r="H290" s="1">
        <v>24</v>
      </c>
      <c r="K290" s="35">
        <v>1680</v>
      </c>
      <c r="L290" t="s">
        <v>740</v>
      </c>
      <c r="O290" s="1" t="s">
        <v>477</v>
      </c>
      <c r="P290" s="1">
        <v>2082</v>
      </c>
      <c r="Q290" s="1">
        <v>2082</v>
      </c>
    </row>
    <row r="291" spans="1:17" s="1" customFormat="1" ht="15.6" x14ac:dyDescent="0.3">
      <c r="A291" s="37">
        <v>2083</v>
      </c>
      <c r="B291" s="1">
        <v>36</v>
      </c>
      <c r="C291" s="35">
        <v>920362</v>
      </c>
      <c r="D291" s="37" t="s">
        <v>573</v>
      </c>
      <c r="E291" s="36">
        <v>8975</v>
      </c>
      <c r="G291" s="35">
        <v>98</v>
      </c>
      <c r="H291" s="1">
        <v>14</v>
      </c>
      <c r="K291" s="35">
        <v>980</v>
      </c>
      <c r="L291" t="s">
        <v>728</v>
      </c>
      <c r="O291" s="41" t="s">
        <v>434</v>
      </c>
      <c r="P291" s="41">
        <v>2083</v>
      </c>
      <c r="Q291" s="41">
        <v>2083</v>
      </c>
    </row>
    <row r="292" spans="1:17" s="1" customFormat="1" ht="15.6" x14ac:dyDescent="0.3">
      <c r="A292" s="37">
        <v>2084</v>
      </c>
      <c r="B292" s="1">
        <v>36</v>
      </c>
      <c r="C292" s="35">
        <v>920363</v>
      </c>
      <c r="D292" s="35" t="s">
        <v>574</v>
      </c>
      <c r="E292" s="36">
        <v>8976</v>
      </c>
      <c r="G292" s="35">
        <v>78</v>
      </c>
      <c r="H292" s="35">
        <v>11.14</v>
      </c>
      <c r="K292" s="35">
        <v>780</v>
      </c>
      <c r="L292" t="s">
        <v>741</v>
      </c>
      <c r="O292" s="41" t="s">
        <v>479</v>
      </c>
      <c r="P292" s="41">
        <v>2084</v>
      </c>
      <c r="Q292" s="41">
        <v>2084</v>
      </c>
    </row>
    <row r="293" spans="1:17" s="1" customFormat="1" ht="15.6" x14ac:dyDescent="0.3">
      <c r="A293" s="37">
        <v>2085</v>
      </c>
      <c r="B293" s="1">
        <v>36</v>
      </c>
      <c r="C293" s="35">
        <v>920364</v>
      </c>
      <c r="D293" s="35" t="s">
        <v>575</v>
      </c>
      <c r="E293" s="36">
        <v>8977</v>
      </c>
      <c r="G293" s="35">
        <v>128</v>
      </c>
      <c r="H293" s="35">
        <v>18.3</v>
      </c>
      <c r="K293" s="35">
        <v>1280</v>
      </c>
      <c r="L293" t="s">
        <v>729</v>
      </c>
      <c r="O293" s="41" t="s">
        <v>481</v>
      </c>
      <c r="P293" s="41">
        <v>2085</v>
      </c>
      <c r="Q293" s="41">
        <v>2085</v>
      </c>
    </row>
    <row r="294" spans="1:17" s="1" customFormat="1" ht="15.6" x14ac:dyDescent="0.3">
      <c r="A294" s="37">
        <v>2086</v>
      </c>
      <c r="B294" s="1">
        <v>36</v>
      </c>
      <c r="C294" s="35">
        <v>920365</v>
      </c>
      <c r="D294" s="35" t="s">
        <v>576</v>
      </c>
      <c r="E294" s="36">
        <v>8978</v>
      </c>
      <c r="G294" s="35">
        <v>168</v>
      </c>
      <c r="H294" s="35">
        <v>24</v>
      </c>
      <c r="K294" s="35">
        <v>1680</v>
      </c>
      <c r="L294" t="s">
        <v>740</v>
      </c>
      <c r="O294" s="41" t="s">
        <v>477</v>
      </c>
      <c r="P294" s="41">
        <v>2086</v>
      </c>
      <c r="Q294" s="41">
        <v>2086</v>
      </c>
    </row>
    <row r="295" spans="1:17" s="1" customFormat="1" ht="15.6" x14ac:dyDescent="0.3">
      <c r="A295" s="37">
        <v>2087</v>
      </c>
      <c r="B295" s="1">
        <v>36</v>
      </c>
      <c r="C295" s="35">
        <v>920366</v>
      </c>
      <c r="D295" s="35" t="s">
        <v>577</v>
      </c>
      <c r="E295" s="36">
        <v>8979</v>
      </c>
      <c r="G295" s="35">
        <v>78</v>
      </c>
      <c r="H295" s="35">
        <v>11.14</v>
      </c>
      <c r="K295" s="35">
        <v>780</v>
      </c>
      <c r="L295" t="s">
        <v>741</v>
      </c>
      <c r="O295" s="40" t="s">
        <v>479</v>
      </c>
      <c r="P295" s="40">
        <v>2087</v>
      </c>
      <c r="Q295" s="40">
        <v>2087</v>
      </c>
    </row>
    <row r="296" spans="1:17" s="1" customFormat="1" ht="15.6" x14ac:dyDescent="0.3">
      <c r="A296" s="37">
        <v>2088</v>
      </c>
      <c r="B296" s="1">
        <v>36</v>
      </c>
      <c r="C296" s="35">
        <v>920367</v>
      </c>
      <c r="D296" s="35" t="s">
        <v>578</v>
      </c>
      <c r="E296" s="36">
        <v>8980</v>
      </c>
      <c r="G296" s="35">
        <v>128</v>
      </c>
      <c r="H296" s="35">
        <v>18.3</v>
      </c>
      <c r="K296" s="35">
        <v>1280</v>
      </c>
      <c r="L296" t="s">
        <v>729</v>
      </c>
      <c r="O296" s="39" t="s">
        <v>481</v>
      </c>
      <c r="P296" s="39">
        <v>2088</v>
      </c>
      <c r="Q296" s="39">
        <v>2088</v>
      </c>
    </row>
    <row r="297" spans="1:17" s="1" customFormat="1" ht="15.6" x14ac:dyDescent="0.3">
      <c r="A297" s="37">
        <v>2089</v>
      </c>
      <c r="B297" s="1">
        <v>36</v>
      </c>
      <c r="C297" s="35">
        <v>920368</v>
      </c>
      <c r="D297" s="35" t="s">
        <v>579</v>
      </c>
      <c r="E297" s="36">
        <v>8981</v>
      </c>
      <c r="G297" s="35">
        <v>168</v>
      </c>
      <c r="H297" s="35">
        <v>24</v>
      </c>
      <c r="K297" s="35">
        <v>1680</v>
      </c>
      <c r="L297" t="s">
        <v>740</v>
      </c>
      <c r="O297" s="39" t="s">
        <v>477</v>
      </c>
      <c r="P297" s="39">
        <v>2089</v>
      </c>
      <c r="Q297" s="39">
        <v>2089</v>
      </c>
    </row>
    <row r="298" spans="1:17" s="1" customFormat="1" ht="15.6" x14ac:dyDescent="0.3">
      <c r="A298" s="37">
        <v>2090</v>
      </c>
      <c r="B298" s="1">
        <v>36</v>
      </c>
      <c r="C298" s="35">
        <v>920369</v>
      </c>
      <c r="D298" s="38" t="s">
        <v>580</v>
      </c>
      <c r="E298" s="36">
        <v>8982</v>
      </c>
      <c r="G298" s="35">
        <v>88</v>
      </c>
      <c r="H298" s="35">
        <v>12.57</v>
      </c>
      <c r="K298" s="35">
        <v>880</v>
      </c>
      <c r="L298" t="s">
        <v>745</v>
      </c>
      <c r="O298" s="1" t="s">
        <v>581</v>
      </c>
      <c r="P298" s="1">
        <v>2090</v>
      </c>
      <c r="Q298" s="1">
        <v>2090</v>
      </c>
    </row>
    <row r="299" spans="1:17" s="1" customFormat="1" ht="15.6" x14ac:dyDescent="0.3">
      <c r="A299" s="37">
        <v>2091</v>
      </c>
      <c r="B299" s="1">
        <v>36</v>
      </c>
      <c r="C299" s="35">
        <v>920370</v>
      </c>
      <c r="D299" s="38" t="s">
        <v>582</v>
      </c>
      <c r="E299" s="36">
        <v>8983</v>
      </c>
      <c r="G299" s="35">
        <v>88</v>
      </c>
      <c r="H299" s="35">
        <v>12.57</v>
      </c>
      <c r="K299" s="35">
        <v>880</v>
      </c>
      <c r="L299" t="s">
        <v>745</v>
      </c>
      <c r="O299" s="1" t="s">
        <v>581</v>
      </c>
      <c r="P299" s="1">
        <v>2091</v>
      </c>
      <c r="Q299" s="1">
        <v>2091</v>
      </c>
    </row>
    <row r="300" spans="1:17" s="1" customFormat="1" ht="15.6" x14ac:dyDescent="0.3">
      <c r="A300" s="37">
        <v>2092</v>
      </c>
      <c r="B300" s="1">
        <v>36</v>
      </c>
      <c r="C300" s="35">
        <v>920371</v>
      </c>
      <c r="D300" s="37" t="s">
        <v>583</v>
      </c>
      <c r="E300" s="36">
        <v>8984</v>
      </c>
      <c r="G300" s="35">
        <v>198</v>
      </c>
      <c r="H300" s="35">
        <v>28.29</v>
      </c>
      <c r="K300" s="35">
        <v>1980</v>
      </c>
      <c r="L300" s="3" t="s">
        <v>779</v>
      </c>
      <c r="O300" s="41" t="s">
        <v>483</v>
      </c>
      <c r="P300" s="41">
        <v>2092</v>
      </c>
      <c r="Q300" s="41">
        <v>2092</v>
      </c>
    </row>
    <row r="301" spans="1:17" s="1" customFormat="1" ht="15.6" x14ac:dyDescent="0.3">
      <c r="A301" s="37">
        <v>2093</v>
      </c>
      <c r="B301" s="1">
        <v>36</v>
      </c>
      <c r="C301" s="35">
        <v>920372</v>
      </c>
      <c r="D301" s="37" t="s">
        <v>584</v>
      </c>
      <c r="E301" s="36">
        <v>8985</v>
      </c>
      <c r="G301" s="35">
        <v>168</v>
      </c>
      <c r="H301" s="1">
        <v>24</v>
      </c>
      <c r="K301" s="35">
        <v>1680</v>
      </c>
      <c r="L301" t="s">
        <v>740</v>
      </c>
      <c r="O301" s="1" t="s">
        <v>477</v>
      </c>
      <c r="P301" s="1">
        <v>2093</v>
      </c>
      <c r="Q301" s="1">
        <v>2093</v>
      </c>
    </row>
    <row r="302" spans="1:17" s="1" customFormat="1" ht="15.6" x14ac:dyDescent="0.3">
      <c r="A302" s="37">
        <v>2094</v>
      </c>
      <c r="B302" s="1">
        <v>36</v>
      </c>
      <c r="C302" s="35">
        <v>920373</v>
      </c>
      <c r="D302" s="37" t="s">
        <v>585</v>
      </c>
      <c r="E302" s="36">
        <v>8986</v>
      </c>
      <c r="G302" s="35">
        <v>168</v>
      </c>
      <c r="H302" s="1">
        <v>24</v>
      </c>
      <c r="K302" s="35">
        <v>1680</v>
      </c>
      <c r="L302" t="s">
        <v>740</v>
      </c>
      <c r="O302" s="1" t="s">
        <v>477</v>
      </c>
      <c r="P302" s="1">
        <v>2094</v>
      </c>
      <c r="Q302" s="1">
        <v>2094</v>
      </c>
    </row>
    <row r="303" spans="1:17" s="1" customFormat="1" ht="15.6" x14ac:dyDescent="0.3">
      <c r="A303" s="37">
        <v>2095</v>
      </c>
      <c r="B303" s="1">
        <v>36</v>
      </c>
      <c r="C303" s="35">
        <v>920374</v>
      </c>
      <c r="D303" s="37" t="s">
        <v>586</v>
      </c>
      <c r="E303" s="36">
        <v>8987</v>
      </c>
      <c r="G303" s="35">
        <v>168</v>
      </c>
      <c r="H303" s="1">
        <v>24</v>
      </c>
      <c r="K303" s="35">
        <v>1680</v>
      </c>
      <c r="L303" t="s">
        <v>740</v>
      </c>
      <c r="O303" s="1" t="s">
        <v>477</v>
      </c>
      <c r="P303" s="1">
        <v>2095</v>
      </c>
      <c r="Q303" s="1">
        <v>2095</v>
      </c>
    </row>
    <row r="304" spans="1:17" s="1" customFormat="1" ht="15.6" x14ac:dyDescent="0.3">
      <c r="A304" s="37">
        <v>2096</v>
      </c>
      <c r="B304" s="1">
        <v>36</v>
      </c>
      <c r="C304" s="35">
        <v>920375</v>
      </c>
      <c r="D304" s="37" t="s">
        <v>587</v>
      </c>
      <c r="E304" s="36">
        <v>8988</v>
      </c>
      <c r="G304" s="35">
        <v>168</v>
      </c>
      <c r="H304" s="1">
        <v>24</v>
      </c>
      <c r="K304" s="35">
        <v>1680</v>
      </c>
      <c r="L304" t="s">
        <v>740</v>
      </c>
      <c r="O304" s="1" t="s">
        <v>477</v>
      </c>
      <c r="P304" s="1">
        <v>2096</v>
      </c>
      <c r="Q304" s="1">
        <v>2096</v>
      </c>
    </row>
    <row r="305" spans="1:17" s="1" customFormat="1" ht="15.6" x14ac:dyDescent="0.3">
      <c r="A305" s="37">
        <v>2097</v>
      </c>
      <c r="B305" s="1">
        <v>36</v>
      </c>
      <c r="C305" s="35">
        <v>920376</v>
      </c>
      <c r="D305" s="35" t="s">
        <v>588</v>
      </c>
      <c r="E305" s="36">
        <v>8989</v>
      </c>
      <c r="G305" s="35">
        <v>78</v>
      </c>
      <c r="H305" s="35">
        <v>11.14</v>
      </c>
      <c r="K305" s="35">
        <v>780</v>
      </c>
      <c r="L305" t="s">
        <v>741</v>
      </c>
      <c r="O305" s="41" t="s">
        <v>479</v>
      </c>
      <c r="P305" s="41">
        <v>2097</v>
      </c>
      <c r="Q305" s="41">
        <v>2097</v>
      </c>
    </row>
    <row r="306" spans="1:17" s="1" customFormat="1" ht="15.6" x14ac:dyDescent="0.3">
      <c r="A306" s="37">
        <v>2098</v>
      </c>
      <c r="B306" s="1">
        <v>36</v>
      </c>
      <c r="C306" s="35">
        <v>920377</v>
      </c>
      <c r="D306" s="35" t="s">
        <v>589</v>
      </c>
      <c r="E306" s="36">
        <v>8990</v>
      </c>
      <c r="G306" s="35">
        <v>128</v>
      </c>
      <c r="H306" s="35">
        <v>18.3</v>
      </c>
      <c r="K306" s="35">
        <v>1280</v>
      </c>
      <c r="L306" t="s">
        <v>729</v>
      </c>
      <c r="O306" s="41" t="s">
        <v>481</v>
      </c>
      <c r="P306" s="41">
        <v>2098</v>
      </c>
      <c r="Q306" s="41">
        <v>2098</v>
      </c>
    </row>
    <row r="307" spans="1:17" s="1" customFormat="1" ht="15.6" x14ac:dyDescent="0.3">
      <c r="A307" s="37">
        <v>2099</v>
      </c>
      <c r="B307" s="1">
        <v>36</v>
      </c>
      <c r="C307" s="35">
        <v>920378</v>
      </c>
      <c r="D307" s="35" t="s">
        <v>590</v>
      </c>
      <c r="E307" s="36">
        <v>8991</v>
      </c>
      <c r="G307" s="35">
        <v>168</v>
      </c>
      <c r="H307" s="35">
        <v>24</v>
      </c>
      <c r="K307" s="35">
        <v>1680</v>
      </c>
      <c r="L307" t="s">
        <v>740</v>
      </c>
      <c r="O307" s="41" t="s">
        <v>477</v>
      </c>
      <c r="P307" s="41">
        <v>2099</v>
      </c>
      <c r="Q307" s="41">
        <v>2099</v>
      </c>
    </row>
    <row r="308" spans="1:17" s="1" customFormat="1" ht="15.6" x14ac:dyDescent="0.3">
      <c r="A308" s="37">
        <v>2100</v>
      </c>
      <c r="B308" s="1">
        <v>36</v>
      </c>
      <c r="C308" s="35">
        <v>920379</v>
      </c>
      <c r="D308" s="35" t="s">
        <v>591</v>
      </c>
      <c r="E308" s="36">
        <v>8992</v>
      </c>
      <c r="G308" s="35">
        <v>78</v>
      </c>
      <c r="H308" s="35">
        <v>11.14</v>
      </c>
      <c r="K308" s="35">
        <v>780</v>
      </c>
      <c r="L308" t="s">
        <v>741</v>
      </c>
      <c r="O308" s="41" t="s">
        <v>479</v>
      </c>
      <c r="P308" s="41">
        <v>2100</v>
      </c>
      <c r="Q308" s="41">
        <v>2100</v>
      </c>
    </row>
    <row r="309" spans="1:17" s="1" customFormat="1" ht="15.6" x14ac:dyDescent="0.3">
      <c r="A309" s="37">
        <v>2101</v>
      </c>
      <c r="B309" s="1">
        <v>36</v>
      </c>
      <c r="C309" s="35">
        <v>920380</v>
      </c>
      <c r="D309" s="35" t="s">
        <v>592</v>
      </c>
      <c r="E309" s="36">
        <v>8993</v>
      </c>
      <c r="G309" s="35">
        <v>128</v>
      </c>
      <c r="H309" s="35">
        <v>18.3</v>
      </c>
      <c r="K309" s="35">
        <v>1280</v>
      </c>
      <c r="L309" t="s">
        <v>729</v>
      </c>
      <c r="O309" s="41" t="s">
        <v>481</v>
      </c>
      <c r="P309" s="41">
        <v>2101</v>
      </c>
      <c r="Q309" s="41">
        <v>2101</v>
      </c>
    </row>
    <row r="310" spans="1:17" s="1" customFormat="1" ht="15.6" x14ac:dyDescent="0.3">
      <c r="A310" s="37">
        <v>2102</v>
      </c>
      <c r="B310" s="1">
        <v>36</v>
      </c>
      <c r="C310" s="35">
        <v>920381</v>
      </c>
      <c r="D310" s="35" t="s">
        <v>593</v>
      </c>
      <c r="E310" s="36">
        <v>8994</v>
      </c>
      <c r="G310" s="35">
        <v>168</v>
      </c>
      <c r="H310" s="35">
        <v>24</v>
      </c>
      <c r="K310" s="35">
        <v>1680</v>
      </c>
      <c r="L310" t="s">
        <v>740</v>
      </c>
      <c r="O310" s="41" t="s">
        <v>477</v>
      </c>
      <c r="P310" s="41">
        <v>2102</v>
      </c>
      <c r="Q310" s="41">
        <v>2102</v>
      </c>
    </row>
    <row r="311" spans="1:17" s="1" customFormat="1" ht="15.6" x14ac:dyDescent="0.3">
      <c r="A311" s="37">
        <v>2103</v>
      </c>
      <c r="B311" s="1">
        <v>36</v>
      </c>
      <c r="C311" s="35">
        <v>920382</v>
      </c>
      <c r="D311" s="35" t="s">
        <v>594</v>
      </c>
      <c r="E311" s="36">
        <v>8995</v>
      </c>
      <c r="G311" s="35">
        <v>78</v>
      </c>
      <c r="H311" s="35">
        <v>11.14</v>
      </c>
      <c r="K311" s="35">
        <v>780</v>
      </c>
      <c r="L311" t="s">
        <v>741</v>
      </c>
      <c r="O311" s="41" t="s">
        <v>479</v>
      </c>
      <c r="P311" s="41">
        <v>2103</v>
      </c>
      <c r="Q311" s="41">
        <v>2103</v>
      </c>
    </row>
    <row r="312" spans="1:17" s="1" customFormat="1" ht="15.6" x14ac:dyDescent="0.3">
      <c r="A312" s="37">
        <v>2104</v>
      </c>
      <c r="B312" s="1">
        <v>36</v>
      </c>
      <c r="C312" s="35">
        <v>920383</v>
      </c>
      <c r="D312" s="35" t="s">
        <v>595</v>
      </c>
      <c r="E312" s="36">
        <v>8996</v>
      </c>
      <c r="G312" s="35">
        <v>128</v>
      </c>
      <c r="H312" s="35">
        <v>18.3</v>
      </c>
      <c r="K312" s="35">
        <v>1280</v>
      </c>
      <c r="L312" t="s">
        <v>729</v>
      </c>
      <c r="O312" s="41" t="s">
        <v>481</v>
      </c>
      <c r="P312" s="41">
        <v>2104</v>
      </c>
      <c r="Q312" s="41">
        <v>2104</v>
      </c>
    </row>
    <row r="313" spans="1:17" s="1" customFormat="1" ht="15.6" x14ac:dyDescent="0.3">
      <c r="A313" s="37">
        <v>2105</v>
      </c>
      <c r="B313" s="1">
        <v>36</v>
      </c>
      <c r="C313" s="35">
        <v>920384</v>
      </c>
      <c r="D313" s="35" t="s">
        <v>596</v>
      </c>
      <c r="E313" s="36">
        <v>8997</v>
      </c>
      <c r="G313" s="35">
        <v>168</v>
      </c>
      <c r="H313" s="35">
        <v>24</v>
      </c>
      <c r="K313" s="35">
        <v>1680</v>
      </c>
      <c r="L313" t="s">
        <v>740</v>
      </c>
      <c r="O313" s="41" t="s">
        <v>477</v>
      </c>
      <c r="P313" s="41">
        <v>2105</v>
      </c>
      <c r="Q313" s="41">
        <v>2105</v>
      </c>
    </row>
    <row r="314" spans="1:17" s="1" customFormat="1" ht="15.6" x14ac:dyDescent="0.3">
      <c r="A314" s="37">
        <v>2106</v>
      </c>
      <c r="B314" s="1">
        <v>36</v>
      </c>
      <c r="C314" s="35">
        <v>920385</v>
      </c>
      <c r="D314" s="38" t="s">
        <v>597</v>
      </c>
      <c r="E314" s="36">
        <v>8998</v>
      </c>
      <c r="G314" s="35">
        <v>88</v>
      </c>
      <c r="H314" s="35">
        <v>12.57</v>
      </c>
      <c r="K314" s="35">
        <v>880</v>
      </c>
      <c r="L314" t="s">
        <v>745</v>
      </c>
      <c r="O314" s="1" t="s">
        <v>581</v>
      </c>
      <c r="P314" s="1">
        <v>2106</v>
      </c>
      <c r="Q314" s="1">
        <v>2106</v>
      </c>
    </row>
    <row r="315" spans="1:17" s="1" customFormat="1" ht="15.6" x14ac:dyDescent="0.3">
      <c r="A315" s="37">
        <v>2107</v>
      </c>
      <c r="B315" s="1">
        <v>36</v>
      </c>
      <c r="C315" s="35">
        <v>921071</v>
      </c>
      <c r="D315" s="37" t="s">
        <v>603</v>
      </c>
      <c r="E315" s="36">
        <v>92107</v>
      </c>
      <c r="G315" s="35">
        <v>168</v>
      </c>
      <c r="H315" s="1">
        <v>24</v>
      </c>
      <c r="K315" s="35">
        <v>1680</v>
      </c>
      <c r="L315" t="s">
        <v>740</v>
      </c>
      <c r="O315" s="1" t="s">
        <v>477</v>
      </c>
      <c r="P315" s="1">
        <v>2107</v>
      </c>
      <c r="Q315" s="1">
        <v>2107</v>
      </c>
    </row>
    <row r="316" spans="1:17" s="1" customFormat="1" ht="15.6" x14ac:dyDescent="0.3">
      <c r="A316" s="37">
        <v>2108</v>
      </c>
      <c r="B316" s="1">
        <v>36</v>
      </c>
      <c r="C316" s="35">
        <v>921081</v>
      </c>
      <c r="D316" s="37" t="s">
        <v>604</v>
      </c>
      <c r="E316" s="36">
        <v>92108</v>
      </c>
      <c r="G316" s="35">
        <v>168</v>
      </c>
      <c r="H316" s="1">
        <v>24</v>
      </c>
      <c r="K316" s="35">
        <v>1680</v>
      </c>
      <c r="L316" t="s">
        <v>740</v>
      </c>
      <c r="O316" s="1" t="s">
        <v>477</v>
      </c>
      <c r="P316" s="1">
        <v>2108</v>
      </c>
      <c r="Q316" s="1">
        <v>2108</v>
      </c>
    </row>
    <row r="317" spans="1:17" s="1" customFormat="1" ht="15.6" x14ac:dyDescent="0.3">
      <c r="A317" s="37">
        <v>2109</v>
      </c>
      <c r="B317" s="1">
        <v>36</v>
      </c>
      <c r="C317" s="35">
        <v>921091</v>
      </c>
      <c r="D317" s="35" t="s">
        <v>605</v>
      </c>
      <c r="E317" s="36">
        <v>92109</v>
      </c>
      <c r="G317" s="35">
        <v>78</v>
      </c>
      <c r="H317" s="35">
        <v>11.14</v>
      </c>
      <c r="K317" s="35">
        <v>780</v>
      </c>
      <c r="L317" t="s">
        <v>741</v>
      </c>
      <c r="O317" s="41" t="s">
        <v>479</v>
      </c>
      <c r="P317" s="41">
        <v>2109</v>
      </c>
      <c r="Q317" s="41">
        <v>2109</v>
      </c>
    </row>
    <row r="318" spans="1:17" s="1" customFormat="1" ht="15.6" x14ac:dyDescent="0.3">
      <c r="A318" s="37">
        <v>2110</v>
      </c>
      <c r="B318" s="1">
        <v>36</v>
      </c>
      <c r="C318" s="35">
        <v>921101</v>
      </c>
      <c r="D318" s="35" t="s">
        <v>606</v>
      </c>
      <c r="E318" s="36">
        <v>92110</v>
      </c>
      <c r="G318" s="35">
        <v>128</v>
      </c>
      <c r="H318" s="35">
        <v>18.3</v>
      </c>
      <c r="K318" s="35">
        <v>1280</v>
      </c>
      <c r="L318" t="s">
        <v>729</v>
      </c>
      <c r="O318" s="41" t="s">
        <v>481</v>
      </c>
      <c r="P318" s="41">
        <v>2110</v>
      </c>
      <c r="Q318" s="41">
        <v>2110</v>
      </c>
    </row>
    <row r="319" spans="1:17" s="1" customFormat="1" ht="15.6" x14ac:dyDescent="0.3">
      <c r="A319" s="37">
        <v>2111</v>
      </c>
      <c r="B319" s="1">
        <v>36</v>
      </c>
      <c r="C319" s="35">
        <v>921111</v>
      </c>
      <c r="D319" s="35" t="s">
        <v>607</v>
      </c>
      <c r="E319" s="36">
        <v>92111</v>
      </c>
      <c r="G319" s="35">
        <v>168</v>
      </c>
      <c r="H319" s="35">
        <v>24</v>
      </c>
      <c r="K319" s="35">
        <v>1680</v>
      </c>
      <c r="L319" t="s">
        <v>740</v>
      </c>
      <c r="O319" s="41" t="s">
        <v>477</v>
      </c>
      <c r="P319" s="41">
        <v>2111</v>
      </c>
      <c r="Q319" s="41">
        <v>2111</v>
      </c>
    </row>
    <row r="320" spans="1:17" s="1" customFormat="1" ht="15.6" x14ac:dyDescent="0.3">
      <c r="A320" s="37">
        <v>2112</v>
      </c>
      <c r="B320" s="1">
        <v>36</v>
      </c>
      <c r="C320" s="35">
        <v>921121</v>
      </c>
      <c r="D320" s="35" t="s">
        <v>608</v>
      </c>
      <c r="E320" s="36">
        <v>92112</v>
      </c>
      <c r="G320" s="35">
        <v>78</v>
      </c>
      <c r="H320" s="35">
        <v>11.14</v>
      </c>
      <c r="K320" s="35">
        <v>780</v>
      </c>
      <c r="L320" t="s">
        <v>741</v>
      </c>
      <c r="O320" s="41" t="s">
        <v>479</v>
      </c>
      <c r="P320" s="41">
        <v>2112</v>
      </c>
      <c r="Q320" s="41">
        <v>2112</v>
      </c>
    </row>
    <row r="321" spans="1:17" s="1" customFormat="1" ht="15.6" x14ac:dyDescent="0.3">
      <c r="A321" s="37">
        <v>2113</v>
      </c>
      <c r="B321" s="1">
        <v>36</v>
      </c>
      <c r="C321" s="35">
        <v>921131</v>
      </c>
      <c r="D321" s="35" t="s">
        <v>609</v>
      </c>
      <c r="E321" s="36">
        <v>92113</v>
      </c>
      <c r="G321" s="35">
        <v>128</v>
      </c>
      <c r="H321" s="35">
        <v>18.3</v>
      </c>
      <c r="K321" s="35">
        <v>1280</v>
      </c>
      <c r="L321" t="s">
        <v>729</v>
      </c>
      <c r="O321" s="41" t="s">
        <v>481</v>
      </c>
      <c r="P321" s="41">
        <v>2113</v>
      </c>
      <c r="Q321" s="41">
        <v>2113</v>
      </c>
    </row>
    <row r="322" spans="1:17" s="1" customFormat="1" ht="15.6" x14ac:dyDescent="0.3">
      <c r="A322" s="37">
        <v>2114</v>
      </c>
      <c r="B322" s="1">
        <v>36</v>
      </c>
      <c r="C322" s="35">
        <v>921141</v>
      </c>
      <c r="D322" s="35" t="s">
        <v>610</v>
      </c>
      <c r="E322" s="36">
        <v>92114</v>
      </c>
      <c r="G322" s="35">
        <v>168</v>
      </c>
      <c r="H322" s="35">
        <v>24</v>
      </c>
      <c r="K322" s="35">
        <v>1680</v>
      </c>
      <c r="L322" t="s">
        <v>740</v>
      </c>
      <c r="O322" s="41" t="s">
        <v>477</v>
      </c>
      <c r="P322" s="41">
        <v>2114</v>
      </c>
      <c r="Q322" s="41">
        <v>2114</v>
      </c>
    </row>
    <row r="323" spans="1:17" s="1" customFormat="1" ht="15.6" x14ac:dyDescent="0.3">
      <c r="A323" s="37">
        <v>2115</v>
      </c>
      <c r="B323" s="1">
        <v>36</v>
      </c>
      <c r="C323" s="35">
        <v>921151</v>
      </c>
      <c r="D323" s="35" t="s">
        <v>611</v>
      </c>
      <c r="E323" s="36">
        <v>92115</v>
      </c>
      <c r="G323" s="35">
        <v>78</v>
      </c>
      <c r="H323" s="35">
        <v>11.14</v>
      </c>
      <c r="K323" s="35">
        <v>780</v>
      </c>
      <c r="L323" t="s">
        <v>741</v>
      </c>
      <c r="O323" s="41" t="s">
        <v>479</v>
      </c>
      <c r="P323" s="41">
        <v>2115</v>
      </c>
      <c r="Q323" s="41">
        <v>2115</v>
      </c>
    </row>
    <row r="324" spans="1:17" s="1" customFormat="1" ht="15.6" x14ac:dyDescent="0.3">
      <c r="A324" s="37">
        <v>2116</v>
      </c>
      <c r="B324" s="1">
        <v>36</v>
      </c>
      <c r="C324" s="35">
        <v>921161</v>
      </c>
      <c r="D324" s="35" t="s">
        <v>612</v>
      </c>
      <c r="E324" s="36">
        <v>92116</v>
      </c>
      <c r="G324" s="35">
        <v>128</v>
      </c>
      <c r="H324" s="35">
        <v>18.3</v>
      </c>
      <c r="K324" s="35">
        <v>1280</v>
      </c>
      <c r="L324" t="s">
        <v>729</v>
      </c>
      <c r="O324" s="41" t="s">
        <v>481</v>
      </c>
      <c r="P324" s="41">
        <v>2116</v>
      </c>
      <c r="Q324" s="41">
        <v>2116</v>
      </c>
    </row>
    <row r="325" spans="1:17" s="1" customFormat="1" ht="15.6" x14ac:dyDescent="0.3">
      <c r="A325" s="37">
        <v>2117</v>
      </c>
      <c r="B325" s="1">
        <v>36</v>
      </c>
      <c r="C325" s="35">
        <v>921171</v>
      </c>
      <c r="D325" s="35" t="s">
        <v>613</v>
      </c>
      <c r="E325" s="36">
        <v>92117</v>
      </c>
      <c r="G325" s="35">
        <v>168</v>
      </c>
      <c r="H325" s="35">
        <v>24</v>
      </c>
      <c r="K325" s="35">
        <v>1680</v>
      </c>
      <c r="L325" t="s">
        <v>740</v>
      </c>
      <c r="O325" s="41" t="s">
        <v>477</v>
      </c>
      <c r="P325" s="41">
        <v>2117</v>
      </c>
      <c r="Q325" s="41">
        <v>2117</v>
      </c>
    </row>
    <row r="326" spans="1:17" s="1" customFormat="1" ht="15.6" x14ac:dyDescent="0.3">
      <c r="A326" s="37">
        <v>2118</v>
      </c>
      <c r="B326" s="1">
        <v>36</v>
      </c>
      <c r="C326" s="35">
        <v>921181</v>
      </c>
      <c r="D326" s="37" t="s">
        <v>618</v>
      </c>
      <c r="E326" s="36">
        <v>92118</v>
      </c>
      <c r="G326" s="35">
        <v>168</v>
      </c>
      <c r="H326" s="1">
        <v>24</v>
      </c>
      <c r="K326" s="35">
        <v>1680</v>
      </c>
      <c r="L326" t="s">
        <v>740</v>
      </c>
      <c r="O326" s="1" t="s">
        <v>477</v>
      </c>
      <c r="P326" s="1">
        <v>2118</v>
      </c>
      <c r="Q326" s="1">
        <v>2118</v>
      </c>
    </row>
    <row r="327" spans="1:17" s="1" customFormat="1" ht="15.6" x14ac:dyDescent="0.3">
      <c r="A327" s="37">
        <v>2119</v>
      </c>
      <c r="B327" s="1">
        <v>36</v>
      </c>
      <c r="C327" s="35">
        <v>921191</v>
      </c>
      <c r="D327" s="35" t="s">
        <v>619</v>
      </c>
      <c r="E327" s="36">
        <v>92119</v>
      </c>
      <c r="G327" s="35">
        <v>78</v>
      </c>
      <c r="H327" s="35">
        <v>11.14</v>
      </c>
      <c r="K327" s="35">
        <v>780</v>
      </c>
      <c r="L327" t="s">
        <v>741</v>
      </c>
      <c r="O327" s="41" t="s">
        <v>479</v>
      </c>
      <c r="P327" s="41">
        <v>2119</v>
      </c>
      <c r="Q327" s="41">
        <v>2119</v>
      </c>
    </row>
    <row r="328" spans="1:17" s="1" customFormat="1" ht="15.6" x14ac:dyDescent="0.3">
      <c r="A328" s="37">
        <v>2120</v>
      </c>
      <c r="B328" s="1">
        <v>36</v>
      </c>
      <c r="C328" s="35">
        <v>921201</v>
      </c>
      <c r="D328" s="35" t="s">
        <v>620</v>
      </c>
      <c r="E328" s="36">
        <v>92120</v>
      </c>
      <c r="G328" s="35">
        <v>128</v>
      </c>
      <c r="H328" s="35">
        <v>18.3</v>
      </c>
      <c r="K328" s="35">
        <v>1280</v>
      </c>
      <c r="L328" t="s">
        <v>729</v>
      </c>
      <c r="O328" s="41" t="s">
        <v>481</v>
      </c>
      <c r="P328" s="41">
        <v>2120</v>
      </c>
      <c r="Q328" s="41">
        <v>2120</v>
      </c>
    </row>
    <row r="329" spans="1:17" s="1" customFormat="1" ht="15.6" x14ac:dyDescent="0.3">
      <c r="A329" s="37">
        <v>2121</v>
      </c>
      <c r="B329" s="1">
        <v>36</v>
      </c>
      <c r="C329" s="35">
        <v>921211</v>
      </c>
      <c r="D329" s="35" t="s">
        <v>621</v>
      </c>
      <c r="E329" s="36">
        <v>92121</v>
      </c>
      <c r="G329" s="35">
        <v>168</v>
      </c>
      <c r="H329" s="35">
        <v>24</v>
      </c>
      <c r="K329" s="35">
        <v>1680</v>
      </c>
      <c r="L329" t="s">
        <v>740</v>
      </c>
      <c r="O329" s="41" t="s">
        <v>477</v>
      </c>
      <c r="P329" s="41">
        <v>2121</v>
      </c>
      <c r="Q329" s="41">
        <v>2121</v>
      </c>
    </row>
    <row r="330" spans="1:17" s="1" customFormat="1" ht="15.6" x14ac:dyDescent="0.3">
      <c r="A330" s="37">
        <v>2122</v>
      </c>
      <c r="B330" s="1">
        <v>36</v>
      </c>
      <c r="C330" s="35">
        <v>921221</v>
      </c>
      <c r="D330" s="35" t="s">
        <v>622</v>
      </c>
      <c r="E330" s="36">
        <v>92122</v>
      </c>
      <c r="G330" s="35">
        <v>78</v>
      </c>
      <c r="H330" s="35">
        <v>11.14</v>
      </c>
      <c r="K330" s="35">
        <v>780</v>
      </c>
      <c r="L330" t="s">
        <v>741</v>
      </c>
      <c r="O330" s="41" t="s">
        <v>479</v>
      </c>
      <c r="P330" s="41">
        <v>2122</v>
      </c>
      <c r="Q330" s="41">
        <v>2122</v>
      </c>
    </row>
    <row r="331" spans="1:17" s="1" customFormat="1" ht="15.6" x14ac:dyDescent="0.3">
      <c r="A331" s="37">
        <v>2123</v>
      </c>
      <c r="B331" s="1">
        <v>36</v>
      </c>
      <c r="C331" s="35">
        <v>921231</v>
      </c>
      <c r="D331" s="35" t="s">
        <v>623</v>
      </c>
      <c r="E331" s="36">
        <v>92123</v>
      </c>
      <c r="G331" s="35">
        <v>128</v>
      </c>
      <c r="H331" s="35">
        <v>18.3</v>
      </c>
      <c r="K331" s="35">
        <v>1280</v>
      </c>
      <c r="L331" t="s">
        <v>729</v>
      </c>
      <c r="O331" s="41" t="s">
        <v>481</v>
      </c>
      <c r="P331" s="41">
        <v>2123</v>
      </c>
      <c r="Q331" s="41">
        <v>2123</v>
      </c>
    </row>
    <row r="332" spans="1:17" s="1" customFormat="1" ht="15.6" x14ac:dyDescent="0.3">
      <c r="A332" s="37">
        <v>2124</v>
      </c>
      <c r="B332" s="1">
        <v>36</v>
      </c>
      <c r="C332" s="35">
        <v>921241</v>
      </c>
      <c r="D332" s="35" t="s">
        <v>624</v>
      </c>
      <c r="E332" s="36">
        <v>92124</v>
      </c>
      <c r="G332" s="35">
        <v>168</v>
      </c>
      <c r="H332" s="35">
        <v>24</v>
      </c>
      <c r="K332" s="35">
        <v>1680</v>
      </c>
      <c r="L332" t="s">
        <v>740</v>
      </c>
      <c r="O332" s="41" t="s">
        <v>477</v>
      </c>
      <c r="P332" s="41">
        <v>2124</v>
      </c>
      <c r="Q332" s="41">
        <v>2124</v>
      </c>
    </row>
    <row r="333" spans="1:17" s="1" customFormat="1" ht="15.6" x14ac:dyDescent="0.3">
      <c r="A333" s="37">
        <v>2125</v>
      </c>
      <c r="B333" s="1">
        <v>36</v>
      </c>
      <c r="C333" s="35">
        <v>921251</v>
      </c>
      <c r="D333" s="35" t="s">
        <v>625</v>
      </c>
      <c r="E333" s="36">
        <v>92125</v>
      </c>
      <c r="G333" s="35">
        <v>78</v>
      </c>
      <c r="H333" s="35">
        <v>11.14</v>
      </c>
      <c r="K333" s="35">
        <v>780</v>
      </c>
      <c r="L333" t="s">
        <v>741</v>
      </c>
      <c r="O333" s="41" t="s">
        <v>479</v>
      </c>
      <c r="P333" s="41">
        <v>2125</v>
      </c>
      <c r="Q333" s="41">
        <v>2125</v>
      </c>
    </row>
    <row r="334" spans="1:17" s="1" customFormat="1" ht="15.6" x14ac:dyDescent="0.3">
      <c r="A334" s="37">
        <v>2126</v>
      </c>
      <c r="B334" s="1">
        <v>36</v>
      </c>
      <c r="C334" s="35">
        <v>921261</v>
      </c>
      <c r="D334" s="35" t="s">
        <v>626</v>
      </c>
      <c r="E334" s="36">
        <v>92126</v>
      </c>
      <c r="G334" s="35">
        <v>128</v>
      </c>
      <c r="H334" s="35">
        <v>18.3</v>
      </c>
      <c r="K334" s="35">
        <v>1280</v>
      </c>
      <c r="L334" t="s">
        <v>729</v>
      </c>
      <c r="O334" s="41" t="s">
        <v>481</v>
      </c>
      <c r="P334" s="41">
        <v>2126</v>
      </c>
      <c r="Q334" s="41">
        <v>2126</v>
      </c>
    </row>
    <row r="335" spans="1:17" s="1" customFormat="1" ht="15.6" x14ac:dyDescent="0.3">
      <c r="A335" s="37">
        <v>2127</v>
      </c>
      <c r="B335" s="1">
        <v>36</v>
      </c>
      <c r="C335" s="35">
        <v>921271</v>
      </c>
      <c r="D335" s="35" t="s">
        <v>627</v>
      </c>
      <c r="E335" s="36">
        <v>92127</v>
      </c>
      <c r="G335" s="35">
        <v>168</v>
      </c>
      <c r="H335" s="35">
        <v>24</v>
      </c>
      <c r="K335" s="35">
        <v>1680</v>
      </c>
      <c r="L335" t="s">
        <v>740</v>
      </c>
      <c r="O335" s="41" t="s">
        <v>477</v>
      </c>
      <c r="P335" s="41">
        <v>2127</v>
      </c>
      <c r="Q335" s="41">
        <v>2127</v>
      </c>
    </row>
    <row r="336" spans="1:17" s="1" customFormat="1" ht="15.6" x14ac:dyDescent="0.3">
      <c r="A336" s="37">
        <v>2128</v>
      </c>
      <c r="B336" s="1">
        <v>36</v>
      </c>
      <c r="C336" s="35">
        <v>921281</v>
      </c>
      <c r="D336" s="35" t="s">
        <v>628</v>
      </c>
      <c r="E336" s="36">
        <v>92128</v>
      </c>
      <c r="G336" s="35">
        <v>78</v>
      </c>
      <c r="H336" s="35">
        <v>11.14</v>
      </c>
      <c r="K336" s="35">
        <v>780</v>
      </c>
      <c r="L336" t="s">
        <v>741</v>
      </c>
      <c r="O336" s="41" t="s">
        <v>479</v>
      </c>
      <c r="P336" s="41">
        <v>2128</v>
      </c>
      <c r="Q336" s="41">
        <v>2128</v>
      </c>
    </row>
    <row r="337" spans="1:17" s="1" customFormat="1" ht="15.6" x14ac:dyDescent="0.3">
      <c r="A337" s="37">
        <v>2129</v>
      </c>
      <c r="B337" s="1">
        <v>36</v>
      </c>
      <c r="C337" s="35">
        <v>921291</v>
      </c>
      <c r="D337" s="35" t="s">
        <v>629</v>
      </c>
      <c r="E337" s="36">
        <v>92129</v>
      </c>
      <c r="G337" s="35">
        <v>128</v>
      </c>
      <c r="H337" s="35">
        <v>18.3</v>
      </c>
      <c r="K337" s="35">
        <v>1280</v>
      </c>
      <c r="L337" t="s">
        <v>729</v>
      </c>
      <c r="O337" s="41" t="s">
        <v>481</v>
      </c>
      <c r="P337" s="41">
        <v>2129</v>
      </c>
      <c r="Q337" s="41">
        <v>2129</v>
      </c>
    </row>
    <row r="338" spans="1:17" s="1" customFormat="1" ht="15.6" x14ac:dyDescent="0.3">
      <c r="A338" s="37">
        <v>2130</v>
      </c>
      <c r="B338" s="1">
        <v>36</v>
      </c>
      <c r="C338" s="35">
        <v>921301</v>
      </c>
      <c r="D338" s="35" t="s">
        <v>630</v>
      </c>
      <c r="E338" s="36">
        <v>92130</v>
      </c>
      <c r="G338" s="35">
        <v>168</v>
      </c>
      <c r="H338" s="35">
        <v>24</v>
      </c>
      <c r="K338" s="35">
        <v>1680</v>
      </c>
      <c r="L338" t="s">
        <v>740</v>
      </c>
      <c r="O338" s="41" t="s">
        <v>477</v>
      </c>
      <c r="P338" s="41">
        <v>2130</v>
      </c>
      <c r="Q338" s="41">
        <v>2130</v>
      </c>
    </row>
    <row r="339" spans="1:17" s="4" customFormat="1" ht="15.6" x14ac:dyDescent="0.3">
      <c r="A339" s="37">
        <v>2131</v>
      </c>
      <c r="B339" s="1">
        <v>36</v>
      </c>
      <c r="C339" s="35">
        <v>921311</v>
      </c>
      <c r="D339" s="37" t="s">
        <v>655</v>
      </c>
      <c r="E339" s="36">
        <v>92131</v>
      </c>
      <c r="F339" s="1"/>
      <c r="G339" s="35">
        <v>188</v>
      </c>
      <c r="H339" s="1">
        <v>26.86</v>
      </c>
      <c r="I339" s="1"/>
      <c r="J339" s="1"/>
      <c r="K339" s="1">
        <f t="shared" ref="K339" si="3">G339*10</f>
        <v>1880</v>
      </c>
      <c r="L339" t="s">
        <v>743</v>
      </c>
      <c r="O339" s="40" t="s">
        <v>432</v>
      </c>
      <c r="P339" s="40">
        <v>2131</v>
      </c>
      <c r="Q339" s="40">
        <v>2131</v>
      </c>
    </row>
    <row r="340" spans="1:17" s="4" customFormat="1" ht="15.6" x14ac:dyDescent="0.3">
      <c r="A340" s="37">
        <v>2132</v>
      </c>
      <c r="B340" s="1">
        <v>36</v>
      </c>
      <c r="C340" s="35">
        <v>921321</v>
      </c>
      <c r="D340" s="37" t="s">
        <v>656</v>
      </c>
      <c r="E340" s="36">
        <v>92132</v>
      </c>
      <c r="F340" s="1"/>
      <c r="G340" s="35">
        <v>168</v>
      </c>
      <c r="H340" s="1">
        <v>24</v>
      </c>
      <c r="I340" s="1"/>
      <c r="J340" s="1"/>
      <c r="K340" s="35">
        <v>1680</v>
      </c>
      <c r="L340" t="s">
        <v>740</v>
      </c>
      <c r="O340" s="4" t="s">
        <v>477</v>
      </c>
      <c r="P340" s="4">
        <v>2132</v>
      </c>
      <c r="Q340" s="4">
        <v>2132</v>
      </c>
    </row>
    <row r="341" spans="1:17" s="4" customFormat="1" ht="15.6" x14ac:dyDescent="0.3">
      <c r="A341" s="37">
        <v>2133</v>
      </c>
      <c r="B341" s="1">
        <v>36</v>
      </c>
      <c r="C341" s="35">
        <v>921331</v>
      </c>
      <c r="D341" s="37" t="s">
        <v>657</v>
      </c>
      <c r="E341" s="36">
        <v>92133</v>
      </c>
      <c r="F341" s="1"/>
      <c r="G341" s="35">
        <v>168</v>
      </c>
      <c r="H341" s="1">
        <v>24</v>
      </c>
      <c r="I341" s="1"/>
      <c r="J341" s="1"/>
      <c r="K341" s="35">
        <v>1680</v>
      </c>
      <c r="L341" t="s">
        <v>740</v>
      </c>
      <c r="O341" s="4" t="s">
        <v>477</v>
      </c>
      <c r="P341" s="4">
        <v>2133</v>
      </c>
      <c r="Q341" s="4">
        <v>2133</v>
      </c>
    </row>
    <row r="342" spans="1:17" s="4" customFormat="1" ht="15.6" x14ac:dyDescent="0.3">
      <c r="A342" s="37">
        <v>2134</v>
      </c>
      <c r="B342" s="1">
        <v>36</v>
      </c>
      <c r="C342" s="35">
        <v>921341</v>
      </c>
      <c r="D342" s="37" t="s">
        <v>658</v>
      </c>
      <c r="E342" s="36">
        <v>92134</v>
      </c>
      <c r="F342" s="1"/>
      <c r="G342" s="35">
        <v>168</v>
      </c>
      <c r="H342" s="1">
        <v>24</v>
      </c>
      <c r="I342" s="1"/>
      <c r="J342" s="1"/>
      <c r="K342" s="35">
        <v>1680</v>
      </c>
      <c r="L342" t="s">
        <v>740</v>
      </c>
      <c r="O342" s="4" t="s">
        <v>477</v>
      </c>
      <c r="P342" s="4">
        <v>2134</v>
      </c>
      <c r="Q342" s="4">
        <v>2134</v>
      </c>
    </row>
    <row r="343" spans="1:17" s="4" customFormat="1" ht="15.6" x14ac:dyDescent="0.3">
      <c r="A343" s="37">
        <v>2135</v>
      </c>
      <c r="B343" s="1">
        <v>36</v>
      </c>
      <c r="C343" s="35">
        <v>921351</v>
      </c>
      <c r="D343" s="35" t="s">
        <v>659</v>
      </c>
      <c r="E343" s="36">
        <v>92135</v>
      </c>
      <c r="F343" s="1"/>
      <c r="G343" s="35">
        <v>78</v>
      </c>
      <c r="H343" s="35">
        <v>11.14</v>
      </c>
      <c r="I343" s="1"/>
      <c r="J343" s="1"/>
      <c r="K343" s="35">
        <v>780</v>
      </c>
      <c r="L343" t="s">
        <v>741</v>
      </c>
      <c r="O343" s="40" t="s">
        <v>479</v>
      </c>
      <c r="P343" s="40">
        <v>2135</v>
      </c>
      <c r="Q343" s="40">
        <v>2135</v>
      </c>
    </row>
    <row r="344" spans="1:17" s="4" customFormat="1" ht="15.6" x14ac:dyDescent="0.3">
      <c r="A344" s="37">
        <v>2136</v>
      </c>
      <c r="B344" s="1">
        <v>36</v>
      </c>
      <c r="C344" s="35">
        <v>921361</v>
      </c>
      <c r="D344" s="35" t="s">
        <v>660</v>
      </c>
      <c r="E344" s="36">
        <v>92136</v>
      </c>
      <c r="F344" s="1"/>
      <c r="G344" s="35">
        <v>128</v>
      </c>
      <c r="H344" s="35">
        <v>18.3</v>
      </c>
      <c r="I344" s="1"/>
      <c r="J344" s="1"/>
      <c r="K344" s="35">
        <v>1280</v>
      </c>
      <c r="L344" t="s">
        <v>729</v>
      </c>
      <c r="O344" s="40" t="s">
        <v>481</v>
      </c>
      <c r="P344" s="40">
        <v>2136</v>
      </c>
      <c r="Q344" s="40">
        <v>2136</v>
      </c>
    </row>
    <row r="345" spans="1:17" s="4" customFormat="1" ht="15.6" x14ac:dyDescent="0.3">
      <c r="A345" s="37">
        <v>2137</v>
      </c>
      <c r="B345" s="1">
        <v>36</v>
      </c>
      <c r="C345" s="35">
        <v>921371</v>
      </c>
      <c r="D345" s="35" t="s">
        <v>661</v>
      </c>
      <c r="E345" s="36">
        <v>92137</v>
      </c>
      <c r="F345" s="1"/>
      <c r="G345" s="35">
        <v>168</v>
      </c>
      <c r="H345" s="35">
        <v>24</v>
      </c>
      <c r="I345" s="1"/>
      <c r="J345" s="1"/>
      <c r="K345" s="35">
        <v>1680</v>
      </c>
      <c r="L345" t="s">
        <v>740</v>
      </c>
      <c r="O345" s="40" t="s">
        <v>477</v>
      </c>
      <c r="P345" s="40">
        <v>2137</v>
      </c>
      <c r="Q345" s="40">
        <v>2137</v>
      </c>
    </row>
    <row r="346" spans="1:17" s="4" customFormat="1" ht="15.6" x14ac:dyDescent="0.3">
      <c r="A346" s="37">
        <v>2138</v>
      </c>
      <c r="B346" s="1">
        <v>36</v>
      </c>
      <c r="C346" s="35">
        <v>921381</v>
      </c>
      <c r="D346" s="35" t="s">
        <v>662</v>
      </c>
      <c r="E346" s="36">
        <v>92138</v>
      </c>
      <c r="F346" s="1"/>
      <c r="G346" s="35">
        <v>78</v>
      </c>
      <c r="H346" s="35">
        <v>11.14</v>
      </c>
      <c r="I346" s="1"/>
      <c r="J346" s="1"/>
      <c r="K346" s="35">
        <v>780</v>
      </c>
      <c r="L346" t="s">
        <v>741</v>
      </c>
      <c r="O346" s="40" t="s">
        <v>479</v>
      </c>
      <c r="P346" s="40">
        <v>2138</v>
      </c>
      <c r="Q346" s="40">
        <v>2138</v>
      </c>
    </row>
    <row r="347" spans="1:17" s="4" customFormat="1" ht="15.6" x14ac:dyDescent="0.3">
      <c r="A347" s="37">
        <v>2139</v>
      </c>
      <c r="B347" s="1">
        <v>36</v>
      </c>
      <c r="C347" s="35">
        <v>921391</v>
      </c>
      <c r="D347" s="35" t="s">
        <v>663</v>
      </c>
      <c r="E347" s="36">
        <v>92139</v>
      </c>
      <c r="F347" s="1"/>
      <c r="G347" s="35">
        <v>128</v>
      </c>
      <c r="H347" s="35">
        <v>18.3</v>
      </c>
      <c r="I347" s="1"/>
      <c r="J347" s="1"/>
      <c r="K347" s="35">
        <v>1280</v>
      </c>
      <c r="L347" t="s">
        <v>729</v>
      </c>
      <c r="O347" s="40" t="s">
        <v>481</v>
      </c>
      <c r="P347" s="40">
        <v>2139</v>
      </c>
      <c r="Q347" s="40">
        <v>2139</v>
      </c>
    </row>
    <row r="348" spans="1:17" s="4" customFormat="1" ht="15.6" x14ac:dyDescent="0.3">
      <c r="A348" s="37">
        <v>2140</v>
      </c>
      <c r="B348" s="1">
        <v>36</v>
      </c>
      <c r="C348" s="35">
        <v>921401</v>
      </c>
      <c r="D348" s="35" t="s">
        <v>664</v>
      </c>
      <c r="E348" s="36">
        <v>92140</v>
      </c>
      <c r="F348" s="1"/>
      <c r="G348" s="35">
        <v>168</v>
      </c>
      <c r="H348" s="35">
        <v>24</v>
      </c>
      <c r="I348" s="1"/>
      <c r="J348" s="1"/>
      <c r="K348" s="35">
        <v>1680</v>
      </c>
      <c r="L348" t="s">
        <v>740</v>
      </c>
      <c r="O348" s="40" t="s">
        <v>477</v>
      </c>
      <c r="P348" s="40">
        <v>2140</v>
      </c>
      <c r="Q348" s="40">
        <v>2140</v>
      </c>
    </row>
    <row r="349" spans="1:17" s="4" customFormat="1" ht="15.6" x14ac:dyDescent="0.3">
      <c r="A349" s="37">
        <v>2141</v>
      </c>
      <c r="B349" s="1">
        <v>36</v>
      </c>
      <c r="C349" s="35">
        <v>921411</v>
      </c>
      <c r="D349" s="35" t="s">
        <v>665</v>
      </c>
      <c r="E349" s="36">
        <v>92141</v>
      </c>
      <c r="F349" s="1"/>
      <c r="G349" s="35">
        <v>78</v>
      </c>
      <c r="H349" s="35">
        <v>11.14</v>
      </c>
      <c r="I349" s="1"/>
      <c r="J349" s="1"/>
      <c r="K349" s="35">
        <v>780</v>
      </c>
      <c r="L349" t="s">
        <v>741</v>
      </c>
      <c r="O349" s="40" t="s">
        <v>479</v>
      </c>
      <c r="P349" s="40">
        <v>2141</v>
      </c>
      <c r="Q349" s="40">
        <v>2141</v>
      </c>
    </row>
    <row r="350" spans="1:17" s="4" customFormat="1" ht="15.6" x14ac:dyDescent="0.3">
      <c r="A350" s="37">
        <v>2142</v>
      </c>
      <c r="B350" s="1">
        <v>36</v>
      </c>
      <c r="C350" s="35">
        <v>921421</v>
      </c>
      <c r="D350" s="35" t="s">
        <v>666</v>
      </c>
      <c r="E350" s="36">
        <v>92142</v>
      </c>
      <c r="F350" s="1"/>
      <c r="G350" s="35">
        <v>128</v>
      </c>
      <c r="H350" s="35">
        <v>18.3</v>
      </c>
      <c r="I350" s="1"/>
      <c r="J350" s="1"/>
      <c r="K350" s="35">
        <v>1280</v>
      </c>
      <c r="L350" t="s">
        <v>729</v>
      </c>
      <c r="O350" s="40" t="s">
        <v>481</v>
      </c>
      <c r="P350" s="40">
        <v>2142</v>
      </c>
      <c r="Q350" s="40">
        <v>2142</v>
      </c>
    </row>
    <row r="351" spans="1:17" s="4" customFormat="1" ht="15.6" x14ac:dyDescent="0.3">
      <c r="A351" s="37">
        <v>2143</v>
      </c>
      <c r="B351" s="1">
        <v>36</v>
      </c>
      <c r="C351" s="35">
        <v>921431</v>
      </c>
      <c r="D351" s="35" t="s">
        <v>667</v>
      </c>
      <c r="E351" s="36">
        <v>92143</v>
      </c>
      <c r="F351" s="1"/>
      <c r="G351" s="35">
        <v>168</v>
      </c>
      <c r="H351" s="35">
        <v>24</v>
      </c>
      <c r="I351" s="1"/>
      <c r="J351" s="1"/>
      <c r="K351" s="35">
        <v>1680</v>
      </c>
      <c r="L351" t="s">
        <v>740</v>
      </c>
      <c r="O351" s="40" t="s">
        <v>477</v>
      </c>
      <c r="P351" s="40">
        <v>2143</v>
      </c>
      <c r="Q351" s="40">
        <v>2143</v>
      </c>
    </row>
    <row r="352" spans="1:17" x14ac:dyDescent="0.25">
      <c r="A352" s="1">
        <v>2144</v>
      </c>
      <c r="B352" s="1">
        <v>36</v>
      </c>
      <c r="C352" s="1">
        <v>921441</v>
      </c>
      <c r="D352" s="1" t="s">
        <v>688</v>
      </c>
      <c r="E352" s="1">
        <v>92144</v>
      </c>
      <c r="F352" s="1"/>
      <c r="G352" s="1">
        <v>168</v>
      </c>
      <c r="H352" s="1">
        <v>24</v>
      </c>
      <c r="I352" s="1"/>
      <c r="J352" s="1"/>
      <c r="K352" s="1">
        <v>1680</v>
      </c>
      <c r="L352" t="s">
        <v>740</v>
      </c>
      <c r="O352" t="s">
        <v>477</v>
      </c>
      <c r="P352">
        <v>2144</v>
      </c>
      <c r="Q352">
        <v>2144</v>
      </c>
    </row>
    <row r="353" spans="1:17" ht="15.6" x14ac:dyDescent="0.3">
      <c r="A353" s="1">
        <v>2145</v>
      </c>
      <c r="B353" s="1">
        <v>36</v>
      </c>
      <c r="C353" s="1">
        <v>921451</v>
      </c>
      <c r="D353" s="1" t="s">
        <v>689</v>
      </c>
      <c r="E353" s="36">
        <v>92145</v>
      </c>
      <c r="G353" s="1">
        <v>188</v>
      </c>
      <c r="H353" s="1">
        <v>26.86</v>
      </c>
      <c r="K353" s="1">
        <v>1880</v>
      </c>
      <c r="L353" t="s">
        <v>743</v>
      </c>
      <c r="P353">
        <v>2145</v>
      </c>
      <c r="Q353">
        <v>2145</v>
      </c>
    </row>
    <row r="354" spans="1:17" ht="15.6" x14ac:dyDescent="0.3">
      <c r="A354" s="1">
        <v>3032</v>
      </c>
      <c r="B354" s="1">
        <v>36</v>
      </c>
      <c r="C354" s="1">
        <v>930321</v>
      </c>
      <c r="D354" s="1" t="s">
        <v>699</v>
      </c>
      <c r="E354" s="36">
        <v>93032</v>
      </c>
      <c r="G354" s="1">
        <v>78</v>
      </c>
      <c r="K354" s="1">
        <v>780</v>
      </c>
      <c r="L354" t="s">
        <v>741</v>
      </c>
      <c r="O354" t="s">
        <v>479</v>
      </c>
      <c r="P354">
        <v>3032</v>
      </c>
      <c r="Q354">
        <v>3032</v>
      </c>
    </row>
    <row r="355" spans="1:17" ht="15.6" x14ac:dyDescent="0.3">
      <c r="A355" s="1">
        <v>3033</v>
      </c>
      <c r="B355" s="1">
        <v>36</v>
      </c>
      <c r="C355" s="1">
        <v>930331</v>
      </c>
      <c r="D355" s="1" t="s">
        <v>700</v>
      </c>
      <c r="E355" s="36">
        <v>93033</v>
      </c>
      <c r="G355" s="1">
        <v>128</v>
      </c>
      <c r="K355" s="1">
        <v>1280</v>
      </c>
      <c r="L355" t="s">
        <v>729</v>
      </c>
      <c r="O355" t="s">
        <v>481</v>
      </c>
      <c r="P355">
        <v>3033</v>
      </c>
      <c r="Q355">
        <v>3033</v>
      </c>
    </row>
    <row r="356" spans="1:17" ht="15.6" x14ac:dyDescent="0.3">
      <c r="A356" s="1">
        <v>3034</v>
      </c>
      <c r="B356" s="1">
        <v>36</v>
      </c>
      <c r="C356" s="1">
        <v>930341</v>
      </c>
      <c r="D356" s="1" t="s">
        <v>701</v>
      </c>
      <c r="E356" s="36">
        <v>93034</v>
      </c>
      <c r="G356" s="1">
        <v>168</v>
      </c>
      <c r="K356" s="1">
        <v>1680</v>
      </c>
      <c r="L356" t="s">
        <v>740</v>
      </c>
      <c r="O356" t="s">
        <v>483</v>
      </c>
      <c r="P356">
        <v>3034</v>
      </c>
      <c r="Q356">
        <v>3034</v>
      </c>
    </row>
  </sheetData>
  <phoneticPr fontId="17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1BBE-64AF-49D0-961D-91AF9F9CF52B}">
  <dimension ref="A1:B13"/>
  <sheetViews>
    <sheetView workbookViewId="0">
      <selection activeCell="B8" sqref="B8"/>
    </sheetView>
  </sheetViews>
  <sheetFormatPr defaultRowHeight="13.8" x14ac:dyDescent="0.25"/>
  <cols>
    <col min="1" max="1" width="20.6640625" customWidth="1"/>
    <col min="2" max="2" width="38.21875" customWidth="1"/>
  </cols>
  <sheetData>
    <row r="1" spans="1:2" x14ac:dyDescent="0.25">
      <c r="A1" s="3" t="s">
        <v>642</v>
      </c>
    </row>
    <row r="3" spans="1:2" x14ac:dyDescent="0.25">
      <c r="A3" s="3" t="s">
        <v>644</v>
      </c>
      <c r="B3" s="3" t="s">
        <v>643</v>
      </c>
    </row>
    <row r="4" spans="1:2" x14ac:dyDescent="0.25">
      <c r="A4" s="3" t="s">
        <v>647</v>
      </c>
      <c r="B4" s="3" t="s">
        <v>645</v>
      </c>
    </row>
    <row r="5" spans="1:2" x14ac:dyDescent="0.25">
      <c r="A5" s="3" t="s">
        <v>648</v>
      </c>
      <c r="B5" s="3" t="s">
        <v>646</v>
      </c>
    </row>
    <row r="6" spans="1:2" x14ac:dyDescent="0.25">
      <c r="A6" s="3" t="s">
        <v>650</v>
      </c>
      <c r="B6" s="3" t="s">
        <v>649</v>
      </c>
    </row>
    <row r="7" spans="1:2" x14ac:dyDescent="0.25">
      <c r="A7" s="3" t="s">
        <v>652</v>
      </c>
      <c r="B7" s="3" t="s">
        <v>651</v>
      </c>
    </row>
    <row r="8" spans="1:2" x14ac:dyDescent="0.25">
      <c r="A8" s="3" t="s">
        <v>654</v>
      </c>
      <c r="B8" s="3" t="s">
        <v>653</v>
      </c>
    </row>
    <row r="9" spans="1:2" x14ac:dyDescent="0.25">
      <c r="A9" s="3" t="s">
        <v>698</v>
      </c>
      <c r="B9" s="60" t="s">
        <v>697</v>
      </c>
    </row>
    <row r="10" spans="1:2" x14ac:dyDescent="0.25">
      <c r="A10" s="3" t="s">
        <v>705</v>
      </c>
      <c r="B10" s="3" t="s">
        <v>702</v>
      </c>
    </row>
    <row r="11" spans="1:2" x14ac:dyDescent="0.25">
      <c r="A11" s="3" t="s">
        <v>706</v>
      </c>
      <c r="B11" s="3" t="s">
        <v>703</v>
      </c>
    </row>
    <row r="12" spans="1:2" x14ac:dyDescent="0.25">
      <c r="A12" s="3" t="s">
        <v>707</v>
      </c>
      <c r="B12" s="3" t="s">
        <v>704</v>
      </c>
    </row>
    <row r="13" spans="1:2" x14ac:dyDescent="0.25">
      <c r="A13" s="3" t="s">
        <v>774</v>
      </c>
      <c r="B13" s="3" t="s">
        <v>775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exchange</vt:lpstr>
      <vt:lpstr>charge</vt:lpstr>
      <vt:lpstr>charge_new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2015-06-05T18:19:00Z</dcterms:created>
  <dcterms:modified xsi:type="dcterms:W3CDTF">2024-04-24T08:30:21Z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EM_Doc_Temp_ID">
    <vt:lpwstr>e470258c</vt:lpwstr>
  </property>
  <property fmtid="{D5CDD505-2E9C-101B-9397-08002B2CF9AE}" pid="4" name="ICV">
    <vt:lpwstr>563DA66DE5AE4012B23D96A6F4033C68</vt:lpwstr>
  </property>
</Properties>
</file>