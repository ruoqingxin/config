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51FA4428-B2FD-4D9D-BC43-4CBD40043B17}" xr6:coauthVersionLast="47" xr6:coauthVersionMax="47" xr10:uidLastSave="{00000000-0000-0000-0000-000000000000}"/>
  <bookViews>
    <workbookView xWindow="-28920" yWindow="-120" windowWidth="29040" windowHeight="15720" tabRatio="859" activeTab="2" xr2:uid="{00000000-000D-0000-FFFF-FFFF00000000}"/>
  </bookViews>
  <sheets>
    <sheet name="tryout" sheetId="6" r:id="rId1"/>
    <sheet name="tryout2" sheetId="25" r:id="rId2"/>
    <sheet name="tryout_z" sheetId="30" r:id="rId3"/>
    <sheet name="tryout_table" sheetId="23" r:id="rId4"/>
    <sheet name="red" sheetId="7" r:id="rId5"/>
    <sheet name="push" sheetId="8" r:id="rId6"/>
    <sheet name="activity_push" sheetId="29" r:id="rId7"/>
    <sheet name="free_cue" sheetId="9" r:id="rId8"/>
    <sheet name="common_share" sheetId="2" r:id="rId9"/>
    <sheet name="invited_coin" sheetId="5" r:id="rId10"/>
    <sheet name="egg" sheetId="10" r:id="rId11"/>
    <sheet name="share" sheetId="3" r:id="rId12"/>
    <sheet name="ad_point" sheetId="4" r:id="rId13"/>
    <sheet name="flight_cue" sheetId="13" r:id="rId14"/>
    <sheet name="no_banner" sheetId="11" r:id="rId15"/>
    <sheet name="battle_cue" sheetId="12" r:id="rId16"/>
    <sheet name="bargin" sheetId="19" r:id="rId17"/>
    <sheet name="bargin_prize" sheetId="20" r:id="rId18"/>
    <sheet name="weeklypay" sheetId="21" r:id="rId19"/>
    <sheet name="battle_pass_times" sheetId="16" r:id="rId20"/>
    <sheet name="battle_pass_reward" sheetId="14" r:id="rId21"/>
    <sheet name="battle_pass_task" sheetId="15" r:id="rId22"/>
    <sheet name="battle_pass_other" sheetId="17" r:id="rId23"/>
    <sheet name="battle_pass_show" sheetId="18" r:id="rId24"/>
    <sheet name="battle_pass_task2" sheetId="22" r:id="rId25"/>
    <sheet name="share_gift" sheetId="24" r:id="rId26"/>
    <sheet name="invited_cue" sheetId="1" r:id="rId27"/>
    <sheet name="share_new" sheetId="26" r:id="rId28"/>
    <sheet name="daily_invite" sheetId="27" r:id="rId29"/>
    <sheet name="Sheet1" sheetId="28" r:id="rId30"/>
  </sheets>
  <definedNames>
    <definedName name="_xlnm._FilterDatabase" localSheetId="12" hidden="1">ad_point!$A$11:$G$173</definedName>
    <definedName name="_xlnm._FilterDatabase" localSheetId="5" hidden="1">push!$A$16:$I$16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8" i="14" l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07" i="14"/>
  <c r="AH83" i="14"/>
  <c r="AI83" i="14" s="1"/>
  <c r="AB83" i="14"/>
  <c r="U83" i="14"/>
  <c r="AH82" i="14"/>
  <c r="AB82" i="14"/>
  <c r="U82" i="14"/>
  <c r="AH81" i="14"/>
  <c r="AB81" i="14"/>
  <c r="U81" i="14"/>
  <c r="AH80" i="14"/>
  <c r="AI80" i="14" s="1"/>
  <c r="AB80" i="14"/>
  <c r="U80" i="14"/>
  <c r="AH79" i="14"/>
  <c r="AB79" i="14"/>
  <c r="U79" i="14"/>
  <c r="AH78" i="14"/>
  <c r="AB78" i="14"/>
  <c r="U78" i="14"/>
  <c r="AH77" i="14"/>
  <c r="AB77" i="14"/>
  <c r="U77" i="14"/>
  <c r="AH76" i="14"/>
  <c r="AB76" i="14"/>
  <c r="U76" i="14"/>
  <c r="AH75" i="14"/>
  <c r="AB75" i="14"/>
  <c r="U75" i="14"/>
  <c r="AH74" i="14"/>
  <c r="AB74" i="14"/>
  <c r="U74" i="14"/>
  <c r="AH73" i="14"/>
  <c r="AB73" i="14"/>
  <c r="AI73" i="14" s="1"/>
  <c r="U73" i="14"/>
  <c r="AH72" i="14"/>
  <c r="AB72" i="14"/>
  <c r="U72" i="14"/>
  <c r="AH71" i="14"/>
  <c r="AB71" i="14"/>
  <c r="U71" i="14"/>
  <c r="AH70" i="14"/>
  <c r="AB70" i="14"/>
  <c r="U70" i="14"/>
  <c r="AH69" i="14"/>
  <c r="AB69" i="14"/>
  <c r="U69" i="14"/>
  <c r="AH68" i="14"/>
  <c r="AI68" i="14" s="1"/>
  <c r="AB68" i="14"/>
  <c r="U68" i="14"/>
  <c r="AH67" i="14"/>
  <c r="AB67" i="14"/>
  <c r="U67" i="14"/>
  <c r="AH66" i="14"/>
  <c r="AB66" i="14"/>
  <c r="U66" i="14"/>
  <c r="AH65" i="14"/>
  <c r="AB65" i="14"/>
  <c r="U65" i="14"/>
  <c r="AH64" i="14"/>
  <c r="AB64" i="14"/>
  <c r="U64" i="14"/>
  <c r="AH63" i="14"/>
  <c r="AB63" i="14"/>
  <c r="U63" i="14"/>
  <c r="AH62" i="14"/>
  <c r="AB62" i="14"/>
  <c r="U62" i="14"/>
  <c r="AH61" i="14"/>
  <c r="AB61" i="14"/>
  <c r="U61" i="14"/>
  <c r="AH60" i="14"/>
  <c r="AI60" i="14" s="1"/>
  <c r="AB60" i="14"/>
  <c r="U60" i="14"/>
  <c r="AH59" i="14"/>
  <c r="AB59" i="14"/>
  <c r="U59" i="14"/>
  <c r="AH58" i="14"/>
  <c r="AB58" i="14"/>
  <c r="U58" i="14"/>
  <c r="AH57" i="14"/>
  <c r="AB57" i="14"/>
  <c r="U57" i="14"/>
  <c r="AH56" i="14"/>
  <c r="AB56" i="14"/>
  <c r="U56" i="14"/>
  <c r="AH55" i="14"/>
  <c r="AI55" i="14" s="1"/>
  <c r="AB55" i="14"/>
  <c r="U55" i="14"/>
  <c r="AH54" i="14"/>
  <c r="AB54" i="14"/>
  <c r="U54" i="14"/>
  <c r="AH45" i="14"/>
  <c r="AB45" i="14"/>
  <c r="U45" i="14"/>
  <c r="AH44" i="14"/>
  <c r="AB44" i="14"/>
  <c r="U44" i="14"/>
  <c r="AH43" i="14"/>
  <c r="AB43" i="14"/>
  <c r="U43" i="14"/>
  <c r="AH42" i="14"/>
  <c r="AB42" i="14"/>
  <c r="U42" i="14"/>
  <c r="AH41" i="14"/>
  <c r="AB41" i="14"/>
  <c r="U41" i="14"/>
  <c r="AH40" i="14"/>
  <c r="AB40" i="14"/>
  <c r="U40" i="14"/>
  <c r="AH39" i="14"/>
  <c r="AI39" i="14" s="1"/>
  <c r="AB39" i="14"/>
  <c r="U39" i="14"/>
  <c r="AH38" i="14"/>
  <c r="AI38" i="14" s="1"/>
  <c r="AB38" i="14"/>
  <c r="U38" i="14"/>
  <c r="AH37" i="14"/>
  <c r="AB37" i="14"/>
  <c r="U37" i="14"/>
  <c r="AH36" i="14"/>
  <c r="AB36" i="14"/>
  <c r="U36" i="14"/>
  <c r="AH35" i="14"/>
  <c r="AB35" i="14"/>
  <c r="U35" i="14"/>
  <c r="AH34" i="14"/>
  <c r="AB34" i="14"/>
  <c r="U34" i="14"/>
  <c r="AH33" i="14"/>
  <c r="AB33" i="14"/>
  <c r="U33" i="14"/>
  <c r="AH32" i="14"/>
  <c r="AB32" i="14"/>
  <c r="U32" i="14"/>
  <c r="AH31" i="14"/>
  <c r="AB31" i="14"/>
  <c r="U31" i="14"/>
  <c r="AH30" i="14"/>
  <c r="AI30" i="14" s="1"/>
  <c r="AB30" i="14"/>
  <c r="U30" i="14"/>
  <c r="AH29" i="14"/>
  <c r="AB29" i="14"/>
  <c r="U29" i="14"/>
  <c r="AH28" i="14"/>
  <c r="AB28" i="14"/>
  <c r="U28" i="14"/>
  <c r="AH27" i="14"/>
  <c r="AB27" i="14"/>
  <c r="U27" i="14"/>
  <c r="AH26" i="14"/>
  <c r="AB26" i="14"/>
  <c r="U26" i="14"/>
  <c r="AH25" i="14"/>
  <c r="AB25" i="14"/>
  <c r="U25" i="14"/>
  <c r="AH24" i="14"/>
  <c r="AB24" i="14"/>
  <c r="U24" i="14"/>
  <c r="AH23" i="14"/>
  <c r="AI23" i="14" s="1"/>
  <c r="AB23" i="14"/>
  <c r="U23" i="14"/>
  <c r="AH22" i="14"/>
  <c r="AI22" i="14" s="1"/>
  <c r="AB22" i="14"/>
  <c r="U22" i="14"/>
  <c r="AH21" i="14"/>
  <c r="AB21" i="14"/>
  <c r="U21" i="14"/>
  <c r="AH20" i="14"/>
  <c r="AB20" i="14"/>
  <c r="U20" i="14"/>
  <c r="AH19" i="14"/>
  <c r="AB19" i="14"/>
  <c r="U19" i="14"/>
  <c r="AH18" i="14"/>
  <c r="AB18" i="14"/>
  <c r="U18" i="14"/>
  <c r="AH17" i="14"/>
  <c r="AB17" i="14"/>
  <c r="U17" i="14"/>
  <c r="AH16" i="14"/>
  <c r="AB16" i="14"/>
  <c r="U16" i="14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F16" i="19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F51" i="19" s="1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F78" i="19" s="1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F95" i="19" s="1"/>
  <c r="F96" i="19" s="1"/>
  <c r="F97" i="19" s="1"/>
  <c r="F98" i="19" s="1"/>
  <c r="F99" i="19" s="1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F117" i="19" s="1"/>
  <c r="F118" i="19" s="1"/>
  <c r="F119" i="19" s="1"/>
  <c r="F120" i="19" s="1"/>
  <c r="F121" i="19" s="1"/>
  <c r="F122" i="19" s="1"/>
  <c r="F123" i="19" s="1"/>
  <c r="F124" i="19" s="1"/>
  <c r="F125" i="19" s="1"/>
  <c r="F126" i="19" s="1"/>
  <c r="F127" i="19" s="1"/>
  <c r="F128" i="19" s="1"/>
  <c r="F129" i="19" s="1"/>
  <c r="F130" i="19" s="1"/>
  <c r="F131" i="19" s="1"/>
  <c r="F132" i="19" s="1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F157" i="19" s="1"/>
  <c r="F158" i="19" s="1"/>
  <c r="F159" i="19" s="1"/>
  <c r="F160" i="19" s="1"/>
  <c r="F161" i="19" s="1"/>
  <c r="F162" i="19" s="1"/>
  <c r="F163" i="19" s="1"/>
  <c r="F164" i="19" s="1"/>
  <c r="F165" i="19" s="1"/>
  <c r="F166" i="19" s="1"/>
  <c r="F167" i="19" s="1"/>
  <c r="F168" i="19" s="1"/>
  <c r="F169" i="19" s="1"/>
  <c r="F170" i="19" s="1"/>
  <c r="F171" i="19" s="1"/>
  <c r="F172" i="19" s="1"/>
  <c r="F173" i="19" s="1"/>
  <c r="F174" i="19" s="1"/>
  <c r="F175" i="19" s="1"/>
  <c r="F176" i="19" s="1"/>
  <c r="F177" i="19" s="1"/>
  <c r="F178" i="19" s="1"/>
  <c r="F179" i="19" s="1"/>
  <c r="F180" i="19" s="1"/>
  <c r="F181" i="19" s="1"/>
  <c r="F182" i="19" s="1"/>
  <c r="F183" i="19" s="1"/>
  <c r="F184" i="19" s="1"/>
  <c r="F185" i="19" s="1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F203" i="19" s="1"/>
  <c r="F204" i="19" s="1"/>
  <c r="F205" i="19" s="1"/>
  <c r="F206" i="19" s="1"/>
  <c r="F207" i="19" s="1"/>
  <c r="F208" i="19" s="1"/>
  <c r="F209" i="19" s="1"/>
  <c r="F210" i="19" s="1"/>
  <c r="F211" i="19" s="1"/>
  <c r="F212" i="19" s="1"/>
  <c r="F213" i="19" s="1"/>
  <c r="F214" i="19" s="1"/>
  <c r="F215" i="19" s="1"/>
  <c r="F216" i="19" s="1"/>
  <c r="F217" i="19" s="1"/>
  <c r="F218" i="19" s="1"/>
  <c r="F219" i="19" s="1"/>
  <c r="F220" i="19" s="1"/>
  <c r="F221" i="19" s="1"/>
  <c r="F222" i="19" s="1"/>
  <c r="F223" i="19" s="1"/>
  <c r="F224" i="19" s="1"/>
  <c r="F225" i="19" s="1"/>
  <c r="F226" i="19" s="1"/>
  <c r="F227" i="19" s="1"/>
  <c r="F228" i="19" s="1"/>
  <c r="F229" i="19" s="1"/>
  <c r="F230" i="19" s="1"/>
  <c r="F231" i="19" s="1"/>
  <c r="F232" i="19" s="1"/>
  <c r="F233" i="19" s="1"/>
  <c r="F234" i="19" s="1"/>
  <c r="F235" i="19" s="1"/>
  <c r="F236" i="19" s="1"/>
  <c r="F237" i="19" s="1"/>
  <c r="F238" i="19" s="1"/>
  <c r="F239" i="19" s="1"/>
  <c r="F240" i="19" s="1"/>
  <c r="F241" i="19" s="1"/>
  <c r="F242" i="19" s="1"/>
  <c r="F243" i="19" s="1"/>
  <c r="F244" i="19" s="1"/>
  <c r="F245" i="19" s="1"/>
  <c r="F246" i="19" s="1"/>
  <c r="F247" i="19" s="1"/>
  <c r="F248" i="19" s="1"/>
  <c r="F249" i="19" s="1"/>
  <c r="F250" i="19" s="1"/>
  <c r="F251" i="19" s="1"/>
  <c r="F252" i="19" s="1"/>
  <c r="F253" i="19" s="1"/>
  <c r="F254" i="19" s="1"/>
  <c r="F255" i="19" s="1"/>
  <c r="F256" i="19" s="1"/>
  <c r="F257" i="19" s="1"/>
  <c r="F258" i="19" s="1"/>
  <c r="F259" i="19" s="1"/>
  <c r="E16" i="19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D16" i="19"/>
  <c r="R26" i="10"/>
  <c r="S26" i="10" s="1"/>
  <c r="R25" i="10"/>
  <c r="S25" i="10" s="1"/>
  <c r="K25" i="10"/>
  <c r="AB24" i="10"/>
  <c r="R24" i="10"/>
  <c r="S24" i="10" s="1"/>
  <c r="L24" i="10"/>
  <c r="AB23" i="10"/>
  <c r="R23" i="10"/>
  <c r="S23" i="10" s="1"/>
  <c r="L23" i="10"/>
  <c r="R22" i="10"/>
  <c r="S22" i="10" s="1"/>
  <c r="L22" i="10"/>
  <c r="R21" i="10"/>
  <c r="S21" i="10" s="1"/>
  <c r="L21" i="10"/>
  <c r="AB20" i="10"/>
  <c r="R20" i="10"/>
  <c r="S20" i="10" s="1"/>
  <c r="AB19" i="10"/>
  <c r="R19" i="10"/>
  <c r="S19" i="10" s="1"/>
  <c r="L19" i="10"/>
  <c r="R18" i="10"/>
  <c r="S18" i="10" s="1"/>
  <c r="L18" i="10"/>
  <c r="AB16" i="10"/>
  <c r="R16" i="10"/>
  <c r="S16" i="10" s="1"/>
  <c r="L16" i="10"/>
  <c r="K14" i="10"/>
  <c r="M42" i="30"/>
  <c r="P42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X16" i="6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V16" i="6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T16" i="6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P16" i="6"/>
  <c r="P17" i="6" s="1"/>
  <c r="P18" i="6" s="1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 s="1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O16" i="6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AI17" i="14" l="1"/>
  <c r="AI34" i="14"/>
  <c r="AI21" i="14"/>
  <c r="AI29" i="14"/>
  <c r="AI79" i="14"/>
  <c r="AI62" i="14"/>
  <c r="AI42" i="14"/>
  <c r="AI16" i="14"/>
  <c r="AI61" i="14"/>
  <c r="AI82" i="14"/>
  <c r="AI27" i="14"/>
  <c r="AI35" i="14"/>
  <c r="AI64" i="14"/>
  <c r="AI67" i="14"/>
  <c r="AI36" i="14"/>
  <c r="AI78" i="14"/>
  <c r="AI41" i="14"/>
  <c r="AI24" i="14"/>
  <c r="AI32" i="14"/>
  <c r="AI45" i="14"/>
  <c r="AI58" i="14"/>
  <c r="AI71" i="14"/>
  <c r="AI76" i="14"/>
  <c r="L25" i="10"/>
  <c r="AB25" i="10"/>
  <c r="AI20" i="14"/>
  <c r="AI77" i="14"/>
  <c r="AI18" i="14"/>
  <c r="AI65" i="14"/>
  <c r="AI70" i="14"/>
  <c r="AI40" i="14"/>
  <c r="AI44" i="14"/>
  <c r="AI26" i="14"/>
  <c r="S27" i="10"/>
  <c r="AI66" i="14"/>
  <c r="AI19" i="14"/>
  <c r="AI37" i="14"/>
  <c r="AI63" i="14"/>
  <c r="AI81" i="14"/>
  <c r="AI33" i="14"/>
  <c r="AI59" i="14"/>
  <c r="AI56" i="14"/>
  <c r="AI74" i="14"/>
  <c r="AI31" i="14"/>
  <c r="AI57" i="14"/>
  <c r="AI75" i="14"/>
  <c r="AI28" i="14"/>
  <c r="AI54" i="14"/>
  <c r="AI72" i="14"/>
  <c r="AI25" i="14"/>
  <c r="AI43" i="14"/>
  <c r="AI6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zhouzhen</author>
  </authors>
  <commentList>
    <comment ref="D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1：8球
2：斯诺克
3：高手进阶
4：极限挑战
5：闯关
6:血流模式
</t>
        </r>
      </text>
    </comment>
    <comment ref="E1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0、视频试玩
1、钻石试玩
2、金币试玩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A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获取到的玩家所拥有的球杆的最高品质等级</t>
        </r>
      </text>
    </comment>
    <comment ref="J12" authorId="1" shapeId="0" xr:uid="{00000000-0006-0000-01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1：8球
2：斯诺克
3：高手进阶
4：极限挑战
5：闯关
6:血流模式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A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获取到的玩家所拥有的球杆的最高品质等级</t>
        </r>
      </text>
    </comment>
    <comment ref="G1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1：8球
2：斯诺克
3：高手进阶
4：极限挑战
5：闯关
6:血流模式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1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1：8球
2：斯诺克
3：高手进阶
4：极限挑战
5：闯关
6:血流模式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0：分享者
1：助力者</t>
        </r>
      </text>
    </comment>
    <comment ref="D12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1,x对应意义为1~x对应的数量，等概率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zhouzhen</author>
    <author>Administrator</author>
  </authors>
  <commentList>
    <comment ref="C12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小的数字在前
0代表不出现</t>
        </r>
      </text>
    </comment>
    <comment ref="D12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小的数字在前
0代表不出现</t>
        </r>
      </text>
    </comment>
    <comment ref="E12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是否每次登录时都会推送
0：不重复（每日只弹出一次）
1：重复（每次登录都会弹出）
</t>
        </r>
      </text>
    </comment>
    <comment ref="F12" authorId="1" shapeId="0" xr:uid="{00000000-0006-0000-0500-000004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0:无
1：必弹
必弹的要配置在返回主界面推送的1和2，这个不能改
必弹就是符合条件就弹，不受弹窗个数控制，必弹的顺序必须配在前面</t>
        </r>
      </text>
    </comment>
    <comment ref="G12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直售礼包跳转到对应的礼包id
</t>
        </r>
      </text>
    </comment>
    <comment ref="H12" authorId="0" shapeId="0" xr:uid="{00000000-0006-0000-0500-00000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活动限制等级，对应系统特殊数据配置表level_config表id</t>
        </r>
      </text>
    </comment>
    <comment ref="I12" authorId="0" shapeId="0" xr:uid="{00000000-0006-0000-0500-000007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是否可支付才解锁的活动
1 是 0 否</t>
        </r>
      </text>
    </comment>
    <comment ref="J12" authorId="0" shapeId="0" xr:uid="{00000000-0006-0000-0500-000008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判断活动是否推送</t>
        </r>
      </text>
    </comment>
    <comment ref="K12" authorId="0" shapeId="0" xr:uid="{00000000-0006-0000-0500-000009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判断活动是否推送</t>
        </r>
      </text>
    </comment>
    <comment ref="L12" authorId="0" shapeId="0" xr:uid="{00000000-0006-0000-0500-00000A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判断活动是否推送</t>
        </r>
      </text>
    </comment>
    <comment ref="B35" authorId="2" shapeId="0" xr:uid="{00000000-0006-0000-0500-00000B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首充的弹出条件是金币小于2000且钻石小于20，没有首充过才会弹窗</t>
        </r>
      </text>
    </comment>
    <comment ref="B36" authorId="2" shapeId="0" xr:uid="{00000000-0006-0000-0500-00000C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 xml:space="preserve">1元特惠弹出条件：
金币小于2000且钻石小于20
已购买礼包数量小于6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  <author>ta ta</author>
    <author>Administrator</author>
  </authors>
  <commentList>
    <comment ref="C12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rFont val="宋体"/>
            <family val="3"/>
            <charset val="134"/>
          </rPr>
          <t>是否每次登录时都会推送
0：不重复（每日只弹出一次）
1：重复（每次登录都会弹出）</t>
        </r>
        <r>
          <rPr>
            <b/>
            <sz val="9"/>
            <rFont val="宋体"/>
            <family val="3"/>
            <charset val="134"/>
          </rPr>
          <t xml:space="preserve">
</t>
        </r>
      </text>
    </comment>
    <comment ref="D12" authorId="1" shapeId="0" xr:uid="{00000000-0006-0000-06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E12" authorId="1" shapeId="0" xr:uid="{00000000-0006-0000-0600-000003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  <comment ref="G12" authorId="2" shapeId="0" xr:uid="{00000000-0006-0000-0600-000004000000}">
      <text>
        <r>
          <rPr>
            <b/>
            <sz val="9"/>
            <rFont val="宋体"/>
            <family val="3"/>
            <charset val="134"/>
          </rPr>
          <t>ta ta:</t>
        </r>
        <r>
          <rPr>
            <sz val="9"/>
            <rFont val="宋体"/>
            <family val="3"/>
            <charset val="134"/>
          </rPr>
          <t xml:space="preserve">
0：普通活动图
1：订阅
2：新手对局
3：仅微信渠道弹出</t>
        </r>
      </text>
    </comment>
    <comment ref="A16" authorId="3" shapeId="0" xr:uid="{00000000-0006-0000-0600-00000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第1个与push里的activity_push一致；
后面的id才会读对应的配置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J12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K12" authorId="0" shapeId="0" xr:uid="{00000000-0006-0000-0900-000002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D12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1：分享
0：视频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0B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0:说明没有连续分享的逻辑</t>
        </r>
      </text>
    </comment>
    <comment ref="D12" authorId="0" shapeId="0" xr:uid="{00000000-0006-0000-0B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0：说明没有连续分享对应的逻辑</t>
        </r>
      </text>
    </comment>
    <comment ref="M12" authorId="0" shapeId="0" xr:uid="{00000000-0006-0000-0B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循环从分享开始还是视频开始
0：视频开始
1：分享开始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G12" authorId="0" shapeId="0" xr:uid="{00000000-0006-0000-0C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0：转发、看视频都可以领奖励
1：必须看视频才能领奖励</t>
        </r>
      </text>
    </comment>
    <comment ref="H12" authorId="0" shapeId="0" xr:uid="{00000000-0006-0000-0C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0：不纳入池子
1：纳入池子</t>
        </r>
      </text>
    </comment>
    <comment ref="C15" authorId="0" shapeId="0" xr:uid="{00000000-0006-0000-0C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0：代表不读share类型
其他ID对应视频share表ID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0D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1：弹出五维图（必须是球杆）
2：直接弹出广告，看完后可领奖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0E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0：一次性奖励
如果是0，时效那边也为0，代表立刻就可以领取
1：每日奖励</t>
        </r>
      </text>
    </comment>
    <comment ref="D12" authorId="0" shapeId="0" xr:uid="{00000000-0006-0000-0E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0：代表免banner功能</t>
        </r>
      </text>
    </comment>
    <comment ref="E12" authorId="0" shapeId="0" xr:uid="{00000000-0006-0000-0E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单位：天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Piao Shengning</author>
    <author>杨宗水</author>
  </authors>
  <commentList>
    <comment ref="C11" authorId="0" shapeId="0" xr:uid="{00000000-0006-0000-0F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总共所需数量</t>
        </r>
      </text>
    </comment>
    <comment ref="A12" authorId="0" shapeId="0" xr:uid="{00000000-0006-0000-0F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  <comment ref="D12" authorId="1" shapeId="0" xr:uid="{00000000-0006-0000-0F00-000003000000}">
      <text>
        <r>
          <rPr>
            <sz val="11"/>
            <color indexed="8"/>
            <rFont val="Helvetica"/>
            <family val="2"/>
          </rPr>
          <t>Piao Shengning:
0</t>
        </r>
        <r>
          <rPr>
            <sz val="11"/>
            <color indexed="8"/>
            <rFont val="宋体"/>
            <family val="3"/>
            <charset val="134"/>
          </rPr>
          <t>：没有对应的背景图</t>
        </r>
      </text>
    </comment>
    <comment ref="E12" authorId="2" shapeId="0" xr:uid="{00000000-0006-0000-0F00-000004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当前时间&gt;=出现时间时，该商店分页出现</t>
        </r>
      </text>
    </comment>
    <comment ref="F12" authorId="2" shapeId="0" xr:uid="{00000000-0006-0000-0F00-000005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当前时间&gt;=消失时间时，商店分页消失</t>
        </r>
      </text>
    </comment>
    <comment ref="D14" authorId="1" shapeId="0" xr:uid="{00000000-0006-0000-0F00-000006000000}">
      <text>
        <r>
          <rPr>
            <sz val="11"/>
            <color rgb="FF000000"/>
            <rFont val="Helvetica"/>
            <family val="2"/>
          </rPr>
          <t>Piao Shengning:
属性描述. 是否为主键, 是否导出客户端, 是否导出服务端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1" authorId="0" shapeId="0" xr:uid="{00000000-0006-0000-1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总共所需数量</t>
        </r>
      </text>
    </comment>
    <comment ref="A12" authorId="0" shapeId="0" xr:uid="{00000000-0006-0000-1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2" authorId="0" shapeId="0" xr:uid="{00000000-0006-0000-1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tony1</author>
  </authors>
  <commentList>
    <comment ref="D12" authorId="0" shapeId="0" xr:uid="{00000000-0006-0000-13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用于升级通行证界面显示
用battle_pass_show id</t>
        </r>
      </text>
    </comment>
    <comment ref="E12" authorId="0" shapeId="0" xr:uid="{00000000-0006-0000-13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用于升级通行证界面显示
用battle_pass_show id</t>
        </r>
      </text>
    </comment>
    <comment ref="F12" authorId="1" shapeId="0" xr:uid="{00000000-0006-0000-1300-000003000000}">
      <text>
        <r>
          <rPr>
            <b/>
            <sz val="9"/>
            <rFont val="宋体"/>
            <family val="3"/>
            <charset val="134"/>
          </rPr>
          <t>tony1:</t>
        </r>
        <r>
          <rPr>
            <sz val="9"/>
            <rFont val="宋体"/>
            <family val="3"/>
            <charset val="134"/>
          </rPr>
          <t xml:space="preserve">
30元档球杆展示</t>
        </r>
      </text>
    </comment>
    <comment ref="G12" authorId="1" shapeId="0" xr:uid="{00000000-0006-0000-1300-000004000000}">
      <text>
        <r>
          <rPr>
            <b/>
            <sz val="9"/>
            <rFont val="宋体"/>
            <family val="3"/>
            <charset val="134"/>
          </rPr>
          <t>tony1:</t>
        </r>
        <r>
          <rPr>
            <sz val="9"/>
            <rFont val="宋体"/>
            <family val="3"/>
            <charset val="134"/>
          </rPr>
          <t xml:space="preserve">
98元档球杆展示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tony1</author>
  </authors>
  <commentList>
    <comment ref="D12" authorId="0" shapeId="0" xr:uid="{00000000-0006-0000-14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0：表示无大奖
1：展示高级通行证左侧大奖
</t>
        </r>
      </text>
    </comment>
    <comment ref="F12" authorId="1" shapeId="0" xr:uid="{00000000-0006-0000-1400-000002000000}">
      <text>
        <r>
          <rPr>
            <b/>
            <sz val="9"/>
            <rFont val="宋体"/>
            <family val="3"/>
            <charset val="134"/>
          </rPr>
          <t>tony1:</t>
        </r>
        <r>
          <rPr>
            <sz val="9"/>
            <rFont val="宋体"/>
            <family val="3"/>
            <charset val="134"/>
          </rPr>
          <t xml:space="preserve">
奖励展示配置与super字段
1， list左侧
2， list右侧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9" authorId="0" shapeId="0" xr:uid="{00000000-0006-0000-16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[货币id，价格，经验数量]
</t>
        </r>
        <r>
          <rPr>
            <b/>
            <sz val="9"/>
            <rFont val="宋体"/>
            <family val="3"/>
            <charset val="134"/>
          </rPr>
          <t>必须是1级所需的经验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Administrator</author>
  </authors>
  <commentList>
    <comment ref="D12" authorId="0" shapeId="0" xr:uid="{00000000-0006-0000-1700-000001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0表示非立即获得展示道具
1表示立即获得的展示奖励组id</t>
        </r>
      </text>
    </comment>
    <comment ref="E12" authorId="1" shapeId="0" xr:uid="{00000000-0006-0000-17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根据battle_pass_times确立序号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Aki</author>
  </authors>
  <commentList>
    <comment ref="B12" authorId="0" shapeId="0" xr:uid="{00000000-0006-0000-1800-000001000000}">
      <text>
        <r>
          <rPr>
            <b/>
            <sz val="9"/>
            <rFont val="宋体"/>
            <family val="3"/>
            <charset val="134"/>
          </rPr>
          <t xml:space="preserve">Admin:
</t>
        </r>
        <r>
          <rPr>
            <sz val="9"/>
            <rFont val="宋体"/>
            <family val="3"/>
            <charset val="134"/>
          </rPr>
          <t xml:space="preserve">1：PVP比赛次数X-----次数
2：累积登录：累积登录多少天-----次数
3：指定日期登录：登录游戏（未做）
4：累积充值：累积充值多少-----金额（元）
5：分享（未做）
6：闯关：累积玩多少局闯关-----次数
7：一周内某天登录：周几登录游戏(0-6:周日-周六）   
8：玩家一杆N球M次-----次数，次数
9：8球模式在某场次及以上的对局X局-----数量，次数
10：玩家8球连杆击数目X-----次数
11：玩家8球一杆清台的次数X-----次数
12:任意8球比赛X特殊进球次数X-----类型id，次数
13:8球模式开球打进X颗-----次数
14:8球模式连胜X局-----次数
15:8球模式连输X局-----次数
16：累积消费X钻石-----数量
17：任意模式加注X次-----次数
18：看任意的视频X次-----次数
19：签到X次-----次数
20：累积充值X天-----次数
21：PVP比赛XX模式次数X-----类型id，次数
22：周几累积在线时间      
23：周几PVP比赛次数X     
24：参加好友约战的次数X-----次数
25：参加幸运夺宝的次数X-----次数
26：PVP比赛获胜次数X-----次数
27：PVP比赛累积进球次数X-----次数
28：X金币场及以上场次比赛次数X-----金币数，次数
29：X金币场及以上场次比赛获胜次数X-----金币数，次数
30：X金币场及以上场次比赛进球次数X-----金币数，次数
Near:
36.完成每日首胜次数-----次数
</t>
        </r>
      </text>
    </comment>
    <comment ref="H12" authorId="1" shapeId="0" xr:uid="{00000000-0006-0000-1800-000002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跳转链接表ID
不填按钮不跳转</t>
        </r>
      </text>
    </comment>
    <comment ref="I12" authorId="1" shapeId="0" xr:uid="{00000000-0006-0000-1800-000003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1为每日任务
2为每周任务</t>
        </r>
      </text>
    </comment>
    <comment ref="H26" authorId="1" shapeId="0" xr:uid="{00000000-0006-0000-1800-000004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ad_point ID</t>
        </r>
      </text>
    </comment>
    <comment ref="H30" authorId="1" shapeId="0" xr:uid="{00000000-0006-0000-1800-000005000000}">
      <text>
        <r>
          <rPr>
            <b/>
            <sz val="9"/>
            <rFont val="宋体"/>
            <family val="3"/>
            <charset val="134"/>
          </rPr>
          <t>Near:</t>
        </r>
        <r>
          <rPr>
            <sz val="9"/>
            <rFont val="宋体"/>
            <family val="3"/>
            <charset val="134"/>
          </rPr>
          <t xml:space="preserve">
ad_point ID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E12" authorId="0" shapeId="0" xr:uid="{00000000-0006-0000-19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杨宗水</author>
  </authors>
  <commentList>
    <comment ref="C11" authorId="0" shapeId="0" xr:uid="{00000000-0006-0000-1A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总共所需数量</t>
        </r>
      </text>
    </comment>
    <comment ref="A12" authorId="0" shapeId="0" xr:uid="{00000000-0006-0000-1A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100~199：文本消息
300~399：普通表情
400~499：VIP表情</t>
        </r>
      </text>
    </comment>
    <comment ref="E12" authorId="1" shapeId="0" xr:uid="{00000000-0006-0000-1A00-000003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B12" authorId="0" shapeId="0" xr:uid="{00000000-0006-0000-1B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  <comment ref="E12" authorId="1" shapeId="0" xr:uid="{00000000-0006-0000-1B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完成任务可获得奖励
[[奖励物品id,数量],...]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B12" authorId="0" shapeId="0" xr:uid="{00000000-0006-0000-1C00-000001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达成任务时条件所需数量</t>
        </r>
      </text>
    </comment>
    <comment ref="E12" authorId="1" shapeId="0" xr:uid="{00000000-0006-0000-1C00-000002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完成分享任务可获得奖励
[奖励物品id,数量]</t>
        </r>
      </text>
    </comment>
  </commentList>
</comments>
</file>

<file path=xl/sharedStrings.xml><?xml version="1.0" encoding="utf-8"?>
<sst xmlns="http://schemas.openxmlformats.org/spreadsheetml/2006/main" count="5025" uniqueCount="1633">
  <si>
    <t>CONFIG_NAME</t>
  </si>
  <si>
    <t>tryout</t>
  </si>
  <si>
    <t>配置名, 如果没有这个字段, 则这个Sheet不会导出</t>
  </si>
  <si>
    <t>CONFIG_DESCRIPTION</t>
  </si>
  <si>
    <t>试玩球杆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</si>
  <si>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</si>
  <si>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</si>
  <si>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</si>
  <si>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</si>
  <si>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</si>
  <si>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</si>
  <si>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</si>
  <si>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</si>
  <si>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</si>
  <si>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</si>
  <si>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</si>
  <si>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</si>
  <si>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</si>
  <si>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球杆id</t>
  </si>
  <si>
    <t>出现日期</t>
  </si>
  <si>
    <t>出现功能</t>
  </si>
  <si>
    <t>试玩类型</t>
  </si>
  <si>
    <t>试玩价格</t>
  </si>
  <si>
    <t>id</t>
  </si>
  <si>
    <t>cue_id</t>
  </si>
  <si>
    <t>turnout</t>
  </si>
  <si>
    <t>fun</t>
  </si>
  <si>
    <t>type_try</t>
  </si>
  <si>
    <t>price</t>
  </si>
  <si>
    <t>int32</t>
  </si>
  <si>
    <t>string</t>
  </si>
  <si>
    <t>key,lua,pb,json</t>
  </si>
  <si>
    <t>lua,pb,json</t>
  </si>
  <si>
    <t>S</t>
  </si>
  <si>
    <t>SS</t>
  </si>
  <si>
    <t>SSS</t>
  </si>
  <si>
    <t>1,2,3,4,5,6</t>
  </si>
  <si>
    <t>地狱火焰主题试玩球杆，品质等级为S。</t>
  </si>
  <si>
    <t>地狱火焰主题试玩球杆，品质等级为SS。</t>
  </si>
  <si>
    <t>地狱火焰主球试玩球杆，品质等级为SSS。</t>
  </si>
  <si>
    <t>国色天香主题试玩球杆，品质为SS。</t>
  </si>
  <si>
    <t>国色天香主题试玩球杆，品质为SSS。</t>
  </si>
  <si>
    <t>骑士长枪主题试玩球杆，品质等级为S。</t>
  </si>
  <si>
    <t>骑士长枪主题试玩球杆，品质等级为SS。</t>
  </si>
  <si>
    <t>骑士长枪主题试玩球杆，品质等级为SSS。</t>
  </si>
  <si>
    <t>如鱼得水主题试玩球杆，品质等级为SS。</t>
  </si>
  <si>
    <t>如鱼得水主题试玩球杆，品质等级为SSS。</t>
  </si>
  <si>
    <t>街头潮牌主题试玩球杆，品质等级为S。</t>
  </si>
  <si>
    <t>街头潮牌主题试玩球杆，品质等级为SS。</t>
  </si>
  <si>
    <t>紫金葫芦主题试玩球杆，品质等级为S。</t>
  </si>
  <si>
    <t>紫金葫芦主题试玩球杆，品质等级为SS。</t>
  </si>
  <si>
    <t>紫金葫芦主球试玩球杆，品质等级为SSS。</t>
  </si>
  <si>
    <t>黑色琴键主题试玩球杆，品质等级为S。</t>
  </si>
  <si>
    <t>黑色琴键主题试玩球杆，品质等级为SS。</t>
  </si>
  <si>
    <t>黑色琴键主球试玩球杆，品质等级为SSS。</t>
  </si>
  <si>
    <t>电音吉他主题试玩球杆，品质等级为S。</t>
  </si>
  <si>
    <t>电音吉他主题试玩球杆，品质等级为SS。</t>
  </si>
  <si>
    <t>电音吉他主球试玩球杆，品质等级为SSS。</t>
  </si>
  <si>
    <t>台球麦霸主题试玩球杆，品质等级为S。</t>
  </si>
  <si>
    <t>台球麦霸主题试玩球杆，品质等级为SS。</t>
  </si>
  <si>
    <t>台球麦霸主球试玩球杆，品质等级为SSS。</t>
  </si>
  <si>
    <t>喵星物语主题试玩球杆，品质等级为SS。</t>
  </si>
  <si>
    <t>喵星物语主题试玩球杆，品质等级为SSS。</t>
  </si>
  <si>
    <t>喵星物语主题试玩球杆，品质等级为S。</t>
  </si>
  <si>
    <t>夏日海滩主题试玩球杆，品质等级为S。</t>
  </si>
  <si>
    <t>夏日海滩主题试玩球杆，品质等级为SS。</t>
  </si>
  <si>
    <t>夏日海滩主球试玩球杆，品质等级为SSS。</t>
  </si>
  <si>
    <t>圣诞糖果主题试玩球杆，品质等级为S。</t>
  </si>
  <si>
    <t>圣诞糖果主题试玩球杆，品质等级为SS。</t>
  </si>
  <si>
    <t>圣诞糖果主球试玩球杆，品质等级为SSS。</t>
  </si>
  <si>
    <t>圣诞树主题试玩球杆，品质等级为S。</t>
  </si>
  <si>
    <t>圣诞树主题试玩球杆，品质等级为SS。</t>
  </si>
  <si>
    <t>圣诞树主球试玩球杆，品质等级为SSS。</t>
  </si>
  <si>
    <t>梅花三弄主题试玩球杆，品质等级为S。</t>
  </si>
  <si>
    <t>龙回头主题试玩球杆，品质等级为S。</t>
  </si>
  <si>
    <t>龙回头主题试玩球杆，品质等级为SS。</t>
  </si>
  <si>
    <t>龙回头主题试玩球杆，品质等级为SSS。</t>
  </si>
  <si>
    <t>成就大师主题试玩球杆，品质等级为SS。</t>
  </si>
  <si>
    <t>台球达人主题试玩球杆，品质等级S</t>
  </si>
  <si>
    <t>台球达人主题试玩球杆，品质等级SS</t>
  </si>
  <si>
    <t>台球达人主题试玩球杆，品质等级SSS</t>
  </si>
  <si>
    <t>雄鹰权杖主题试玩球杆，品质等级S</t>
  </si>
  <si>
    <t>雄鹰权杖主题试玩球杆，品质等级SS</t>
  </si>
  <si>
    <t>雄鹰权杖主题试玩球杆，品质等级SSS</t>
  </si>
  <si>
    <t>双龙戏珠主题试玩球杆，品质等级S</t>
  </si>
  <si>
    <t>双龙戏珠主题试玩球杆，品质等级SS</t>
  </si>
  <si>
    <t>流光宝石主题试玩球杆，品质等级S</t>
  </si>
  <si>
    <t>枫叶主题试玩球杆，品质等级S</t>
  </si>
  <si>
    <t>五一主题试玩球杆，品质等级S</t>
  </si>
  <si>
    <t>五一主题试玩球杆，品质等级SS</t>
  </si>
  <si>
    <t>五一主题试玩球杆，品质等级SSS</t>
  </si>
  <si>
    <t>方天画戟主题试玩球杆，品质等级S</t>
  </si>
  <si>
    <t>方天画戟主题试玩球杆，品质等级SS</t>
  </si>
  <si>
    <t>方天画戟主题试玩球杆，品质等级SSS</t>
  </si>
  <si>
    <t>青龙偃月主题试玩球杆，品质等级S</t>
  </si>
  <si>
    <t>青龙偃月主题试玩球杆，品质等级SS</t>
  </si>
  <si>
    <t>青龙偃月主题试玩球杆，品质等级SSS</t>
  </si>
  <si>
    <t>青龙偃月主题试玩球杆，品质等级Z</t>
  </si>
  <si>
    <t>法老权杖主题试玩球杆，品质等级S</t>
  </si>
  <si>
    <t>法老权杖主题试玩球杆，品质等级SS</t>
  </si>
  <si>
    <t>法老权杖主题试玩球杆，品质等级SSS</t>
  </si>
  <si>
    <t>龙胆亮银主题试玩球杆，品质等级S</t>
  </si>
  <si>
    <t>龙胆亮银主题试玩球杆，品质等级SS</t>
  </si>
  <si>
    <t>龙胆亮银主题试玩球杆，品质等级SSS</t>
  </si>
  <si>
    <t>龙胆亮银主题试玩球杆，品质等级Z</t>
  </si>
  <si>
    <t>哪吒主题试玩球杆，品质等级S</t>
  </si>
  <si>
    <t>哪吒主题试玩球杆，品质等级SS</t>
  </si>
  <si>
    <t>哪吒主题试玩球杆，品质等级SSS</t>
  </si>
  <si>
    <t>DBA星耀主题试玩球杆，品质等级S</t>
  </si>
  <si>
    <t>DBA星耀主题试玩球杆，品质等级SS</t>
  </si>
  <si>
    <t>DBA星耀主题试玩球杆，品质等级SSS</t>
  </si>
  <si>
    <t>DBA悟道主题试玩球杆，品质等级S</t>
  </si>
  <si>
    <t>丈八蛇矛主题试玩球杆，品质等级S</t>
  </si>
  <si>
    <t>丈八蛇矛主题试玩球杆，品质等级SS</t>
  </si>
  <si>
    <t>丈八蛇矛主题试玩球杆，品质等级SSS</t>
  </si>
  <si>
    <t>南瓜头主题试玩球杆，品质等级S</t>
  </si>
  <si>
    <t>南瓜头主题试玩球杆，品质等级SS</t>
  </si>
  <si>
    <t>南瓜头主题试玩球杆，品质等级SSS</t>
  </si>
  <si>
    <t>甜心宝贝主题试玩球杆，品质等级S</t>
  </si>
  <si>
    <t>甜心宝贝主题试玩球杆，品质等级SS</t>
  </si>
  <si>
    <t>甜心宝贝主题试玩球杆，品质等级SSS</t>
  </si>
  <si>
    <t>乌木试玩球杆主题试玩球杆，品质等级S</t>
  </si>
  <si>
    <t>乌木试玩球杆主题试玩球杆，品质等级SS</t>
  </si>
  <si>
    <t>乌木试玩球杆主题试玩球杆，品质等级SSS</t>
  </si>
  <si>
    <t>玉如意主题试玩球杆，品质等级S</t>
  </si>
  <si>
    <t>玉如意主题试玩球杆，品质等级SS</t>
  </si>
  <si>
    <t>玉如意主题试玩球杆，品质等级SSS</t>
  </si>
  <si>
    <t>枫叶团扇主题试玩球杆，品质等级S</t>
  </si>
  <si>
    <t>枫叶团扇主题试玩球杆，品质等级SS</t>
  </si>
  <si>
    <t>枫叶团扇主题试玩球杆，品质等级SSS</t>
  </si>
  <si>
    <t>白色死神主题试玩球杆，品质等级S</t>
  </si>
  <si>
    <t>白色死神主题试玩球杆，品质等级SS</t>
  </si>
  <si>
    <t>白色死神主题试玩球杆，品质等级SSS</t>
  </si>
  <si>
    <t>虎头虎脑主题试玩球杆，品质等级S</t>
  </si>
  <si>
    <t>虎头虎脑主题试玩球杆，品质等级SS</t>
  </si>
  <si>
    <t>虎头虎脑主题试玩球杆，品质等级SSS</t>
  </si>
  <si>
    <t>绿茵活动专属试玩球杆，品质等级S</t>
  </si>
  <si>
    <t>绿茵活动专属试玩球杆，品质等级SS</t>
  </si>
  <si>
    <t>绿茵活动专属试玩球杆，品质等级SSS</t>
  </si>
  <si>
    <t>新春活动专属试玩球杆，品质等级S</t>
  </si>
  <si>
    <t>新春活动专属试玩球杆，品质等级SS</t>
  </si>
  <si>
    <t>新春活动专属试玩球杆，品质等级SSS</t>
  </si>
  <si>
    <t>寻宝之路活动专属试玩球杆，品质等级SS</t>
  </si>
  <si>
    <t>寻宝之路活动专属试玩球杆，品质等级SSS</t>
  </si>
  <si>
    <t>黄金段位专属试玩球杆，品质等级S</t>
  </si>
  <si>
    <t>情缘夺宝活动专属试玩球杆，品质等级S</t>
  </si>
  <si>
    <t>情缘夺宝活动专属试玩球杆，品质等级SS</t>
  </si>
  <si>
    <t>情缘夺宝活动专属试玩球杆，品质等级SSS</t>
  </si>
  <si>
    <t>至尊皇权主题试玩球杆，品质等级S</t>
  </si>
  <si>
    <t>至尊皇权主题试玩球杆，品质等级SS</t>
  </si>
  <si>
    <t>至尊皇权主题试玩球杆，品质等级SSS</t>
  </si>
  <si>
    <t>梦幻学园主题试玩球杆，品质等级SSS</t>
  </si>
  <si>
    <t>冰源风暴试玩球杆，品质等级S</t>
  </si>
  <si>
    <t>冰源风暴试玩球杆，品质等级SS</t>
  </si>
  <si>
    <t>冰源风暴试玩球杆，品质等级SSS</t>
  </si>
  <si>
    <t>弧电枪主题试玩球杆，品质等级S</t>
  </si>
  <si>
    <t>弧电枪主题试玩球杆，品质等级SS</t>
  </si>
  <si>
    <t>弧电枪主题试玩球杆，品质等级SSS</t>
  </si>
  <si>
    <t>核心驱动主题试玩球杆，品质等级S</t>
  </si>
  <si>
    <t>核心驱动主题试玩球杆，品质等级SS</t>
  </si>
  <si>
    <t>核心驱动主题试玩球杆，品质等级SSS</t>
  </si>
  <si>
    <t>愿者上钩主题试玩球杆，品质等级S</t>
  </si>
  <si>
    <t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</t>
  </si>
  <si>
    <t>愿者上钩主题试玩球杆，品质等级SS</t>
  </si>
  <si>
    <t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,141084,141094,141104,141114,141124,141134,141144</t>
  </si>
  <si>
    <t>愿者上钩主题试玩球杆，品质等级SSS</t>
  </si>
  <si>
    <t>桃之夭夭主题试玩球杆，品质等级S</t>
  </si>
  <si>
    <t>桃之夭夭主题试玩球杆，品质等级SS</t>
  </si>
  <si>
    <t>桃之夭夭主题试玩球杆，品质等级SSS</t>
  </si>
  <si>
    <t>神圣羽杖主题试玩球杆，品质等级S</t>
  </si>
  <si>
    <t>神圣羽杖主题试玩球杆，品质等级SS</t>
  </si>
  <si>
    <t>神圣羽杖主题试玩球杆，品质等级SSS</t>
  </si>
  <si>
    <t>蓝梦月泪主题试玩球杆，品质等级S</t>
  </si>
  <si>
    <t>蓝梦月泪主题试玩球杆，品质等级SS</t>
  </si>
  <si>
    <t>蓝梦月泪主题试玩球杆，品质等级SSS</t>
  </si>
  <si>
    <t>祥瑞之星主题试玩球杆，品质等级S</t>
  </si>
  <si>
    <t>祥瑞之星主题试玩球杆，品质等级SS</t>
  </si>
  <si>
    <t>祥瑞之星主题试玩球杆，品质等级SSS</t>
  </si>
  <si>
    <t>樱韵霜芒主题试玩球杆，品质等级S</t>
  </si>
  <si>
    <t>樱韵霜芒主题试玩球杆，品质等级SS</t>
  </si>
  <si>
    <t>樱韵霜芒主题试玩球杆，品质等级SSS</t>
  </si>
  <si>
    <t>翠竹清韵主题试玩球杆，品质等级S</t>
  </si>
  <si>
    <t>翠竹清韵主题试玩球杆，品质等级SS</t>
  </si>
  <si>
    <t>翠竹清韵主题试玩球杆，品质等级SSS</t>
  </si>
  <si>
    <t>墨韵留香主题试玩球杆，品质等级S</t>
  </si>
  <si>
    <t>墨韵留香主题试玩球杆，品质等级SS</t>
  </si>
  <si>
    <t>墨韵留香主题试玩球杆，品质等级SSS</t>
  </si>
  <si>
    <t>东方星晓主题试玩球杆，品质等级S</t>
  </si>
  <si>
    <t>东方星晓主题试玩球杆，品质等级SS</t>
  </si>
  <si>
    <t>东方星晓主题试玩球杆，品质等级SSS</t>
  </si>
  <si>
    <t>笔落春秋主题试玩球杆，品质等级S</t>
  </si>
  <si>
    <t>笔落春秋主题试玩球杆，品质等级SS</t>
  </si>
  <si>
    <t>笔落春秋主题试玩球杆，品质等级SSS</t>
  </si>
  <si>
    <t>海洋之心主题试玩球杆，品质等级S</t>
  </si>
  <si>
    <t>海洋之心主题试玩球杆，品质等级SS</t>
  </si>
  <si>
    <t>海洋之心主题试玩球杆，品质等级SSS</t>
  </si>
  <si>
    <t>凤羽流霞主题试玩球杆，品质等级S</t>
  </si>
  <si>
    <t>凤羽流霞主题试玩球杆，品质等级SS</t>
  </si>
  <si>
    <t>凤羽流霞主题试玩球杆，品质等级SSS</t>
  </si>
  <si>
    <t>枫林尽染主题试玩球杆，品质等级S</t>
  </si>
  <si>
    <t>枫林尽染主题试玩球杆，品质等级SS</t>
  </si>
  <si>
    <t>枫林尽染主题试玩球杆，品质等级SSS</t>
  </si>
  <si>
    <t>金色权杖主题试玩球杆，品质等级S</t>
  </si>
  <si>
    <t>金色权杖主题试玩球杆，品质等级SS</t>
  </si>
  <si>
    <t>金色权杖主题试玩球杆，品质等级SSS</t>
  </si>
  <si>
    <t>澄心定意主题试玩球杆，品质等级S</t>
  </si>
  <si>
    <t>澄心定意主题试玩球杆，品质等级SS</t>
  </si>
  <si>
    <t>澄心定意主题试玩球杆，品质等级SSS</t>
  </si>
  <si>
    <t>术士权杖主题试玩球杆，品质等级S</t>
  </si>
  <si>
    <t>术士权杖主题试玩球杆，品质等级SS</t>
  </si>
  <si>
    <t>术士权杖主题试玩球杆，品质等级SSS</t>
  </si>
  <si>
    <t>惩戒之刃主题试玩球杆，品质等级S</t>
  </si>
  <si>
    <t>惩戒之刃主题试玩球杆，品质等级SS</t>
  </si>
  <si>
    <t>惩戒之刃主题试玩球杆，品质等级SSS</t>
  </si>
  <si>
    <t>川流之径主题试玩球杆，品质等级S</t>
  </si>
  <si>
    <t>川流之径主题试玩球杆，品质等级SS</t>
  </si>
  <si>
    <t>川流之径主题试玩球杆，品质等级SSS</t>
  </si>
  <si>
    <t>时光秩序主题试玩球杆，品质等级S</t>
  </si>
  <si>
    <t>时光秩序主题试玩球杆，品质等级SS</t>
  </si>
  <si>
    <t>时光秩序主题试玩球杆，品质等级SSS</t>
  </si>
  <si>
    <t>部落图腾主题试玩球杆，品质等级S</t>
  </si>
  <si>
    <t>部落图腾主题试玩球杆，品质等级SS</t>
  </si>
  <si>
    <t>部落图腾主题试玩球杆，品质等级SSS</t>
  </si>
  <si>
    <t>蒸汽核心主题试玩球杆，品质等级S</t>
  </si>
  <si>
    <t>蒸汽核心主题试玩球杆，品质等级SS</t>
  </si>
  <si>
    <t>蒸汽核心主题试玩球杆，品质等级SSS</t>
  </si>
  <si>
    <t>箬竹翠韵主题试玩球杆，品质等级S</t>
  </si>
  <si>
    <t>箬竹翠韵主题试玩球杆，品质等级SS</t>
  </si>
  <si>
    <t>箬竹翠韵主题试玩球杆，品质等级SSS</t>
  </si>
  <si>
    <t>tryout2</t>
  </si>
  <si>
    <t>球杆池-对局外</t>
  </si>
  <si>
    <t>球杆池-对局内</t>
  </si>
  <si>
    <t>球杆池-左</t>
  </si>
  <si>
    <t>球杆池-中</t>
  </si>
  <si>
    <t>球杆池-右</t>
  </si>
  <si>
    <t>对局内球杆池-左</t>
  </si>
  <si>
    <t>对局内球杆池-右</t>
  </si>
  <si>
    <t>cue_pool</t>
  </si>
  <si>
    <t>cue_pool_game</t>
  </si>
  <si>
    <t>cue_pool_left</t>
  </si>
  <si>
    <t>cue_pool_middle</t>
  </si>
  <si>
    <t>cue_pool_right</t>
  </si>
  <si>
    <t>fun_list</t>
  </si>
  <si>
    <t>list</t>
  </si>
  <si>
    <t>[140334,140354]</t>
  </si>
  <si>
    <t>[1,2,3,4,5,6]</t>
  </si>
  <si>
    <t>[140363,140373,140393,140403,140413,140423,140433,140443,140453,140463,140813,140834,140844,140854,140874,140884,140894,140914]</t>
  </si>
  <si>
    <t>tryout_z</t>
  </si>
  <si>
    <t>Z杆试玩</t>
  </si>
  <si>
    <t>试玩球杆id</t>
  </si>
  <si>
    <t>背景资源</t>
  </si>
  <si>
    <t>球杆坐标</t>
  </si>
  <si>
    <t>旋转角度</t>
  </si>
  <si>
    <t>img</t>
  </si>
  <si>
    <t>y</t>
  </si>
  <si>
    <t>rotation</t>
  </si>
  <si>
    <t>ui_banner_qgsw_ql</t>
  </si>
  <si>
    <t>ui_banner_qgsw_ldly</t>
  </si>
  <si>
    <t>ui_banner_qgsw_ryjgb</t>
  </si>
  <si>
    <t>tryout_table</t>
  </si>
  <si>
    <t>试用球桌</t>
  </si>
  <si>
    <t>球桌id</t>
  </si>
  <si>
    <t>table_id</t>
  </si>
  <si>
    <t>date</t>
  </si>
  <si>
    <t>module</t>
  </si>
  <si>
    <t>西瓜球桌</t>
  </si>
  <si>
    <t>A</t>
  </si>
  <si>
    <t>黑金科技</t>
  </si>
  <si>
    <t>水晶之恋</t>
  </si>
  <si>
    <t>动力驱动</t>
  </si>
  <si>
    <t>繁星点点</t>
  </si>
  <si>
    <t>机械齿轮</t>
  </si>
  <si>
    <t>喵星物语</t>
  </si>
  <si>
    <t>玛雅文明</t>
  </si>
  <si>
    <t>国色天香</t>
  </si>
  <si>
    <t>棒棒糖</t>
  </si>
  <si>
    <t>青花瓷</t>
  </si>
  <si>
    <t>骑士之誓</t>
  </si>
  <si>
    <t>DBA星耀</t>
  </si>
  <si>
    <t>虎虎生威</t>
  </si>
  <si>
    <t>red</t>
  </si>
  <si>
    <t>红包</t>
  </si>
  <si>
    <t>分享奖励</t>
  </si>
  <si>
    <t>身份</t>
  </si>
  <si>
    <t>奖励数量</t>
  </si>
  <si>
    <t>prize</t>
  </si>
  <si>
    <t>type</t>
  </si>
  <si>
    <t>amount</t>
  </si>
  <si>
    <t>1,2</t>
  </si>
  <si>
    <t>2,3</t>
  </si>
  <si>
    <t>push</t>
  </si>
  <si>
    <t>主界面推送</t>
  </si>
  <si>
    <t>投送模块</t>
  </si>
  <si>
    <t>首次登陆推送顺序</t>
  </si>
  <si>
    <t>每次回到主界面推送顺序</t>
  </si>
  <si>
    <t>登录推送是否重复</t>
  </si>
  <si>
    <t>是否必弹</t>
  </si>
  <si>
    <t>礼包类型</t>
  </si>
  <si>
    <t>解锁等级id</t>
  </si>
  <si>
    <t>可支付</t>
  </si>
  <si>
    <t>推送判断函数名</t>
  </si>
  <si>
    <t>跳转页面名称</t>
  </si>
  <si>
    <t>跳转页面参数</t>
  </si>
  <si>
    <t>order1</t>
  </si>
  <si>
    <t>order2</t>
  </si>
  <si>
    <t>if_repeat</t>
  </si>
  <si>
    <t>gift_type</t>
  </si>
  <si>
    <t>level</t>
  </si>
  <si>
    <t>pay</t>
  </si>
  <si>
    <t>link</t>
  </si>
  <si>
    <t>args</t>
  </si>
  <si>
    <t>签到</t>
  </si>
  <si>
    <t>onlyOpenSign</t>
  </si>
  <si>
    <t>ui.pop.signInPop.NewSignInPopUI</t>
  </si>
  <si>
    <t>邀请得金币</t>
  </si>
  <si>
    <t>onlyOpenCoinActivity</t>
  </si>
  <si>
    <t>ui.pop.inviteFrienCoinPop.InviteFriendCoinPopUI</t>
  </si>
  <si>
    <t>邀请得球杆</t>
  </si>
  <si>
    <t>onlyOpenCueActivity</t>
  </si>
  <si>
    <t>ui.pop.activityPop.ActivityPopUI</t>
  </si>
  <si>
    <t>看广告得金币</t>
  </si>
  <si>
    <t>onlyOpenVideoActivity</t>
  </si>
  <si>
    <t>每日特惠礼包</t>
  </si>
  <si>
    <t>onlyOpenDailyGift</t>
  </si>
  <si>
    <t>ui.WelfarePanelUI</t>
  </si>
  <si>
    <t>月卡</t>
  </si>
  <si>
    <t>onlyOpenMorthCard</t>
  </si>
  <si>
    <t>7首次登陆还没做</t>
  </si>
  <si>
    <t>邀请领钻</t>
  </si>
  <si>
    <t>免费球杆</t>
  </si>
  <si>
    <t>幸运夺宝（新）</t>
  </si>
  <si>
    <t>onlyOpenWheel</t>
  </si>
  <si>
    <t>ui.WelfareFullPanelUI</t>
  </si>
  <si>
    <t>免费宝箱</t>
  </si>
  <si>
    <t>onlyOpenEgg</t>
  </si>
  <si>
    <t>ui.pop.eggBoxPop.EggBoxPopUI</t>
  </si>
  <si>
    <t>免费金币</t>
  </si>
  <si>
    <t>onlyCoinFree</t>
  </si>
  <si>
    <t>ui.pop.coinFreePop.CoinFreePopUI</t>
  </si>
  <si>
    <t>砍一刀</t>
  </si>
  <si>
    <t>onlyOpenBargin</t>
  </si>
  <si>
    <t>ui.pop.activityPop.BarginPopUI</t>
  </si>
  <si>
    <t>10元夺宝活动</t>
  </si>
  <si>
    <t>onlyOpenTenCharge</t>
  </si>
  <si>
    <t>联赛活动推送</t>
  </si>
  <si>
    <t>onlyOpenClubMatch</t>
  </si>
  <si>
    <t>ui.pop.clubMatch.ClubMatchPushPopUI</t>
  </si>
  <si>
    <t>回归礼包</t>
  </si>
  <si>
    <t>onlyBackGift</t>
  </si>
  <si>
    <t>ui.pop.activityPop.BackGiftPopUI</t>
  </si>
  <si>
    <t>赛事公告</t>
  </si>
  <si>
    <t>幸运一击</t>
  </si>
  <si>
    <t>onlyLuckyShot</t>
  </si>
  <si>
    <t>ui.pop.luckyShot.NewLuckyShotPopUI</t>
  </si>
  <si>
    <t>天降红包</t>
  </si>
  <si>
    <t>首充</t>
  </si>
  <si>
    <t>onlyOpenFirstCharge</t>
  </si>
  <si>
    <t>ui.pop.firstChargePop.FirstChargeNewPopUI</t>
  </si>
  <si>
    <t>1元每周特惠</t>
  </si>
  <si>
    <t>onlyOpenOneGift</t>
  </si>
  <si>
    <t>ui.pop.activityPop.OneGiftPopUI</t>
  </si>
  <si>
    <t>活动页面</t>
  </si>
  <si>
    <t>福利页面</t>
  </si>
  <si>
    <t>球杆打造</t>
  </si>
  <si>
    <t>onlyMakeCue</t>
  </si>
  <si>
    <t>王孟南专属活动</t>
  </si>
  <si>
    <t>航海翻牌活动</t>
  </si>
  <si>
    <t>checkFlopOpen</t>
  </si>
  <si>
    <t>ui.pop.flop.FlopMainPanelUI</t>
  </si>
  <si>
    <t>打瑞兽活动</t>
  </si>
  <si>
    <t>checkGuessCoin</t>
  </si>
  <si>
    <t>ui.pop.guessCoin.GuessCoinPopUI</t>
  </si>
  <si>
    <t>幸运转盘</t>
  </si>
  <si>
    <t>checkTurntableLuckyOpen</t>
  </si>
  <si>
    <t>ui.pop.treasure.TreasurePanelUI</t>
  </si>
  <si>
    <t>球球翻翻乐</t>
  </si>
  <si>
    <t>checkFlopBallOpen</t>
  </si>
  <si>
    <t>ui.pop.activityPop.FlopBallPopUI</t>
  </si>
  <si>
    <t>每日奖励</t>
  </si>
  <si>
    <t>checkDailyRewardOpen</t>
  </si>
  <si>
    <t>每日特惠</t>
  </si>
  <si>
    <t>checkDailyGiftOpen</t>
  </si>
  <si>
    <t>ui.pop.activityPop.DailyGiftNewPopUI</t>
  </si>
  <si>
    <t>欢乐果园</t>
  </si>
  <si>
    <t>一键加群</t>
  </si>
  <si>
    <t>checkAddGroupOpen</t>
  </si>
  <si>
    <t>ui.pop.activityPop.QQAddGroupPopUI</t>
  </si>
  <si>
    <t>新手球杆</t>
  </si>
  <si>
    <t>神杆问世(banner)</t>
  </si>
  <si>
    <t>checkZCueLoginPush</t>
  </si>
  <si>
    <t>ui.pop.push.ZCuePushPopUI</t>
  </si>
  <si>
    <t>分享有礼</t>
  </si>
  <si>
    <t>checkShareActivityOpen</t>
  </si>
  <si>
    <t>ui.pop.activityPop.ShareActivityPopUI</t>
  </si>
  <si>
    <t>七日领奖</t>
  </si>
  <si>
    <t>checkSevenSignOpen</t>
  </si>
  <si>
    <t>ui.pop.fresh.FreshPanelUI</t>
  </si>
  <si>
    <t>每日一关</t>
  </si>
  <si>
    <t>checkDailyLevelOpen</t>
  </si>
  <si>
    <t>ui.dailyLevel.DailyLevelPopUI</t>
  </si>
  <si>
    <t>免费夺宝</t>
  </si>
  <si>
    <t>checkFreeBoxOpen</t>
  </si>
  <si>
    <t>世界杯活动模板</t>
  </si>
  <si>
    <t>公告说明</t>
  </si>
  <si>
    <t>checkGameAnnoPush</t>
  </si>
  <si>
    <t>ui.pop.commPop.UpdateGamePopUI</t>
  </si>
  <si>
    <t>activity_push</t>
  </si>
  <si>
    <t>checkActivityPush</t>
  </si>
  <si>
    <t>ui.pop.activityPop.ActivityPushPopUI</t>
  </si>
  <si>
    <t>礼包模板1</t>
  </si>
  <si>
    <t>礼包模板2</t>
  </si>
  <si>
    <t>礼包模板3</t>
  </si>
  <si>
    <t>礼包模板4</t>
  </si>
  <si>
    <t>礼包模板1（2）</t>
  </si>
  <si>
    <t>礼包模板2（2）</t>
  </si>
  <si>
    <t>礼包模板3（2）</t>
  </si>
  <si>
    <t>礼包模板4（2）</t>
  </si>
  <si>
    <t>礼包模板5</t>
  </si>
  <si>
    <t>礼包模板5（2）</t>
  </si>
  <si>
    <t>礼包模板6</t>
  </si>
  <si>
    <t>礼包模板6（2）</t>
  </si>
  <si>
    <t>登录推送外导拍脸</t>
  </si>
  <si>
    <t>checkExportLink0</t>
  </si>
  <si>
    <t>ui.pop.activityPop.ExportLinkPopUI</t>
  </si>
  <si>
    <t>返回大厅推送外导拍脸</t>
  </si>
  <si>
    <t>checkExportLink</t>
  </si>
  <si>
    <t>每日折扣礼包</t>
  </si>
  <si>
    <t>checkDrawDaily</t>
  </si>
  <si>
    <t>ui.pop.activityPop.DiamondDiscountPopUI</t>
  </si>
  <si>
    <t>免广告礼包</t>
  </si>
  <si>
    <t>checkNoAd</t>
  </si>
  <si>
    <t>ui.pop.activityPop.NoAdActivityPopUI</t>
  </si>
  <si>
    <t>推送活动配置表</t>
  </si>
  <si>
    <t>活动id</t>
  </si>
  <si>
    <t>活动图</t>
  </si>
  <si>
    <t>是否重复</t>
  </si>
  <si>
    <t>出现时间</t>
  </si>
  <si>
    <t>消失时间</t>
  </si>
  <si>
    <t>跳转链接</t>
  </si>
  <si>
    <t>活动图类型</t>
  </si>
  <si>
    <t>time_up</t>
  </si>
  <si>
    <t>time_down</t>
  </si>
  <si>
    <t>pb,json</t>
  </si>
  <si>
    <t>ui_image_hgtw_tc</t>
  </si>
  <si>
    <t>ui_xcdb_bg</t>
  </si>
  <si>
    <t>订阅</t>
  </si>
  <si>
    <t>ui_qydb_bg</t>
  </si>
  <si>
    <t>ui_qcdb_bg</t>
  </si>
  <si>
    <t>ui_banner_ccdzz_db</t>
  </si>
  <si>
    <t>ui_zjm_banner_xjdb</t>
  </si>
  <si>
    <t>ui_zjm_banner_gytz</t>
  </si>
  <si>
    <t>ui_zjm_banner_xymb</t>
  </si>
  <si>
    <t>ui_banner_ldly</t>
  </si>
  <si>
    <t>ui_banner_sbcxz</t>
  </si>
  <si>
    <t>ui_zjm_banner_xmxy</t>
  </si>
  <si>
    <t>ui_banner_cyj_db</t>
  </si>
  <si>
    <t>重阳活动</t>
  </si>
  <si>
    <t>ui_zjm_banner_xmqy</t>
  </si>
  <si>
    <t>寻梦奇缘</t>
  </si>
  <si>
    <t>ui_bjbyzr_db</t>
  </si>
  <si>
    <t>紫青宝剑</t>
  </si>
  <si>
    <t>ui_banner_yxqlw</t>
  </si>
  <si>
    <t>游戏圈拍脸图</t>
  </si>
  <si>
    <t>ui_image_xnhd</t>
  </si>
  <si>
    <t>元旦活动</t>
  </si>
  <si>
    <t>ui_banner_xchs_db</t>
  </si>
  <si>
    <t>ui_banner_hlml</t>
  </si>
  <si>
    <t>ui_zjm_banner_ln</t>
  </si>
  <si>
    <t>ui_ljcz_tfhj_db</t>
  </si>
  <si>
    <t>free_cue</t>
  </si>
  <si>
    <t>说明</t>
  </si>
  <si>
    <t>奖励组1</t>
  </si>
  <si>
    <t>奖励组2</t>
  </si>
  <si>
    <t>奖励组3</t>
  </si>
  <si>
    <t>时长1（分钟）</t>
  </si>
  <si>
    <t>时长2（分钟）</t>
  </si>
  <si>
    <t>时长3（分钟）</t>
  </si>
  <si>
    <t>视频可缩减的时长（分钟）</t>
  </si>
  <si>
    <t>cueId</t>
  </si>
  <si>
    <t>reward1</t>
  </si>
  <si>
    <t>reward2</t>
  </si>
  <si>
    <t>reward3</t>
  </si>
  <si>
    <t>time1</t>
  </si>
  <si>
    <t>time2</t>
  </si>
  <si>
    <t>time3</t>
  </si>
  <si>
    <t>timeAd</t>
  </si>
  <si>
    <t>A地狱火焰</t>
  </si>
  <si>
    <t>S紫金葫芦</t>
  </si>
  <si>
    <t>S黑色琴键</t>
  </si>
  <si>
    <t>common_share</t>
  </si>
  <si>
    <t>邀请所选图</t>
  </si>
  <si>
    <t>分享编号</t>
  </si>
  <si>
    <t>活动背景图</t>
  </si>
  <si>
    <t>文案语言包</t>
  </si>
  <si>
    <t>文案</t>
  </si>
  <si>
    <t>权重</t>
  </si>
  <si>
    <t>图片编号</t>
  </si>
  <si>
    <t>图片地址</t>
  </si>
  <si>
    <t>bgpng</t>
  </si>
  <si>
    <t>statement</t>
  </si>
  <si>
    <t>statement1</t>
  </si>
  <si>
    <t>weight</t>
  </si>
  <si>
    <t>png_id</t>
  </si>
  <si>
    <t>png_address</t>
  </si>
  <si>
    <t>ttpng_id</t>
  </si>
  <si>
    <t>vb</t>
  </si>
  <si>
    <t>share28</t>
  </si>
  <si>
    <t>一杆清台，你可以吗？</t>
  </si>
  <si>
    <t xml:space="preserve">XvToVeaNSKyym55ANysZsg== </t>
  </si>
  <si>
    <t>https://mmocgame.qpic.cn/wechatgame/jVxokSiaej7TDufmibrRxQzc67fAuhrt8YSwxgdapX0iaBIIpQSicN3S2ZdGMsD5KaQq/0</t>
  </si>
  <si>
    <t>3op774b1h7o21j4a7c</t>
  </si>
  <si>
    <t>share2</t>
  </si>
  <si>
    <t>一发入魂，就是这么6！</t>
  </si>
  <si>
    <t>k2we0PFDTJCx4RN3JvOpQA==</t>
  </si>
  <si>
    <t>https://mmocgame.qpic.cn/wechatgame/03XR5ibv5dEAMibicTz0Ix3iasJOYkQiaHHDMObzTRvqCKJ72iamegFpvRgY5CCbb1Qpfv/0</t>
  </si>
  <si>
    <t>d1f1c1696gl87vvtl1</t>
  </si>
  <si>
    <t>share3</t>
  </si>
  <si>
    <t>这球能进吗？在线等，挺急的！</t>
  </si>
  <si>
    <t>Dvei3WFMSqGmlKGJcLBghg==</t>
  </si>
  <si>
    <t>https://mmocgame.qpic.cn/wechatgame/03XR5ibv5dEDTicxcUFHyNgiaickduRLzD8rpkFUP9oS8kicQ6dm4c6jYn1hZGia44FFuM/0</t>
  </si>
  <si>
    <t>51s9cdqbhhc299ieff</t>
  </si>
  <si>
    <t>share4</t>
  </si>
  <si>
    <t>【8球邀请】快来切磋！</t>
  </si>
  <si>
    <t>+3a3MeNgTc+cDmOklsIsSg==</t>
  </si>
  <si>
    <t>https://mmocgame.qpic.cn/wechatgame/03XR5ibv5dEAYY7tMfQDeIViaWtVhvUWZXVBw8R4kT5oDC7YL4LV6Hsqvv8RvkyL9ib/0</t>
  </si>
  <si>
    <t>io79p0600lq10obke4</t>
  </si>
  <si>
    <t>趣味台球，免下载立刻玩</t>
  </si>
  <si>
    <t>19kloc2mkg1hoa801i</t>
  </si>
  <si>
    <t>share6</t>
  </si>
  <si>
    <t>【斯诺克邀请】快来切磋！</t>
  </si>
  <si>
    <t>6qBxNDK0SteJS+LVvkLjqg==</t>
  </si>
  <si>
    <t>https://mmocgame.qpic.cn/wechatgame/03XR5ibv5dEAvOtGzFG6s4rAPJibALJXT6uL22uNpEuJtzyh1zRxh0Xta6NKbjbI0P/0</t>
  </si>
  <si>
    <t>c6a00bf3cibe1dln00</t>
  </si>
  <si>
    <t>share10</t>
  </si>
  <si>
    <t>帮我点一下！还差1个人我就可以领球杆了！</t>
  </si>
  <si>
    <t>k2CfRAjSS5SDYzRBwDll8w==</t>
  </si>
  <si>
    <t>https://mmocgame.qpic.cn/wechatgame/03XR5ibv5dECCaH4YmlVa7SctcbgqkgFFTZOYH13huBdVHQZXib8f3y8frWA3QjYKF/0</t>
  </si>
  <si>
    <t>4kd6h2em5f6dk9oopq</t>
  </si>
  <si>
    <t>share7</t>
  </si>
  <si>
    <t>a93ZFv8hSdivPy/Jnk+1Zw==</t>
  </si>
  <si>
    <t>https://mmocgame.qpic.cn/wechatgame/03XR5ibv5dEBlrbJsWQiagib4BVkBtyvSB4EickMupscRKfm4RticTRHrZ2XKnAKp2XUw/0</t>
  </si>
  <si>
    <t>94q9fo761oo16bp1cu</t>
  </si>
  <si>
    <t>share20</t>
  </si>
  <si>
    <t>[胜率玩家通关]diy关卡标题名称</t>
  </si>
  <si>
    <t>share21</t>
  </si>
  <si>
    <t>大佬，帮我砍个价呗</t>
  </si>
  <si>
    <t>https://mmocgame.qpic.cn/wechatgame/03XR5ibv5dEDbyiaYxPqXt0kmlIicNnydwAv6Fm7iaJWvO9gTOYhYpxgtHX5CSmlkdQ7/0</t>
  </si>
  <si>
    <t>3mh9hqep3jua2inunp</t>
  </si>
  <si>
    <t>share22</t>
  </si>
  <si>
    <t>俱乐部联赛来袭，快来组建你的队伍吧！</t>
  </si>
  <si>
    <t>hdwhG+hERDilx41ogxmOIw==</t>
  </si>
  <si>
    <t>https://mmocgame.qpic.cn/wechatgame/03XR5ibv5dECkTYpFQicqTrtxYWMj4Q73f8jnm2twQ4etwdywupgRibkrOOmx8h9WJZ/0</t>
  </si>
  <si>
    <t>在座的各位，一个能打的都没有！</t>
  </si>
  <si>
    <t>share27</t>
  </si>
  <si>
    <t>谁来和我一较高下呀，谁来！</t>
  </si>
  <si>
    <t xml:space="preserve">VqAiTd6jTkK68Jtwpy0cMw== </t>
  </si>
  <si>
    <t>https://mmocgame.qpic.cn/wechatgame/jVxokSiaej7THcw8qfOZc0sCkcicEeYfEXShhu7xMzkODzQIQBajbf5QWq20JkhS6x/0</t>
  </si>
  <si>
    <t>share25</t>
  </si>
  <si>
    <t>不装了，我摊牌了，我是台球王者！你来挑战我试试</t>
  </si>
  <si>
    <t>2WYZKxxhTACby6Yf1TFFxQ==</t>
  </si>
  <si>
    <t>https://mmocgame.qpic.cn/wechatgame/8okS690KcniaFa978kPgwPIzSk7w62ZfibhqpZppSC2zZnDJiaiatF0iaiaCtUQXYZIByI/0</t>
  </si>
  <si>
    <t>b35eglb790ib3a73qo</t>
  </si>
  <si>
    <t>share26</t>
  </si>
  <si>
    <t>这游戏，太厉害了！连胜，无敌！</t>
  </si>
  <si>
    <t>8Fgjlqk/QZ6n1CuuTJWsiQ==</t>
  </si>
  <si>
    <t>https://mmocgame.qpic.cn/wechatgame/8okS690Kcniareo9OTiaa43ZdJlZ1ejEicj9EwpyiaFdWMxx4vPAZFQzHHYeXzMA346V/0</t>
  </si>
  <si>
    <t>快来和我一起打台球吧！</t>
  </si>
  <si>
    <t>帅哥，敢不敢来打一局!?</t>
  </si>
  <si>
    <t>share30</t>
  </si>
  <si>
    <t>二狗，我躺累了，来约一局！</t>
  </si>
  <si>
    <t>xwnKXQI3RL6ONifvqBcMhQ==</t>
  </si>
  <si>
    <t>https://mmocgame.qpic.cn/wechatgame/jVxokSiaej7SMSzPhteJpc1uNcs2ZD1whE3oe5quOAgJcwlaicVcDoKBbr97QytiboA/0</t>
  </si>
  <si>
    <t>share31</t>
  </si>
  <si>
    <t>每日一关，敢来挑战一下吗？</t>
  </si>
  <si>
    <t>zqcTsWMPQhmsj6dI3V/lDA==</t>
  </si>
  <si>
    <t>https://mmocgame.qpic.cn/wechatgame/YbratFsQicvhrmMsPicF9IQLXRSLbcxh2NaBUxO0ice9B2MELXy7CWsmp6EPagbWyzX/0</t>
  </si>
  <si>
    <t>share32</t>
  </si>
  <si>
    <t>台球还能这么玩？</t>
  </si>
  <si>
    <t>lMipPb1vQcu/nVgO8IwBkA==</t>
  </si>
  <si>
    <t>https://mmocgame.qpic.cn/wechatgame/YbratFsQicviaETzkCPtX1zpiczxRro2us4oGfeIl2Jg3Pagp2fH3vUsJiadQ0Vhc8tw/0</t>
  </si>
  <si>
    <t>share33</t>
  </si>
  <si>
    <t>重在参与？不行我必须拿捏你</t>
  </si>
  <si>
    <t>zmIaq0DRQammab9t2Ig9Tg==</t>
  </si>
  <si>
    <t>https://mmocgame.qpic.cn/wechatgame/YbratFsQicviaDNeTULIobUsn1CRHiamkibf0E3ZAvlRSp9S6OWYu2YicdwjGKcr6Gc35/0</t>
  </si>
  <si>
    <t>share34</t>
  </si>
  <si>
    <t>i/8C8CJKTGeS72L2cXkOow==</t>
  </si>
  <si>
    <t>https://mmocgame.qpic.cn/wechatgame/YbratFsQicvgVibzQ2EzR2t5qAvE0ebxNMmiaAdGj2VA2YY579kAsToNglibOFSEZZ8Y/0</t>
  </si>
  <si>
    <t>share35</t>
  </si>
  <si>
    <t>敢不敢来测算一下你的智商够不够？</t>
  </si>
  <si>
    <t>BpxnQGTjTme7VE/dTYzw/g==</t>
  </si>
  <si>
    <t>https://mmocgame.qpic.cn/wechatgame/YbratFsQicvg8cGvq9y5lVGFJZlvgtzCic1DESe0V5GHQPcyrG6am0byUoxjWCV5lb/0</t>
  </si>
  <si>
    <t>share36</t>
  </si>
  <si>
    <t>cgOUZmevQky/FTKQl4TfoQ==</t>
  </si>
  <si>
    <t>https://mmocgame.qpic.cn/wechatgame/YbratFsQicvjaou67JI9yib15fGpAbOGGT2sYia24868v1jX5p57pPlTibhjmRFm1bLj/0</t>
  </si>
  <si>
    <t>share37</t>
  </si>
  <si>
    <t>台球王者欢乐季，一起来游玩吧！</t>
  </si>
  <si>
    <t>y2j4Q/+ETdewb2WCr6sRGA==</t>
  </si>
  <si>
    <t>https://mmocgame.qpic.cn/wechatgame/YbratFsQicvhEkMBOtcqt4NqO6eAN65Wnsn3ddPtJIGRicibY0mx6UicRDBalz1eibNb9/0</t>
  </si>
  <si>
    <t>share38</t>
  </si>
  <si>
    <t>xLROBcR7SQKZ8byscKb+OA==</t>
  </si>
  <si>
    <t>https://mmocgame.qpic.cn/wechatgame/YbratFsQicviaj1GfwMEYNIX3q74kho1kwmqmKLcoapu80slic0QEB0H22efJxTibMka/0</t>
  </si>
  <si>
    <t>share39</t>
  </si>
  <si>
    <t>踢球杯新活动开启，邀你“球场上见”</t>
  </si>
  <si>
    <t>ft4V2t5pRkqPdsa6IqDF7g==</t>
  </si>
  <si>
    <t>https://mmocgame.qpic.cn/wechatgame/YbratFsQicvhQvZ7uIkeia3uY22294QzjOBtKldGMwATSdaMmvgztLchJDUvgcic35q/0</t>
  </si>
  <si>
    <t>share40</t>
  </si>
  <si>
    <t>oga1Yz5MRTejLuJOhPorcQ==</t>
  </si>
  <si>
    <t>https://mmocgame.qpic.cn/wechatgame/YbratFsQicvjyngibG5o2hPpqCQXyTDUx6JmQEh0JaFBRcJia9KT2ibzJl7lpYMumiasa/0</t>
  </si>
  <si>
    <t>share41</t>
  </si>
  <si>
    <t>这还能输，独孤求败，在线等待！</t>
  </si>
  <si>
    <t>6xedUpz1St2Ml58RGEAavQ==</t>
  </si>
  <si>
    <t>https://mmocgame.qpic.cn/wechatgame/CUtAQOEibiclmPSWGLolHuic53PCBM8Mb9rFib319mO2yOQJe7tHcHGoSzO2zn5rMLaE/0</t>
  </si>
  <si>
    <t>share42</t>
  </si>
  <si>
    <t>救命！巨蟒攻陷球桌，急急急</t>
  </si>
  <si>
    <t>z3Awk5DXTHChFwtIPBIouA==</t>
  </si>
  <si>
    <t>https://mmocgame.qpic.cn/wechatgame/CUtAQOEibicllr35h1KkLDDibJicfOlVSE8vrLVyy3mPEexEmhAwoY0L4icNnGP8aPzwl/0</t>
  </si>
  <si>
    <t>share43</t>
  </si>
  <si>
    <t>三年之期已到，我台球王者必将重返战场</t>
  </si>
  <si>
    <t>O3BBGRfyQACklsKd58Zl/Q==</t>
  </si>
  <si>
    <t>https://mmocgame.qpic.cn/wechatgame/CUtAQOEibiclmQFcEF32YuTmxLIojOmKicQqJKCTMOKHnS3o8TQacwPY5yK9H0Bh2jF/0</t>
  </si>
  <si>
    <t>share44</t>
  </si>
  <si>
    <t>震惊！当男人开始打起台球</t>
  </si>
  <si>
    <t>WW/yNy/bTTawWfrgorJQ6w==</t>
  </si>
  <si>
    <t>https://mmocgame.qpic.cn/wechatgame/yc3iccJcEib9YsHP4EnJ5icHyiciajaZM74bASLFxZlU4vb7BEI2TzDys8dSBASSGmJnu/0</t>
  </si>
  <si>
    <t>share45</t>
  </si>
  <si>
    <t>超强台球你敢来吗？</t>
  </si>
  <si>
    <t>uZm79r6dTK2h7qR17cLirA==</t>
  </si>
  <si>
    <t>https://mmocgame.qpic.cn/wechatgame/yc3iccJcEib9aBGViaicDgmSeibMg0MDnSR6AaeQP7WjTwRkXpN3jWibQib3TFibbzKwFjZt/0</t>
  </si>
  <si>
    <t>share46</t>
  </si>
  <si>
    <t>低调球神，在线出击</t>
  </si>
  <si>
    <t>yv5BAurSR+i6/mOzVHUmGw==</t>
  </si>
  <si>
    <t>https://mmocgame.qpic.cn/wechatgame/yc3iccJcEib9bVTGVrg1D80FlIdHhVcNKPILGNicstBC7sxsibvHwzvkw1yQ1IxiceI2K/0</t>
  </si>
  <si>
    <t>share47</t>
  </si>
  <si>
    <t>离谱台球，不确定，再看一眼</t>
  </si>
  <si>
    <t>OWqZSCGJR7St0TZB/nJ7Qg==</t>
  </si>
  <si>
    <t>https://mmocgame.qpic.cn/wechatgame/yc3iccJcEib9ZicAyZDGJUVmiavm0Wf7wmGyKz5JgLn6IcloE1TLiaqcrG7948FRCDGvL/0</t>
  </si>
  <si>
    <t>share48</t>
  </si>
  <si>
    <t>台球世界冠军来了也要甘拜下风，这个神秘人究竟是谁？</t>
  </si>
  <si>
    <t>zS4MbFB7QVSq2BU8+sEJug==</t>
  </si>
  <si>
    <t>https://mmocgame.qpic.cn/wechatgame/yc3iccJcEib9ZKzcNOREO5W6JIfqLP5QO9giaTVqAVrcO9Z3whmLaiamHiaD3yTGybM8m/0</t>
  </si>
  <si>
    <t>share49</t>
  </si>
  <si>
    <t>一杆清台，就是这么秀！</t>
  </si>
  <si>
    <t>1FABKwhoT9i3cgTDZXNzlQ==</t>
  </si>
  <si>
    <t>https://mmocgame.qpic.cn/wechatgame/yc3iccJcEib9YGmqUCtSSGFWGfEZuE8iaOYEBHCZuibDrFnxcT3G5PPZqwFU350UAxhd/0</t>
  </si>
  <si>
    <t>share50</t>
  </si>
  <si>
    <t>666连杆你敢来超越吗？</t>
  </si>
  <si>
    <t>BRm73opESIKGY7/XFAseww==</t>
  </si>
  <si>
    <t>https://mmocgame.qpic.cn/wechatgame/yc3iccJcEib9ZUXhtApXGF1PSpKoKWnGIPhN9X9VsFibcfiajukv2UrvEf9VjOuwhUy4/0</t>
  </si>
  <si>
    <t>share51</t>
  </si>
  <si>
    <t>好友邀请，点击开战！</t>
  </si>
  <si>
    <t>Yxc8akMWRlqoG9IbUvhhkQ==</t>
  </si>
  <si>
    <t>https://mmocgame.qpic.cn/wechatgame/yc3iccJcEib9a7U7pviaq1V6efMWqm111omZbwlT2FhEHbcHU3UYCNX2FIZx2ceowJ5/0</t>
  </si>
  <si>
    <t>share52</t>
  </si>
  <si>
    <t>经典八球，邀你来战</t>
  </si>
  <si>
    <t>At1SCPL4T0iPMT2hHXkwwA==</t>
  </si>
  <si>
    <t>https://mmocgame.qpic.cn/wechatgame/yc3iccJcEib9aiaPW7PyTfENsRdricNt0V4G6TMrSrxPaxIfe0icvECTgoicnxUZicOPicUT/0</t>
  </si>
  <si>
    <t>share53</t>
  </si>
  <si>
    <t>斯诺克开启，就等你来</t>
  </si>
  <si>
    <t>iwWPWjibQ2mcu42azaszkw==</t>
  </si>
  <si>
    <t>https://mmocgame.qpic.cn/wechatgame/yc3iccJcEib9aPur3h1y9v7MvohtOuu1ZxL6TwKmQInhTFaLTL07uxLtmAfeofibG0w/0</t>
  </si>
  <si>
    <t>share54</t>
  </si>
  <si>
    <t>TUEfswMeQ6a/hBgAsnKCJw==</t>
  </si>
  <si>
    <t>https://mmocgame.qpic.cn/wechatgame/yc3iccJcEib9ZswCp1o7HPrpysPa1c7n3KCW71LHsfTicBz9c2vQt2mbeLbzznfWyiae/0</t>
  </si>
  <si>
    <t>share55</t>
  </si>
  <si>
    <t>yWWoU86vSrq+3XL/leMZnQ==</t>
  </si>
  <si>
    <t>https://mmocgame.qpic.cn/wechatgame/yc3iccJcEib9Zia5CWy0Vae3H9C8micxPn8kbPN6ic51gOIMG4BETnlqnTmyUCYr0e2HC/0</t>
  </si>
  <si>
    <t>share56</t>
  </si>
  <si>
    <t>台球最强辅助诸葛兄，申请出战</t>
  </si>
  <si>
    <t>dRCviAE+QT62UxeJ7nVmLA==</t>
  </si>
  <si>
    <t>https://mmocgame.qpic.cn/wechatgame/yc3iccJcEib9an0m6n4YO6eoibkibfqRVmh9dae7NDg3vZVY10OlxtjT0cC7sPNic8rNS/0</t>
  </si>
  <si>
    <t>share57</t>
  </si>
  <si>
    <t>【一杆清台】这波操作简直秀麻了，建议反复观看！</t>
  </si>
  <si>
    <t>【一杆清台】啊？你怎么知道这里有我超牛的操作视频呀？</t>
  </si>
  <si>
    <t>【一杆清台】超级丝滑的击球操作集锦。</t>
  </si>
  <si>
    <t>share58</t>
  </si>
  <si>
    <t>【完美连杆】给你打的台球教学视频，确定不来看看？</t>
  </si>
  <si>
    <t>【完美连杆】这边给你提供了个可以装X的操作视频，拿走，不用谢。</t>
  </si>
  <si>
    <t>share59</t>
  </si>
  <si>
    <t>叮咚，这边有一条超厉害的操作集锦！</t>
  </si>
  <si>
    <t>share60</t>
  </si>
  <si>
    <t>【疯狂进球】这运气没谁了，快来看我这逆天的操作！</t>
  </si>
  <si>
    <t>【疯狂进球】vocal，我这逆天的运气，操作视频都给我按头看！！！</t>
  </si>
  <si>
    <t>share61</t>
  </si>
  <si>
    <t>【一杆三球】运气也是实力的一部分，看看我这波操作6不6？</t>
  </si>
  <si>
    <t>share62</t>
  </si>
  <si>
    <t>给你分享了我的高超技术操作视频，快来看！</t>
  </si>
  <si>
    <t>share63</t>
  </si>
  <si>
    <t>棋逢对手，快来一睹高手过招！</t>
  </si>
  <si>
    <t>精彩对决回放，不容错过！</t>
  </si>
  <si>
    <t>share64</t>
  </si>
  <si>
    <t>简直就是一场酣畅淋漓的对局，快来看看吧！</t>
  </si>
  <si>
    <t>invited_coin</t>
  </si>
  <si>
    <t>邀请得球杆配置</t>
  </si>
  <si>
    <t>每次获得奖励</t>
  </si>
  <si>
    <t>每邀请1个用户可得金币数量</t>
  </si>
  <si>
    <t>邀请好友数量</t>
  </si>
  <si>
    <t>邀请完后拿的大奖</t>
  </si>
  <si>
    <t>prize_Per</t>
  </si>
  <si>
    <t>actived_number</t>
  </si>
  <si>
    <t>big_prize</t>
  </si>
  <si>
    <t>big_prize_number</t>
  </si>
  <si>
    <t>500,600,800,1000,2000</t>
  </si>
  <si>
    <t>邀请任意好友进游戏，免费领取8888金币！</t>
  </si>
  <si>
    <t>2000,2500,3000,3500,4000</t>
  </si>
  <si>
    <t>邀请任意好友进游戏，免费领取23888金币！</t>
  </si>
  <si>
    <t>egg</t>
  </si>
  <si>
    <t>奖励编号</t>
  </si>
  <si>
    <t>奖励备注说明</t>
  </si>
  <si>
    <t>奖励组id</t>
  </si>
  <si>
    <t>分享or视频</t>
  </si>
  <si>
    <t>prize_id</t>
  </si>
  <si>
    <t>isShare</t>
  </si>
  <si>
    <t>[</t>
  </si>
  <si>
    <t>,</t>
  </si>
  <si>
    <t>]</t>
  </si>
  <si>
    <t>物品</t>
  </si>
  <si>
    <t>数量下限</t>
  </si>
  <si>
    <t>数量上限</t>
  </si>
  <si>
    <t>球桌</t>
  </si>
  <si>
    <t>碎片</t>
  </si>
  <si>
    <t>球桌（1天）</t>
  </si>
  <si>
    <t>球杆A</t>
  </si>
  <si>
    <t>白银球杆（1天）</t>
  </si>
  <si>
    <t>靛蓝球桌</t>
  </si>
  <si>
    <t>地狱火焰</t>
  </si>
  <si>
    <t>A级球杆（1天）</t>
  </si>
  <si>
    <t>服装 1天）</t>
  </si>
  <si>
    <t>黄铜球杆（1天）</t>
  </si>
  <si>
    <t>黛绿球桌</t>
  </si>
  <si>
    <t>A级球杆碎片（3个）</t>
  </si>
  <si>
    <t>龙回头（1天）</t>
  </si>
  <si>
    <t>暗红球桌</t>
  </si>
  <si>
    <t>白银球杆碎片</t>
  </si>
  <si>
    <t>服装</t>
  </si>
  <si>
    <t>经典衬衫</t>
  </si>
  <si>
    <t>鹅黄球桌</t>
  </si>
  <si>
    <t>骑士长枪碎片</t>
  </si>
  <si>
    <t>所有奖励的展示</t>
  </si>
  <si>
    <t>街头潮牌</t>
  </si>
  <si>
    <t>炫紫球桌</t>
  </si>
  <si>
    <t>如鱼得水碎片</t>
  </si>
  <si>
    <t>夏日派对</t>
  </si>
  <si>
    <t>牛仔很忙</t>
  </si>
  <si>
    <t>紫金葫芦</t>
  </si>
  <si>
    <t>超级巨星</t>
  </si>
  <si>
    <t>黑色琴键</t>
  </si>
  <si>
    <t>电音吉他</t>
  </si>
  <si>
    <t>台球麦霸</t>
  </si>
  <si>
    <t>夏日海滩</t>
  </si>
  <si>
    <t>圣诞树</t>
  </si>
  <si>
    <t>圣诞糖果</t>
  </si>
  <si>
    <t>黄铜球杆</t>
  </si>
  <si>
    <t>梅花三弄</t>
  </si>
  <si>
    <t>成就大师</t>
  </si>
  <si>
    <t>台球达人</t>
  </si>
  <si>
    <t>雄鹰碎片</t>
  </si>
  <si>
    <t>share</t>
  </si>
  <si>
    <t>邀请、视频切换</t>
  </si>
  <si>
    <t>时间上限（毫秒）</t>
  </si>
  <si>
    <t>连续分享增加的时长（毫秒）</t>
  </si>
  <si>
    <t>连续分享最高上限（毫秒）</t>
  </si>
  <si>
    <t>失败几率（10000为底)</t>
  </si>
  <si>
    <t>范围之外的失败几率（10000为底)</t>
  </si>
  <si>
    <t>分享失败对应文案</t>
  </si>
  <si>
    <t>分享失败2对应文案</t>
  </si>
  <si>
    <t>视频次数</t>
  </si>
  <si>
    <t>分享次数</t>
  </si>
  <si>
    <t>视频次数（oppo平台用）</t>
  </si>
  <si>
    <t>循环开始</t>
  </si>
  <si>
    <t>time_top</t>
  </si>
  <si>
    <t>increased</t>
  </si>
  <si>
    <t>time_top2</t>
  </si>
  <si>
    <t>fail</t>
  </si>
  <si>
    <t>fail2</t>
  </si>
  <si>
    <t>fail_statement</t>
  </si>
  <si>
    <t>fail_statement2</t>
  </si>
  <si>
    <t>video_time</t>
  </si>
  <si>
    <t>share_time</t>
  </si>
  <si>
    <t>video_time_oppo</t>
  </si>
  <si>
    <t>loop_sv</t>
  </si>
  <si>
    <t>分享失败，请分享到群！</t>
  </si>
  <si>
    <t>9410001,9410002,9410003,9410004,9410005</t>
  </si>
  <si>
    <t>ad_point</t>
  </si>
  <si>
    <t>广告点</t>
  </si>
  <si>
    <t>老用户的分享类型</t>
  </si>
  <si>
    <t>分享图id</t>
  </si>
  <si>
    <t>广告位ID</t>
  </si>
  <si>
    <t>高手广告位ID</t>
  </si>
  <si>
    <t>只有看广告才能得奖励</t>
  </si>
  <si>
    <t>广告切换分享</t>
  </si>
  <si>
    <t>新用户的分享类型</t>
  </si>
  <si>
    <t>抖音广告位ID</t>
  </si>
  <si>
    <t>手Q广告位ID</t>
  </si>
  <si>
    <t>快手广告位ID</t>
  </si>
  <si>
    <t>oppo广告位ID</t>
  </si>
  <si>
    <t>华为广告位ID</t>
  </si>
  <si>
    <t>vivo广告位ID</t>
  </si>
  <si>
    <t>支付宝广告位ID</t>
  </si>
  <si>
    <t>share_id</t>
  </si>
  <si>
    <t>common_share_id</t>
  </si>
  <si>
    <t>ad_id</t>
  </si>
  <si>
    <t>ad_id_gs</t>
  </si>
  <si>
    <t>onlyAd</t>
  </si>
  <si>
    <t>shift</t>
  </si>
  <si>
    <t>newshare_id</t>
  </si>
  <si>
    <t>byte_ad_id</t>
  </si>
  <si>
    <t>qq_ad_id</t>
  </si>
  <si>
    <t>kuaishou_ad_id</t>
  </si>
  <si>
    <t>oppo_ad_id</t>
  </si>
  <si>
    <t>huawei_ad_id</t>
  </si>
  <si>
    <t>vivo_ad_id</t>
  </si>
  <si>
    <t>my_ad_id</t>
  </si>
  <si>
    <t>lua,pb</t>
  </si>
  <si>
    <t>新设计</t>
  </si>
  <si>
    <t>原设计</t>
  </si>
  <si>
    <t>双倍领取-vip每日</t>
  </si>
  <si>
    <t>33,34,35,36,37,39,43,44,45</t>
  </si>
  <si>
    <t>adunit-a70bed3be3ae640c</t>
  </si>
  <si>
    <t>adunit-1d2ae249f83c922f</t>
  </si>
  <si>
    <t>3273g7e53n7h39o368</t>
  </si>
  <si>
    <t>88886db5f905c0ed9b7945eb4c157fbe</t>
  </si>
  <si>
    <t>2300002113_01</t>
  </si>
  <si>
    <t>y874blkvvc</t>
  </si>
  <si>
    <t>062b82f4cfa64e22b8414d4638d11d4c</t>
  </si>
  <si>
    <r>
      <rPr>
        <sz val="10.5"/>
        <color theme="1"/>
        <rFont val="Segoe UI"/>
        <family val="2"/>
      </rPr>
      <t>ad_tiny_2021004135656015_202404102200090227</t>
    </r>
  </si>
  <si>
    <t>签到有礼</t>
  </si>
  <si>
    <t>adunit-77639d1e5fe85aec</t>
  </si>
  <si>
    <t>adunit-0e586398dcbd9959</t>
  </si>
  <si>
    <t>2jol71lcjk584o0dip</t>
  </si>
  <si>
    <t>幸运夺宝3阶段（纯广告）</t>
  </si>
  <si>
    <t>adunit-52d9985c9ad837fb</t>
  </si>
  <si>
    <t>adunit-170d5509547f5f0a</t>
  </si>
  <si>
    <t>f98a4sgqr3764p3mib</t>
  </si>
  <si>
    <t>双倍领取-订阅</t>
  </si>
  <si>
    <t>adunit-3e0c1a68022e6258</t>
  </si>
  <si>
    <t>adunit-361220c58b1bb019</t>
  </si>
  <si>
    <t>1b8ihnrv0txa56ic0b</t>
  </si>
  <si>
    <t>双倍领取-每日特惠</t>
  </si>
  <si>
    <t>adunit-72ae48bafbe5bb69</t>
  </si>
  <si>
    <t>6l5i9mkkae42achakh</t>
  </si>
  <si>
    <t>极限挑战-跳过</t>
  </si>
  <si>
    <t>adunit-f7eadf20c78a5e8b</t>
  </si>
  <si>
    <t>adunit-ee7c8e870fb43f56</t>
  </si>
  <si>
    <t>6eche1aemih1p5skb4</t>
  </si>
  <si>
    <t>极限挑战-续杆</t>
  </si>
  <si>
    <t>dp5psw215rqlt2dcg8</t>
  </si>
  <si>
    <t>体力不足</t>
  </si>
  <si>
    <t>adunit-8febdd20de6155d3</t>
  </si>
  <si>
    <t>adunit-0210ce12353ac8c9</t>
  </si>
  <si>
    <t>hphjkq0a58mcapkeps</t>
  </si>
  <si>
    <t>双倍领取-闯关</t>
  </si>
  <si>
    <t>8c749c5h0g5fccp2m7</t>
  </si>
  <si>
    <t>视频有礼</t>
  </si>
  <si>
    <t>adunit-bb8318d20b86fe3b</t>
  </si>
  <si>
    <t>adunit-0d2f5bdcf9ce46c8</t>
  </si>
  <si>
    <t>1l2gog7m674np26neb</t>
  </si>
  <si>
    <t>高手进阶-补考</t>
  </si>
  <si>
    <t>adunit-51f17ef14104bcce</t>
  </si>
  <si>
    <t>adunit-1637c52f478c13e2</t>
  </si>
  <si>
    <t>2jmicpq1j3a3585kh3</t>
  </si>
  <si>
    <t>adunit-7f5c350be400147f</t>
  </si>
  <si>
    <t>adunit-e3baa4ebf439ce90</t>
  </si>
  <si>
    <t>1l531m5ckk5gb2906e</t>
  </si>
  <si>
    <t>adunit-6ed61e45e0ea4eab</t>
  </si>
  <si>
    <t>adunit-f903d4ed51873b0e</t>
  </si>
  <si>
    <t>1ue96dtll01gg502j5</t>
  </si>
  <si>
    <t>看广告送金币</t>
  </si>
  <si>
    <t>adunit-ace7d372640e827f</t>
  </si>
  <si>
    <t>adunit-217f61dfd0d67a8b</t>
  </si>
  <si>
    <t>fid7lhpif016490h5b</t>
  </si>
  <si>
    <t>双倍领取-救济金</t>
  </si>
  <si>
    <t>adunit-d587c27061036a32</t>
  </si>
  <si>
    <t>adunit-d78a37b4f084cee4</t>
  </si>
  <si>
    <t>2inx673lw8y42t5pl4</t>
  </si>
  <si>
    <t>性别切换</t>
  </si>
  <si>
    <t>adunit-3b624307d742f5e1</t>
  </si>
  <si>
    <t>adunit-ebefc02f02be4012</t>
  </si>
  <si>
    <t>34d0kovna7abkll9c0</t>
  </si>
  <si>
    <t>闯关道具</t>
  </si>
  <si>
    <t>42gmmmj7cmhjp8b22j</t>
  </si>
  <si>
    <t>结算-分享</t>
  </si>
  <si>
    <t>大厅-更多-分享</t>
  </si>
  <si>
    <t>商城-分享</t>
  </si>
  <si>
    <t>好友约战-8球邀请</t>
  </si>
  <si>
    <t>4,41</t>
  </si>
  <si>
    <t>每日任务-分享1次</t>
  </si>
  <si>
    <t>球杆强化-分享</t>
  </si>
  <si>
    <t>恭喜获得-炫耀一下</t>
  </si>
  <si>
    <t>极限挑战-结算分享</t>
  </si>
  <si>
    <t>邀请好友得球杆</t>
  </si>
  <si>
    <t>邀请好友得金币</t>
  </si>
  <si>
    <t>右上角分享</t>
  </si>
  <si>
    <t>好友约战次数不足-创建</t>
  </si>
  <si>
    <t>adunit-d8691f4af949b7ca</t>
  </si>
  <si>
    <t>adunit-1ab9d071d5f312c6</t>
  </si>
  <si>
    <t>21cpn5gbe1p2009l5b</t>
  </si>
  <si>
    <t>好友约战次数不足-加入</t>
  </si>
  <si>
    <t>个人信息-改名</t>
  </si>
  <si>
    <t>adunit-94c4a79eeabc7ef5</t>
  </si>
  <si>
    <t>adunit-28056f7d275cd302</t>
  </si>
  <si>
    <t>1vbh4fthow2b684ki0</t>
  </si>
  <si>
    <t>极限挑战-次数增加</t>
  </si>
  <si>
    <t>1iaag12617d4f23jrx</t>
  </si>
  <si>
    <t>闯关-满星通关</t>
  </si>
  <si>
    <t>1gg7c6lkc5366eiiag</t>
  </si>
  <si>
    <t>第2阶段破产补助</t>
  </si>
  <si>
    <t>adunit-e89451bd92b399c9</t>
  </si>
  <si>
    <t>adunit-1196ade074a58c5d</t>
  </si>
  <si>
    <t>1ll802i6gki5r6p34f</t>
  </si>
  <si>
    <t>幸运夺宝1阶段</t>
  </si>
  <si>
    <t>4c8jad4gnlkf4oboo1</t>
  </si>
  <si>
    <t>获胜奖励</t>
  </si>
  <si>
    <t>adunit-9d7ceecc3d534689</t>
  </si>
  <si>
    <t>adunit-ea9d84d4b30b9850</t>
  </si>
  <si>
    <t>aaj02rd6n61lmlsakw</t>
  </si>
  <si>
    <t>落败挽回</t>
  </si>
  <si>
    <t>adunit-0903a26095c29376</t>
  </si>
  <si>
    <t>adunit-4f6201aee72cef46</t>
  </si>
  <si>
    <t>4ha8mat92jf234cmf0</t>
  </si>
  <si>
    <t>dc6ed844bc804e1c8cf1f7c59e7e9ecf</t>
  </si>
  <si>
    <t>暂无使用（钻石商店）</t>
  </si>
  <si>
    <t>adunit-f25462b537c9eb58</t>
  </si>
  <si>
    <t>adunit-ee8be297fc5f0756</t>
  </si>
  <si>
    <t>金币兑换得金币</t>
  </si>
  <si>
    <t>adunit-6afe617972eb2221</t>
  </si>
  <si>
    <t>adunit-13aa2232d63b45a8</t>
  </si>
  <si>
    <t>恭喜获得banner</t>
  </si>
  <si>
    <t>adunit-d2a6ec7e160030fc</t>
  </si>
  <si>
    <t>adunit-c8ac341528eeff1c</t>
  </si>
  <si>
    <t>dhckibb1dag54n8058</t>
  </si>
  <si>
    <t>9297a3a43db6b3dd0a44b8984ab50d17</t>
  </si>
  <si>
    <t>f77b77ykl0</t>
  </si>
  <si>
    <t>fa273adac2ab424ca3ccf09b8cb46952</t>
  </si>
  <si>
    <t>每日任务-分享到群x次</t>
  </si>
  <si>
    <t>每日任务-看广告得钻石</t>
  </si>
  <si>
    <t>adunit-daa3ab62fba6c7d2</t>
  </si>
  <si>
    <t>adunit-86920e94f58658ce</t>
  </si>
  <si>
    <t>c8djb772k8393ga5jg</t>
  </si>
  <si>
    <t>c32e9b327e2c4ee696f63c37e066fc01</t>
  </si>
  <si>
    <t>ios每日特惠礼包</t>
  </si>
  <si>
    <t>adunit-59f35b8223f3d0c1</t>
  </si>
  <si>
    <t>adunit-894d290a2e86da9e</t>
  </si>
  <si>
    <t>1077mmn9840m3hluod</t>
  </si>
  <si>
    <t>ios每日升星礼包</t>
  </si>
  <si>
    <t>3ak9dclab21dc1e3il</t>
  </si>
  <si>
    <t>ios&amp;&amp;安卓转发特惠礼包（每日免费礼包）</t>
  </si>
  <si>
    <t>ios钻石商店分享</t>
  </si>
  <si>
    <t>ios钻石商店看广告</t>
  </si>
  <si>
    <t>adunit-735691c7f85d0565</t>
  </si>
  <si>
    <t>adunit-5b28bbe2c3b664fe</t>
  </si>
  <si>
    <t>24cjhcja60jldn0n43</t>
  </si>
  <si>
    <t>ios钻石商店拉新</t>
  </si>
  <si>
    <t>好友约战发送到世界聊天</t>
  </si>
  <si>
    <t>62hsa5sq4j6f60bg2l</t>
  </si>
  <si>
    <t>邀请好友得金币（大厅）</t>
  </si>
  <si>
    <t>邀请好友得钻石（大厅）</t>
  </si>
  <si>
    <t>红包分享</t>
  </si>
  <si>
    <t>ios每日金币礼包</t>
  </si>
  <si>
    <t>oe456o4co1l344uqjw</t>
  </si>
  <si>
    <t>好友约战-斯诺克邀请</t>
  </si>
  <si>
    <t>6,42</t>
  </si>
  <si>
    <t>ios-7天领球杆免做任务</t>
  </si>
  <si>
    <t>大厅1X1</t>
  </si>
  <si>
    <t>adunit-daa2b2aaaee2b1ec</t>
  </si>
  <si>
    <t>免费金币-左1X3</t>
  </si>
  <si>
    <t>adunit-4f7b7b24e0e60233</t>
  </si>
  <si>
    <t>免费金币-右1X3</t>
  </si>
  <si>
    <t>adunit-44426329ee8f7b61</t>
  </si>
  <si>
    <t>测试用1X1</t>
  </si>
  <si>
    <t>adunit-36c95bc2b62ecbe4</t>
  </si>
  <si>
    <t>adunit-fb2dac4532aa4f4d</t>
  </si>
  <si>
    <t>结算-左1X3</t>
  </si>
  <si>
    <t>adunit-8c190e8953de97ac</t>
  </si>
  <si>
    <t>结算-右1X3</t>
  </si>
  <si>
    <t>adunit-33f9d3bb6b167bfa</t>
  </si>
  <si>
    <t>5dg42ci35fii1f58rd</t>
  </si>
  <si>
    <t>6b790b9286a045039f0d84762164f9dc</t>
  </si>
  <si>
    <t>世界聊天-左1X3</t>
  </si>
  <si>
    <t>adunit-e101a59c4fb651b1</t>
  </si>
  <si>
    <t>世界聊天-右1X3</t>
  </si>
  <si>
    <t>adunit-92e8585b70177acd</t>
  </si>
  <si>
    <t>大厅插屏</t>
  </si>
  <si>
    <t>adunit-79b363f0e58c4ba3</t>
  </si>
  <si>
    <t>adunit-838882269cef1498</t>
  </si>
  <si>
    <t>5etjt1jq7n946e61fm</t>
  </si>
  <si>
    <t>e5ed830dd78614720ddec889cd708d0c</t>
  </si>
  <si>
    <t>2300002113_02</t>
  </si>
  <si>
    <t>r17yy6qc8l</t>
  </si>
  <si>
    <t>aca9bd75bdbd4772bee665a715dadc55</t>
  </si>
  <si>
    <t>其他地方插屏</t>
  </si>
  <si>
    <t>adunit-57260d16165de3ba</t>
  </si>
  <si>
    <t>adunit-2836f8e6e6c6190b</t>
  </si>
  <si>
    <t>扭蛋视频</t>
  </si>
  <si>
    <t>27668i83606nc13gek</t>
  </si>
  <si>
    <t>19412a00c58f4738ac23e107a1ae9dae</t>
  </si>
  <si>
    <t>扭蛋分享</t>
  </si>
  <si>
    <t>世界聊天banner</t>
  </si>
  <si>
    <t>adunit-724f3796fcf14521</t>
  </si>
  <si>
    <t>adunit-db34bf26834464ed</t>
  </si>
  <si>
    <t>3gl8njc0ff4334301b</t>
  </si>
  <si>
    <t>c5061400bcdc3282ed991ba1c91774bc</t>
  </si>
  <si>
    <t>014ec65fca5f4a1fb7a9ba3e85789c0f</t>
  </si>
  <si>
    <t>结算底部-4X1</t>
  </si>
  <si>
    <t>adunit-ab601709ed8b5447</t>
  </si>
  <si>
    <t>banner左-2X1</t>
  </si>
  <si>
    <t>adunit-63555946c184f417</t>
  </si>
  <si>
    <t>banner右-2X1</t>
  </si>
  <si>
    <t>adunit-67bc9afc53fc2109</t>
  </si>
  <si>
    <t>快速开始左-1X1</t>
  </si>
  <si>
    <t>adunit-92babd4fbca6f7a6</t>
  </si>
  <si>
    <t>结算星星</t>
  </si>
  <si>
    <t>adunit-12ccd921043b6cad</t>
  </si>
  <si>
    <t>3824e9f898fe793286</t>
  </si>
  <si>
    <t>漂浮球杆</t>
  </si>
  <si>
    <t>f3eksacgqkb3rno7bg</t>
  </si>
  <si>
    <t>更多游戏-5X2</t>
  </si>
  <si>
    <t>123ef09dd014bf9035a7a276b4285aac</t>
  </si>
  <si>
    <t>匹配banner</t>
  </si>
  <si>
    <t>adunit-e0a4c5126a6e8c4b</t>
  </si>
  <si>
    <t>adunit-51e5f25a46b44592</t>
  </si>
  <si>
    <t>21247efciiigj9j9dj</t>
  </si>
  <si>
    <t>44c1d1db23d9a45453530069be96503d</t>
  </si>
  <si>
    <t>63d33aab3e1848ae8cd0f870cea67812</t>
  </si>
  <si>
    <t>结算banner</t>
  </si>
  <si>
    <t>adunit-1fbe5ca8d8f6aa77</t>
  </si>
  <si>
    <t>adunit-4dcb567d10130322</t>
  </si>
  <si>
    <t>e8i848hhb4h3c92lab</t>
  </si>
  <si>
    <t>b6d3fa81bc0567c2fc5d62adc2884eb7</t>
  </si>
  <si>
    <t>b182a563acf64ea7ab297be9b70b7b43</t>
  </si>
  <si>
    <t>极限挑战banner</t>
  </si>
  <si>
    <t>adunit-c327b21f817e3ab9</t>
  </si>
  <si>
    <t>adunit-6ed352452cddf70e</t>
  </si>
  <si>
    <t>8er27rmk9bh11028cc</t>
  </si>
  <si>
    <t>074ed259eff4585713231af8d2ebea2d</t>
  </si>
  <si>
    <t>cd7762b29138409d8bfdc51566e1edc1</t>
  </si>
  <si>
    <t>23f62i6c76gk111hci</t>
  </si>
  <si>
    <t>强化材料不足</t>
  </si>
  <si>
    <t>6gi8g9pl7nm26qk8o3</t>
  </si>
  <si>
    <t>diy关卡相关</t>
  </si>
  <si>
    <t>88ig9dakb1651b44i8</t>
  </si>
  <si>
    <t>diy关卡分享</t>
  </si>
  <si>
    <t>砍价活动视频</t>
  </si>
  <si>
    <t>adunit-43195cc13a97d333</t>
  </si>
  <si>
    <t>adunit-2ff4eb338adcd2f2</t>
  </si>
  <si>
    <t>68bo2j3ocu578a1ljf</t>
  </si>
  <si>
    <t>砍价活动分享</t>
  </si>
  <si>
    <t>diy关卡看视频增加次数</t>
  </si>
  <si>
    <t>32ea3fc6wki92k1992</t>
  </si>
  <si>
    <t>DIY关卡挑战发送到世界频道</t>
  </si>
  <si>
    <t>神秘商店广告商品</t>
  </si>
  <si>
    <t>神秘商店物品刷新</t>
  </si>
  <si>
    <t>回归用户免费周卡</t>
  </si>
  <si>
    <t>联赛活动分享</t>
  </si>
  <si>
    <t>群排行分分享</t>
  </si>
  <si>
    <t>好友榜约战分享</t>
  </si>
  <si>
    <t>极限挑战跳过前n杆</t>
  </si>
  <si>
    <t>adunit-f8e7de900063d868</t>
  </si>
  <si>
    <t>adunit-28cf15c1fe719370</t>
  </si>
  <si>
    <t>幸运夺宝免费次数分享</t>
  </si>
  <si>
    <t>回归用户视频奖励</t>
  </si>
  <si>
    <t>一杆清台分享</t>
  </si>
  <si>
    <t>连胜分享</t>
  </si>
  <si>
    <t>结算-幸运开始</t>
  </si>
  <si>
    <t>adunit-bd52180a4bc1dff0</t>
  </si>
  <si>
    <t>adunit-438f2defe50de05c</t>
  </si>
  <si>
    <t>f5a8f0973e1e4ac6ab666a7da5ccbf8a</t>
  </si>
  <si>
    <t>幸运一击增加次数</t>
  </si>
  <si>
    <t>6ac09048be6e4e7385d605f2f7ad4248</t>
  </si>
  <si>
    <t>分享得金币</t>
  </si>
  <si>
    <t>王孟南活动分享</t>
  </si>
  <si>
    <t>航海活动获得次数视频</t>
  </si>
  <si>
    <t>航海活动分享</t>
  </si>
  <si>
    <t>航海活动赶海盗视频</t>
  </si>
  <si>
    <t>踩地雷复活视频</t>
  </si>
  <si>
    <t>幸运转盘多倍领取视频</t>
  </si>
  <si>
    <t>adunit-ac05de64127ea9f0</t>
  </si>
  <si>
    <t>adunit-ed83165331e722be</t>
  </si>
  <si>
    <t>幸运转盘免费转盘视频</t>
  </si>
  <si>
    <t>新号福利礼包领取视频</t>
  </si>
  <si>
    <t>对局领球杆领取广告点</t>
  </si>
  <si>
    <t>adunit-4c0bce7ce8967679</t>
  </si>
  <si>
    <t>adunit-fae2afa34670af94</t>
  </si>
  <si>
    <t>每日奖励领取视频</t>
  </si>
  <si>
    <t>翻翻乐活动广告点</t>
  </si>
  <si>
    <t>俱乐部世界招募广告点</t>
  </si>
  <si>
    <t>球杆过期续费分享</t>
  </si>
  <si>
    <t>球桌试用</t>
  </si>
  <si>
    <t>球球储蓄罐立即激活广告点</t>
  </si>
  <si>
    <t>球球储蓄罐三倍领取广告点</t>
  </si>
  <si>
    <t>欢乐果园分享加速</t>
  </si>
  <si>
    <t>欢乐果园加倍领取</t>
  </si>
  <si>
    <t>刮刮乐视频刮奖</t>
  </si>
  <si>
    <t>十一活动</t>
  </si>
  <si>
    <t>每日一关成功-失败分享</t>
  </si>
  <si>
    <t>通行证纯看视频</t>
  </si>
  <si>
    <t>通行证纯分享</t>
  </si>
  <si>
    <t>免费夺宝视频抽奖</t>
  </si>
  <si>
    <t>d844589f04fc4b53b89ac50b771cebe4</t>
  </si>
  <si>
    <t>每日一关加次数</t>
  </si>
  <si>
    <t>d46a4db50c704ba494cbba0ca92119bc</t>
  </si>
  <si>
    <t>原</t>
  </si>
  <si>
    <t>新</t>
  </si>
  <si>
    <t>期限活动视频补签</t>
  </si>
  <si>
    <t>华为视频</t>
  </si>
  <si>
    <t>i2y1uu9exk</t>
  </si>
  <si>
    <t>期限活动视频观看任务</t>
  </si>
  <si>
    <t>华为banner</t>
  </si>
  <si>
    <t>p6j8djonxd</t>
  </si>
  <si>
    <t>期限活动分享</t>
  </si>
  <si>
    <t>华为插屏</t>
  </si>
  <si>
    <t>b48au3s9cm</t>
  </si>
  <si>
    <t>血流banner</t>
  </si>
  <si>
    <t>adunit-4247f48202b62b47</t>
  </si>
  <si>
    <t>adunit-30f7027c74eaa29c</t>
  </si>
  <si>
    <t>04cb1c6c562c413ca194d2481402e97e</t>
  </si>
  <si>
    <t>寻宝活动视频</t>
  </si>
  <si>
    <t>寻宝活动分享</t>
  </si>
  <si>
    <t>结算横版纯图</t>
  </si>
  <si>
    <t>ed7386e425e94315b2d3de45cde250d7</t>
  </si>
  <si>
    <t>看广告送礼</t>
  </si>
  <si>
    <t>对联广告右</t>
  </si>
  <si>
    <t>adunit-66d168a18e053777</t>
  </si>
  <si>
    <t>e426e7714ad03a6ed8aa5ffccd79f17e</t>
  </si>
  <si>
    <t>对联广告左</t>
  </si>
  <si>
    <t>adunit-fdae4286d6f92539</t>
  </si>
  <si>
    <t>98fd9761b55254a0973e276092eb7300</t>
  </si>
  <si>
    <t>横幅格子</t>
  </si>
  <si>
    <t>adunit-130ccb1a97e864ff</t>
  </si>
  <si>
    <t>591ee3547abca4c69ac33c077a205afe</t>
  </si>
  <si>
    <t>单格子</t>
  </si>
  <si>
    <t>adunit-92097f40bc54570f</t>
  </si>
  <si>
    <t>55c87a3319e6d247caa1589c181000e3</t>
  </si>
  <si>
    <t>更多游戏盒子</t>
  </si>
  <si>
    <t>adunit-554261a965cfa195</t>
  </si>
  <si>
    <t>大厅单格子</t>
  </si>
  <si>
    <t>adunit-342d511b2c0ef8f2</t>
  </si>
  <si>
    <t>对联广告左_恭喜获得</t>
  </si>
  <si>
    <t>adunit-65e718227a084aa1</t>
  </si>
  <si>
    <t>对联广告右_恭喜获得</t>
  </si>
  <si>
    <t>adunit-8cc4bf58a0b3e4dc</t>
  </si>
  <si>
    <t>宝箱</t>
  </si>
  <si>
    <r>
      <rPr>
        <sz val="11"/>
        <color rgb="FF000000"/>
        <rFont val="等线"/>
        <family val="3"/>
        <charset val="134"/>
      </rPr>
      <t>聊天房卡补充</t>
    </r>
  </si>
  <si>
    <t>adunit-a55e734bab79f2ee</t>
  </si>
  <si>
    <t>adunit-2e8fe8648143a51b</t>
  </si>
  <si>
    <r>
      <rPr>
        <sz val="11"/>
        <color rgb="FF000000"/>
        <rFont val="等线"/>
        <family val="3"/>
        <charset val="134"/>
      </rPr>
      <t>fid7lhpif016490h5b</t>
    </r>
  </si>
  <si>
    <r>
      <rPr>
        <sz val="11"/>
        <color rgb="FF000000"/>
        <rFont val="等线"/>
        <family val="3"/>
        <charset val="134"/>
      </rPr>
      <t>88886db5f905c0ed9b7945eb4c157fbe</t>
    </r>
  </si>
  <si>
    <r>
      <rPr>
        <sz val="11"/>
        <color rgb="FF000000"/>
        <rFont val="等线"/>
        <family val="3"/>
        <charset val="134"/>
      </rPr>
      <t>2300002113_01</t>
    </r>
  </si>
  <si>
    <r>
      <rPr>
        <sz val="11"/>
        <color rgb="FF000000"/>
        <rFont val="等线"/>
        <family val="3"/>
        <charset val="134"/>
      </rPr>
      <t>y874blkvvc</t>
    </r>
  </si>
  <si>
    <r>
      <rPr>
        <sz val="11"/>
        <color rgb="FF000000"/>
        <rFont val="等线"/>
        <family val="3"/>
        <charset val="134"/>
      </rPr>
      <t>062b82f4cfa64e22b8414d4638d11d4c</t>
    </r>
  </si>
  <si>
    <t>结算自动拉起激励视频</t>
  </si>
  <si>
    <t>新手福利-特惠礼包广告档</t>
  </si>
  <si>
    <t>精彩视频分享</t>
  </si>
  <si>
    <t>对局回放一杆清台视频分享</t>
  </si>
  <si>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6,47,48</t>
    </r>
  </si>
  <si>
    <t>对局回放完美连杆视频分享</t>
  </si>
  <si>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3"/>
        <charset val="134"/>
        <scheme val="minor"/>
      </rPr>
      <t>9,50</t>
    </r>
  </si>
  <si>
    <t>对局回放连杆视频分享</t>
  </si>
  <si>
    <t>对局回放疯狂进球分享</t>
  </si>
  <si>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2,53</t>
    </r>
  </si>
  <si>
    <t>对局回放一杆三球分享</t>
  </si>
  <si>
    <t>对局回放一杆两球分享</t>
  </si>
  <si>
    <t>对局回放普通分享</t>
  </si>
  <si>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>6,57,58</t>
    </r>
  </si>
  <si>
    <t>金币兑换商店免费金币</t>
  </si>
  <si>
    <t>1,5,8,12,13,16,17,18,19</t>
  </si>
  <si>
    <t>33,34,35,36,37,39,43,44,45,24,25</t>
  </si>
  <si>
    <t>21,22,23</t>
  </si>
  <si>
    <t>flight_cue</t>
  </si>
  <si>
    <t>飞行球杆</t>
  </si>
  <si>
    <t>类型</t>
  </si>
  <si>
    <t>奖励</t>
  </si>
  <si>
    <t>prize_num</t>
  </si>
  <si>
    <t>钻石</t>
  </si>
  <si>
    <t>no_banner</t>
  </si>
  <si>
    <t>奖励类型</t>
  </si>
  <si>
    <t>时效</t>
  </si>
  <si>
    <t>语言包说明上</t>
  </si>
  <si>
    <t>说明上</t>
  </si>
  <si>
    <t>语言包说明下</t>
  </si>
  <si>
    <t>说明下</t>
  </si>
  <si>
    <t>time_id</t>
  </si>
  <si>
    <t>up_statement1</t>
  </si>
  <si>
    <t>up_statement</t>
  </si>
  <si>
    <t>down_statement1</t>
  </si>
  <si>
    <t>down_statement</t>
  </si>
  <si>
    <t>ratio_x</t>
  </si>
  <si>
    <t>ratio_y</t>
  </si>
  <si>
    <t>金币</t>
  </si>
  <si>
    <t>每日免费领取</t>
  </si>
  <si>
    <t>2000金币</t>
  </si>
  <si>
    <t>免广告</t>
  </si>
  <si>
    <t>免除广告</t>
  </si>
  <si>
    <t>球桌（7天）</t>
  </si>
  <si>
    <t>酷炫球桌免费用</t>
  </si>
  <si>
    <t>专属球桌</t>
  </si>
  <si>
    <t>头像框</t>
  </si>
  <si>
    <t>彰显尊贵身份</t>
  </si>
  <si>
    <t>专属头像框</t>
  </si>
  <si>
    <t>魔法表情</t>
  </si>
  <si>
    <t>battle_cue</t>
  </si>
  <si>
    <t>约战得球杆</t>
  </si>
  <si>
    <t>球杆</t>
  </si>
  <si>
    <t>约战好友数量</t>
  </si>
  <si>
    <t>cue</t>
  </si>
  <si>
    <t>battle_num</t>
  </si>
  <si>
    <t>龙回头A</t>
  </si>
  <si>
    <t>白银球杆A</t>
  </si>
  <si>
    <t>bargin</t>
  </si>
  <si>
    <t>次数</t>
  </si>
  <si>
    <t>分享砍价</t>
  </si>
  <si>
    <t>视频砍价</t>
  </si>
  <si>
    <t>share_bargin</t>
  </si>
  <si>
    <t>ad_bargin</t>
  </si>
  <si>
    <t>bargin_prize</t>
  </si>
  <si>
    <t>第1句文案</t>
  </si>
  <si>
    <t>第一句文案</t>
  </si>
  <si>
    <t>数字</t>
  </si>
  <si>
    <t>第2句文案</t>
  </si>
  <si>
    <t>第二句文案</t>
  </si>
  <si>
    <t>活动开始时间</t>
  </si>
  <si>
    <t>活动结束时间</t>
  </si>
  <si>
    <t>number1</t>
  </si>
  <si>
    <t>statement2</t>
  </si>
  <si>
    <t>number2</t>
  </si>
  <si>
    <t>begin_time</t>
  </si>
  <si>
    <t>end_time</t>
  </si>
  <si>
    <t>延长线加长</t>
  </si>
  <si>
    <t xml:space="preserve"> 力度加强</t>
  </si>
  <si>
    <t>力度加强</t>
  </si>
  <si>
    <t>weeklypay</t>
  </si>
  <si>
    <t>每周小额付费活动</t>
  </si>
  <si>
    <t>概率</t>
  </si>
  <si>
    <t>prize_number</t>
  </si>
  <si>
    <t>battle_pass_times</t>
  </si>
  <si>
    <t>通行证周期配置表</t>
  </si>
  <si>
    <t>期数</t>
  </si>
  <si>
    <t>高级大奖奖励</t>
  </si>
  <si>
    <t>超级大奖额外奖励</t>
  </si>
  <si>
    <t>高级大奖球杆展示</t>
  </si>
  <si>
    <t>超级大奖球杆展示</t>
  </si>
  <si>
    <t>高级收益数值（%）</t>
  </si>
  <si>
    <t>超级收益数值（%）</t>
  </si>
  <si>
    <t>super_reward</t>
  </si>
  <si>
    <t>super_reward2</t>
  </si>
  <si>
    <t>cue1_show</t>
  </si>
  <si>
    <t>cue2_show</t>
  </si>
  <si>
    <t>resource_earn</t>
  </si>
  <si>
    <t>resource_earn2</t>
  </si>
  <si>
    <t>1,2,3,4</t>
  </si>
  <si>
    <t>5,6,7,8</t>
  </si>
  <si>
    <t>9,10,11,12</t>
  </si>
  <si>
    <t>13,14,15,16</t>
  </si>
  <si>
    <t>17,18,19,20</t>
  </si>
  <si>
    <t>内网优化测试</t>
  </si>
  <si>
    <t>battle_pass_reward</t>
  </si>
  <si>
    <t>通行证奖励配置表</t>
  </si>
  <si>
    <t>唯一id</t>
  </si>
  <si>
    <t>等级</t>
  </si>
  <si>
    <t>经验要求</t>
  </si>
  <si>
    <t>大奖标记</t>
  </si>
  <si>
    <t>免费版奖励</t>
  </si>
  <si>
    <t>高级版奖励</t>
  </si>
  <si>
    <t>通行证周期</t>
  </si>
  <si>
    <t>experience</t>
  </si>
  <si>
    <t>super</t>
  </si>
  <si>
    <t>free_reward</t>
  </si>
  <si>
    <t>pay_reward</t>
  </si>
  <si>
    <t>time</t>
  </si>
  <si>
    <t>[1,1]</t>
  </si>
  <si>
    <t>普通奖励</t>
  </si>
  <si>
    <t>普通奖励数量</t>
  </si>
  <si>
    <t>高级奖励1</t>
  </si>
  <si>
    <t>高级奖励1数量</t>
  </si>
  <si>
    <t>高级奖励2</t>
  </si>
  <si>
    <t>高级奖励2数量</t>
  </si>
  <si>
    <t>[13,2]</t>
  </si>
  <si>
    <t>[1,10],[440051,1]</t>
  </si>
  <si>
    <t>牛仔很忙A</t>
  </si>
  <si>
    <t>[2,1000]</t>
  </si>
  <si>
    <t>[1,10],[2,5000]</t>
  </si>
  <si>
    <t>[13,20]</t>
  </si>
  <si>
    <t>[1,10],[410043,1]</t>
  </si>
  <si>
    <t>盈利高手头像框</t>
  </si>
  <si>
    <t>[1,10],[2,2000]</t>
  </si>
  <si>
    <t>[1,5]</t>
  </si>
  <si>
    <t>[1,10],[400193,1]</t>
  </si>
  <si>
    <t>强化币</t>
  </si>
  <si>
    <t>[1,10],[600006,20]</t>
  </si>
  <si>
    <t>S级升阶木</t>
  </si>
  <si>
    <t>[1,10],[300006,1]</t>
  </si>
  <si>
    <t>绚紫球桌B</t>
  </si>
  <si>
    <t>[1,10],[13,40]</t>
  </si>
  <si>
    <t>[400051,1]</t>
  </si>
  <si>
    <t>[1,10],[400093,1]</t>
  </si>
  <si>
    <t>[1,10],[850002,50]</t>
  </si>
  <si>
    <t>表情包</t>
  </si>
  <si>
    <t>[1,10],[480011,1]</t>
  </si>
  <si>
    <t>如鱼得水气泡</t>
  </si>
  <si>
    <t>[1,10],[400052,1]</t>
  </si>
  <si>
    <t>[1,10],[850003,50]</t>
  </si>
  <si>
    <t>[1,10]</t>
  </si>
  <si>
    <t>[1,30],[100253,1]</t>
  </si>
  <si>
    <t>电音吉他S级</t>
  </si>
  <si>
    <t>[1,10],[440061,1]</t>
  </si>
  <si>
    <t>[1,10],[410063,1]</t>
  </si>
  <si>
    <t>[1,10],[400102,1]</t>
  </si>
  <si>
    <t>[2,2000]</t>
  </si>
  <si>
    <t>[1,10],[300008,1]</t>
  </si>
  <si>
    <t>[400021,1]</t>
  </si>
  <si>
    <t>[1,10],[400122,1]</t>
  </si>
  <si>
    <t>[1,10],[850005,50]</t>
  </si>
  <si>
    <t>[1,10],[460074,1]</t>
  </si>
  <si>
    <t>[1,10],[400112,1]</t>
  </si>
  <si>
    <t>[2,3000]</t>
  </si>
  <si>
    <t>[1,10],[850004,50]</t>
  </si>
  <si>
    <t>[1,10],[100411,1]</t>
  </si>
  <si>
    <t>[1,10],[410073,1]</t>
  </si>
  <si>
    <t>[1,10],[400203,1]</t>
  </si>
  <si>
    <t>[440013,1]</t>
  </si>
  <si>
    <t>[1,10],[400103,1]</t>
  </si>
  <si>
    <t>[1,10],[460084,1]</t>
  </si>
  <si>
    <t>[1,10],[400062,1]</t>
  </si>
  <si>
    <t>[1,30],[100431,1]</t>
  </si>
  <si>
    <t>[1,10],[410053,1]</t>
  </si>
  <si>
    <t>[1,10],[400132,1]</t>
  </si>
  <si>
    <t>[1,10],[300010,1]</t>
  </si>
  <si>
    <t>[400071,1]</t>
  </si>
  <si>
    <t>[1,10],[400228,1]</t>
  </si>
  <si>
    <t>[1,10],[460064,1]</t>
  </si>
  <si>
    <t>[1,10],[400095,1]</t>
  </si>
  <si>
    <t>[1,10],[850006,50]</t>
  </si>
  <si>
    <t>[1,30],[100341,1]</t>
  </si>
  <si>
    <t>[1,10],[400082,1]</t>
  </si>
  <si>
    <t>[1,10],[300011,1]</t>
  </si>
  <si>
    <t>[470051,1]</t>
  </si>
  <si>
    <t>[1,10],[400105,1]</t>
  </si>
  <si>
    <t>[1,10],[850001,50]</t>
  </si>
  <si>
    <t>[1,30],[100091,1]</t>
  </si>
  <si>
    <t>[2,800]</t>
  </si>
  <si>
    <t>[2,50000]</t>
  </si>
  <si>
    <t>[2,10000],[700007,5]</t>
  </si>
  <si>
    <t>[2,10000],[400445,1]</t>
  </si>
  <si>
    <t>[2,2800]</t>
  </si>
  <si>
    <t>[420061,1]</t>
  </si>
  <si>
    <t>[2,10000],[420124,1]</t>
  </si>
  <si>
    <t>[2,10000]</t>
  </si>
  <si>
    <t>[2,10000],[700008,5]</t>
  </si>
  <si>
    <t>[410043,1]</t>
  </si>
  <si>
    <t>[2,5000]</t>
  </si>
  <si>
    <t>[2,4800]</t>
  </si>
  <si>
    <t>[2,200000]</t>
  </si>
  <si>
    <t>[25,2]</t>
  </si>
  <si>
    <t>[2,10000],[21,5]</t>
  </si>
  <si>
    <t>[460085,1]</t>
  </si>
  <si>
    <t>[460088,1],[700010,5]</t>
  </si>
  <si>
    <t>[2,1800]</t>
  </si>
  <si>
    <t>[2,5000],[25,10]</t>
  </si>
  <si>
    <t>[400445,1]</t>
  </si>
  <si>
    <t>[410061,1]</t>
  </si>
  <si>
    <t>[410073,1],[700010,5]</t>
  </si>
  <si>
    <t>[700002,1]</t>
  </si>
  <si>
    <t>[810039,1],[700002,2]</t>
  </si>
  <si>
    <t>[21,1]</t>
  </si>
  <si>
    <t>[2,10000],[700015,1]</t>
  </si>
  <si>
    <t>[2,500000]</t>
  </si>
  <si>
    <t>[2,50000],[400445,1]</t>
  </si>
  <si>
    <t>[600005,50],[700003,1]</t>
  </si>
  <si>
    <t>[2,1000000],[700003,2]</t>
  </si>
  <si>
    <t>[2,10000],[400435,1]</t>
  </si>
  <si>
    <t>[2,10000],[420094,1]</t>
  </si>
  <si>
    <t>[460089,1]</t>
  </si>
  <si>
    <t>[460092,1],[700010,5]</t>
  </si>
  <si>
    <t>[400435,1]</t>
  </si>
  <si>
    <t>[810040,1],[700002,2]</t>
  </si>
  <si>
    <t>[2,50000],[400435,1]</t>
  </si>
  <si>
    <t>SS南瓜头3</t>
  </si>
  <si>
    <t>球桌1</t>
  </si>
  <si>
    <t>高级球桌30</t>
  </si>
  <si>
    <t>气泡1</t>
  </si>
  <si>
    <t>气泡30</t>
  </si>
  <si>
    <t>[2,10000],[400405,1]</t>
  </si>
  <si>
    <t>1（球杆3天）</t>
  </si>
  <si>
    <t>[420081,1]</t>
  </si>
  <si>
    <t>[2,10000],[420104,1]</t>
  </si>
  <si>
    <t>1（球桌1天）</t>
  </si>
  <si>
    <t>1（高级球桌30天）</t>
  </si>
  <si>
    <t>[460093,1]</t>
  </si>
  <si>
    <t>[460096,1],[700010,5]</t>
  </si>
  <si>
    <t>1（气泡1天）</t>
  </si>
  <si>
    <t>1（气泡30天）</t>
  </si>
  <si>
    <t>[400405,1]</t>
  </si>
  <si>
    <t>[810041,1],[700002,2]</t>
  </si>
  <si>
    <t>1（永久头像框）</t>
  </si>
  <si>
    <t>[2,50000],[400405,1]</t>
  </si>
  <si>
    <t>SS甜心宝贝3</t>
  </si>
  <si>
    <t>[2,10000],[400415,1]</t>
  </si>
  <si>
    <t>部落格</t>
  </si>
  <si>
    <t>你拍一我拍一，大家都是好盆友</t>
  </si>
  <si>
    <t>街头涂鸦</t>
  </si>
  <si>
    <t>公共场所，请勿乱涂乱画</t>
  </si>
  <si>
    <t>[460097,1]</t>
  </si>
  <si>
    <t>[460100,1],[700010,5]</t>
  </si>
  <si>
    <t>[400415,1]</t>
  </si>
  <si>
    <t>[810044,1],[700002,2]</t>
  </si>
  <si>
    <t>[2,50000],[400415,1]</t>
  </si>
  <si>
    <t>SS乌木球杆3</t>
  </si>
  <si>
    <t>[2,10000],[400425,1]</t>
  </si>
  <si>
    <t>[2,10000],[420194,1]</t>
  </si>
  <si>
    <t>[460101,1]</t>
  </si>
  <si>
    <t>[460104,1],[700010,5]</t>
  </si>
  <si>
    <t>[400425,1]</t>
  </si>
  <si>
    <t>[810045,1],[700002,2]</t>
  </si>
  <si>
    <t>[2,50000],[400425,1]</t>
  </si>
  <si>
    <t>SS玉如意3</t>
  </si>
  <si>
    <t>[420071,1]</t>
  </si>
  <si>
    <t>[2,10000],[420114,1]</t>
  </si>
  <si>
    <t>[460105,1]</t>
  </si>
  <si>
    <t>[460108,1],[700010,5]</t>
  </si>
  <si>
    <t>[810046,1],[700002,2]</t>
  </si>
  <si>
    <t>[2,500]</t>
  </si>
  <si>
    <t>[400859,1]</t>
  </si>
  <si>
    <t>[1000009,5]</t>
  </si>
  <si>
    <t>[1,60]</t>
  </si>
  <si>
    <t>[860001,2]</t>
  </si>
  <si>
    <t>[12,500]</t>
  </si>
  <si>
    <t>[12,50]</t>
  </si>
  <si>
    <t>[13,150]</t>
  </si>
  <si>
    <t>[511051,20]</t>
  </si>
  <si>
    <t>[600001,50]</t>
  </si>
  <si>
    <t>[1000001,1]</t>
  </si>
  <si>
    <t>[460203,1]</t>
  </si>
  <si>
    <t>[860004,2]</t>
  </si>
  <si>
    <t>[13,10]</t>
  </si>
  <si>
    <t>[1000002,1]</t>
  </si>
  <si>
    <t>[860006,2]</t>
  </si>
  <si>
    <t>[420242,1]</t>
  </si>
  <si>
    <t>[600001,2]</t>
  </si>
  <si>
    <t>[511051,30]</t>
  </si>
  <si>
    <t>[860008,2]</t>
  </si>
  <si>
    <t>[1000004,5]</t>
  </si>
  <si>
    <t>[481002,1]</t>
  </si>
  <si>
    <t>[440111,1]</t>
  </si>
  <si>
    <t>[860009,2]</t>
  </si>
  <si>
    <t>[511051,40]</t>
  </si>
  <si>
    <t>[486002,1]</t>
  </si>
  <si>
    <t>[860010,2]</t>
  </si>
  <si>
    <t>[511051,60]</t>
  </si>
  <si>
    <t>[100912,1]</t>
  </si>
  <si>
    <t>battle_pass_task</t>
  </si>
  <si>
    <t>通行证任务配置表</t>
  </si>
  <si>
    <t>任务</t>
  </si>
  <si>
    <t>任务周期</t>
  </si>
  <si>
    <t>任务类型</t>
  </si>
  <si>
    <t>类型解释字段</t>
  </si>
  <si>
    <t>经验奖励</t>
  </si>
  <si>
    <t>任务标签名</t>
  </si>
  <si>
    <t>参考中文名</t>
  </si>
  <si>
    <t>任务跳转</t>
  </si>
  <si>
    <t>week</t>
  </si>
  <si>
    <t>type_task</t>
  </si>
  <si>
    <t>explain</t>
  </si>
  <si>
    <t>reward</t>
  </si>
  <si>
    <t>name_task</t>
  </si>
  <si>
    <t>ch</t>
  </si>
  <si>
    <t>累计登录1天</t>
  </si>
  <si>
    <t>累计对局3局</t>
  </si>
  <si>
    <t>累计看广告2次</t>
  </si>
  <si>
    <t>累计登录2天</t>
  </si>
  <si>
    <t>累计对局6局</t>
  </si>
  <si>
    <t>累计看广告4次</t>
  </si>
  <si>
    <t>累计登录3天</t>
  </si>
  <si>
    <t>累计对局9局</t>
  </si>
  <si>
    <t>累计看广告6次</t>
  </si>
  <si>
    <t>玩3局斯诺克</t>
  </si>
  <si>
    <t>累计登录4天</t>
  </si>
  <si>
    <t>累计对局12局</t>
  </si>
  <si>
    <t>累计看广告8次</t>
  </si>
  <si>
    <t>累计登录5天</t>
  </si>
  <si>
    <t>累计对局15局</t>
  </si>
  <si>
    <t>累计看广告10次</t>
  </si>
  <si>
    <t>累计登录6天</t>
  </si>
  <si>
    <t>累计对局18局</t>
  </si>
  <si>
    <t>累计看广告12次</t>
  </si>
  <si>
    <t>累计登录7天</t>
  </si>
  <si>
    <t>累计对局21局</t>
  </si>
  <si>
    <t>累计看广告14次</t>
  </si>
  <si>
    <t>累计登录8天</t>
  </si>
  <si>
    <t>累计对局24局</t>
  </si>
  <si>
    <t>累计看广告16次</t>
  </si>
  <si>
    <t>累计登录9天</t>
  </si>
  <si>
    <t>累计对局27局</t>
  </si>
  <si>
    <t>累计看广告18次</t>
  </si>
  <si>
    <t>累计登录10天</t>
  </si>
  <si>
    <t>累计对局30局</t>
  </si>
  <si>
    <t>累计看广告20次</t>
  </si>
  <si>
    <t>累计登录11天</t>
  </si>
  <si>
    <t>累计对局33局</t>
  </si>
  <si>
    <t>累计看广告22次</t>
  </si>
  <si>
    <t>累计登录12天</t>
  </si>
  <si>
    <t>累计对局36局</t>
  </si>
  <si>
    <t>累计看广告24次</t>
  </si>
  <si>
    <t>累计登录13天</t>
  </si>
  <si>
    <t>累计对局39局</t>
  </si>
  <si>
    <t>累计看广告26次</t>
  </si>
  <si>
    <t>累计登录14天</t>
  </si>
  <si>
    <t>累计对局42局</t>
  </si>
  <si>
    <t>累计看广告28次</t>
  </si>
  <si>
    <t>battle_pass_other</t>
  </si>
  <si>
    <t>通行证特殊配置表</t>
  </si>
  <si>
    <t>配置说明</t>
  </si>
  <si>
    <t>解释字段</t>
  </si>
  <si>
    <t>高级通行证充值id</t>
  </si>
  <si>
    <t>[81,0]</t>
  </si>
  <si>
    <t>超级通行证充值id</t>
  </si>
  <si>
    <t>[82,1000]</t>
  </si>
  <si>
    <t>高级-超级差价充值id</t>
  </si>
  <si>
    <t>[133,1000]</t>
  </si>
  <si>
    <t>购买等级-1级价格</t>
  </si>
  <si>
    <t>[1,20,180]</t>
  </si>
  <si>
    <t>购买等级-10级价格</t>
  </si>
  <si>
    <t>[1,450]</t>
  </si>
  <si>
    <t>购买等级-30级价格</t>
  </si>
  <si>
    <t>[1,1200]</t>
  </si>
  <si>
    <t>每周任务经验上限</t>
  </si>
  <si>
    <t>[800]</t>
  </si>
  <si>
    <t>每日活跃经验上限</t>
  </si>
  <si>
    <t>[999999]</t>
  </si>
  <si>
    <t>battle_pass_show</t>
  </si>
  <si>
    <t>大奖展示配置表</t>
  </si>
  <si>
    <t>展示大奖id</t>
  </si>
  <si>
    <t>获得等级</t>
  </si>
  <si>
    <t>立即获得展示</t>
  </si>
  <si>
    <t>展示道具内容</t>
  </si>
  <si>
    <t>gain_now</t>
  </si>
  <si>
    <t>item_show</t>
  </si>
  <si>
    <t>[]</t>
  </si>
  <si>
    <t>[[420124,1],[460100,1],[810044,1]]</t>
  </si>
  <si>
    <t>[[2,1000000],[27,1],[300016,1]]</t>
  </si>
  <si>
    <t>[[420194,1],[460104,1],[810045,1]]</t>
  </si>
  <si>
    <t>[[2,1000000],[27,1],[300017,1]]</t>
  </si>
  <si>
    <t>[[420114,1],[460108,1],[810046,1]]</t>
  </si>
  <si>
    <t>[[2,1000000],[27,1],[300010,1]]</t>
  </si>
  <si>
    <t>[[440111,1],[460203,1],[486002,1]]</t>
  </si>
  <si>
    <t>[[2,1000000],[27,1],[420103,1]]</t>
  </si>
  <si>
    <t>battle_pass_task2</t>
  </si>
  <si>
    <t>通行证任务配置表2</t>
  </si>
  <si>
    <t>订阅奖励</t>
  </si>
  <si>
    <t>日/周任务区分</t>
  </si>
  <si>
    <t>特权任务标记</t>
  </si>
  <si>
    <t>daily_week</t>
  </si>
  <si>
    <t>task_mark</t>
  </si>
  <si>
    <t>2000,3</t>
  </si>
  <si>
    <t>在2000金币及以上场次完成3场对局</t>
  </si>
  <si>
    <t>2000,8</t>
  </si>
  <si>
    <t>在2000金币及以上场次获胜8场对局</t>
  </si>
  <si>
    <t>2000,20</t>
  </si>
  <si>
    <t>在2000金币及以上场次累积进球20个</t>
  </si>
  <si>
    <t>5000,3</t>
  </si>
  <si>
    <t>在5000金币及以上场次完成3场对局</t>
  </si>
  <si>
    <t>5000,2</t>
  </si>
  <si>
    <t>在5000金币及以上场次获胜2场对局</t>
  </si>
  <si>
    <t>5000,12</t>
  </si>
  <si>
    <t>在5000金币及以上场次累积进球12个</t>
  </si>
  <si>
    <t>挑战3次闯关模式关卡</t>
  </si>
  <si>
    <t>参加2次幸运夺宝活动</t>
  </si>
  <si>
    <t>参加1次好友约战</t>
  </si>
  <si>
    <t>3,3</t>
  </si>
  <si>
    <t>在8球模式里打出3次三连杆</t>
  </si>
  <si>
    <t>看一次视频</t>
  </si>
  <si>
    <t>登录游戏</t>
  </si>
  <si>
    <t>每日首胜</t>
  </si>
  <si>
    <t>消耗任意钻石</t>
  </si>
  <si>
    <t>分享游戏</t>
  </si>
  <si>
    <t>本周累计登录游戏3天</t>
  </si>
  <si>
    <t>累计首胜3次</t>
  </si>
  <si>
    <t>在2000金币及以上场次完成20场对局</t>
  </si>
  <si>
    <t>参加4次好友约战</t>
  </si>
  <si>
    <t>share_gift</t>
  </si>
  <si>
    <t>任务id</t>
  </si>
  <si>
    <t>任务名称</t>
  </si>
  <si>
    <t>任务奖励</t>
  </si>
  <si>
    <t>share_task</t>
  </si>
  <si>
    <t>share_task_ch</t>
  </si>
  <si>
    <t>share_reward</t>
  </si>
  <si>
    <t>分享到群并点击链接，可随机抽奖一次！</t>
  </si>
  <si>
    <t>分享并邀请新玩家点击该链接，领取以下奖励！</t>
  </si>
  <si>
    <t>分享并邀请好友点击链接，领取以下奖励！</t>
  </si>
  <si>
    <t>invited_cue</t>
  </si>
  <si>
    <t>task_id</t>
  </si>
  <si>
    <t>[1,2,3,4,5]</t>
  </si>
  <si>
    <t>[6,7,8,9,10]</t>
  </si>
  <si>
    <t>[11,12,13,14,15]</t>
  </si>
  <si>
    <t>share_new</t>
  </si>
  <si>
    <t>分享领好礼</t>
  </si>
  <si>
    <t>任务达成字段</t>
  </si>
  <si>
    <t>field</t>
  </si>
  <si>
    <t>累计邀请1名新玩家进入游戏</t>
  </si>
  <si>
    <t>[[510051,20],[2,2000]]</t>
  </si>
  <si>
    <t>累计邀请2名新玩家进入游戏</t>
  </si>
  <si>
    <t>[[510051,20],[2,3000]]</t>
  </si>
  <si>
    <t>累计邀请3名新玩家进入游戏</t>
  </si>
  <si>
    <t>[[510051,20],[2,5000]]</t>
  </si>
  <si>
    <t>累计邀请4名新玩家进入游戏</t>
  </si>
  <si>
    <t>[[510051,20],[1,5]]</t>
  </si>
  <si>
    <t>累计邀请5名新玩家进入游戏</t>
  </si>
  <si>
    <t>[[510051,20],[1,10]]</t>
  </si>
  <si>
    <t>[[510221,40],[2,2000]]</t>
  </si>
  <si>
    <t>[[510221,40],[2,3000]]</t>
  </si>
  <si>
    <t>[[510221,40],[2,5000]]</t>
  </si>
  <si>
    <t>[[510221,40],[1,5]]</t>
  </si>
  <si>
    <t>[[510221,40],[1,10]]</t>
  </si>
  <si>
    <t>[[510041,40],[2,2000]]</t>
  </si>
  <si>
    <t>[[510041,40],[2,3000]]</t>
  </si>
  <si>
    <t>[[510041,40],[2,5000]]</t>
  </si>
  <si>
    <t>[[510041,40],[1,5]]</t>
  </si>
  <si>
    <t>[[510041,40],[1,10]]</t>
  </si>
  <si>
    <t>daily_invite</t>
  </si>
  <si>
    <t>每日邀约</t>
  </si>
  <si>
    <t>分享发送1次</t>
  </si>
  <si>
    <t>分享发送3次</t>
  </si>
  <si>
    <t>分享发送5次</t>
  </si>
  <si>
    <t>免费寻宝</t>
    <phoneticPr fontId="23" type="noConversion"/>
  </si>
  <si>
    <t>ad_tiny_2021004135656015_202404102200090227</t>
  </si>
  <si>
    <t>[140012,140042,140062,140071,140081,140091,140101,140114,140121,140131,140141,140162,140173,140193,140201,140222,140232,140242,140253,140321,140341,140361,140371,140382,140391,140401,140411,140421,140431,140441,140451,140461,140811,140832,140842,140863,140872,140882,140912,140922]</t>
    <phoneticPr fontId="23" type="noConversion"/>
  </si>
  <si>
    <t>[140013,140022,140043,140052,140063,140072,140082,140092,140102,140111,140122,140132,140142,140174,140181,140194,140202,140223,140254,140322,140342,140362,140372,140392,140402,140412,140422,140432,140442,140452,140462,140812,140833,140843,140853,140873,140883,140913,140923]</t>
  </si>
  <si>
    <t>[140013,140022,140043,140052,140063,140072,140082,140092,140102,140111,140122,140132,140142,140174,140181,140194,140202,140223,140254,140322,140342,140362,140372,140392,140402,140412,140422,140432,140442,140452,140462,140812,140833,140843,140853,140873,140883,140913,140923]</t>
    <phoneticPr fontId="23" type="noConversion"/>
  </si>
  <si>
    <t>[140013,140022,140043,140052,140063,140072,140082,140092,140102,140111,140122,140132,140142,140174,140181,140194,140202,140223,140254,140322,140342,140362,140372,140392,140402,140412,140422,140432,140442,140452,140462,140812,140833,140843,140853,140873,140883,140913,140923,140014,140023,140044,140053,140073,140083,140093,140103,140113,140123,140133,140143,140175,140195,140203,140256,140323,140343,140363,140373,140393,140403,140413,140423,140433,140443,140453,140463,140813,140834,140844,140854,140874,140884,140894,140914]</t>
  </si>
  <si>
    <t>[140014,140023,140044,140053,140073,140083,140093,140103,140113,140123,140133,140143,140175,140195,140203,140256,140323,140343,140363,140373,140393,140403,140413,140423,140433,140443,140453,140463,140813,140834,140844,140854,140874,140884,140894,140914]</t>
  </si>
  <si>
    <t>[140014,140023,140044,140053,140073,140083,140093,140103,140113,140123,140133,140143,140175,140195,140203,140256,140323,140343]</t>
  </si>
  <si>
    <t>每日视频奖励</t>
    <phoneticPr fontId="23" type="noConversion"/>
  </si>
  <si>
    <t>checkDailyVideoRewardOpen</t>
    <phoneticPr fontId="23" type="noConversion"/>
  </si>
  <si>
    <t>ui_banner_lzmc</t>
    <phoneticPr fontId="23" type="noConversion"/>
  </si>
  <si>
    <t>ui_zjm_banner_yhjj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</si>
</sst>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;@"/>
    <numFmt numFmtId="177" formatCode="#,##0_);[Red]\(#,##0\)"/>
    <numFmt numFmtId="178" formatCode="#,##0_ "/>
  </numFmts>
  <fonts count="24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2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252626"/>
      <name val="Segoe UI"/>
      <family val="2"/>
    </font>
    <font>
      <sz val="10.5"/>
      <color theme="1"/>
      <name val="Segoe UI"/>
      <family val="2"/>
    </font>
    <font>
      <sz val="11"/>
      <color rgb="FF9C0006"/>
      <name val="等线"/>
      <family val="3"/>
      <charset val="134"/>
    </font>
    <font>
      <u/>
      <sz val="11"/>
      <color theme="10"/>
      <name val="等线"/>
      <family val="3"/>
      <charset val="134"/>
      <scheme val="minor"/>
    </font>
    <font>
      <sz val="11"/>
      <color rgb="FF222222"/>
      <name val="Arial"/>
      <family val="2"/>
    </font>
    <font>
      <sz val="11"/>
      <color rgb="FF222222"/>
      <name val="PingFang SC"/>
      <family val="1"/>
    </font>
    <font>
      <sz val="11"/>
      <color rgb="FF222222"/>
      <name val="Microsoft Sans Serif"/>
      <family val="2"/>
    </font>
    <font>
      <sz val="11"/>
      <name val="等线"/>
      <family val="3"/>
      <charset val="134"/>
      <scheme val="minor"/>
    </font>
    <font>
      <u/>
      <sz val="1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Helvetica"/>
      <family val="2"/>
    </font>
    <font>
      <sz val="11"/>
      <color rgb="FF000000"/>
      <name val="Helvetica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76805932798245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/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</cellStyleXfs>
  <cellXfs count="135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  <xf numFmtId="0" fontId="0" fillId="3" borderId="0" xfId="0" applyFill="1" applyAlignment="1"/>
    <xf numFmtId="0" fontId="0" fillId="4" borderId="0" xfId="0" applyFill="1" applyAlignment="1"/>
    <xf numFmtId="0" fontId="22" fillId="0" borderId="0" xfId="2">
      <alignment vertical="center"/>
    </xf>
    <xf numFmtId="0" fontId="22" fillId="0" borderId="0" xfId="8"/>
    <xf numFmtId="0" fontId="22" fillId="4" borderId="0" xfId="8" applyFill="1"/>
    <xf numFmtId="0" fontId="22" fillId="0" borderId="0" xfId="6">
      <alignment vertical="center"/>
    </xf>
    <xf numFmtId="0" fontId="1" fillId="0" borderId="0" xfId="3" applyAlignment="1">
      <alignment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/>
    <xf numFmtId="3" fontId="0" fillId="0" borderId="0" xfId="0" applyNumberFormat="1" applyAlignment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2" fillId="0" borderId="0" xfId="6" applyAlignment="1"/>
    <xf numFmtId="0" fontId="22" fillId="0" borderId="0" xfId="6" applyAlignment="1">
      <alignment horizontal="righ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/>
    </xf>
    <xf numFmtId="176" fontId="0" fillId="4" borderId="0" xfId="0" applyNumberForma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0" fontId="22" fillId="0" borderId="0" xfId="6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6" applyFont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0" fillId="4" borderId="0" xfId="0" applyNumberFormat="1" applyFill="1" applyAlignment="1"/>
    <xf numFmtId="176" fontId="1" fillId="4" borderId="0" xfId="0" applyNumberFormat="1" applyFont="1" applyFill="1" applyAlignment="1"/>
    <xf numFmtId="176" fontId="0" fillId="0" borderId="0" xfId="0" applyNumberFormat="1" applyAlignment="1"/>
    <xf numFmtId="176" fontId="1" fillId="0" borderId="0" xfId="0" applyNumberFormat="1" applyFont="1" applyAlignment="1"/>
    <xf numFmtId="176" fontId="1" fillId="0" borderId="0" xfId="6" applyNumberFormat="1" applyFont="1" applyAlignment="1"/>
    <xf numFmtId="176" fontId="4" fillId="0" borderId="0" xfId="0" applyNumberFormat="1" applyFont="1" applyAlignment="1"/>
    <xf numFmtId="0" fontId="4" fillId="0" borderId="0" xfId="6" applyFont="1" applyAlignment="1"/>
    <xf numFmtId="0" fontId="4" fillId="0" borderId="0" xfId="0" applyFont="1" applyAlignment="1"/>
    <xf numFmtId="177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1" xfId="6" applyBorder="1" applyAlignment="1">
      <alignment horizontal="center" vertical="center"/>
    </xf>
    <xf numFmtId="9" fontId="22" fillId="0" borderId="1" xfId="6" applyNumberFormat="1" applyBorder="1" applyAlignment="1">
      <alignment horizontal="center" vertical="center"/>
    </xf>
    <xf numFmtId="0" fontId="0" fillId="0" borderId="1" xfId="0" applyBorder="1" applyAlignment="1"/>
    <xf numFmtId="0" fontId="0" fillId="4" borderId="1" xfId="0" applyFill="1" applyBorder="1" applyAlignment="1"/>
    <xf numFmtId="176" fontId="0" fillId="4" borderId="1" xfId="0" applyNumberFormat="1" applyFill="1" applyBorder="1" applyAlignment="1"/>
    <xf numFmtId="176" fontId="1" fillId="4" borderId="1" xfId="0" applyNumberFormat="1" applyFont="1" applyFill="1" applyBorder="1" applyAlignment="1"/>
    <xf numFmtId="176" fontId="0" fillId="6" borderId="1" xfId="0" applyNumberFormat="1" applyFill="1" applyBorder="1" applyAlignment="1"/>
    <xf numFmtId="176" fontId="1" fillId="6" borderId="1" xfId="0" applyNumberFormat="1" applyFont="1" applyFill="1" applyBorder="1" applyAlignment="1"/>
    <xf numFmtId="176" fontId="1" fillId="6" borderId="1" xfId="6" applyNumberFormat="1" applyFont="1" applyFill="1" applyBorder="1" applyAlignment="1"/>
    <xf numFmtId="0" fontId="0" fillId="3" borderId="1" xfId="0" applyFill="1" applyBorder="1" applyAlignment="1"/>
    <xf numFmtId="176" fontId="0" fillId="0" borderId="1" xfId="0" applyNumberFormat="1" applyBorder="1" applyAlignment="1">
      <alignment horizontal="center"/>
    </xf>
    <xf numFmtId="176" fontId="0" fillId="4" borderId="1" xfId="0" applyNumberFormat="1" applyFill="1" applyBorder="1" applyAlignment="1">
      <alignment horizontal="center"/>
    </xf>
    <xf numFmtId="176" fontId="1" fillId="4" borderId="1" xfId="0" applyNumberFormat="1" applyFont="1" applyFill="1" applyBorder="1" applyAlignment="1">
      <alignment horizontal="center"/>
    </xf>
    <xf numFmtId="176" fontId="0" fillId="0" borderId="1" xfId="0" applyNumberFormat="1" applyBorder="1">
      <alignment vertical="center"/>
    </xf>
    <xf numFmtId="49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49" fontId="0" fillId="7" borderId="0" xfId="0" applyNumberForma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7" fillId="8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7" borderId="0" xfId="0" applyNumberFormat="1" applyFon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0" fontId="22" fillId="0" borderId="0" xfId="2" applyAlignment="1"/>
    <xf numFmtId="0" fontId="0" fillId="0" borderId="3" xfId="0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4" fillId="0" borderId="0" xfId="1" applyFont="1" applyBorder="1" applyAlignment="1">
      <alignment horizontal="left" vertical="center"/>
    </xf>
    <xf numFmtId="0" fontId="8" fillId="0" borderId="0" xfId="1" applyAlignment="1">
      <alignment horizontal="left" vertical="center"/>
    </xf>
    <xf numFmtId="0" fontId="0" fillId="3" borderId="4" xfId="0" applyFill="1" applyBorder="1" applyAlignment="1">
      <alignment horizontal="center"/>
    </xf>
    <xf numFmtId="0" fontId="1" fillId="0" borderId="0" xfId="3"/>
    <xf numFmtId="0" fontId="1" fillId="2" borderId="0" xfId="3" applyFill="1"/>
    <xf numFmtId="0" fontId="1" fillId="3" borderId="0" xfId="3" applyFill="1"/>
    <xf numFmtId="0" fontId="1" fillId="4" borderId="0" xfId="3" applyFill="1"/>
    <xf numFmtId="176" fontId="1" fillId="0" borderId="0" xfId="3" applyNumberFormat="1"/>
    <xf numFmtId="176" fontId="1" fillId="4" borderId="0" xfId="3" applyNumberForma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22" fillId="9" borderId="0" xfId="2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2" fillId="0" borderId="0" xfId="2" applyAlignment="1">
      <alignment horizontal="center" vertical="center"/>
    </xf>
    <xf numFmtId="0" fontId="22" fillId="3" borderId="0" xfId="2" applyFill="1" applyAlignment="1">
      <alignment horizontal="center"/>
    </xf>
    <xf numFmtId="0" fontId="22" fillId="9" borderId="0" xfId="2" applyFill="1" applyAlignment="1">
      <alignment horizontal="center"/>
    </xf>
    <xf numFmtId="0" fontId="4" fillId="3" borderId="0" xfId="2" applyFont="1" applyFill="1" applyAlignment="1">
      <alignment horizontal="center"/>
    </xf>
    <xf numFmtId="0" fontId="0" fillId="9" borderId="0" xfId="0" applyFill="1">
      <alignment vertical="center"/>
    </xf>
    <xf numFmtId="0" fontId="1" fillId="0" borderId="0" xfId="0" applyFont="1" applyAlignment="1">
      <alignment horizontal="left" vertical="center"/>
    </xf>
    <xf numFmtId="0" fontId="22" fillId="0" borderId="0" xfId="7"/>
    <xf numFmtId="0" fontId="22" fillId="2" borderId="0" xfId="7" applyFill="1"/>
    <xf numFmtId="0" fontId="22" fillId="3" borderId="0" xfId="7" applyFill="1"/>
    <xf numFmtId="0" fontId="22" fillId="4" borderId="0" xfId="7" applyFill="1"/>
    <xf numFmtId="0" fontId="22" fillId="0" borderId="0" xfId="7" applyAlignment="1">
      <alignment horizontal="center"/>
    </xf>
    <xf numFmtId="0" fontId="22" fillId="4" borderId="0" xfId="7" applyFill="1" applyAlignment="1">
      <alignment horizontal="center"/>
    </xf>
    <xf numFmtId="0" fontId="22" fillId="0" borderId="0" xfId="7" applyAlignment="1">
      <alignment horizontal="right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0" fillId="0" borderId="1" xfId="0" quotePrefix="1" applyBorder="1" applyAlignment="1">
      <alignment horizontal="center"/>
    </xf>
    <xf numFmtId="0" fontId="16" fillId="0" borderId="0" xfId="7" applyFont="1"/>
    <xf numFmtId="0" fontId="16" fillId="9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</cellXfs>
  <cellStyles count="10">
    <cellStyle name="常规" xfId="0" builtinId="0"/>
    <cellStyle name="常规 2" xfId="2" xr:uid="{00000000-0005-0000-0000-000031000000}"/>
    <cellStyle name="常规 2 2" xfId="3" xr:uid="{00000000-0005-0000-0000-000032000000}"/>
    <cellStyle name="常规 2 2 2" xfId="4" xr:uid="{00000000-0005-0000-0000-000033000000}"/>
    <cellStyle name="常规 2 2 3" xfId="5" xr:uid="{00000000-0005-0000-0000-000034000000}"/>
    <cellStyle name="常规 3" xfId="6" xr:uid="{00000000-0005-0000-0000-000035000000}"/>
    <cellStyle name="常规 4" xfId="7" xr:uid="{00000000-0005-0000-0000-000036000000}"/>
    <cellStyle name="常规 5" xfId="8" xr:uid="{00000000-0005-0000-0000-000037000000}"/>
    <cellStyle name="常规 6" xfId="9" xr:uid="{00000000-0005-0000-0000-000038000000}"/>
    <cellStyle name="超链接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33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mmocgame.qpic.cn/wechatgame/jVxokSiaej7TDufmibrRxQzc67fAuhrt8YSwxgdapX0iaBIIpQSicN3S2ZdGMsD5KaQq/0" TargetMode="External"/><Relationship Id="rId18" Type="http://schemas.openxmlformats.org/officeDocument/2006/relationships/hyperlink" Target="https://mmocgame.qpic.cn/wechatgame/YbratFsQicvgVibzQ2EzR2t5qAvE0ebxNMmiaAdGj2VA2YY579kAsToNglibOFSEZZ8Y/0" TargetMode="External"/><Relationship Id="rId26" Type="http://schemas.openxmlformats.org/officeDocument/2006/relationships/hyperlink" Target="https://mmocgame.qpic.cn/wechatgame/CUtAQOEibiclmQFcEF32YuTmxLIojOmKicQqJKCTMOKHnS3o8TQacwPY5yK9H0Bh2jF/0" TargetMode="External"/><Relationship Id="rId3" Type="http://schemas.openxmlformats.org/officeDocument/2006/relationships/hyperlink" Target="https://mmocgame.qpic.cn/wechatgame/03XR5ibv5dEAMibicTz0Ix3iasJOYkQiaHHDMObzTRvqCKJ72iamegFpvRgY5CCbb1Qpfv/0" TargetMode="External"/><Relationship Id="rId21" Type="http://schemas.openxmlformats.org/officeDocument/2006/relationships/hyperlink" Target="https://mmocgame.qpic.cn/wechatgame/YbratFsQicvhEkMBOtcqt4NqO6eAN65Wnsn3ddPtJIGRicibY0mx6UicRDBalz1eibNb9/0" TargetMode="External"/><Relationship Id="rId34" Type="http://schemas.openxmlformats.org/officeDocument/2006/relationships/hyperlink" Target="https://mmocgame.qpic.cn/wechatgame/yc3iccJcEib9ZKzcNOREO5W6JIfqLP5QO9giaTVqAVrcO9Z3whmLaiamHiaD3yTGybM8m/0" TargetMode="External"/><Relationship Id="rId7" Type="http://schemas.openxmlformats.org/officeDocument/2006/relationships/hyperlink" Target="https://mmocgame.qpic.cn/wechatgame/jVxokSiaej7TDufmibrRxQzc67fAuhrt8YSwxgdapX0iaBIIpQSicN3S2ZdGMsD5KaQq/0" TargetMode="External"/><Relationship Id="rId12" Type="http://schemas.openxmlformats.org/officeDocument/2006/relationships/hyperlink" Target="https://mmocgame.qpic.cn/wechatgame/jVxokSiaej7TDufmibrRxQzc67fAuhrt8YSwxgdapX0iaBIIpQSicN3S2ZdGMsD5KaQq/0" TargetMode="External"/><Relationship Id="rId17" Type="http://schemas.openxmlformats.org/officeDocument/2006/relationships/hyperlink" Target="https://mmocgame.qpic.cn/wechatgame/YbratFsQicviaDNeTULIobUsn1CRHiamkibf0E3ZAvlRSp9S6OWYu2YicdwjGKcr6Gc35/0" TargetMode="External"/><Relationship Id="rId25" Type="http://schemas.openxmlformats.org/officeDocument/2006/relationships/hyperlink" Target="https://mmocgame.qpic.cn/wechatgame/CUtAQOEibicllr35h1KkLDDibJicfOlVSE8vrLVyy3mPEexEmhAwoY0L4icNnGP8aPzwl/0" TargetMode="External"/><Relationship Id="rId33" Type="http://schemas.openxmlformats.org/officeDocument/2006/relationships/hyperlink" Target="https://mmocgame.qpic.cn/wechatgame/yc3iccJcEib9ZicAyZDGJUVmiavm0Wf7wmGyKz5JgLn6IcloE1TLiaqcrG7948FRCDGvL/0" TargetMode="External"/><Relationship Id="rId2" Type="http://schemas.openxmlformats.org/officeDocument/2006/relationships/hyperlink" Target="https://mmocgame.qpic.cn/wechatgame/03XR5ibv5dEDTicxcUFHyNgiaickduRLzD8rpkFUP9oS8kicQ6dm4c6jYn1hZGia44FFuM/0" TargetMode="External"/><Relationship Id="rId16" Type="http://schemas.openxmlformats.org/officeDocument/2006/relationships/hyperlink" Target="https://mmocgame.qpic.cn/wechatgame/YbratFsQicviaETzkCPtX1zpiczxRro2us4oGfeIl2Jg3Pagp2fH3vUsJiadQ0Vhc8tw/0" TargetMode="External"/><Relationship Id="rId20" Type="http://schemas.openxmlformats.org/officeDocument/2006/relationships/hyperlink" Target="https://mmocgame.qpic.cn/wechatgame/YbratFsQicvjaou67JI9yib15fGpAbOGGT2sYia24868v1jX5p57pPlTibhjmRFm1bLj/0" TargetMode="External"/><Relationship Id="rId29" Type="http://schemas.openxmlformats.org/officeDocument/2006/relationships/hyperlink" Target="https://mmocgame.qpic.cn/wechatgame/yc3iccJcEib9ZswCp1o7HPrpysPa1c7n3KCW71LHsfTicBz9c2vQt2mbeLbzznfWyiae/0" TargetMode="External"/><Relationship Id="rId1" Type="http://schemas.openxmlformats.org/officeDocument/2006/relationships/hyperlink" Target="https://mmocgame.qpic.cn/wechatgame/03XR5ibv5dEAvOtGzFG6s4rAPJibALJXT6uL22uNpEuJtzyh1zRxh0Xta6NKbjbI0P/0" TargetMode="External"/><Relationship Id="rId6" Type="http://schemas.openxmlformats.org/officeDocument/2006/relationships/hyperlink" Target="https://mmocgame.qpic.cn/wechatgame/03XR5ibv5dEDbyiaYxPqXt0kmlIicNnydwAv6Fm7iaJWvO9gTOYhYpxgtHX5CSmlkdQ7/0" TargetMode="External"/><Relationship Id="rId11" Type="http://schemas.openxmlformats.org/officeDocument/2006/relationships/hyperlink" Target="https://mmocgame.qpic.cn/wechatgame/jVxokSiaej7SMSzPhteJpc1uNcs2ZD1whE3oe5quOAgJcwlaicVcDoKBbr97QytiboA/0" TargetMode="External"/><Relationship Id="rId24" Type="http://schemas.openxmlformats.org/officeDocument/2006/relationships/hyperlink" Target="https://mmocgame.qpic.cn/wechatgame/CUtAQOEibiclmPSWGLolHuic53PCBM8Mb9rFib319mO2yOQJe7tHcHGoSzO2zn5rMLaE/0" TargetMode="External"/><Relationship Id="rId32" Type="http://schemas.openxmlformats.org/officeDocument/2006/relationships/hyperlink" Target="https://mmocgame.qpic.cn/wechatgame/yc3iccJcEib9bVTGVrg1D80FlIdHhVcNKPILGNicstBC7sxsibvHwzvkw1yQ1IxiceI2K/0" TargetMode="External"/><Relationship Id="rId5" Type="http://schemas.openxmlformats.org/officeDocument/2006/relationships/hyperlink" Target="https://mmocgame.qpic.cn/wechatgame/03XR5ibv5dEBlrbJsWQiagib4BVkBtyvSB4EickMupscRKfm4RticTRHrZ2XKnAKp2XUw/0" TargetMode="External"/><Relationship Id="rId15" Type="http://schemas.openxmlformats.org/officeDocument/2006/relationships/hyperlink" Target="https://mmocgame.qpic.cn/wechatgame/YbratFsQicvhrmMsPicF9IQLXRSLbcxh2NaBUxO0ice9B2MELXy7CWsmp6EPagbWyzX/0" TargetMode="External"/><Relationship Id="rId23" Type="http://schemas.openxmlformats.org/officeDocument/2006/relationships/hyperlink" Target="https://mmocgame.qpic.cn/wechatgame/YbratFsQicvhQvZ7uIkeia3uY22294QzjOBtKldGMwATSdaMmvgztLchJDUvgcic35q/0" TargetMode="External"/><Relationship Id="rId28" Type="http://schemas.openxmlformats.org/officeDocument/2006/relationships/hyperlink" Target="https://mmocgame.qpic.cn/wechatgame/yc3iccJcEib9ZUXhtApXGF1PSpKoKWnGIPhN9X9VsFibcfiajukv2UrvEf9VjOuwhUy4/0" TargetMode="External"/><Relationship Id="rId10" Type="http://schemas.openxmlformats.org/officeDocument/2006/relationships/hyperlink" Target="https://mmocgame.qpic.cn/wechatgame/jVxokSiaej7THcw8qfOZc0sCkcicEeYfEXShhu7xMzkODzQIQBajbf5QWq20JkhS6x/0" TargetMode="External"/><Relationship Id="rId19" Type="http://schemas.openxmlformats.org/officeDocument/2006/relationships/hyperlink" Target="https://mmocgame.qpic.cn/wechatgame/YbratFsQicvg8cGvq9y5lVGFJZlvgtzCic1DESe0V5GHQPcyrG6am0byUoxjWCV5lb/0" TargetMode="External"/><Relationship Id="rId31" Type="http://schemas.openxmlformats.org/officeDocument/2006/relationships/hyperlink" Target="https://mmocgame.qpic.cn/wechatgame/yc3iccJcEib9aBGViaicDgmSeibMg0MDnSR6AaeQP7WjTwRkXpN3jWibQib3TFibbzKwFjZt/0" TargetMode="External"/><Relationship Id="rId4" Type="http://schemas.openxmlformats.org/officeDocument/2006/relationships/hyperlink" Target="https://mmocgame.qpic.cn/wechatgame/03XR5ibv5dECCaH4YmlVa7SctcbgqkgFFTZOYH13huBdVHQZXib8f3y8frWA3QjYKF/0" TargetMode="External"/><Relationship Id="rId9" Type="http://schemas.openxmlformats.org/officeDocument/2006/relationships/hyperlink" Target="https://mmocgame.qpic.cn/wechatgame/jVxokSiaej7TDufmibrRxQzc67fAuhrt8YSwxgdapX0iaBIIpQSicN3S2ZdGMsD5KaQq/0" TargetMode="External"/><Relationship Id="rId14" Type="http://schemas.openxmlformats.org/officeDocument/2006/relationships/hyperlink" Target="https://mmocgame.qpic.cn/wechatgame/jVxokSiaej7TDufmibrRxQzc67fAuhrt8YSwxgdapX0iaBIIpQSicN3S2ZdGMsD5KaQq/0" TargetMode="External"/><Relationship Id="rId22" Type="http://schemas.openxmlformats.org/officeDocument/2006/relationships/hyperlink" Target="https://mmocgame.qpic.cn/wechatgame/YbratFsQicviaj1GfwMEYNIX3q74kho1kwmqmKLcoapu80slic0QEB0H22efJxTibMka/0" TargetMode="External"/><Relationship Id="rId27" Type="http://schemas.openxmlformats.org/officeDocument/2006/relationships/hyperlink" Target="https://mmocgame.qpic.cn/wechatgame/yc3iccJcEib9YsHP4EnJ5icHyiciajaZM74bASLFxZlU4vb7BEI2TzDys8dSBASSGmJnu/0" TargetMode="External"/><Relationship Id="rId30" Type="http://schemas.openxmlformats.org/officeDocument/2006/relationships/hyperlink" Target="https://mmocgame.qpic.cn/wechatgame/yc3iccJcEib9Zia5CWy0Vae3H9C8micxPn8kbPN6ic51gOIMG4BETnlqnTmyUCYr0e2HC/0" TargetMode="External"/><Relationship Id="rId8" Type="http://schemas.openxmlformats.org/officeDocument/2006/relationships/hyperlink" Target="https://mmocgame.qpic.cn/wechatgame/jVxokSiaej7THcw8qfOZc0sCkcicEeYfEXShhu7xMzkODzQIQBajbf5QWq20JkhS6x/0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9"/>
  <sheetViews>
    <sheetView topLeftCell="A60" workbookViewId="0">
      <selection activeCell="H75" sqref="H75"/>
    </sheetView>
  </sheetViews>
  <sheetFormatPr defaultColWidth="9" defaultRowHeight="13.8"/>
  <cols>
    <col min="1" max="1" width="25.77734375" customWidth="1"/>
    <col min="2" max="2" width="13" customWidth="1"/>
    <col min="5" max="5" width="11.77734375" customWidth="1"/>
    <col min="6" max="6" width="11.33203125" customWidth="1"/>
    <col min="8" max="8" width="36.33203125" customWidth="1"/>
    <col min="20" max="20" width="9" customWidth="1"/>
  </cols>
  <sheetData>
    <row r="1" spans="1:24" ht="15.6">
      <c r="A1" s="1" t="s">
        <v>0</v>
      </c>
      <c r="B1" s="2" t="s">
        <v>1</v>
      </c>
      <c r="C1" s="101" t="s">
        <v>2</v>
      </c>
      <c r="D1" s="2"/>
      <c r="E1" s="2"/>
      <c r="F1" s="2"/>
      <c r="G1" s="2"/>
      <c r="H1" s="2"/>
      <c r="I1" s="2"/>
      <c r="J1" s="2"/>
    </row>
    <row r="2" spans="1:24" ht="15.6">
      <c r="A2" s="1" t="s">
        <v>3</v>
      </c>
      <c r="B2" s="2" t="s">
        <v>4</v>
      </c>
      <c r="C2" s="101" t="s">
        <v>5</v>
      </c>
      <c r="D2" s="2"/>
      <c r="E2" s="2"/>
      <c r="F2" s="2"/>
      <c r="G2" s="2"/>
      <c r="H2" s="2"/>
      <c r="I2" s="2"/>
      <c r="J2" s="2"/>
    </row>
    <row r="3" spans="1:24" ht="15.6">
      <c r="A3" s="1" t="s">
        <v>6</v>
      </c>
      <c r="B3" s="3" t="s">
        <v>7</v>
      </c>
      <c r="C3" s="101" t="s">
        <v>8</v>
      </c>
      <c r="D3" s="2"/>
      <c r="E3" s="2"/>
      <c r="F3" s="2"/>
      <c r="G3" s="2"/>
      <c r="H3" s="2"/>
      <c r="I3" s="2"/>
      <c r="J3" s="2"/>
    </row>
    <row r="4" spans="1:24" ht="15.6">
      <c r="A4" s="1" t="s">
        <v>9</v>
      </c>
      <c r="B4" s="4" t="s">
        <v>10</v>
      </c>
      <c r="C4" s="101"/>
      <c r="D4" s="2"/>
      <c r="E4" s="2"/>
      <c r="F4" s="2"/>
      <c r="G4" s="2"/>
      <c r="H4" s="2"/>
      <c r="I4" s="2"/>
      <c r="J4" s="2"/>
    </row>
    <row r="5" spans="1:24" ht="15.6">
      <c r="A5" s="1" t="s">
        <v>11</v>
      </c>
      <c r="B5" s="2"/>
      <c r="C5" s="101" t="s">
        <v>12</v>
      </c>
      <c r="D5" s="2"/>
      <c r="E5" s="2"/>
      <c r="F5" s="2"/>
      <c r="G5" s="2"/>
      <c r="H5" s="2"/>
      <c r="I5" s="2"/>
      <c r="J5" s="2"/>
    </row>
    <row r="6" spans="1:24" ht="15.6">
      <c r="A6" s="1" t="s">
        <v>13</v>
      </c>
      <c r="B6" s="2">
        <v>4</v>
      </c>
      <c r="C6" s="101" t="s">
        <v>14</v>
      </c>
      <c r="D6" s="2"/>
      <c r="E6" s="2"/>
      <c r="F6" s="2"/>
      <c r="G6" s="2"/>
      <c r="H6" s="2"/>
      <c r="I6" s="2"/>
      <c r="J6" s="2"/>
    </row>
    <row r="7" spans="1:24">
      <c r="A7" s="1" t="s">
        <v>15</v>
      </c>
      <c r="B7" s="2"/>
      <c r="C7" s="2"/>
      <c r="D7" s="2"/>
      <c r="E7" s="2"/>
      <c r="F7" s="2"/>
      <c r="G7" s="2"/>
      <c r="H7" s="2"/>
      <c r="I7" s="2"/>
      <c r="J7" s="2"/>
    </row>
    <row r="8" spans="1:24">
      <c r="A8" s="1" t="s">
        <v>16</v>
      </c>
      <c r="B8" s="2"/>
      <c r="C8" s="2"/>
      <c r="D8" s="2"/>
      <c r="E8" s="2"/>
      <c r="F8" s="2"/>
      <c r="G8" s="2"/>
      <c r="H8" s="2"/>
      <c r="I8" s="2"/>
      <c r="J8" s="2"/>
    </row>
    <row r="9" spans="1:24">
      <c r="A9" s="2"/>
      <c r="B9" s="2"/>
      <c r="C9" s="2"/>
      <c r="D9" s="2"/>
      <c r="E9" s="2"/>
      <c r="F9" s="2"/>
      <c r="G9" s="2"/>
      <c r="H9" s="2"/>
      <c r="I9" s="2"/>
      <c r="J9" s="2"/>
    </row>
    <row r="10" spans="1:24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24">
      <c r="A11" s="23" t="s">
        <v>17</v>
      </c>
      <c r="B11" s="23" t="s">
        <v>18</v>
      </c>
      <c r="C11" s="16" t="s">
        <v>19</v>
      </c>
      <c r="D11" s="16" t="s">
        <v>20</v>
      </c>
      <c r="E11" t="s">
        <v>21</v>
      </c>
      <c r="F11" t="s">
        <v>22</v>
      </c>
    </row>
    <row r="12" spans="1:24">
      <c r="A12" s="25" t="s">
        <v>23</v>
      </c>
      <c r="B12" s="25" t="s">
        <v>24</v>
      </c>
      <c r="C12" s="25" t="s">
        <v>25</v>
      </c>
      <c r="D12" s="25" t="s">
        <v>26</v>
      </c>
      <c r="E12" s="4" t="s">
        <v>27</v>
      </c>
      <c r="F12" s="25" t="s">
        <v>28</v>
      </c>
    </row>
    <row r="13" spans="1:24">
      <c r="A13" s="25" t="s">
        <v>29</v>
      </c>
      <c r="B13" s="25" t="s">
        <v>29</v>
      </c>
      <c r="C13" s="25" t="s">
        <v>29</v>
      </c>
      <c r="D13" s="25" t="s">
        <v>30</v>
      </c>
      <c r="E13" s="4" t="s">
        <v>29</v>
      </c>
      <c r="F13" s="25" t="s">
        <v>29</v>
      </c>
    </row>
    <row r="14" spans="1:24">
      <c r="A14" s="25" t="s">
        <v>31</v>
      </c>
      <c r="B14" s="25" t="s">
        <v>32</v>
      </c>
      <c r="C14" s="25" t="s">
        <v>32</v>
      </c>
      <c r="D14" s="25" t="s">
        <v>32</v>
      </c>
      <c r="E14" s="4" t="s">
        <v>32</v>
      </c>
      <c r="F14" s="25" t="s">
        <v>32</v>
      </c>
    </row>
    <row r="15" spans="1:24">
      <c r="A15" s="25"/>
      <c r="B15" s="25">
        <v>1</v>
      </c>
      <c r="C15" s="25">
        <v>0</v>
      </c>
      <c r="D15" s="25">
        <v>0</v>
      </c>
      <c r="E15" s="4">
        <v>0</v>
      </c>
      <c r="F15" s="25">
        <v>0</v>
      </c>
      <c r="S15" s="128" t="s">
        <v>33</v>
      </c>
      <c r="U15" s="129" t="s">
        <v>34</v>
      </c>
      <c r="W15" s="130" t="s">
        <v>35</v>
      </c>
    </row>
    <row r="16" spans="1:24">
      <c r="A16" s="23">
        <v>140012</v>
      </c>
      <c r="B16" s="16">
        <v>140012</v>
      </c>
      <c r="C16" s="16">
        <v>1</v>
      </c>
      <c r="D16" s="16" t="s">
        <v>36</v>
      </c>
      <c r="E16" s="16">
        <v>0</v>
      </c>
      <c r="F16" s="16">
        <v>0</v>
      </c>
      <c r="G16">
        <v>5</v>
      </c>
      <c r="H16" t="s">
        <v>37</v>
      </c>
      <c r="J16">
        <v>140012</v>
      </c>
      <c r="K16">
        <v>5</v>
      </c>
      <c r="M16">
        <v>140013</v>
      </c>
      <c r="N16">
        <v>140014</v>
      </c>
      <c r="O16">
        <f>M16</f>
        <v>140013</v>
      </c>
      <c r="P16">
        <f>N16</f>
        <v>140014</v>
      </c>
      <c r="S16">
        <v>140012</v>
      </c>
      <c r="T16">
        <f>S16</f>
        <v>140012</v>
      </c>
      <c r="U16">
        <v>140013</v>
      </c>
      <c r="V16">
        <f>U16</f>
        <v>140013</v>
      </c>
      <c r="W16">
        <v>140014</v>
      </c>
      <c r="X16">
        <f>W16</f>
        <v>140014</v>
      </c>
    </row>
    <row r="17" spans="1:24">
      <c r="A17" s="23">
        <v>140013</v>
      </c>
      <c r="B17" s="16">
        <v>140013</v>
      </c>
      <c r="C17" s="16">
        <v>7</v>
      </c>
      <c r="D17" s="16" t="s">
        <v>36</v>
      </c>
      <c r="E17" s="16">
        <v>1</v>
      </c>
      <c r="F17" s="16">
        <v>5</v>
      </c>
      <c r="G17">
        <v>6</v>
      </c>
      <c r="H17" t="s">
        <v>38</v>
      </c>
      <c r="J17">
        <v>140013</v>
      </c>
      <c r="K17">
        <v>6</v>
      </c>
      <c r="M17">
        <v>140014</v>
      </c>
      <c r="N17">
        <v>140023</v>
      </c>
      <c r="O17" t="str">
        <f>O16&amp;","&amp;M17</f>
        <v>140013,140014</v>
      </c>
      <c r="P17" t="str">
        <f>P16&amp;","&amp;N17</f>
        <v>140014,140023</v>
      </c>
      <c r="S17">
        <v>140042</v>
      </c>
      <c r="T17" t="str">
        <f>T16&amp;","&amp;S17</f>
        <v>140012,140042</v>
      </c>
      <c r="U17">
        <v>140022</v>
      </c>
      <c r="V17" t="str">
        <f>V16&amp;","&amp;U17</f>
        <v>140013,140022</v>
      </c>
      <c r="W17">
        <v>140023</v>
      </c>
      <c r="X17" t="str">
        <f>X16&amp;","&amp;W17</f>
        <v>140014,140023</v>
      </c>
    </row>
    <row r="18" spans="1:24">
      <c r="A18" s="23">
        <v>140014</v>
      </c>
      <c r="B18" s="16">
        <v>140014</v>
      </c>
      <c r="C18" s="16">
        <v>1</v>
      </c>
      <c r="D18" s="16" t="s">
        <v>36</v>
      </c>
      <c r="E18" s="16">
        <v>1</v>
      </c>
      <c r="F18" s="23">
        <v>10</v>
      </c>
      <c r="G18">
        <v>7</v>
      </c>
      <c r="H18" t="s">
        <v>39</v>
      </c>
      <c r="J18">
        <v>140014</v>
      </c>
      <c r="K18">
        <v>7</v>
      </c>
      <c r="M18">
        <v>140022</v>
      </c>
      <c r="N18">
        <v>140044</v>
      </c>
      <c r="O18" t="str">
        <f t="shared" ref="O18:O81" si="0">O17&amp;","&amp;M18</f>
        <v>140013,140014,140022</v>
      </c>
      <c r="P18" t="str">
        <f t="shared" ref="P18:P77" si="1">P17&amp;","&amp;N18</f>
        <v>140014,140023,140044</v>
      </c>
      <c r="S18">
        <v>140062</v>
      </c>
      <c r="T18" t="str">
        <f>T17&amp;","&amp;S18</f>
        <v>140012,140042,140062</v>
      </c>
      <c r="U18">
        <v>140043</v>
      </c>
      <c r="V18" t="str">
        <f t="shared" ref="V18:V57" si="2">V17&amp;","&amp;U18</f>
        <v>140013,140022,140043</v>
      </c>
      <c r="W18">
        <v>140044</v>
      </c>
      <c r="X18" t="str">
        <f t="shared" ref="X18:X54" si="3">X17&amp;","&amp;W18</f>
        <v>140014,140023,140044</v>
      </c>
    </row>
    <row r="19" spans="1:24">
      <c r="A19" s="23">
        <v>140022</v>
      </c>
      <c r="B19" s="16">
        <v>140022</v>
      </c>
      <c r="C19" s="16">
        <v>1</v>
      </c>
      <c r="D19" s="16" t="s">
        <v>36</v>
      </c>
      <c r="E19" s="16">
        <v>1</v>
      </c>
      <c r="F19" s="16">
        <v>5</v>
      </c>
      <c r="G19">
        <v>6</v>
      </c>
      <c r="H19" t="s">
        <v>40</v>
      </c>
      <c r="J19">
        <v>140022</v>
      </c>
      <c r="K19">
        <v>6</v>
      </c>
      <c r="M19">
        <v>140023</v>
      </c>
      <c r="N19">
        <v>140053</v>
      </c>
      <c r="O19" t="str">
        <f t="shared" si="0"/>
        <v>140013,140014,140022,140023</v>
      </c>
      <c r="P19" t="str">
        <f t="shared" si="1"/>
        <v>140014,140023,140044,140053</v>
      </c>
      <c r="S19">
        <v>140071</v>
      </c>
      <c r="T19" t="str">
        <f t="shared" ref="T19:T58" si="4">T18&amp;","&amp;S19</f>
        <v>140012,140042,140062,140071</v>
      </c>
      <c r="U19">
        <v>140052</v>
      </c>
      <c r="V19" t="str">
        <f t="shared" si="2"/>
        <v>140013,140022,140043,140052</v>
      </c>
      <c r="W19">
        <v>140053</v>
      </c>
      <c r="X19" t="str">
        <f t="shared" si="3"/>
        <v>140014,140023,140044,140053</v>
      </c>
    </row>
    <row r="20" spans="1:24">
      <c r="A20" s="23">
        <v>140023</v>
      </c>
      <c r="B20" s="16">
        <v>140023</v>
      </c>
      <c r="C20" s="16">
        <v>1</v>
      </c>
      <c r="D20" s="16" t="s">
        <v>36</v>
      </c>
      <c r="E20" s="16">
        <v>1</v>
      </c>
      <c r="F20" s="16">
        <v>10</v>
      </c>
      <c r="G20">
        <v>7</v>
      </c>
      <c r="H20" t="s">
        <v>41</v>
      </c>
      <c r="J20">
        <v>140023</v>
      </c>
      <c r="K20">
        <v>7</v>
      </c>
      <c r="M20">
        <v>140043</v>
      </c>
      <c r="N20">
        <v>140073</v>
      </c>
      <c r="O20" t="str">
        <f t="shared" si="0"/>
        <v>140013,140014,140022,140023,140043</v>
      </c>
      <c r="P20" t="str">
        <f t="shared" si="1"/>
        <v>140014,140023,140044,140053,140073</v>
      </c>
      <c r="S20">
        <v>140081</v>
      </c>
      <c r="T20" t="str">
        <f t="shared" si="4"/>
        <v>140012,140042,140062,140071,140081</v>
      </c>
      <c r="U20">
        <v>140063</v>
      </c>
      <c r="V20" t="str">
        <f t="shared" si="2"/>
        <v>140013,140022,140043,140052,140063</v>
      </c>
      <c r="W20">
        <v>140073</v>
      </c>
      <c r="X20" t="str">
        <f t="shared" si="3"/>
        <v>140014,140023,140044,140053,140073</v>
      </c>
    </row>
    <row r="21" spans="1:24">
      <c r="A21" s="23">
        <v>140042</v>
      </c>
      <c r="B21" s="125">
        <v>140042</v>
      </c>
      <c r="C21" s="16">
        <v>2</v>
      </c>
      <c r="D21" s="16" t="s">
        <v>36</v>
      </c>
      <c r="E21" s="16">
        <v>0</v>
      </c>
      <c r="F21" s="16">
        <v>0</v>
      </c>
      <c r="G21">
        <v>5</v>
      </c>
      <c r="H21" t="s">
        <v>42</v>
      </c>
      <c r="J21">
        <v>140042</v>
      </c>
      <c r="K21">
        <v>5</v>
      </c>
      <c r="M21">
        <v>140044</v>
      </c>
      <c r="N21">
        <v>140083</v>
      </c>
      <c r="O21" t="str">
        <f t="shared" si="0"/>
        <v>140013,140014,140022,140023,140043,140044</v>
      </c>
      <c r="P21" t="str">
        <f t="shared" si="1"/>
        <v>140014,140023,140044,140053,140073,140083</v>
      </c>
      <c r="S21">
        <v>140091</v>
      </c>
      <c r="T21" t="str">
        <f t="shared" si="4"/>
        <v>140012,140042,140062,140071,140081,140091</v>
      </c>
      <c r="U21">
        <v>140072</v>
      </c>
      <c r="V21" t="str">
        <f t="shared" si="2"/>
        <v>140013,140022,140043,140052,140063,140072</v>
      </c>
      <c r="W21">
        <v>140083</v>
      </c>
      <c r="X21" t="str">
        <f t="shared" si="3"/>
        <v>140014,140023,140044,140053,140073,140083</v>
      </c>
    </row>
    <row r="22" spans="1:24">
      <c r="A22" s="23">
        <v>140043</v>
      </c>
      <c r="B22" s="125">
        <v>140043</v>
      </c>
      <c r="C22" s="16">
        <v>1</v>
      </c>
      <c r="D22" s="16" t="s">
        <v>36</v>
      </c>
      <c r="E22" s="16">
        <v>1</v>
      </c>
      <c r="F22" s="16">
        <v>5</v>
      </c>
      <c r="G22">
        <v>6</v>
      </c>
      <c r="H22" t="s">
        <v>43</v>
      </c>
      <c r="J22">
        <v>140043</v>
      </c>
      <c r="K22">
        <v>6</v>
      </c>
      <c r="M22">
        <v>140052</v>
      </c>
      <c r="N22">
        <v>140093</v>
      </c>
      <c r="O22" t="str">
        <f t="shared" si="0"/>
        <v>140013,140014,140022,140023,140043,140044,140052</v>
      </c>
      <c r="P22" t="str">
        <f t="shared" si="1"/>
        <v>140014,140023,140044,140053,140073,140083,140093</v>
      </c>
      <c r="S22">
        <v>140101</v>
      </c>
      <c r="T22" t="str">
        <f t="shared" si="4"/>
        <v>140012,140042,140062,140071,140081,140091,140101</v>
      </c>
      <c r="U22">
        <v>140082</v>
      </c>
      <c r="V22" t="str">
        <f t="shared" si="2"/>
        <v>140013,140022,140043,140052,140063,140072,140082</v>
      </c>
      <c r="W22">
        <v>140093</v>
      </c>
      <c r="X22" t="str">
        <f t="shared" si="3"/>
        <v>140014,140023,140044,140053,140073,140083,140093</v>
      </c>
    </row>
    <row r="23" spans="1:24">
      <c r="A23" s="23">
        <v>140044</v>
      </c>
      <c r="B23" s="125">
        <v>140044</v>
      </c>
      <c r="C23" s="16">
        <v>1</v>
      </c>
      <c r="D23" s="16" t="s">
        <v>36</v>
      </c>
      <c r="E23" s="16">
        <v>1</v>
      </c>
      <c r="F23" s="16">
        <v>10</v>
      </c>
      <c r="G23">
        <v>7</v>
      </c>
      <c r="H23" t="s">
        <v>44</v>
      </c>
      <c r="J23">
        <v>140044</v>
      </c>
      <c r="K23">
        <v>7</v>
      </c>
      <c r="M23">
        <v>140053</v>
      </c>
      <c r="N23">
        <v>140103</v>
      </c>
      <c r="O23" t="str">
        <f t="shared" si="0"/>
        <v>140013,140014,140022,140023,140043,140044,140052,140053</v>
      </c>
      <c r="P23" t="str">
        <f t="shared" si="1"/>
        <v>140014,140023,140044,140053,140073,140083,140093,140103</v>
      </c>
      <c r="S23">
        <v>140114</v>
      </c>
      <c r="T23" t="str">
        <f t="shared" si="4"/>
        <v>140012,140042,140062,140071,140081,140091,140101,140114</v>
      </c>
      <c r="U23">
        <v>140092</v>
      </c>
      <c r="V23" t="str">
        <f t="shared" si="2"/>
        <v>140013,140022,140043,140052,140063,140072,140082,140092</v>
      </c>
      <c r="W23">
        <v>140103</v>
      </c>
      <c r="X23" t="str">
        <f t="shared" si="3"/>
        <v>140014,140023,140044,140053,140073,140083,140093,140103</v>
      </c>
    </row>
    <row r="24" spans="1:24">
      <c r="A24" s="23">
        <v>140052</v>
      </c>
      <c r="B24" s="125">
        <v>140052</v>
      </c>
      <c r="C24" s="16">
        <v>1</v>
      </c>
      <c r="D24" s="16" t="s">
        <v>36</v>
      </c>
      <c r="E24" s="16">
        <v>1</v>
      </c>
      <c r="F24" s="16">
        <v>5</v>
      </c>
      <c r="G24">
        <v>6</v>
      </c>
      <c r="H24" t="s">
        <v>45</v>
      </c>
      <c r="J24">
        <v>140052</v>
      </c>
      <c r="K24">
        <v>6</v>
      </c>
      <c r="M24">
        <v>140063</v>
      </c>
      <c r="N24">
        <v>140113</v>
      </c>
      <c r="O24" t="str">
        <f t="shared" si="0"/>
        <v>140013,140014,140022,140023,140043,140044,140052,140053,140063</v>
      </c>
      <c r="P24" t="str">
        <f t="shared" si="1"/>
        <v>140014,140023,140044,140053,140073,140083,140093,140103,140113</v>
      </c>
      <c r="S24">
        <v>140121</v>
      </c>
      <c r="T24" t="str">
        <f t="shared" si="4"/>
        <v>140012,140042,140062,140071,140081,140091,140101,140114,140121</v>
      </c>
      <c r="U24">
        <v>140102</v>
      </c>
      <c r="V24" t="str">
        <f t="shared" si="2"/>
        <v>140013,140022,140043,140052,140063,140072,140082,140092,140102</v>
      </c>
      <c r="W24">
        <v>140113</v>
      </c>
      <c r="X24" t="str">
        <f t="shared" si="3"/>
        <v>140014,140023,140044,140053,140073,140083,140093,140103,140113</v>
      </c>
    </row>
    <row r="25" spans="1:24">
      <c r="A25" s="23">
        <v>140053</v>
      </c>
      <c r="B25" s="125">
        <v>140053</v>
      </c>
      <c r="C25" s="16">
        <v>1</v>
      </c>
      <c r="D25" s="16" t="s">
        <v>36</v>
      </c>
      <c r="E25" s="16">
        <v>1</v>
      </c>
      <c r="F25" s="16">
        <v>10</v>
      </c>
      <c r="G25">
        <v>7</v>
      </c>
      <c r="H25" t="s">
        <v>46</v>
      </c>
      <c r="J25">
        <v>140053</v>
      </c>
      <c r="K25">
        <v>7</v>
      </c>
      <c r="M25">
        <v>140072</v>
      </c>
      <c r="N25">
        <v>140123</v>
      </c>
      <c r="O25" t="str">
        <f t="shared" si="0"/>
        <v>140013,140014,140022,140023,140043,140044,140052,140053,140063,140072</v>
      </c>
      <c r="P25" t="str">
        <f t="shared" si="1"/>
        <v>140014,140023,140044,140053,140073,140083,140093,140103,140113,140123</v>
      </c>
      <c r="S25">
        <v>140131</v>
      </c>
      <c r="T25" t="str">
        <f t="shared" si="4"/>
        <v>140012,140042,140062,140071,140081,140091,140101,140114,140121,140131</v>
      </c>
      <c r="U25">
        <v>140111</v>
      </c>
      <c r="V25" t="str">
        <f t="shared" si="2"/>
        <v>140013,140022,140043,140052,140063,140072,140082,140092,140102,140111</v>
      </c>
      <c r="W25">
        <v>140123</v>
      </c>
      <c r="X25" t="str">
        <f t="shared" si="3"/>
        <v>140014,140023,140044,140053,140073,140083,140093,140103,140113,140123</v>
      </c>
    </row>
    <row r="26" spans="1:24">
      <c r="A26" s="23">
        <v>140062</v>
      </c>
      <c r="B26" s="125">
        <v>140062</v>
      </c>
      <c r="C26" s="16">
        <v>1</v>
      </c>
      <c r="D26" s="16" t="s">
        <v>36</v>
      </c>
      <c r="E26" s="16">
        <v>0</v>
      </c>
      <c r="F26" s="16">
        <v>0</v>
      </c>
      <c r="G26">
        <v>5</v>
      </c>
      <c r="H26" t="s">
        <v>47</v>
      </c>
      <c r="J26">
        <v>140062</v>
      </c>
      <c r="K26">
        <v>5</v>
      </c>
      <c r="M26">
        <v>140073</v>
      </c>
      <c r="N26">
        <v>140133</v>
      </c>
      <c r="O26" t="str">
        <f t="shared" si="0"/>
        <v>140013,140014,140022,140023,140043,140044,140052,140053,140063,140072,140073</v>
      </c>
      <c r="P26" t="str">
        <f t="shared" si="1"/>
        <v>140014,140023,140044,140053,140073,140083,140093,140103,140113,140123,140133</v>
      </c>
      <c r="S26">
        <v>140141</v>
      </c>
      <c r="T26" t="str">
        <f t="shared" si="4"/>
        <v>140012,140042,140062,140071,140081,140091,140101,140114,140121,140131,140141</v>
      </c>
      <c r="U26">
        <v>140122</v>
      </c>
      <c r="V26" t="str">
        <f t="shared" si="2"/>
        <v>140013,140022,140043,140052,140063,140072,140082,140092,140102,140111,140122</v>
      </c>
      <c r="W26">
        <v>140133</v>
      </c>
      <c r="X26" t="str">
        <f t="shared" si="3"/>
        <v>140014,140023,140044,140053,140073,140083,140093,140103,140113,140123,140133</v>
      </c>
    </row>
    <row r="27" spans="1:24">
      <c r="A27" s="23">
        <v>140063</v>
      </c>
      <c r="B27" s="125">
        <v>140063</v>
      </c>
      <c r="C27" s="16">
        <v>1</v>
      </c>
      <c r="D27" s="16" t="s">
        <v>36</v>
      </c>
      <c r="E27" s="16">
        <v>1</v>
      </c>
      <c r="F27" s="16">
        <v>5</v>
      </c>
      <c r="G27">
        <v>6</v>
      </c>
      <c r="H27" t="s">
        <v>48</v>
      </c>
      <c r="J27">
        <v>140063</v>
      </c>
      <c r="K27">
        <v>6</v>
      </c>
      <c r="M27">
        <v>140082</v>
      </c>
      <c r="N27">
        <v>140143</v>
      </c>
      <c r="O27" t="str">
        <f t="shared" si="0"/>
        <v>140013,140014,140022,140023,140043,140044,140052,140053,140063,140072,140073,140082</v>
      </c>
      <c r="P27" t="str">
        <f t="shared" si="1"/>
        <v>140014,140023,140044,140053,140073,140083,140093,140103,140113,140123,140133,140143</v>
      </c>
      <c r="S27">
        <v>140162</v>
      </c>
      <c r="T27" t="str">
        <f t="shared" si="4"/>
        <v>140012,140042,140062,140071,140081,140091,140101,140114,140121,140131,140141,140162</v>
      </c>
      <c r="U27">
        <v>140132</v>
      </c>
      <c r="V27" t="str">
        <f t="shared" si="2"/>
        <v>140013,140022,140043,140052,140063,140072,140082,140092,140102,140111,140122,140132</v>
      </c>
      <c r="W27">
        <v>140143</v>
      </c>
      <c r="X27" t="str">
        <f t="shared" si="3"/>
        <v>140014,140023,140044,140053,140073,140083,140093,140103,140113,140123,140133,140143</v>
      </c>
    </row>
    <row r="28" spans="1:24">
      <c r="A28" s="23">
        <v>140071</v>
      </c>
      <c r="B28" s="125">
        <v>140071</v>
      </c>
      <c r="C28" s="16">
        <v>1</v>
      </c>
      <c r="D28" s="16" t="s">
        <v>36</v>
      </c>
      <c r="E28" s="16">
        <v>0</v>
      </c>
      <c r="F28" s="16">
        <v>0</v>
      </c>
      <c r="G28">
        <v>5</v>
      </c>
      <c r="H28" t="s">
        <v>49</v>
      </c>
      <c r="J28">
        <v>140071</v>
      </c>
      <c r="K28">
        <v>5</v>
      </c>
      <c r="M28">
        <v>140083</v>
      </c>
      <c r="N28">
        <v>140175</v>
      </c>
      <c r="O28" t="str">
        <f t="shared" si="0"/>
        <v>140013,140014,140022,140023,140043,140044,140052,140053,140063,140072,140073,140082,140083</v>
      </c>
      <c r="P28" t="str">
        <f t="shared" si="1"/>
        <v>140014,140023,140044,140053,140073,140083,140093,140103,140113,140123,140133,140143,140175</v>
      </c>
      <c r="S28">
        <v>140173</v>
      </c>
      <c r="T28" t="str">
        <f t="shared" si="4"/>
        <v>140012,140042,140062,140071,140081,140091,140101,140114,140121,140131,140141,140162,140173</v>
      </c>
      <c r="U28">
        <v>140142</v>
      </c>
      <c r="V28" t="str">
        <f t="shared" si="2"/>
        <v>140013,140022,140043,140052,140063,140072,140082,140092,140102,140111,140122,140132,140142</v>
      </c>
      <c r="W28">
        <v>140175</v>
      </c>
      <c r="X28" t="str">
        <f t="shared" si="3"/>
        <v>140014,140023,140044,140053,140073,140083,140093,140103,140113,140123,140133,140143,140175</v>
      </c>
    </row>
    <row r="29" spans="1:24">
      <c r="A29" s="23">
        <v>140072</v>
      </c>
      <c r="B29" s="125">
        <v>140072</v>
      </c>
      <c r="C29" s="16">
        <v>1</v>
      </c>
      <c r="D29" s="16" t="s">
        <v>36</v>
      </c>
      <c r="E29" s="16">
        <v>1</v>
      </c>
      <c r="F29" s="16">
        <v>5</v>
      </c>
      <c r="G29">
        <v>6</v>
      </c>
      <c r="H29" t="s">
        <v>50</v>
      </c>
      <c r="J29">
        <v>140072</v>
      </c>
      <c r="K29">
        <v>6</v>
      </c>
      <c r="M29">
        <v>140092</v>
      </c>
      <c r="N29">
        <v>140195</v>
      </c>
      <c r="O29" t="str">
        <f t="shared" si="0"/>
        <v>140013,140014,140022,140023,140043,140044,140052,140053,140063,140072,140073,140082,140083,140092</v>
      </c>
      <c r="P29" t="str">
        <f t="shared" si="1"/>
        <v>140014,140023,140044,140053,140073,140083,140093,140103,140113,140123,140133,140143,140175,140195</v>
      </c>
      <c r="S29">
        <v>140193</v>
      </c>
      <c r="T29" t="str">
        <f t="shared" si="4"/>
        <v>140012,140042,140062,140071,140081,140091,140101,140114,140121,140131,140141,140162,140173,140193</v>
      </c>
      <c r="U29">
        <v>140174</v>
      </c>
      <c r="V29" t="str">
        <f t="shared" si="2"/>
        <v>140013,140022,140043,140052,140063,140072,140082,140092,140102,140111,140122,140132,140142,140174</v>
      </c>
      <c r="W29">
        <v>140195</v>
      </c>
      <c r="X29" t="str">
        <f t="shared" si="3"/>
        <v>140014,140023,140044,140053,140073,140083,140093,140103,140113,140123,140133,140143,140175,140195</v>
      </c>
    </row>
    <row r="30" spans="1:24">
      <c r="A30" s="23">
        <v>140073</v>
      </c>
      <c r="B30" s="125">
        <v>140073</v>
      </c>
      <c r="C30" s="16">
        <v>1</v>
      </c>
      <c r="D30" s="16" t="s">
        <v>36</v>
      </c>
      <c r="E30" s="16">
        <v>1</v>
      </c>
      <c r="F30" s="16">
        <v>10</v>
      </c>
      <c r="G30">
        <v>7</v>
      </c>
      <c r="H30" t="s">
        <v>51</v>
      </c>
      <c r="J30">
        <v>140073</v>
      </c>
      <c r="K30">
        <v>7</v>
      </c>
      <c r="M30">
        <v>140093</v>
      </c>
      <c r="N30">
        <v>140203</v>
      </c>
      <c r="O30" t="str">
        <f t="shared" si="0"/>
        <v>140013,140014,140022,140023,140043,140044,140052,140053,140063,140072,140073,140082,140083,140092,140093</v>
      </c>
      <c r="P30" t="str">
        <f t="shared" si="1"/>
        <v>140014,140023,140044,140053,140073,140083,140093,140103,140113,140123,140133,140143,140175,140195,140203</v>
      </c>
      <c r="S30">
        <v>140201</v>
      </c>
      <c r="T30" t="str">
        <f t="shared" si="4"/>
        <v>140012,140042,140062,140071,140081,140091,140101,140114,140121,140131,140141,140162,140173,140193,140201</v>
      </c>
      <c r="U30">
        <v>140181</v>
      </c>
      <c r="V30" t="str">
        <f t="shared" si="2"/>
        <v>140013,140022,140043,140052,140063,140072,140082,140092,140102,140111,140122,140132,140142,140174,140181</v>
      </c>
      <c r="W30">
        <v>140203</v>
      </c>
      <c r="X30" t="str">
        <f t="shared" si="3"/>
        <v>140014,140023,140044,140053,140073,140083,140093,140103,140113,140123,140133,140143,140175,140195,140203</v>
      </c>
    </row>
    <row r="31" spans="1:24">
      <c r="A31" s="23">
        <v>140081</v>
      </c>
      <c r="B31" s="16">
        <v>140081</v>
      </c>
      <c r="C31" s="16">
        <v>1</v>
      </c>
      <c r="D31" s="16" t="s">
        <v>36</v>
      </c>
      <c r="E31" s="16">
        <v>0</v>
      </c>
      <c r="F31" s="16">
        <v>0</v>
      </c>
      <c r="G31">
        <v>5</v>
      </c>
      <c r="H31" t="s">
        <v>52</v>
      </c>
      <c r="J31">
        <v>140081</v>
      </c>
      <c r="K31">
        <v>5</v>
      </c>
      <c r="M31">
        <v>140102</v>
      </c>
      <c r="N31">
        <v>140256</v>
      </c>
      <c r="O31" t="str">
        <f t="shared" si="0"/>
        <v>140013,140014,140022,140023,140043,140044,140052,140053,140063,140072,140073,140082,140083,140092,140093,140102</v>
      </c>
      <c r="P31" t="str">
        <f t="shared" si="1"/>
        <v>140014,140023,140044,140053,140073,140083,140093,140103,140113,140123,140133,140143,140175,140195,140203,140256</v>
      </c>
      <c r="S31">
        <v>140222</v>
      </c>
      <c r="T31" t="str">
        <f t="shared" si="4"/>
        <v>140012,140042,140062,140071,140081,140091,140101,140114,140121,140131,140141,140162,140173,140193,140201,140222</v>
      </c>
      <c r="U31">
        <v>140194</v>
      </c>
      <c r="V31" t="str">
        <f t="shared" si="2"/>
        <v>140013,140022,140043,140052,140063,140072,140082,140092,140102,140111,140122,140132,140142,140174,140181,140194</v>
      </c>
      <c r="W31">
        <v>140256</v>
      </c>
      <c r="X31" t="str">
        <f t="shared" si="3"/>
        <v>140014,140023,140044,140053,140073,140083,140093,140103,140113,140123,140133,140143,140175,140195,140203,140256</v>
      </c>
    </row>
    <row r="32" spans="1:24">
      <c r="A32" s="23">
        <v>140082</v>
      </c>
      <c r="B32" s="16">
        <v>140082</v>
      </c>
      <c r="C32" s="16">
        <v>1</v>
      </c>
      <c r="D32" s="16" t="s">
        <v>36</v>
      </c>
      <c r="E32" s="16">
        <v>1</v>
      </c>
      <c r="F32" s="16">
        <v>5</v>
      </c>
      <c r="G32">
        <v>6</v>
      </c>
      <c r="H32" t="s">
        <v>53</v>
      </c>
      <c r="J32">
        <v>140082</v>
      </c>
      <c r="K32">
        <v>6</v>
      </c>
      <c r="M32">
        <v>140103</v>
      </c>
      <c r="N32">
        <v>140323</v>
      </c>
      <c r="O32" t="str">
        <f t="shared" si="0"/>
        <v>140013,140014,140022,140023,140043,140044,140052,140053,140063,140072,140073,140082,140083,140092,140093,140102,140103</v>
      </c>
      <c r="P32" t="str">
        <f t="shared" si="1"/>
        <v>140014,140023,140044,140053,140073,140083,140093,140103,140113,140123,140133,140143,140175,140195,140203,140256,140323</v>
      </c>
      <c r="S32">
        <v>140232</v>
      </c>
      <c r="T32" t="str">
        <f t="shared" si="4"/>
        <v>140012,140042,140062,140071,140081,140091,140101,140114,140121,140131,140141,140162,140173,140193,140201,140222,140232</v>
      </c>
      <c r="U32">
        <v>140202</v>
      </c>
      <c r="V32" t="str">
        <f t="shared" si="2"/>
        <v>140013,140022,140043,140052,140063,140072,140082,140092,140102,140111,140122,140132,140142,140174,140181,140194,140202</v>
      </c>
      <c r="W32">
        <v>140323</v>
      </c>
      <c r="X32" t="str">
        <f t="shared" si="3"/>
        <v>140014,140023,140044,140053,140073,140083,140093,140103,140113,140123,140133,140143,140175,140195,140203,140256,140323</v>
      </c>
    </row>
    <row r="33" spans="1:24">
      <c r="A33" s="23">
        <v>140083</v>
      </c>
      <c r="B33" s="16">
        <v>140083</v>
      </c>
      <c r="C33" s="16">
        <v>1</v>
      </c>
      <c r="D33" s="16" t="s">
        <v>36</v>
      </c>
      <c r="E33" s="16">
        <v>1</v>
      </c>
      <c r="F33" s="16">
        <v>10</v>
      </c>
      <c r="G33">
        <v>7</v>
      </c>
      <c r="H33" t="s">
        <v>54</v>
      </c>
      <c r="J33">
        <v>140083</v>
      </c>
      <c r="K33">
        <v>7</v>
      </c>
      <c r="M33">
        <v>140111</v>
      </c>
      <c r="N33">
        <v>140333</v>
      </c>
      <c r="O33" t="str">
        <f t="shared" si="0"/>
        <v>140013,140014,140022,140023,140043,140044,140052,140053,140063,140072,140073,140082,140083,140092,140093,140102,140103,140111</v>
      </c>
      <c r="P33" t="str">
        <f t="shared" si="1"/>
        <v>140014,140023,140044,140053,140073,140083,140093,140103,140113,140123,140133,140143,140175,140195,140203,140256,140323,140333</v>
      </c>
      <c r="S33">
        <v>140242</v>
      </c>
      <c r="T33" t="str">
        <f t="shared" si="4"/>
        <v>140012,140042,140062,140071,140081,140091,140101,140114,140121,140131,140141,140162,140173,140193,140201,140222,140232,140242</v>
      </c>
      <c r="U33">
        <v>140223</v>
      </c>
      <c r="V33" t="str">
        <f t="shared" si="2"/>
        <v>140013,140022,140043,140052,140063,140072,140082,140092,140102,140111,140122,140132,140142,140174,140181,140194,140202,140223</v>
      </c>
      <c r="W33">
        <v>140333</v>
      </c>
      <c r="X33" t="str">
        <f t="shared" si="3"/>
        <v>140014,140023,140044,140053,140073,140083,140093,140103,140113,140123,140133,140143,140175,140195,140203,140256,140323,140333</v>
      </c>
    </row>
    <row r="34" spans="1:24">
      <c r="A34" s="23">
        <v>140091</v>
      </c>
      <c r="B34" s="16">
        <v>140091</v>
      </c>
      <c r="C34" s="16">
        <v>1</v>
      </c>
      <c r="D34" s="16" t="s">
        <v>36</v>
      </c>
      <c r="E34" s="16">
        <v>0</v>
      </c>
      <c r="F34" s="16">
        <v>0</v>
      </c>
      <c r="G34">
        <v>5</v>
      </c>
      <c r="H34" t="s">
        <v>55</v>
      </c>
      <c r="J34">
        <v>140091</v>
      </c>
      <c r="K34">
        <v>5</v>
      </c>
      <c r="M34">
        <v>140113</v>
      </c>
      <c r="N34">
        <v>140343</v>
      </c>
      <c r="O34" t="str">
        <f t="shared" si="0"/>
        <v>140013,140014,140022,140023,140043,140044,140052,140053,140063,140072,140073,140082,140083,140092,140093,140102,140103,140111,140113</v>
      </c>
      <c r="P34" t="str">
        <f t="shared" si="1"/>
        <v>140014,140023,140044,140053,140073,140083,140093,140103,140113,140123,140133,140143,140175,140195,140203,140256,140323,140333,140343</v>
      </c>
      <c r="S34">
        <v>140253</v>
      </c>
      <c r="T34" t="str">
        <f t="shared" si="4"/>
        <v>140012,140042,140062,140071,140081,140091,140101,140114,140121,140131,140141,140162,140173,140193,140201,140222,140232,140242,140253</v>
      </c>
      <c r="U34">
        <v>140254</v>
      </c>
      <c r="V34" t="str">
        <f t="shared" si="2"/>
        <v>140013,140022,140043,140052,140063,140072,140082,140092,140102,140111,140122,140132,140142,140174,140181,140194,140202,140223,140254</v>
      </c>
      <c r="W34">
        <v>140343</v>
      </c>
      <c r="X34" t="str">
        <f t="shared" si="3"/>
        <v>140014,140023,140044,140053,140073,140083,140093,140103,140113,140123,140133,140143,140175,140195,140203,140256,140323,140333,140343</v>
      </c>
    </row>
    <row r="35" spans="1:24" ht="15.6">
      <c r="A35" s="23">
        <v>140092</v>
      </c>
      <c r="B35" s="16">
        <v>140092</v>
      </c>
      <c r="C35" s="16">
        <v>1</v>
      </c>
      <c r="D35" s="16" t="s">
        <v>36</v>
      </c>
      <c r="E35" s="16">
        <v>1</v>
      </c>
      <c r="F35" s="16">
        <v>5</v>
      </c>
      <c r="G35">
        <v>6</v>
      </c>
      <c r="H35" s="126" t="s">
        <v>56</v>
      </c>
      <c r="I35" s="127"/>
      <c r="J35">
        <v>140092</v>
      </c>
      <c r="K35">
        <v>6</v>
      </c>
      <c r="M35">
        <v>140122</v>
      </c>
      <c r="N35">
        <v>140353</v>
      </c>
      <c r="O35" t="str">
        <f t="shared" si="0"/>
        <v>140013,140014,140022,140023,140043,140044,140052,140053,140063,140072,140073,140082,140083,140092,140093,140102,140103,140111,140113,140122</v>
      </c>
      <c r="P35" t="str">
        <f t="shared" si="1"/>
        <v>140014,140023,140044,140053,140073,140083,140093,140103,140113,140123,140133,140143,140175,140195,140203,140256,140323,140333,140343,140353</v>
      </c>
      <c r="S35">
        <v>140321</v>
      </c>
      <c r="T35" t="str">
        <f t="shared" si="4"/>
        <v>140012,140042,140062,140071,140081,140091,140101,140114,140121,140131,140141,140162,140173,140193,140201,140222,140232,140242,140253,140321</v>
      </c>
      <c r="U35">
        <v>140322</v>
      </c>
      <c r="V35" t="str">
        <f t="shared" si="2"/>
        <v>140013,140022,140043,140052,140063,140072,140082,140092,140102,140111,140122,140132,140142,140174,140181,140194,140202,140223,140254,140322</v>
      </c>
      <c r="W35">
        <v>140353</v>
      </c>
      <c r="X35" t="str">
        <f t="shared" si="3"/>
        <v>140014,140023,140044,140053,140073,140083,140093,140103,140113,140123,140133,140143,140175,140195,140203,140256,140323,140333,140343,140353</v>
      </c>
    </row>
    <row r="36" spans="1:24" ht="15.6">
      <c r="A36" s="23">
        <v>140093</v>
      </c>
      <c r="B36" s="16">
        <v>140093</v>
      </c>
      <c r="C36" s="16">
        <v>1</v>
      </c>
      <c r="D36" s="16" t="s">
        <v>36</v>
      </c>
      <c r="E36" s="16">
        <v>1</v>
      </c>
      <c r="F36" s="16">
        <v>10</v>
      </c>
      <c r="G36">
        <v>7</v>
      </c>
      <c r="H36" s="126" t="s">
        <v>57</v>
      </c>
      <c r="I36" s="127"/>
      <c r="J36">
        <v>140093</v>
      </c>
      <c r="K36">
        <v>7</v>
      </c>
      <c r="M36">
        <v>140123</v>
      </c>
      <c r="N36">
        <v>140363</v>
      </c>
      <c r="O36" t="str">
        <f t="shared" si="0"/>
        <v>140013,140014,140022,140023,140043,140044,140052,140053,140063,140072,140073,140082,140083,140092,140093,140102,140103,140111,140113,140122,140123</v>
      </c>
      <c r="P36" t="str">
        <f t="shared" si="1"/>
        <v>140014,140023,140044,140053,140073,140083,140093,140103,140113,140123,140133,140143,140175,140195,140203,140256,140323,140333,140343,140353,140363</v>
      </c>
      <c r="S36">
        <v>140331</v>
      </c>
      <c r="T36" t="str">
        <f t="shared" si="4"/>
        <v>140012,140042,140062,140071,140081,140091,140101,140114,140121,140131,140141,140162,140173,140193,140201,140222,140232,140242,140253,140321,140331</v>
      </c>
      <c r="U36">
        <v>140332</v>
      </c>
      <c r="V36" t="str">
        <f t="shared" si="2"/>
        <v>140013,140022,140043,140052,140063,140072,140082,140092,140102,140111,140122,140132,140142,140174,140181,140194,140202,140223,140254,140322,140332</v>
      </c>
      <c r="W36">
        <v>140363</v>
      </c>
      <c r="X36" t="str">
        <f t="shared" si="3"/>
        <v>140014,140023,140044,140053,140073,140083,140093,140103,140113,140123,140133,140143,140175,140195,140203,140256,140323,140333,140343,140353,140363</v>
      </c>
    </row>
    <row r="37" spans="1:24" ht="15.6">
      <c r="A37" s="23">
        <v>140101</v>
      </c>
      <c r="B37" s="16">
        <v>140101</v>
      </c>
      <c r="C37" s="16">
        <v>1</v>
      </c>
      <c r="D37" s="16" t="s">
        <v>36</v>
      </c>
      <c r="E37" s="16">
        <v>0</v>
      </c>
      <c r="F37" s="16">
        <v>0</v>
      </c>
      <c r="G37">
        <v>5</v>
      </c>
      <c r="H37" s="126" t="s">
        <v>58</v>
      </c>
      <c r="I37" s="127"/>
      <c r="J37">
        <v>140101</v>
      </c>
      <c r="K37">
        <v>5</v>
      </c>
      <c r="M37">
        <v>140132</v>
      </c>
      <c r="N37">
        <v>140373</v>
      </c>
      <c r="O37" t="str">
        <f t="shared" si="0"/>
        <v>140013,140014,140022,140023,140043,140044,140052,140053,140063,140072,140073,140082,140083,140092,140093,140102,140103,140111,140113,140122,140123,140132</v>
      </c>
      <c r="P37" t="str">
        <f t="shared" si="1"/>
        <v>140014,140023,140044,140053,140073,140083,140093,140103,140113,140123,140133,140143,140175,140195,140203,140256,140323,140333,140343,140353,140363,140373</v>
      </c>
      <c r="S37">
        <v>140341</v>
      </c>
      <c r="T37" t="str">
        <f t="shared" si="4"/>
        <v>140012,140042,140062,140071,140081,140091,140101,140114,140121,140131,140141,140162,140173,140193,140201,140222,140232,140242,140253,140321,140331,140341</v>
      </c>
      <c r="U37">
        <v>140342</v>
      </c>
      <c r="V37" t="str">
        <f t="shared" si="2"/>
        <v>140013,140022,140043,140052,140063,140072,140082,140092,140102,140111,140122,140132,140142,140174,140181,140194,140202,140223,140254,140322,140332,140342</v>
      </c>
      <c r="W37">
        <v>140373</v>
      </c>
      <c r="X37" t="str">
        <f t="shared" si="3"/>
        <v>140014,140023,140044,140053,140073,140083,140093,140103,140113,140123,140133,140143,140175,140195,140203,140256,140323,140333,140343,140353,140363,140373</v>
      </c>
    </row>
    <row r="38" spans="1:24" ht="15.6">
      <c r="A38" s="23">
        <v>140102</v>
      </c>
      <c r="B38" s="16">
        <v>140102</v>
      </c>
      <c r="C38" s="16">
        <v>1</v>
      </c>
      <c r="D38" s="16" t="s">
        <v>36</v>
      </c>
      <c r="E38" s="16">
        <v>1</v>
      </c>
      <c r="F38" s="16">
        <v>5</v>
      </c>
      <c r="G38">
        <v>6</v>
      </c>
      <c r="H38" s="126" t="s">
        <v>59</v>
      </c>
      <c r="I38" s="127"/>
      <c r="J38">
        <v>140102</v>
      </c>
      <c r="K38">
        <v>6</v>
      </c>
      <c r="M38">
        <v>140133</v>
      </c>
      <c r="N38">
        <v>140393</v>
      </c>
      <c r="O38" t="str">
        <f t="shared" si="0"/>
        <v>140013,140014,140022,140023,140043,140044,140052,140053,140063,140072,140073,140082,140083,140092,140093,140102,140103,140111,140113,140122,140123,140132,140133</v>
      </c>
      <c r="P38" t="str">
        <f t="shared" si="1"/>
        <v>140014,140023,140044,140053,140073,140083,140093,140103,140113,140123,140133,140143,140175,140195,140203,140256,140323,140333,140343,140353,140363,140373,140393</v>
      </c>
      <c r="S38">
        <v>140351</v>
      </c>
      <c r="T38" t="str">
        <f t="shared" si="4"/>
        <v>140012,140042,140062,140071,140081,140091,140101,140114,140121,140131,140141,140162,140173,140193,140201,140222,140232,140242,140253,140321,140331,140341,140351</v>
      </c>
      <c r="U38">
        <v>140352</v>
      </c>
      <c r="V38" t="str">
        <f t="shared" si="2"/>
        <v>140013,140022,140043,140052,140063,140072,140082,140092,140102,140111,140122,140132,140142,140174,140181,140194,140202,140223,140254,140322,140332,140342,140352</v>
      </c>
      <c r="W38">
        <v>140393</v>
      </c>
      <c r="X38" t="str">
        <f t="shared" si="3"/>
        <v>140014,140023,140044,140053,140073,140083,140093,140103,140113,140123,140133,140143,140175,140195,140203,140256,140323,140333,140343,140353,140363,140373,140393</v>
      </c>
    </row>
    <row r="39" spans="1:24" s="38" customFormat="1" ht="15.6">
      <c r="A39" s="23">
        <v>140103</v>
      </c>
      <c r="B39" s="38">
        <v>140103</v>
      </c>
      <c r="C39" s="38">
        <v>1</v>
      </c>
      <c r="D39" s="38" t="s">
        <v>36</v>
      </c>
      <c r="E39" s="16">
        <v>1</v>
      </c>
      <c r="F39" s="38">
        <v>10</v>
      </c>
      <c r="G39" s="38">
        <v>7</v>
      </c>
      <c r="H39" s="126" t="s">
        <v>60</v>
      </c>
      <c r="I39" s="127"/>
      <c r="J39">
        <v>140103</v>
      </c>
      <c r="K39" s="38">
        <v>7</v>
      </c>
      <c r="L39"/>
      <c r="M39" s="38">
        <v>140142</v>
      </c>
      <c r="N39" s="38">
        <v>140403</v>
      </c>
      <c r="O39" t="str">
        <f t="shared" si="0"/>
        <v>140013,140014,140022,140023,140043,140044,140052,140053,140063,140072,140073,140082,140083,140092,140093,140102,140103,140111,140113,140122,140123,140132,140133,140142</v>
      </c>
      <c r="P39" t="str">
        <f t="shared" si="1"/>
        <v>140014,140023,140044,140053,140073,140083,140093,140103,140113,140123,140133,140143,140175,140195,140203,140256,140323,140333,140343,140353,140363,140373,140393,140403</v>
      </c>
      <c r="S39">
        <v>140361</v>
      </c>
      <c r="T39" t="str">
        <f t="shared" si="4"/>
        <v>140012,140042,140062,140071,140081,140091,140101,140114,140121,140131,140141,140162,140173,140193,140201,140222,140232,140242,140253,140321,140331,140341,140351,140361</v>
      </c>
      <c r="U39">
        <v>140362</v>
      </c>
      <c r="V39" t="str">
        <f t="shared" si="2"/>
        <v>140013,140022,140043,140052,140063,140072,140082,140092,140102,140111,140122,140132,140142,140174,140181,140194,140202,140223,140254,140322,140332,140342,140352,140362</v>
      </c>
      <c r="W39">
        <v>140403</v>
      </c>
      <c r="X39" t="str">
        <f t="shared" si="3"/>
        <v>140014,140023,140044,140053,140073,140083,140093,140103,140113,140123,140133,140143,140175,140195,140203,140256,140323,140333,140343,140353,140363,140373,140393,140403</v>
      </c>
    </row>
    <row r="40" spans="1:24" s="38" customFormat="1" ht="15.6">
      <c r="A40" s="23">
        <v>140111</v>
      </c>
      <c r="B40" s="38">
        <v>140111</v>
      </c>
      <c r="C40" s="38">
        <v>1</v>
      </c>
      <c r="D40" s="38" t="s">
        <v>36</v>
      </c>
      <c r="E40" s="16">
        <v>1</v>
      </c>
      <c r="F40" s="38">
        <v>5</v>
      </c>
      <c r="G40" s="38">
        <v>6</v>
      </c>
      <c r="H40" s="126" t="s">
        <v>61</v>
      </c>
      <c r="I40" s="127"/>
      <c r="J40">
        <v>140111</v>
      </c>
      <c r="K40" s="38">
        <v>6</v>
      </c>
      <c r="L40"/>
      <c r="M40" s="38">
        <v>140143</v>
      </c>
      <c r="N40" s="38">
        <v>140413</v>
      </c>
      <c r="O40" t="str">
        <f t="shared" si="0"/>
        <v>140013,140014,140022,140023,140043,140044,140052,140053,140063,140072,140073,140082,140083,140092,140093,140102,140103,140111,140113,140122,140123,140132,140133,140142,140143</v>
      </c>
      <c r="P40" t="str">
        <f t="shared" si="1"/>
        <v>140014,140023,140044,140053,140073,140083,140093,140103,140113,140123,140133,140143,140175,140195,140203,140256,140323,140333,140343,140353,140363,140373,140393,140403,140413</v>
      </c>
      <c r="S40">
        <v>140371</v>
      </c>
      <c r="T40" t="str">
        <f t="shared" si="4"/>
        <v>140012,140042,140062,140071,140081,140091,140101,140114,140121,140131,140141,140162,140173,140193,140201,140222,140232,140242,140253,140321,140331,140341,140351,140361,140371</v>
      </c>
      <c r="U40">
        <v>140372</v>
      </c>
      <c r="V40" t="str">
        <f t="shared" si="2"/>
        <v>140013,140022,140043,140052,140063,140072,140082,140092,140102,140111,140122,140132,140142,140174,140181,140194,140202,140223,140254,140322,140332,140342,140352,140362,140372</v>
      </c>
      <c r="W40">
        <v>140413</v>
      </c>
      <c r="X40" t="str">
        <f t="shared" si="3"/>
        <v>140014,140023,140044,140053,140073,140083,140093,140103,140113,140123,140133,140143,140175,140195,140203,140256,140323,140333,140343,140353,140363,140373,140393,140403,140413</v>
      </c>
    </row>
    <row r="41" spans="1:24" s="38" customFormat="1" ht="15.6">
      <c r="A41" s="23">
        <v>140113</v>
      </c>
      <c r="B41" s="38">
        <v>140113</v>
      </c>
      <c r="C41" s="38">
        <v>1</v>
      </c>
      <c r="D41" s="38" t="s">
        <v>36</v>
      </c>
      <c r="E41" s="16">
        <v>1</v>
      </c>
      <c r="F41" s="38">
        <v>10</v>
      </c>
      <c r="G41" s="38">
        <v>7</v>
      </c>
      <c r="H41" s="126" t="s">
        <v>62</v>
      </c>
      <c r="I41" s="127"/>
      <c r="J41">
        <v>140113</v>
      </c>
      <c r="K41" s="38">
        <v>7</v>
      </c>
      <c r="L41"/>
      <c r="M41" s="38">
        <v>140174</v>
      </c>
      <c r="N41" s="38">
        <v>140423</v>
      </c>
      <c r="O41" t="str">
        <f t="shared" si="0"/>
        <v>140013,140014,140022,140023,140043,140044,140052,140053,140063,140072,140073,140082,140083,140092,140093,140102,140103,140111,140113,140122,140123,140132,140133,140142,140143,140174</v>
      </c>
      <c r="P41" t="str">
        <f t="shared" si="1"/>
        <v>140014,140023,140044,140053,140073,140083,140093,140103,140113,140123,140133,140143,140175,140195,140203,140256,140323,140333,140343,140353,140363,140373,140393,140403,140413,140423</v>
      </c>
      <c r="S41">
        <v>140382</v>
      </c>
      <c r="T41" t="str">
        <f t="shared" si="4"/>
        <v>140012,140042,140062,140071,140081,140091,140101,140114,140121,140131,140141,140162,140173,140193,140201,140222,140232,140242,140253,140321,140331,140341,140351,140361,140371,140382</v>
      </c>
      <c r="U41">
        <v>140392</v>
      </c>
      <c r="V41" t="str">
        <f t="shared" si="2"/>
        <v>140013,140022,140043,140052,140063,140072,140082,140092,140102,140111,140122,140132,140142,140174,140181,140194,140202,140223,140254,140322,140332,140342,140352,140362,140372,140392</v>
      </c>
      <c r="W41">
        <v>140423</v>
      </c>
      <c r="X41" t="str">
        <f t="shared" si="3"/>
        <v>140014,140023,140044,140053,140073,140083,140093,140103,140113,140123,140133,140143,140175,140195,140203,140256,140323,140333,140343,140353,140363,140373,140393,140403,140413,140423</v>
      </c>
    </row>
    <row r="42" spans="1:24" s="38" customFormat="1" ht="15.6">
      <c r="A42" s="23">
        <v>140114</v>
      </c>
      <c r="B42" s="38">
        <v>140114</v>
      </c>
      <c r="C42" s="38">
        <v>1</v>
      </c>
      <c r="D42" s="38" t="s">
        <v>36</v>
      </c>
      <c r="E42" s="16">
        <v>0</v>
      </c>
      <c r="F42" s="38">
        <v>0</v>
      </c>
      <c r="G42" s="38">
        <v>5</v>
      </c>
      <c r="H42" s="126" t="s">
        <v>63</v>
      </c>
      <c r="I42" s="127"/>
      <c r="J42">
        <v>140114</v>
      </c>
      <c r="K42" s="38">
        <v>5</v>
      </c>
      <c r="L42"/>
      <c r="M42" s="38">
        <v>140175</v>
      </c>
      <c r="N42" s="38">
        <v>140433</v>
      </c>
      <c r="O42" t="str">
        <f t="shared" si="0"/>
        <v>140013,140014,140022,140023,140043,140044,140052,140053,140063,140072,140073,140082,140083,140092,140093,140102,140103,140111,140113,140122,140123,140132,140133,140142,140143,140174,140175</v>
      </c>
      <c r="P42" t="str">
        <f t="shared" si="1"/>
        <v>140014,140023,140044,140053,140073,140083,140093,140103,140113,140123,140133,140143,140175,140195,140203,140256,140323,140333,140343,140353,140363,140373,140393,140403,140413,140423,140433</v>
      </c>
      <c r="S42">
        <v>140391</v>
      </c>
      <c r="T42" t="str">
        <f t="shared" si="4"/>
        <v>140012,140042,140062,140071,140081,140091,140101,140114,140121,140131,140141,140162,140173,140193,140201,140222,140232,140242,140253,140321,140331,140341,140351,140361,140371,140382,140391</v>
      </c>
      <c r="U42">
        <v>140402</v>
      </c>
      <c r="V42" t="str">
        <f t="shared" si="2"/>
        <v>140013,140022,140043,140052,140063,140072,140082,140092,140102,140111,140122,140132,140142,140174,140181,140194,140202,140223,140254,140322,140332,140342,140352,140362,140372,140392,140402</v>
      </c>
      <c r="W42">
        <v>140433</v>
      </c>
      <c r="X42" t="str">
        <f t="shared" si="3"/>
        <v>140014,140023,140044,140053,140073,140083,140093,140103,140113,140123,140133,140143,140175,140195,140203,140256,140323,140333,140343,140353,140363,140373,140393,140403,140413,140423,140433</v>
      </c>
    </row>
    <row r="43" spans="1:24" s="38" customFormat="1" ht="15.6">
      <c r="A43" s="23">
        <v>140121</v>
      </c>
      <c r="B43" s="38">
        <v>140121</v>
      </c>
      <c r="C43" s="38">
        <v>1</v>
      </c>
      <c r="D43" s="38" t="s">
        <v>36</v>
      </c>
      <c r="E43" s="16">
        <v>0</v>
      </c>
      <c r="F43" s="38">
        <v>0</v>
      </c>
      <c r="G43" s="38">
        <v>5</v>
      </c>
      <c r="H43" s="126" t="s">
        <v>64</v>
      </c>
      <c r="I43" s="127"/>
      <c r="J43">
        <v>140121</v>
      </c>
      <c r="K43" s="38">
        <v>5</v>
      </c>
      <c r="L43"/>
      <c r="M43" s="38">
        <v>140181</v>
      </c>
      <c r="N43" s="38">
        <v>140443</v>
      </c>
      <c r="O43" t="str">
        <f t="shared" si="0"/>
        <v>140013,140014,140022,140023,140043,140044,140052,140053,140063,140072,140073,140082,140083,140092,140093,140102,140103,140111,140113,140122,140123,140132,140133,140142,140143,140174,140175,140181</v>
      </c>
      <c r="P43" t="str">
        <f t="shared" si="1"/>
        <v>140014,140023,140044,140053,140073,140083,140093,140103,140113,140123,140133,140143,140175,140195,140203,140256,140323,140333,140343,140353,140363,140373,140393,140403,140413,140423,140433,140443</v>
      </c>
      <c r="S43">
        <v>140401</v>
      </c>
      <c r="T43" t="str">
        <f t="shared" si="4"/>
        <v>140012,140042,140062,140071,140081,140091,140101,140114,140121,140131,140141,140162,140173,140193,140201,140222,140232,140242,140253,140321,140331,140341,140351,140361,140371,140382,140391,140401</v>
      </c>
      <c r="U43">
        <v>140412</v>
      </c>
      <c r="V43" t="str">
        <f t="shared" si="2"/>
        <v>140013,140022,140043,140052,140063,140072,140082,140092,140102,140111,140122,140132,140142,140174,140181,140194,140202,140223,140254,140322,140332,140342,140352,140362,140372,140392,140402,140412</v>
      </c>
      <c r="W43">
        <v>140443</v>
      </c>
      <c r="X43" t="str">
        <f t="shared" si="3"/>
        <v>140014,140023,140044,140053,140073,140083,140093,140103,140113,140123,140133,140143,140175,140195,140203,140256,140323,140333,140343,140353,140363,140373,140393,140403,140413,140423,140433,140443</v>
      </c>
    </row>
    <row r="44" spans="1:24" s="38" customFormat="1">
      <c r="A44" s="23">
        <v>140122</v>
      </c>
      <c r="B44" s="38">
        <v>140122</v>
      </c>
      <c r="C44" s="38">
        <v>1</v>
      </c>
      <c r="D44" s="38" t="s">
        <v>36</v>
      </c>
      <c r="E44" s="16">
        <v>1</v>
      </c>
      <c r="F44" s="38">
        <v>5</v>
      </c>
      <c r="G44" s="38">
        <v>6</v>
      </c>
      <c r="H44" s="88" t="s">
        <v>65</v>
      </c>
      <c r="J44">
        <v>140122</v>
      </c>
      <c r="K44" s="38">
        <v>6</v>
      </c>
      <c r="L44"/>
      <c r="M44" s="38">
        <v>140194</v>
      </c>
      <c r="N44" s="38">
        <v>140453</v>
      </c>
      <c r="O44" t="str">
        <f t="shared" si="0"/>
        <v>140013,140014,140022,140023,140043,140044,140052,140053,140063,140072,140073,140082,140083,140092,140093,140102,140103,140111,140113,140122,140123,140132,140133,140142,140143,140174,140175,140181,140194</v>
      </c>
      <c r="P44" t="str">
        <f t="shared" si="1"/>
        <v>140014,140023,140044,140053,140073,140083,140093,140103,140113,140123,140133,140143,140175,140195,140203,140256,140323,140333,140343,140353,140363,140373,140393,140403,140413,140423,140433,140443,140453</v>
      </c>
      <c r="S44">
        <v>140411</v>
      </c>
      <c r="T44" t="str">
        <f t="shared" si="4"/>
        <v>140012,140042,140062,140071,140081,140091,140101,140114,140121,140131,140141,140162,140173,140193,140201,140222,140232,140242,140253,140321,140331,140341,140351,140361,140371,140382,140391,140401,140411</v>
      </c>
      <c r="U44">
        <v>140422</v>
      </c>
      <c r="V44" t="str">
        <f t="shared" si="2"/>
        <v>140013,140022,140043,140052,140063,140072,140082,140092,140102,140111,140122,140132,140142,140174,140181,140194,140202,140223,140254,140322,140332,140342,140352,140362,140372,140392,140402,140412,140422</v>
      </c>
      <c r="W44">
        <v>140453</v>
      </c>
      <c r="X44" t="str">
        <f t="shared" si="3"/>
        <v>140014,140023,140044,140053,140073,140083,140093,140103,140113,140123,140133,140143,140175,140195,140203,140256,140323,140333,140343,140353,140363,140373,140393,140403,140413,140423,140433,140443,140453</v>
      </c>
    </row>
    <row r="45" spans="1:24" s="38" customFormat="1">
      <c r="A45" s="23">
        <v>140123</v>
      </c>
      <c r="B45" s="38">
        <v>140123</v>
      </c>
      <c r="C45" s="38">
        <v>1</v>
      </c>
      <c r="D45" s="38" t="s">
        <v>36</v>
      </c>
      <c r="E45" s="16">
        <v>1</v>
      </c>
      <c r="F45" s="38">
        <v>10</v>
      </c>
      <c r="G45" s="38">
        <v>7</v>
      </c>
      <c r="H45" s="88" t="s">
        <v>66</v>
      </c>
      <c r="J45">
        <v>140123</v>
      </c>
      <c r="K45" s="38">
        <v>7</v>
      </c>
      <c r="L45"/>
      <c r="M45" s="38">
        <v>140195</v>
      </c>
      <c r="N45" s="38">
        <v>140463</v>
      </c>
      <c r="O45" t="str">
        <f t="shared" si="0"/>
        <v>140013,140014,140022,140023,140043,140044,140052,140053,140063,140072,140073,140082,140083,140092,140093,140102,140103,140111,140113,140122,140123,140132,140133,140142,140143,140174,140175,140181,140194,140195</v>
      </c>
      <c r="P45" t="str">
        <f t="shared" si="1"/>
        <v>140014,140023,140044,140053,140073,140083,140093,140103,140113,140123,140133,140143,140175,140195,140203,140256,140323,140333,140343,140353,140363,140373,140393,140403,140413,140423,140433,140443,140453,140463</v>
      </c>
      <c r="S45">
        <v>140421</v>
      </c>
      <c r="T45" t="str">
        <f t="shared" si="4"/>
        <v>140012,140042,140062,140071,140081,140091,140101,140114,140121,140131,140141,140162,140173,140193,140201,140222,140232,140242,140253,140321,140331,140341,140351,140361,140371,140382,140391,140401,140411,140421</v>
      </c>
      <c r="U45">
        <v>140432</v>
      </c>
      <c r="V45" t="str">
        <f t="shared" si="2"/>
        <v>140013,140022,140043,140052,140063,140072,140082,140092,140102,140111,140122,140132,140142,140174,140181,140194,140202,140223,140254,140322,140332,140342,140352,140362,140372,140392,140402,140412,140422,140432</v>
      </c>
      <c r="W45">
        <v>140463</v>
      </c>
      <c r="X45" t="str">
        <f t="shared" si="3"/>
        <v>140014,140023,140044,140053,140073,140083,140093,140103,140113,140123,140133,140143,140175,140195,140203,140256,140323,140333,140343,140353,140363,140373,140393,140403,140413,140423,140433,140443,140453,140463</v>
      </c>
    </row>
    <row r="46" spans="1:24" s="38" customFormat="1">
      <c r="A46" s="23">
        <v>140131</v>
      </c>
      <c r="B46" s="38">
        <v>140131</v>
      </c>
      <c r="C46" s="38">
        <v>1</v>
      </c>
      <c r="D46" s="38" t="s">
        <v>36</v>
      </c>
      <c r="E46" s="16">
        <v>0</v>
      </c>
      <c r="F46" s="38">
        <v>0</v>
      </c>
      <c r="G46" s="38">
        <v>5</v>
      </c>
      <c r="H46" s="88" t="s">
        <v>67</v>
      </c>
      <c r="J46">
        <v>140131</v>
      </c>
      <c r="K46" s="38">
        <v>5</v>
      </c>
      <c r="L46"/>
      <c r="M46" s="38">
        <v>140202</v>
      </c>
      <c r="N46" s="38">
        <v>140813</v>
      </c>
      <c r="O46" t="str">
        <f t="shared" si="0"/>
        <v>140013,140014,140022,140023,140043,140044,140052,140053,140063,140072,140073,140082,140083,140092,140093,140102,140103,140111,140113,140122,140123,140132,140133,140142,140143,140174,140175,140181,140194,140195,140202</v>
      </c>
      <c r="P46" t="str">
        <f t="shared" si="1"/>
        <v>140014,140023,140044,140053,140073,140083,140093,140103,140113,140123,140133,140143,140175,140195,140203,140256,140323,140333,140343,140353,140363,140373,140393,140403,140413,140423,140433,140443,140453,140463,140813</v>
      </c>
      <c r="S46">
        <v>140431</v>
      </c>
      <c r="T46" t="str">
        <f t="shared" si="4"/>
        <v>140012,140042,140062,140071,140081,140091,140101,140114,140121,140131,140141,140162,140173,140193,140201,140222,140232,140242,140253,140321,140331,140341,140351,140361,140371,140382,140391,140401,140411,140421,140431</v>
      </c>
      <c r="U46">
        <v>140442</v>
      </c>
      <c r="V46" t="str">
        <f t="shared" si="2"/>
        <v>140013,140022,140043,140052,140063,140072,140082,140092,140102,140111,140122,140132,140142,140174,140181,140194,140202,140223,140254,140322,140332,140342,140352,140362,140372,140392,140402,140412,140422,140432,140442</v>
      </c>
      <c r="W46">
        <v>140813</v>
      </c>
      <c r="X46" t="str">
        <f t="shared" si="3"/>
        <v>140014,140023,140044,140053,140073,140083,140093,140103,140113,140123,140133,140143,140175,140195,140203,140256,140323,140333,140343,140353,140363,140373,140393,140403,140413,140423,140433,140443,140453,140463,140813</v>
      </c>
    </row>
    <row r="47" spans="1:24" s="38" customFormat="1">
      <c r="A47" s="23">
        <v>140132</v>
      </c>
      <c r="B47" s="38">
        <v>140132</v>
      </c>
      <c r="C47" s="38">
        <v>1</v>
      </c>
      <c r="D47" s="38" t="s">
        <v>36</v>
      </c>
      <c r="E47" s="16">
        <v>1</v>
      </c>
      <c r="F47" s="38">
        <v>5</v>
      </c>
      <c r="G47" s="38">
        <v>6</v>
      </c>
      <c r="H47" s="88" t="s">
        <v>68</v>
      </c>
      <c r="J47">
        <v>140132</v>
      </c>
      <c r="K47" s="38">
        <v>6</v>
      </c>
      <c r="L47"/>
      <c r="M47" s="38">
        <v>140203</v>
      </c>
      <c r="N47" s="38">
        <v>140834</v>
      </c>
      <c r="O47" t="str">
        <f t="shared" si="0"/>
        <v>140013,140014,140022,140023,140043,140044,140052,140053,140063,140072,140073,140082,140083,140092,140093,140102,140103,140111,140113,140122,140123,140132,140133,140142,140143,140174,140175,140181,140194,140195,140202,140203</v>
      </c>
      <c r="P47" t="str">
        <f t="shared" si="1"/>
        <v>140014,140023,140044,140053,140073,140083,140093,140103,140113,140123,140133,140143,140175,140195,140203,140256,140323,140333,140343,140353,140363,140373,140393,140403,140413,140423,140433,140443,140453,140463,140813,140834</v>
      </c>
      <c r="S47">
        <v>140441</v>
      </c>
      <c r="T47" t="str">
        <f t="shared" si="4"/>
        <v>140012,140042,140062,140071,140081,140091,140101,140114,140121,140131,140141,140162,140173,140193,140201,140222,140232,140242,140253,140321,140331,140341,140351,140361,140371,140382,140391,140401,140411,140421,140431,140441</v>
      </c>
      <c r="U47">
        <v>140452</v>
      </c>
      <c r="V47" t="str">
        <f t="shared" si="2"/>
        <v>140013,140022,140043,140052,140063,140072,140082,140092,140102,140111,140122,140132,140142,140174,140181,140194,140202,140223,140254,140322,140332,140342,140352,140362,140372,140392,140402,140412,140422,140432,140442,140452</v>
      </c>
      <c r="W47">
        <v>140834</v>
      </c>
      <c r="X47" t="str">
        <f t="shared" si="3"/>
        <v>140014,140023,140044,140053,140073,140083,140093,140103,140113,140123,140133,140143,140175,140195,140203,140256,140323,140333,140343,140353,140363,140373,140393,140403,140413,140423,140433,140443,140453,140463,140813,140834</v>
      </c>
    </row>
    <row r="48" spans="1:24">
      <c r="A48" s="23">
        <v>140133</v>
      </c>
      <c r="B48" s="16">
        <v>140133</v>
      </c>
      <c r="C48" s="38">
        <v>1</v>
      </c>
      <c r="D48" s="38" t="s">
        <v>36</v>
      </c>
      <c r="E48" s="16">
        <v>1</v>
      </c>
      <c r="F48" s="38">
        <v>10</v>
      </c>
      <c r="G48">
        <v>7</v>
      </c>
      <c r="H48" t="s">
        <v>69</v>
      </c>
      <c r="J48">
        <v>140133</v>
      </c>
      <c r="K48">
        <v>7</v>
      </c>
      <c r="M48">
        <v>140223</v>
      </c>
      <c r="N48">
        <v>140844</v>
      </c>
      <c r="O48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</v>
      </c>
      <c r="P48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</v>
      </c>
      <c r="S48">
        <v>140451</v>
      </c>
      <c r="T48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</v>
      </c>
      <c r="U48">
        <v>140462</v>
      </c>
      <c r="V48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</v>
      </c>
      <c r="W48">
        <v>140844</v>
      </c>
      <c r="X48" t="str">
        <f t="shared" si="3"/>
        <v>140014,140023,140044,140053,140073,140083,140093,140103,140113,140123,140133,140143,140175,140195,140203,140256,140323,140333,140343,140353,140363,140373,140393,140403,140413,140423,140433,140443,140453,140463,140813,140834,140844</v>
      </c>
    </row>
    <row r="49" spans="1:24">
      <c r="A49" s="23">
        <v>140141</v>
      </c>
      <c r="B49" s="16">
        <v>140141</v>
      </c>
      <c r="C49" s="38">
        <v>1</v>
      </c>
      <c r="D49" s="38" t="s">
        <v>36</v>
      </c>
      <c r="E49" s="16">
        <v>0</v>
      </c>
      <c r="F49" s="38">
        <v>0</v>
      </c>
      <c r="G49">
        <v>5</v>
      </c>
      <c r="H49" t="s">
        <v>70</v>
      </c>
      <c r="J49">
        <v>140141</v>
      </c>
      <c r="K49">
        <v>5</v>
      </c>
      <c r="M49">
        <v>140254</v>
      </c>
      <c r="N49">
        <v>140854</v>
      </c>
      <c r="O49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</v>
      </c>
      <c r="P49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</v>
      </c>
      <c r="S49">
        <v>140461</v>
      </c>
      <c r="T49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</v>
      </c>
      <c r="U49">
        <v>140812</v>
      </c>
      <c r="V49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</v>
      </c>
      <c r="W49">
        <v>140854</v>
      </c>
      <c r="X49" t="str">
        <f t="shared" si="3"/>
        <v>140014,140023,140044,140053,140073,140083,140093,140103,140113,140123,140133,140143,140175,140195,140203,140256,140323,140333,140343,140353,140363,140373,140393,140403,140413,140423,140433,140443,140453,140463,140813,140834,140844,140854</v>
      </c>
    </row>
    <row r="50" spans="1:24">
      <c r="A50" s="23">
        <v>140142</v>
      </c>
      <c r="B50" s="16">
        <v>140142</v>
      </c>
      <c r="C50" s="38">
        <v>1</v>
      </c>
      <c r="D50" s="38" t="s">
        <v>36</v>
      </c>
      <c r="E50" s="16">
        <v>1</v>
      </c>
      <c r="F50" s="38">
        <v>5</v>
      </c>
      <c r="G50">
        <v>6</v>
      </c>
      <c r="H50" t="s">
        <v>71</v>
      </c>
      <c r="J50">
        <v>140142</v>
      </c>
      <c r="K50">
        <v>6</v>
      </c>
      <c r="M50">
        <v>140256</v>
      </c>
      <c r="N50">
        <v>140874</v>
      </c>
      <c r="O50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</v>
      </c>
      <c r="P50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</v>
      </c>
      <c r="S50">
        <v>140811</v>
      </c>
      <c r="T50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</v>
      </c>
      <c r="U50">
        <v>140833</v>
      </c>
      <c r="V50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140013,140022,140043,140052,140063,140072,140082,140092,140102,140111,140122,140132,140142,140174,140181,140194,140202,140223,140254,140322,140332,140342,140352,140362,140372,140392,140402,140412,140422,140432,140442,140452,140462,140812,140833</v>
      </c>
      <c r="W50">
        <v>140874</v>
      </c>
      <c r="X50" t="str">
        <f t="shared" si="3"/>
        <v>140014,140023,140044,140053,140073,140083,140093,140103,140113,140123,140133,140143,140175,140195,140203,140256,140323,140333,140343,140353,140363,140373,140393,140403,140413,140423,140433,140443,140453,140463,140813,140834,140844,140854,140874</v>
      </c>
    </row>
    <row r="51" spans="1:24">
      <c r="A51" s="23">
        <v>140143</v>
      </c>
      <c r="B51" s="16">
        <v>140143</v>
      </c>
      <c r="C51" s="38">
        <v>1</v>
      </c>
      <c r="D51" s="38" t="s">
        <v>36</v>
      </c>
      <c r="E51" s="16">
        <v>1</v>
      </c>
      <c r="F51" s="38">
        <v>10</v>
      </c>
      <c r="G51">
        <v>7</v>
      </c>
      <c r="H51" t="s">
        <v>72</v>
      </c>
      <c r="J51">
        <v>140143</v>
      </c>
      <c r="K51">
        <v>7</v>
      </c>
      <c r="M51">
        <v>140322</v>
      </c>
      <c r="N51">
        <v>140884</v>
      </c>
      <c r="O51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</v>
      </c>
      <c r="P51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</v>
      </c>
      <c r="S51">
        <v>140832</v>
      </c>
      <c r="T51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140012,140042,140062,140071,140081,140091,140101,140114,140121,140131,140141,140162,140173,140193,140201,140222,140232,140242,140253,140321,140331,140341,140351,140361,140371,140382,140391,140401,140411,140421,140431,140441,140451,140461,140811,140832</v>
      </c>
      <c r="U51">
        <v>140843</v>
      </c>
      <c r="V51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140013,140022,140043,140052,140063,140072,140082,140092,140102,140111,140122,140132,140142,140174,140181,140194,140202,140223,140254,140322,140332,140342,140352,140362,140372,140392,140402,140412,140422,140432,140442,140452,140462,140812,140833,140843</v>
      </c>
      <c r="W51">
        <v>140884</v>
      </c>
      <c r="X51" t="str">
        <f t="shared" si="3"/>
        <v>140014,140023,140044,140053,140073,140083,140093,140103,140113,140123,140133,140143,140175,140195,140203,140256,140323,140333,140343,140353,140363,140373,140393,140403,140413,140423,140433,140443,140453,140463,140813,140834,140844,140854,140874,140884</v>
      </c>
    </row>
    <row r="52" spans="1:24">
      <c r="A52" s="23">
        <v>140162</v>
      </c>
      <c r="B52" s="16">
        <v>140162</v>
      </c>
      <c r="C52" s="38">
        <v>1</v>
      </c>
      <c r="D52" s="38" t="s">
        <v>36</v>
      </c>
      <c r="E52" s="16">
        <v>0</v>
      </c>
      <c r="F52" s="38">
        <v>0</v>
      </c>
      <c r="G52">
        <v>5</v>
      </c>
      <c r="H52" t="s">
        <v>73</v>
      </c>
      <c r="J52">
        <v>140162</v>
      </c>
      <c r="K52">
        <v>5</v>
      </c>
      <c r="M52">
        <v>140323</v>
      </c>
      <c r="N52">
        <v>140894</v>
      </c>
      <c r="O52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</v>
      </c>
      <c r="P52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</v>
      </c>
      <c r="S52">
        <v>140842</v>
      </c>
      <c r="T52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140012,140042,140062,140071,140081,140091,140101,140114,140121,140131,140141,140162,140173,140193,140201,140222,140232,140242,140253,140321,140331,140341,140351,140361,140371,140382,140391,140401,140411,140421,140431,140441,140451,140461,140811,140832,140842</v>
      </c>
      <c r="U52">
        <v>140853</v>
      </c>
      <c r="V52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140013,140022,140043,140052,140063,140072,140082,140092,140102,140111,140122,140132,140142,140174,140181,140194,140202,140223,140254,140322,140332,140342,140352,140362,140372,140392,140402,140412,140422,140432,140442,140452,140462,140812,140833,140843,140853</v>
      </c>
      <c r="W52">
        <v>140894</v>
      </c>
      <c r="X52" t="str">
        <f t="shared" si="3"/>
        <v>140014,140023,140044,140053,140073,140083,140093,140103,140113,140123,140133,140143,140175,140195,140203,140256,140323,140333,140343,140353,140363,140373,140393,140403,140413,140423,140433,140443,140453,140463,140813,140834,140844,140854,140874,140884,140894</v>
      </c>
    </row>
    <row r="53" spans="1:24">
      <c r="A53" s="23">
        <v>140173</v>
      </c>
      <c r="B53" s="16">
        <v>140173</v>
      </c>
      <c r="C53" s="38">
        <v>1</v>
      </c>
      <c r="D53" s="38" t="s">
        <v>36</v>
      </c>
      <c r="E53" s="16">
        <v>0</v>
      </c>
      <c r="F53" s="38">
        <v>0</v>
      </c>
      <c r="G53">
        <v>5</v>
      </c>
      <c r="H53" t="s">
        <v>74</v>
      </c>
      <c r="J53">
        <v>140173</v>
      </c>
      <c r="K53">
        <v>5</v>
      </c>
      <c r="M53">
        <v>140332</v>
      </c>
      <c r="N53">
        <v>140904</v>
      </c>
      <c r="O53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</v>
      </c>
      <c r="P53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</v>
      </c>
      <c r="S53">
        <v>140863</v>
      </c>
      <c r="T53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140012,140042,140062,140071,140081,140091,140101,140114,140121,140131,140141,140162,140173,140193,140201,140222,140232,140242,140253,140321,140331,140341,140351,140361,140371,140382,140391,140401,140411,140421,140431,140441,140451,140461,140811,140832,140842,140863</v>
      </c>
      <c r="U53">
        <v>140873</v>
      </c>
      <c r="V53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140013,140022,140043,140052,140063,140072,140082,140092,140102,140111,140122,140132,140142,140174,140181,140194,140202,140223,140254,140322,140332,140342,140352,140362,140372,140392,140402,140412,140422,140432,140442,140452,140462,140812,140833,140843,140853,140873</v>
      </c>
      <c r="W53">
        <v>140904</v>
      </c>
      <c r="X53" t="str">
        <f t="shared" si="3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</v>
      </c>
    </row>
    <row r="54" spans="1:24">
      <c r="A54" s="23">
        <v>140174</v>
      </c>
      <c r="B54" s="16">
        <v>140174</v>
      </c>
      <c r="C54" s="38">
        <v>1</v>
      </c>
      <c r="D54" s="38" t="s">
        <v>36</v>
      </c>
      <c r="E54" s="16">
        <v>1</v>
      </c>
      <c r="F54" s="38">
        <v>5</v>
      </c>
      <c r="G54">
        <v>6</v>
      </c>
      <c r="H54" t="s">
        <v>75</v>
      </c>
      <c r="J54">
        <v>140174</v>
      </c>
      <c r="K54">
        <v>6</v>
      </c>
      <c r="M54">
        <v>140333</v>
      </c>
      <c r="N54">
        <v>140914</v>
      </c>
      <c r="O54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</v>
      </c>
      <c r="P54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</v>
      </c>
      <c r="S54">
        <v>140872</v>
      </c>
      <c r="T54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140012,140042,140062,140071,140081,140091,140101,140114,140121,140131,140141,140162,140173,140193,140201,140222,140232,140242,140253,140321,140331,140341,140351,140361,140371,140382,140391,140401,140411,140421,140431,140441,140451,140461,140811,140832,140842,140863,140872</v>
      </c>
      <c r="U54">
        <v>140883</v>
      </c>
      <c r="V54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140013,140022,140043,140052,140063,140072,140082,140092,140102,140111,140122,140132,140142,140174,140181,140194,140202,140223,140254,140322,140332,140342,140352,140362,140372,140392,140402,140412,140422,140432,140442,140452,140462,140812,140833,140843,140853,140873,140883</v>
      </c>
      <c r="W54">
        <v>140914</v>
      </c>
      <c r="X54" t="str">
        <f t="shared" si="3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</v>
      </c>
    </row>
    <row r="55" spans="1:24">
      <c r="A55" s="23">
        <v>140175</v>
      </c>
      <c r="B55" s="16">
        <v>140175</v>
      </c>
      <c r="C55" s="38">
        <v>1</v>
      </c>
      <c r="D55" s="38" t="s">
        <v>36</v>
      </c>
      <c r="E55" s="16">
        <v>1</v>
      </c>
      <c r="F55" s="38">
        <v>10</v>
      </c>
      <c r="G55">
        <v>7</v>
      </c>
      <c r="H55" t="s">
        <v>76</v>
      </c>
      <c r="J55">
        <v>140175</v>
      </c>
      <c r="K55">
        <v>7</v>
      </c>
      <c r="M55">
        <v>140342</v>
      </c>
      <c r="N55">
        <v>140924</v>
      </c>
      <c r="O55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</v>
      </c>
      <c r="P55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</v>
      </c>
      <c r="S55">
        <v>140882</v>
      </c>
      <c r="T55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140012,140042,140062,140071,140081,140091,140101,140114,140121,140131,140141,140162,140173,140193,140201,140222,140232,140242,140253,140321,140331,140341,140351,140361,140371,140382,140391,140401,140411,140421,140431,140441,140451,140461,140811,140832,140842,140863,140872,140882</v>
      </c>
      <c r="U55">
        <v>140903</v>
      </c>
      <c r="V55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140013,140022,140043,140052,140063,140072,140082,140092,140102,140111,140122,140132,140142,140174,140181,140194,140202,140223,140254,140322,140332,140342,140352,140362,140372,140392,140402,140412,140422,140432,140442,140452,140462,140812,140833,140843,140853,140873,140883,140903</v>
      </c>
    </row>
    <row r="56" spans="1:24">
      <c r="A56" s="23">
        <v>140181</v>
      </c>
      <c r="B56" s="16">
        <v>140181</v>
      </c>
      <c r="C56" s="38">
        <v>1</v>
      </c>
      <c r="D56" s="38" t="s">
        <v>36</v>
      </c>
      <c r="E56" s="16">
        <v>1</v>
      </c>
      <c r="F56" s="38">
        <v>5</v>
      </c>
      <c r="G56">
        <v>6</v>
      </c>
      <c r="H56" t="s">
        <v>77</v>
      </c>
      <c r="J56">
        <v>140181</v>
      </c>
      <c r="K56">
        <v>6</v>
      </c>
      <c r="M56">
        <v>140343</v>
      </c>
      <c r="N56">
        <v>140934</v>
      </c>
      <c r="O56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</v>
      </c>
      <c r="P56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</v>
      </c>
      <c r="S56">
        <v>140902</v>
      </c>
      <c r="T56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,140832,140842,140863,140872,140882,140902</v>
      </c>
      <c r="U56">
        <v>140913</v>
      </c>
      <c r="V56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,140833,140843,140853,140873,140883,140903,140913</v>
      </c>
    </row>
    <row r="57" spans="1:24">
      <c r="A57" s="23">
        <v>140193</v>
      </c>
      <c r="B57" s="16">
        <v>140193</v>
      </c>
      <c r="C57" s="38">
        <v>1</v>
      </c>
      <c r="D57" s="38" t="s">
        <v>36</v>
      </c>
      <c r="E57" s="16">
        <v>0</v>
      </c>
      <c r="F57" s="38">
        <v>0</v>
      </c>
      <c r="G57">
        <v>5</v>
      </c>
      <c r="H57" t="s">
        <v>78</v>
      </c>
      <c r="J57">
        <v>140193</v>
      </c>
      <c r="K57">
        <v>5</v>
      </c>
      <c r="M57">
        <v>140352</v>
      </c>
      <c r="N57">
        <v>140944</v>
      </c>
      <c r="O57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</v>
      </c>
      <c r="P57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</v>
      </c>
      <c r="S57">
        <v>140912</v>
      </c>
      <c r="T57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,140832,140842,140863,140872,140882,140902,140912</v>
      </c>
      <c r="U57">
        <v>140923</v>
      </c>
      <c r="V57" t="str">
        <f t="shared" si="2"/>
        <v>140013,140022,140043,140052,140063,140072,140082,140092,140102,140111,140122,140132,140142,140174,140181,140194,140202,140223,140254,140322,140332,140342,140352,140362,140372,140392,140402,140412,140422,140432,140442,140452,140462,140812,140833,140843,140853,140873,140883,140903,140913,140923</v>
      </c>
    </row>
    <row r="58" spans="1:24">
      <c r="A58" s="23">
        <v>140194</v>
      </c>
      <c r="B58" s="16">
        <v>140194</v>
      </c>
      <c r="C58" s="38">
        <v>1</v>
      </c>
      <c r="D58" s="38" t="s">
        <v>36</v>
      </c>
      <c r="E58" s="16">
        <v>1</v>
      </c>
      <c r="F58" s="38">
        <v>5</v>
      </c>
      <c r="G58">
        <v>6</v>
      </c>
      <c r="H58" t="s">
        <v>79</v>
      </c>
      <c r="J58">
        <v>140194</v>
      </c>
      <c r="K58">
        <v>6</v>
      </c>
      <c r="M58">
        <v>140353</v>
      </c>
      <c r="N58">
        <v>140954</v>
      </c>
      <c r="O58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</v>
      </c>
      <c r="P58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</v>
      </c>
      <c r="S58">
        <v>140922</v>
      </c>
      <c r="T58" t="str">
        <f t="shared" si="4"/>
        <v>140012,140042,140062,140071,140081,140091,140101,140114,140121,140131,140141,140162,140173,140193,140201,140222,140232,140242,140253,140321,140331,140341,140351,140361,140371,140382,140391,140401,140411,140421,140431,140441,140451,140461,140811,140832,140842,140863,140872,140882,140902,140912,140922</v>
      </c>
    </row>
    <row r="59" spans="1:24">
      <c r="A59" s="23">
        <v>140195</v>
      </c>
      <c r="B59" s="16">
        <v>140195</v>
      </c>
      <c r="C59" s="38">
        <v>1</v>
      </c>
      <c r="D59" s="38" t="s">
        <v>36</v>
      </c>
      <c r="E59" s="16">
        <v>1</v>
      </c>
      <c r="F59" s="38">
        <v>10</v>
      </c>
      <c r="G59">
        <v>7</v>
      </c>
      <c r="H59" t="s">
        <v>80</v>
      </c>
      <c r="J59">
        <v>140195</v>
      </c>
      <c r="K59">
        <v>7</v>
      </c>
      <c r="M59">
        <v>140362</v>
      </c>
      <c r="N59">
        <v>140964</v>
      </c>
      <c r="O59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</v>
      </c>
      <c r="P59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</v>
      </c>
    </row>
    <row r="60" spans="1:24">
      <c r="A60" s="23">
        <v>140201</v>
      </c>
      <c r="B60" s="16">
        <v>140201</v>
      </c>
      <c r="C60" s="38">
        <v>1</v>
      </c>
      <c r="D60" s="38" t="s">
        <v>36</v>
      </c>
      <c r="E60" s="16">
        <v>0</v>
      </c>
      <c r="F60" s="38">
        <v>0</v>
      </c>
      <c r="G60">
        <v>5</v>
      </c>
      <c r="H60" t="s">
        <v>81</v>
      </c>
      <c r="J60">
        <v>140201</v>
      </c>
      <c r="K60">
        <v>5</v>
      </c>
      <c r="M60">
        <v>140363</v>
      </c>
      <c r="N60">
        <v>140974</v>
      </c>
      <c r="O60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</v>
      </c>
      <c r="P60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</v>
      </c>
    </row>
    <row r="61" spans="1:24">
      <c r="A61" s="23">
        <v>140202</v>
      </c>
      <c r="B61" s="16">
        <v>140202</v>
      </c>
      <c r="C61" s="38">
        <v>1</v>
      </c>
      <c r="D61" s="38" t="s">
        <v>36</v>
      </c>
      <c r="E61" s="16">
        <v>1</v>
      </c>
      <c r="F61" s="38">
        <v>5</v>
      </c>
      <c r="G61">
        <v>6</v>
      </c>
      <c r="H61" t="s">
        <v>82</v>
      </c>
      <c r="J61">
        <v>140202</v>
      </c>
      <c r="K61">
        <v>6</v>
      </c>
      <c r="M61">
        <v>140372</v>
      </c>
      <c r="N61">
        <v>140984</v>
      </c>
      <c r="O61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</v>
      </c>
      <c r="P61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</v>
      </c>
    </row>
    <row r="62" spans="1:24">
      <c r="A62" s="23">
        <v>140203</v>
      </c>
      <c r="B62" s="16">
        <v>140203</v>
      </c>
      <c r="C62" s="38">
        <v>1</v>
      </c>
      <c r="D62" s="38" t="s">
        <v>36</v>
      </c>
      <c r="E62" s="16">
        <v>1</v>
      </c>
      <c r="F62" s="38">
        <v>10</v>
      </c>
      <c r="G62">
        <v>7</v>
      </c>
      <c r="H62" t="s">
        <v>83</v>
      </c>
      <c r="J62">
        <v>140203</v>
      </c>
      <c r="K62">
        <v>7</v>
      </c>
      <c r="M62">
        <v>140373</v>
      </c>
      <c r="N62">
        <v>140994</v>
      </c>
      <c r="O62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</v>
      </c>
      <c r="P62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</v>
      </c>
    </row>
    <row r="63" spans="1:24">
      <c r="A63" s="23">
        <v>140222</v>
      </c>
      <c r="B63" s="16">
        <v>140222</v>
      </c>
      <c r="C63" s="38">
        <v>1</v>
      </c>
      <c r="D63" s="38" t="s">
        <v>36</v>
      </c>
      <c r="E63" s="16">
        <v>0</v>
      </c>
      <c r="F63" s="38">
        <v>0</v>
      </c>
      <c r="G63">
        <v>5</v>
      </c>
      <c r="H63" t="s">
        <v>84</v>
      </c>
      <c r="J63">
        <v>140222</v>
      </c>
      <c r="K63">
        <v>5</v>
      </c>
      <c r="M63">
        <v>140392</v>
      </c>
      <c r="N63">
        <v>141004</v>
      </c>
      <c r="O63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</v>
      </c>
      <c r="P63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</v>
      </c>
    </row>
    <row r="64" spans="1:24">
      <c r="A64" s="23">
        <v>140223</v>
      </c>
      <c r="B64" s="16">
        <v>140223</v>
      </c>
      <c r="C64" s="38">
        <v>1</v>
      </c>
      <c r="D64" s="38" t="s">
        <v>36</v>
      </c>
      <c r="E64" s="16">
        <v>1</v>
      </c>
      <c r="F64" s="38">
        <v>5</v>
      </c>
      <c r="G64">
        <v>6</v>
      </c>
      <c r="H64" t="s">
        <v>85</v>
      </c>
      <c r="J64">
        <v>140223</v>
      </c>
      <c r="K64">
        <v>6</v>
      </c>
      <c r="M64">
        <v>140393</v>
      </c>
      <c r="N64">
        <v>141014</v>
      </c>
      <c r="O64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</v>
      </c>
      <c r="P64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</v>
      </c>
    </row>
    <row r="65" spans="1:16">
      <c r="A65" s="23">
        <v>140232</v>
      </c>
      <c r="B65" s="16">
        <v>140232</v>
      </c>
      <c r="C65" s="38">
        <v>1</v>
      </c>
      <c r="D65" s="38" t="s">
        <v>36</v>
      </c>
      <c r="E65" s="16">
        <v>0</v>
      </c>
      <c r="F65" s="38">
        <v>0</v>
      </c>
      <c r="G65">
        <v>5</v>
      </c>
      <c r="H65" t="s">
        <v>86</v>
      </c>
      <c r="J65">
        <v>140232</v>
      </c>
      <c r="K65">
        <v>5</v>
      </c>
      <c r="M65">
        <v>140402</v>
      </c>
      <c r="N65">
        <v>141024</v>
      </c>
      <c r="O65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</v>
      </c>
      <c r="P65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</v>
      </c>
    </row>
    <row r="66" spans="1:16">
      <c r="A66" s="23">
        <v>140242</v>
      </c>
      <c r="B66" s="16">
        <v>140242</v>
      </c>
      <c r="C66" s="38">
        <v>1</v>
      </c>
      <c r="D66" s="38" t="s">
        <v>36</v>
      </c>
      <c r="E66" s="16">
        <v>0</v>
      </c>
      <c r="F66" s="38">
        <v>0</v>
      </c>
      <c r="G66">
        <v>5</v>
      </c>
      <c r="H66" t="s">
        <v>87</v>
      </c>
      <c r="J66">
        <v>140242</v>
      </c>
      <c r="K66">
        <v>5</v>
      </c>
      <c r="M66">
        <v>140403</v>
      </c>
      <c r="N66">
        <v>141034</v>
      </c>
      <c r="O66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</v>
      </c>
      <c r="P66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</v>
      </c>
    </row>
    <row r="67" spans="1:16">
      <c r="A67" s="23">
        <v>140253</v>
      </c>
      <c r="B67" s="16">
        <v>140253</v>
      </c>
      <c r="C67" s="38">
        <v>1</v>
      </c>
      <c r="D67" s="38" t="s">
        <v>36</v>
      </c>
      <c r="E67" s="16">
        <v>0</v>
      </c>
      <c r="F67" s="38">
        <v>0</v>
      </c>
      <c r="G67">
        <v>5</v>
      </c>
      <c r="H67" t="s">
        <v>88</v>
      </c>
      <c r="J67">
        <v>140253</v>
      </c>
      <c r="K67">
        <v>5</v>
      </c>
      <c r="M67">
        <v>140412</v>
      </c>
      <c r="N67">
        <v>141044</v>
      </c>
      <c r="O67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</v>
      </c>
      <c r="P67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</v>
      </c>
    </row>
    <row r="68" spans="1:16">
      <c r="A68" s="23">
        <v>140254</v>
      </c>
      <c r="B68" s="16">
        <v>140254</v>
      </c>
      <c r="C68" s="38">
        <v>1</v>
      </c>
      <c r="D68" s="38" t="s">
        <v>36</v>
      </c>
      <c r="E68" s="16">
        <v>1</v>
      </c>
      <c r="F68" s="38">
        <v>5</v>
      </c>
      <c r="G68">
        <v>6</v>
      </c>
      <c r="H68" t="s">
        <v>89</v>
      </c>
      <c r="J68">
        <v>140254</v>
      </c>
      <c r="K68">
        <v>6</v>
      </c>
      <c r="M68">
        <v>140413</v>
      </c>
      <c r="N68">
        <v>141054</v>
      </c>
      <c r="O68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</v>
      </c>
      <c r="P68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</v>
      </c>
    </row>
    <row r="69" spans="1:16">
      <c r="A69" s="23">
        <v>140256</v>
      </c>
      <c r="B69" s="16">
        <v>140256</v>
      </c>
      <c r="C69" s="38">
        <v>1</v>
      </c>
      <c r="D69" s="38" t="s">
        <v>36</v>
      </c>
      <c r="E69" s="16">
        <v>1</v>
      </c>
      <c r="F69" s="38">
        <v>10</v>
      </c>
      <c r="G69">
        <v>7</v>
      </c>
      <c r="H69" t="s">
        <v>90</v>
      </c>
      <c r="J69">
        <v>140256</v>
      </c>
      <c r="K69">
        <v>7</v>
      </c>
      <c r="M69">
        <v>140422</v>
      </c>
      <c r="N69">
        <v>141064</v>
      </c>
      <c r="O69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</v>
      </c>
      <c r="P69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</v>
      </c>
    </row>
    <row r="70" spans="1:16">
      <c r="A70" s="23">
        <v>140321</v>
      </c>
      <c r="B70" s="16">
        <v>140321</v>
      </c>
      <c r="C70" s="38">
        <v>1</v>
      </c>
      <c r="D70" s="38" t="s">
        <v>36</v>
      </c>
      <c r="E70" s="16">
        <v>0</v>
      </c>
      <c r="F70" s="38">
        <v>0</v>
      </c>
      <c r="G70">
        <v>5</v>
      </c>
      <c r="H70" t="s">
        <v>91</v>
      </c>
      <c r="J70">
        <v>140321</v>
      </c>
      <c r="K70">
        <v>5</v>
      </c>
      <c r="M70">
        <v>140423</v>
      </c>
      <c r="N70">
        <v>141074</v>
      </c>
      <c r="O70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</v>
      </c>
      <c r="P70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</v>
      </c>
    </row>
    <row r="71" spans="1:16">
      <c r="A71" s="23">
        <v>140322</v>
      </c>
      <c r="B71" s="16">
        <v>140322</v>
      </c>
      <c r="C71" s="38">
        <v>1</v>
      </c>
      <c r="D71" s="38" t="s">
        <v>36</v>
      </c>
      <c r="E71" s="16">
        <v>1</v>
      </c>
      <c r="F71" s="38">
        <v>5</v>
      </c>
      <c r="G71">
        <v>6</v>
      </c>
      <c r="H71" t="s">
        <v>92</v>
      </c>
      <c r="J71">
        <v>140322</v>
      </c>
      <c r="K71">
        <v>6</v>
      </c>
      <c r="M71">
        <v>140432</v>
      </c>
      <c r="N71">
        <v>141084</v>
      </c>
      <c r="O71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</v>
      </c>
      <c r="P71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,141084</v>
      </c>
    </row>
    <row r="72" spans="1:16">
      <c r="A72" s="23">
        <v>140323</v>
      </c>
      <c r="B72" s="16">
        <v>140323</v>
      </c>
      <c r="C72" s="38">
        <v>1</v>
      </c>
      <c r="D72" s="38" t="s">
        <v>36</v>
      </c>
      <c r="E72" s="16">
        <v>1</v>
      </c>
      <c r="F72" s="38">
        <v>10</v>
      </c>
      <c r="G72">
        <v>7</v>
      </c>
      <c r="H72" t="s">
        <v>93</v>
      </c>
      <c r="J72">
        <v>140323</v>
      </c>
      <c r="K72">
        <v>7</v>
      </c>
      <c r="M72">
        <v>140433</v>
      </c>
      <c r="N72">
        <v>141094</v>
      </c>
      <c r="O72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</v>
      </c>
      <c r="P72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,141084,141094</v>
      </c>
    </row>
    <row r="73" spans="1:16">
      <c r="A73" s="23">
        <v>140331</v>
      </c>
      <c r="B73" s="16">
        <v>140331</v>
      </c>
      <c r="C73" s="38">
        <v>1</v>
      </c>
      <c r="D73" s="38" t="s">
        <v>36</v>
      </c>
      <c r="E73" s="16">
        <v>0</v>
      </c>
      <c r="F73" s="38">
        <v>0</v>
      </c>
      <c r="G73">
        <v>5</v>
      </c>
      <c r="H73" t="s">
        <v>94</v>
      </c>
      <c r="J73">
        <v>140331</v>
      </c>
      <c r="K73">
        <v>5</v>
      </c>
      <c r="M73">
        <v>140442</v>
      </c>
      <c r="N73">
        <v>141104</v>
      </c>
      <c r="O73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</v>
      </c>
      <c r="P73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,141084,141094,141104</v>
      </c>
    </row>
    <row r="74" spans="1:16">
      <c r="A74" s="23">
        <v>140332</v>
      </c>
      <c r="B74" s="16">
        <v>140332</v>
      </c>
      <c r="C74" s="38">
        <v>1</v>
      </c>
      <c r="D74" s="38" t="s">
        <v>36</v>
      </c>
      <c r="E74" s="16">
        <v>1</v>
      </c>
      <c r="F74" s="38">
        <v>5</v>
      </c>
      <c r="G74">
        <v>6</v>
      </c>
      <c r="H74" t="s">
        <v>95</v>
      </c>
      <c r="J74">
        <v>140332</v>
      </c>
      <c r="K74">
        <v>6</v>
      </c>
      <c r="M74">
        <v>140443</v>
      </c>
      <c r="N74">
        <v>141114</v>
      </c>
      <c r="O74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</v>
      </c>
      <c r="P74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,141084,141094,141104,141114</v>
      </c>
    </row>
    <row r="75" spans="1:16">
      <c r="A75" s="23">
        <v>140333</v>
      </c>
      <c r="B75" s="16">
        <v>140333</v>
      </c>
      <c r="C75" s="38">
        <v>1</v>
      </c>
      <c r="D75" s="38" t="s">
        <v>36</v>
      </c>
      <c r="E75" s="16">
        <v>1</v>
      </c>
      <c r="F75" s="38">
        <v>10</v>
      </c>
      <c r="G75">
        <v>7</v>
      </c>
      <c r="H75" t="s">
        <v>96</v>
      </c>
      <c r="J75">
        <v>140333</v>
      </c>
      <c r="K75">
        <v>7</v>
      </c>
      <c r="M75">
        <v>140452</v>
      </c>
      <c r="N75">
        <v>141124</v>
      </c>
      <c r="O75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</v>
      </c>
      <c r="P75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,141084,141094,141104,141114,141124</v>
      </c>
    </row>
    <row r="76" spans="1:16">
      <c r="A76" s="23">
        <v>140334</v>
      </c>
      <c r="B76" s="16">
        <v>140334</v>
      </c>
      <c r="C76" s="38">
        <v>1</v>
      </c>
      <c r="D76" s="38" t="s">
        <v>36</v>
      </c>
      <c r="E76" s="16">
        <v>1</v>
      </c>
      <c r="F76" s="38">
        <v>20</v>
      </c>
      <c r="G76">
        <v>8</v>
      </c>
      <c r="H76" t="s">
        <v>97</v>
      </c>
      <c r="J76">
        <v>140334</v>
      </c>
      <c r="K76">
        <v>8</v>
      </c>
      <c r="M76">
        <v>140453</v>
      </c>
      <c r="N76">
        <v>141134</v>
      </c>
      <c r="O76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</v>
      </c>
      <c r="P76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,141084,141094,141104,141114,141124,141134</v>
      </c>
    </row>
    <row r="77" spans="1:16">
      <c r="A77" s="23">
        <v>140341</v>
      </c>
      <c r="B77" s="16">
        <v>140341</v>
      </c>
      <c r="C77" s="38">
        <v>1</v>
      </c>
      <c r="D77" s="38" t="s">
        <v>36</v>
      </c>
      <c r="E77" s="16">
        <v>0</v>
      </c>
      <c r="F77" s="38">
        <v>0</v>
      </c>
      <c r="G77">
        <v>5</v>
      </c>
      <c r="H77" t="s">
        <v>98</v>
      </c>
      <c r="J77">
        <v>140341</v>
      </c>
      <c r="K77">
        <v>5</v>
      </c>
      <c r="M77">
        <v>140462</v>
      </c>
      <c r="N77">
        <v>141144</v>
      </c>
      <c r="O77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</v>
      </c>
      <c r="P77" t="str">
        <f t="shared" si="1"/>
        <v>140014,140023,140044,140053,140073,140083,140093,140103,140113,140123,140133,140143,140175,140195,140203,140256,140323,140333,140343,140353,140363,140373,140393,140403,140413,140423,140433,140443,140453,140463,140813,140834,140844,140854,140874,140884,140894,140904,140914,140924,140934,140944,140954,140964,140974,140984,140994,141004,141014,141024,141034,141044,141054,141064,141074,141084,141094,141104,141114,141124,141134,141144</v>
      </c>
    </row>
    <row r="78" spans="1:16">
      <c r="A78" s="23">
        <v>140342</v>
      </c>
      <c r="B78" s="16">
        <v>140342</v>
      </c>
      <c r="C78" s="38">
        <v>1</v>
      </c>
      <c r="D78" s="38" t="s">
        <v>36</v>
      </c>
      <c r="E78" s="16">
        <v>1</v>
      </c>
      <c r="F78" s="38">
        <v>5</v>
      </c>
      <c r="G78">
        <v>6</v>
      </c>
      <c r="H78" t="s">
        <v>99</v>
      </c>
      <c r="J78">
        <v>140342</v>
      </c>
      <c r="K78">
        <v>6</v>
      </c>
      <c r="M78">
        <v>140463</v>
      </c>
      <c r="O78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</v>
      </c>
    </row>
    <row r="79" spans="1:16">
      <c r="A79" s="23">
        <v>140343</v>
      </c>
      <c r="B79" s="16">
        <v>140343</v>
      </c>
      <c r="C79" s="38">
        <v>1</v>
      </c>
      <c r="D79" s="38" t="s">
        <v>36</v>
      </c>
      <c r="E79" s="16">
        <v>1</v>
      </c>
      <c r="F79" s="38">
        <v>10</v>
      </c>
      <c r="G79">
        <v>7</v>
      </c>
      <c r="H79" t="s">
        <v>100</v>
      </c>
      <c r="J79">
        <v>140343</v>
      </c>
      <c r="K79">
        <v>7</v>
      </c>
      <c r="M79">
        <v>140812</v>
      </c>
      <c r="O79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</v>
      </c>
    </row>
    <row r="80" spans="1:16">
      <c r="A80" s="23">
        <v>140351</v>
      </c>
      <c r="B80" s="16">
        <v>140351</v>
      </c>
      <c r="C80" s="38">
        <v>1</v>
      </c>
      <c r="D80" s="38" t="s">
        <v>36</v>
      </c>
      <c r="E80" s="16">
        <v>0</v>
      </c>
      <c r="F80" s="38">
        <v>0</v>
      </c>
      <c r="G80">
        <v>5</v>
      </c>
      <c r="H80" t="s">
        <v>101</v>
      </c>
      <c r="J80">
        <v>140351</v>
      </c>
      <c r="K80">
        <v>5</v>
      </c>
      <c r="M80">
        <v>140813</v>
      </c>
      <c r="O80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</v>
      </c>
    </row>
    <row r="81" spans="1:15">
      <c r="A81" s="23">
        <v>140352</v>
      </c>
      <c r="B81" s="16">
        <v>140352</v>
      </c>
      <c r="C81" s="38">
        <v>1</v>
      </c>
      <c r="D81" s="38" t="s">
        <v>36</v>
      </c>
      <c r="E81" s="16">
        <v>1</v>
      </c>
      <c r="F81" s="38">
        <v>5</v>
      </c>
      <c r="G81">
        <v>6</v>
      </c>
      <c r="H81" t="s">
        <v>102</v>
      </c>
      <c r="J81">
        <v>140352</v>
      </c>
      <c r="K81">
        <v>6</v>
      </c>
      <c r="M81">
        <v>140833</v>
      </c>
      <c r="O81" t="str">
        <f t="shared" si="0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</v>
      </c>
    </row>
    <row r="82" spans="1:15">
      <c r="A82" s="23">
        <v>140353</v>
      </c>
      <c r="B82" s="16">
        <v>140353</v>
      </c>
      <c r="C82" s="38">
        <v>1</v>
      </c>
      <c r="D82" s="38" t="s">
        <v>36</v>
      </c>
      <c r="E82" s="16">
        <v>1</v>
      </c>
      <c r="F82" s="38">
        <v>10</v>
      </c>
      <c r="G82">
        <v>7</v>
      </c>
      <c r="H82" t="s">
        <v>103</v>
      </c>
      <c r="J82">
        <v>140353</v>
      </c>
      <c r="K82">
        <v>7</v>
      </c>
      <c r="M82">
        <v>140834</v>
      </c>
      <c r="O82" t="str">
        <f t="shared" ref="O82:O141" si="5">O81&amp;","&amp;M82</f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</v>
      </c>
    </row>
    <row r="83" spans="1:15">
      <c r="A83" s="23">
        <v>140354</v>
      </c>
      <c r="B83" s="16">
        <v>140354</v>
      </c>
      <c r="C83" s="38">
        <v>1</v>
      </c>
      <c r="D83" s="38" t="s">
        <v>36</v>
      </c>
      <c r="E83" s="16">
        <v>1</v>
      </c>
      <c r="F83" s="38">
        <v>20</v>
      </c>
      <c r="G83">
        <v>8</v>
      </c>
      <c r="H83" t="s">
        <v>104</v>
      </c>
      <c r="J83">
        <v>140354</v>
      </c>
      <c r="K83">
        <v>8</v>
      </c>
      <c r="M83">
        <v>140843</v>
      </c>
      <c r="O83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</v>
      </c>
    </row>
    <row r="84" spans="1:15">
      <c r="A84" s="23">
        <v>140361</v>
      </c>
      <c r="B84" s="16">
        <v>140361</v>
      </c>
      <c r="C84" s="38">
        <v>1</v>
      </c>
      <c r="D84" s="38" t="s">
        <v>36</v>
      </c>
      <c r="E84" s="16">
        <v>0</v>
      </c>
      <c r="F84" s="38">
        <v>0</v>
      </c>
      <c r="G84">
        <v>5</v>
      </c>
      <c r="H84" t="s">
        <v>105</v>
      </c>
      <c r="J84">
        <v>140361</v>
      </c>
      <c r="K84">
        <v>5</v>
      </c>
      <c r="M84">
        <v>140844</v>
      </c>
      <c r="O84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</v>
      </c>
    </row>
    <row r="85" spans="1:15">
      <c r="A85" s="23">
        <v>140362</v>
      </c>
      <c r="B85" s="16">
        <v>140362</v>
      </c>
      <c r="C85" s="38">
        <v>1</v>
      </c>
      <c r="D85" s="38" t="s">
        <v>36</v>
      </c>
      <c r="E85" s="16">
        <v>1</v>
      </c>
      <c r="F85" s="38">
        <v>5</v>
      </c>
      <c r="G85">
        <v>6</v>
      </c>
      <c r="H85" t="s">
        <v>106</v>
      </c>
      <c r="J85">
        <v>140362</v>
      </c>
      <c r="K85">
        <v>6</v>
      </c>
      <c r="M85">
        <v>140853</v>
      </c>
      <c r="O85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</v>
      </c>
    </row>
    <row r="86" spans="1:15">
      <c r="A86" s="23">
        <v>140363</v>
      </c>
      <c r="B86" s="16">
        <v>140363</v>
      </c>
      <c r="C86" s="38">
        <v>1</v>
      </c>
      <c r="D86" s="38" t="s">
        <v>36</v>
      </c>
      <c r="E86" s="16">
        <v>1</v>
      </c>
      <c r="F86" s="38">
        <v>10</v>
      </c>
      <c r="G86">
        <v>7</v>
      </c>
      <c r="H86" t="s">
        <v>107</v>
      </c>
      <c r="J86">
        <v>140363</v>
      </c>
      <c r="K86">
        <v>7</v>
      </c>
      <c r="M86">
        <v>140854</v>
      </c>
      <c r="O86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</v>
      </c>
    </row>
    <row r="87" spans="1:15">
      <c r="A87" s="23">
        <v>140371</v>
      </c>
      <c r="B87" s="16">
        <v>140371</v>
      </c>
      <c r="C87" s="38">
        <v>1</v>
      </c>
      <c r="D87" s="38" t="s">
        <v>36</v>
      </c>
      <c r="E87" s="16">
        <v>0</v>
      </c>
      <c r="F87" s="38">
        <v>0</v>
      </c>
      <c r="G87">
        <v>5</v>
      </c>
      <c r="H87" t="s">
        <v>108</v>
      </c>
      <c r="J87">
        <v>140371</v>
      </c>
      <c r="K87">
        <v>5</v>
      </c>
      <c r="M87">
        <v>140873</v>
      </c>
      <c r="O87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</v>
      </c>
    </row>
    <row r="88" spans="1:15">
      <c r="A88" s="23">
        <v>140372</v>
      </c>
      <c r="B88" s="16">
        <v>140372</v>
      </c>
      <c r="C88" s="38">
        <v>1</v>
      </c>
      <c r="D88" s="38" t="s">
        <v>36</v>
      </c>
      <c r="E88" s="16">
        <v>1</v>
      </c>
      <c r="F88" s="38">
        <v>5</v>
      </c>
      <c r="G88">
        <v>6</v>
      </c>
      <c r="H88" t="s">
        <v>109</v>
      </c>
      <c r="J88">
        <v>140372</v>
      </c>
      <c r="K88">
        <v>6</v>
      </c>
      <c r="M88">
        <v>140874</v>
      </c>
      <c r="O88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</v>
      </c>
    </row>
    <row r="89" spans="1:15">
      <c r="A89" s="23">
        <v>140373</v>
      </c>
      <c r="B89" s="16">
        <v>140373</v>
      </c>
      <c r="C89" s="38">
        <v>1</v>
      </c>
      <c r="D89" s="38" t="s">
        <v>36</v>
      </c>
      <c r="E89" s="16">
        <v>1</v>
      </c>
      <c r="F89" s="38">
        <v>10</v>
      </c>
      <c r="G89">
        <v>7</v>
      </c>
      <c r="H89" t="s">
        <v>110</v>
      </c>
      <c r="J89">
        <v>140373</v>
      </c>
      <c r="K89">
        <v>7</v>
      </c>
      <c r="M89">
        <v>140883</v>
      </c>
      <c r="O89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</v>
      </c>
    </row>
    <row r="90" spans="1:15">
      <c r="A90" s="23">
        <v>140382</v>
      </c>
      <c r="B90" s="16">
        <v>140382</v>
      </c>
      <c r="C90" s="38">
        <v>1</v>
      </c>
      <c r="D90" s="38" t="s">
        <v>36</v>
      </c>
      <c r="E90" s="16">
        <v>0</v>
      </c>
      <c r="F90" s="38">
        <v>0</v>
      </c>
      <c r="G90">
        <v>5</v>
      </c>
      <c r="H90" t="s">
        <v>111</v>
      </c>
      <c r="J90">
        <v>140382</v>
      </c>
      <c r="K90">
        <v>5</v>
      </c>
      <c r="M90">
        <v>140884</v>
      </c>
      <c r="O90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</v>
      </c>
    </row>
    <row r="91" spans="1:15">
      <c r="A91" s="23">
        <v>140391</v>
      </c>
      <c r="B91" s="16">
        <v>140391</v>
      </c>
      <c r="C91" s="38">
        <v>1</v>
      </c>
      <c r="D91" s="38" t="s">
        <v>36</v>
      </c>
      <c r="E91" s="16">
        <v>0</v>
      </c>
      <c r="F91" s="38">
        <v>0</v>
      </c>
      <c r="G91">
        <v>5</v>
      </c>
      <c r="H91" t="s">
        <v>112</v>
      </c>
      <c r="J91">
        <v>140391</v>
      </c>
      <c r="K91">
        <v>5</v>
      </c>
      <c r="M91">
        <v>140894</v>
      </c>
      <c r="O91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</v>
      </c>
    </row>
    <row r="92" spans="1:15">
      <c r="A92" s="23">
        <v>140392</v>
      </c>
      <c r="B92" s="16">
        <v>140392</v>
      </c>
      <c r="C92" s="38">
        <v>1</v>
      </c>
      <c r="D92" s="38" t="s">
        <v>36</v>
      </c>
      <c r="E92" s="16">
        <v>1</v>
      </c>
      <c r="F92" s="38">
        <v>5</v>
      </c>
      <c r="G92">
        <v>6</v>
      </c>
      <c r="H92" t="s">
        <v>113</v>
      </c>
      <c r="J92">
        <v>140392</v>
      </c>
      <c r="K92">
        <v>6</v>
      </c>
      <c r="M92">
        <v>140903</v>
      </c>
      <c r="O92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</v>
      </c>
    </row>
    <row r="93" spans="1:15">
      <c r="A93" s="23">
        <v>140393</v>
      </c>
      <c r="B93" s="16">
        <v>140393</v>
      </c>
      <c r="C93" s="38">
        <v>1</v>
      </c>
      <c r="D93" s="38" t="s">
        <v>36</v>
      </c>
      <c r="E93" s="16">
        <v>1</v>
      </c>
      <c r="F93" s="38">
        <v>10</v>
      </c>
      <c r="G93">
        <v>7</v>
      </c>
      <c r="H93" t="s">
        <v>114</v>
      </c>
      <c r="J93">
        <v>140393</v>
      </c>
      <c r="K93">
        <v>7</v>
      </c>
      <c r="M93">
        <v>140904</v>
      </c>
      <c r="O93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</v>
      </c>
    </row>
    <row r="94" spans="1:15">
      <c r="A94" s="23">
        <v>140401</v>
      </c>
      <c r="B94" s="16">
        <v>140401</v>
      </c>
      <c r="C94" s="38">
        <v>1</v>
      </c>
      <c r="D94" s="38" t="s">
        <v>36</v>
      </c>
      <c r="E94" s="16">
        <v>0</v>
      </c>
      <c r="F94" s="38">
        <v>0</v>
      </c>
      <c r="G94">
        <v>5</v>
      </c>
      <c r="H94" t="s">
        <v>115</v>
      </c>
      <c r="J94">
        <v>140401</v>
      </c>
      <c r="K94">
        <v>5</v>
      </c>
      <c r="M94">
        <v>140913</v>
      </c>
      <c r="O94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</v>
      </c>
    </row>
    <row r="95" spans="1:15">
      <c r="A95" s="23">
        <v>140402</v>
      </c>
      <c r="B95" s="16">
        <v>140402</v>
      </c>
      <c r="C95" s="38">
        <v>1</v>
      </c>
      <c r="D95" s="38" t="s">
        <v>36</v>
      </c>
      <c r="E95" s="16">
        <v>1</v>
      </c>
      <c r="F95" s="38">
        <v>5</v>
      </c>
      <c r="G95">
        <v>6</v>
      </c>
      <c r="H95" t="s">
        <v>116</v>
      </c>
      <c r="J95">
        <v>140402</v>
      </c>
      <c r="K95">
        <v>6</v>
      </c>
      <c r="M95">
        <v>140914</v>
      </c>
      <c r="O95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</v>
      </c>
    </row>
    <row r="96" spans="1:15">
      <c r="A96" s="23">
        <v>140403</v>
      </c>
      <c r="B96" s="16">
        <v>140403</v>
      </c>
      <c r="C96" s="38">
        <v>1</v>
      </c>
      <c r="D96" s="38" t="s">
        <v>36</v>
      </c>
      <c r="E96" s="16">
        <v>1</v>
      </c>
      <c r="F96" s="38">
        <v>10</v>
      </c>
      <c r="G96">
        <v>7</v>
      </c>
      <c r="H96" t="s">
        <v>117</v>
      </c>
      <c r="J96">
        <v>140403</v>
      </c>
      <c r="K96">
        <v>7</v>
      </c>
      <c r="M96">
        <v>140923</v>
      </c>
      <c r="O96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</v>
      </c>
    </row>
    <row r="97" spans="1:15">
      <c r="A97" s="23">
        <v>140411</v>
      </c>
      <c r="B97" s="16">
        <v>140411</v>
      </c>
      <c r="C97" s="38">
        <v>1</v>
      </c>
      <c r="D97" s="38" t="s">
        <v>36</v>
      </c>
      <c r="E97" s="16">
        <v>0</v>
      </c>
      <c r="F97" s="38">
        <v>0</v>
      </c>
      <c r="G97">
        <v>5</v>
      </c>
      <c r="H97" t="s">
        <v>118</v>
      </c>
      <c r="J97">
        <v>140411</v>
      </c>
      <c r="K97">
        <v>5</v>
      </c>
      <c r="M97">
        <v>140924</v>
      </c>
      <c r="O97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</v>
      </c>
    </row>
    <row r="98" spans="1:15">
      <c r="A98" s="23">
        <v>140412</v>
      </c>
      <c r="B98" s="16">
        <v>140412</v>
      </c>
      <c r="C98" s="38">
        <v>1</v>
      </c>
      <c r="D98" s="38" t="s">
        <v>36</v>
      </c>
      <c r="E98" s="16">
        <v>1</v>
      </c>
      <c r="F98" s="38">
        <v>5</v>
      </c>
      <c r="G98">
        <v>6</v>
      </c>
      <c r="H98" t="s">
        <v>119</v>
      </c>
      <c r="J98">
        <v>140412</v>
      </c>
      <c r="K98">
        <v>6</v>
      </c>
      <c r="M98">
        <v>140933</v>
      </c>
      <c r="O98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</v>
      </c>
    </row>
    <row r="99" spans="1:15">
      <c r="A99" s="23">
        <v>140413</v>
      </c>
      <c r="B99" s="16">
        <v>140413</v>
      </c>
      <c r="C99" s="38">
        <v>1</v>
      </c>
      <c r="D99" s="38" t="s">
        <v>36</v>
      </c>
      <c r="E99" s="16">
        <v>1</v>
      </c>
      <c r="F99" s="38">
        <v>10</v>
      </c>
      <c r="G99">
        <v>7</v>
      </c>
      <c r="H99" t="s">
        <v>120</v>
      </c>
      <c r="J99">
        <v>140413</v>
      </c>
      <c r="K99">
        <v>7</v>
      </c>
      <c r="M99">
        <v>140934</v>
      </c>
      <c r="O99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</v>
      </c>
    </row>
    <row r="100" spans="1:15">
      <c r="A100" s="23">
        <v>140421</v>
      </c>
      <c r="B100" s="16">
        <v>140421</v>
      </c>
      <c r="C100" s="38">
        <v>1</v>
      </c>
      <c r="D100" s="38" t="s">
        <v>36</v>
      </c>
      <c r="E100" s="16">
        <v>0</v>
      </c>
      <c r="F100" s="38">
        <v>0</v>
      </c>
      <c r="G100">
        <v>5</v>
      </c>
      <c r="H100" t="s">
        <v>121</v>
      </c>
      <c r="J100">
        <v>140421</v>
      </c>
      <c r="K100">
        <v>5</v>
      </c>
      <c r="M100">
        <v>140943</v>
      </c>
      <c r="O100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</v>
      </c>
    </row>
    <row r="101" spans="1:15">
      <c r="A101" s="23">
        <v>140422</v>
      </c>
      <c r="B101" s="16">
        <v>140422</v>
      </c>
      <c r="C101" s="38">
        <v>1</v>
      </c>
      <c r="D101" s="38" t="s">
        <v>36</v>
      </c>
      <c r="E101" s="16">
        <v>1</v>
      </c>
      <c r="F101" s="38">
        <v>5</v>
      </c>
      <c r="G101">
        <v>6</v>
      </c>
      <c r="H101" t="s">
        <v>122</v>
      </c>
      <c r="J101">
        <v>140422</v>
      </c>
      <c r="K101">
        <v>6</v>
      </c>
      <c r="M101">
        <v>140944</v>
      </c>
      <c r="O101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</v>
      </c>
    </row>
    <row r="102" spans="1:15">
      <c r="A102" s="23">
        <v>140423</v>
      </c>
      <c r="B102" s="16">
        <v>140423</v>
      </c>
      <c r="C102" s="38">
        <v>1</v>
      </c>
      <c r="D102" s="38" t="s">
        <v>36</v>
      </c>
      <c r="E102" s="16">
        <v>1</v>
      </c>
      <c r="F102" s="38">
        <v>10</v>
      </c>
      <c r="G102">
        <v>7</v>
      </c>
      <c r="H102" t="s">
        <v>123</v>
      </c>
      <c r="J102">
        <v>140423</v>
      </c>
      <c r="K102">
        <v>7</v>
      </c>
      <c r="M102">
        <v>140953</v>
      </c>
      <c r="O102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</v>
      </c>
    </row>
    <row r="103" spans="1:15">
      <c r="A103" s="23">
        <v>140431</v>
      </c>
      <c r="B103" s="16">
        <v>140431</v>
      </c>
      <c r="C103" s="38">
        <v>1</v>
      </c>
      <c r="D103" s="38" t="s">
        <v>36</v>
      </c>
      <c r="E103" s="16">
        <v>0</v>
      </c>
      <c r="F103" s="38">
        <v>0</v>
      </c>
      <c r="G103">
        <v>5</v>
      </c>
      <c r="H103" t="s">
        <v>124</v>
      </c>
      <c r="J103">
        <v>140431</v>
      </c>
      <c r="K103">
        <v>5</v>
      </c>
      <c r="M103">
        <v>140954</v>
      </c>
      <c r="O103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</v>
      </c>
    </row>
    <row r="104" spans="1:15">
      <c r="A104" s="23">
        <v>140432</v>
      </c>
      <c r="B104" s="16">
        <v>140432</v>
      </c>
      <c r="C104" s="38">
        <v>1</v>
      </c>
      <c r="D104" s="38" t="s">
        <v>36</v>
      </c>
      <c r="E104" s="16">
        <v>1</v>
      </c>
      <c r="F104" s="38">
        <v>5</v>
      </c>
      <c r="G104">
        <v>6</v>
      </c>
      <c r="H104" t="s">
        <v>125</v>
      </c>
      <c r="J104">
        <v>140432</v>
      </c>
      <c r="K104">
        <v>6</v>
      </c>
      <c r="M104">
        <v>140963</v>
      </c>
      <c r="O104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</v>
      </c>
    </row>
    <row r="105" spans="1:15">
      <c r="A105" s="23">
        <v>140433</v>
      </c>
      <c r="B105" s="16">
        <v>140433</v>
      </c>
      <c r="C105" s="38">
        <v>1</v>
      </c>
      <c r="D105" s="38" t="s">
        <v>36</v>
      </c>
      <c r="E105" s="16">
        <v>1</v>
      </c>
      <c r="F105" s="38">
        <v>10</v>
      </c>
      <c r="G105">
        <v>7</v>
      </c>
      <c r="H105" t="s">
        <v>126</v>
      </c>
      <c r="J105">
        <v>140433</v>
      </c>
      <c r="K105">
        <v>7</v>
      </c>
      <c r="M105">
        <v>140964</v>
      </c>
      <c r="O105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</v>
      </c>
    </row>
    <row r="106" spans="1:15">
      <c r="A106" s="23">
        <v>140441</v>
      </c>
      <c r="B106" s="16">
        <v>140441</v>
      </c>
      <c r="C106" s="38">
        <v>1</v>
      </c>
      <c r="D106" s="38" t="s">
        <v>36</v>
      </c>
      <c r="E106" s="16">
        <v>0</v>
      </c>
      <c r="F106" s="38">
        <v>0</v>
      </c>
      <c r="G106">
        <v>5</v>
      </c>
      <c r="H106" t="s">
        <v>127</v>
      </c>
      <c r="J106">
        <v>140441</v>
      </c>
      <c r="K106">
        <v>5</v>
      </c>
      <c r="M106">
        <v>140973</v>
      </c>
      <c r="O106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</v>
      </c>
    </row>
    <row r="107" spans="1:15">
      <c r="A107" s="23">
        <v>140442</v>
      </c>
      <c r="B107" s="16">
        <v>140442</v>
      </c>
      <c r="C107" s="38">
        <v>1</v>
      </c>
      <c r="D107" s="38" t="s">
        <v>36</v>
      </c>
      <c r="E107" s="16">
        <v>1</v>
      </c>
      <c r="F107" s="38">
        <v>5</v>
      </c>
      <c r="G107">
        <v>6</v>
      </c>
      <c r="H107" t="s">
        <v>128</v>
      </c>
      <c r="J107">
        <v>140442</v>
      </c>
      <c r="K107">
        <v>6</v>
      </c>
      <c r="M107">
        <v>140974</v>
      </c>
      <c r="O107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</v>
      </c>
    </row>
    <row r="108" spans="1:15">
      <c r="A108" s="23">
        <v>140443</v>
      </c>
      <c r="B108" s="16">
        <v>140443</v>
      </c>
      <c r="C108" s="38">
        <v>1</v>
      </c>
      <c r="D108" s="38" t="s">
        <v>36</v>
      </c>
      <c r="E108" s="16">
        <v>1</v>
      </c>
      <c r="F108" s="38">
        <v>10</v>
      </c>
      <c r="G108">
        <v>7</v>
      </c>
      <c r="H108" t="s">
        <v>129</v>
      </c>
      <c r="J108">
        <v>140443</v>
      </c>
      <c r="K108">
        <v>7</v>
      </c>
      <c r="M108">
        <v>140983</v>
      </c>
      <c r="O108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</v>
      </c>
    </row>
    <row r="109" spans="1:15">
      <c r="A109" s="23">
        <v>140451</v>
      </c>
      <c r="B109" s="16">
        <v>140451</v>
      </c>
      <c r="C109" s="38">
        <v>1</v>
      </c>
      <c r="D109" s="38" t="s">
        <v>36</v>
      </c>
      <c r="E109" s="16">
        <v>0</v>
      </c>
      <c r="F109" s="38">
        <v>0</v>
      </c>
      <c r="G109">
        <v>5</v>
      </c>
      <c r="H109" t="s">
        <v>130</v>
      </c>
      <c r="J109">
        <v>140451</v>
      </c>
      <c r="K109">
        <v>5</v>
      </c>
      <c r="M109">
        <v>140984</v>
      </c>
      <c r="O109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</v>
      </c>
    </row>
    <row r="110" spans="1:15">
      <c r="A110" s="23">
        <v>140452</v>
      </c>
      <c r="B110" s="16">
        <v>140452</v>
      </c>
      <c r="C110" s="38">
        <v>1</v>
      </c>
      <c r="D110" s="38" t="s">
        <v>36</v>
      </c>
      <c r="E110" s="16">
        <v>1</v>
      </c>
      <c r="F110" s="38">
        <v>5</v>
      </c>
      <c r="G110">
        <v>6</v>
      </c>
      <c r="H110" t="s">
        <v>131</v>
      </c>
      <c r="J110">
        <v>140452</v>
      </c>
      <c r="K110">
        <v>6</v>
      </c>
      <c r="M110">
        <v>140993</v>
      </c>
      <c r="O110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</v>
      </c>
    </row>
    <row r="111" spans="1:15">
      <c r="A111" s="23">
        <v>140453</v>
      </c>
      <c r="B111" s="16">
        <v>140453</v>
      </c>
      <c r="C111" s="38">
        <v>1</v>
      </c>
      <c r="D111" s="38" t="s">
        <v>36</v>
      </c>
      <c r="E111" s="16">
        <v>1</v>
      </c>
      <c r="F111" s="38">
        <v>10</v>
      </c>
      <c r="G111">
        <v>7</v>
      </c>
      <c r="H111" t="s">
        <v>132</v>
      </c>
      <c r="J111">
        <v>140453</v>
      </c>
      <c r="K111">
        <v>7</v>
      </c>
      <c r="M111">
        <v>140994</v>
      </c>
      <c r="O111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</v>
      </c>
    </row>
    <row r="112" spans="1:15">
      <c r="A112" s="23">
        <v>140461</v>
      </c>
      <c r="B112" s="16">
        <v>140461</v>
      </c>
      <c r="C112" s="38">
        <v>1</v>
      </c>
      <c r="D112" s="38" t="s">
        <v>36</v>
      </c>
      <c r="E112" s="16">
        <v>0</v>
      </c>
      <c r="F112" s="38">
        <v>0</v>
      </c>
      <c r="G112">
        <v>5</v>
      </c>
      <c r="H112" t="s">
        <v>133</v>
      </c>
      <c r="J112">
        <v>140461</v>
      </c>
      <c r="K112">
        <v>5</v>
      </c>
      <c r="M112">
        <v>141003</v>
      </c>
      <c r="O112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</v>
      </c>
    </row>
    <row r="113" spans="1:15">
      <c r="A113" s="23">
        <v>140462</v>
      </c>
      <c r="B113" s="16">
        <v>140462</v>
      </c>
      <c r="C113" s="38">
        <v>1</v>
      </c>
      <c r="D113" s="38" t="s">
        <v>36</v>
      </c>
      <c r="E113" s="16">
        <v>1</v>
      </c>
      <c r="F113" s="38">
        <v>5</v>
      </c>
      <c r="G113">
        <v>6</v>
      </c>
      <c r="H113" t="s">
        <v>134</v>
      </c>
      <c r="J113">
        <v>140462</v>
      </c>
      <c r="K113">
        <v>6</v>
      </c>
      <c r="M113">
        <v>141004</v>
      </c>
      <c r="O113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</v>
      </c>
    </row>
    <row r="114" spans="1:15">
      <c r="A114" s="23">
        <v>140463</v>
      </c>
      <c r="B114" s="16">
        <v>140463</v>
      </c>
      <c r="C114" s="38">
        <v>1</v>
      </c>
      <c r="D114" s="38" t="s">
        <v>36</v>
      </c>
      <c r="E114" s="16">
        <v>1</v>
      </c>
      <c r="F114" s="38">
        <v>10</v>
      </c>
      <c r="G114">
        <v>7</v>
      </c>
      <c r="H114" t="s">
        <v>135</v>
      </c>
      <c r="J114">
        <v>140463</v>
      </c>
      <c r="K114">
        <v>7</v>
      </c>
      <c r="M114">
        <v>141013</v>
      </c>
      <c r="O114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</v>
      </c>
    </row>
    <row r="115" spans="1:15">
      <c r="A115" s="23">
        <v>140811</v>
      </c>
      <c r="B115" s="16">
        <v>140811</v>
      </c>
      <c r="C115" s="38">
        <v>1</v>
      </c>
      <c r="D115" s="38" t="s">
        <v>36</v>
      </c>
      <c r="E115" s="16">
        <v>0</v>
      </c>
      <c r="F115" s="38">
        <v>0</v>
      </c>
      <c r="G115">
        <v>5</v>
      </c>
      <c r="H115" t="s">
        <v>136</v>
      </c>
      <c r="J115">
        <v>140811</v>
      </c>
      <c r="K115">
        <v>5</v>
      </c>
      <c r="M115">
        <v>141014</v>
      </c>
      <c r="O115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</v>
      </c>
    </row>
    <row r="116" spans="1:15">
      <c r="A116" s="23">
        <v>140812</v>
      </c>
      <c r="B116" s="16">
        <v>140812</v>
      </c>
      <c r="C116" s="38">
        <v>1</v>
      </c>
      <c r="D116" s="38" t="s">
        <v>36</v>
      </c>
      <c r="E116" s="16">
        <v>1</v>
      </c>
      <c r="F116" s="38">
        <v>5</v>
      </c>
      <c r="G116">
        <v>6</v>
      </c>
      <c r="H116" t="s">
        <v>137</v>
      </c>
      <c r="J116">
        <v>140812</v>
      </c>
      <c r="K116">
        <v>6</v>
      </c>
      <c r="M116">
        <v>141023</v>
      </c>
      <c r="O116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</v>
      </c>
    </row>
    <row r="117" spans="1:15">
      <c r="A117" s="23">
        <v>140813</v>
      </c>
      <c r="B117" s="16">
        <v>140813</v>
      </c>
      <c r="C117" s="38">
        <v>1</v>
      </c>
      <c r="D117" s="38" t="s">
        <v>36</v>
      </c>
      <c r="E117" s="16">
        <v>1</v>
      </c>
      <c r="F117" s="38">
        <v>10</v>
      </c>
      <c r="G117">
        <v>7</v>
      </c>
      <c r="H117" t="s">
        <v>138</v>
      </c>
      <c r="J117">
        <v>140813</v>
      </c>
      <c r="K117">
        <v>7</v>
      </c>
      <c r="M117">
        <v>141024</v>
      </c>
      <c r="O117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</v>
      </c>
    </row>
    <row r="118" spans="1:15">
      <c r="A118" s="23">
        <v>140832</v>
      </c>
      <c r="B118" s="16">
        <v>140832</v>
      </c>
      <c r="C118" s="38">
        <v>1</v>
      </c>
      <c r="D118" s="38" t="s">
        <v>36</v>
      </c>
      <c r="E118" s="16">
        <v>0</v>
      </c>
      <c r="F118" s="38">
        <v>0</v>
      </c>
      <c r="G118">
        <v>5</v>
      </c>
      <c r="H118" t="s">
        <v>139</v>
      </c>
      <c r="J118">
        <v>140832</v>
      </c>
      <c r="K118">
        <v>5</v>
      </c>
      <c r="M118">
        <v>141033</v>
      </c>
      <c r="O118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</v>
      </c>
    </row>
    <row r="119" spans="1:15">
      <c r="A119" s="23">
        <v>140833</v>
      </c>
      <c r="B119" s="16">
        <v>140833</v>
      </c>
      <c r="C119" s="38">
        <v>1</v>
      </c>
      <c r="D119" s="38" t="s">
        <v>36</v>
      </c>
      <c r="E119" s="16">
        <v>1</v>
      </c>
      <c r="F119" s="38">
        <v>5</v>
      </c>
      <c r="G119">
        <v>6</v>
      </c>
      <c r="H119" t="s">
        <v>140</v>
      </c>
      <c r="J119">
        <v>140833</v>
      </c>
      <c r="K119">
        <v>6</v>
      </c>
      <c r="M119">
        <v>141034</v>
      </c>
      <c r="O119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</v>
      </c>
    </row>
    <row r="120" spans="1:15">
      <c r="A120" s="23">
        <v>140834</v>
      </c>
      <c r="B120" s="16">
        <v>140834</v>
      </c>
      <c r="C120" s="38">
        <v>1</v>
      </c>
      <c r="D120" s="38" t="s">
        <v>36</v>
      </c>
      <c r="E120" s="16">
        <v>1</v>
      </c>
      <c r="F120" s="38">
        <v>10</v>
      </c>
      <c r="G120">
        <v>7</v>
      </c>
      <c r="H120" t="s">
        <v>141</v>
      </c>
      <c r="J120">
        <v>140834</v>
      </c>
      <c r="K120">
        <v>7</v>
      </c>
      <c r="M120">
        <v>141043</v>
      </c>
      <c r="O120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</v>
      </c>
    </row>
    <row r="121" spans="1:15">
      <c r="A121" s="23">
        <v>140842</v>
      </c>
      <c r="B121" s="16">
        <v>140842</v>
      </c>
      <c r="C121" s="38">
        <v>1</v>
      </c>
      <c r="D121" s="38" t="s">
        <v>36</v>
      </c>
      <c r="E121" s="16">
        <v>0</v>
      </c>
      <c r="F121" s="38">
        <v>0</v>
      </c>
      <c r="G121">
        <v>5</v>
      </c>
      <c r="H121" t="s">
        <v>139</v>
      </c>
      <c r="J121">
        <v>140842</v>
      </c>
      <c r="K121">
        <v>5</v>
      </c>
      <c r="M121">
        <v>141044</v>
      </c>
      <c r="O121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</v>
      </c>
    </row>
    <row r="122" spans="1:15">
      <c r="A122" s="23">
        <v>140843</v>
      </c>
      <c r="B122" s="16">
        <v>140843</v>
      </c>
      <c r="C122" s="38">
        <v>1</v>
      </c>
      <c r="D122" s="38" t="s">
        <v>36</v>
      </c>
      <c r="E122" s="16">
        <v>1</v>
      </c>
      <c r="F122" s="38">
        <v>5</v>
      </c>
      <c r="G122">
        <v>6</v>
      </c>
      <c r="H122" t="s">
        <v>140</v>
      </c>
      <c r="J122">
        <v>140843</v>
      </c>
      <c r="K122">
        <v>6</v>
      </c>
      <c r="M122">
        <v>141053</v>
      </c>
      <c r="O122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</v>
      </c>
    </row>
    <row r="123" spans="1:15">
      <c r="A123" s="23">
        <v>140844</v>
      </c>
      <c r="B123" s="16">
        <v>140844</v>
      </c>
      <c r="C123" s="38">
        <v>1</v>
      </c>
      <c r="D123" s="38" t="s">
        <v>36</v>
      </c>
      <c r="E123" s="16">
        <v>1</v>
      </c>
      <c r="F123" s="38">
        <v>10</v>
      </c>
      <c r="G123">
        <v>7</v>
      </c>
      <c r="H123" t="s">
        <v>141</v>
      </c>
      <c r="J123">
        <v>140844</v>
      </c>
      <c r="K123">
        <v>7</v>
      </c>
      <c r="M123">
        <v>141054</v>
      </c>
      <c r="O123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</v>
      </c>
    </row>
    <row r="124" spans="1:15">
      <c r="A124" s="23">
        <v>140853</v>
      </c>
      <c r="B124" s="16">
        <v>140853</v>
      </c>
      <c r="C124" s="38">
        <v>1</v>
      </c>
      <c r="D124" s="38" t="s">
        <v>36</v>
      </c>
      <c r="E124" s="16">
        <v>1</v>
      </c>
      <c r="F124">
        <v>5</v>
      </c>
      <c r="G124">
        <v>6</v>
      </c>
      <c r="H124" t="s">
        <v>142</v>
      </c>
      <c r="J124">
        <v>140853</v>
      </c>
      <c r="K124">
        <v>6</v>
      </c>
      <c r="M124">
        <v>141063</v>
      </c>
      <c r="O124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</v>
      </c>
    </row>
    <row r="125" spans="1:15">
      <c r="A125" s="23">
        <v>140854</v>
      </c>
      <c r="B125" s="16">
        <v>140854</v>
      </c>
      <c r="C125" s="38">
        <v>1</v>
      </c>
      <c r="D125" s="38" t="s">
        <v>36</v>
      </c>
      <c r="E125" s="16">
        <v>1</v>
      </c>
      <c r="F125" s="38">
        <v>10</v>
      </c>
      <c r="G125">
        <v>7</v>
      </c>
      <c r="H125" t="s">
        <v>143</v>
      </c>
      <c r="J125">
        <v>140854</v>
      </c>
      <c r="K125">
        <v>7</v>
      </c>
      <c r="M125">
        <v>141064</v>
      </c>
      <c r="O125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</v>
      </c>
    </row>
    <row r="126" spans="1:15">
      <c r="A126" s="23">
        <v>140863</v>
      </c>
      <c r="B126" s="16">
        <v>140863</v>
      </c>
      <c r="C126" s="38">
        <v>1</v>
      </c>
      <c r="D126" s="38" t="s">
        <v>36</v>
      </c>
      <c r="E126" s="16">
        <v>0</v>
      </c>
      <c r="F126" s="38">
        <v>0</v>
      </c>
      <c r="G126">
        <v>5</v>
      </c>
      <c r="H126" t="s">
        <v>144</v>
      </c>
      <c r="J126">
        <v>140863</v>
      </c>
      <c r="K126">
        <v>5</v>
      </c>
      <c r="M126">
        <v>141073</v>
      </c>
      <c r="O126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</v>
      </c>
    </row>
    <row r="127" spans="1:15">
      <c r="A127" s="23">
        <v>140872</v>
      </c>
      <c r="B127" s="16">
        <v>140872</v>
      </c>
      <c r="C127" s="38">
        <v>1</v>
      </c>
      <c r="D127" s="38" t="s">
        <v>36</v>
      </c>
      <c r="E127" s="16">
        <v>0</v>
      </c>
      <c r="F127" s="38">
        <v>0</v>
      </c>
      <c r="G127">
        <v>5</v>
      </c>
      <c r="H127" t="s">
        <v>145</v>
      </c>
      <c r="J127">
        <v>140872</v>
      </c>
      <c r="K127">
        <v>5</v>
      </c>
      <c r="M127">
        <v>141074</v>
      </c>
      <c r="O127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</v>
      </c>
    </row>
    <row r="128" spans="1:15">
      <c r="A128" s="23">
        <v>140873</v>
      </c>
      <c r="B128" s="16">
        <v>140873</v>
      </c>
      <c r="C128" s="38">
        <v>1</v>
      </c>
      <c r="D128" s="38" t="s">
        <v>36</v>
      </c>
      <c r="E128" s="16">
        <v>1</v>
      </c>
      <c r="F128" s="38">
        <v>5</v>
      </c>
      <c r="G128">
        <v>6</v>
      </c>
      <c r="H128" t="s">
        <v>146</v>
      </c>
      <c r="J128">
        <v>140873</v>
      </c>
      <c r="K128">
        <v>6</v>
      </c>
      <c r="M128">
        <v>141083</v>
      </c>
      <c r="O128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</v>
      </c>
    </row>
    <row r="129" spans="1:15">
      <c r="A129" s="23">
        <v>140874</v>
      </c>
      <c r="B129" s="16">
        <v>140874</v>
      </c>
      <c r="C129" s="38">
        <v>1</v>
      </c>
      <c r="D129" s="38" t="s">
        <v>36</v>
      </c>
      <c r="E129" s="16">
        <v>1</v>
      </c>
      <c r="F129" s="38">
        <v>10</v>
      </c>
      <c r="G129">
        <v>7</v>
      </c>
      <c r="H129" t="s">
        <v>147</v>
      </c>
      <c r="J129">
        <v>140874</v>
      </c>
      <c r="K129">
        <v>7</v>
      </c>
      <c r="M129">
        <v>141084</v>
      </c>
      <c r="O129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</v>
      </c>
    </row>
    <row r="130" spans="1:15">
      <c r="A130" s="23">
        <v>140882</v>
      </c>
      <c r="B130" s="16">
        <v>140882</v>
      </c>
      <c r="C130" s="38">
        <v>1</v>
      </c>
      <c r="D130" s="38" t="s">
        <v>36</v>
      </c>
      <c r="E130" s="16">
        <v>0</v>
      </c>
      <c r="F130" s="38">
        <v>0</v>
      </c>
      <c r="G130">
        <v>5</v>
      </c>
      <c r="H130" t="s">
        <v>148</v>
      </c>
      <c r="J130">
        <v>140882</v>
      </c>
      <c r="K130">
        <v>5</v>
      </c>
      <c r="M130">
        <v>141093</v>
      </c>
      <c r="O130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</v>
      </c>
    </row>
    <row r="131" spans="1:15">
      <c r="A131" s="23">
        <v>140883</v>
      </c>
      <c r="B131" s="16">
        <v>140883</v>
      </c>
      <c r="C131" s="38">
        <v>1</v>
      </c>
      <c r="D131" s="38" t="s">
        <v>36</v>
      </c>
      <c r="E131" s="16">
        <v>1</v>
      </c>
      <c r="F131" s="38">
        <v>5</v>
      </c>
      <c r="G131">
        <v>6</v>
      </c>
      <c r="H131" t="s">
        <v>149</v>
      </c>
      <c r="J131">
        <v>140883</v>
      </c>
      <c r="K131">
        <v>6</v>
      </c>
      <c r="M131">
        <v>141094</v>
      </c>
      <c r="O131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</v>
      </c>
    </row>
    <row r="132" spans="1:15">
      <c r="A132" s="23">
        <v>140884</v>
      </c>
      <c r="B132" s="16">
        <v>140884</v>
      </c>
      <c r="C132" s="38">
        <v>1</v>
      </c>
      <c r="D132" s="38" t="s">
        <v>36</v>
      </c>
      <c r="E132" s="16">
        <v>1</v>
      </c>
      <c r="F132" s="38">
        <v>10</v>
      </c>
      <c r="G132">
        <v>7</v>
      </c>
      <c r="H132" t="s">
        <v>150</v>
      </c>
      <c r="J132">
        <v>140884</v>
      </c>
      <c r="K132">
        <v>7</v>
      </c>
      <c r="M132">
        <v>141103</v>
      </c>
      <c r="O132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</v>
      </c>
    </row>
    <row r="133" spans="1:15">
      <c r="A133" s="23">
        <v>140894</v>
      </c>
      <c r="B133" s="16">
        <v>140894</v>
      </c>
      <c r="C133" s="38">
        <v>1</v>
      </c>
      <c r="D133" s="38" t="s">
        <v>36</v>
      </c>
      <c r="E133" s="16">
        <v>1</v>
      </c>
      <c r="F133" s="38">
        <v>10</v>
      </c>
      <c r="G133">
        <v>7</v>
      </c>
      <c r="H133" t="s">
        <v>151</v>
      </c>
      <c r="J133">
        <v>140894</v>
      </c>
      <c r="K133">
        <v>7</v>
      </c>
      <c r="M133">
        <v>141104</v>
      </c>
      <c r="O133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</v>
      </c>
    </row>
    <row r="134" spans="1:15">
      <c r="A134" s="23">
        <v>140902</v>
      </c>
      <c r="B134" s="16">
        <v>140902</v>
      </c>
      <c r="C134" s="38">
        <v>1</v>
      </c>
      <c r="D134" s="38" t="s">
        <v>36</v>
      </c>
      <c r="E134" s="16">
        <v>0</v>
      </c>
      <c r="F134" s="38">
        <v>0</v>
      </c>
      <c r="G134">
        <v>5</v>
      </c>
      <c r="H134" t="s">
        <v>152</v>
      </c>
      <c r="J134">
        <v>140902</v>
      </c>
      <c r="K134">
        <v>5</v>
      </c>
      <c r="M134">
        <v>141113</v>
      </c>
      <c r="O134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,141113</v>
      </c>
    </row>
    <row r="135" spans="1:15">
      <c r="A135" s="23">
        <v>140903</v>
      </c>
      <c r="B135" s="16">
        <v>140903</v>
      </c>
      <c r="C135" s="38">
        <v>1</v>
      </c>
      <c r="D135" s="38" t="s">
        <v>36</v>
      </c>
      <c r="E135" s="16">
        <v>1</v>
      </c>
      <c r="F135" s="38">
        <v>5</v>
      </c>
      <c r="G135">
        <v>6</v>
      </c>
      <c r="H135" t="s">
        <v>153</v>
      </c>
      <c r="J135">
        <v>140903</v>
      </c>
      <c r="K135">
        <v>6</v>
      </c>
      <c r="M135">
        <v>141114</v>
      </c>
      <c r="O135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,141113,141114</v>
      </c>
    </row>
    <row r="136" spans="1:15">
      <c r="A136" s="23">
        <v>140904</v>
      </c>
      <c r="B136" s="16">
        <v>140904</v>
      </c>
      <c r="C136" s="38">
        <v>1</v>
      </c>
      <c r="D136" s="38" t="s">
        <v>36</v>
      </c>
      <c r="E136" s="16">
        <v>1</v>
      </c>
      <c r="F136" s="38">
        <v>10</v>
      </c>
      <c r="G136">
        <v>7</v>
      </c>
      <c r="H136" t="s">
        <v>154</v>
      </c>
      <c r="J136">
        <v>140904</v>
      </c>
      <c r="K136">
        <v>7</v>
      </c>
      <c r="M136">
        <v>141123</v>
      </c>
      <c r="O136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,141113,141114,141123</v>
      </c>
    </row>
    <row r="137" spans="1:15">
      <c r="A137" s="23">
        <v>140912</v>
      </c>
      <c r="B137" s="16">
        <v>140912</v>
      </c>
      <c r="C137" s="38">
        <v>1</v>
      </c>
      <c r="D137" s="38" t="s">
        <v>36</v>
      </c>
      <c r="E137" s="16">
        <v>0</v>
      </c>
      <c r="F137" s="38">
        <v>0</v>
      </c>
      <c r="G137">
        <v>5</v>
      </c>
      <c r="H137" t="s">
        <v>155</v>
      </c>
      <c r="J137">
        <v>140912</v>
      </c>
      <c r="K137">
        <v>5</v>
      </c>
      <c r="M137">
        <v>141124</v>
      </c>
      <c r="O137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,141113,141114,141123,141124</v>
      </c>
    </row>
    <row r="138" spans="1:15">
      <c r="A138" s="23">
        <v>140913</v>
      </c>
      <c r="B138" s="16">
        <v>140913</v>
      </c>
      <c r="C138" s="38">
        <v>1</v>
      </c>
      <c r="D138" s="38" t="s">
        <v>36</v>
      </c>
      <c r="E138" s="16">
        <v>1</v>
      </c>
      <c r="F138" s="38">
        <v>5</v>
      </c>
      <c r="G138">
        <v>6</v>
      </c>
      <c r="H138" t="s">
        <v>156</v>
      </c>
      <c r="J138">
        <v>140913</v>
      </c>
      <c r="K138">
        <v>6</v>
      </c>
      <c r="M138">
        <v>141133</v>
      </c>
      <c r="O138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,141113,141114,141123,141124,141133</v>
      </c>
    </row>
    <row r="139" spans="1:15">
      <c r="A139" s="23">
        <v>140914</v>
      </c>
      <c r="B139" s="16">
        <v>140914</v>
      </c>
      <c r="C139" s="38">
        <v>1</v>
      </c>
      <c r="D139" s="38" t="s">
        <v>36</v>
      </c>
      <c r="E139" s="16">
        <v>1</v>
      </c>
      <c r="F139" s="38">
        <v>10</v>
      </c>
      <c r="G139">
        <v>7</v>
      </c>
      <c r="H139" t="s">
        <v>157</v>
      </c>
      <c r="J139">
        <v>140914</v>
      </c>
      <c r="K139">
        <v>7</v>
      </c>
      <c r="M139">
        <v>141134</v>
      </c>
      <c r="O139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,141113,141114,141123,141124,141133,141134</v>
      </c>
    </row>
    <row r="140" spans="1:15">
      <c r="A140" s="23">
        <v>140922</v>
      </c>
      <c r="B140" s="16">
        <v>140922</v>
      </c>
      <c r="C140" s="38">
        <v>1</v>
      </c>
      <c r="D140" s="38" t="s">
        <v>36</v>
      </c>
      <c r="E140" s="16">
        <v>0</v>
      </c>
      <c r="F140" s="38">
        <v>0</v>
      </c>
      <c r="G140">
        <v>5</v>
      </c>
      <c r="H140" t="s">
        <v>158</v>
      </c>
      <c r="J140">
        <v>140922</v>
      </c>
      <c r="K140">
        <v>5</v>
      </c>
      <c r="M140">
        <v>141143</v>
      </c>
      <c r="O140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,141113,141114,141123,141124,141133,141134,141143</v>
      </c>
    </row>
    <row r="141" spans="1:15">
      <c r="A141" s="23">
        <v>140923</v>
      </c>
      <c r="B141" s="16">
        <v>140923</v>
      </c>
      <c r="C141" s="38">
        <v>1</v>
      </c>
      <c r="D141" s="38" t="s">
        <v>36</v>
      </c>
      <c r="E141" s="16">
        <v>1</v>
      </c>
      <c r="F141" s="38">
        <v>5</v>
      </c>
      <c r="G141">
        <v>6</v>
      </c>
      <c r="H141" t="s">
        <v>159</v>
      </c>
      <c r="J141">
        <v>140923</v>
      </c>
      <c r="K141">
        <v>6</v>
      </c>
      <c r="M141">
        <v>141144</v>
      </c>
      <c r="O141" t="str">
        <f t="shared" si="5"/>
        <v>140013,140014,140022,140023,140043,140044,140052,140053,140063,140072,140073,140082,140083,140092,140093,140102,140103,140111,140113,140122,140123,140132,140133,140142,140143,140174,140175,140181,140194,140195,140202,140203,140223,140254,140256,140322,140323,140332,140333,140342,140343,140352,140353,140362,140363,140372,140373,140392,140393,140402,140403,140412,140413,140422,140423,140432,140433,140442,140443,140452,140453,140462,140463,140812,140813,140833,140834,140843,140844,140853,140854,140873,140874,140883,140884,140894,140903,140904,140913,140914,140923,140924,140933,140934,140943,140944,140953,140954,140963,140964,140973,140974,140983,140984,140993,140994,141003,141004,141013,141014,141023,141024,141033,141034,141043,141044,141053,141054,141063,141064,141073,141074,141083,141084,141093,141094,141103,141104,141113,141114,141123,141124,141133,141134,141143,141144</v>
      </c>
    </row>
    <row r="142" spans="1:15">
      <c r="A142" s="23">
        <v>140924</v>
      </c>
      <c r="B142" s="16">
        <v>140924</v>
      </c>
      <c r="C142" s="38">
        <v>1</v>
      </c>
      <c r="D142" s="38" t="s">
        <v>36</v>
      </c>
      <c r="E142" s="16">
        <v>1</v>
      </c>
      <c r="F142" s="38">
        <v>10</v>
      </c>
      <c r="G142">
        <v>7</v>
      </c>
      <c r="H142" t="s">
        <v>160</v>
      </c>
      <c r="J142">
        <v>140924</v>
      </c>
      <c r="K142">
        <v>7</v>
      </c>
    </row>
    <row r="143" spans="1:15">
      <c r="A143" s="23">
        <v>140932</v>
      </c>
      <c r="B143" s="16">
        <v>140932</v>
      </c>
      <c r="C143" s="38">
        <v>1</v>
      </c>
      <c r="D143" s="38" t="s">
        <v>36</v>
      </c>
      <c r="E143" s="16">
        <v>0</v>
      </c>
      <c r="F143" s="38">
        <v>0</v>
      </c>
      <c r="G143">
        <v>5</v>
      </c>
      <c r="H143" t="s">
        <v>161</v>
      </c>
      <c r="J143">
        <v>140932</v>
      </c>
      <c r="K143">
        <v>5</v>
      </c>
      <c r="M143" t="s">
        <v>162</v>
      </c>
    </row>
    <row r="144" spans="1:15">
      <c r="A144" s="23">
        <v>140933</v>
      </c>
      <c r="B144" s="16">
        <v>140933</v>
      </c>
      <c r="C144" s="38">
        <v>1</v>
      </c>
      <c r="D144" s="38" t="s">
        <v>36</v>
      </c>
      <c r="E144" s="16">
        <v>1</v>
      </c>
      <c r="F144" s="38">
        <v>5</v>
      </c>
      <c r="G144">
        <v>6</v>
      </c>
      <c r="H144" t="s">
        <v>163</v>
      </c>
      <c r="J144">
        <v>140933</v>
      </c>
      <c r="K144">
        <v>6</v>
      </c>
      <c r="M144" t="s">
        <v>164</v>
      </c>
    </row>
    <row r="145" spans="1:11">
      <c r="A145" s="23">
        <v>140934</v>
      </c>
      <c r="B145" s="16">
        <v>140934</v>
      </c>
      <c r="C145" s="38">
        <v>1</v>
      </c>
      <c r="D145" s="38" t="s">
        <v>36</v>
      </c>
      <c r="E145" s="16">
        <v>1</v>
      </c>
      <c r="F145" s="38">
        <v>10</v>
      </c>
      <c r="G145">
        <v>7</v>
      </c>
      <c r="H145" t="s">
        <v>165</v>
      </c>
      <c r="J145">
        <v>140934</v>
      </c>
      <c r="K145">
        <v>7</v>
      </c>
    </row>
    <row r="146" spans="1:11">
      <c r="A146" s="23">
        <v>140942</v>
      </c>
      <c r="B146" s="16">
        <v>140942</v>
      </c>
      <c r="C146" s="38">
        <v>1</v>
      </c>
      <c r="D146" s="38" t="s">
        <v>36</v>
      </c>
      <c r="E146" s="16">
        <v>0</v>
      </c>
      <c r="F146" s="38">
        <v>0</v>
      </c>
      <c r="G146">
        <v>5</v>
      </c>
      <c r="H146" t="s">
        <v>166</v>
      </c>
      <c r="J146">
        <v>140942</v>
      </c>
      <c r="K146">
        <v>5</v>
      </c>
    </row>
    <row r="147" spans="1:11">
      <c r="A147" s="23">
        <v>140943</v>
      </c>
      <c r="B147" s="16">
        <v>140943</v>
      </c>
      <c r="C147" s="38">
        <v>1</v>
      </c>
      <c r="D147" s="38" t="s">
        <v>36</v>
      </c>
      <c r="E147" s="16">
        <v>1</v>
      </c>
      <c r="F147" s="38">
        <v>5</v>
      </c>
      <c r="G147">
        <v>6</v>
      </c>
      <c r="H147" t="s">
        <v>167</v>
      </c>
      <c r="J147">
        <v>140943</v>
      </c>
      <c r="K147">
        <v>6</v>
      </c>
    </row>
    <row r="148" spans="1:11">
      <c r="A148" s="23">
        <v>140944</v>
      </c>
      <c r="B148" s="16">
        <v>140944</v>
      </c>
      <c r="C148" s="38">
        <v>1</v>
      </c>
      <c r="D148" s="38" t="s">
        <v>36</v>
      </c>
      <c r="E148" s="16">
        <v>1</v>
      </c>
      <c r="F148" s="38">
        <v>10</v>
      </c>
      <c r="G148">
        <v>7</v>
      </c>
      <c r="H148" t="s">
        <v>168</v>
      </c>
      <c r="J148">
        <v>140944</v>
      </c>
      <c r="K148">
        <v>7</v>
      </c>
    </row>
    <row r="149" spans="1:11">
      <c r="A149" s="23">
        <v>140952</v>
      </c>
      <c r="B149" s="16">
        <v>140952</v>
      </c>
      <c r="C149" s="38">
        <v>1</v>
      </c>
      <c r="D149" s="38" t="s">
        <v>36</v>
      </c>
      <c r="E149" s="16">
        <v>0</v>
      </c>
      <c r="F149" s="38">
        <v>0</v>
      </c>
      <c r="G149">
        <v>5</v>
      </c>
      <c r="H149" t="s">
        <v>169</v>
      </c>
      <c r="J149">
        <v>140952</v>
      </c>
      <c r="K149">
        <v>5</v>
      </c>
    </row>
    <row r="150" spans="1:11">
      <c r="A150" s="23">
        <v>140953</v>
      </c>
      <c r="B150" s="16">
        <v>140953</v>
      </c>
      <c r="C150" s="38">
        <v>1</v>
      </c>
      <c r="D150" s="38" t="s">
        <v>36</v>
      </c>
      <c r="E150" s="16">
        <v>1</v>
      </c>
      <c r="F150" s="38">
        <v>5</v>
      </c>
      <c r="G150">
        <v>6</v>
      </c>
      <c r="H150" t="s">
        <v>170</v>
      </c>
      <c r="J150">
        <v>140953</v>
      </c>
      <c r="K150">
        <v>6</v>
      </c>
    </row>
    <row r="151" spans="1:11">
      <c r="A151" s="23">
        <v>140954</v>
      </c>
      <c r="B151" s="16">
        <v>140954</v>
      </c>
      <c r="C151" s="38">
        <v>1</v>
      </c>
      <c r="D151" s="38" t="s">
        <v>36</v>
      </c>
      <c r="E151" s="16">
        <v>1</v>
      </c>
      <c r="F151" s="38">
        <v>10</v>
      </c>
      <c r="G151">
        <v>7</v>
      </c>
      <c r="H151" t="s">
        <v>171</v>
      </c>
      <c r="J151">
        <v>140954</v>
      </c>
      <c r="K151">
        <v>7</v>
      </c>
    </row>
    <row r="152" spans="1:11">
      <c r="A152" s="23">
        <v>140962</v>
      </c>
      <c r="B152" s="16">
        <v>140962</v>
      </c>
      <c r="C152" s="38">
        <v>1</v>
      </c>
      <c r="D152" s="38" t="s">
        <v>36</v>
      </c>
      <c r="E152" s="16">
        <v>0</v>
      </c>
      <c r="F152" s="38">
        <v>0</v>
      </c>
      <c r="G152">
        <v>5</v>
      </c>
      <c r="H152" t="s">
        <v>172</v>
      </c>
      <c r="J152">
        <v>140962</v>
      </c>
      <c r="K152">
        <v>5</v>
      </c>
    </row>
    <row r="153" spans="1:11">
      <c r="A153" s="23">
        <v>140963</v>
      </c>
      <c r="B153" s="16">
        <v>140963</v>
      </c>
      <c r="C153" s="38">
        <v>1</v>
      </c>
      <c r="D153" s="38" t="s">
        <v>36</v>
      </c>
      <c r="E153" s="16">
        <v>1</v>
      </c>
      <c r="F153" s="38">
        <v>5</v>
      </c>
      <c r="G153">
        <v>6</v>
      </c>
      <c r="H153" t="s">
        <v>173</v>
      </c>
      <c r="J153">
        <v>140963</v>
      </c>
      <c r="K153">
        <v>6</v>
      </c>
    </row>
    <row r="154" spans="1:11">
      <c r="A154" s="23">
        <v>140964</v>
      </c>
      <c r="B154" s="16">
        <v>140964</v>
      </c>
      <c r="C154" s="38">
        <v>1</v>
      </c>
      <c r="D154" s="38" t="s">
        <v>36</v>
      </c>
      <c r="E154" s="16">
        <v>1</v>
      </c>
      <c r="F154" s="38">
        <v>10</v>
      </c>
      <c r="G154">
        <v>7</v>
      </c>
      <c r="H154" t="s">
        <v>174</v>
      </c>
      <c r="J154">
        <v>140964</v>
      </c>
      <c r="K154">
        <v>7</v>
      </c>
    </row>
    <row r="155" spans="1:11">
      <c r="A155" s="23">
        <v>140972</v>
      </c>
      <c r="B155" s="16">
        <v>140972</v>
      </c>
      <c r="C155" s="38">
        <v>1</v>
      </c>
      <c r="D155" s="38" t="s">
        <v>36</v>
      </c>
      <c r="E155" s="16">
        <v>0</v>
      </c>
      <c r="F155" s="38">
        <v>0</v>
      </c>
      <c r="G155">
        <v>5</v>
      </c>
      <c r="H155" t="s">
        <v>175</v>
      </c>
      <c r="J155">
        <v>140972</v>
      </c>
      <c r="K155">
        <v>5</v>
      </c>
    </row>
    <row r="156" spans="1:11">
      <c r="A156" s="23">
        <v>140973</v>
      </c>
      <c r="B156" s="16">
        <v>140973</v>
      </c>
      <c r="C156" s="38">
        <v>1</v>
      </c>
      <c r="D156" s="38" t="s">
        <v>36</v>
      </c>
      <c r="E156" s="16">
        <v>1</v>
      </c>
      <c r="F156" s="38">
        <v>5</v>
      </c>
      <c r="G156">
        <v>6</v>
      </c>
      <c r="H156" t="s">
        <v>176</v>
      </c>
      <c r="J156">
        <v>140973</v>
      </c>
      <c r="K156">
        <v>6</v>
      </c>
    </row>
    <row r="157" spans="1:11">
      <c r="A157" s="23">
        <v>140974</v>
      </c>
      <c r="B157" s="16">
        <v>140974</v>
      </c>
      <c r="C157" s="38">
        <v>1</v>
      </c>
      <c r="D157" s="38" t="s">
        <v>36</v>
      </c>
      <c r="E157" s="16">
        <v>1</v>
      </c>
      <c r="F157" s="38">
        <v>10</v>
      </c>
      <c r="G157">
        <v>7</v>
      </c>
      <c r="H157" t="s">
        <v>177</v>
      </c>
      <c r="J157">
        <v>140974</v>
      </c>
      <c r="K157">
        <v>7</v>
      </c>
    </row>
    <row r="158" spans="1:11">
      <c r="A158" s="23">
        <v>140982</v>
      </c>
      <c r="B158" s="16">
        <v>140982</v>
      </c>
      <c r="C158" s="38">
        <v>1</v>
      </c>
      <c r="D158" s="38" t="s">
        <v>36</v>
      </c>
      <c r="E158" s="16">
        <v>0</v>
      </c>
      <c r="F158" s="38">
        <v>0</v>
      </c>
      <c r="G158">
        <v>5</v>
      </c>
      <c r="H158" t="s">
        <v>178</v>
      </c>
      <c r="J158">
        <v>140982</v>
      </c>
      <c r="K158">
        <v>5</v>
      </c>
    </row>
    <row r="159" spans="1:11">
      <c r="A159" s="23">
        <v>140983</v>
      </c>
      <c r="B159" s="16">
        <v>140983</v>
      </c>
      <c r="C159" s="38">
        <v>1</v>
      </c>
      <c r="D159" s="38" t="s">
        <v>36</v>
      </c>
      <c r="E159" s="16">
        <v>1</v>
      </c>
      <c r="F159" s="38">
        <v>5</v>
      </c>
      <c r="G159">
        <v>6</v>
      </c>
      <c r="H159" t="s">
        <v>179</v>
      </c>
      <c r="J159">
        <v>140983</v>
      </c>
      <c r="K159">
        <v>6</v>
      </c>
    </row>
    <row r="160" spans="1:11">
      <c r="A160" s="23">
        <v>140984</v>
      </c>
      <c r="B160" s="16">
        <v>140984</v>
      </c>
      <c r="C160" s="38">
        <v>1</v>
      </c>
      <c r="D160" s="38" t="s">
        <v>36</v>
      </c>
      <c r="E160" s="16">
        <v>1</v>
      </c>
      <c r="F160" s="38">
        <v>10</v>
      </c>
      <c r="G160">
        <v>7</v>
      </c>
      <c r="H160" t="s">
        <v>180</v>
      </c>
      <c r="J160">
        <v>140984</v>
      </c>
      <c r="K160">
        <v>7</v>
      </c>
    </row>
    <row r="161" spans="1:11">
      <c r="A161" s="23">
        <v>140992</v>
      </c>
      <c r="B161" s="16">
        <v>140992</v>
      </c>
      <c r="C161" s="38">
        <v>1</v>
      </c>
      <c r="D161" s="38" t="s">
        <v>36</v>
      </c>
      <c r="E161" s="16">
        <v>0</v>
      </c>
      <c r="F161" s="38">
        <v>0</v>
      </c>
      <c r="G161">
        <v>5</v>
      </c>
      <c r="H161" t="s">
        <v>181</v>
      </c>
      <c r="J161">
        <v>140992</v>
      </c>
      <c r="K161">
        <v>5</v>
      </c>
    </row>
    <row r="162" spans="1:11">
      <c r="A162" s="23">
        <v>140993</v>
      </c>
      <c r="B162" s="16">
        <v>140993</v>
      </c>
      <c r="C162" s="38">
        <v>1</v>
      </c>
      <c r="D162" s="38" t="s">
        <v>36</v>
      </c>
      <c r="E162" s="16">
        <v>1</v>
      </c>
      <c r="F162" s="38">
        <v>5</v>
      </c>
      <c r="G162">
        <v>6</v>
      </c>
      <c r="H162" t="s">
        <v>182</v>
      </c>
      <c r="J162">
        <v>140993</v>
      </c>
      <c r="K162">
        <v>6</v>
      </c>
    </row>
    <row r="163" spans="1:11">
      <c r="A163" s="23">
        <v>140994</v>
      </c>
      <c r="B163" s="16">
        <v>140994</v>
      </c>
      <c r="C163" s="38">
        <v>1</v>
      </c>
      <c r="D163" s="38" t="s">
        <v>36</v>
      </c>
      <c r="E163" s="16">
        <v>1</v>
      </c>
      <c r="F163" s="38">
        <v>10</v>
      </c>
      <c r="G163">
        <v>7</v>
      </c>
      <c r="H163" t="s">
        <v>183</v>
      </c>
      <c r="J163">
        <v>140994</v>
      </c>
      <c r="K163">
        <v>7</v>
      </c>
    </row>
    <row r="164" spans="1:11">
      <c r="A164" s="23">
        <v>141002</v>
      </c>
      <c r="B164" s="16">
        <v>141002</v>
      </c>
      <c r="C164" s="38">
        <v>1</v>
      </c>
      <c r="D164" s="38" t="s">
        <v>36</v>
      </c>
      <c r="E164" s="16">
        <v>0</v>
      </c>
      <c r="F164" s="38">
        <v>0</v>
      </c>
      <c r="G164">
        <v>5</v>
      </c>
      <c r="H164" t="s">
        <v>184</v>
      </c>
      <c r="J164">
        <v>141002</v>
      </c>
      <c r="K164">
        <v>5</v>
      </c>
    </row>
    <row r="165" spans="1:11">
      <c r="A165" s="23">
        <v>141003</v>
      </c>
      <c r="B165" s="16">
        <v>141003</v>
      </c>
      <c r="C165" s="38">
        <v>1</v>
      </c>
      <c r="D165" s="38" t="s">
        <v>36</v>
      </c>
      <c r="E165" s="16">
        <v>1</v>
      </c>
      <c r="F165" s="38">
        <v>5</v>
      </c>
      <c r="G165">
        <v>6</v>
      </c>
      <c r="H165" t="s">
        <v>185</v>
      </c>
      <c r="J165">
        <v>141003</v>
      </c>
      <c r="K165">
        <v>6</v>
      </c>
    </row>
    <row r="166" spans="1:11">
      <c r="A166" s="23">
        <v>141004</v>
      </c>
      <c r="B166" s="16">
        <v>141004</v>
      </c>
      <c r="C166" s="38">
        <v>1</v>
      </c>
      <c r="D166" s="38" t="s">
        <v>36</v>
      </c>
      <c r="E166" s="16">
        <v>1</v>
      </c>
      <c r="F166" s="38">
        <v>10</v>
      </c>
      <c r="G166">
        <v>7</v>
      </c>
      <c r="H166" t="s">
        <v>186</v>
      </c>
      <c r="J166">
        <v>141004</v>
      </c>
      <c r="K166">
        <v>7</v>
      </c>
    </row>
    <row r="167" spans="1:11">
      <c r="A167" s="23">
        <v>141012</v>
      </c>
      <c r="B167" s="16">
        <v>141012</v>
      </c>
      <c r="C167" s="38">
        <v>1</v>
      </c>
      <c r="D167" s="38" t="s">
        <v>36</v>
      </c>
      <c r="E167" s="16">
        <v>0</v>
      </c>
      <c r="F167" s="38">
        <v>0</v>
      </c>
      <c r="G167">
        <v>5</v>
      </c>
      <c r="H167" t="s">
        <v>187</v>
      </c>
      <c r="J167">
        <v>141012</v>
      </c>
      <c r="K167">
        <v>5</v>
      </c>
    </row>
    <row r="168" spans="1:11">
      <c r="A168" s="23">
        <v>141013</v>
      </c>
      <c r="B168" s="16">
        <v>141013</v>
      </c>
      <c r="C168" s="38">
        <v>1</v>
      </c>
      <c r="D168" s="38" t="s">
        <v>36</v>
      </c>
      <c r="E168" s="16">
        <v>1</v>
      </c>
      <c r="F168" s="38">
        <v>5</v>
      </c>
      <c r="G168">
        <v>6</v>
      </c>
      <c r="H168" t="s">
        <v>188</v>
      </c>
      <c r="J168">
        <v>141013</v>
      </c>
      <c r="K168">
        <v>6</v>
      </c>
    </row>
    <row r="169" spans="1:11">
      <c r="A169" s="23">
        <v>141014</v>
      </c>
      <c r="B169" s="16">
        <v>141014</v>
      </c>
      <c r="C169" s="38">
        <v>1</v>
      </c>
      <c r="D169" s="38" t="s">
        <v>36</v>
      </c>
      <c r="E169" s="16">
        <v>1</v>
      </c>
      <c r="F169" s="38">
        <v>10</v>
      </c>
      <c r="G169">
        <v>7</v>
      </c>
      <c r="H169" t="s">
        <v>189</v>
      </c>
      <c r="J169">
        <v>141014</v>
      </c>
      <c r="K169">
        <v>7</v>
      </c>
    </row>
    <row r="170" spans="1:11">
      <c r="A170" s="23">
        <v>141022</v>
      </c>
      <c r="B170" s="16">
        <v>141022</v>
      </c>
      <c r="C170" s="38">
        <v>1</v>
      </c>
      <c r="D170" s="38" t="s">
        <v>36</v>
      </c>
      <c r="E170" s="16">
        <v>0</v>
      </c>
      <c r="F170" s="38">
        <v>0</v>
      </c>
      <c r="G170">
        <v>5</v>
      </c>
      <c r="H170" t="s">
        <v>190</v>
      </c>
      <c r="J170">
        <v>141022</v>
      </c>
      <c r="K170">
        <v>5</v>
      </c>
    </row>
    <row r="171" spans="1:11">
      <c r="A171" s="23">
        <v>141023</v>
      </c>
      <c r="B171" s="16">
        <v>141023</v>
      </c>
      <c r="C171" s="38">
        <v>1</v>
      </c>
      <c r="D171" s="38" t="s">
        <v>36</v>
      </c>
      <c r="E171" s="16">
        <v>1</v>
      </c>
      <c r="F171" s="38">
        <v>5</v>
      </c>
      <c r="G171">
        <v>6</v>
      </c>
      <c r="H171" t="s">
        <v>191</v>
      </c>
      <c r="J171">
        <v>141023</v>
      </c>
      <c r="K171">
        <v>6</v>
      </c>
    </row>
    <row r="172" spans="1:11">
      <c r="A172" s="23">
        <v>141024</v>
      </c>
      <c r="B172" s="16">
        <v>141024</v>
      </c>
      <c r="C172" s="38">
        <v>1</v>
      </c>
      <c r="D172" s="38" t="s">
        <v>36</v>
      </c>
      <c r="E172" s="16">
        <v>1</v>
      </c>
      <c r="F172" s="38">
        <v>10</v>
      </c>
      <c r="G172">
        <v>7</v>
      </c>
      <c r="H172" t="s">
        <v>192</v>
      </c>
      <c r="J172">
        <v>141024</v>
      </c>
      <c r="K172">
        <v>7</v>
      </c>
    </row>
    <row r="173" spans="1:11">
      <c r="A173" s="23">
        <v>141032</v>
      </c>
      <c r="B173" s="16">
        <v>141032</v>
      </c>
      <c r="C173" s="38">
        <v>1</v>
      </c>
      <c r="D173" s="38" t="s">
        <v>36</v>
      </c>
      <c r="E173" s="16">
        <v>0</v>
      </c>
      <c r="F173" s="38">
        <v>0</v>
      </c>
      <c r="G173">
        <v>5</v>
      </c>
      <c r="H173" t="s">
        <v>193</v>
      </c>
      <c r="J173">
        <v>141032</v>
      </c>
      <c r="K173">
        <v>5</v>
      </c>
    </row>
    <row r="174" spans="1:11">
      <c r="A174" s="23">
        <v>141033</v>
      </c>
      <c r="B174" s="16">
        <v>141033</v>
      </c>
      <c r="C174" s="38">
        <v>1</v>
      </c>
      <c r="D174" s="38" t="s">
        <v>36</v>
      </c>
      <c r="E174" s="16">
        <v>1</v>
      </c>
      <c r="F174" s="38">
        <v>5</v>
      </c>
      <c r="G174">
        <v>6</v>
      </c>
      <c r="H174" t="s">
        <v>194</v>
      </c>
      <c r="J174">
        <v>141033</v>
      </c>
      <c r="K174">
        <v>6</v>
      </c>
    </row>
    <row r="175" spans="1:11">
      <c r="A175" s="23">
        <v>141034</v>
      </c>
      <c r="B175" s="16">
        <v>141034</v>
      </c>
      <c r="C175" s="38">
        <v>1</v>
      </c>
      <c r="D175" s="38" t="s">
        <v>36</v>
      </c>
      <c r="E175" s="16">
        <v>1</v>
      </c>
      <c r="F175" s="38">
        <v>10</v>
      </c>
      <c r="G175">
        <v>7</v>
      </c>
      <c r="H175" t="s">
        <v>195</v>
      </c>
      <c r="J175">
        <v>141034</v>
      </c>
      <c r="K175">
        <v>7</v>
      </c>
    </row>
    <row r="176" spans="1:11">
      <c r="A176" s="23">
        <v>141042</v>
      </c>
      <c r="B176" s="16">
        <v>141042</v>
      </c>
      <c r="C176" s="38">
        <v>1</v>
      </c>
      <c r="D176" s="38" t="s">
        <v>36</v>
      </c>
      <c r="E176" s="16">
        <v>0</v>
      </c>
      <c r="F176" s="38">
        <v>0</v>
      </c>
      <c r="G176">
        <v>5</v>
      </c>
      <c r="H176" t="s">
        <v>196</v>
      </c>
      <c r="J176">
        <v>141042</v>
      </c>
      <c r="K176">
        <v>5</v>
      </c>
    </row>
    <row r="177" spans="1:11">
      <c r="A177" s="23">
        <v>141043</v>
      </c>
      <c r="B177" s="16">
        <v>141043</v>
      </c>
      <c r="C177" s="38">
        <v>1</v>
      </c>
      <c r="D177" s="38" t="s">
        <v>36</v>
      </c>
      <c r="E177" s="16">
        <v>1</v>
      </c>
      <c r="F177" s="38">
        <v>5</v>
      </c>
      <c r="G177">
        <v>6</v>
      </c>
      <c r="H177" t="s">
        <v>197</v>
      </c>
      <c r="J177">
        <v>141043</v>
      </c>
      <c r="K177">
        <v>6</v>
      </c>
    </row>
    <row r="178" spans="1:11">
      <c r="A178" s="23">
        <v>141044</v>
      </c>
      <c r="B178" s="16">
        <v>141044</v>
      </c>
      <c r="C178" s="38">
        <v>1</v>
      </c>
      <c r="D178" s="38" t="s">
        <v>36</v>
      </c>
      <c r="E178" s="16">
        <v>1</v>
      </c>
      <c r="F178" s="38">
        <v>10</v>
      </c>
      <c r="G178">
        <v>7</v>
      </c>
      <c r="H178" t="s">
        <v>198</v>
      </c>
      <c r="J178">
        <v>141044</v>
      </c>
      <c r="K178">
        <v>7</v>
      </c>
    </row>
    <row r="179" spans="1:11">
      <c r="A179" s="23">
        <v>141052</v>
      </c>
      <c r="B179" s="16">
        <v>141052</v>
      </c>
      <c r="C179" s="38">
        <v>1</v>
      </c>
      <c r="D179" s="38" t="s">
        <v>36</v>
      </c>
      <c r="E179" s="16">
        <v>0</v>
      </c>
      <c r="F179" s="38">
        <v>0</v>
      </c>
      <c r="G179">
        <v>5</v>
      </c>
      <c r="H179" t="s">
        <v>199</v>
      </c>
      <c r="J179">
        <v>141052</v>
      </c>
      <c r="K179">
        <v>5</v>
      </c>
    </row>
    <row r="180" spans="1:11">
      <c r="A180" s="23">
        <v>141053</v>
      </c>
      <c r="B180" s="16">
        <v>141053</v>
      </c>
      <c r="C180" s="38">
        <v>1</v>
      </c>
      <c r="D180" s="38" t="s">
        <v>36</v>
      </c>
      <c r="E180" s="16">
        <v>1</v>
      </c>
      <c r="F180" s="38">
        <v>5</v>
      </c>
      <c r="G180">
        <v>6</v>
      </c>
      <c r="H180" t="s">
        <v>200</v>
      </c>
      <c r="J180">
        <v>141053</v>
      </c>
      <c r="K180">
        <v>6</v>
      </c>
    </row>
    <row r="181" spans="1:11">
      <c r="A181" s="23">
        <v>141054</v>
      </c>
      <c r="B181" s="16">
        <v>141054</v>
      </c>
      <c r="C181" s="38">
        <v>1</v>
      </c>
      <c r="D181" s="38" t="s">
        <v>36</v>
      </c>
      <c r="E181" s="16">
        <v>1</v>
      </c>
      <c r="F181" s="38">
        <v>10</v>
      </c>
      <c r="G181">
        <v>7</v>
      </c>
      <c r="H181" t="s">
        <v>201</v>
      </c>
      <c r="J181">
        <v>141054</v>
      </c>
      <c r="K181">
        <v>7</v>
      </c>
    </row>
    <row r="182" spans="1:11">
      <c r="A182" s="23">
        <v>141062</v>
      </c>
      <c r="B182" s="16">
        <v>141062</v>
      </c>
      <c r="C182" s="38">
        <v>1</v>
      </c>
      <c r="D182" s="38" t="s">
        <v>36</v>
      </c>
      <c r="E182" s="16">
        <v>0</v>
      </c>
      <c r="F182" s="38">
        <v>0</v>
      </c>
      <c r="G182">
        <v>5</v>
      </c>
      <c r="H182" t="s">
        <v>202</v>
      </c>
      <c r="J182">
        <v>141062</v>
      </c>
      <c r="K182">
        <v>5</v>
      </c>
    </row>
    <row r="183" spans="1:11">
      <c r="A183" s="23">
        <v>141063</v>
      </c>
      <c r="B183" s="16">
        <v>141063</v>
      </c>
      <c r="C183" s="38">
        <v>1</v>
      </c>
      <c r="D183" s="38" t="s">
        <v>36</v>
      </c>
      <c r="E183" s="16">
        <v>1</v>
      </c>
      <c r="F183" s="38">
        <v>5</v>
      </c>
      <c r="G183">
        <v>6</v>
      </c>
      <c r="H183" t="s">
        <v>203</v>
      </c>
      <c r="J183">
        <v>141063</v>
      </c>
      <c r="K183">
        <v>6</v>
      </c>
    </row>
    <row r="184" spans="1:11">
      <c r="A184" s="23">
        <v>141064</v>
      </c>
      <c r="B184" s="16">
        <v>141064</v>
      </c>
      <c r="C184" s="38">
        <v>1</v>
      </c>
      <c r="D184" s="38" t="s">
        <v>36</v>
      </c>
      <c r="E184" s="16">
        <v>1</v>
      </c>
      <c r="F184" s="38">
        <v>10</v>
      </c>
      <c r="G184">
        <v>7</v>
      </c>
      <c r="H184" t="s">
        <v>204</v>
      </c>
      <c r="J184">
        <v>141064</v>
      </c>
      <c r="K184">
        <v>7</v>
      </c>
    </row>
    <row r="185" spans="1:11">
      <c r="A185" s="23">
        <v>141072</v>
      </c>
      <c r="B185" s="16">
        <v>141072</v>
      </c>
      <c r="C185" s="38">
        <v>1</v>
      </c>
      <c r="D185" s="38" t="s">
        <v>36</v>
      </c>
      <c r="E185" s="16">
        <v>0</v>
      </c>
      <c r="F185" s="38">
        <v>0</v>
      </c>
      <c r="G185">
        <v>5</v>
      </c>
      <c r="H185" t="s">
        <v>205</v>
      </c>
      <c r="J185">
        <v>141072</v>
      </c>
      <c r="K185">
        <v>5</v>
      </c>
    </row>
    <row r="186" spans="1:11">
      <c r="A186" s="23">
        <v>141073</v>
      </c>
      <c r="B186" s="16">
        <v>141073</v>
      </c>
      <c r="C186" s="38">
        <v>1</v>
      </c>
      <c r="D186" s="38" t="s">
        <v>36</v>
      </c>
      <c r="E186" s="16">
        <v>1</v>
      </c>
      <c r="F186" s="38">
        <v>5</v>
      </c>
      <c r="G186">
        <v>6</v>
      </c>
      <c r="H186" t="s">
        <v>206</v>
      </c>
      <c r="J186">
        <v>141073</v>
      </c>
      <c r="K186">
        <v>6</v>
      </c>
    </row>
    <row r="187" spans="1:11">
      <c r="A187" s="23">
        <v>141074</v>
      </c>
      <c r="B187" s="16">
        <v>141074</v>
      </c>
      <c r="C187" s="38">
        <v>1</v>
      </c>
      <c r="D187" s="38" t="s">
        <v>36</v>
      </c>
      <c r="E187" s="16">
        <v>1</v>
      </c>
      <c r="F187" s="38">
        <v>10</v>
      </c>
      <c r="G187">
        <v>7</v>
      </c>
      <c r="H187" t="s">
        <v>207</v>
      </c>
      <c r="J187">
        <v>141074</v>
      </c>
      <c r="K187">
        <v>7</v>
      </c>
    </row>
    <row r="188" spans="1:11">
      <c r="A188" s="23">
        <v>141082</v>
      </c>
      <c r="B188" s="16">
        <v>141082</v>
      </c>
      <c r="C188" s="38">
        <v>1</v>
      </c>
      <c r="D188" s="38" t="s">
        <v>36</v>
      </c>
      <c r="E188" s="16">
        <v>0</v>
      </c>
      <c r="F188" s="38">
        <v>0</v>
      </c>
      <c r="G188">
        <v>5</v>
      </c>
      <c r="H188" t="s">
        <v>208</v>
      </c>
      <c r="J188">
        <v>141082</v>
      </c>
      <c r="K188">
        <v>5</v>
      </c>
    </row>
    <row r="189" spans="1:11">
      <c r="A189" s="23">
        <v>141083</v>
      </c>
      <c r="B189" s="16">
        <v>141083</v>
      </c>
      <c r="C189" s="38">
        <v>1</v>
      </c>
      <c r="D189" s="38" t="s">
        <v>36</v>
      </c>
      <c r="E189" s="16">
        <v>1</v>
      </c>
      <c r="F189" s="38">
        <v>5</v>
      </c>
      <c r="G189">
        <v>6</v>
      </c>
      <c r="H189" t="s">
        <v>209</v>
      </c>
      <c r="J189">
        <v>141083</v>
      </c>
      <c r="K189">
        <v>6</v>
      </c>
    </row>
    <row r="190" spans="1:11">
      <c r="A190" s="23">
        <v>141084</v>
      </c>
      <c r="B190" s="16">
        <v>141084</v>
      </c>
      <c r="C190" s="38">
        <v>1</v>
      </c>
      <c r="D190" s="38" t="s">
        <v>36</v>
      </c>
      <c r="E190" s="16">
        <v>1</v>
      </c>
      <c r="F190" s="38">
        <v>10</v>
      </c>
      <c r="G190">
        <v>7</v>
      </c>
      <c r="H190" t="s">
        <v>210</v>
      </c>
      <c r="J190">
        <v>141084</v>
      </c>
      <c r="K190">
        <v>7</v>
      </c>
    </row>
    <row r="191" spans="1:11">
      <c r="A191" s="23">
        <v>141092</v>
      </c>
      <c r="B191" s="16">
        <v>141092</v>
      </c>
      <c r="C191" s="38">
        <v>1</v>
      </c>
      <c r="D191" s="38" t="s">
        <v>36</v>
      </c>
      <c r="E191" s="16">
        <v>0</v>
      </c>
      <c r="F191" s="38">
        <v>0</v>
      </c>
      <c r="G191">
        <v>5</v>
      </c>
      <c r="H191" t="s">
        <v>211</v>
      </c>
      <c r="J191">
        <v>141092</v>
      </c>
      <c r="K191">
        <v>5</v>
      </c>
    </row>
    <row r="192" spans="1:11">
      <c r="A192" s="23">
        <v>141093</v>
      </c>
      <c r="B192" s="16">
        <v>141093</v>
      </c>
      <c r="C192" s="38">
        <v>1</v>
      </c>
      <c r="D192" s="38" t="s">
        <v>36</v>
      </c>
      <c r="E192" s="16">
        <v>1</v>
      </c>
      <c r="F192" s="38">
        <v>5</v>
      </c>
      <c r="G192">
        <v>6</v>
      </c>
      <c r="H192" t="s">
        <v>212</v>
      </c>
      <c r="J192">
        <v>141093</v>
      </c>
      <c r="K192">
        <v>6</v>
      </c>
    </row>
    <row r="193" spans="1:11">
      <c r="A193" s="23">
        <v>141094</v>
      </c>
      <c r="B193" s="16">
        <v>141094</v>
      </c>
      <c r="C193" s="38">
        <v>1</v>
      </c>
      <c r="D193" s="38" t="s">
        <v>36</v>
      </c>
      <c r="E193" s="16">
        <v>1</v>
      </c>
      <c r="F193" s="38">
        <v>10</v>
      </c>
      <c r="G193">
        <v>7</v>
      </c>
      <c r="H193" t="s">
        <v>213</v>
      </c>
      <c r="J193">
        <v>141094</v>
      </c>
      <c r="K193">
        <v>7</v>
      </c>
    </row>
    <row r="194" spans="1:11">
      <c r="A194" s="23">
        <v>141102</v>
      </c>
      <c r="B194" s="16">
        <v>141102</v>
      </c>
      <c r="C194" s="38">
        <v>1</v>
      </c>
      <c r="D194" s="38" t="s">
        <v>36</v>
      </c>
      <c r="E194" s="16">
        <v>0</v>
      </c>
      <c r="F194" s="38">
        <v>0</v>
      </c>
      <c r="G194">
        <v>5</v>
      </c>
      <c r="H194" t="s">
        <v>214</v>
      </c>
      <c r="J194">
        <v>141102</v>
      </c>
      <c r="K194">
        <v>5</v>
      </c>
    </row>
    <row r="195" spans="1:11">
      <c r="A195" s="23">
        <v>141103</v>
      </c>
      <c r="B195" s="16">
        <v>141103</v>
      </c>
      <c r="C195" s="38">
        <v>1</v>
      </c>
      <c r="D195" s="38" t="s">
        <v>36</v>
      </c>
      <c r="E195" s="16">
        <v>1</v>
      </c>
      <c r="F195" s="38">
        <v>5</v>
      </c>
      <c r="G195">
        <v>6</v>
      </c>
      <c r="H195" t="s">
        <v>215</v>
      </c>
      <c r="J195">
        <v>141103</v>
      </c>
      <c r="K195">
        <v>6</v>
      </c>
    </row>
    <row r="196" spans="1:11">
      <c r="A196" s="23">
        <v>141104</v>
      </c>
      <c r="B196" s="16">
        <v>141104</v>
      </c>
      <c r="C196" s="38">
        <v>1</v>
      </c>
      <c r="D196" s="38" t="s">
        <v>36</v>
      </c>
      <c r="E196" s="16">
        <v>1</v>
      </c>
      <c r="F196" s="38">
        <v>10</v>
      </c>
      <c r="G196">
        <v>7</v>
      </c>
      <c r="H196" t="s">
        <v>216</v>
      </c>
      <c r="J196">
        <v>141104</v>
      </c>
      <c r="K196">
        <v>7</v>
      </c>
    </row>
    <row r="197" spans="1:11">
      <c r="A197" s="23">
        <v>141112</v>
      </c>
      <c r="B197" s="16">
        <v>141112</v>
      </c>
      <c r="C197" s="38">
        <v>1</v>
      </c>
      <c r="D197" s="38" t="s">
        <v>36</v>
      </c>
      <c r="E197" s="16">
        <v>0</v>
      </c>
      <c r="F197" s="38">
        <v>0</v>
      </c>
      <c r="G197">
        <v>5</v>
      </c>
      <c r="H197" t="s">
        <v>217</v>
      </c>
      <c r="J197">
        <v>141112</v>
      </c>
      <c r="K197">
        <v>5</v>
      </c>
    </row>
    <row r="198" spans="1:11">
      <c r="A198" s="23">
        <v>141113</v>
      </c>
      <c r="B198" s="16">
        <v>141113</v>
      </c>
      <c r="C198" s="38">
        <v>1</v>
      </c>
      <c r="D198" s="38" t="s">
        <v>36</v>
      </c>
      <c r="E198" s="16">
        <v>1</v>
      </c>
      <c r="F198" s="38">
        <v>5</v>
      </c>
      <c r="G198">
        <v>6</v>
      </c>
      <c r="H198" t="s">
        <v>218</v>
      </c>
      <c r="J198">
        <v>141113</v>
      </c>
      <c r="K198">
        <v>6</v>
      </c>
    </row>
    <row r="199" spans="1:11">
      <c r="A199" s="23">
        <v>141114</v>
      </c>
      <c r="B199" s="16">
        <v>141114</v>
      </c>
      <c r="C199" s="38">
        <v>1</v>
      </c>
      <c r="D199" s="38" t="s">
        <v>36</v>
      </c>
      <c r="E199" s="16">
        <v>1</v>
      </c>
      <c r="F199" s="38">
        <v>10</v>
      </c>
      <c r="G199">
        <v>7</v>
      </c>
      <c r="H199" t="s">
        <v>219</v>
      </c>
      <c r="J199">
        <v>141114</v>
      </c>
      <c r="K199">
        <v>7</v>
      </c>
    </row>
    <row r="200" spans="1:11">
      <c r="A200" s="23">
        <v>141122</v>
      </c>
      <c r="B200" s="16">
        <v>141122</v>
      </c>
      <c r="C200" s="38">
        <v>1</v>
      </c>
      <c r="D200" s="38" t="s">
        <v>36</v>
      </c>
      <c r="E200" s="16">
        <v>0</v>
      </c>
      <c r="F200" s="38">
        <v>0</v>
      </c>
      <c r="G200">
        <v>5</v>
      </c>
      <c r="H200" t="s">
        <v>220</v>
      </c>
      <c r="J200">
        <v>141122</v>
      </c>
      <c r="K200">
        <v>5</v>
      </c>
    </row>
    <row r="201" spans="1:11">
      <c r="A201" s="23">
        <v>141123</v>
      </c>
      <c r="B201" s="16">
        <v>141123</v>
      </c>
      <c r="C201" s="38">
        <v>1</v>
      </c>
      <c r="D201" s="38" t="s">
        <v>36</v>
      </c>
      <c r="E201" s="16">
        <v>1</v>
      </c>
      <c r="F201" s="38">
        <v>5</v>
      </c>
      <c r="G201">
        <v>6</v>
      </c>
      <c r="H201" t="s">
        <v>221</v>
      </c>
      <c r="J201">
        <v>141123</v>
      </c>
      <c r="K201">
        <v>6</v>
      </c>
    </row>
    <row r="202" spans="1:11">
      <c r="A202" s="23">
        <v>141124</v>
      </c>
      <c r="B202" s="16">
        <v>141124</v>
      </c>
      <c r="C202" s="38">
        <v>1</v>
      </c>
      <c r="D202" s="38" t="s">
        <v>36</v>
      </c>
      <c r="E202" s="16">
        <v>1</v>
      </c>
      <c r="F202" s="38">
        <v>10</v>
      </c>
      <c r="G202">
        <v>7</v>
      </c>
      <c r="H202" t="s">
        <v>222</v>
      </c>
      <c r="J202">
        <v>141124</v>
      </c>
      <c r="K202">
        <v>7</v>
      </c>
    </row>
    <row r="203" spans="1:11">
      <c r="A203" s="23">
        <v>141132</v>
      </c>
      <c r="B203" s="16">
        <v>141132</v>
      </c>
      <c r="C203" s="38">
        <v>1</v>
      </c>
      <c r="D203" s="38" t="s">
        <v>36</v>
      </c>
      <c r="E203" s="16">
        <v>0</v>
      </c>
      <c r="F203" s="38">
        <v>0</v>
      </c>
      <c r="G203">
        <v>5</v>
      </c>
      <c r="H203" t="s">
        <v>223</v>
      </c>
      <c r="J203">
        <v>141132</v>
      </c>
      <c r="K203">
        <v>5</v>
      </c>
    </row>
    <row r="204" spans="1:11">
      <c r="A204" s="23">
        <v>141133</v>
      </c>
      <c r="B204" s="16">
        <v>141133</v>
      </c>
      <c r="C204" s="38">
        <v>1</v>
      </c>
      <c r="D204" s="38" t="s">
        <v>36</v>
      </c>
      <c r="E204" s="16">
        <v>1</v>
      </c>
      <c r="F204" s="38">
        <v>5</v>
      </c>
      <c r="G204">
        <v>6</v>
      </c>
      <c r="H204" t="s">
        <v>224</v>
      </c>
      <c r="J204">
        <v>141133</v>
      </c>
      <c r="K204">
        <v>6</v>
      </c>
    </row>
    <row r="205" spans="1:11">
      <c r="A205" s="23">
        <v>141134</v>
      </c>
      <c r="B205" s="16">
        <v>141134</v>
      </c>
      <c r="C205" s="38">
        <v>1</v>
      </c>
      <c r="D205" s="38" t="s">
        <v>36</v>
      </c>
      <c r="E205" s="16">
        <v>1</v>
      </c>
      <c r="F205" s="38">
        <v>10</v>
      </c>
      <c r="G205">
        <v>7</v>
      </c>
      <c r="H205" t="s">
        <v>225</v>
      </c>
      <c r="J205">
        <v>141134</v>
      </c>
      <c r="K205">
        <v>7</v>
      </c>
    </row>
    <row r="206" spans="1:11">
      <c r="A206" s="23">
        <v>141142</v>
      </c>
      <c r="B206" s="16">
        <v>141142</v>
      </c>
      <c r="C206" s="38">
        <v>1</v>
      </c>
      <c r="D206" s="38" t="s">
        <v>36</v>
      </c>
      <c r="E206" s="16">
        <v>0</v>
      </c>
      <c r="F206" s="38">
        <v>0</v>
      </c>
      <c r="G206">
        <v>5</v>
      </c>
      <c r="H206" t="s">
        <v>226</v>
      </c>
      <c r="J206">
        <v>141142</v>
      </c>
      <c r="K206">
        <v>5</v>
      </c>
    </row>
    <row r="207" spans="1:11">
      <c r="A207" s="23">
        <v>141143</v>
      </c>
      <c r="B207" s="16">
        <v>141143</v>
      </c>
      <c r="C207" s="38">
        <v>1</v>
      </c>
      <c r="D207" s="38" t="s">
        <v>36</v>
      </c>
      <c r="E207" s="16">
        <v>1</v>
      </c>
      <c r="F207" s="38">
        <v>5</v>
      </c>
      <c r="G207">
        <v>6</v>
      </c>
      <c r="H207" t="s">
        <v>227</v>
      </c>
      <c r="J207">
        <v>141143</v>
      </c>
      <c r="K207">
        <v>6</v>
      </c>
    </row>
    <row r="208" spans="1:11">
      <c r="A208" s="23">
        <v>141144</v>
      </c>
      <c r="B208" s="16">
        <v>141144</v>
      </c>
      <c r="C208" s="38">
        <v>1</v>
      </c>
      <c r="D208" s="38" t="s">
        <v>36</v>
      </c>
      <c r="E208" s="16">
        <v>1</v>
      </c>
      <c r="F208" s="38">
        <v>10</v>
      </c>
      <c r="G208">
        <v>7</v>
      </c>
      <c r="H208" t="s">
        <v>228</v>
      </c>
      <c r="J208">
        <v>141144</v>
      </c>
      <c r="K208">
        <v>7</v>
      </c>
    </row>
    <row r="209" spans="1:7">
      <c r="A209" s="23">
        <v>141314</v>
      </c>
      <c r="B209" s="16">
        <v>141314</v>
      </c>
      <c r="C209" s="38">
        <v>1</v>
      </c>
      <c r="D209" s="38" t="s">
        <v>36</v>
      </c>
      <c r="E209" s="16">
        <v>1</v>
      </c>
      <c r="F209" s="38">
        <v>20</v>
      </c>
      <c r="G209" s="38">
        <v>8</v>
      </c>
    </row>
  </sheetData>
  <phoneticPr fontId="2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"/>
  <sheetViews>
    <sheetView workbookViewId="0">
      <selection activeCell="E22" sqref="E22"/>
    </sheetView>
  </sheetViews>
  <sheetFormatPr defaultColWidth="9" defaultRowHeight="13.8"/>
  <cols>
    <col min="1" max="1" width="23.6640625" style="118" customWidth="1"/>
    <col min="2" max="3" width="26.6640625" style="118" customWidth="1"/>
    <col min="4" max="4" width="22.21875" style="118" customWidth="1"/>
    <col min="5" max="8" width="24.109375" style="118" customWidth="1"/>
    <col min="9" max="9" width="14.21875" style="118" customWidth="1"/>
    <col min="10" max="10" width="14.77734375" style="118" customWidth="1"/>
    <col min="11" max="16384" width="9" style="118"/>
  </cols>
  <sheetData>
    <row r="1" spans="1:12">
      <c r="A1" s="119" t="s">
        <v>0</v>
      </c>
      <c r="B1" s="118" t="s">
        <v>229</v>
      </c>
      <c r="C1" s="118" t="s">
        <v>2</v>
      </c>
    </row>
    <row r="2" spans="1:12">
      <c r="A2" s="119" t="s">
        <v>3</v>
      </c>
      <c r="B2" s="118" t="s">
        <v>4</v>
      </c>
      <c r="C2" s="118" t="s">
        <v>5</v>
      </c>
    </row>
    <row r="3" spans="1:12">
      <c r="A3" s="119" t="s">
        <v>6</v>
      </c>
      <c r="B3" s="120" t="s">
        <v>7</v>
      </c>
      <c r="C3" s="118" t="s">
        <v>8</v>
      </c>
    </row>
    <row r="4" spans="1:12">
      <c r="A4" s="119" t="s">
        <v>9</v>
      </c>
      <c r="B4" s="121" t="s">
        <v>10</v>
      </c>
    </row>
    <row r="5" spans="1:12">
      <c r="A5" s="119" t="s">
        <v>11</v>
      </c>
      <c r="C5" s="118" t="s">
        <v>12</v>
      </c>
    </row>
    <row r="6" spans="1:12">
      <c r="A6" s="119" t="s">
        <v>13</v>
      </c>
      <c r="B6" s="118">
        <v>4</v>
      </c>
      <c r="C6" s="118" t="s">
        <v>14</v>
      </c>
    </row>
    <row r="7" spans="1:12">
      <c r="A7" s="119" t="s">
        <v>15</v>
      </c>
    </row>
    <row r="8" spans="1:12">
      <c r="A8" s="119" t="s">
        <v>16</v>
      </c>
    </row>
    <row r="11" spans="1:12">
      <c r="A11" s="122" t="s">
        <v>17</v>
      </c>
      <c r="B11" s="122" t="s">
        <v>230</v>
      </c>
      <c r="C11" s="122" t="s">
        <v>231</v>
      </c>
      <c r="D11" s="122" t="s">
        <v>232</v>
      </c>
      <c r="E11" s="122" t="s">
        <v>233</v>
      </c>
      <c r="F11" s="122" t="s">
        <v>234</v>
      </c>
      <c r="G11" s="122" t="s">
        <v>235</v>
      </c>
      <c r="H11" s="122" t="s">
        <v>236</v>
      </c>
      <c r="I11" s="122" t="s">
        <v>19</v>
      </c>
      <c r="J11" s="122" t="s">
        <v>20</v>
      </c>
    </row>
    <row r="12" spans="1:12">
      <c r="A12" s="123" t="s">
        <v>23</v>
      </c>
      <c r="B12" s="123" t="s">
        <v>237</v>
      </c>
      <c r="C12" s="123" t="s">
        <v>238</v>
      </c>
      <c r="D12" s="120" t="s">
        <v>239</v>
      </c>
      <c r="E12" s="120" t="s">
        <v>240</v>
      </c>
      <c r="F12" s="120" t="s">
        <v>241</v>
      </c>
      <c r="G12" s="120"/>
      <c r="H12" s="120"/>
      <c r="I12" s="123" t="s">
        <v>25</v>
      </c>
      <c r="J12" s="123" t="s">
        <v>242</v>
      </c>
    </row>
    <row r="13" spans="1:12">
      <c r="A13" s="123" t="s">
        <v>29</v>
      </c>
      <c r="B13" s="123" t="s">
        <v>243</v>
      </c>
      <c r="C13" s="123" t="s">
        <v>243</v>
      </c>
      <c r="D13" s="120" t="s">
        <v>243</v>
      </c>
      <c r="E13" s="120" t="s">
        <v>243</v>
      </c>
      <c r="F13" s="120" t="s">
        <v>243</v>
      </c>
      <c r="G13" s="120"/>
      <c r="H13" s="120"/>
      <c r="I13" s="123" t="s">
        <v>29</v>
      </c>
      <c r="J13" s="123" t="s">
        <v>243</v>
      </c>
    </row>
    <row r="14" spans="1:12">
      <c r="A14" s="123" t="s">
        <v>31</v>
      </c>
      <c r="B14" s="123" t="s">
        <v>32</v>
      </c>
      <c r="C14" s="123" t="s">
        <v>32</v>
      </c>
      <c r="D14" s="120" t="s">
        <v>32</v>
      </c>
      <c r="E14" s="120" t="s">
        <v>32</v>
      </c>
      <c r="F14" s="120" t="s">
        <v>32</v>
      </c>
      <c r="G14" s="120"/>
      <c r="H14" s="120"/>
      <c r="I14" s="123" t="s">
        <v>32</v>
      </c>
      <c r="J14" s="123" t="s">
        <v>32</v>
      </c>
    </row>
    <row r="15" spans="1:12">
      <c r="A15" s="123"/>
      <c r="B15" s="123"/>
      <c r="C15" s="123"/>
      <c r="D15" s="120"/>
      <c r="E15" s="120"/>
      <c r="F15" s="120"/>
      <c r="G15" s="120"/>
      <c r="H15" s="120"/>
      <c r="I15" s="123">
        <v>0</v>
      </c>
      <c r="J15" s="123">
        <v>0</v>
      </c>
      <c r="L15" s="16"/>
    </row>
    <row r="16" spans="1:12">
      <c r="A16" s="118">
        <v>2</v>
      </c>
      <c r="B16" s="118" t="str">
        <f t="shared" ref="B16:B22" si="0">"["&amp;E16&amp;","&amp;F16&amp;","&amp;D16&amp;"]"</f>
        <v>[[140334,140354],[140013,140022,140043,140052,140063,140072,140082,140092,140102,140111,140122,140132,140142,140174,140181,140194,140202,140223,140254,140322,140342,140362,140372,140392,140402,140412,140422,140432,140442,140452,140462,140812,140833,140843,140853,140873,140883,140913,140923,140014,140023,140044,140053,140073,140083,140093,140103,140113,140123,140133,140143,140175,140195,140203,140256,140323,140343,140363,140373,140393,140403,140413,140423,140433,140443,140453,140463,140813,140834,140844,140854,140874,140884,140894,140914],[140012,140042,140062,140071,140081,140091,140101,140114,140121,140131,140141,140162,140173,140193,140201,140222,140232,140242,140253,140321,140341,140361,140371,140382,140391,140401,140411,140421,140431,140441,140451,140461,140811,140832,140842,140863,140872,140882,140912,140922]]</v>
      </c>
      <c r="C16" s="118" t="str">
        <f>"["&amp;G16&amp;","&amp;H16&amp;"]"</f>
        <v>[[140013,140022,140043,140052,140063,140072,140082,140092,140102,140111,140122,140132,140142,140174,140181,140194,140202,140223,140254,140322,140342,140362,140372,140392,140402,140412,140422,140432,140442,140452,140462,140812,140833,140843,140853,140873,140883,140913,140923,140014,140023,140044,140053,140073,140083,140093,140103,140113,140123,140133,140143,140175,140195,140203,140256,140323,140343,140363,140373,140393,140403,140413,140423,140433,140443,140453,140463,140813,140834,140844,140854,140874,140884,140894,140914],[140334,140354]]</v>
      </c>
      <c r="D16" s="132" t="s">
        <v>1623</v>
      </c>
      <c r="E16" s="118" t="s">
        <v>244</v>
      </c>
      <c r="F16" s="118" t="s">
        <v>1626</v>
      </c>
      <c r="G16" s="118" t="s">
        <v>1626</v>
      </c>
      <c r="H16" s="118" t="s">
        <v>244</v>
      </c>
      <c r="I16" s="118">
        <v>1</v>
      </c>
      <c r="J16" s="124" t="s">
        <v>245</v>
      </c>
      <c r="K16"/>
    </row>
    <row r="17" spans="1:11">
      <c r="A17" s="118">
        <v>3</v>
      </c>
      <c r="B17" s="118" t="str">
        <f t="shared" si="0"/>
        <v>[[140334,140354],[140013,140022,140043,140052,140063,140072,140082,140092,140102,140111,140122,140132,140142,140174,140181,140194,140202,140223,140254,140322,140342,140362,140372,140392,140402,140412,140422,140432,140442,140452,140462,140812,140833,140843,140853,140873,140883,140913,140923,140014,140023,140044,140053,140073,140083,140093,140103,140113,140123,140133,140143,140175,140195,140203,140256,140323,140343,140363,140373,140393,140403,140413,140423,140433,140443,140453,140463,140813,140834,140844,140854,140874,140884,140894,140914],[140012,140042,140062,140071,140081,140091,140101,140114,140121,140131,140141,140162,140173,140193,140201,140222,140232,140242,140253,140321,140341,140361,140371,140382,140391,140401,140411,140421,140431,140441,140451,140461,140811,140832,140842,140863,140872,140882,140912,140922]]</v>
      </c>
      <c r="C17" s="118" t="str">
        <f t="shared" ref="C17:C22" si="1">"["&amp;G17&amp;","&amp;H17&amp;"]"</f>
        <v>[[140013,140022,140043,140052,140063,140072,140082,140092,140102,140111,140122,140132,140142,140174,140181,140194,140202,140223,140254,140322,140342,140362,140372,140392,140402,140412,140422,140432,140442,140452,140462,140812,140833,140843,140853,140873,140883,140913,140923,140014,140023,140044,140053,140073,140083,140093,140103,140113,140123,140133,140143,140175,140195,140203,140256,140323,140343,140363,140373,140393,140403,140413,140423,140433,140443,140453,140463,140813,140834,140844,140854,140874,140884,140894,140914],[140334,140354]]</v>
      </c>
      <c r="D17" s="132" t="s">
        <v>1623</v>
      </c>
      <c r="E17" s="118" t="s">
        <v>244</v>
      </c>
      <c r="F17" s="118" t="s">
        <v>1626</v>
      </c>
      <c r="G17" s="118" t="s">
        <v>1626</v>
      </c>
      <c r="H17" s="118" t="s">
        <v>244</v>
      </c>
      <c r="I17" s="118">
        <v>1</v>
      </c>
      <c r="J17" s="124" t="s">
        <v>245</v>
      </c>
      <c r="K17"/>
    </row>
    <row r="18" spans="1:11">
      <c r="A18" s="118">
        <v>4</v>
      </c>
      <c r="B18" s="118" t="str">
        <f t="shared" si="0"/>
        <v>[[140334,140354],[140013,140022,140043,140052,140063,140072,140082,140092,140102,140111,140122,140132,140142,140174,140181,140194,140202,140223,140254,140322,140342,140362,140372,140392,140402,140412,140422,140432,140442,140452,140462,140812,140833,140843,140853,140873,140883,140913,140923,140014,140023,140044,140053,140073,140083,140093,140103,140113,140123,140133,140143,140175,140195,140203,140256,140323,140343,140363,140373,140393,140403,140413,140423,140433,140443,140453,140463,140813,140834,140844,140854,140874,140884,140894,140914],[140012,140042,140062,140071,140081,140091,140101,140114,140121,140131,140141,140162,140173,140193,140201,140222,140232,140242,140253,140321,140341,140361,140371,140382,140391,140401,140411,140421,140431,140441,140451,140461,140811,140832,140842,140863,140872,140882,140912,140922]]</v>
      </c>
      <c r="C18" s="118" t="str">
        <f t="shared" si="1"/>
        <v>[[140013,140022,140043,140052,140063,140072,140082,140092,140102,140111,140122,140132,140142,140174,140181,140194,140202,140223,140254,140322,140342,140362,140372,140392,140402,140412,140422,140432,140442,140452,140462,140812,140833,140843,140853,140873,140883,140913,140923,140014,140023,140044,140053,140073,140083,140093,140103,140113,140123,140133,140143,140175,140195,140203,140256,140323,140343,140363,140373,140393,140403,140413,140423,140433,140443,140453,140463,140813,140834,140844,140854,140874,140884,140894,140914],[140334,140354]]</v>
      </c>
      <c r="D18" s="132" t="s">
        <v>1623</v>
      </c>
      <c r="E18" s="118" t="s">
        <v>244</v>
      </c>
      <c r="F18" s="132" t="s">
        <v>1626</v>
      </c>
      <c r="G18" s="118" t="s">
        <v>1626</v>
      </c>
      <c r="H18" s="118" t="s">
        <v>244</v>
      </c>
      <c r="I18" s="118">
        <v>1</v>
      </c>
      <c r="J18" s="124" t="s">
        <v>245</v>
      </c>
      <c r="K18"/>
    </row>
    <row r="19" spans="1:11">
      <c r="A19" s="118">
        <v>5</v>
      </c>
      <c r="B19" s="118" t="str">
        <f t="shared" si="0"/>
        <v>[[140334,140354],[140014,140023,140044,140053,140073,140083,140093,140103,140113,140123,140133,140143,140175,140195,140203,140256,140323,140343,140363,140373,140393,140403,140413,140423,140433,140443,140453,140463,140813,140834,140844,140854,140874,140884,140894,140914],[140013,140022,140043,140052,140063,140072,140082,140092,140102,140111,140122,140132,140142,140174,140181,140194,140202,140223,140254,140322,140342,140362,140372,140392,140402,140412,140422,140432,140442,140452,140462,140812,140833,140843,140853,140873,140883,140913,140923]]</v>
      </c>
      <c r="C19" s="118" t="str">
        <f t="shared" si="1"/>
        <v>[[140013,140022,140043,140052,140063,140072,140082,140092,140102,140111,140122,140132,140142,140174,140181,140194,140202,140223,140254,140322,140342,140362,140372,140392,140402,140412,140422,140432,140442,140452,140462,140812,140833,140843,140853,140873,140883,140913,140923,140014,140023,140044,140053,140073,140083,140093,140103,140113,140123,140133,140143,140175,140195,140203,140256,140323,140343,140363,140373,140393,140403,140413,140423,140433,140443,140453,140463,140813,140834,140844,140854,140874,140884,140894,140914],[140334,140354]]</v>
      </c>
      <c r="D19" s="132" t="s">
        <v>1625</v>
      </c>
      <c r="E19" s="118" t="s">
        <v>244</v>
      </c>
      <c r="F19" s="118" t="s">
        <v>1627</v>
      </c>
      <c r="G19" s="118" t="s">
        <v>1626</v>
      </c>
      <c r="H19" s="118" t="s">
        <v>244</v>
      </c>
      <c r="I19" s="118">
        <v>1</v>
      </c>
      <c r="J19" s="124" t="s">
        <v>245</v>
      </c>
      <c r="K19"/>
    </row>
    <row r="20" spans="1:11">
      <c r="A20" s="118">
        <v>6</v>
      </c>
      <c r="B20" s="118" t="str">
        <f t="shared" si="0"/>
        <v>[[140334,140354],[140014,140023,140044,140053,140073,140083,140093,140103,140113,140123,140133,140143,140175,140195,140203,140256,140323,140343,140363,140373,140393,140403,140413,140423,140433,140443,140453,140463,140813,140834,140844,140854,140874,140884,140894,140914],[140013,140022,140043,140052,140063,140072,140082,140092,140102,140111,140122,140132,140142,140174,140181,140194,140202,140223,140254,140322,140342,140362,140372,140392,140402,140412,140422,140432,140442,140452,140462,140812,140833,140843,140853,140873,140883,140913,140923]]</v>
      </c>
      <c r="C20" s="118" t="str">
        <f t="shared" si="1"/>
        <v>[[140014,140023,140044,140053,140073,140083,140093,140103,140113,140123,140133,140143,140175,140195,140203,140256,140323,140343,140363,140373,140393,140403,140413,140423,140433,140443,140453,140463,140813,140834,140844,140854,140874,140884,140894,140914],[140334,140354]]</v>
      </c>
      <c r="D20" s="118" t="s">
        <v>1624</v>
      </c>
      <c r="E20" s="118" t="s">
        <v>244</v>
      </c>
      <c r="F20" s="118" t="s">
        <v>1627</v>
      </c>
      <c r="G20" s="118" t="s">
        <v>1627</v>
      </c>
      <c r="H20" s="118" t="s">
        <v>244</v>
      </c>
      <c r="I20" s="118">
        <v>1</v>
      </c>
      <c r="J20" s="124" t="s">
        <v>245</v>
      </c>
      <c r="K20"/>
    </row>
    <row r="21" spans="1:11">
      <c r="A21" s="118">
        <v>7</v>
      </c>
      <c r="B21" s="118" t="str">
        <f t="shared" si="0"/>
        <v>[[140334,140354],[140363,140373,140393,140403,140413,140423,140433,140443,140453,140463,140813,140834,140844,140854,140874,140884,140894,140914],[140014,140023,140044,140053,140073,140083,140093,140103,140113,140123,140133,140143,140175,140195,140203,140256,140323,140343]]</v>
      </c>
      <c r="C21" s="118" t="str">
        <f t="shared" si="1"/>
        <v>[[140014,140023,140044,140053,140073,140083,140093,140103,140113,140123,140133,140143,140175,140195,140203,140256,140323,140343,140363,140373,140393,140403,140413,140423,140433,140443,140453,140463,140813,140834,140844,140854,140874,140884,140894,140914],[140334,140354]]</v>
      </c>
      <c r="D21" s="118" t="s">
        <v>1628</v>
      </c>
      <c r="E21" s="118" t="s">
        <v>244</v>
      </c>
      <c r="F21" s="118" t="s">
        <v>246</v>
      </c>
      <c r="G21" s="118" t="s">
        <v>1627</v>
      </c>
      <c r="H21" s="118" t="s">
        <v>244</v>
      </c>
      <c r="I21" s="118">
        <v>1</v>
      </c>
      <c r="J21" s="124" t="s">
        <v>245</v>
      </c>
      <c r="K21"/>
    </row>
    <row r="22" spans="1:11">
      <c r="A22" s="118">
        <v>8</v>
      </c>
      <c r="B22" s="118" t="str">
        <f t="shared" si="0"/>
        <v>[[140334,140354],[140363,140373,140393,140403,140413,140423,140433,140443,140453,140463,140813,140834,140844,140854,140874,140884,140894,140914],[140014,140023,140044,140053,140073,140083,140093,140103,140113,140123,140133,140143,140175,140195,140203,140256,140323,140343]]</v>
      </c>
      <c r="C22" s="118" t="str">
        <f t="shared" si="1"/>
        <v>[[140014,140023,140044,140053,140073,140083,140093,140103,140113,140123,140133,140143,140175,140195,140203,140256,140323,140343,140363,140373,140393,140403,140413,140423,140433,140443,140453,140463,140813,140834,140844,140854,140874,140884,140894,140914],[140334,140354]]</v>
      </c>
      <c r="D22" s="118" t="s">
        <v>1628</v>
      </c>
      <c r="E22" s="118" t="s">
        <v>244</v>
      </c>
      <c r="F22" s="118" t="s">
        <v>246</v>
      </c>
      <c r="G22" s="118" t="s">
        <v>1627</v>
      </c>
      <c r="H22" s="118" t="s">
        <v>244</v>
      </c>
      <c r="I22" s="118">
        <v>1</v>
      </c>
      <c r="J22" s="124" t="s">
        <v>245</v>
      </c>
      <c r="K22"/>
    </row>
    <row r="23" spans="1:11">
      <c r="K23"/>
    </row>
    <row r="24" spans="1:11">
      <c r="K24"/>
    </row>
    <row r="25" spans="1:11">
      <c r="K25"/>
    </row>
    <row r="26" spans="1:11">
      <c r="K26"/>
    </row>
    <row r="27" spans="1:11">
      <c r="K27"/>
    </row>
    <row r="28" spans="1:11">
      <c r="F28" s="23"/>
      <c r="G28" s="23"/>
      <c r="H28" s="23"/>
      <c r="K28"/>
    </row>
    <row r="29" spans="1:11">
      <c r="F29" s="23"/>
      <c r="G29" s="23"/>
      <c r="H29" s="23"/>
      <c r="K29"/>
    </row>
    <row r="30" spans="1:11">
      <c r="K30"/>
    </row>
    <row r="31" spans="1:11">
      <c r="K31"/>
    </row>
    <row r="32" spans="1:11">
      <c r="K32"/>
    </row>
    <row r="33" spans="11:16">
      <c r="K33"/>
    </row>
    <row r="34" spans="11:16">
      <c r="K34"/>
    </row>
    <row r="35" spans="11:16">
      <c r="K35"/>
    </row>
    <row r="36" spans="11:16">
      <c r="K36"/>
    </row>
    <row r="37" spans="11:16">
      <c r="K37"/>
    </row>
    <row r="38" spans="11:16">
      <c r="K38"/>
    </row>
    <row r="39" spans="11:16">
      <c r="K39"/>
    </row>
    <row r="40" spans="11:16">
      <c r="K40"/>
    </row>
    <row r="41" spans="11:16">
      <c r="K41"/>
    </row>
    <row r="42" spans="11:16">
      <c r="K42"/>
      <c r="P42" s="118" t="str">
        <f>N41&amp;P41&amp;O41</f>
        <v/>
      </c>
    </row>
    <row r="43" spans="11:16">
      <c r="K43"/>
    </row>
    <row r="44" spans="11:16">
      <c r="K44"/>
    </row>
    <row r="45" spans="11:16">
      <c r="K45"/>
    </row>
    <row r="46" spans="11:16">
      <c r="K46"/>
    </row>
    <row r="47" spans="11:16">
      <c r="K47"/>
    </row>
    <row r="48" spans="11:16">
      <c r="K48"/>
    </row>
    <row r="49" spans="11:11">
      <c r="K49"/>
    </row>
    <row r="50" spans="11:11">
      <c r="K50"/>
    </row>
    <row r="51" spans="11:11">
      <c r="K51"/>
    </row>
    <row r="52" spans="11:11">
      <c r="K52"/>
    </row>
    <row r="53" spans="11:11">
      <c r="K53"/>
    </row>
    <row r="54" spans="11:11">
      <c r="K54"/>
    </row>
    <row r="55" spans="11:11">
      <c r="K55"/>
    </row>
    <row r="56" spans="11:11">
      <c r="K56"/>
    </row>
    <row r="57" spans="11:11">
      <c r="K57"/>
    </row>
    <row r="58" spans="11:11">
      <c r="K58"/>
    </row>
  </sheetData>
  <phoneticPr fontId="2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8"/>
  <sheetViews>
    <sheetView tabSelected="1" workbookViewId="0">
      <selection activeCell="D22" sqref="D22"/>
    </sheetView>
  </sheetViews>
  <sheetFormatPr defaultColWidth="9" defaultRowHeight="13.8"/>
  <cols>
    <col min="1" max="1" width="23.6640625" style="118" customWidth="1"/>
    <col min="2" max="5" width="26.6640625" style="118" customWidth="1"/>
    <col min="6" max="6" width="14.21875" style="118" customWidth="1"/>
    <col min="7" max="7" width="14.77734375" style="118" customWidth="1"/>
    <col min="8" max="16384" width="9" style="118"/>
  </cols>
  <sheetData>
    <row r="1" spans="1:9">
      <c r="A1" s="119" t="s">
        <v>0</v>
      </c>
      <c r="B1" s="118" t="s">
        <v>247</v>
      </c>
      <c r="C1" s="118" t="s">
        <v>2</v>
      </c>
    </row>
    <row r="2" spans="1:9">
      <c r="A2" s="119" t="s">
        <v>3</v>
      </c>
      <c r="B2" s="118" t="s">
        <v>248</v>
      </c>
      <c r="C2" s="118" t="s">
        <v>5</v>
      </c>
    </row>
    <row r="3" spans="1:9">
      <c r="A3" s="119" t="s">
        <v>6</v>
      </c>
      <c r="B3" s="120" t="s">
        <v>7</v>
      </c>
      <c r="C3" s="118" t="s">
        <v>8</v>
      </c>
    </row>
    <row r="4" spans="1:9">
      <c r="A4" s="119" t="s">
        <v>9</v>
      </c>
      <c r="B4" s="121" t="s">
        <v>10</v>
      </c>
    </row>
    <row r="5" spans="1:9">
      <c r="A5" s="119" t="s">
        <v>11</v>
      </c>
      <c r="C5" s="118" t="s">
        <v>12</v>
      </c>
    </row>
    <row r="6" spans="1:9">
      <c r="A6" s="119" t="s">
        <v>13</v>
      </c>
      <c r="B6" s="118">
        <v>4</v>
      </c>
      <c r="C6" s="118" t="s">
        <v>14</v>
      </c>
    </row>
    <row r="7" spans="1:9">
      <c r="A7" s="119" t="s">
        <v>15</v>
      </c>
    </row>
    <row r="8" spans="1:9">
      <c r="A8" s="119" t="s">
        <v>16</v>
      </c>
    </row>
    <row r="11" spans="1:9">
      <c r="A11" s="122" t="s">
        <v>17</v>
      </c>
      <c r="B11" s="122" t="s">
        <v>249</v>
      </c>
      <c r="C11" s="122" t="s">
        <v>250</v>
      </c>
      <c r="D11" s="122" t="s">
        <v>251</v>
      </c>
      <c r="E11" s="122" t="s">
        <v>252</v>
      </c>
      <c r="F11" s="122" t="s">
        <v>19</v>
      </c>
      <c r="G11" s="122" t="s">
        <v>20</v>
      </c>
    </row>
    <row r="12" spans="1:9">
      <c r="A12" s="123" t="s">
        <v>23</v>
      </c>
      <c r="B12" s="123" t="s">
        <v>24</v>
      </c>
      <c r="C12" s="123" t="s">
        <v>253</v>
      </c>
      <c r="D12" s="123" t="s">
        <v>254</v>
      </c>
      <c r="E12" s="123" t="s">
        <v>255</v>
      </c>
      <c r="F12" s="123" t="s">
        <v>25</v>
      </c>
      <c r="G12" s="123" t="s">
        <v>242</v>
      </c>
    </row>
    <row r="13" spans="1:9">
      <c r="A13" s="123" t="s">
        <v>29</v>
      </c>
      <c r="B13" s="123" t="s">
        <v>29</v>
      </c>
      <c r="C13" s="123" t="s">
        <v>30</v>
      </c>
      <c r="D13" s="123" t="s">
        <v>29</v>
      </c>
      <c r="E13" s="123" t="s">
        <v>29</v>
      </c>
      <c r="F13" s="123" t="s">
        <v>29</v>
      </c>
      <c r="G13" s="123" t="s">
        <v>243</v>
      </c>
    </row>
    <row r="14" spans="1:9">
      <c r="A14" s="123" t="s">
        <v>31</v>
      </c>
      <c r="B14" s="123" t="s">
        <v>32</v>
      </c>
      <c r="C14" s="123" t="s">
        <v>32</v>
      </c>
      <c r="D14" s="123" t="s">
        <v>32</v>
      </c>
      <c r="E14" s="123" t="s">
        <v>32</v>
      </c>
      <c r="F14" s="123" t="s">
        <v>32</v>
      </c>
      <c r="G14" s="123" t="s">
        <v>32</v>
      </c>
    </row>
    <row r="15" spans="1:9">
      <c r="A15" s="123"/>
      <c r="B15" s="123">
        <v>140334</v>
      </c>
      <c r="C15" s="123"/>
      <c r="D15" s="123"/>
      <c r="E15" s="123"/>
      <c r="F15" s="123">
        <v>0</v>
      </c>
      <c r="G15" s="123">
        <v>0</v>
      </c>
      <c r="I15" s="16"/>
    </row>
    <row r="16" spans="1:9">
      <c r="A16" s="118">
        <v>1</v>
      </c>
      <c r="B16" s="118">
        <v>141314</v>
      </c>
      <c r="C16" s="118" t="s">
        <v>258</v>
      </c>
      <c r="D16" s="118">
        <v>220</v>
      </c>
      <c r="E16" s="118">
        <v>0</v>
      </c>
      <c r="F16" s="118">
        <v>1</v>
      </c>
      <c r="G16" s="124" t="s">
        <v>245</v>
      </c>
      <c r="H16"/>
    </row>
    <row r="17" spans="1:8">
      <c r="A17" s="118">
        <v>2</v>
      </c>
      <c r="B17" s="118">
        <v>140334</v>
      </c>
      <c r="C17" s="118" t="s">
        <v>256</v>
      </c>
      <c r="D17" s="118">
        <v>180</v>
      </c>
      <c r="E17" s="118">
        <v>0</v>
      </c>
      <c r="F17" s="118">
        <v>1</v>
      </c>
      <c r="G17" s="124" t="s">
        <v>245</v>
      </c>
      <c r="H17"/>
    </row>
    <row r="18" spans="1:8">
      <c r="A18" s="118">
        <v>3</v>
      </c>
      <c r="B18" s="118">
        <v>140354</v>
      </c>
      <c r="C18" s="118" t="s">
        <v>257</v>
      </c>
      <c r="D18" s="118">
        <v>300</v>
      </c>
      <c r="E18" s="118">
        <v>180</v>
      </c>
      <c r="F18" s="118">
        <v>1</v>
      </c>
      <c r="G18" s="124" t="s">
        <v>245</v>
      </c>
      <c r="H18"/>
    </row>
    <row r="19" spans="1:8">
      <c r="H19"/>
    </row>
    <row r="20" spans="1:8">
      <c r="H20"/>
    </row>
    <row r="21" spans="1:8">
      <c r="G21" s="124"/>
      <c r="H21"/>
    </row>
    <row r="22" spans="1:8">
      <c r="G22" s="124"/>
      <c r="H22"/>
    </row>
    <row r="23" spans="1:8">
      <c r="H23"/>
    </row>
    <row r="24" spans="1:8">
      <c r="H24"/>
    </row>
    <row r="25" spans="1:8">
      <c r="H25"/>
    </row>
    <row r="26" spans="1:8">
      <c r="H26"/>
    </row>
    <row r="27" spans="1:8">
      <c r="H27"/>
    </row>
    <row r="28" spans="1:8">
      <c r="H28"/>
    </row>
    <row r="29" spans="1:8">
      <c r="H29"/>
    </row>
    <row r="30" spans="1:8">
      <c r="H30"/>
    </row>
    <row r="31" spans="1:8">
      <c r="H31"/>
    </row>
    <row r="32" spans="1:8">
      <c r="H32"/>
    </row>
    <row r="33" spans="8:13">
      <c r="H33"/>
    </row>
    <row r="34" spans="8:13">
      <c r="H34"/>
    </row>
    <row r="35" spans="8:13">
      <c r="H35"/>
    </row>
    <row r="36" spans="8:13">
      <c r="H36"/>
    </row>
    <row r="37" spans="8:13">
      <c r="H37"/>
    </row>
    <row r="38" spans="8:13">
      <c r="H38"/>
    </row>
    <row r="39" spans="8:13">
      <c r="H39"/>
    </row>
    <row r="40" spans="8:13">
      <c r="H40"/>
    </row>
    <row r="41" spans="8:13">
      <c r="H41"/>
    </row>
    <row r="42" spans="8:13">
      <c r="H42"/>
      <c r="M42" s="118" t="str">
        <f>K41&amp;M41&amp;L41</f>
        <v/>
      </c>
    </row>
    <row r="43" spans="8:13">
      <c r="H43"/>
    </row>
    <row r="44" spans="8:13">
      <c r="H44"/>
    </row>
    <row r="45" spans="8:13">
      <c r="H45"/>
    </row>
    <row r="46" spans="8:13">
      <c r="H46"/>
    </row>
    <row r="47" spans="8:13">
      <c r="H47"/>
    </row>
    <row r="48" spans="8:13">
      <c r="H48"/>
    </row>
    <row r="49" spans="8:8">
      <c r="H49"/>
    </row>
    <row r="50" spans="8:8">
      <c r="H50"/>
    </row>
    <row r="51" spans="8:8">
      <c r="H51"/>
    </row>
    <row r="52" spans="8:8">
      <c r="H52"/>
    </row>
    <row r="53" spans="8:8">
      <c r="H53"/>
    </row>
    <row r="54" spans="8:8">
      <c r="H54"/>
    </row>
    <row r="55" spans="8:8">
      <c r="H55"/>
    </row>
    <row r="56" spans="8:8">
      <c r="H56"/>
    </row>
    <row r="57" spans="8:8">
      <c r="H57"/>
    </row>
    <row r="58" spans="8:8">
      <c r="H58"/>
    </row>
  </sheetData>
  <phoneticPr fontId="2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>
      <selection activeCell="I37" sqref="I37"/>
    </sheetView>
  </sheetViews>
  <sheetFormatPr defaultColWidth="9" defaultRowHeight="13.8"/>
  <cols>
    <col min="1" max="1" width="25.77734375" customWidth="1"/>
    <col min="2" max="2" width="13" customWidth="1"/>
  </cols>
  <sheetData>
    <row r="1" spans="1:8">
      <c r="A1" s="1" t="s">
        <v>0</v>
      </c>
      <c r="B1" s="2" t="s">
        <v>259</v>
      </c>
      <c r="C1" s="2"/>
      <c r="D1" s="2"/>
      <c r="E1" s="2"/>
      <c r="F1" s="2"/>
      <c r="G1" s="2"/>
      <c r="H1" s="2"/>
    </row>
    <row r="2" spans="1:8">
      <c r="A2" s="1" t="s">
        <v>3</v>
      </c>
      <c r="B2" s="2" t="s">
        <v>260</v>
      </c>
      <c r="C2" s="2"/>
      <c r="D2" s="2"/>
      <c r="E2" s="2"/>
      <c r="F2" s="2"/>
      <c r="G2" s="2"/>
      <c r="H2" s="2"/>
    </row>
    <row r="3" spans="1:8">
      <c r="A3" s="1" t="s">
        <v>6</v>
      </c>
      <c r="B3" s="3" t="s">
        <v>7</v>
      </c>
      <c r="C3" s="2"/>
      <c r="D3" s="2"/>
      <c r="E3" s="2"/>
      <c r="F3" s="2"/>
      <c r="G3" s="2"/>
      <c r="H3" s="2"/>
    </row>
    <row r="4" spans="1:8">
      <c r="A4" s="1" t="s">
        <v>9</v>
      </c>
      <c r="B4" s="4" t="s">
        <v>10</v>
      </c>
      <c r="C4" s="2"/>
      <c r="D4" s="2"/>
      <c r="E4" s="2"/>
      <c r="F4" s="2"/>
      <c r="G4" s="2"/>
      <c r="H4" s="2"/>
    </row>
    <row r="5" spans="1:8">
      <c r="A5" s="1" t="s">
        <v>11</v>
      </c>
      <c r="B5" s="2"/>
      <c r="C5" s="2"/>
      <c r="D5" s="2"/>
      <c r="E5" s="2"/>
      <c r="F5" s="2"/>
      <c r="G5" s="2"/>
      <c r="H5" s="2"/>
    </row>
    <row r="6" spans="1:8">
      <c r="A6" s="1" t="s">
        <v>13</v>
      </c>
      <c r="B6" s="2">
        <v>4</v>
      </c>
      <c r="C6" s="2"/>
      <c r="D6" s="2"/>
      <c r="E6" s="2"/>
      <c r="F6" s="2"/>
      <c r="G6" s="2"/>
      <c r="H6" s="2"/>
    </row>
    <row r="7" spans="1:8">
      <c r="A7" s="1" t="s">
        <v>15</v>
      </c>
      <c r="B7" s="2"/>
      <c r="C7" s="2"/>
      <c r="D7" s="2"/>
      <c r="E7" s="2"/>
      <c r="F7" s="2"/>
      <c r="G7" s="2"/>
    </row>
    <row r="8" spans="1:8">
      <c r="A8" s="1" t="s">
        <v>16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10" t="s">
        <v>17</v>
      </c>
      <c r="B11" s="10" t="s">
        <v>261</v>
      </c>
      <c r="C11" s="12" t="s">
        <v>19</v>
      </c>
      <c r="D11" s="12" t="s">
        <v>20</v>
      </c>
    </row>
    <row r="12" spans="1:8">
      <c r="A12" s="11" t="s">
        <v>23</v>
      </c>
      <c r="B12" s="11" t="s">
        <v>262</v>
      </c>
      <c r="C12" s="11" t="s">
        <v>263</v>
      </c>
      <c r="D12" s="11" t="s">
        <v>264</v>
      </c>
    </row>
    <row r="13" spans="1:8">
      <c r="A13" s="11" t="s">
        <v>29</v>
      </c>
      <c r="B13" s="11" t="s">
        <v>29</v>
      </c>
      <c r="C13" s="11" t="s">
        <v>29</v>
      </c>
      <c r="D13" s="11" t="s">
        <v>30</v>
      </c>
    </row>
    <row r="14" spans="1:8">
      <c r="A14" s="11" t="s">
        <v>31</v>
      </c>
      <c r="B14" s="11" t="s">
        <v>32</v>
      </c>
      <c r="C14" s="11" t="s">
        <v>32</v>
      </c>
      <c r="D14" s="11" t="s">
        <v>32</v>
      </c>
    </row>
    <row r="15" spans="1:8">
      <c r="A15" s="11"/>
      <c r="B15" s="11">
        <v>1</v>
      </c>
      <c r="C15" s="11">
        <v>0</v>
      </c>
      <c r="D15" s="11">
        <v>0</v>
      </c>
    </row>
    <row r="16" spans="1:8" ht="15.6">
      <c r="A16" s="10">
        <v>1</v>
      </c>
      <c r="B16" s="12">
        <v>310006</v>
      </c>
      <c r="C16" s="12">
        <v>1</v>
      </c>
      <c r="D16" s="12" t="s">
        <v>36</v>
      </c>
      <c r="F16" s="32" t="s">
        <v>265</v>
      </c>
      <c r="G16" t="s">
        <v>266</v>
      </c>
    </row>
    <row r="17" spans="1:9" ht="15.6">
      <c r="A17" s="10">
        <v>2</v>
      </c>
      <c r="B17" s="12">
        <v>310007</v>
      </c>
      <c r="C17" s="12">
        <v>1</v>
      </c>
      <c r="D17" s="12" t="s">
        <v>36</v>
      </c>
      <c r="F17" s="32" t="s">
        <v>267</v>
      </c>
      <c r="G17" t="s">
        <v>33</v>
      </c>
    </row>
    <row r="18" spans="1:9" ht="15.6">
      <c r="A18" s="10">
        <v>3</v>
      </c>
      <c r="B18" s="12">
        <v>310008</v>
      </c>
      <c r="C18" s="12">
        <v>1</v>
      </c>
      <c r="D18" s="12" t="s">
        <v>36</v>
      </c>
      <c r="F18" s="32" t="s">
        <v>268</v>
      </c>
      <c r="G18" t="s">
        <v>266</v>
      </c>
    </row>
    <row r="19" spans="1:9" ht="15.6">
      <c r="A19" s="12">
        <v>4</v>
      </c>
      <c r="B19" s="12">
        <v>310009</v>
      </c>
      <c r="C19" s="12">
        <v>1</v>
      </c>
      <c r="D19" s="12" t="s">
        <v>36</v>
      </c>
      <c r="F19" s="32" t="s">
        <v>269</v>
      </c>
      <c r="G19" t="s">
        <v>33</v>
      </c>
    </row>
    <row r="20" spans="1:9" ht="15.6">
      <c r="A20" s="10">
        <v>5</v>
      </c>
      <c r="B20" s="12">
        <v>310010</v>
      </c>
      <c r="C20" s="12">
        <v>1</v>
      </c>
      <c r="D20" s="12" t="s">
        <v>36</v>
      </c>
      <c r="F20" s="32" t="s">
        <v>270</v>
      </c>
      <c r="G20" t="s">
        <v>33</v>
      </c>
    </row>
    <row r="21" spans="1:9" ht="15.6">
      <c r="A21" s="12">
        <v>6</v>
      </c>
      <c r="B21" s="12">
        <v>310011</v>
      </c>
      <c r="C21" s="12">
        <v>1</v>
      </c>
      <c r="D21" s="12" t="s">
        <v>36</v>
      </c>
      <c r="F21" s="117" t="s">
        <v>271</v>
      </c>
      <c r="G21" t="s">
        <v>33</v>
      </c>
      <c r="I21" s="107"/>
    </row>
    <row r="22" spans="1:9" ht="15.6">
      <c r="A22" s="10">
        <v>7</v>
      </c>
      <c r="B22" s="12">
        <v>310012</v>
      </c>
      <c r="C22" s="12">
        <v>1</v>
      </c>
      <c r="D22" s="12" t="s">
        <v>36</v>
      </c>
      <c r="F22" s="32" t="s">
        <v>272</v>
      </c>
      <c r="G22" t="s">
        <v>33</v>
      </c>
      <c r="I22" s="10"/>
    </row>
    <row r="23" spans="1:9" ht="15.6">
      <c r="A23" s="10">
        <v>8</v>
      </c>
      <c r="B23" s="12">
        <v>310013</v>
      </c>
      <c r="C23" s="12">
        <v>1</v>
      </c>
      <c r="D23" s="12" t="s">
        <v>36</v>
      </c>
      <c r="F23" s="32" t="s">
        <v>273</v>
      </c>
      <c r="G23" t="s">
        <v>33</v>
      </c>
    </row>
    <row r="24" spans="1:9" ht="15.6">
      <c r="A24" s="107">
        <v>9</v>
      </c>
      <c r="B24" s="12">
        <v>310014</v>
      </c>
      <c r="C24" s="12">
        <v>1</v>
      </c>
      <c r="D24" s="12" t="s">
        <v>36</v>
      </c>
      <c r="F24" s="32" t="s">
        <v>274</v>
      </c>
      <c r="G24" t="s">
        <v>33</v>
      </c>
    </row>
    <row r="25" spans="1:9" ht="15.6">
      <c r="A25" s="10">
        <v>10</v>
      </c>
      <c r="B25" s="12">
        <v>310015</v>
      </c>
      <c r="C25" s="12">
        <v>1</v>
      </c>
      <c r="D25" s="12" t="s">
        <v>36</v>
      </c>
      <c r="F25" s="32" t="s">
        <v>275</v>
      </c>
      <c r="G25" t="s">
        <v>33</v>
      </c>
    </row>
    <row r="26" spans="1:9" ht="15.6">
      <c r="A26" s="10">
        <v>11</v>
      </c>
      <c r="B26" s="12">
        <v>310016</v>
      </c>
      <c r="C26" s="12">
        <v>1</v>
      </c>
      <c r="D26" s="12" t="s">
        <v>36</v>
      </c>
      <c r="F26" s="32" t="s">
        <v>276</v>
      </c>
      <c r="G26" t="s">
        <v>33</v>
      </c>
    </row>
    <row r="27" spans="1:9" ht="15.6">
      <c r="A27" s="10">
        <v>12</v>
      </c>
      <c r="B27" s="12">
        <v>310017</v>
      </c>
      <c r="C27" s="12">
        <v>1</v>
      </c>
      <c r="D27" s="12" t="s">
        <v>36</v>
      </c>
      <c r="F27" s="32" t="s">
        <v>277</v>
      </c>
      <c r="G27" t="s">
        <v>33</v>
      </c>
    </row>
    <row r="28" spans="1:9" ht="15.6">
      <c r="A28" s="107">
        <v>13</v>
      </c>
      <c r="B28" s="12">
        <v>310018</v>
      </c>
      <c r="C28" s="12">
        <v>1</v>
      </c>
      <c r="D28" s="12" t="s">
        <v>36</v>
      </c>
      <c r="F28" s="32" t="s">
        <v>278</v>
      </c>
      <c r="G28" t="s">
        <v>33</v>
      </c>
    </row>
    <row r="29" spans="1:9" ht="15.6">
      <c r="A29" s="10">
        <v>14</v>
      </c>
      <c r="B29" s="12">
        <v>310019</v>
      </c>
      <c r="C29" s="12">
        <v>1</v>
      </c>
      <c r="D29" s="12" t="s">
        <v>36</v>
      </c>
      <c r="F29" s="32" t="s">
        <v>279</v>
      </c>
      <c r="G29" t="s">
        <v>33</v>
      </c>
    </row>
    <row r="35" spans="1:4">
      <c r="A35" s="23"/>
      <c r="B35" s="16"/>
      <c r="C35" s="16"/>
      <c r="D35" s="16"/>
    </row>
    <row r="36" spans="1:4">
      <c r="A36" s="23"/>
      <c r="B36" s="16"/>
      <c r="C36" s="16"/>
      <c r="D36" s="16"/>
    </row>
  </sheetData>
  <phoneticPr fontId="2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I37" sqref="I37"/>
    </sheetView>
  </sheetViews>
  <sheetFormatPr defaultColWidth="9" defaultRowHeight="13.8"/>
  <cols>
    <col min="1" max="1" width="25.77734375" customWidth="1"/>
    <col min="2" max="2" width="13" customWidth="1"/>
    <col min="3" max="3" width="10.109375" customWidth="1"/>
  </cols>
  <sheetData>
    <row r="1" spans="1:8">
      <c r="A1" s="1" t="s">
        <v>0</v>
      </c>
      <c r="B1" s="2" t="s">
        <v>280</v>
      </c>
      <c r="C1" s="2"/>
      <c r="D1" s="2"/>
      <c r="E1" s="2"/>
      <c r="F1" s="2"/>
      <c r="G1" s="2"/>
      <c r="H1" s="2"/>
    </row>
    <row r="2" spans="1:8">
      <c r="A2" s="1" t="s">
        <v>3</v>
      </c>
      <c r="B2" s="2" t="s">
        <v>281</v>
      </c>
      <c r="C2" s="2"/>
      <c r="D2" s="2"/>
      <c r="E2" s="2"/>
      <c r="F2" s="2"/>
      <c r="G2" s="2"/>
      <c r="H2" s="2"/>
    </row>
    <row r="3" spans="1:8">
      <c r="A3" s="1" t="s">
        <v>6</v>
      </c>
      <c r="B3" s="3" t="s">
        <v>7</v>
      </c>
      <c r="C3" s="2"/>
      <c r="D3" s="2"/>
      <c r="E3" s="2"/>
      <c r="F3" s="2"/>
      <c r="G3" s="2"/>
      <c r="H3" s="2"/>
    </row>
    <row r="4" spans="1:8">
      <c r="A4" s="1" t="s">
        <v>9</v>
      </c>
      <c r="B4" s="4" t="s">
        <v>10</v>
      </c>
      <c r="C4" s="2"/>
      <c r="D4" s="2"/>
      <c r="E4" s="2"/>
      <c r="F4" s="2"/>
      <c r="G4" s="2"/>
      <c r="H4" s="2"/>
    </row>
    <row r="5" spans="1:8">
      <c r="A5" s="1" t="s">
        <v>11</v>
      </c>
      <c r="B5" s="2"/>
      <c r="C5" s="2"/>
      <c r="D5" s="2"/>
      <c r="E5" s="2"/>
      <c r="F5" s="2"/>
      <c r="G5" s="2"/>
      <c r="H5" s="2"/>
    </row>
    <row r="6" spans="1:8">
      <c r="A6" s="1" t="s">
        <v>13</v>
      </c>
      <c r="B6" s="2">
        <v>4</v>
      </c>
      <c r="C6" s="2"/>
      <c r="D6" s="2"/>
      <c r="E6" s="2"/>
      <c r="F6" s="2"/>
      <c r="G6" s="2"/>
      <c r="H6" s="2"/>
    </row>
    <row r="7" spans="1:8">
      <c r="A7" s="1" t="s">
        <v>15</v>
      </c>
      <c r="B7" s="2"/>
      <c r="C7" s="2"/>
      <c r="D7" s="2"/>
      <c r="E7" s="2"/>
      <c r="F7" s="2"/>
      <c r="G7" s="2"/>
      <c r="H7" s="2"/>
    </row>
    <row r="8" spans="1:8">
      <c r="A8" s="1" t="s">
        <v>16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10" t="s">
        <v>17</v>
      </c>
      <c r="B11" s="10" t="s">
        <v>282</v>
      </c>
      <c r="C11" s="12" t="s">
        <v>283</v>
      </c>
      <c r="D11" s="12" t="s">
        <v>284</v>
      </c>
    </row>
    <row r="12" spans="1:8">
      <c r="A12" s="11" t="s">
        <v>23</v>
      </c>
      <c r="B12" s="11" t="s">
        <v>285</v>
      </c>
      <c r="C12" s="11" t="s">
        <v>286</v>
      </c>
      <c r="D12" s="11" t="s">
        <v>287</v>
      </c>
    </row>
    <row r="13" spans="1:8">
      <c r="A13" s="11" t="s">
        <v>29</v>
      </c>
      <c r="B13" s="11" t="s">
        <v>29</v>
      </c>
      <c r="C13" s="11" t="s">
        <v>29</v>
      </c>
      <c r="D13" s="11" t="s">
        <v>30</v>
      </c>
    </row>
    <row r="14" spans="1:8">
      <c r="A14" s="11" t="s">
        <v>31</v>
      </c>
      <c r="B14" s="11" t="s">
        <v>32</v>
      </c>
      <c r="C14" s="11" t="s">
        <v>32</v>
      </c>
      <c r="D14" s="11" t="s">
        <v>32</v>
      </c>
    </row>
    <row r="15" spans="1:8">
      <c r="A15" s="11"/>
      <c r="B15" s="11">
        <v>1</v>
      </c>
      <c r="C15" s="11">
        <v>0</v>
      </c>
      <c r="D15" s="11">
        <v>0</v>
      </c>
    </row>
    <row r="16" spans="1:8">
      <c r="A16" s="10">
        <v>1</v>
      </c>
      <c r="B16" s="12">
        <v>1</v>
      </c>
      <c r="C16" s="12">
        <v>0</v>
      </c>
      <c r="D16" s="12">
        <v>2</v>
      </c>
    </row>
    <row r="17" spans="1:4">
      <c r="A17" s="12">
        <v>2</v>
      </c>
      <c r="B17" s="12">
        <v>1</v>
      </c>
      <c r="C17" s="12">
        <v>1</v>
      </c>
      <c r="D17" s="12" t="s">
        <v>288</v>
      </c>
    </row>
    <row r="18" spans="1:4">
      <c r="A18" s="10">
        <v>3</v>
      </c>
      <c r="B18" s="12">
        <v>1</v>
      </c>
      <c r="C18" s="12">
        <v>1</v>
      </c>
      <c r="D18" s="12" t="s">
        <v>288</v>
      </c>
    </row>
    <row r="19" spans="1:4">
      <c r="A19" s="12">
        <v>4</v>
      </c>
      <c r="B19" s="12">
        <v>1</v>
      </c>
      <c r="C19" s="12">
        <v>1</v>
      </c>
      <c r="D19" s="12" t="s">
        <v>289</v>
      </c>
    </row>
  </sheetData>
  <phoneticPr fontId="2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4"/>
  <sheetViews>
    <sheetView topLeftCell="A43" workbookViewId="0">
      <selection activeCell="D77" sqref="D77"/>
    </sheetView>
  </sheetViews>
  <sheetFormatPr defaultColWidth="9" defaultRowHeight="13.8"/>
  <cols>
    <col min="1" max="1" width="25.77734375" customWidth="1"/>
    <col min="2" max="2" width="19.21875" customWidth="1"/>
    <col min="3" max="3" width="17.21875" customWidth="1"/>
    <col min="4" max="4" width="30.109375" customWidth="1"/>
    <col min="5" max="5" width="23.44140625" customWidth="1"/>
    <col min="6" max="6" width="17.21875" customWidth="1"/>
    <col min="7" max="7" width="10.109375" style="16" customWidth="1"/>
    <col min="8" max="9" width="10.21875" style="16" customWidth="1"/>
    <col min="10" max="10" width="25.21875" style="16" customWidth="1"/>
    <col min="11" max="11" width="43" style="16" customWidth="1"/>
    <col min="12" max="12" width="25.21875" style="16" customWidth="1"/>
  </cols>
  <sheetData>
    <row r="1" spans="1:12">
      <c r="A1" s="1" t="s">
        <v>0</v>
      </c>
      <c r="B1" s="2" t="s">
        <v>290</v>
      </c>
      <c r="C1" s="2"/>
      <c r="D1" s="2"/>
      <c r="E1" s="2"/>
      <c r="F1" s="2"/>
      <c r="G1" s="16">
        <v>1</v>
      </c>
    </row>
    <row r="2" spans="1:12">
      <c r="A2" s="1" t="s">
        <v>3</v>
      </c>
      <c r="B2" s="2" t="s">
        <v>291</v>
      </c>
      <c r="C2" s="2"/>
      <c r="D2" s="2"/>
      <c r="E2" s="2"/>
      <c r="F2" s="2"/>
      <c r="G2" s="16">
        <v>2</v>
      </c>
    </row>
    <row r="3" spans="1:12">
      <c r="A3" s="1" t="s">
        <v>6</v>
      </c>
      <c r="B3" s="3" t="s">
        <v>7</v>
      </c>
      <c r="C3" s="3"/>
      <c r="D3" s="2"/>
      <c r="E3" s="2"/>
      <c r="F3" s="2"/>
    </row>
    <row r="4" spans="1:12">
      <c r="A4" s="1" t="s">
        <v>9</v>
      </c>
      <c r="B4" s="4" t="s">
        <v>10</v>
      </c>
      <c r="C4" s="4"/>
      <c r="D4" s="2"/>
      <c r="E4" s="2"/>
      <c r="F4" s="2"/>
    </row>
    <row r="5" spans="1:12">
      <c r="A5" s="1" t="s">
        <v>11</v>
      </c>
      <c r="B5" s="2"/>
      <c r="C5" s="2"/>
      <c r="D5" s="2"/>
      <c r="E5" s="2"/>
      <c r="F5" s="2"/>
    </row>
    <row r="6" spans="1:12">
      <c r="A6" s="1" t="s">
        <v>13</v>
      </c>
      <c r="B6" s="2">
        <v>4</v>
      </c>
      <c r="C6" s="2"/>
      <c r="D6" s="2"/>
      <c r="E6" s="2"/>
      <c r="F6" s="2"/>
    </row>
    <row r="7" spans="1:12">
      <c r="A7" s="1" t="s">
        <v>15</v>
      </c>
      <c r="B7" s="2"/>
      <c r="C7" s="2"/>
      <c r="D7" s="2"/>
      <c r="E7" s="2"/>
      <c r="F7" s="2"/>
    </row>
    <row r="8" spans="1:12">
      <c r="A8" s="1" t="s">
        <v>16</v>
      </c>
      <c r="B8" s="2"/>
      <c r="C8" s="2"/>
      <c r="D8" s="2"/>
      <c r="E8" s="2"/>
      <c r="F8" s="2"/>
    </row>
    <row r="9" spans="1:12">
      <c r="A9" s="2"/>
      <c r="B9" s="2"/>
      <c r="C9" s="2"/>
      <c r="D9" s="2"/>
      <c r="E9" s="2"/>
      <c r="F9" s="2"/>
    </row>
    <row r="10" spans="1:12">
      <c r="A10" s="2"/>
      <c r="B10" s="2"/>
      <c r="C10" s="2"/>
      <c r="D10" s="2"/>
      <c r="E10" s="2"/>
      <c r="F10" s="2"/>
    </row>
    <row r="11" spans="1:12">
      <c r="A11" s="23" t="s">
        <v>17</v>
      </c>
      <c r="B11" s="107" t="s">
        <v>292</v>
      </c>
      <c r="C11" s="16" t="s">
        <v>293</v>
      </c>
      <c r="D11" s="16" t="s">
        <v>294</v>
      </c>
      <c r="E11" s="16" t="s">
        <v>295</v>
      </c>
      <c r="F11" s="16" t="s">
        <v>296</v>
      </c>
      <c r="G11" s="16" t="s">
        <v>297</v>
      </c>
      <c r="H11" s="16" t="s">
        <v>298</v>
      </c>
      <c r="I11" s="16" t="s">
        <v>299</v>
      </c>
      <c r="J11" s="16" t="s">
        <v>300</v>
      </c>
      <c r="K11" s="16" t="s">
        <v>301</v>
      </c>
      <c r="L11" s="16" t="s">
        <v>302</v>
      </c>
    </row>
    <row r="12" spans="1:12">
      <c r="A12" s="25" t="s">
        <v>23</v>
      </c>
      <c r="B12" s="107"/>
      <c r="C12" s="25" t="s">
        <v>303</v>
      </c>
      <c r="D12" s="25" t="s">
        <v>304</v>
      </c>
      <c r="E12" s="25" t="s">
        <v>305</v>
      </c>
      <c r="F12" s="25" t="s">
        <v>286</v>
      </c>
      <c r="G12" s="108" t="s">
        <v>306</v>
      </c>
      <c r="H12" s="108" t="s">
        <v>307</v>
      </c>
      <c r="I12" s="108" t="s">
        <v>308</v>
      </c>
      <c r="J12" s="108" t="s">
        <v>26</v>
      </c>
      <c r="K12" s="108" t="s">
        <v>309</v>
      </c>
      <c r="L12" s="108" t="s">
        <v>310</v>
      </c>
    </row>
    <row r="13" spans="1:12">
      <c r="A13" s="25" t="s">
        <v>29</v>
      </c>
      <c r="B13" s="107"/>
      <c r="C13" s="25" t="s">
        <v>29</v>
      </c>
      <c r="D13" s="25" t="s">
        <v>29</v>
      </c>
      <c r="E13" s="25" t="s">
        <v>29</v>
      </c>
      <c r="F13" s="25" t="s">
        <v>29</v>
      </c>
      <c r="G13" s="108" t="s">
        <v>29</v>
      </c>
      <c r="H13" s="108" t="s">
        <v>29</v>
      </c>
      <c r="I13" s="108" t="s">
        <v>29</v>
      </c>
      <c r="J13" s="108" t="s">
        <v>30</v>
      </c>
      <c r="K13" s="108" t="s">
        <v>30</v>
      </c>
      <c r="L13" s="108" t="s">
        <v>30</v>
      </c>
    </row>
    <row r="14" spans="1:12">
      <c r="A14" s="25" t="s">
        <v>31</v>
      </c>
      <c r="B14" s="107"/>
      <c r="C14" s="25" t="s">
        <v>32</v>
      </c>
      <c r="D14" s="25" t="s">
        <v>32</v>
      </c>
      <c r="E14" s="25" t="s">
        <v>32</v>
      </c>
      <c r="F14" s="25" t="s">
        <v>32</v>
      </c>
      <c r="G14" s="108" t="s">
        <v>32</v>
      </c>
      <c r="H14" s="108" t="s">
        <v>32</v>
      </c>
      <c r="I14" s="108" t="s">
        <v>32</v>
      </c>
      <c r="J14" s="108" t="s">
        <v>32</v>
      </c>
      <c r="K14" s="108" t="s">
        <v>32</v>
      </c>
      <c r="L14" s="108" t="s">
        <v>32</v>
      </c>
    </row>
    <row r="15" spans="1:12">
      <c r="A15" s="25"/>
      <c r="B15" s="107">
        <v>1</v>
      </c>
      <c r="C15" s="25">
        <v>0</v>
      </c>
      <c r="D15" s="25">
        <v>0</v>
      </c>
      <c r="E15" s="25">
        <v>0</v>
      </c>
      <c r="F15" s="25">
        <v>0</v>
      </c>
      <c r="G15" s="108">
        <v>0</v>
      </c>
      <c r="H15" s="108">
        <v>0</v>
      </c>
      <c r="I15" s="108">
        <v>0</v>
      </c>
      <c r="J15" s="108"/>
      <c r="K15" s="108"/>
      <c r="L15" s="108"/>
    </row>
    <row r="16" spans="1:12">
      <c r="A16" s="23">
        <v>1</v>
      </c>
      <c r="B16" s="109" t="s">
        <v>311</v>
      </c>
      <c r="C16" s="110">
        <v>4</v>
      </c>
      <c r="D16" s="111"/>
      <c r="E16" s="111">
        <v>1</v>
      </c>
      <c r="F16" s="16"/>
      <c r="J16" s="16" t="s">
        <v>312</v>
      </c>
      <c r="K16" s="16" t="s">
        <v>313</v>
      </c>
    </row>
    <row r="17" spans="1:14">
      <c r="A17" s="16">
        <v>2</v>
      </c>
      <c r="B17" s="107" t="s">
        <v>314</v>
      </c>
      <c r="C17" s="112"/>
      <c r="D17" s="16"/>
      <c r="E17" s="16"/>
      <c r="F17" s="16"/>
      <c r="J17" s="16" t="s">
        <v>315</v>
      </c>
      <c r="K17" s="16" t="s">
        <v>316</v>
      </c>
    </row>
    <row r="18" spans="1:14">
      <c r="A18" s="23">
        <v>3</v>
      </c>
      <c r="B18" s="107" t="s">
        <v>317</v>
      </c>
      <c r="C18" s="112"/>
      <c r="D18" s="16"/>
      <c r="E18" s="16"/>
      <c r="F18" s="16"/>
      <c r="J18" s="16" t="s">
        <v>318</v>
      </c>
      <c r="K18" s="16" t="s">
        <v>319</v>
      </c>
      <c r="L18" s="16">
        <v>208</v>
      </c>
    </row>
    <row r="19" spans="1:14">
      <c r="A19" s="16">
        <v>4</v>
      </c>
      <c r="B19" s="107" t="s">
        <v>320</v>
      </c>
      <c r="C19" s="112"/>
      <c r="D19" s="16"/>
      <c r="E19" s="16"/>
      <c r="F19" s="16"/>
      <c r="J19" s="16" t="s">
        <v>321</v>
      </c>
      <c r="K19" s="16" t="s">
        <v>319</v>
      </c>
      <c r="L19" s="16">
        <v>105</v>
      </c>
    </row>
    <row r="20" spans="1:14">
      <c r="A20" s="16">
        <v>5</v>
      </c>
      <c r="B20" s="107" t="s">
        <v>281</v>
      </c>
      <c r="C20" s="112"/>
      <c r="D20" s="16"/>
      <c r="E20" s="16"/>
      <c r="F20" s="16"/>
    </row>
    <row r="21" spans="1:14">
      <c r="A21" s="16">
        <v>6</v>
      </c>
      <c r="B21" s="107" t="s">
        <v>322</v>
      </c>
      <c r="C21" s="112"/>
      <c r="D21" s="16"/>
      <c r="E21" s="16"/>
      <c r="F21" s="16"/>
      <c r="J21" s="16" t="s">
        <v>323</v>
      </c>
      <c r="K21" s="16" t="s">
        <v>324</v>
      </c>
      <c r="L21" s="16">
        <v>6</v>
      </c>
    </row>
    <row r="22" spans="1:14">
      <c r="A22" s="16">
        <v>7</v>
      </c>
      <c r="B22" s="107" t="s">
        <v>325</v>
      </c>
      <c r="C22" s="112"/>
      <c r="D22" s="16"/>
      <c r="E22" s="16"/>
      <c r="F22" s="16"/>
      <c r="I22" s="16">
        <v>1</v>
      </c>
      <c r="J22" s="16" t="s">
        <v>326</v>
      </c>
      <c r="K22" s="16" t="s">
        <v>324</v>
      </c>
      <c r="L22" s="16">
        <v>2</v>
      </c>
      <c r="M22" t="s">
        <v>327</v>
      </c>
    </row>
    <row r="23" spans="1:14">
      <c r="A23" s="107">
        <v>8</v>
      </c>
      <c r="B23" s="113" t="s">
        <v>328</v>
      </c>
      <c r="C23" s="112"/>
      <c r="D23" s="112"/>
      <c r="E23" s="16"/>
      <c r="F23" s="16"/>
      <c r="N23" s="12">
        <v>4</v>
      </c>
    </row>
    <row r="24" spans="1:14">
      <c r="A24" s="16">
        <v>9</v>
      </c>
      <c r="B24" s="107" t="s">
        <v>329</v>
      </c>
      <c r="C24" s="112"/>
      <c r="D24" s="16"/>
      <c r="E24" s="16"/>
      <c r="F24" s="16"/>
    </row>
    <row r="25" spans="1:14">
      <c r="A25" s="107">
        <v>10</v>
      </c>
      <c r="B25" s="107" t="s">
        <v>330</v>
      </c>
      <c r="C25" s="112"/>
      <c r="D25" s="16"/>
      <c r="E25" s="16"/>
      <c r="F25" s="16"/>
      <c r="H25" s="16">
        <v>3</v>
      </c>
      <c r="J25" s="16" t="s">
        <v>331</v>
      </c>
      <c r="K25" s="16" t="s">
        <v>332</v>
      </c>
      <c r="L25" s="16">
        <v>1</v>
      </c>
      <c r="N25" s="12">
        <v>7</v>
      </c>
    </row>
    <row r="26" spans="1:14">
      <c r="A26" s="16">
        <v>11</v>
      </c>
      <c r="B26" s="107" t="s">
        <v>333</v>
      </c>
      <c r="C26" s="112"/>
      <c r="D26" s="16"/>
      <c r="E26" s="16"/>
      <c r="F26" s="16"/>
      <c r="J26" s="16" t="s">
        <v>334</v>
      </c>
      <c r="K26" s="16" t="s">
        <v>335</v>
      </c>
    </row>
    <row r="27" spans="1:14">
      <c r="A27" s="16">
        <v>12</v>
      </c>
      <c r="B27" s="107" t="s">
        <v>336</v>
      </c>
      <c r="C27" s="112"/>
      <c r="D27" s="16"/>
      <c r="E27" s="16"/>
      <c r="F27" s="16"/>
      <c r="J27" s="16" t="s">
        <v>337</v>
      </c>
      <c r="K27" s="16" t="s">
        <v>338</v>
      </c>
    </row>
    <row r="28" spans="1:14">
      <c r="A28" s="107">
        <v>13</v>
      </c>
      <c r="B28" s="107" t="s">
        <v>339</v>
      </c>
      <c r="C28" s="112"/>
      <c r="D28" s="16"/>
      <c r="E28" s="16"/>
      <c r="F28" s="16"/>
      <c r="J28" s="16" t="s">
        <v>340</v>
      </c>
      <c r="K28" s="16" t="s">
        <v>341</v>
      </c>
    </row>
    <row r="29" spans="1:14">
      <c r="A29" s="16">
        <v>14</v>
      </c>
      <c r="B29" s="107" t="s">
        <v>342</v>
      </c>
      <c r="C29" s="112"/>
      <c r="D29" s="16"/>
      <c r="E29" s="16"/>
      <c r="F29" s="16"/>
      <c r="I29" s="16">
        <v>1</v>
      </c>
      <c r="J29" s="16" t="s">
        <v>343</v>
      </c>
      <c r="K29" s="16" t="s">
        <v>319</v>
      </c>
      <c r="L29" s="16">
        <v>115</v>
      </c>
    </row>
    <row r="30" spans="1:14">
      <c r="A30" s="107">
        <v>15</v>
      </c>
      <c r="B30" s="107" t="s">
        <v>344</v>
      </c>
      <c r="C30" s="112"/>
      <c r="D30" s="16"/>
      <c r="E30" s="16"/>
      <c r="F30" s="16"/>
      <c r="J30" s="16" t="s">
        <v>345</v>
      </c>
      <c r="K30" s="16" t="s">
        <v>346</v>
      </c>
    </row>
    <row r="31" spans="1:14">
      <c r="A31" s="16">
        <v>16</v>
      </c>
      <c r="B31" s="109" t="s">
        <v>347</v>
      </c>
      <c r="C31" s="110">
        <v>3</v>
      </c>
      <c r="D31" s="111"/>
      <c r="E31" s="111">
        <v>1</v>
      </c>
      <c r="F31" s="16"/>
      <c r="J31" s="16" t="s">
        <v>348</v>
      </c>
      <c r="K31" s="16" t="s">
        <v>349</v>
      </c>
    </row>
    <row r="32" spans="1:14">
      <c r="A32" s="107">
        <v>17</v>
      </c>
      <c r="B32" s="107" t="s">
        <v>350</v>
      </c>
      <c r="C32" s="112"/>
      <c r="D32" s="16"/>
      <c r="E32" s="16"/>
      <c r="F32" s="16"/>
      <c r="N32" s="12"/>
    </row>
    <row r="33" spans="1:14">
      <c r="A33" s="23">
        <v>18</v>
      </c>
      <c r="B33" s="109" t="s">
        <v>351</v>
      </c>
      <c r="C33" s="110">
        <v>27</v>
      </c>
      <c r="D33" s="111">
        <v>8</v>
      </c>
      <c r="E33" s="111">
        <v>0</v>
      </c>
      <c r="F33" s="16"/>
      <c r="H33" s="16">
        <v>18</v>
      </c>
      <c r="J33" s="16" t="s">
        <v>352</v>
      </c>
      <c r="K33" s="16" t="s">
        <v>353</v>
      </c>
    </row>
    <row r="34" spans="1:14">
      <c r="A34" s="107">
        <v>19</v>
      </c>
      <c r="B34" s="107" t="s">
        <v>354</v>
      </c>
      <c r="C34" s="112"/>
      <c r="D34" s="16"/>
      <c r="E34" s="16"/>
      <c r="F34" s="16"/>
    </row>
    <row r="35" spans="1:14">
      <c r="A35" s="16">
        <v>20</v>
      </c>
      <c r="B35" s="109" t="s">
        <v>355</v>
      </c>
      <c r="C35" s="110"/>
      <c r="D35" s="111">
        <v>1</v>
      </c>
      <c r="E35" s="111">
        <v>1</v>
      </c>
      <c r="F35" s="16">
        <v>1</v>
      </c>
      <c r="I35" s="16">
        <v>1</v>
      </c>
      <c r="J35" s="16" t="s">
        <v>356</v>
      </c>
      <c r="K35" s="16" t="s">
        <v>357</v>
      </c>
      <c r="N35">
        <v>2</v>
      </c>
    </row>
    <row r="36" spans="1:14">
      <c r="A36" s="107">
        <v>21</v>
      </c>
      <c r="B36" s="107" t="s">
        <v>358</v>
      </c>
      <c r="C36" s="112"/>
      <c r="D36" s="16"/>
      <c r="E36" s="16"/>
      <c r="F36" s="16"/>
      <c r="I36" s="16">
        <v>1</v>
      </c>
      <c r="J36" s="16" t="s">
        <v>359</v>
      </c>
      <c r="K36" s="16" t="s">
        <v>360</v>
      </c>
      <c r="N36">
        <v>3</v>
      </c>
    </row>
    <row r="37" spans="1:14">
      <c r="A37" s="16">
        <v>22</v>
      </c>
      <c r="B37" s="109" t="s">
        <v>361</v>
      </c>
      <c r="C37" s="110"/>
      <c r="D37" s="111"/>
      <c r="E37" s="111">
        <v>1</v>
      </c>
      <c r="F37" s="16"/>
      <c r="J37" s="16" t="s">
        <v>318</v>
      </c>
      <c r="K37" s="16" t="s">
        <v>319</v>
      </c>
      <c r="L37" s="16">
        <v>208</v>
      </c>
      <c r="N37">
        <v>5</v>
      </c>
    </row>
    <row r="38" spans="1:14">
      <c r="A38" s="16">
        <v>23</v>
      </c>
      <c r="B38" s="109" t="s">
        <v>362</v>
      </c>
      <c r="C38" s="110"/>
      <c r="D38" s="111">
        <v>7</v>
      </c>
      <c r="E38" s="111">
        <v>1</v>
      </c>
      <c r="F38" s="16"/>
      <c r="J38" s="16" t="s">
        <v>323</v>
      </c>
      <c r="K38" s="16" t="s">
        <v>324</v>
      </c>
      <c r="L38" s="16">
        <v>6</v>
      </c>
      <c r="N38">
        <v>6</v>
      </c>
    </row>
    <row r="39" spans="1:14">
      <c r="A39" s="16">
        <v>24</v>
      </c>
      <c r="B39" s="107" t="s">
        <v>363</v>
      </c>
      <c r="C39" s="112"/>
      <c r="D39" s="16"/>
      <c r="E39" s="16"/>
      <c r="F39" s="16"/>
      <c r="J39" s="16" t="s">
        <v>364</v>
      </c>
      <c r="N39">
        <v>1</v>
      </c>
    </row>
    <row r="40" spans="1:14">
      <c r="A40" s="107">
        <v>25</v>
      </c>
      <c r="B40" s="107" t="s">
        <v>365</v>
      </c>
      <c r="C40" s="112"/>
      <c r="D40" s="16"/>
      <c r="E40" s="16">
        <v>1</v>
      </c>
    </row>
    <row r="41" spans="1:14">
      <c r="A41" s="16">
        <v>26</v>
      </c>
      <c r="B41" s="109" t="s">
        <v>366</v>
      </c>
      <c r="C41" s="110"/>
      <c r="D41" s="111">
        <v>2</v>
      </c>
      <c r="E41" s="111">
        <v>1</v>
      </c>
      <c r="H41" s="16">
        <v>19</v>
      </c>
      <c r="J41" s="16" t="s">
        <v>367</v>
      </c>
      <c r="K41" s="16" t="s">
        <v>368</v>
      </c>
    </row>
    <row r="42" spans="1:14">
      <c r="A42" s="16">
        <v>27</v>
      </c>
      <c r="B42" s="107" t="s">
        <v>369</v>
      </c>
      <c r="C42" s="112"/>
      <c r="D42" s="112"/>
      <c r="E42" s="16"/>
      <c r="H42" s="16">
        <v>15</v>
      </c>
      <c r="J42" s="16" t="s">
        <v>370</v>
      </c>
      <c r="K42" s="16" t="s">
        <v>371</v>
      </c>
    </row>
    <row r="43" spans="1:14">
      <c r="A43" s="16">
        <v>28</v>
      </c>
      <c r="B43" s="109" t="s">
        <v>372</v>
      </c>
      <c r="C43" s="110"/>
      <c r="D43" s="111"/>
      <c r="E43" s="111"/>
      <c r="H43" s="16">
        <v>17</v>
      </c>
      <c r="J43" s="16" t="s">
        <v>373</v>
      </c>
      <c r="K43" s="16" t="s">
        <v>374</v>
      </c>
      <c r="L43" s="16">
        <v>4</v>
      </c>
    </row>
    <row r="44" spans="1:14">
      <c r="A44" s="16">
        <v>29</v>
      </c>
      <c r="B44" s="107" t="s">
        <v>375</v>
      </c>
      <c r="C44" s="112"/>
      <c r="D44" s="16"/>
      <c r="E44" s="16">
        <v>1</v>
      </c>
      <c r="H44" s="16">
        <v>20</v>
      </c>
      <c r="J44" s="16" t="s">
        <v>376</v>
      </c>
      <c r="K44" s="16" t="s">
        <v>377</v>
      </c>
    </row>
    <row r="45" spans="1:14">
      <c r="A45" s="107">
        <v>30</v>
      </c>
      <c r="B45" s="107" t="s">
        <v>378</v>
      </c>
      <c r="C45" s="110">
        <v>22</v>
      </c>
      <c r="D45" s="111">
        <v>3</v>
      </c>
      <c r="E45" s="111">
        <v>1</v>
      </c>
      <c r="H45" s="16">
        <v>21</v>
      </c>
      <c r="J45" s="16" t="s">
        <v>379</v>
      </c>
      <c r="K45" s="16" t="s">
        <v>324</v>
      </c>
      <c r="L45" s="16">
        <v>10</v>
      </c>
    </row>
    <row r="46" spans="1:14">
      <c r="A46" s="16">
        <v>31</v>
      </c>
      <c r="B46" s="107" t="s">
        <v>380</v>
      </c>
      <c r="C46" s="112"/>
      <c r="D46" s="16"/>
      <c r="E46" s="16">
        <v>1</v>
      </c>
      <c r="H46" s="16">
        <v>22</v>
      </c>
      <c r="I46" s="16">
        <v>1</v>
      </c>
      <c r="J46" s="16" t="s">
        <v>381</v>
      </c>
      <c r="K46" s="16" t="s">
        <v>382</v>
      </c>
    </row>
    <row r="47" spans="1:14">
      <c r="A47" s="16">
        <v>32</v>
      </c>
      <c r="B47" s="107" t="s">
        <v>383</v>
      </c>
      <c r="C47" s="112"/>
      <c r="D47" s="16"/>
      <c r="E47" s="16"/>
    </row>
    <row r="48" spans="1:14">
      <c r="A48" s="16">
        <v>33</v>
      </c>
      <c r="B48" s="107" t="s">
        <v>384</v>
      </c>
      <c r="C48" s="112"/>
      <c r="D48" s="16"/>
      <c r="E48" s="16">
        <v>1</v>
      </c>
      <c r="J48" s="16" t="s">
        <v>385</v>
      </c>
      <c r="K48" s="16" t="s">
        <v>386</v>
      </c>
    </row>
    <row r="49" spans="1:12">
      <c r="A49" s="16">
        <v>34</v>
      </c>
      <c r="B49" s="109" t="s">
        <v>387</v>
      </c>
      <c r="C49" s="110">
        <v>2</v>
      </c>
      <c r="D49" s="111"/>
      <c r="E49" s="111">
        <v>1</v>
      </c>
    </row>
    <row r="50" spans="1:12">
      <c r="A50" s="16">
        <v>35</v>
      </c>
      <c r="B50" s="107" t="s">
        <v>388</v>
      </c>
      <c r="C50" s="112"/>
      <c r="D50" s="16"/>
      <c r="E50" s="16">
        <v>0</v>
      </c>
      <c r="J50" s="16" t="s">
        <v>389</v>
      </c>
      <c r="K50" s="16" t="s">
        <v>390</v>
      </c>
    </row>
    <row r="51" spans="1:12">
      <c r="A51" s="112">
        <v>36</v>
      </c>
      <c r="B51" s="114" t="s">
        <v>391</v>
      </c>
      <c r="C51" s="110">
        <v>26</v>
      </c>
      <c r="D51" s="110">
        <v>5</v>
      </c>
      <c r="E51" s="111">
        <v>1</v>
      </c>
      <c r="F51" s="5"/>
      <c r="J51" s="16" t="s">
        <v>392</v>
      </c>
      <c r="K51" s="16" t="s">
        <v>393</v>
      </c>
    </row>
    <row r="52" spans="1:12">
      <c r="A52" s="112">
        <v>37</v>
      </c>
      <c r="B52" s="114" t="s">
        <v>394</v>
      </c>
      <c r="C52" s="110">
        <v>1</v>
      </c>
      <c r="D52" s="110"/>
      <c r="E52" s="111">
        <v>0</v>
      </c>
      <c r="F52" s="5"/>
      <c r="J52" s="16" t="s">
        <v>395</v>
      </c>
      <c r="K52" s="16" t="s">
        <v>396</v>
      </c>
      <c r="L52" s="16">
        <v>1</v>
      </c>
    </row>
    <row r="53" spans="1:12">
      <c r="A53" s="112">
        <v>38</v>
      </c>
      <c r="B53" s="114" t="s">
        <v>397</v>
      </c>
      <c r="C53" s="110">
        <v>25</v>
      </c>
      <c r="D53" s="110">
        <v>9</v>
      </c>
      <c r="E53" s="111">
        <v>0</v>
      </c>
      <c r="F53" s="5"/>
      <c r="J53" s="16" t="s">
        <v>398</v>
      </c>
      <c r="K53" s="16" t="s">
        <v>399</v>
      </c>
    </row>
    <row r="54" spans="1:12">
      <c r="A54" s="112">
        <v>39</v>
      </c>
      <c r="B54" s="113" t="s">
        <v>400</v>
      </c>
      <c r="C54" s="112"/>
      <c r="D54" s="112"/>
      <c r="E54" s="16">
        <v>1</v>
      </c>
      <c r="F54" s="5"/>
      <c r="J54" s="16" t="s">
        <v>401</v>
      </c>
      <c r="K54" s="16" t="s">
        <v>374</v>
      </c>
      <c r="L54" s="16">
        <v>2</v>
      </c>
    </row>
    <row r="55" spans="1:12">
      <c r="A55" s="107">
        <v>40</v>
      </c>
      <c r="B55" s="115" t="s">
        <v>402</v>
      </c>
      <c r="C55" s="112">
        <v>21</v>
      </c>
      <c r="D55" s="112"/>
      <c r="E55" s="16">
        <v>1</v>
      </c>
      <c r="F55" s="5"/>
    </row>
    <row r="56" spans="1:12">
      <c r="A56" s="112">
        <v>41</v>
      </c>
      <c r="B56" s="113" t="s">
        <v>403</v>
      </c>
      <c r="C56" s="112"/>
      <c r="D56" s="112"/>
      <c r="E56" s="112">
        <v>0</v>
      </c>
      <c r="F56" s="5"/>
      <c r="J56" s="16" t="s">
        <v>404</v>
      </c>
      <c r="K56" s="16" t="s">
        <v>405</v>
      </c>
      <c r="L56" s="16">
        <v>601</v>
      </c>
    </row>
    <row r="57" spans="1:12">
      <c r="A57" s="112">
        <v>42</v>
      </c>
      <c r="B57" s="114" t="s">
        <v>406</v>
      </c>
      <c r="C57" s="110">
        <v>19</v>
      </c>
      <c r="D57" s="110"/>
      <c r="E57" s="111">
        <v>1</v>
      </c>
      <c r="F57" s="5"/>
      <c r="J57" s="16" t="s">
        <v>407</v>
      </c>
      <c r="K57" s="16" t="s">
        <v>408</v>
      </c>
    </row>
    <row r="58" spans="1:12">
      <c r="A58" s="112">
        <v>43</v>
      </c>
      <c r="B58" s="114" t="s">
        <v>409</v>
      </c>
      <c r="C58" s="110">
        <v>10</v>
      </c>
      <c r="D58" s="110"/>
      <c r="E58" s="111">
        <v>1</v>
      </c>
      <c r="F58" s="5"/>
      <c r="G58" s="112">
        <v>1</v>
      </c>
      <c r="I58" s="16">
        <v>1</v>
      </c>
    </row>
    <row r="59" spans="1:12">
      <c r="A59" s="112">
        <v>44</v>
      </c>
      <c r="B59" s="114" t="s">
        <v>410</v>
      </c>
      <c r="C59" s="110">
        <v>11</v>
      </c>
      <c r="D59" s="110"/>
      <c r="E59" s="111">
        <v>1</v>
      </c>
      <c r="F59" s="5"/>
      <c r="G59" s="112">
        <v>2</v>
      </c>
      <c r="I59" s="16">
        <v>1</v>
      </c>
    </row>
    <row r="60" spans="1:12">
      <c r="A60" s="112">
        <v>45</v>
      </c>
      <c r="B60" s="114" t="s">
        <v>411</v>
      </c>
      <c r="C60" s="110">
        <v>12</v>
      </c>
      <c r="D60" s="110"/>
      <c r="E60" s="111">
        <v>1</v>
      </c>
      <c r="F60" s="5"/>
      <c r="G60" s="112">
        <v>3</v>
      </c>
      <c r="I60" s="16">
        <v>1</v>
      </c>
    </row>
    <row r="61" spans="1:12">
      <c r="A61" s="112">
        <v>46</v>
      </c>
      <c r="B61" s="114" t="s">
        <v>412</v>
      </c>
      <c r="C61" s="110">
        <v>13</v>
      </c>
      <c r="D61" s="116"/>
      <c r="E61" s="111">
        <v>1</v>
      </c>
      <c r="G61" s="112">
        <v>4</v>
      </c>
      <c r="I61" s="16">
        <v>1</v>
      </c>
    </row>
    <row r="62" spans="1:12">
      <c r="A62" s="112">
        <v>47</v>
      </c>
      <c r="B62" s="113" t="s">
        <v>413</v>
      </c>
      <c r="C62" s="112"/>
      <c r="D62" s="5"/>
      <c r="E62" s="16">
        <v>1</v>
      </c>
      <c r="F62" s="5"/>
      <c r="G62" s="112">
        <v>1</v>
      </c>
      <c r="I62" s="16">
        <v>1</v>
      </c>
    </row>
    <row r="63" spans="1:12">
      <c r="A63" s="112">
        <v>48</v>
      </c>
      <c r="B63" s="113" t="s">
        <v>414</v>
      </c>
      <c r="C63" s="112"/>
      <c r="D63" s="112"/>
      <c r="E63" s="16">
        <v>1</v>
      </c>
      <c r="F63" s="5"/>
      <c r="G63" s="112">
        <v>2</v>
      </c>
      <c r="I63" s="16">
        <v>1</v>
      </c>
    </row>
    <row r="64" spans="1:12">
      <c r="A64" s="112">
        <v>49</v>
      </c>
      <c r="B64" s="113" t="s">
        <v>415</v>
      </c>
      <c r="C64" s="112"/>
      <c r="D64" s="112"/>
      <c r="E64" s="16">
        <v>1</v>
      </c>
      <c r="F64" s="5"/>
      <c r="G64" s="112">
        <v>3</v>
      </c>
      <c r="I64" s="16">
        <v>1</v>
      </c>
    </row>
    <row r="65" spans="1:12">
      <c r="A65" s="112">
        <v>50</v>
      </c>
      <c r="B65" s="113" t="s">
        <v>416</v>
      </c>
      <c r="C65" s="112"/>
      <c r="D65" s="112"/>
      <c r="E65" s="16">
        <v>1</v>
      </c>
      <c r="F65" s="5"/>
      <c r="G65" s="112">
        <v>4</v>
      </c>
      <c r="I65" s="16">
        <v>1</v>
      </c>
    </row>
    <row r="66" spans="1:12">
      <c r="A66" s="112">
        <v>51</v>
      </c>
      <c r="B66" s="114" t="s">
        <v>417</v>
      </c>
      <c r="C66" s="110">
        <v>14</v>
      </c>
      <c r="D66" s="116"/>
      <c r="E66" s="111">
        <v>1</v>
      </c>
      <c r="G66" s="112">
        <v>5</v>
      </c>
      <c r="I66" s="16">
        <v>1</v>
      </c>
    </row>
    <row r="67" spans="1:12">
      <c r="A67" s="112">
        <v>52</v>
      </c>
      <c r="B67" s="113" t="s">
        <v>418</v>
      </c>
      <c r="C67" s="112"/>
      <c r="E67" s="16"/>
      <c r="G67" s="112">
        <v>5</v>
      </c>
      <c r="I67" s="16">
        <v>1</v>
      </c>
    </row>
    <row r="68" spans="1:12">
      <c r="A68" s="112">
        <v>53</v>
      </c>
      <c r="B68" s="114" t="s">
        <v>419</v>
      </c>
      <c r="C68" s="110">
        <v>15</v>
      </c>
      <c r="D68" s="116"/>
      <c r="E68" s="111">
        <v>1</v>
      </c>
      <c r="G68" s="112">
        <v>6</v>
      </c>
      <c r="I68" s="16">
        <v>1</v>
      </c>
    </row>
    <row r="69" spans="1:12">
      <c r="A69" s="112">
        <v>54</v>
      </c>
      <c r="B69" s="113" t="s">
        <v>420</v>
      </c>
      <c r="C69" s="112"/>
      <c r="G69" s="112">
        <v>6</v>
      </c>
      <c r="I69" s="16">
        <v>1</v>
      </c>
    </row>
    <row r="70" spans="1:12">
      <c r="A70" s="112">
        <v>55</v>
      </c>
      <c r="B70" s="113" t="s">
        <v>421</v>
      </c>
      <c r="C70" s="16"/>
      <c r="D70" s="16"/>
      <c r="J70" s="16" t="s">
        <v>422</v>
      </c>
      <c r="K70" s="16" t="s">
        <v>423</v>
      </c>
    </row>
    <row r="71" spans="1:12">
      <c r="A71" s="112">
        <v>56</v>
      </c>
      <c r="B71" s="113" t="s">
        <v>424</v>
      </c>
      <c r="D71" s="16"/>
      <c r="J71" s="16" t="s">
        <v>425</v>
      </c>
      <c r="K71" s="16" t="s">
        <v>423</v>
      </c>
    </row>
    <row r="72" spans="1:12">
      <c r="A72" s="112">
        <v>57</v>
      </c>
      <c r="B72" s="114" t="s">
        <v>426</v>
      </c>
      <c r="C72" s="110">
        <v>23</v>
      </c>
      <c r="D72" s="110"/>
      <c r="E72" s="111">
        <v>0</v>
      </c>
      <c r="I72" s="16">
        <v>1</v>
      </c>
      <c r="J72" s="16" t="s">
        <v>427</v>
      </c>
      <c r="K72" s="16" t="s">
        <v>428</v>
      </c>
    </row>
    <row r="73" spans="1:12">
      <c r="A73" s="112">
        <v>58</v>
      </c>
      <c r="B73" s="114" t="s">
        <v>429</v>
      </c>
      <c r="C73" s="111">
        <v>24</v>
      </c>
      <c r="D73" s="116"/>
      <c r="E73" s="111">
        <v>0</v>
      </c>
      <c r="I73" s="16">
        <v>1</v>
      </c>
      <c r="J73" s="16" t="s">
        <v>430</v>
      </c>
      <c r="K73" s="16" t="s">
        <v>431</v>
      </c>
    </row>
    <row r="74" spans="1:12">
      <c r="A74" s="16">
        <v>59</v>
      </c>
      <c r="B74" s="133" t="s">
        <v>1629</v>
      </c>
      <c r="C74" s="110">
        <v>5</v>
      </c>
      <c r="D74" s="111">
        <v>3</v>
      </c>
      <c r="E74" s="111">
        <v>1</v>
      </c>
      <c r="H74" s="16">
        <v>1</v>
      </c>
      <c r="J74" s="134" t="s">
        <v>1630</v>
      </c>
      <c r="K74" s="16" t="s">
        <v>324</v>
      </c>
      <c r="L74" s="16">
        <v>13</v>
      </c>
    </row>
  </sheetData>
  <phoneticPr fontId="23" type="noConversion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topLeftCell="A10" workbookViewId="0">
      <selection activeCell="E28" sqref="E28"/>
    </sheetView>
  </sheetViews>
  <sheetFormatPr defaultColWidth="11" defaultRowHeight="15.6"/>
  <cols>
    <col min="1" max="1" width="34.6640625" style="101" customWidth="1"/>
    <col min="2" max="2" width="19.44140625" style="101" customWidth="1"/>
    <col min="3" max="3" width="10.21875" style="101" customWidth="1"/>
    <col min="4" max="4" width="15.44140625" style="101" customWidth="1"/>
    <col min="5" max="5" width="16.6640625" style="101" customWidth="1"/>
    <col min="6" max="16384" width="11" style="101"/>
  </cols>
  <sheetData>
    <row r="1" spans="1:7">
      <c r="A1" s="102" t="s">
        <v>0</v>
      </c>
      <c r="B1" s="101" t="s">
        <v>406</v>
      </c>
      <c r="C1" s="101" t="s">
        <v>2</v>
      </c>
    </row>
    <row r="2" spans="1:7">
      <c r="A2" s="102" t="s">
        <v>3</v>
      </c>
      <c r="B2" s="101" t="s">
        <v>432</v>
      </c>
      <c r="C2" s="101" t="s">
        <v>5</v>
      </c>
    </row>
    <row r="3" spans="1:7">
      <c r="A3" s="102" t="s">
        <v>6</v>
      </c>
      <c r="B3" s="103" t="s">
        <v>7</v>
      </c>
      <c r="C3" s="101" t="s">
        <v>8</v>
      </c>
    </row>
    <row r="4" spans="1:7">
      <c r="A4" s="102" t="s">
        <v>9</v>
      </c>
      <c r="B4" s="104" t="s">
        <v>10</v>
      </c>
    </row>
    <row r="5" spans="1:7">
      <c r="A5" s="102" t="s">
        <v>11</v>
      </c>
      <c r="C5" s="101" t="s">
        <v>12</v>
      </c>
    </row>
    <row r="6" spans="1:7">
      <c r="A6" s="102" t="s">
        <v>13</v>
      </c>
      <c r="B6" s="101">
        <v>4</v>
      </c>
      <c r="C6" s="101" t="s">
        <v>14</v>
      </c>
    </row>
    <row r="7" spans="1:7">
      <c r="A7" s="102" t="s">
        <v>15</v>
      </c>
    </row>
    <row r="8" spans="1:7">
      <c r="A8" s="102" t="s">
        <v>16</v>
      </c>
    </row>
    <row r="11" spans="1:7">
      <c r="A11" s="101" t="s">
        <v>433</v>
      </c>
      <c r="B11" s="101" t="s">
        <v>434</v>
      </c>
      <c r="C11" s="101" t="s">
        <v>435</v>
      </c>
      <c r="D11" s="105" t="s">
        <v>436</v>
      </c>
      <c r="E11" s="105" t="s">
        <v>437</v>
      </c>
      <c r="F11" s="101" t="s">
        <v>438</v>
      </c>
      <c r="G11" s="101" t="s">
        <v>439</v>
      </c>
    </row>
    <row r="12" spans="1:7">
      <c r="A12" s="104" t="s">
        <v>23</v>
      </c>
      <c r="B12" s="104" t="s">
        <v>253</v>
      </c>
      <c r="C12" s="104" t="s">
        <v>305</v>
      </c>
      <c r="D12" s="106" t="s">
        <v>440</v>
      </c>
      <c r="E12" s="106" t="s">
        <v>441</v>
      </c>
      <c r="F12" s="104" t="s">
        <v>309</v>
      </c>
      <c r="G12" s="104" t="s">
        <v>286</v>
      </c>
    </row>
    <row r="13" spans="1:7">
      <c r="A13" s="104" t="s">
        <v>29</v>
      </c>
      <c r="B13" s="104" t="s">
        <v>30</v>
      </c>
      <c r="C13" s="104" t="s">
        <v>29</v>
      </c>
      <c r="D13" s="106" t="s">
        <v>30</v>
      </c>
      <c r="E13" s="106" t="s">
        <v>30</v>
      </c>
      <c r="F13" s="104" t="s">
        <v>29</v>
      </c>
      <c r="G13" s="104" t="s">
        <v>29</v>
      </c>
    </row>
    <row r="14" spans="1:7">
      <c r="A14" s="104" t="s">
        <v>31</v>
      </c>
      <c r="B14" s="104" t="s">
        <v>442</v>
      </c>
      <c r="C14" s="104" t="s">
        <v>442</v>
      </c>
      <c r="D14" s="106" t="s">
        <v>32</v>
      </c>
      <c r="E14" s="106" t="s">
        <v>32</v>
      </c>
      <c r="F14" s="104" t="s">
        <v>442</v>
      </c>
      <c r="G14" s="104" t="s">
        <v>442</v>
      </c>
    </row>
    <row r="15" spans="1:7">
      <c r="A15" s="104"/>
      <c r="B15" s="104">
        <v>0</v>
      </c>
      <c r="C15" s="104">
        <v>0</v>
      </c>
      <c r="D15" s="106">
        <v>36526</v>
      </c>
      <c r="E15" s="106">
        <v>72686</v>
      </c>
      <c r="F15" s="104">
        <v>0</v>
      </c>
      <c r="G15" s="104">
        <v>0</v>
      </c>
    </row>
    <row r="16" spans="1:7">
      <c r="A16" s="103">
        <v>1</v>
      </c>
      <c r="B16" s="101" t="s">
        <v>443</v>
      </c>
      <c r="C16" s="101">
        <v>0</v>
      </c>
      <c r="D16" s="105">
        <v>36526</v>
      </c>
      <c r="E16" s="105">
        <v>72686</v>
      </c>
      <c r="F16" s="101">
        <v>55</v>
      </c>
      <c r="G16" s="101">
        <v>1</v>
      </c>
    </row>
    <row r="17" spans="1:8">
      <c r="A17" s="103">
        <v>2</v>
      </c>
      <c r="B17" s="101" t="s">
        <v>444</v>
      </c>
      <c r="C17" s="101">
        <v>1</v>
      </c>
      <c r="D17" s="105">
        <v>44947</v>
      </c>
      <c r="E17" s="105">
        <v>44976</v>
      </c>
      <c r="F17" s="101">
        <v>75</v>
      </c>
      <c r="G17" s="101">
        <v>1</v>
      </c>
      <c r="H17" s="101" t="s">
        <v>445</v>
      </c>
    </row>
    <row r="18" spans="1:8">
      <c r="A18" s="103">
        <v>3</v>
      </c>
      <c r="B18" s="101" t="s">
        <v>446</v>
      </c>
      <c r="C18" s="101">
        <v>1</v>
      </c>
      <c r="D18" s="105">
        <v>45017</v>
      </c>
      <c r="E18" s="105">
        <v>45046</v>
      </c>
      <c r="F18" s="101">
        <v>75</v>
      </c>
      <c r="G18" s="101">
        <v>1</v>
      </c>
    </row>
    <row r="19" spans="1:8">
      <c r="A19" s="103">
        <v>4</v>
      </c>
      <c r="B19" s="101" t="s">
        <v>447</v>
      </c>
      <c r="C19" s="101">
        <v>1</v>
      </c>
      <c r="D19" s="105">
        <v>45047</v>
      </c>
      <c r="E19" s="105">
        <v>45077</v>
      </c>
      <c r="F19" s="101">
        <v>75</v>
      </c>
      <c r="G19" s="101">
        <v>1</v>
      </c>
    </row>
    <row r="20" spans="1:8">
      <c r="A20" s="103">
        <v>5</v>
      </c>
      <c r="B20" t="s">
        <v>448</v>
      </c>
      <c r="C20" s="101">
        <v>1</v>
      </c>
      <c r="D20" s="105">
        <v>45052</v>
      </c>
      <c r="E20" s="105">
        <v>45075.999988425901</v>
      </c>
      <c r="F20" s="101">
        <v>0</v>
      </c>
      <c r="G20" s="101">
        <v>0</v>
      </c>
    </row>
    <row r="21" spans="1:8">
      <c r="A21" s="103">
        <v>6</v>
      </c>
      <c r="B21" s="101" t="s">
        <v>449</v>
      </c>
      <c r="C21" s="101">
        <v>1</v>
      </c>
      <c r="D21" s="105">
        <v>45078</v>
      </c>
      <c r="E21" s="105">
        <v>45107</v>
      </c>
      <c r="F21" s="101">
        <v>75</v>
      </c>
      <c r="G21" s="101">
        <v>1</v>
      </c>
    </row>
    <row r="22" spans="1:8">
      <c r="A22" s="103">
        <v>7</v>
      </c>
      <c r="B22" s="101" t="s">
        <v>450</v>
      </c>
      <c r="C22" s="101">
        <v>0</v>
      </c>
      <c r="D22" s="105">
        <v>45108</v>
      </c>
      <c r="E22" s="105">
        <v>45138</v>
      </c>
      <c r="F22" s="101">
        <v>75</v>
      </c>
      <c r="G22" s="101">
        <v>1</v>
      </c>
    </row>
    <row r="23" spans="1:8">
      <c r="A23" s="103">
        <v>1</v>
      </c>
      <c r="B23" s="101" t="s">
        <v>451</v>
      </c>
      <c r="C23" s="101">
        <v>0</v>
      </c>
      <c r="D23" s="105">
        <v>45139</v>
      </c>
      <c r="E23" s="105">
        <v>45199</v>
      </c>
      <c r="F23" s="101">
        <v>101</v>
      </c>
      <c r="G23" s="101">
        <v>0</v>
      </c>
    </row>
    <row r="24" spans="1:8">
      <c r="A24" s="103">
        <v>2</v>
      </c>
      <c r="B24" s="101" t="s">
        <v>452</v>
      </c>
      <c r="C24" s="101">
        <v>0</v>
      </c>
      <c r="D24" s="105">
        <v>45139</v>
      </c>
      <c r="E24" s="105">
        <v>45199</v>
      </c>
      <c r="F24" s="101">
        <v>106</v>
      </c>
      <c r="G24" s="101">
        <v>0</v>
      </c>
    </row>
    <row r="25" spans="1:8">
      <c r="A25" s="101">
        <v>1</v>
      </c>
      <c r="B25" s="101" t="s">
        <v>453</v>
      </c>
      <c r="C25" s="101">
        <v>0</v>
      </c>
      <c r="D25" s="105">
        <v>45200</v>
      </c>
      <c r="E25" s="105">
        <v>45260</v>
      </c>
      <c r="F25" s="101">
        <v>106</v>
      </c>
      <c r="G25" s="101">
        <v>0</v>
      </c>
    </row>
    <row r="26" spans="1:8">
      <c r="A26" s="101">
        <v>2</v>
      </c>
      <c r="B26" s="101" t="s">
        <v>454</v>
      </c>
      <c r="C26" s="101">
        <v>0</v>
      </c>
      <c r="D26" s="105">
        <v>45200</v>
      </c>
      <c r="E26" s="105">
        <v>45260</v>
      </c>
      <c r="F26" s="101">
        <v>101</v>
      </c>
      <c r="G26" s="101">
        <v>0</v>
      </c>
    </row>
    <row r="27" spans="1:8">
      <c r="A27" s="103">
        <v>3</v>
      </c>
      <c r="B27" s="101" t="s">
        <v>455</v>
      </c>
      <c r="C27" s="101">
        <v>0</v>
      </c>
      <c r="D27" s="105">
        <v>45231</v>
      </c>
      <c r="E27" s="105">
        <v>45260</v>
      </c>
      <c r="F27" s="101">
        <v>74</v>
      </c>
      <c r="G27" s="101">
        <v>0</v>
      </c>
      <c r="H27" s="101" t="s">
        <v>456</v>
      </c>
    </row>
    <row r="28" spans="1:8">
      <c r="A28" s="101">
        <v>4</v>
      </c>
      <c r="B28" s="101" t="s">
        <v>457</v>
      </c>
      <c r="C28" s="101">
        <v>0</v>
      </c>
      <c r="D28" s="105">
        <v>45261</v>
      </c>
      <c r="E28" s="105">
        <v>45322</v>
      </c>
      <c r="F28" s="101">
        <v>101</v>
      </c>
      <c r="G28" s="101">
        <v>0</v>
      </c>
      <c r="H28" s="101" t="s">
        <v>458</v>
      </c>
    </row>
    <row r="29" spans="1:8">
      <c r="A29" s="101">
        <v>5</v>
      </c>
      <c r="B29" s="101" t="s">
        <v>459</v>
      </c>
      <c r="C29" s="101">
        <v>0</v>
      </c>
      <c r="D29" s="105">
        <v>45261</v>
      </c>
      <c r="E29" s="105">
        <v>45322</v>
      </c>
      <c r="F29" s="101">
        <v>106</v>
      </c>
      <c r="G29" s="101">
        <v>0</v>
      </c>
      <c r="H29" s="101" t="s">
        <v>460</v>
      </c>
    </row>
    <row r="30" spans="1:8">
      <c r="A30" s="101">
        <v>6</v>
      </c>
      <c r="B30" s="101" t="s">
        <v>461</v>
      </c>
      <c r="C30" s="101">
        <v>0</v>
      </c>
      <c r="D30" s="105">
        <v>36526</v>
      </c>
      <c r="E30" s="105">
        <v>72686</v>
      </c>
      <c r="F30" s="101">
        <v>1003</v>
      </c>
      <c r="G30" s="101">
        <v>3</v>
      </c>
      <c r="H30" s="101" t="s">
        <v>462</v>
      </c>
    </row>
    <row r="31" spans="1:8">
      <c r="A31" s="101">
        <v>7</v>
      </c>
      <c r="B31" s="101" t="s">
        <v>463</v>
      </c>
      <c r="C31" s="101">
        <v>0</v>
      </c>
      <c r="D31" s="105">
        <v>45292</v>
      </c>
      <c r="E31" s="105">
        <v>45305</v>
      </c>
      <c r="F31" s="101">
        <v>74</v>
      </c>
      <c r="G31" s="101">
        <v>0</v>
      </c>
      <c r="H31" s="101" t="s">
        <v>464</v>
      </c>
    </row>
    <row r="32" spans="1:8">
      <c r="A32" s="101">
        <v>8</v>
      </c>
      <c r="B32" s="101" t="s">
        <v>465</v>
      </c>
      <c r="C32" s="101">
        <v>0</v>
      </c>
      <c r="D32" s="105">
        <v>45327</v>
      </c>
      <c r="E32" s="105">
        <v>45341</v>
      </c>
      <c r="F32" s="101">
        <v>74</v>
      </c>
      <c r="G32" s="101">
        <v>0</v>
      </c>
    </row>
    <row r="33" spans="1:7">
      <c r="A33" s="101">
        <v>9</v>
      </c>
      <c r="B33" s="101" t="s">
        <v>466</v>
      </c>
      <c r="C33" s="101">
        <v>0</v>
      </c>
      <c r="D33" s="105">
        <v>45327</v>
      </c>
      <c r="E33" s="105">
        <v>45383</v>
      </c>
      <c r="F33" s="101">
        <v>106</v>
      </c>
      <c r="G33" s="101">
        <v>0</v>
      </c>
    </row>
    <row r="34" spans="1:7">
      <c r="A34" s="101">
        <v>10</v>
      </c>
      <c r="B34" s="101" t="s">
        <v>467</v>
      </c>
      <c r="C34" s="101">
        <v>0</v>
      </c>
      <c r="D34" s="105">
        <v>45327</v>
      </c>
      <c r="E34" s="105">
        <v>45383</v>
      </c>
      <c r="F34" s="101">
        <v>101</v>
      </c>
      <c r="G34" s="101">
        <v>0</v>
      </c>
    </row>
    <row r="35" spans="1:7">
      <c r="A35" s="101">
        <v>11</v>
      </c>
      <c r="B35" s="101" t="s">
        <v>452</v>
      </c>
      <c r="C35" s="101">
        <v>0</v>
      </c>
      <c r="D35" s="105">
        <v>45383</v>
      </c>
      <c r="E35" s="105">
        <v>45403.999988425901</v>
      </c>
      <c r="F35" s="101">
        <v>106</v>
      </c>
      <c r="G35" s="101">
        <v>0</v>
      </c>
    </row>
    <row r="36" spans="1:7">
      <c r="A36" s="101">
        <v>12</v>
      </c>
      <c r="B36" s="101" t="s">
        <v>468</v>
      </c>
      <c r="C36" s="101">
        <v>0</v>
      </c>
      <c r="D36" s="105">
        <v>45404</v>
      </c>
      <c r="E36" s="105">
        <v>45410.999988425901</v>
      </c>
      <c r="F36" s="101">
        <v>83</v>
      </c>
      <c r="G36" s="101">
        <v>0</v>
      </c>
    </row>
    <row r="37" spans="1:7">
      <c r="A37" s="101">
        <v>13</v>
      </c>
      <c r="B37" s="101" t="s">
        <v>452</v>
      </c>
      <c r="C37" s="101">
        <v>0</v>
      </c>
      <c r="D37" s="105">
        <v>45411</v>
      </c>
      <c r="E37" s="105">
        <v>45412.999988425901</v>
      </c>
      <c r="F37" s="101">
        <v>106</v>
      </c>
      <c r="G37" s="101">
        <v>0</v>
      </c>
    </row>
    <row r="38" spans="1:7">
      <c r="A38" s="101">
        <v>14</v>
      </c>
      <c r="B38" s="101" t="s">
        <v>1631</v>
      </c>
      <c r="C38" s="101">
        <v>0</v>
      </c>
      <c r="D38" s="105">
        <v>45413</v>
      </c>
      <c r="E38" s="105">
        <v>45473.999988425923</v>
      </c>
      <c r="F38" s="101">
        <v>106</v>
      </c>
      <c r="G38" s="101">
        <v>0</v>
      </c>
    </row>
    <row r="39" spans="1:7">
      <c r="A39" s="101">
        <v>15</v>
      </c>
      <c r="B39" s="101" t="s">
        <v>1632</v>
      </c>
      <c r="C39" s="101">
        <v>0</v>
      </c>
      <c r="D39" s="105">
        <v>45413</v>
      </c>
      <c r="E39" s="105">
        <v>45473.999988425923</v>
      </c>
      <c r="F39" s="101">
        <v>101</v>
      </c>
      <c r="G39" s="101">
        <v>0</v>
      </c>
    </row>
  </sheetData>
  <phoneticPr fontId="23" type="noConversion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workbookViewId="0">
      <selection activeCell="I37" sqref="I37"/>
    </sheetView>
  </sheetViews>
  <sheetFormatPr defaultColWidth="9" defaultRowHeight="13.8"/>
  <cols>
    <col min="1" max="1" width="25.77734375" customWidth="1"/>
    <col min="2" max="2" width="13" customWidth="1"/>
    <col min="3" max="3" width="17.21875" customWidth="1"/>
    <col min="4" max="6" width="10.109375" customWidth="1"/>
    <col min="7" max="9" width="14.109375" customWidth="1"/>
    <col min="10" max="10" width="25.44140625" customWidth="1"/>
  </cols>
  <sheetData>
    <row r="1" spans="1:10">
      <c r="A1" s="1" t="s">
        <v>0</v>
      </c>
      <c r="B1" s="2" t="s">
        <v>469</v>
      </c>
      <c r="C1" s="2"/>
      <c r="D1" s="2"/>
      <c r="E1" s="2"/>
      <c r="F1" s="2"/>
      <c r="G1" s="2"/>
      <c r="H1" s="2"/>
      <c r="I1" s="2"/>
    </row>
    <row r="2" spans="1:10">
      <c r="A2" s="1" t="s">
        <v>3</v>
      </c>
      <c r="B2" s="2" t="s">
        <v>291</v>
      </c>
      <c r="C2" s="2"/>
      <c r="D2" s="2"/>
      <c r="E2" s="2"/>
      <c r="F2" s="2"/>
      <c r="G2" s="2"/>
      <c r="H2" s="2"/>
      <c r="I2" s="2"/>
    </row>
    <row r="3" spans="1:10">
      <c r="A3" s="1" t="s">
        <v>6</v>
      </c>
      <c r="B3" s="3" t="s">
        <v>7</v>
      </c>
      <c r="C3" s="3"/>
      <c r="D3" s="2"/>
      <c r="E3" s="2"/>
      <c r="F3" s="2"/>
      <c r="G3" s="2"/>
      <c r="H3" s="2"/>
      <c r="I3" s="2"/>
    </row>
    <row r="4" spans="1:10">
      <c r="A4" s="1" t="s">
        <v>9</v>
      </c>
      <c r="B4" s="4" t="s">
        <v>10</v>
      </c>
      <c r="C4" s="4"/>
      <c r="D4" s="2"/>
      <c r="E4" s="2"/>
      <c r="F4" s="2"/>
      <c r="G4" s="2"/>
      <c r="H4" s="2"/>
      <c r="I4" s="2"/>
    </row>
    <row r="5" spans="1:10">
      <c r="A5" s="1" t="s">
        <v>11</v>
      </c>
      <c r="B5" s="2"/>
      <c r="C5" s="2"/>
      <c r="D5" s="2"/>
      <c r="E5" s="2"/>
      <c r="F5" s="2"/>
      <c r="G5" s="2"/>
      <c r="H5" s="2"/>
      <c r="I5" s="2"/>
    </row>
    <row r="6" spans="1:10">
      <c r="A6" s="1" t="s">
        <v>13</v>
      </c>
      <c r="B6" s="2">
        <v>4</v>
      </c>
      <c r="C6" s="2"/>
      <c r="D6" s="2"/>
      <c r="E6" s="2"/>
      <c r="F6" s="2"/>
      <c r="G6" s="2"/>
      <c r="H6" s="2"/>
      <c r="I6" s="2"/>
    </row>
    <row r="7" spans="1:10">
      <c r="A7" s="1" t="s">
        <v>15</v>
      </c>
      <c r="B7" s="2"/>
      <c r="C7" s="2"/>
      <c r="D7" s="2"/>
      <c r="E7" s="2"/>
      <c r="F7" s="2"/>
      <c r="G7" s="2"/>
      <c r="H7" s="2"/>
      <c r="I7" s="2"/>
    </row>
    <row r="8" spans="1:10">
      <c r="A8" s="1" t="s">
        <v>16</v>
      </c>
      <c r="B8" s="2"/>
      <c r="C8" s="2"/>
      <c r="D8" s="2"/>
      <c r="E8" s="2"/>
      <c r="F8" s="2"/>
      <c r="G8" s="2"/>
      <c r="H8" s="2"/>
      <c r="I8" s="2"/>
    </row>
    <row r="9" spans="1:10">
      <c r="A9" s="2"/>
      <c r="B9" s="2"/>
      <c r="C9" s="2"/>
      <c r="D9" s="2"/>
      <c r="E9" s="2"/>
      <c r="F9" s="2"/>
      <c r="G9" s="2"/>
      <c r="H9" s="2"/>
      <c r="I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</row>
    <row r="11" spans="1:10">
      <c r="A11" s="10" t="s">
        <v>17</v>
      </c>
      <c r="B11" s="15" t="s">
        <v>470</v>
      </c>
      <c r="C11" s="12" t="s">
        <v>18</v>
      </c>
      <c r="D11" s="12" t="s">
        <v>471</v>
      </c>
      <c r="E11" s="12" t="s">
        <v>472</v>
      </c>
      <c r="F11" s="12" t="s">
        <v>473</v>
      </c>
      <c r="G11" s="12" t="s">
        <v>474</v>
      </c>
      <c r="H11" s="12" t="s">
        <v>475</v>
      </c>
      <c r="I11" s="12" t="s">
        <v>476</v>
      </c>
      <c r="J11" s="12" t="s">
        <v>477</v>
      </c>
    </row>
    <row r="12" spans="1:10">
      <c r="A12" s="11" t="s">
        <v>23</v>
      </c>
      <c r="B12" s="15"/>
      <c r="C12" s="11" t="s">
        <v>478</v>
      </c>
      <c r="D12" s="11" t="s">
        <v>479</v>
      </c>
      <c r="E12" s="11" t="s">
        <v>480</v>
      </c>
      <c r="F12" s="11" t="s">
        <v>481</v>
      </c>
      <c r="G12" s="11" t="s">
        <v>482</v>
      </c>
      <c r="H12" s="11" t="s">
        <v>483</v>
      </c>
      <c r="I12" s="11" t="s">
        <v>484</v>
      </c>
      <c r="J12" s="11" t="s">
        <v>485</v>
      </c>
    </row>
    <row r="13" spans="1:10">
      <c r="A13" s="11" t="s">
        <v>29</v>
      </c>
      <c r="B13" s="15"/>
      <c r="C13" s="11" t="s">
        <v>29</v>
      </c>
      <c r="D13" s="11" t="s">
        <v>29</v>
      </c>
      <c r="E13" s="11" t="s">
        <v>29</v>
      </c>
      <c r="F13" s="11" t="s">
        <v>29</v>
      </c>
      <c r="G13" s="11" t="s">
        <v>29</v>
      </c>
      <c r="H13" s="11" t="s">
        <v>29</v>
      </c>
      <c r="I13" s="11" t="s">
        <v>29</v>
      </c>
      <c r="J13" s="11" t="s">
        <v>29</v>
      </c>
    </row>
    <row r="14" spans="1:10">
      <c r="A14" s="11" t="s">
        <v>31</v>
      </c>
      <c r="B14" s="15"/>
      <c r="C14" s="11" t="s">
        <v>32</v>
      </c>
      <c r="D14" s="11" t="s">
        <v>32</v>
      </c>
      <c r="E14" s="11" t="s">
        <v>32</v>
      </c>
      <c r="F14" s="11" t="s">
        <v>32</v>
      </c>
      <c r="G14" s="11" t="s">
        <v>32</v>
      </c>
      <c r="H14" s="11" t="s">
        <v>32</v>
      </c>
      <c r="I14" s="11" t="s">
        <v>32</v>
      </c>
      <c r="J14" s="11" t="s">
        <v>32</v>
      </c>
    </row>
    <row r="15" spans="1:10">
      <c r="A15" s="11"/>
      <c r="B15" s="15">
        <v>1</v>
      </c>
      <c r="C15" s="11">
        <v>0</v>
      </c>
      <c r="D15" s="11">
        <v>0</v>
      </c>
      <c r="E15" s="11">
        <v>0</v>
      </c>
      <c r="F15" s="11">
        <v>0</v>
      </c>
      <c r="G15" s="11">
        <v>60</v>
      </c>
      <c r="H15" s="11">
        <v>60</v>
      </c>
      <c r="I15" s="11">
        <v>60</v>
      </c>
      <c r="J15" s="11">
        <v>120</v>
      </c>
    </row>
    <row r="16" spans="1:10">
      <c r="A16" s="10">
        <v>1</v>
      </c>
      <c r="B16" s="15" t="s">
        <v>486</v>
      </c>
      <c r="C16" s="12">
        <v>100011</v>
      </c>
      <c r="D16" s="12">
        <v>80001</v>
      </c>
      <c r="E16" s="12">
        <v>80002</v>
      </c>
      <c r="F16" s="12">
        <v>80003</v>
      </c>
      <c r="G16" s="12">
        <v>120</v>
      </c>
      <c r="H16" s="12">
        <v>240</v>
      </c>
      <c r="I16" s="12">
        <v>720</v>
      </c>
      <c r="J16" s="18">
        <v>120</v>
      </c>
    </row>
    <row r="17" spans="1:10">
      <c r="A17" s="12">
        <v>2</v>
      </c>
      <c r="B17" s="15" t="s">
        <v>487</v>
      </c>
      <c r="C17" s="12">
        <v>100071</v>
      </c>
      <c r="D17" s="12">
        <v>80011</v>
      </c>
      <c r="E17" s="12">
        <v>80012</v>
      </c>
      <c r="F17" s="12">
        <v>80013</v>
      </c>
      <c r="G17" s="12">
        <v>120</v>
      </c>
      <c r="H17" s="12">
        <v>240</v>
      </c>
      <c r="I17" s="12">
        <v>720</v>
      </c>
      <c r="J17" s="18">
        <v>120</v>
      </c>
    </row>
    <row r="18" spans="1:10">
      <c r="A18" s="10">
        <v>3</v>
      </c>
      <c r="B18" s="15" t="s">
        <v>488</v>
      </c>
      <c r="C18" s="12">
        <v>100081</v>
      </c>
      <c r="D18" s="12">
        <v>80021</v>
      </c>
      <c r="E18" s="12">
        <v>80022</v>
      </c>
      <c r="F18" s="12">
        <v>80023</v>
      </c>
      <c r="G18" s="12">
        <v>120</v>
      </c>
      <c r="H18" s="12">
        <v>240</v>
      </c>
      <c r="I18" s="12">
        <v>720</v>
      </c>
      <c r="J18" s="18">
        <v>120</v>
      </c>
    </row>
    <row r="19" spans="1:10">
      <c r="A19" s="86"/>
      <c r="B19" s="100"/>
      <c r="C19" s="86"/>
      <c r="D19" s="86"/>
      <c r="E19" s="86"/>
      <c r="F19" s="12"/>
      <c r="G19" s="18"/>
      <c r="H19" s="18"/>
      <c r="I19" s="18"/>
      <c r="J19" s="18"/>
    </row>
    <row r="20" spans="1:10">
      <c r="A20" s="12"/>
      <c r="B20" s="15"/>
      <c r="C20" s="12"/>
      <c r="D20" s="12"/>
      <c r="E20" s="12"/>
      <c r="F20" s="12"/>
      <c r="G20" s="18"/>
      <c r="H20" s="18"/>
      <c r="I20" s="18"/>
      <c r="J20" s="18"/>
    </row>
    <row r="21" spans="1:10">
      <c r="A21" s="12"/>
      <c r="B21" s="15"/>
      <c r="C21" s="12"/>
      <c r="D21" s="12"/>
      <c r="E21" s="12"/>
      <c r="F21" s="12"/>
      <c r="G21" s="18"/>
      <c r="H21" s="18"/>
      <c r="I21" s="18"/>
      <c r="J21" s="18"/>
    </row>
    <row r="22" spans="1:10">
      <c r="A22" s="12"/>
      <c r="B22" s="15"/>
      <c r="C22" s="12"/>
      <c r="D22" s="12"/>
      <c r="E22" s="12"/>
      <c r="F22" s="12"/>
      <c r="G22" s="18"/>
      <c r="H22" s="18"/>
      <c r="I22" s="18"/>
      <c r="J22" s="18"/>
    </row>
    <row r="23" spans="1:10">
      <c r="A23" s="12"/>
      <c r="B23" s="15"/>
      <c r="C23" s="12"/>
      <c r="D23" s="12"/>
      <c r="E23" s="12"/>
      <c r="F23" s="12"/>
      <c r="G23" s="18"/>
      <c r="H23" s="18"/>
      <c r="I23" s="18"/>
      <c r="J23" s="18"/>
    </row>
  </sheetData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3"/>
  <sheetViews>
    <sheetView topLeftCell="A43" workbookViewId="0">
      <selection activeCell="D76" sqref="D76"/>
    </sheetView>
  </sheetViews>
  <sheetFormatPr defaultColWidth="9" defaultRowHeight="13.8"/>
  <cols>
    <col min="1" max="1" width="9" style="35"/>
    <col min="2" max="2" width="14.33203125" style="35" customWidth="1"/>
    <col min="3" max="3" width="20.33203125" style="35" customWidth="1"/>
    <col min="4" max="4" width="47.6640625" style="35" customWidth="1"/>
    <col min="5" max="5" width="11" style="35" customWidth="1"/>
    <col min="6" max="6" width="31.33203125" style="35" customWidth="1"/>
    <col min="7" max="7" width="110.6640625" style="35" customWidth="1"/>
    <col min="8" max="8" width="21.21875" style="35" customWidth="1"/>
    <col min="9" max="16384" width="9" style="35"/>
  </cols>
  <sheetData>
    <row r="1" spans="1:8">
      <c r="A1" s="89" t="s">
        <v>0</v>
      </c>
      <c r="B1" s="35" t="s">
        <v>489</v>
      </c>
      <c r="C1" s="35" t="s">
        <v>2</v>
      </c>
    </row>
    <row r="2" spans="1:8">
      <c r="A2" s="89" t="s">
        <v>3</v>
      </c>
      <c r="B2" s="35" t="s">
        <v>490</v>
      </c>
      <c r="C2" s="35" t="s">
        <v>5</v>
      </c>
    </row>
    <row r="3" spans="1:8">
      <c r="A3" s="89" t="s">
        <v>6</v>
      </c>
      <c r="B3" s="90" t="s">
        <v>7</v>
      </c>
      <c r="C3" s="35" t="s">
        <v>8</v>
      </c>
    </row>
    <row r="4" spans="1:8">
      <c r="A4" s="89" t="s">
        <v>9</v>
      </c>
      <c r="B4" s="91" t="s">
        <v>10</v>
      </c>
    </row>
    <row r="5" spans="1:8">
      <c r="A5" s="89" t="s">
        <v>11</v>
      </c>
      <c r="C5" s="35" t="s">
        <v>12</v>
      </c>
    </row>
    <row r="6" spans="1:8">
      <c r="A6" s="89" t="s">
        <v>13</v>
      </c>
      <c r="B6" s="35">
        <v>4</v>
      </c>
      <c r="C6" s="35" t="s">
        <v>14</v>
      </c>
    </row>
    <row r="7" spans="1:8">
      <c r="A7" s="89" t="s">
        <v>15</v>
      </c>
    </row>
    <row r="8" spans="1:8">
      <c r="A8" s="89" t="s">
        <v>16</v>
      </c>
    </row>
    <row r="11" spans="1:8">
      <c r="A11" s="35" t="s">
        <v>491</v>
      </c>
      <c r="B11" s="35" t="s">
        <v>492</v>
      </c>
      <c r="C11" s="35" t="s">
        <v>493</v>
      </c>
      <c r="D11" s="90" t="s">
        <v>494</v>
      </c>
      <c r="E11" s="35" t="s">
        <v>495</v>
      </c>
      <c r="F11" s="35" t="s">
        <v>496</v>
      </c>
      <c r="G11" s="35" t="s">
        <v>497</v>
      </c>
      <c r="H11" s="35" t="s">
        <v>496</v>
      </c>
    </row>
    <row r="12" spans="1:8">
      <c r="A12" s="91" t="s">
        <v>23</v>
      </c>
      <c r="B12" s="91" t="s">
        <v>498</v>
      </c>
      <c r="C12" s="91" t="s">
        <v>499</v>
      </c>
      <c r="D12" s="90" t="s">
        <v>500</v>
      </c>
      <c r="E12" s="91" t="s">
        <v>501</v>
      </c>
      <c r="F12" s="91" t="s">
        <v>502</v>
      </c>
      <c r="G12" s="91" t="s">
        <v>503</v>
      </c>
      <c r="H12" s="91" t="s">
        <v>504</v>
      </c>
    </row>
    <row r="13" spans="1:8">
      <c r="A13" s="91" t="s">
        <v>29</v>
      </c>
      <c r="B13" s="91" t="s">
        <v>30</v>
      </c>
      <c r="C13" s="91" t="s">
        <v>29</v>
      </c>
      <c r="D13" s="90" t="s">
        <v>30</v>
      </c>
      <c r="E13" s="91" t="s">
        <v>29</v>
      </c>
      <c r="F13" s="91" t="s">
        <v>30</v>
      </c>
      <c r="G13" s="91" t="s">
        <v>30</v>
      </c>
      <c r="H13" s="91" t="s">
        <v>30</v>
      </c>
    </row>
    <row r="14" spans="1:8">
      <c r="A14" s="91" t="s">
        <v>31</v>
      </c>
      <c r="B14" s="91" t="s">
        <v>32</v>
      </c>
      <c r="C14" s="91" t="s">
        <v>32</v>
      </c>
      <c r="D14" s="90" t="s">
        <v>505</v>
      </c>
      <c r="E14" s="91" t="s">
        <v>32</v>
      </c>
      <c r="F14" s="91" t="s">
        <v>32</v>
      </c>
      <c r="G14" s="91" t="s">
        <v>32</v>
      </c>
      <c r="H14" s="91" t="s">
        <v>32</v>
      </c>
    </row>
    <row r="15" spans="1:8">
      <c r="A15" s="91"/>
      <c r="B15" s="91">
        <v>0</v>
      </c>
      <c r="C15" s="91">
        <v>0</v>
      </c>
      <c r="D15" s="90">
        <v>0</v>
      </c>
      <c r="E15" s="91">
        <v>0</v>
      </c>
      <c r="F15" s="91">
        <v>0</v>
      </c>
      <c r="G15" s="91">
        <v>0</v>
      </c>
      <c r="H15" s="91">
        <v>0</v>
      </c>
    </row>
    <row r="16" spans="1:8">
      <c r="A16" s="35">
        <v>1</v>
      </c>
      <c r="B16" s="35" t="s">
        <v>506</v>
      </c>
      <c r="C16" s="35">
        <v>9200001</v>
      </c>
      <c r="D16" s="90" t="s">
        <v>507</v>
      </c>
      <c r="E16" s="35">
        <v>100</v>
      </c>
      <c r="F16" s="35" t="s">
        <v>508</v>
      </c>
      <c r="G16" s="92" t="s">
        <v>509</v>
      </c>
      <c r="H16" s="91" t="s">
        <v>510</v>
      </c>
    </row>
    <row r="17" spans="1:8">
      <c r="A17" s="35">
        <v>2</v>
      </c>
      <c r="B17" s="35" t="s">
        <v>511</v>
      </c>
      <c r="C17" s="35">
        <v>9200002</v>
      </c>
      <c r="D17" s="90" t="s">
        <v>512</v>
      </c>
      <c r="E17" s="35">
        <v>100</v>
      </c>
      <c r="F17" s="35" t="s">
        <v>513</v>
      </c>
      <c r="G17" s="92" t="s">
        <v>514</v>
      </c>
      <c r="H17" s="91" t="s">
        <v>515</v>
      </c>
    </row>
    <row r="18" spans="1:8">
      <c r="A18" s="35">
        <v>3</v>
      </c>
      <c r="B18" s="35" t="s">
        <v>516</v>
      </c>
      <c r="C18" s="35">
        <v>9200003</v>
      </c>
      <c r="D18" s="90" t="s">
        <v>517</v>
      </c>
      <c r="E18" s="35">
        <v>100</v>
      </c>
      <c r="F18" s="35" t="s">
        <v>518</v>
      </c>
      <c r="G18" s="92" t="s">
        <v>519</v>
      </c>
      <c r="H18" s="91" t="s">
        <v>520</v>
      </c>
    </row>
    <row r="19" spans="1:8">
      <c r="A19" s="35">
        <v>4</v>
      </c>
      <c r="B19" s="35" t="s">
        <v>521</v>
      </c>
      <c r="C19" s="35">
        <v>9200004</v>
      </c>
      <c r="D19" s="90" t="s">
        <v>522</v>
      </c>
      <c r="E19" s="35">
        <v>100</v>
      </c>
      <c r="F19" s="35" t="s">
        <v>523</v>
      </c>
      <c r="G19" s="35" t="s">
        <v>524</v>
      </c>
      <c r="H19" s="91" t="s">
        <v>525</v>
      </c>
    </row>
    <row r="20" spans="1:8">
      <c r="A20" s="35">
        <v>5</v>
      </c>
      <c r="B20" s="35" t="s">
        <v>506</v>
      </c>
      <c r="C20" s="35">
        <v>9200005</v>
      </c>
      <c r="D20" s="90" t="s">
        <v>526</v>
      </c>
      <c r="E20" s="35">
        <v>100</v>
      </c>
      <c r="F20" s="35" t="s">
        <v>508</v>
      </c>
      <c r="G20" s="92" t="s">
        <v>509</v>
      </c>
      <c r="H20" s="91" t="s">
        <v>527</v>
      </c>
    </row>
    <row r="21" spans="1:8">
      <c r="A21" s="35">
        <v>6</v>
      </c>
      <c r="B21" s="35" t="s">
        <v>528</v>
      </c>
      <c r="C21" s="35">
        <v>9200006</v>
      </c>
      <c r="D21" s="90" t="s">
        <v>529</v>
      </c>
      <c r="E21" s="35">
        <v>100</v>
      </c>
      <c r="F21" s="35" t="s">
        <v>530</v>
      </c>
      <c r="G21" s="92" t="s">
        <v>531</v>
      </c>
      <c r="H21" s="91" t="s">
        <v>532</v>
      </c>
    </row>
    <row r="22" spans="1:8">
      <c r="A22" s="35">
        <v>7</v>
      </c>
      <c r="B22" s="35" t="s">
        <v>533</v>
      </c>
      <c r="C22" s="35">
        <v>9200010</v>
      </c>
      <c r="D22" s="90" t="s">
        <v>534</v>
      </c>
      <c r="E22" s="35">
        <v>100</v>
      </c>
      <c r="F22" s="35" t="s">
        <v>535</v>
      </c>
      <c r="G22" s="92" t="s">
        <v>536</v>
      </c>
      <c r="H22" s="91" t="s">
        <v>537</v>
      </c>
    </row>
    <row r="23" spans="1:8">
      <c r="A23" s="35">
        <v>8</v>
      </c>
      <c r="B23" s="35" t="s">
        <v>538</v>
      </c>
      <c r="C23" s="35">
        <v>9200003</v>
      </c>
      <c r="D23" s="90" t="s">
        <v>517</v>
      </c>
      <c r="E23" s="35">
        <v>100</v>
      </c>
      <c r="F23" s="35" t="s">
        <v>539</v>
      </c>
      <c r="G23" s="92" t="s">
        <v>540</v>
      </c>
      <c r="H23" s="91" t="s">
        <v>541</v>
      </c>
    </row>
    <row r="24" spans="1:8">
      <c r="A24" s="35">
        <v>9</v>
      </c>
      <c r="B24" s="35" t="s">
        <v>542</v>
      </c>
      <c r="C24" s="35">
        <v>9200020</v>
      </c>
      <c r="D24" s="35" t="s">
        <v>543</v>
      </c>
      <c r="E24" s="35">
        <v>100</v>
      </c>
    </row>
    <row r="25" spans="1:8">
      <c r="A25" s="35">
        <v>10</v>
      </c>
      <c r="B25" s="35" t="s">
        <v>544</v>
      </c>
      <c r="C25" s="35">
        <v>9200021</v>
      </c>
      <c r="D25" s="90" t="s">
        <v>545</v>
      </c>
      <c r="E25" s="35">
        <v>100</v>
      </c>
      <c r="G25" s="92" t="s">
        <v>546</v>
      </c>
      <c r="H25" s="35" t="s">
        <v>547</v>
      </c>
    </row>
    <row r="26" spans="1:8">
      <c r="A26" s="35">
        <v>11</v>
      </c>
      <c r="B26" s="35" t="s">
        <v>548</v>
      </c>
      <c r="C26" s="35">
        <v>9200022</v>
      </c>
      <c r="D26" s="35" t="s">
        <v>549</v>
      </c>
      <c r="E26" s="35">
        <v>100</v>
      </c>
      <c r="F26" s="35" t="s">
        <v>550</v>
      </c>
      <c r="G26" s="35" t="s">
        <v>551</v>
      </c>
      <c r="H26" s="91" t="s">
        <v>527</v>
      </c>
    </row>
    <row r="27" spans="1:8">
      <c r="A27" s="35">
        <v>12</v>
      </c>
      <c r="B27" s="35" t="s">
        <v>506</v>
      </c>
      <c r="C27" s="35">
        <v>9200023</v>
      </c>
      <c r="D27" s="35" t="s">
        <v>552</v>
      </c>
      <c r="E27" s="35">
        <v>100</v>
      </c>
      <c r="F27" s="35" t="s">
        <v>508</v>
      </c>
      <c r="G27" s="92" t="s">
        <v>509</v>
      </c>
    </row>
    <row r="28" spans="1:8">
      <c r="A28" s="35">
        <v>13</v>
      </c>
      <c r="B28" s="35" t="s">
        <v>553</v>
      </c>
      <c r="C28" s="35">
        <v>9200024</v>
      </c>
      <c r="D28" s="35" t="s">
        <v>554</v>
      </c>
      <c r="E28" s="35">
        <v>100</v>
      </c>
      <c r="F28" s="35" t="s">
        <v>555</v>
      </c>
      <c r="G28" s="92" t="s">
        <v>556</v>
      </c>
    </row>
    <row r="29" spans="1:8">
      <c r="A29" s="35">
        <v>14</v>
      </c>
      <c r="B29" s="35" t="s">
        <v>557</v>
      </c>
      <c r="C29" s="35">
        <v>9200025</v>
      </c>
      <c r="D29" s="35" t="s">
        <v>558</v>
      </c>
      <c r="E29" s="35">
        <v>100</v>
      </c>
      <c r="F29" s="93" t="s">
        <v>559</v>
      </c>
      <c r="G29" s="35" t="s">
        <v>560</v>
      </c>
      <c r="H29" s="94" t="s">
        <v>561</v>
      </c>
    </row>
    <row r="30" spans="1:8">
      <c r="A30" s="35">
        <v>15</v>
      </c>
      <c r="B30" s="35" t="s">
        <v>562</v>
      </c>
      <c r="C30" s="35">
        <v>9200026</v>
      </c>
      <c r="D30" s="35" t="s">
        <v>563</v>
      </c>
      <c r="E30" s="35">
        <v>100</v>
      </c>
      <c r="F30" s="93" t="s">
        <v>564</v>
      </c>
      <c r="G30" s="35" t="s">
        <v>565</v>
      </c>
    </row>
    <row r="31" spans="1:8">
      <c r="A31" s="35">
        <v>16</v>
      </c>
      <c r="B31" s="35" t="s">
        <v>553</v>
      </c>
      <c r="C31" s="35">
        <v>9200024</v>
      </c>
      <c r="D31" s="35" t="s">
        <v>566</v>
      </c>
      <c r="E31" s="35">
        <v>100</v>
      </c>
      <c r="F31" s="35" t="s">
        <v>555</v>
      </c>
      <c r="G31" s="92" t="s">
        <v>556</v>
      </c>
    </row>
    <row r="32" spans="1:8">
      <c r="A32" s="35">
        <v>17</v>
      </c>
      <c r="B32" s="35" t="s">
        <v>506</v>
      </c>
      <c r="C32" s="35">
        <v>9200002</v>
      </c>
      <c r="D32" s="35" t="s">
        <v>567</v>
      </c>
      <c r="E32" s="35">
        <v>100</v>
      </c>
      <c r="F32" s="35" t="s">
        <v>508</v>
      </c>
      <c r="G32" s="92" t="s">
        <v>509</v>
      </c>
    </row>
    <row r="33" spans="1:7">
      <c r="A33" s="35">
        <v>18</v>
      </c>
      <c r="B33" s="35" t="s">
        <v>506</v>
      </c>
      <c r="C33" s="35">
        <v>9200024</v>
      </c>
      <c r="D33" s="35" t="s">
        <v>566</v>
      </c>
      <c r="E33" s="35">
        <v>100</v>
      </c>
      <c r="F33" s="35" t="s">
        <v>508</v>
      </c>
      <c r="G33" s="92" t="s">
        <v>509</v>
      </c>
    </row>
    <row r="34" spans="1:7">
      <c r="A34" s="35">
        <v>19</v>
      </c>
      <c r="B34" s="35" t="s">
        <v>568</v>
      </c>
      <c r="C34" s="35">
        <v>9200027</v>
      </c>
      <c r="D34" s="35" t="s">
        <v>569</v>
      </c>
      <c r="E34" s="35">
        <v>100</v>
      </c>
      <c r="F34" s="35" t="s">
        <v>570</v>
      </c>
      <c r="G34" s="92" t="s">
        <v>571</v>
      </c>
    </row>
    <row r="35" spans="1:7">
      <c r="A35" s="35">
        <v>20</v>
      </c>
      <c r="B35" s="35" t="s">
        <v>572</v>
      </c>
      <c r="C35" s="35">
        <v>9200028</v>
      </c>
      <c r="D35" s="35" t="s">
        <v>573</v>
      </c>
      <c r="E35" s="35">
        <v>100</v>
      </c>
      <c r="F35" s="35" t="s">
        <v>574</v>
      </c>
      <c r="G35" s="92" t="s">
        <v>575</v>
      </c>
    </row>
    <row r="36" spans="1:7">
      <c r="A36" s="35">
        <v>21</v>
      </c>
      <c r="B36" s="35" t="s">
        <v>576</v>
      </c>
      <c r="C36" s="35">
        <v>9200029</v>
      </c>
      <c r="D36" s="35" t="s">
        <v>577</v>
      </c>
      <c r="E36" s="35">
        <v>100</v>
      </c>
      <c r="F36" s="35" t="s">
        <v>578</v>
      </c>
      <c r="G36" s="92" t="s">
        <v>579</v>
      </c>
    </row>
    <row r="37" spans="1:7">
      <c r="A37" s="35">
        <v>22</v>
      </c>
      <c r="B37" s="35" t="s">
        <v>580</v>
      </c>
      <c r="C37" s="35">
        <v>9200030</v>
      </c>
      <c r="D37" s="35" t="s">
        <v>581</v>
      </c>
      <c r="E37" s="35">
        <v>100</v>
      </c>
      <c r="F37" s="35" t="s">
        <v>582</v>
      </c>
      <c r="G37" s="92" t="s">
        <v>583</v>
      </c>
    </row>
    <row r="38" spans="1:7">
      <c r="A38" s="35">
        <v>23</v>
      </c>
      <c r="B38" s="35" t="s">
        <v>584</v>
      </c>
      <c r="C38" s="35">
        <v>9200031</v>
      </c>
      <c r="D38" s="35" t="s">
        <v>558</v>
      </c>
      <c r="E38" s="35">
        <v>100</v>
      </c>
      <c r="F38" s="35" t="s">
        <v>585</v>
      </c>
      <c r="G38" s="92" t="s">
        <v>586</v>
      </c>
    </row>
    <row r="39" spans="1:7">
      <c r="A39" s="90">
        <v>24</v>
      </c>
      <c r="B39" s="35" t="s">
        <v>587</v>
      </c>
      <c r="C39" s="35">
        <v>9200032</v>
      </c>
      <c r="D39" s="35" t="s">
        <v>588</v>
      </c>
      <c r="E39" s="35">
        <v>100</v>
      </c>
      <c r="F39" s="35" t="s">
        <v>589</v>
      </c>
      <c r="G39" s="92" t="s">
        <v>590</v>
      </c>
    </row>
    <row r="40" spans="1:7">
      <c r="A40" s="90">
        <v>25</v>
      </c>
      <c r="B40" s="35" t="s">
        <v>591</v>
      </c>
      <c r="C40" s="35">
        <v>9200033</v>
      </c>
      <c r="D40" s="35" t="s">
        <v>588</v>
      </c>
      <c r="E40" s="35">
        <v>100</v>
      </c>
      <c r="F40" s="35" t="s">
        <v>592</v>
      </c>
      <c r="G40" s="92" t="s">
        <v>593</v>
      </c>
    </row>
    <row r="41" spans="1:7">
      <c r="A41" s="35">
        <v>26</v>
      </c>
      <c r="B41" s="35" t="s">
        <v>594</v>
      </c>
      <c r="C41" s="35">
        <v>9200034</v>
      </c>
      <c r="D41" s="35" t="s">
        <v>595</v>
      </c>
      <c r="E41" s="35">
        <v>100</v>
      </c>
      <c r="F41" s="95" t="s">
        <v>596</v>
      </c>
      <c r="G41" s="92" t="s">
        <v>597</v>
      </c>
    </row>
    <row r="42" spans="1:7">
      <c r="A42" s="35">
        <v>27</v>
      </c>
      <c r="B42" s="35" t="s">
        <v>598</v>
      </c>
      <c r="C42" s="35">
        <v>9200035</v>
      </c>
      <c r="D42" s="35" t="s">
        <v>595</v>
      </c>
      <c r="E42" s="35">
        <v>100</v>
      </c>
      <c r="F42" s="95" t="s">
        <v>599</v>
      </c>
      <c r="G42" s="92" t="s">
        <v>600</v>
      </c>
    </row>
    <row r="43" spans="1:7">
      <c r="A43" s="35">
        <v>28</v>
      </c>
      <c r="B43" s="35" t="s">
        <v>601</v>
      </c>
      <c r="C43" s="35">
        <v>9200036</v>
      </c>
      <c r="D43" s="35" t="s">
        <v>602</v>
      </c>
      <c r="E43" s="35">
        <v>100</v>
      </c>
      <c r="F43" s="95" t="s">
        <v>603</v>
      </c>
      <c r="G43" s="92" t="s">
        <v>604</v>
      </c>
    </row>
    <row r="44" spans="1:7">
      <c r="A44" s="35">
        <v>29</v>
      </c>
      <c r="B44" s="35" t="s">
        <v>605</v>
      </c>
      <c r="C44" s="35">
        <v>9200037</v>
      </c>
      <c r="D44" s="35" t="s">
        <v>602</v>
      </c>
      <c r="E44" s="35">
        <v>100</v>
      </c>
      <c r="F44" s="95" t="s">
        <v>606</v>
      </c>
      <c r="G44" s="92" t="s">
        <v>607</v>
      </c>
    </row>
    <row r="45" spans="1:7">
      <c r="A45" s="35">
        <v>30</v>
      </c>
      <c r="B45" s="35" t="s">
        <v>608</v>
      </c>
      <c r="C45" s="35">
        <v>9200038</v>
      </c>
      <c r="D45" s="35" t="s">
        <v>609</v>
      </c>
      <c r="E45" s="35">
        <v>100</v>
      </c>
      <c r="F45" s="95" t="s">
        <v>610</v>
      </c>
      <c r="G45" s="92" t="s">
        <v>611</v>
      </c>
    </row>
    <row r="46" spans="1:7">
      <c r="A46" s="35">
        <v>31</v>
      </c>
      <c r="B46" s="35" t="s">
        <v>612</v>
      </c>
      <c r="C46" s="35">
        <v>9200039</v>
      </c>
      <c r="D46" s="35" t="s">
        <v>613</v>
      </c>
      <c r="E46" s="35">
        <v>100</v>
      </c>
      <c r="F46" s="95" t="s">
        <v>614</v>
      </c>
      <c r="G46" s="92" t="s">
        <v>615</v>
      </c>
    </row>
    <row r="47" spans="1:7">
      <c r="A47" s="35">
        <v>32</v>
      </c>
      <c r="B47" s="35" t="s">
        <v>616</v>
      </c>
      <c r="C47" s="35">
        <v>9200040</v>
      </c>
      <c r="D47" s="35" t="s">
        <v>617</v>
      </c>
      <c r="E47" s="35">
        <v>100</v>
      </c>
      <c r="F47" s="95" t="s">
        <v>618</v>
      </c>
      <c r="G47" s="92" t="s">
        <v>619</v>
      </c>
    </row>
    <row r="48" spans="1:7" s="88" customFormat="1">
      <c r="A48" s="88">
        <v>33</v>
      </c>
      <c r="B48" s="88" t="s">
        <v>620</v>
      </c>
      <c r="C48" s="88">
        <v>9200041</v>
      </c>
      <c r="D48" s="88" t="s">
        <v>621</v>
      </c>
      <c r="E48" s="88">
        <v>100</v>
      </c>
      <c r="F48" s="88" t="s">
        <v>622</v>
      </c>
      <c r="G48" s="92" t="s">
        <v>623</v>
      </c>
    </row>
    <row r="49" spans="1:7" s="88" customFormat="1">
      <c r="A49" s="88">
        <v>34</v>
      </c>
      <c r="B49" s="88" t="s">
        <v>624</v>
      </c>
      <c r="C49" s="88">
        <v>9200042</v>
      </c>
      <c r="D49" s="88" t="s">
        <v>625</v>
      </c>
      <c r="E49" s="88">
        <v>100</v>
      </c>
      <c r="F49" s="96" t="s">
        <v>626</v>
      </c>
      <c r="G49" s="97" t="s">
        <v>627</v>
      </c>
    </row>
    <row r="50" spans="1:7" s="88" customFormat="1">
      <c r="A50" s="88">
        <v>35</v>
      </c>
      <c r="B50" s="88" t="s">
        <v>628</v>
      </c>
      <c r="C50" s="88">
        <v>9200043</v>
      </c>
      <c r="D50" s="88" t="s">
        <v>629</v>
      </c>
      <c r="E50" s="88">
        <v>100</v>
      </c>
      <c r="F50" s="96" t="s">
        <v>630</v>
      </c>
      <c r="G50" s="97" t="s">
        <v>631</v>
      </c>
    </row>
    <row r="51" spans="1:7" s="88" customFormat="1">
      <c r="A51" s="88">
        <v>36</v>
      </c>
      <c r="B51" s="88" t="s">
        <v>632</v>
      </c>
      <c r="C51" s="88">
        <v>9200044</v>
      </c>
      <c r="D51" s="88" t="s">
        <v>633</v>
      </c>
      <c r="E51" s="88">
        <v>100</v>
      </c>
      <c r="F51" s="96" t="s">
        <v>634</v>
      </c>
      <c r="G51" s="97" t="s">
        <v>635</v>
      </c>
    </row>
    <row r="52" spans="1:7" s="88" customFormat="1">
      <c r="A52" s="88">
        <v>37</v>
      </c>
      <c r="B52" s="88" t="s">
        <v>636</v>
      </c>
      <c r="C52" s="88">
        <v>9200045</v>
      </c>
      <c r="D52" s="88" t="s">
        <v>637</v>
      </c>
      <c r="E52" s="88">
        <v>100</v>
      </c>
      <c r="F52" s="96" t="s">
        <v>638</v>
      </c>
      <c r="G52" s="97" t="s">
        <v>639</v>
      </c>
    </row>
    <row r="53" spans="1:7">
      <c r="A53" s="35">
        <v>38</v>
      </c>
      <c r="B53" s="35" t="s">
        <v>640</v>
      </c>
      <c r="C53" s="35">
        <v>9200046</v>
      </c>
      <c r="D53" s="35" t="s">
        <v>641</v>
      </c>
      <c r="E53" s="35">
        <v>100</v>
      </c>
      <c r="F53" s="35" t="s">
        <v>642</v>
      </c>
      <c r="G53" s="98" t="s">
        <v>643</v>
      </c>
    </row>
    <row r="54" spans="1:7" s="88" customFormat="1">
      <c r="A54" s="88">
        <v>39</v>
      </c>
      <c r="B54" s="88" t="s">
        <v>644</v>
      </c>
      <c r="C54" s="88">
        <v>9200047</v>
      </c>
      <c r="D54" s="88" t="s">
        <v>645</v>
      </c>
      <c r="E54" s="88">
        <v>100</v>
      </c>
      <c r="F54" s="88" t="s">
        <v>646</v>
      </c>
      <c r="G54" s="92" t="s">
        <v>647</v>
      </c>
    </row>
    <row r="55" spans="1:7">
      <c r="A55" s="35">
        <v>40</v>
      </c>
      <c r="B55" s="35" t="s">
        <v>648</v>
      </c>
      <c r="C55" s="35">
        <v>9200048</v>
      </c>
      <c r="D55" s="35" t="s">
        <v>649</v>
      </c>
      <c r="E55" s="35">
        <v>100</v>
      </c>
      <c r="F55" s="35" t="s">
        <v>650</v>
      </c>
      <c r="G55" s="98" t="s">
        <v>651</v>
      </c>
    </row>
    <row r="56" spans="1:7">
      <c r="A56" s="35">
        <v>41</v>
      </c>
      <c r="B56" s="35" t="s">
        <v>652</v>
      </c>
      <c r="C56" s="35">
        <v>9200049</v>
      </c>
      <c r="D56" s="35" t="s">
        <v>653</v>
      </c>
      <c r="E56" s="35">
        <v>100</v>
      </c>
      <c r="F56" s="35" t="s">
        <v>654</v>
      </c>
      <c r="G56" s="35" t="s">
        <v>655</v>
      </c>
    </row>
    <row r="57" spans="1:7">
      <c r="A57" s="35">
        <v>42</v>
      </c>
      <c r="B57" s="35" t="s">
        <v>656</v>
      </c>
      <c r="C57" s="35">
        <v>9200050</v>
      </c>
      <c r="D57" s="35" t="s">
        <v>657</v>
      </c>
      <c r="E57" s="35">
        <v>100</v>
      </c>
      <c r="F57" s="35" t="s">
        <v>658</v>
      </c>
      <c r="G57" s="35" t="s">
        <v>659</v>
      </c>
    </row>
    <row r="58" spans="1:7" s="88" customFormat="1">
      <c r="A58" s="88">
        <v>43</v>
      </c>
      <c r="B58" s="88" t="s">
        <v>660</v>
      </c>
      <c r="C58" s="88">
        <v>9200051</v>
      </c>
      <c r="D58" s="88" t="s">
        <v>641</v>
      </c>
      <c r="E58" s="88">
        <v>100</v>
      </c>
      <c r="F58" s="88" t="s">
        <v>661</v>
      </c>
      <c r="G58" s="99" t="s">
        <v>662</v>
      </c>
    </row>
    <row r="59" spans="1:7" s="88" customFormat="1">
      <c r="A59" s="88">
        <v>44</v>
      </c>
      <c r="B59" s="88" t="s">
        <v>663</v>
      </c>
      <c r="C59" s="88">
        <v>9200052</v>
      </c>
      <c r="D59" s="88" t="s">
        <v>649</v>
      </c>
      <c r="E59" s="88">
        <v>100</v>
      </c>
      <c r="F59" s="88" t="s">
        <v>664</v>
      </c>
      <c r="G59" s="99" t="s">
        <v>665</v>
      </c>
    </row>
    <row r="60" spans="1:7" s="88" customFormat="1">
      <c r="A60" s="88">
        <v>45</v>
      </c>
      <c r="B60" s="88" t="s">
        <v>666</v>
      </c>
      <c r="C60" s="88">
        <v>9200053</v>
      </c>
      <c r="D60" s="88" t="s">
        <v>667</v>
      </c>
      <c r="E60" s="88">
        <v>100</v>
      </c>
      <c r="F60" s="88" t="s">
        <v>668</v>
      </c>
      <c r="G60" s="88" t="s">
        <v>669</v>
      </c>
    </row>
    <row r="61" spans="1:7">
      <c r="A61" s="88">
        <v>46</v>
      </c>
      <c r="B61" s="88" t="s">
        <v>670</v>
      </c>
      <c r="C61" s="88">
        <v>9200054</v>
      </c>
      <c r="D61" s="35" t="s">
        <v>671</v>
      </c>
      <c r="E61" s="88">
        <v>100</v>
      </c>
      <c r="F61" s="96"/>
      <c r="G61" s="97"/>
    </row>
    <row r="62" spans="1:7">
      <c r="A62" s="88">
        <v>47</v>
      </c>
      <c r="B62" s="88" t="s">
        <v>670</v>
      </c>
      <c r="C62" s="88">
        <v>9200055</v>
      </c>
      <c r="D62" s="35" t="s">
        <v>672</v>
      </c>
      <c r="E62" s="88">
        <v>100</v>
      </c>
      <c r="F62" s="96"/>
      <c r="G62" s="97"/>
    </row>
    <row r="63" spans="1:7">
      <c r="A63" s="88">
        <v>48</v>
      </c>
      <c r="B63" s="88" t="s">
        <v>670</v>
      </c>
      <c r="C63" s="88">
        <v>9200056</v>
      </c>
      <c r="D63" s="35" t="s">
        <v>673</v>
      </c>
      <c r="E63" s="88">
        <v>100</v>
      </c>
      <c r="F63" s="96"/>
      <c r="G63" s="97"/>
    </row>
    <row r="64" spans="1:7">
      <c r="A64" s="88">
        <v>49</v>
      </c>
      <c r="B64" s="88" t="s">
        <v>674</v>
      </c>
      <c r="C64" s="88">
        <v>9200057</v>
      </c>
      <c r="D64" s="35" t="s">
        <v>675</v>
      </c>
      <c r="E64" s="88">
        <v>100</v>
      </c>
      <c r="F64" s="96"/>
      <c r="G64" s="97"/>
    </row>
    <row r="65" spans="1:7">
      <c r="A65" s="88">
        <v>50</v>
      </c>
      <c r="B65" s="88" t="s">
        <v>674</v>
      </c>
      <c r="C65" s="88">
        <v>9200058</v>
      </c>
      <c r="D65" s="35" t="s">
        <v>676</v>
      </c>
      <c r="E65" s="88">
        <v>100</v>
      </c>
      <c r="F65" s="96"/>
      <c r="G65" s="96"/>
    </row>
    <row r="66" spans="1:7">
      <c r="A66" s="88">
        <v>51</v>
      </c>
      <c r="B66" s="88" t="s">
        <v>677</v>
      </c>
      <c r="C66" s="88">
        <v>9200059</v>
      </c>
      <c r="D66" s="35" t="s">
        <v>678</v>
      </c>
      <c r="E66" s="88">
        <v>100</v>
      </c>
    </row>
    <row r="67" spans="1:7">
      <c r="A67" s="88">
        <v>52</v>
      </c>
      <c r="B67" s="88" t="s">
        <v>679</v>
      </c>
      <c r="C67" s="88">
        <v>9200060</v>
      </c>
      <c r="D67" s="35" t="s">
        <v>680</v>
      </c>
      <c r="E67" s="88">
        <v>100</v>
      </c>
    </row>
    <row r="68" spans="1:7">
      <c r="A68" s="88">
        <v>53</v>
      </c>
      <c r="B68" s="88" t="s">
        <v>679</v>
      </c>
      <c r="C68" s="88">
        <v>9200061</v>
      </c>
      <c r="D68" s="35" t="s">
        <v>681</v>
      </c>
      <c r="E68" s="88">
        <v>100</v>
      </c>
    </row>
    <row r="69" spans="1:7">
      <c r="A69" s="88">
        <v>54</v>
      </c>
      <c r="B69" s="88" t="s">
        <v>682</v>
      </c>
      <c r="C69" s="88">
        <v>9200062</v>
      </c>
      <c r="D69" s="35" t="s">
        <v>683</v>
      </c>
      <c r="E69" s="88">
        <v>100</v>
      </c>
    </row>
    <row r="70" spans="1:7">
      <c r="A70" s="88">
        <v>55</v>
      </c>
      <c r="B70" s="88" t="s">
        <v>684</v>
      </c>
      <c r="C70" s="88">
        <v>9200063</v>
      </c>
      <c r="D70" s="35" t="s">
        <v>685</v>
      </c>
      <c r="E70" s="88">
        <v>100</v>
      </c>
    </row>
    <row r="71" spans="1:7">
      <c r="A71" s="88">
        <v>56</v>
      </c>
      <c r="B71" s="88" t="s">
        <v>686</v>
      </c>
      <c r="C71" s="88">
        <v>9200064</v>
      </c>
      <c r="D71" s="35" t="s">
        <v>687</v>
      </c>
      <c r="E71" s="88">
        <v>100</v>
      </c>
    </row>
    <row r="72" spans="1:7">
      <c r="A72" s="88">
        <v>57</v>
      </c>
      <c r="B72" s="88" t="s">
        <v>686</v>
      </c>
      <c r="C72" s="88">
        <v>9200065</v>
      </c>
      <c r="D72" s="35" t="s">
        <v>688</v>
      </c>
      <c r="E72" s="88">
        <v>100</v>
      </c>
    </row>
    <row r="73" spans="1:7">
      <c r="A73" s="88">
        <v>58</v>
      </c>
      <c r="B73" s="88" t="s">
        <v>689</v>
      </c>
      <c r="C73" s="88">
        <v>9200066</v>
      </c>
      <c r="D73" s="35" t="s">
        <v>690</v>
      </c>
      <c r="E73" s="88">
        <v>100</v>
      </c>
    </row>
  </sheetData>
  <phoneticPr fontId="23" type="noConversion"/>
  <hyperlinks>
    <hyperlink ref="G21" r:id="rId1" xr:uid="{00000000-0004-0000-0800-000000000000}"/>
    <hyperlink ref="G18" r:id="rId2" xr:uid="{00000000-0004-0000-0800-000001000000}"/>
    <hyperlink ref="G17" r:id="rId3" xr:uid="{00000000-0004-0000-0800-000002000000}"/>
    <hyperlink ref="G22" r:id="rId4" xr:uid="{00000000-0004-0000-0800-000003000000}"/>
    <hyperlink ref="G23" r:id="rId5" xr:uid="{00000000-0004-0000-0800-000004000000}"/>
    <hyperlink ref="G25" r:id="rId6" xr:uid="{00000000-0004-0000-0800-000005000000}"/>
    <hyperlink ref="G32" r:id="rId7" xr:uid="{00000000-0004-0000-0800-000006000000}"/>
    <hyperlink ref="G31" r:id="rId8" xr:uid="{00000000-0004-0000-0800-000007000000}"/>
    <hyperlink ref="G27" r:id="rId9" xr:uid="{00000000-0004-0000-0800-000008000000}"/>
    <hyperlink ref="G28" r:id="rId10" xr:uid="{00000000-0004-0000-0800-000009000000}"/>
    <hyperlink ref="G34" r:id="rId11" xr:uid="{00000000-0004-0000-0800-00000A000000}"/>
    <hyperlink ref="G16" r:id="rId12" xr:uid="{00000000-0004-0000-0800-00000B000000}"/>
    <hyperlink ref="G20" r:id="rId13" xr:uid="{00000000-0004-0000-0800-00000C000000}"/>
    <hyperlink ref="G33" r:id="rId14" xr:uid="{00000000-0004-0000-0800-00000D000000}"/>
    <hyperlink ref="G35" r:id="rId15" xr:uid="{00000000-0004-0000-0800-00000E000000}"/>
    <hyperlink ref="G36" r:id="rId16" xr:uid="{00000000-0004-0000-0800-00000F000000}"/>
    <hyperlink ref="G37" r:id="rId17" xr:uid="{00000000-0004-0000-0800-000010000000}"/>
    <hyperlink ref="G38" r:id="rId18" xr:uid="{00000000-0004-0000-0800-000011000000}"/>
    <hyperlink ref="G39" r:id="rId19" xr:uid="{00000000-0004-0000-0800-000012000000}"/>
    <hyperlink ref="G40" r:id="rId20" xr:uid="{00000000-0004-0000-0800-000013000000}"/>
    <hyperlink ref="G41" r:id="rId21" xr:uid="{00000000-0004-0000-0800-000014000000}"/>
    <hyperlink ref="G42" r:id="rId22" xr:uid="{00000000-0004-0000-0800-000015000000}"/>
    <hyperlink ref="G43" r:id="rId23" xr:uid="{00000000-0004-0000-0800-000016000000}"/>
    <hyperlink ref="G45" r:id="rId24" xr:uid="{00000000-0004-0000-0800-000017000000}"/>
    <hyperlink ref="G46" r:id="rId25" xr:uid="{00000000-0004-0000-0800-000018000000}"/>
    <hyperlink ref="G47" r:id="rId26" xr:uid="{00000000-0004-0000-0800-000019000000}"/>
    <hyperlink ref="G48" r:id="rId27" xr:uid="{00000000-0004-0000-0800-00001A000000}"/>
    <hyperlink ref="G54" r:id="rId28" xr:uid="{00000000-0004-0000-0800-00001B000000}"/>
    <hyperlink ref="G58" r:id="rId29" xr:uid="{00000000-0004-0000-0800-00001C000000}"/>
    <hyperlink ref="G59" r:id="rId30" xr:uid="{00000000-0004-0000-0800-00001D000000}"/>
    <hyperlink ref="G49" r:id="rId31" xr:uid="{00000000-0004-0000-0800-00001E000000}"/>
    <hyperlink ref="G50" r:id="rId32" xr:uid="{00000000-0004-0000-0800-00001F000000}"/>
    <hyperlink ref="G51" r:id="rId33" xr:uid="{00000000-0004-0000-0800-000020000000}"/>
    <hyperlink ref="G52" r:id="rId34" xr:uid="{00000000-0004-0000-0800-00002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7"/>
  <sheetViews>
    <sheetView workbookViewId="0">
      <selection activeCell="I37" sqref="I37"/>
    </sheetView>
  </sheetViews>
  <sheetFormatPr defaultColWidth="9" defaultRowHeight="13.8"/>
  <cols>
    <col min="2" max="2" width="13" customWidth="1"/>
    <col min="3" max="3" width="45.109375" customWidth="1"/>
    <col min="4" max="4" width="15" customWidth="1"/>
    <col min="5" max="5" width="11" customWidth="1"/>
    <col min="6" max="8" width="17.21875" customWidth="1"/>
    <col min="9" max="9" width="40.33203125" customWidth="1"/>
    <col min="10" max="11" width="14.21875" customWidth="1"/>
  </cols>
  <sheetData>
    <row r="1" spans="1:11">
      <c r="A1" s="1" t="s">
        <v>0</v>
      </c>
      <c r="B1" s="2" t="s">
        <v>691</v>
      </c>
      <c r="C1" s="2" t="s">
        <v>2</v>
      </c>
      <c r="D1" s="2"/>
      <c r="E1" s="2"/>
      <c r="F1" s="2"/>
      <c r="G1" s="2"/>
      <c r="H1" s="2"/>
      <c r="I1" s="2"/>
    </row>
    <row r="2" spans="1:11">
      <c r="A2" s="1" t="s">
        <v>3</v>
      </c>
      <c r="B2" s="2" t="s">
        <v>692</v>
      </c>
      <c r="C2" s="2" t="s">
        <v>5</v>
      </c>
      <c r="D2" s="2"/>
      <c r="E2" s="2"/>
      <c r="F2" s="2"/>
      <c r="G2" s="2"/>
      <c r="H2" s="2"/>
      <c r="I2" s="2"/>
    </row>
    <row r="3" spans="1:11">
      <c r="A3" s="1" t="s">
        <v>6</v>
      </c>
      <c r="B3" s="3" t="s">
        <v>7</v>
      </c>
      <c r="C3" s="2" t="s">
        <v>8</v>
      </c>
      <c r="D3" s="2"/>
      <c r="E3" s="2"/>
      <c r="F3" s="2"/>
      <c r="G3" s="2"/>
      <c r="H3" s="2"/>
      <c r="I3" s="2"/>
    </row>
    <row r="4" spans="1:11">
      <c r="A4" s="1" t="s">
        <v>9</v>
      </c>
      <c r="B4" s="4" t="s">
        <v>10</v>
      </c>
      <c r="C4" s="2"/>
      <c r="D4" s="2"/>
      <c r="E4" s="2"/>
      <c r="F4" s="2"/>
      <c r="G4" s="2"/>
      <c r="H4" s="2"/>
      <c r="I4" s="2"/>
    </row>
    <row r="5" spans="1:11">
      <c r="A5" s="1" t="s">
        <v>11</v>
      </c>
      <c r="B5" s="2"/>
      <c r="C5" s="2" t="s">
        <v>12</v>
      </c>
      <c r="D5" s="2"/>
      <c r="E5" s="2"/>
      <c r="F5" s="2"/>
      <c r="G5" s="2"/>
      <c r="H5" s="2"/>
      <c r="I5" s="2"/>
    </row>
    <row r="6" spans="1:11">
      <c r="A6" s="1" t="s">
        <v>13</v>
      </c>
      <c r="B6" s="2">
        <v>4</v>
      </c>
      <c r="C6" s="2" t="s">
        <v>14</v>
      </c>
      <c r="D6" s="2"/>
      <c r="E6" s="2"/>
      <c r="F6" s="2"/>
      <c r="G6" s="2"/>
      <c r="H6" s="2"/>
      <c r="I6" s="2"/>
    </row>
    <row r="7" spans="1:11">
      <c r="A7" s="1" t="s">
        <v>15</v>
      </c>
      <c r="B7" s="2"/>
      <c r="C7" s="2"/>
      <c r="D7" s="2"/>
      <c r="E7" s="2"/>
      <c r="F7" s="2"/>
      <c r="G7" s="2"/>
      <c r="H7" s="2"/>
      <c r="I7" s="2"/>
    </row>
    <row r="8" spans="1:11">
      <c r="A8" s="1" t="s">
        <v>16</v>
      </c>
      <c r="B8" s="2"/>
      <c r="C8" s="2"/>
      <c r="D8" s="2"/>
      <c r="E8" s="2"/>
      <c r="F8" s="2"/>
      <c r="G8" s="2"/>
      <c r="H8" s="2"/>
      <c r="I8" s="2"/>
    </row>
    <row r="9" spans="1:11">
      <c r="A9" s="2"/>
      <c r="B9" s="2"/>
      <c r="C9" s="2"/>
      <c r="D9" s="2"/>
      <c r="E9" s="2"/>
      <c r="F9" s="2"/>
      <c r="G9" s="2"/>
      <c r="H9" s="2"/>
      <c r="I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</row>
    <row r="11" spans="1:11">
      <c r="A11" s="10" t="s">
        <v>17</v>
      </c>
      <c r="B11" s="10" t="s">
        <v>693</v>
      </c>
      <c r="C11" s="10" t="s">
        <v>694</v>
      </c>
      <c r="D11" s="10" t="s">
        <v>695</v>
      </c>
      <c r="E11" s="10" t="s">
        <v>492</v>
      </c>
      <c r="F11" s="10" t="s">
        <v>696</v>
      </c>
      <c r="G11" s="10" t="s">
        <v>696</v>
      </c>
      <c r="H11" s="10" t="s">
        <v>470</v>
      </c>
      <c r="I11" s="59" t="s">
        <v>470</v>
      </c>
      <c r="J11" s="60" t="s">
        <v>436</v>
      </c>
      <c r="K11" s="60" t="s">
        <v>437</v>
      </c>
    </row>
    <row r="12" spans="1:11">
      <c r="A12" s="11" t="s">
        <v>23</v>
      </c>
      <c r="B12" s="11" t="s">
        <v>285</v>
      </c>
      <c r="C12" s="11" t="s">
        <v>697</v>
      </c>
      <c r="D12" s="11" t="s">
        <v>698</v>
      </c>
      <c r="E12" s="11" t="s">
        <v>498</v>
      </c>
      <c r="F12" s="11" t="s">
        <v>699</v>
      </c>
      <c r="G12" s="11" t="s">
        <v>700</v>
      </c>
      <c r="H12" s="11" t="s">
        <v>499</v>
      </c>
      <c r="I12" s="59" t="s">
        <v>500</v>
      </c>
      <c r="J12" s="61" t="s">
        <v>440</v>
      </c>
      <c r="K12" s="61" t="s">
        <v>441</v>
      </c>
    </row>
    <row r="13" spans="1:11" ht="15.6">
      <c r="A13" s="11" t="s">
        <v>29</v>
      </c>
      <c r="B13" s="11" t="s">
        <v>29</v>
      </c>
      <c r="C13" s="11" t="s">
        <v>30</v>
      </c>
      <c r="D13" s="11" t="s">
        <v>29</v>
      </c>
      <c r="E13" s="11" t="s">
        <v>30</v>
      </c>
      <c r="F13" s="11" t="s">
        <v>29</v>
      </c>
      <c r="G13" s="11" t="s">
        <v>29</v>
      </c>
      <c r="H13" s="11" t="s">
        <v>29</v>
      </c>
      <c r="I13" s="59" t="s">
        <v>30</v>
      </c>
      <c r="J13" s="62" t="s">
        <v>30</v>
      </c>
      <c r="K13" s="62" t="s">
        <v>30</v>
      </c>
    </row>
    <row r="14" spans="1:11">
      <c r="A14" s="11" t="s">
        <v>31</v>
      </c>
      <c r="B14" s="11" t="s">
        <v>32</v>
      </c>
      <c r="C14" s="11" t="s">
        <v>32</v>
      </c>
      <c r="D14" s="11" t="s">
        <v>32</v>
      </c>
      <c r="E14" s="11" t="s">
        <v>32</v>
      </c>
      <c r="F14" s="11" t="s">
        <v>32</v>
      </c>
      <c r="G14" s="11" t="s">
        <v>32</v>
      </c>
      <c r="H14" s="11" t="s">
        <v>32</v>
      </c>
      <c r="I14" s="59" t="s">
        <v>505</v>
      </c>
      <c r="J14" s="61" t="s">
        <v>32</v>
      </c>
      <c r="K14" s="61" t="s">
        <v>32</v>
      </c>
    </row>
    <row r="15" spans="1:11" ht="15.6">
      <c r="A15" s="11"/>
      <c r="B15" s="11">
        <v>1</v>
      </c>
      <c r="C15" s="11">
        <v>1</v>
      </c>
      <c r="D15" s="11">
        <v>1</v>
      </c>
      <c r="E15" s="11">
        <v>0</v>
      </c>
      <c r="F15" s="11">
        <v>101</v>
      </c>
      <c r="G15" s="11">
        <v>101</v>
      </c>
      <c r="H15" s="11">
        <v>101</v>
      </c>
      <c r="I15" s="59">
        <v>101</v>
      </c>
      <c r="J15" s="61">
        <v>36526</v>
      </c>
      <c r="K15" s="62">
        <v>72686</v>
      </c>
    </row>
    <row r="16" spans="1:11">
      <c r="A16" s="10">
        <v>1</v>
      </c>
      <c r="B16" s="10">
        <v>2</v>
      </c>
      <c r="C16" s="131" t="s">
        <v>701</v>
      </c>
      <c r="D16" s="10">
        <v>5</v>
      </c>
      <c r="E16" s="10">
        <v>120011</v>
      </c>
      <c r="F16" s="10">
        <v>2</v>
      </c>
      <c r="G16" s="10">
        <v>3888</v>
      </c>
      <c r="H16" s="10">
        <v>9300001</v>
      </c>
      <c r="I16" s="59" t="s">
        <v>702</v>
      </c>
      <c r="J16" s="63">
        <v>44302</v>
      </c>
      <c r="K16" s="63">
        <v>44344</v>
      </c>
    </row>
    <row r="17" spans="1:11">
      <c r="A17" s="86">
        <v>2</v>
      </c>
      <c r="B17" s="86">
        <v>2</v>
      </c>
      <c r="C17" s="87" t="s">
        <v>703</v>
      </c>
      <c r="D17" s="10">
        <v>5</v>
      </c>
      <c r="E17" s="10">
        <v>120011</v>
      </c>
      <c r="F17" s="10">
        <v>2</v>
      </c>
      <c r="G17" s="86">
        <v>8888</v>
      </c>
      <c r="H17" s="86">
        <v>9300002</v>
      </c>
      <c r="I17" s="59" t="s">
        <v>704</v>
      </c>
      <c r="J17" s="63">
        <v>44344</v>
      </c>
      <c r="K17" s="63">
        <v>44770</v>
      </c>
    </row>
  </sheetData>
  <phoneticPr fontId="23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43"/>
  <sheetViews>
    <sheetView workbookViewId="0">
      <selection activeCell="I37" sqref="I37"/>
    </sheetView>
  </sheetViews>
  <sheetFormatPr defaultColWidth="9" defaultRowHeight="13.8"/>
  <cols>
    <col min="1" max="1" width="25.77734375" customWidth="1"/>
    <col min="2" max="2" width="21.6640625" customWidth="1"/>
    <col min="3" max="3" width="43.21875" customWidth="1"/>
    <col min="4" max="6" width="32.88671875" customWidth="1"/>
    <col min="7" max="7" width="13.109375" customWidth="1"/>
    <col min="8" max="8" width="13.33203125" customWidth="1"/>
    <col min="12" max="12" width="22.33203125" customWidth="1"/>
    <col min="13" max="13" width="15.21875" customWidth="1"/>
  </cols>
  <sheetData>
    <row r="1" spans="1:28">
      <c r="A1" s="1" t="s">
        <v>0</v>
      </c>
      <c r="B1" s="2" t="s">
        <v>705</v>
      </c>
      <c r="C1" s="2" t="s">
        <v>2</v>
      </c>
      <c r="D1" s="2"/>
      <c r="E1" s="2"/>
      <c r="F1" s="2"/>
    </row>
    <row r="2" spans="1:28">
      <c r="A2" s="1" t="s">
        <v>3</v>
      </c>
      <c r="B2" s="2" t="s">
        <v>490</v>
      </c>
      <c r="C2" s="2" t="s">
        <v>5</v>
      </c>
      <c r="D2" s="2"/>
      <c r="E2" s="2"/>
      <c r="F2" s="2"/>
    </row>
    <row r="3" spans="1:28">
      <c r="A3" s="1" t="s">
        <v>6</v>
      </c>
      <c r="B3" s="3" t="s">
        <v>7</v>
      </c>
      <c r="C3" s="2" t="s">
        <v>8</v>
      </c>
      <c r="D3" s="2"/>
      <c r="E3" s="2"/>
      <c r="F3" s="2"/>
    </row>
    <row r="4" spans="1:28">
      <c r="A4" s="1" t="s">
        <v>9</v>
      </c>
      <c r="B4" s="4" t="s">
        <v>10</v>
      </c>
      <c r="C4" s="2"/>
      <c r="D4" s="2"/>
      <c r="E4" s="2"/>
      <c r="F4" s="2"/>
    </row>
    <row r="5" spans="1:28">
      <c r="A5" s="1" t="s">
        <v>11</v>
      </c>
      <c r="B5" s="2"/>
      <c r="C5" s="2" t="s">
        <v>12</v>
      </c>
      <c r="D5" s="2"/>
      <c r="E5" s="2"/>
      <c r="F5" s="2"/>
    </row>
    <row r="6" spans="1:28">
      <c r="A6" s="1" t="s">
        <v>13</v>
      </c>
      <c r="B6" s="2">
        <v>4</v>
      </c>
      <c r="C6" s="2" t="s">
        <v>14</v>
      </c>
      <c r="D6" s="2"/>
      <c r="E6" s="2"/>
      <c r="F6" s="2"/>
    </row>
    <row r="7" spans="1:28">
      <c r="A7" s="1" t="s">
        <v>15</v>
      </c>
      <c r="B7" s="2"/>
      <c r="C7" s="2"/>
      <c r="D7" s="2"/>
      <c r="E7" s="2"/>
      <c r="F7" s="2"/>
    </row>
    <row r="8" spans="1:28">
      <c r="A8" s="1" t="s">
        <v>16</v>
      </c>
      <c r="B8" s="2"/>
      <c r="C8" s="2"/>
      <c r="D8" s="2"/>
      <c r="E8" s="2"/>
      <c r="F8" s="2"/>
    </row>
    <row r="9" spans="1:28">
      <c r="A9" s="2"/>
      <c r="B9" s="2"/>
      <c r="C9" s="2"/>
      <c r="D9" s="2"/>
      <c r="E9" s="2"/>
      <c r="F9" s="2"/>
      <c r="G9" s="2"/>
    </row>
    <row r="10" spans="1:28">
      <c r="A10" s="2"/>
      <c r="B10" s="2"/>
      <c r="C10" s="2"/>
    </row>
    <row r="11" spans="1:28">
      <c r="A11" s="10" t="s">
        <v>706</v>
      </c>
      <c r="B11" s="15" t="s">
        <v>707</v>
      </c>
      <c r="C11" s="10" t="s">
        <v>708</v>
      </c>
      <c r="D11" s="10" t="s">
        <v>709</v>
      </c>
    </row>
    <row r="12" spans="1:28">
      <c r="A12" s="11" t="s">
        <v>23</v>
      </c>
      <c r="B12" s="15"/>
      <c r="C12" s="11" t="s">
        <v>710</v>
      </c>
      <c r="D12" s="11" t="s">
        <v>711</v>
      </c>
      <c r="F12" t="s">
        <v>712</v>
      </c>
      <c r="G12" t="s">
        <v>713</v>
      </c>
      <c r="H12" t="s">
        <v>714</v>
      </c>
    </row>
    <row r="13" spans="1:28">
      <c r="A13" s="11" t="s">
        <v>29</v>
      </c>
      <c r="B13" s="15"/>
      <c r="C13" s="11" t="s">
        <v>29</v>
      </c>
      <c r="D13" s="11" t="s">
        <v>29</v>
      </c>
      <c r="G13">
        <v>8</v>
      </c>
      <c r="N13">
        <v>10</v>
      </c>
    </row>
    <row r="14" spans="1:28">
      <c r="A14" s="11" t="s">
        <v>31</v>
      </c>
      <c r="B14" s="15"/>
      <c r="C14" s="11" t="s">
        <v>32</v>
      </c>
      <c r="D14" s="11" t="s">
        <v>32</v>
      </c>
      <c r="K14">
        <f>10000/7</f>
        <v>1428.5714285714287</v>
      </c>
    </row>
    <row r="15" spans="1:28">
      <c r="A15" s="11"/>
      <c r="B15" s="15"/>
      <c r="C15" s="11">
        <v>0</v>
      </c>
      <c r="D15" s="11">
        <v>0</v>
      </c>
      <c r="G15" t="s">
        <v>23</v>
      </c>
      <c r="H15" t="s">
        <v>715</v>
      </c>
      <c r="I15" t="s">
        <v>716</v>
      </c>
      <c r="J15" t="s">
        <v>717</v>
      </c>
      <c r="K15" t="s">
        <v>495</v>
      </c>
      <c r="N15" t="s">
        <v>718</v>
      </c>
      <c r="P15" t="s">
        <v>716</v>
      </c>
      <c r="Q15" t="s">
        <v>717</v>
      </c>
      <c r="R15" t="s">
        <v>495</v>
      </c>
      <c r="W15" t="s">
        <v>719</v>
      </c>
      <c r="X15" t="s">
        <v>719</v>
      </c>
      <c r="Y15" t="s">
        <v>717</v>
      </c>
      <c r="Z15" t="s">
        <v>716</v>
      </c>
      <c r="AA15" t="s">
        <v>495</v>
      </c>
    </row>
    <row r="16" spans="1:28">
      <c r="A16" s="10">
        <v>1</v>
      </c>
      <c r="B16" s="15" t="s">
        <v>720</v>
      </c>
      <c r="C16" s="10">
        <v>9001</v>
      </c>
      <c r="D16" s="10">
        <v>0</v>
      </c>
      <c r="F16" t="s">
        <v>721</v>
      </c>
      <c r="G16">
        <v>470031</v>
      </c>
      <c r="H16" t="s">
        <v>722</v>
      </c>
      <c r="I16">
        <v>1</v>
      </c>
      <c r="J16">
        <v>1</v>
      </c>
      <c r="K16">
        <v>1500</v>
      </c>
      <c r="L16" t="str">
        <f>CONCATENATE($F$12,G16,$G$12,I16,$G$12,J16,$G$12,K16,$H$12)</f>
        <v>[470031,1,1,1500]</v>
      </c>
      <c r="N16">
        <v>420011</v>
      </c>
      <c r="O16" t="s">
        <v>723</v>
      </c>
      <c r="P16">
        <v>1</v>
      </c>
      <c r="Q16">
        <v>1</v>
      </c>
      <c r="R16">
        <f>10000/$N$13</f>
        <v>1000</v>
      </c>
      <c r="S16" t="str">
        <f>CONCATENATE($F$12,N16,$G$12,P16,$G$12,Q16,$G$12,R16,$H$12)</f>
        <v>[420011,1,1,1000]</v>
      </c>
      <c r="W16">
        <v>510001</v>
      </c>
      <c r="X16" t="s">
        <v>724</v>
      </c>
      <c r="Y16">
        <v>3</v>
      </c>
      <c r="Z16">
        <v>3</v>
      </c>
      <c r="AA16">
        <v>2000</v>
      </c>
      <c r="AB16" t="str">
        <f>CONCATENATE($F$12,W16,$G$12,Y16,$G$12,Z16,$G$12,AA16,$H$12)</f>
        <v>[510001,3,3,2000]</v>
      </c>
    </row>
    <row r="17" spans="1:28">
      <c r="A17" s="10">
        <v>2</v>
      </c>
      <c r="B17" s="15" t="s">
        <v>725</v>
      </c>
      <c r="C17" s="10">
        <v>9000</v>
      </c>
      <c r="D17" s="10">
        <v>0</v>
      </c>
    </row>
    <row r="18" spans="1:28">
      <c r="A18" s="12">
        <v>3</v>
      </c>
      <c r="B18" s="15" t="s">
        <v>726</v>
      </c>
      <c r="C18" s="10">
        <v>9004</v>
      </c>
      <c r="D18" s="10">
        <v>0</v>
      </c>
      <c r="F18" t="s">
        <v>721</v>
      </c>
      <c r="G18">
        <v>470151</v>
      </c>
      <c r="H18" t="s">
        <v>727</v>
      </c>
      <c r="I18">
        <v>1</v>
      </c>
      <c r="J18">
        <v>1</v>
      </c>
      <c r="K18">
        <v>1500</v>
      </c>
      <c r="L18" t="str">
        <f t="shared" ref="L18:L24" si="0">CONCATENATE($F$12,G18,$G$12,I18,$G$12,J18,$G$12,K18,$H$12)</f>
        <v>[470151,1,1,1500]</v>
      </c>
      <c r="N18">
        <v>420021</v>
      </c>
      <c r="O18" t="s">
        <v>728</v>
      </c>
      <c r="P18">
        <v>1</v>
      </c>
      <c r="Q18">
        <v>1</v>
      </c>
      <c r="R18">
        <f t="shared" ref="R18:R26" si="1">10000/$N$13</f>
        <v>1000</v>
      </c>
      <c r="S18" t="str">
        <f t="shared" ref="S18:S26" si="2">CONCATENATE($F$12,N18,$G$12,P18,$G$12,Q18,$G$12,R18,$H$12)</f>
        <v>[420021,1,1,1000]</v>
      </c>
      <c r="W18">
        <v>510021</v>
      </c>
      <c r="X18" t="s">
        <v>274</v>
      </c>
    </row>
    <row r="19" spans="1:28">
      <c r="A19" s="10">
        <v>4</v>
      </c>
      <c r="B19" s="15" t="s">
        <v>729</v>
      </c>
      <c r="C19" s="10">
        <v>9002</v>
      </c>
      <c r="D19" s="10">
        <v>0</v>
      </c>
      <c r="F19" t="s">
        <v>721</v>
      </c>
      <c r="G19">
        <v>470180</v>
      </c>
      <c r="H19" t="s">
        <v>730</v>
      </c>
      <c r="I19">
        <v>1</v>
      </c>
      <c r="J19">
        <v>1</v>
      </c>
      <c r="K19">
        <v>1400</v>
      </c>
      <c r="L19" t="str">
        <f t="shared" si="0"/>
        <v>[470180,1,1,1400]</v>
      </c>
      <c r="N19">
        <v>420031</v>
      </c>
      <c r="O19" t="s">
        <v>731</v>
      </c>
      <c r="P19">
        <v>1</v>
      </c>
      <c r="Q19">
        <v>1</v>
      </c>
      <c r="R19">
        <f t="shared" si="1"/>
        <v>1000</v>
      </c>
      <c r="S19" t="str">
        <f t="shared" si="2"/>
        <v>[420031,1,1,1000]</v>
      </c>
      <c r="W19">
        <v>510031</v>
      </c>
      <c r="X19" t="s">
        <v>732</v>
      </c>
      <c r="Y19">
        <v>3</v>
      </c>
      <c r="Z19">
        <v>3</v>
      </c>
      <c r="AA19">
        <v>2000</v>
      </c>
      <c r="AB19" t="str">
        <f>CONCATENATE($F$12,W19,$G$12,Y19,$G$12,Z19,$G$12,AA19,$H$12)</f>
        <v>[510031,3,3,2000]</v>
      </c>
    </row>
    <row r="20" spans="1:28">
      <c r="A20" s="12">
        <v>5</v>
      </c>
      <c r="B20" s="15" t="s">
        <v>729</v>
      </c>
      <c r="C20" s="10">
        <v>9003</v>
      </c>
      <c r="D20" s="10">
        <v>1</v>
      </c>
      <c r="F20" t="s">
        <v>733</v>
      </c>
      <c r="G20">
        <v>410011</v>
      </c>
      <c r="H20" t="s">
        <v>734</v>
      </c>
      <c r="I20">
        <v>1</v>
      </c>
      <c r="J20">
        <v>1</v>
      </c>
      <c r="N20">
        <v>420041</v>
      </c>
      <c r="O20" t="s">
        <v>735</v>
      </c>
      <c r="P20">
        <v>1</v>
      </c>
      <c r="Q20">
        <v>1</v>
      </c>
      <c r="R20">
        <f t="shared" si="1"/>
        <v>1000</v>
      </c>
      <c r="S20" t="str">
        <f t="shared" si="2"/>
        <v>[420041,1,1,1000]</v>
      </c>
      <c r="W20">
        <v>510041</v>
      </c>
      <c r="X20" t="s">
        <v>736</v>
      </c>
      <c r="Y20">
        <v>3</v>
      </c>
      <c r="Z20">
        <v>3</v>
      </c>
      <c r="AA20">
        <v>2000</v>
      </c>
      <c r="AB20" t="str">
        <f>CONCATENATE($F$12,W20,$G$12,Y20,$G$12,Z20,$G$12,AA20,$H$12)</f>
        <v>[510041,3,3,2000]</v>
      </c>
    </row>
    <row r="21" spans="1:28">
      <c r="A21" s="12">
        <v>9999</v>
      </c>
      <c r="B21" s="15" t="s">
        <v>737</v>
      </c>
      <c r="C21" s="10">
        <v>9005</v>
      </c>
      <c r="D21" s="12">
        <v>2</v>
      </c>
      <c r="F21" t="s">
        <v>733</v>
      </c>
      <c r="G21">
        <v>410021</v>
      </c>
      <c r="H21" t="s">
        <v>738</v>
      </c>
      <c r="I21">
        <v>1</v>
      </c>
      <c r="J21">
        <v>1</v>
      </c>
      <c r="K21">
        <v>1400</v>
      </c>
      <c r="L21" t="str">
        <f t="shared" si="0"/>
        <v>[410021,1,1,1400]</v>
      </c>
      <c r="N21">
        <v>420051</v>
      </c>
      <c r="O21" t="s">
        <v>739</v>
      </c>
      <c r="P21">
        <v>1</v>
      </c>
      <c r="Q21">
        <v>1</v>
      </c>
      <c r="R21">
        <f t="shared" si="1"/>
        <v>1000</v>
      </c>
      <c r="S21" t="str">
        <f t="shared" si="2"/>
        <v>[420051,1,1,1000]</v>
      </c>
      <c r="W21">
        <v>510051</v>
      </c>
      <c r="X21" t="s">
        <v>740</v>
      </c>
    </row>
    <row r="22" spans="1:28">
      <c r="F22" t="s">
        <v>733</v>
      </c>
      <c r="G22">
        <v>410031</v>
      </c>
      <c r="H22" t="s">
        <v>741</v>
      </c>
      <c r="I22">
        <v>1</v>
      </c>
      <c r="J22">
        <v>1</v>
      </c>
      <c r="K22">
        <v>1400</v>
      </c>
      <c r="L22" t="str">
        <f t="shared" si="0"/>
        <v>[410031,1,1,1400]</v>
      </c>
      <c r="N22">
        <v>420061</v>
      </c>
      <c r="O22" t="s">
        <v>265</v>
      </c>
      <c r="P22">
        <v>1</v>
      </c>
      <c r="Q22">
        <v>1</v>
      </c>
      <c r="R22">
        <f t="shared" si="1"/>
        <v>1000</v>
      </c>
      <c r="S22" t="str">
        <f t="shared" si="2"/>
        <v>[420061,1,1,1000]</v>
      </c>
      <c r="W22">
        <v>510061</v>
      </c>
      <c r="X22" t="s">
        <v>738</v>
      </c>
    </row>
    <row r="23" spans="1:28">
      <c r="F23" t="s">
        <v>733</v>
      </c>
      <c r="G23">
        <v>410041</v>
      </c>
      <c r="H23" t="s">
        <v>742</v>
      </c>
      <c r="I23">
        <v>1</v>
      </c>
      <c r="J23">
        <v>1</v>
      </c>
      <c r="K23">
        <v>1400</v>
      </c>
      <c r="L23" t="str">
        <f t="shared" si="0"/>
        <v>[410041,1,1,1400]</v>
      </c>
      <c r="N23">
        <v>420071</v>
      </c>
      <c r="O23" t="s">
        <v>267</v>
      </c>
      <c r="P23">
        <v>1</v>
      </c>
      <c r="Q23">
        <v>1</v>
      </c>
      <c r="R23">
        <f t="shared" si="1"/>
        <v>1000</v>
      </c>
      <c r="S23" t="str">
        <f t="shared" si="2"/>
        <v>[420071,1,1,1000]</v>
      </c>
      <c r="W23">
        <v>510071</v>
      </c>
      <c r="X23" t="s">
        <v>743</v>
      </c>
      <c r="Y23">
        <v>3</v>
      </c>
      <c r="Z23">
        <v>3</v>
      </c>
      <c r="AA23">
        <v>2000</v>
      </c>
      <c r="AB23" t="str">
        <f>CONCATENATE($F$12,W23,$G$12,Y23,$G$12,Z23,$G$12,AA23,$H$12)</f>
        <v>[510071,3,3,2000]</v>
      </c>
    </row>
    <row r="24" spans="1:28">
      <c r="F24" t="s">
        <v>733</v>
      </c>
      <c r="G24">
        <v>410051</v>
      </c>
      <c r="H24" t="s">
        <v>744</v>
      </c>
      <c r="I24">
        <v>1</v>
      </c>
      <c r="J24">
        <v>1</v>
      </c>
      <c r="K24">
        <v>1400</v>
      </c>
      <c r="L24" t="str">
        <f t="shared" si="0"/>
        <v>[410051,1,1,1400]</v>
      </c>
      <c r="N24">
        <v>420081</v>
      </c>
      <c r="O24" t="s">
        <v>268</v>
      </c>
      <c r="P24">
        <v>1</v>
      </c>
      <c r="Q24">
        <v>1</v>
      </c>
      <c r="R24">
        <f t="shared" si="1"/>
        <v>1000</v>
      </c>
      <c r="S24" t="str">
        <f t="shared" si="2"/>
        <v>[420081,1,1,1000]</v>
      </c>
      <c r="W24">
        <v>510081</v>
      </c>
      <c r="X24" t="s">
        <v>745</v>
      </c>
      <c r="Y24">
        <v>3</v>
      </c>
      <c r="Z24">
        <v>3</v>
      </c>
      <c r="AA24">
        <v>2000</v>
      </c>
      <c r="AB24" t="str">
        <f>CONCATENATE($F$12,W24,$G$12,Y24,$G$12,Z24,$G$12,AA24,$H$12)</f>
        <v>[510081,3,3,2000]</v>
      </c>
    </row>
    <row r="25" spans="1:28">
      <c r="K25">
        <f>SUM(K16:K24)</f>
        <v>10000</v>
      </c>
      <c r="L25" t="str">
        <f>CONCATENATE($F$12,L16,$G$12,L18,$G$12,L19,$G$12,L20,$G$12,L21,$G$12,L22,$G$12,L23,$G$12,L24,$H$12)</f>
        <v>[[470031,1,1,1500],[470151,1,1,1500],[470180,1,1,1400],,[410021,1,1,1400],[410031,1,1,1400],[410041,1,1,1400],[410051,1,1,1400]]</v>
      </c>
      <c r="N25">
        <v>420091</v>
      </c>
      <c r="O25" t="s">
        <v>269</v>
      </c>
      <c r="P25">
        <v>1</v>
      </c>
      <c r="Q25">
        <v>1</v>
      </c>
      <c r="R25">
        <f t="shared" si="1"/>
        <v>1000</v>
      </c>
      <c r="S25" t="str">
        <f t="shared" si="2"/>
        <v>[420091,1,1,1000]</v>
      </c>
      <c r="W25">
        <v>510091</v>
      </c>
      <c r="X25" t="s">
        <v>746</v>
      </c>
      <c r="AB25" t="str">
        <f>CONCATENATE($F$12,AB16,$G$12,AB19,$G$12,AB20,$G$12,AB23,$G$12,AB24,$H$12)</f>
        <v>[[510001,3,3,2000],[510031,3,3,2000],[510041,3,3,2000],[510071,3,3,2000],[510081,3,3,2000]]</v>
      </c>
    </row>
    <row r="26" spans="1:28">
      <c r="N26">
        <v>420101</v>
      </c>
      <c r="O26" t="s">
        <v>270</v>
      </c>
      <c r="P26">
        <v>1</v>
      </c>
      <c r="Q26">
        <v>1</v>
      </c>
      <c r="R26">
        <f t="shared" si="1"/>
        <v>1000</v>
      </c>
      <c r="S26" t="str">
        <f t="shared" si="2"/>
        <v>[420101,1,1,1000]</v>
      </c>
      <c r="W26">
        <v>510101</v>
      </c>
      <c r="X26" t="s">
        <v>747</v>
      </c>
    </row>
    <row r="27" spans="1:28">
      <c r="N27">
        <v>420111</v>
      </c>
      <c r="O27" t="s">
        <v>271</v>
      </c>
      <c r="P27">
        <v>1</v>
      </c>
      <c r="Q27">
        <v>1</v>
      </c>
      <c r="S27" t="str">
        <f>CONCATENATE($F$12,S19,$G$12,S20,$G$12,S21,$G$12,S22,$G$12,S23,$G$12,S24,$G$12,S25,$G$12,S26,$G$12,S16,$G$12,S18,$H$12)</f>
        <v>[[420031,1,1,1000],[420041,1,1,1000],[420051,1,1,1000],[420061,1,1,1000],[420071,1,1,1000],[420081,1,1,1000],[420091,1,1,1000],[420101,1,1,1000],[420011,1,1,1000],[420021,1,1,1000]]</v>
      </c>
      <c r="W27">
        <v>510111</v>
      </c>
      <c r="X27" t="s">
        <v>272</v>
      </c>
    </row>
    <row r="28" spans="1:28">
      <c r="N28">
        <v>420121</v>
      </c>
      <c r="O28" t="s">
        <v>272</v>
      </c>
      <c r="P28">
        <v>1</v>
      </c>
      <c r="Q28">
        <v>1</v>
      </c>
      <c r="W28">
        <v>510121</v>
      </c>
      <c r="X28" t="s">
        <v>748</v>
      </c>
    </row>
    <row r="29" spans="1:28">
      <c r="W29">
        <v>510131</v>
      </c>
      <c r="X29" t="s">
        <v>749</v>
      </c>
    </row>
    <row r="30" spans="1:28">
      <c r="W30">
        <v>510141</v>
      </c>
      <c r="X30" t="s">
        <v>750</v>
      </c>
    </row>
    <row r="31" spans="1:28">
      <c r="W31">
        <v>510151</v>
      </c>
      <c r="X31" t="s">
        <v>751</v>
      </c>
    </row>
    <row r="32" spans="1:28">
      <c r="G32">
        <v>400031</v>
      </c>
      <c r="N32">
        <v>420011</v>
      </c>
      <c r="W32">
        <v>510161</v>
      </c>
      <c r="X32" t="s">
        <v>752</v>
      </c>
    </row>
    <row r="33" spans="7:24">
      <c r="G33">
        <v>400151</v>
      </c>
      <c r="N33">
        <v>420021</v>
      </c>
      <c r="W33">
        <v>510181</v>
      </c>
      <c r="X33" t="s">
        <v>753</v>
      </c>
    </row>
    <row r="34" spans="7:24">
      <c r="G34">
        <v>400180</v>
      </c>
      <c r="N34">
        <v>420031</v>
      </c>
      <c r="W34">
        <v>510191</v>
      </c>
      <c r="X34" t="s">
        <v>754</v>
      </c>
    </row>
    <row r="35" spans="7:24">
      <c r="G35">
        <v>410011</v>
      </c>
      <c r="N35">
        <v>420041</v>
      </c>
      <c r="W35">
        <v>510201</v>
      </c>
      <c r="X35" t="s">
        <v>755</v>
      </c>
    </row>
    <row r="36" spans="7:24">
      <c r="G36">
        <v>410021</v>
      </c>
      <c r="N36">
        <v>420051</v>
      </c>
    </row>
    <row r="37" spans="7:24">
      <c r="G37">
        <v>410031</v>
      </c>
      <c r="N37">
        <v>420061</v>
      </c>
    </row>
    <row r="38" spans="7:24">
      <c r="G38">
        <v>410041</v>
      </c>
      <c r="N38">
        <v>420071</v>
      </c>
    </row>
    <row r="39" spans="7:24">
      <c r="G39">
        <v>410051</v>
      </c>
      <c r="N39">
        <v>420081</v>
      </c>
    </row>
    <row r="40" spans="7:24">
      <c r="N40">
        <v>420091</v>
      </c>
    </row>
    <row r="41" spans="7:24">
      <c r="N41">
        <v>420101</v>
      </c>
    </row>
    <row r="42" spans="7:24">
      <c r="N42">
        <v>420111</v>
      </c>
    </row>
    <row r="43" spans="7:24">
      <c r="N43">
        <v>420121</v>
      </c>
    </row>
  </sheetData>
  <phoneticPr fontId="23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2"/>
  <sheetViews>
    <sheetView topLeftCell="A4" workbookViewId="0">
      <pane xSplit="1" ySplit="14" topLeftCell="G18" activePane="bottomRight" state="frozen"/>
      <selection pane="topRight"/>
      <selection pane="bottomLeft"/>
      <selection pane="bottomRight" activeCell="A18" sqref="A18:M18"/>
    </sheetView>
  </sheetViews>
  <sheetFormatPr defaultColWidth="9" defaultRowHeight="13.8"/>
  <cols>
    <col min="1" max="1" width="25.77734375" customWidth="1"/>
    <col min="2" max="2" width="26.6640625" customWidth="1"/>
    <col min="3" max="3" width="22.88671875" customWidth="1"/>
    <col min="4" max="4" width="23.44140625" customWidth="1"/>
    <col min="5" max="5" width="21.21875" customWidth="1"/>
    <col min="6" max="7" width="31.6640625" customWidth="1"/>
    <col min="8" max="8" width="23.44140625" customWidth="1"/>
    <col min="9" max="9" width="49.33203125" customWidth="1"/>
    <col min="10" max="12" width="29.6640625" customWidth="1"/>
    <col min="13" max="14" width="13.109375" customWidth="1"/>
    <col min="15" max="15" width="13.33203125" customWidth="1"/>
  </cols>
  <sheetData>
    <row r="1" spans="1:13">
      <c r="A1" s="1" t="s">
        <v>0</v>
      </c>
      <c r="B1" s="2" t="s">
        <v>756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" t="s">
        <v>3</v>
      </c>
      <c r="B2" s="2" t="s">
        <v>757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 t="s">
        <v>6</v>
      </c>
      <c r="B3" s="3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" t="s">
        <v>9</v>
      </c>
      <c r="B4" s="4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1" t="s">
        <v>11</v>
      </c>
      <c r="B5" s="2"/>
      <c r="C5" s="2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1" t="s">
        <v>13</v>
      </c>
      <c r="B6" s="2">
        <v>4</v>
      </c>
      <c r="C6" s="2" t="s">
        <v>14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1" t="s">
        <v>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1" t="s">
        <v>16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3">
      <c r="A10" s="2"/>
    </row>
    <row r="11" spans="1:13">
      <c r="A11" s="10" t="s">
        <v>491</v>
      </c>
      <c r="B11" s="10" t="s">
        <v>758</v>
      </c>
      <c r="C11" s="10" t="s">
        <v>759</v>
      </c>
      <c r="D11" s="10" t="s">
        <v>760</v>
      </c>
      <c r="E11" s="10" t="s">
        <v>761</v>
      </c>
      <c r="F11" s="10" t="s">
        <v>762</v>
      </c>
      <c r="G11" s="10" t="s">
        <v>763</v>
      </c>
      <c r="H11" s="15" t="s">
        <v>763</v>
      </c>
      <c r="I11" s="10" t="s">
        <v>764</v>
      </c>
      <c r="J11" s="10" t="s">
        <v>765</v>
      </c>
      <c r="K11" s="10" t="s">
        <v>766</v>
      </c>
      <c r="L11" s="10" t="s">
        <v>767</v>
      </c>
      <c r="M11" s="10" t="s">
        <v>768</v>
      </c>
    </row>
    <row r="12" spans="1:13">
      <c r="A12" s="11" t="s">
        <v>23</v>
      </c>
      <c r="B12" s="11" t="s">
        <v>769</v>
      </c>
      <c r="C12" s="11" t="s">
        <v>770</v>
      </c>
      <c r="D12" s="11" t="s">
        <v>771</v>
      </c>
      <c r="E12" s="11" t="s">
        <v>772</v>
      </c>
      <c r="F12" s="11" t="s">
        <v>773</v>
      </c>
      <c r="G12" s="11" t="s">
        <v>774</v>
      </c>
      <c r="H12" s="15" t="s">
        <v>774</v>
      </c>
      <c r="I12" s="11" t="s">
        <v>775</v>
      </c>
      <c r="J12" s="11" t="s">
        <v>776</v>
      </c>
      <c r="K12" s="11" t="s">
        <v>777</v>
      </c>
      <c r="L12" s="11" t="s">
        <v>778</v>
      </c>
      <c r="M12" s="11" t="s">
        <v>779</v>
      </c>
    </row>
    <row r="13" spans="1:13">
      <c r="A13" s="11" t="s">
        <v>29</v>
      </c>
      <c r="B13" s="11" t="s">
        <v>29</v>
      </c>
      <c r="C13" s="11" t="s">
        <v>29</v>
      </c>
      <c r="D13" s="11" t="s">
        <v>29</v>
      </c>
      <c r="E13" s="11" t="s">
        <v>29</v>
      </c>
      <c r="F13" s="11" t="s">
        <v>29</v>
      </c>
      <c r="G13" s="11" t="s">
        <v>29</v>
      </c>
      <c r="H13" s="15" t="s">
        <v>30</v>
      </c>
      <c r="I13" s="11" t="s">
        <v>30</v>
      </c>
      <c r="J13" s="11" t="s">
        <v>29</v>
      </c>
      <c r="K13" s="11" t="s">
        <v>29</v>
      </c>
      <c r="L13" s="11" t="s">
        <v>29</v>
      </c>
      <c r="M13" s="11" t="s">
        <v>29</v>
      </c>
    </row>
    <row r="14" spans="1:13">
      <c r="A14" s="11" t="s">
        <v>31</v>
      </c>
      <c r="B14" s="11" t="s">
        <v>32</v>
      </c>
      <c r="C14" s="11" t="s">
        <v>32</v>
      </c>
      <c r="D14" s="11" t="s">
        <v>32</v>
      </c>
      <c r="E14" s="11" t="s">
        <v>32</v>
      </c>
      <c r="F14" s="11" t="s">
        <v>32</v>
      </c>
      <c r="G14" s="11" t="s">
        <v>32</v>
      </c>
      <c r="H14" s="15" t="s">
        <v>505</v>
      </c>
      <c r="I14" s="11" t="s">
        <v>32</v>
      </c>
      <c r="J14" s="11" t="s">
        <v>32</v>
      </c>
      <c r="K14" s="11" t="s">
        <v>32</v>
      </c>
      <c r="L14" s="11" t="s">
        <v>32</v>
      </c>
      <c r="M14" s="11" t="s">
        <v>32</v>
      </c>
    </row>
    <row r="15" spans="1:13">
      <c r="A15" s="11"/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5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</row>
    <row r="16" spans="1:13">
      <c r="A16" s="10">
        <v>1</v>
      </c>
      <c r="B16" s="10">
        <v>3000</v>
      </c>
      <c r="C16" s="10">
        <v>200</v>
      </c>
      <c r="D16" s="10">
        <v>4500</v>
      </c>
      <c r="E16" s="84">
        <v>10000</v>
      </c>
      <c r="F16" s="84">
        <v>2000</v>
      </c>
      <c r="G16" s="12">
        <v>9400001</v>
      </c>
      <c r="H16" s="15" t="s">
        <v>780</v>
      </c>
      <c r="I16" s="85" t="s">
        <v>781</v>
      </c>
      <c r="J16" s="12">
        <v>0</v>
      </c>
      <c r="K16" s="12">
        <v>10</v>
      </c>
      <c r="L16" s="12">
        <v>0</v>
      </c>
      <c r="M16" s="12">
        <v>1</v>
      </c>
    </row>
    <row r="17" spans="1:13">
      <c r="A17" s="12">
        <v>2</v>
      </c>
      <c r="B17" s="10">
        <v>3000</v>
      </c>
      <c r="C17" s="10">
        <v>200</v>
      </c>
      <c r="D17" s="10">
        <v>4500</v>
      </c>
      <c r="E17" s="84">
        <v>10000</v>
      </c>
      <c r="F17" s="84">
        <v>2000</v>
      </c>
      <c r="G17" s="12">
        <v>9400002</v>
      </c>
      <c r="H17" s="15" t="s">
        <v>780</v>
      </c>
      <c r="I17" s="85" t="s">
        <v>781</v>
      </c>
      <c r="J17" s="12">
        <v>1</v>
      </c>
      <c r="K17" s="12">
        <v>1</v>
      </c>
      <c r="L17" s="12">
        <v>1</v>
      </c>
      <c r="M17" s="12">
        <v>0</v>
      </c>
    </row>
    <row r="18" spans="1:13">
      <c r="A18" s="12">
        <v>3</v>
      </c>
      <c r="B18" s="10">
        <v>3000</v>
      </c>
      <c r="C18" s="10">
        <v>200</v>
      </c>
      <c r="D18" s="10">
        <v>4500</v>
      </c>
      <c r="E18" s="84">
        <v>10000</v>
      </c>
      <c r="F18" s="84">
        <v>2000</v>
      </c>
      <c r="G18" s="12">
        <v>9400002</v>
      </c>
      <c r="H18" s="15" t="s">
        <v>780</v>
      </c>
      <c r="I18" s="85" t="s">
        <v>781</v>
      </c>
      <c r="J18" s="12">
        <v>2</v>
      </c>
      <c r="K18" s="12">
        <v>1</v>
      </c>
      <c r="L18" s="12">
        <v>2</v>
      </c>
      <c r="M18" s="12">
        <v>0</v>
      </c>
    </row>
    <row r="19" spans="1:13">
      <c r="A19" s="12">
        <v>4</v>
      </c>
      <c r="B19" s="10">
        <v>3000</v>
      </c>
      <c r="C19" s="10">
        <v>200</v>
      </c>
      <c r="D19" s="10">
        <v>4500</v>
      </c>
      <c r="E19" s="84">
        <v>10000</v>
      </c>
      <c r="F19" s="84">
        <v>2000</v>
      </c>
      <c r="G19" s="12">
        <v>9400003</v>
      </c>
      <c r="H19" s="15" t="s">
        <v>780</v>
      </c>
      <c r="I19" s="85" t="s">
        <v>781</v>
      </c>
      <c r="J19" s="12">
        <v>3</v>
      </c>
      <c r="K19" s="12">
        <v>1</v>
      </c>
      <c r="L19" s="12">
        <v>3</v>
      </c>
      <c r="M19" s="12">
        <v>0</v>
      </c>
    </row>
    <row r="20" spans="1:13">
      <c r="A20" s="12">
        <v>5</v>
      </c>
      <c r="B20" s="10">
        <v>3000</v>
      </c>
      <c r="C20" s="10">
        <v>200</v>
      </c>
      <c r="D20" s="10">
        <v>4500</v>
      </c>
      <c r="E20" s="84">
        <v>10000</v>
      </c>
      <c r="F20" s="84">
        <v>2000</v>
      </c>
      <c r="G20" s="12">
        <v>9400003</v>
      </c>
      <c r="H20" s="15" t="s">
        <v>780</v>
      </c>
      <c r="I20" s="85" t="s">
        <v>781</v>
      </c>
      <c r="J20" s="12">
        <v>4</v>
      </c>
      <c r="K20" s="12">
        <v>1</v>
      </c>
      <c r="L20" s="12">
        <v>4</v>
      </c>
      <c r="M20" s="12">
        <v>0</v>
      </c>
    </row>
    <row r="21" spans="1:13">
      <c r="A21" s="12">
        <v>6</v>
      </c>
      <c r="B21" s="10">
        <v>3000</v>
      </c>
      <c r="C21" s="10">
        <v>200</v>
      </c>
      <c r="D21" s="10">
        <v>4500</v>
      </c>
      <c r="E21" s="84">
        <v>10000</v>
      </c>
      <c r="F21" s="84">
        <v>2000</v>
      </c>
      <c r="G21" s="12">
        <v>9400003</v>
      </c>
      <c r="H21" s="15" t="s">
        <v>780</v>
      </c>
      <c r="I21" s="85" t="s">
        <v>781</v>
      </c>
      <c r="J21" s="12">
        <v>5</v>
      </c>
      <c r="K21" s="12">
        <v>1</v>
      </c>
      <c r="L21" s="12">
        <v>5</v>
      </c>
      <c r="M21" s="12">
        <v>0</v>
      </c>
    </row>
    <row r="22" spans="1:13">
      <c r="A22" s="12">
        <v>7</v>
      </c>
      <c r="B22" s="10">
        <v>3000</v>
      </c>
      <c r="C22" s="10">
        <v>200</v>
      </c>
      <c r="D22" s="10">
        <v>4500</v>
      </c>
      <c r="E22" s="84">
        <v>10000</v>
      </c>
      <c r="F22" s="84">
        <v>2000</v>
      </c>
      <c r="G22" s="12">
        <v>9400003</v>
      </c>
      <c r="H22" s="15" t="s">
        <v>780</v>
      </c>
      <c r="I22" s="85" t="s">
        <v>781</v>
      </c>
      <c r="J22" s="12">
        <v>1</v>
      </c>
      <c r="K22" s="12">
        <v>1</v>
      </c>
      <c r="L22" s="12">
        <v>1</v>
      </c>
      <c r="M22" s="12">
        <v>1</v>
      </c>
    </row>
    <row r="23" spans="1:13">
      <c r="A23" s="12">
        <v>8</v>
      </c>
      <c r="B23" s="10">
        <v>3000</v>
      </c>
      <c r="C23" s="10">
        <v>200</v>
      </c>
      <c r="D23" s="10">
        <v>4500</v>
      </c>
      <c r="E23" s="84">
        <v>10000</v>
      </c>
      <c r="F23" s="84">
        <v>2000</v>
      </c>
      <c r="G23" s="12">
        <v>9400003</v>
      </c>
      <c r="H23" s="15" t="s">
        <v>780</v>
      </c>
      <c r="I23" s="85" t="s">
        <v>781</v>
      </c>
      <c r="J23" s="12">
        <v>2</v>
      </c>
      <c r="K23" s="12">
        <v>1</v>
      </c>
      <c r="L23" s="12">
        <v>2</v>
      </c>
      <c r="M23" s="12">
        <v>1</v>
      </c>
    </row>
    <row r="24" spans="1:13">
      <c r="A24" s="12">
        <v>9</v>
      </c>
      <c r="B24" s="10">
        <v>3000</v>
      </c>
      <c r="C24" s="10">
        <v>200</v>
      </c>
      <c r="D24" s="10">
        <v>4500</v>
      </c>
      <c r="E24" s="84">
        <v>10000</v>
      </c>
      <c r="F24" s="84">
        <v>2000</v>
      </c>
      <c r="G24" s="12">
        <v>9400003</v>
      </c>
      <c r="H24" s="15" t="s">
        <v>780</v>
      </c>
      <c r="I24" s="85" t="s">
        <v>781</v>
      </c>
      <c r="J24" s="12">
        <v>1</v>
      </c>
      <c r="K24" s="12">
        <v>2</v>
      </c>
      <c r="L24" s="12">
        <v>1</v>
      </c>
      <c r="M24" s="12">
        <v>1</v>
      </c>
    </row>
    <row r="25" spans="1:13">
      <c r="A25" s="12">
        <v>10</v>
      </c>
      <c r="B25" s="10">
        <v>3000</v>
      </c>
      <c r="C25" s="10">
        <v>200</v>
      </c>
      <c r="D25" s="10">
        <v>4500</v>
      </c>
      <c r="E25" s="84">
        <v>10000</v>
      </c>
      <c r="F25" s="84">
        <v>2000</v>
      </c>
      <c r="G25" s="12">
        <v>9400003</v>
      </c>
      <c r="H25" s="15" t="s">
        <v>780</v>
      </c>
      <c r="I25" s="85" t="s">
        <v>781</v>
      </c>
      <c r="J25" s="12">
        <v>3</v>
      </c>
      <c r="K25" s="12">
        <v>1</v>
      </c>
      <c r="L25" s="12">
        <v>3</v>
      </c>
      <c r="M25" s="12">
        <v>1</v>
      </c>
    </row>
    <row r="26" spans="1:13">
      <c r="A26" s="12">
        <v>11</v>
      </c>
      <c r="B26" s="10">
        <v>3000</v>
      </c>
      <c r="C26" s="10">
        <v>200</v>
      </c>
      <c r="D26" s="10">
        <v>4500</v>
      </c>
      <c r="E26" s="84">
        <v>10000</v>
      </c>
      <c r="F26" s="84">
        <v>2000</v>
      </c>
      <c r="G26" s="12">
        <v>9400003</v>
      </c>
      <c r="H26" s="15" t="s">
        <v>780</v>
      </c>
      <c r="I26" s="85" t="s">
        <v>781</v>
      </c>
      <c r="J26" s="12">
        <v>4</v>
      </c>
      <c r="K26" s="12">
        <v>1</v>
      </c>
      <c r="L26" s="12">
        <v>4</v>
      </c>
      <c r="M26" s="12">
        <v>1</v>
      </c>
    </row>
    <row r="27" spans="1:13">
      <c r="A27" s="12">
        <v>12</v>
      </c>
      <c r="B27" s="10">
        <v>3000</v>
      </c>
      <c r="C27" s="10">
        <v>200</v>
      </c>
      <c r="D27" s="10">
        <v>4500</v>
      </c>
      <c r="E27" s="84">
        <v>10000</v>
      </c>
      <c r="F27" s="84">
        <v>2000</v>
      </c>
      <c r="G27" s="12">
        <v>9400003</v>
      </c>
      <c r="H27" s="15" t="s">
        <v>780</v>
      </c>
      <c r="I27" s="85" t="s">
        <v>781</v>
      </c>
      <c r="J27" s="12">
        <v>5</v>
      </c>
      <c r="K27" s="12">
        <v>1</v>
      </c>
      <c r="L27" s="12">
        <v>5</v>
      </c>
      <c r="M27" s="12">
        <v>1</v>
      </c>
    </row>
    <row r="28" spans="1:13">
      <c r="A28" s="12">
        <v>13</v>
      </c>
      <c r="B28" s="10">
        <v>3000</v>
      </c>
      <c r="C28" s="10">
        <v>200</v>
      </c>
      <c r="D28" s="10">
        <v>4500</v>
      </c>
      <c r="E28" s="84">
        <v>10000</v>
      </c>
      <c r="F28" s="84">
        <v>2000</v>
      </c>
      <c r="G28" s="12">
        <v>9400003</v>
      </c>
      <c r="H28" s="15" t="s">
        <v>780</v>
      </c>
      <c r="I28" s="85" t="s">
        <v>781</v>
      </c>
      <c r="J28" s="12">
        <v>10</v>
      </c>
      <c r="K28" s="12">
        <v>0</v>
      </c>
      <c r="L28" s="12">
        <v>10</v>
      </c>
      <c r="M28" s="12">
        <v>0</v>
      </c>
    </row>
    <row r="29" spans="1:13">
      <c r="A29" s="12">
        <v>14</v>
      </c>
      <c r="B29" s="10">
        <v>3000</v>
      </c>
      <c r="C29" s="10">
        <v>200</v>
      </c>
      <c r="D29" s="10">
        <v>4500</v>
      </c>
      <c r="E29" s="84">
        <v>10000</v>
      </c>
      <c r="F29" s="84">
        <v>2000</v>
      </c>
      <c r="G29" s="12">
        <v>9400003</v>
      </c>
      <c r="H29" s="15" t="s">
        <v>780</v>
      </c>
      <c r="I29" s="85" t="s">
        <v>781</v>
      </c>
      <c r="J29" s="12">
        <v>10</v>
      </c>
      <c r="K29" s="12">
        <v>1</v>
      </c>
      <c r="L29" s="12">
        <v>10</v>
      </c>
      <c r="M29" s="12">
        <v>1</v>
      </c>
    </row>
    <row r="30" spans="1:13">
      <c r="A30" s="12">
        <v>15</v>
      </c>
      <c r="B30" s="10">
        <v>3000</v>
      </c>
      <c r="C30" s="10">
        <v>200</v>
      </c>
      <c r="D30" s="10">
        <v>4500</v>
      </c>
      <c r="E30" s="84">
        <v>10000</v>
      </c>
      <c r="F30" s="84">
        <v>2000</v>
      </c>
      <c r="G30" s="12">
        <v>9400003</v>
      </c>
      <c r="H30" s="15" t="s">
        <v>780</v>
      </c>
      <c r="I30" s="85" t="s">
        <v>781</v>
      </c>
      <c r="J30" s="12">
        <v>10</v>
      </c>
      <c r="K30" s="12">
        <v>2</v>
      </c>
      <c r="L30" s="12">
        <v>10</v>
      </c>
      <c r="M30" s="12">
        <v>1</v>
      </c>
    </row>
    <row r="31" spans="1:13">
      <c r="A31" s="12">
        <v>16</v>
      </c>
      <c r="B31" s="10">
        <v>3000</v>
      </c>
      <c r="C31" s="10">
        <v>200</v>
      </c>
      <c r="D31" s="10">
        <v>4500</v>
      </c>
      <c r="E31" s="84">
        <v>10000</v>
      </c>
      <c r="F31" s="84">
        <v>2000</v>
      </c>
      <c r="G31" s="12">
        <v>9400003</v>
      </c>
      <c r="H31" s="15" t="s">
        <v>780</v>
      </c>
      <c r="I31" s="85" t="s">
        <v>781</v>
      </c>
      <c r="J31" s="12">
        <v>2</v>
      </c>
      <c r="K31" s="12">
        <v>1</v>
      </c>
      <c r="L31" s="12">
        <v>2</v>
      </c>
      <c r="M31" s="12">
        <v>1</v>
      </c>
    </row>
    <row r="32" spans="1:13">
      <c r="A32" s="12">
        <v>17</v>
      </c>
      <c r="B32" s="10">
        <v>3000</v>
      </c>
      <c r="C32" s="10">
        <v>200</v>
      </c>
      <c r="D32" s="10">
        <v>4500</v>
      </c>
      <c r="E32" s="84">
        <v>10000</v>
      </c>
      <c r="F32" s="84">
        <v>2000</v>
      </c>
      <c r="G32" s="12">
        <v>9400003</v>
      </c>
      <c r="H32" s="15" t="s">
        <v>780</v>
      </c>
      <c r="I32" s="85" t="s">
        <v>781</v>
      </c>
      <c r="J32" s="12">
        <v>1</v>
      </c>
      <c r="K32" s="12">
        <v>1</v>
      </c>
      <c r="L32" s="12">
        <v>10</v>
      </c>
      <c r="M32" s="12">
        <v>1</v>
      </c>
    </row>
  </sheetData>
  <phoneticPr fontId="23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77"/>
  <sheetViews>
    <sheetView topLeftCell="A147" zoomScale="85" zoomScaleNormal="85" workbookViewId="0">
      <pane xSplit="2" topLeftCell="C1" activePane="topRight" state="frozen"/>
      <selection pane="topRight" activeCell="G188" sqref="G188"/>
    </sheetView>
  </sheetViews>
  <sheetFormatPr defaultColWidth="9" defaultRowHeight="13.8"/>
  <cols>
    <col min="1" max="1" width="25.77734375" customWidth="1"/>
    <col min="2" max="2" width="39.33203125" customWidth="1"/>
    <col min="3" max="3" width="22.88671875" customWidth="1"/>
    <col min="4" max="4" width="23.44140625" style="16" customWidth="1"/>
    <col min="5" max="6" width="25.33203125" customWidth="1"/>
    <col min="7" max="10" width="31.6640625" customWidth="1"/>
    <col min="11" max="15" width="35" style="16" customWidth="1"/>
    <col min="16" max="16" width="35" style="64" customWidth="1"/>
    <col min="17" max="17" width="23.44140625" customWidth="1"/>
    <col min="18" max="19" width="29.6640625" customWidth="1"/>
    <col min="20" max="21" width="13.109375" customWidth="1"/>
    <col min="22" max="22" width="13.33203125" customWidth="1"/>
  </cols>
  <sheetData>
    <row r="1" spans="1:20">
      <c r="A1" s="1" t="s">
        <v>0</v>
      </c>
      <c r="B1" s="2" t="s">
        <v>782</v>
      </c>
      <c r="C1" s="2" t="s">
        <v>2</v>
      </c>
      <c r="E1" s="2"/>
      <c r="F1" s="2"/>
      <c r="G1" s="2"/>
      <c r="H1" s="2"/>
      <c r="I1" s="2"/>
      <c r="J1" s="2"/>
      <c r="K1" s="23"/>
      <c r="L1" s="23"/>
      <c r="M1" s="23"/>
      <c r="N1" s="23"/>
      <c r="O1" s="23"/>
      <c r="P1" s="66"/>
      <c r="Q1" s="2"/>
      <c r="R1" s="2"/>
      <c r="S1" s="2"/>
      <c r="T1" s="2"/>
    </row>
    <row r="2" spans="1:20">
      <c r="A2" s="1" t="s">
        <v>3</v>
      </c>
      <c r="B2" s="2" t="s">
        <v>783</v>
      </c>
      <c r="C2" s="2" t="s">
        <v>5</v>
      </c>
      <c r="E2" s="2"/>
      <c r="F2" s="2"/>
      <c r="G2" s="2"/>
      <c r="H2" s="2"/>
      <c r="I2" s="2"/>
      <c r="J2" s="2"/>
      <c r="K2" s="23"/>
      <c r="L2" s="23"/>
      <c r="M2" s="23"/>
      <c r="N2" s="23"/>
      <c r="O2" s="23"/>
      <c r="P2" s="66"/>
      <c r="Q2" s="2"/>
      <c r="R2" s="2"/>
      <c r="S2" s="2"/>
      <c r="T2" s="2"/>
    </row>
    <row r="3" spans="1:20">
      <c r="A3" s="1" t="s">
        <v>6</v>
      </c>
      <c r="B3" s="3" t="s">
        <v>7</v>
      </c>
      <c r="C3" s="2" t="s">
        <v>8</v>
      </c>
      <c r="E3" s="2"/>
      <c r="F3" s="2"/>
      <c r="G3" s="2"/>
      <c r="H3" s="2"/>
      <c r="I3" s="2"/>
      <c r="J3" s="2"/>
      <c r="K3" s="23"/>
      <c r="L3" s="23"/>
      <c r="M3" s="23"/>
      <c r="N3" s="23"/>
      <c r="O3" s="23"/>
      <c r="P3" s="66"/>
      <c r="Q3" s="2"/>
      <c r="R3" s="2"/>
      <c r="S3" s="2"/>
      <c r="T3" s="2"/>
    </row>
    <row r="4" spans="1:20">
      <c r="A4" s="1" t="s">
        <v>9</v>
      </c>
      <c r="B4" s="4" t="s">
        <v>10</v>
      </c>
      <c r="C4" s="2"/>
      <c r="E4" s="2"/>
      <c r="F4" s="2"/>
      <c r="G4" s="2"/>
      <c r="H4" s="2"/>
      <c r="I4" s="2"/>
      <c r="J4" s="2"/>
      <c r="K4" s="23"/>
      <c r="L4" s="23"/>
      <c r="M4" s="23"/>
      <c r="N4" s="23"/>
      <c r="O4" s="23"/>
      <c r="P4" s="66"/>
      <c r="Q4" s="2"/>
      <c r="R4" s="2"/>
      <c r="S4" s="2"/>
      <c r="T4" s="2"/>
    </row>
    <row r="5" spans="1:20">
      <c r="A5" s="1" t="s">
        <v>11</v>
      </c>
      <c r="B5" s="2"/>
      <c r="C5" s="2" t="s">
        <v>12</v>
      </c>
      <c r="E5" s="2"/>
      <c r="F5" s="2"/>
      <c r="G5" s="2"/>
      <c r="H5" s="2"/>
      <c r="I5" s="2"/>
      <c r="J5" s="2"/>
      <c r="K5" s="23"/>
      <c r="L5" s="23"/>
      <c r="M5" s="23"/>
      <c r="N5" s="23"/>
      <c r="O5" s="23"/>
      <c r="P5" s="66"/>
      <c r="Q5" s="2"/>
      <c r="R5" s="2"/>
      <c r="S5" s="2"/>
      <c r="T5" s="2"/>
    </row>
    <row r="6" spans="1:20">
      <c r="A6" s="1" t="s">
        <v>13</v>
      </c>
      <c r="B6" s="2">
        <v>4</v>
      </c>
      <c r="C6" s="2" t="s">
        <v>14</v>
      </c>
      <c r="E6" s="2"/>
      <c r="F6" s="2"/>
      <c r="G6" s="2"/>
      <c r="H6" s="2"/>
      <c r="I6" s="2"/>
      <c r="J6" s="2"/>
      <c r="K6" s="23"/>
      <c r="L6" s="23"/>
      <c r="M6" s="23"/>
      <c r="N6" s="23"/>
      <c r="O6" s="23"/>
      <c r="P6" s="66"/>
      <c r="Q6" s="2"/>
      <c r="R6" s="2"/>
      <c r="S6" s="2"/>
      <c r="T6" s="2"/>
    </row>
    <row r="7" spans="1:20">
      <c r="A7" s="1" t="s">
        <v>15</v>
      </c>
      <c r="B7" s="2"/>
      <c r="C7" s="2"/>
      <c r="E7" s="2"/>
      <c r="F7" s="2"/>
      <c r="G7" s="2"/>
      <c r="H7" s="2"/>
      <c r="I7" s="2"/>
      <c r="J7" s="2"/>
      <c r="K7" s="23"/>
      <c r="L7" s="23"/>
      <c r="M7" s="23"/>
      <c r="N7" s="23"/>
      <c r="O7" s="23"/>
      <c r="P7" s="66"/>
      <c r="Q7" s="2"/>
      <c r="R7" s="2"/>
      <c r="S7" s="2"/>
      <c r="T7" s="2"/>
    </row>
    <row r="8" spans="1:20">
      <c r="A8" s="1" t="s">
        <v>16</v>
      </c>
      <c r="B8" s="2"/>
      <c r="C8" s="2"/>
      <c r="E8" s="2"/>
      <c r="F8" s="2"/>
      <c r="G8" s="2"/>
      <c r="H8" s="2"/>
      <c r="I8" s="2"/>
      <c r="J8" s="2"/>
      <c r="K8" s="23"/>
      <c r="L8" s="23"/>
      <c r="M8" s="23"/>
      <c r="N8" s="23"/>
      <c r="O8" s="23"/>
      <c r="P8" s="66"/>
      <c r="Q8" s="2"/>
      <c r="R8" s="2"/>
      <c r="S8" s="2"/>
      <c r="T8" s="2"/>
    </row>
    <row r="9" spans="1:20">
      <c r="A9" s="2"/>
      <c r="B9" s="2"/>
      <c r="C9" s="2"/>
      <c r="E9" s="2"/>
      <c r="F9" s="2"/>
      <c r="G9" s="2"/>
      <c r="H9" s="2"/>
      <c r="I9" s="2"/>
      <c r="J9" s="2"/>
      <c r="K9" s="23"/>
      <c r="L9" s="23"/>
      <c r="M9" s="23"/>
      <c r="N9" s="23"/>
      <c r="O9" s="23"/>
      <c r="P9" s="66"/>
      <c r="Q9" s="2"/>
      <c r="R9" s="2"/>
      <c r="S9" s="2"/>
      <c r="T9" s="2"/>
    </row>
    <row r="10" spans="1:20">
      <c r="A10" s="2"/>
      <c r="B10" s="2"/>
      <c r="P10" s="66"/>
    </row>
    <row r="11" spans="1:20">
      <c r="A11" s="10" t="s">
        <v>491</v>
      </c>
      <c r="B11" s="15" t="s">
        <v>470</v>
      </c>
      <c r="C11" s="10" t="s">
        <v>784</v>
      </c>
      <c r="D11" s="12" t="s">
        <v>785</v>
      </c>
      <c r="E11" s="10" t="s">
        <v>786</v>
      </c>
      <c r="F11" s="10" t="s">
        <v>787</v>
      </c>
      <c r="G11" s="10" t="s">
        <v>788</v>
      </c>
      <c r="H11" s="10" t="s">
        <v>789</v>
      </c>
      <c r="I11" s="10" t="s">
        <v>790</v>
      </c>
      <c r="J11" s="10" t="s">
        <v>791</v>
      </c>
      <c r="K11" s="10" t="s">
        <v>792</v>
      </c>
      <c r="L11" s="10" t="s">
        <v>793</v>
      </c>
      <c r="M11" s="10" t="s">
        <v>794</v>
      </c>
      <c r="N11" s="10" t="s">
        <v>795</v>
      </c>
      <c r="O11" s="10" t="s">
        <v>796</v>
      </c>
      <c r="P11" s="66" t="s">
        <v>797</v>
      </c>
    </row>
    <row r="12" spans="1:20">
      <c r="A12" s="11" t="s">
        <v>23</v>
      </c>
      <c r="B12" s="15" t="s">
        <v>499</v>
      </c>
      <c r="C12" s="11" t="s">
        <v>798</v>
      </c>
      <c r="D12" s="65" t="s">
        <v>799</v>
      </c>
      <c r="E12" s="11" t="s">
        <v>800</v>
      </c>
      <c r="F12" s="11" t="s">
        <v>801</v>
      </c>
      <c r="G12" s="11" t="s">
        <v>802</v>
      </c>
      <c r="H12" s="11" t="s">
        <v>803</v>
      </c>
      <c r="I12" s="11" t="s">
        <v>804</v>
      </c>
      <c r="J12" s="11" t="s">
        <v>805</v>
      </c>
      <c r="K12" s="11" t="s">
        <v>806</v>
      </c>
      <c r="L12" s="11" t="s">
        <v>807</v>
      </c>
      <c r="M12" s="11" t="s">
        <v>808</v>
      </c>
      <c r="N12" s="11" t="s">
        <v>809</v>
      </c>
      <c r="O12" s="11" t="s">
        <v>810</v>
      </c>
      <c r="P12" s="67" t="s">
        <v>811</v>
      </c>
    </row>
    <row r="13" spans="1:20">
      <c r="A13" s="11" t="s">
        <v>29</v>
      </c>
      <c r="B13" s="15" t="s">
        <v>30</v>
      </c>
      <c r="C13" s="11" t="s">
        <v>29</v>
      </c>
      <c r="D13" s="65" t="s">
        <v>30</v>
      </c>
      <c r="E13" s="11" t="s">
        <v>30</v>
      </c>
      <c r="F13" s="11" t="s">
        <v>30</v>
      </c>
      <c r="G13" s="11" t="s">
        <v>29</v>
      </c>
      <c r="H13" s="11" t="s">
        <v>29</v>
      </c>
      <c r="I13" s="11" t="s">
        <v>29</v>
      </c>
      <c r="J13" s="11" t="s">
        <v>30</v>
      </c>
      <c r="K13" s="11" t="s">
        <v>30</v>
      </c>
      <c r="L13" s="11" t="s">
        <v>30</v>
      </c>
      <c r="M13" s="11" t="s">
        <v>30</v>
      </c>
      <c r="N13" s="11" t="s">
        <v>30</v>
      </c>
      <c r="O13" s="11" t="s">
        <v>30</v>
      </c>
      <c r="P13" s="67" t="s">
        <v>30</v>
      </c>
    </row>
    <row r="14" spans="1:20">
      <c r="A14" s="11" t="s">
        <v>31</v>
      </c>
      <c r="B14" s="15" t="s">
        <v>812</v>
      </c>
      <c r="C14" s="11" t="s">
        <v>32</v>
      </c>
      <c r="D14" s="65" t="s">
        <v>32</v>
      </c>
      <c r="E14" s="11" t="s">
        <v>32</v>
      </c>
      <c r="F14" s="11" t="s">
        <v>32</v>
      </c>
      <c r="G14" s="11" t="s">
        <v>32</v>
      </c>
      <c r="H14" s="11" t="s">
        <v>32</v>
      </c>
      <c r="I14" s="11" t="s">
        <v>32</v>
      </c>
      <c r="J14" s="11" t="s">
        <v>32</v>
      </c>
      <c r="K14" s="11" t="s">
        <v>32</v>
      </c>
      <c r="L14" s="11" t="s">
        <v>32</v>
      </c>
      <c r="M14" s="11" t="s">
        <v>32</v>
      </c>
      <c r="N14" s="11" t="s">
        <v>32</v>
      </c>
      <c r="O14" s="11" t="s">
        <v>32</v>
      </c>
      <c r="P14" s="67" t="s">
        <v>32</v>
      </c>
    </row>
    <row r="15" spans="1:20">
      <c r="A15" s="11"/>
      <c r="B15" s="15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/>
      <c r="M15" s="12">
        <v>0</v>
      </c>
      <c r="N15" s="12">
        <v>0</v>
      </c>
      <c r="O15" s="12">
        <v>0</v>
      </c>
      <c r="P15" s="66"/>
      <c r="Q15" t="s">
        <v>813</v>
      </c>
      <c r="R15" t="s">
        <v>814</v>
      </c>
    </row>
    <row r="16" spans="1:20" ht="12.75" customHeight="1">
      <c r="A16" s="10">
        <v>1</v>
      </c>
      <c r="B16" s="15" t="s">
        <v>815</v>
      </c>
      <c r="C16" s="12">
        <v>3</v>
      </c>
      <c r="D16" s="16" t="s">
        <v>816</v>
      </c>
      <c r="E16" s="12" t="s">
        <v>817</v>
      </c>
      <c r="F16" s="12" t="s">
        <v>818</v>
      </c>
      <c r="G16" s="12">
        <v>0</v>
      </c>
      <c r="H16" s="12">
        <v>0</v>
      </c>
      <c r="I16" s="12">
        <v>7</v>
      </c>
      <c r="J16" s="12" t="s">
        <v>819</v>
      </c>
      <c r="K16" s="12" t="s">
        <v>820</v>
      </c>
      <c r="L16" s="68" t="s">
        <v>821</v>
      </c>
      <c r="M16" s="69">
        <v>497125</v>
      </c>
      <c r="N16" s="69" t="s">
        <v>822</v>
      </c>
      <c r="O16" s="70" t="s">
        <v>823</v>
      </c>
      <c r="P16" s="71" t="s">
        <v>824</v>
      </c>
      <c r="Q16" s="74">
        <v>2</v>
      </c>
      <c r="R16" s="12">
        <v>13</v>
      </c>
      <c r="S16">
        <v>2</v>
      </c>
    </row>
    <row r="17" spans="1:19" ht="16.8">
      <c r="A17" s="12">
        <v>2</v>
      </c>
      <c r="B17" s="15" t="s">
        <v>825</v>
      </c>
      <c r="C17" s="12">
        <v>13</v>
      </c>
      <c r="D17" s="12" t="s">
        <v>816</v>
      </c>
      <c r="E17" s="12" t="s">
        <v>826</v>
      </c>
      <c r="F17" s="12" t="s">
        <v>827</v>
      </c>
      <c r="G17" s="12">
        <v>1</v>
      </c>
      <c r="H17" s="12">
        <v>1</v>
      </c>
      <c r="I17" s="12">
        <v>13</v>
      </c>
      <c r="J17" s="12" t="s">
        <v>828</v>
      </c>
      <c r="K17" s="12" t="s">
        <v>820</v>
      </c>
      <c r="L17" s="68" t="s">
        <v>821</v>
      </c>
      <c r="M17" s="69">
        <v>497125</v>
      </c>
      <c r="N17" s="69" t="s">
        <v>822</v>
      </c>
      <c r="O17" s="70" t="s">
        <v>823</v>
      </c>
      <c r="P17" s="71" t="s">
        <v>824</v>
      </c>
      <c r="Q17" s="74">
        <v>2</v>
      </c>
      <c r="R17" s="12">
        <v>13</v>
      </c>
      <c r="S17">
        <v>13</v>
      </c>
    </row>
    <row r="18" spans="1:19" ht="16.8">
      <c r="A18" s="12">
        <v>3</v>
      </c>
      <c r="B18" s="15" t="s">
        <v>829</v>
      </c>
      <c r="C18" s="12">
        <v>13</v>
      </c>
      <c r="D18" s="12" t="s">
        <v>816</v>
      </c>
      <c r="E18" s="12" t="s">
        <v>830</v>
      </c>
      <c r="F18" s="12" t="s">
        <v>831</v>
      </c>
      <c r="G18" s="12">
        <v>1</v>
      </c>
      <c r="H18" s="12">
        <v>0</v>
      </c>
      <c r="I18" s="12">
        <v>13</v>
      </c>
      <c r="J18" s="12" t="s">
        <v>832</v>
      </c>
      <c r="K18" s="12" t="s">
        <v>820</v>
      </c>
      <c r="L18" s="68" t="s">
        <v>821</v>
      </c>
      <c r="M18" s="69">
        <v>497125</v>
      </c>
      <c r="N18" s="69" t="s">
        <v>822</v>
      </c>
      <c r="O18" s="70" t="s">
        <v>823</v>
      </c>
      <c r="P18" s="71" t="s">
        <v>824</v>
      </c>
      <c r="Q18" s="74">
        <v>2</v>
      </c>
      <c r="R18" s="12">
        <v>13</v>
      </c>
      <c r="S18">
        <v>13</v>
      </c>
    </row>
    <row r="19" spans="1:19" ht="16.8">
      <c r="A19" s="10">
        <v>4</v>
      </c>
      <c r="B19" s="15" t="s">
        <v>833</v>
      </c>
      <c r="C19" s="12">
        <v>3</v>
      </c>
      <c r="D19" s="12" t="s">
        <v>816</v>
      </c>
      <c r="E19" s="12" t="s">
        <v>834</v>
      </c>
      <c r="F19" s="12" t="s">
        <v>835</v>
      </c>
      <c r="G19" s="12">
        <v>0</v>
      </c>
      <c r="H19" s="12">
        <v>0</v>
      </c>
      <c r="I19" s="12">
        <v>7</v>
      </c>
      <c r="J19" s="12" t="s">
        <v>836</v>
      </c>
      <c r="K19" s="12" t="s">
        <v>820</v>
      </c>
      <c r="L19" s="68" t="s">
        <v>821</v>
      </c>
      <c r="M19" s="69">
        <v>497125</v>
      </c>
      <c r="N19" s="69" t="s">
        <v>822</v>
      </c>
      <c r="O19" s="70" t="s">
        <v>823</v>
      </c>
      <c r="P19" s="71" t="s">
        <v>824</v>
      </c>
      <c r="Q19" s="74">
        <v>2</v>
      </c>
      <c r="R19" s="12">
        <v>13</v>
      </c>
      <c r="S19">
        <v>2</v>
      </c>
    </row>
    <row r="20" spans="1:19" ht="16.8">
      <c r="A20" s="12">
        <v>5</v>
      </c>
      <c r="B20" s="15" t="s">
        <v>837</v>
      </c>
      <c r="C20" s="12">
        <v>3</v>
      </c>
      <c r="D20" s="12" t="s">
        <v>816</v>
      </c>
      <c r="E20" s="12" t="s">
        <v>838</v>
      </c>
      <c r="F20" s="12" t="s">
        <v>838</v>
      </c>
      <c r="G20" s="12">
        <v>0</v>
      </c>
      <c r="H20" s="12">
        <v>0</v>
      </c>
      <c r="I20" s="12">
        <v>7</v>
      </c>
      <c r="J20" s="12" t="s">
        <v>839</v>
      </c>
      <c r="K20" s="12" t="s">
        <v>820</v>
      </c>
      <c r="L20" s="68" t="s">
        <v>821</v>
      </c>
      <c r="M20" s="69">
        <v>497125</v>
      </c>
      <c r="N20" s="69" t="s">
        <v>822</v>
      </c>
      <c r="O20" s="70" t="s">
        <v>823</v>
      </c>
      <c r="P20" s="71" t="s">
        <v>824</v>
      </c>
      <c r="Q20" s="74">
        <v>2</v>
      </c>
      <c r="R20" s="12">
        <v>13</v>
      </c>
      <c r="S20">
        <v>2</v>
      </c>
    </row>
    <row r="21" spans="1:19" ht="16.8">
      <c r="A21" s="12">
        <v>6</v>
      </c>
      <c r="B21" s="15" t="s">
        <v>840</v>
      </c>
      <c r="C21" s="12">
        <v>3</v>
      </c>
      <c r="D21" s="12" t="s">
        <v>816</v>
      </c>
      <c r="E21" s="12" t="s">
        <v>841</v>
      </c>
      <c r="F21" s="12" t="s">
        <v>842</v>
      </c>
      <c r="G21" s="12">
        <v>0</v>
      </c>
      <c r="H21" s="12">
        <v>1</v>
      </c>
      <c r="I21" s="12">
        <v>7</v>
      </c>
      <c r="J21" s="12" t="s">
        <v>843</v>
      </c>
      <c r="K21" s="12" t="s">
        <v>820</v>
      </c>
      <c r="L21" s="68" t="s">
        <v>821</v>
      </c>
      <c r="M21" s="69">
        <v>497125</v>
      </c>
      <c r="N21" s="69" t="s">
        <v>822</v>
      </c>
      <c r="O21" s="70" t="s">
        <v>823</v>
      </c>
      <c r="P21" s="71" t="s">
        <v>824</v>
      </c>
      <c r="Q21" s="74">
        <v>2</v>
      </c>
      <c r="R21" s="12">
        <v>2</v>
      </c>
      <c r="S21">
        <v>2</v>
      </c>
    </row>
    <row r="22" spans="1:19" ht="16.8">
      <c r="A22" s="10">
        <v>7</v>
      </c>
      <c r="B22" s="15" t="s">
        <v>844</v>
      </c>
      <c r="C22" s="12">
        <v>3</v>
      </c>
      <c r="D22" s="12" t="s">
        <v>816</v>
      </c>
      <c r="E22" s="12" t="s">
        <v>841</v>
      </c>
      <c r="F22" s="12" t="s">
        <v>842</v>
      </c>
      <c r="G22" s="12">
        <v>0</v>
      </c>
      <c r="H22" s="12">
        <v>1</v>
      </c>
      <c r="I22" s="12">
        <v>7</v>
      </c>
      <c r="J22" s="12" t="s">
        <v>845</v>
      </c>
      <c r="K22" s="12" t="s">
        <v>820</v>
      </c>
      <c r="L22" s="68" t="s">
        <v>821</v>
      </c>
      <c r="M22" s="69">
        <v>497125</v>
      </c>
      <c r="N22" s="69" t="s">
        <v>822</v>
      </c>
      <c r="O22" s="70" t="s">
        <v>823</v>
      </c>
      <c r="P22" s="71" t="s">
        <v>824</v>
      </c>
      <c r="Q22" s="74">
        <v>2</v>
      </c>
      <c r="R22" s="12">
        <v>2</v>
      </c>
      <c r="S22">
        <v>2</v>
      </c>
    </row>
    <row r="23" spans="1:19" ht="16.8">
      <c r="A23" s="12">
        <v>8</v>
      </c>
      <c r="B23" s="15" t="s">
        <v>846</v>
      </c>
      <c r="C23" s="12">
        <v>3</v>
      </c>
      <c r="D23" s="12" t="s">
        <v>816</v>
      </c>
      <c r="E23" s="12" t="s">
        <v>847</v>
      </c>
      <c r="F23" s="12" t="s">
        <v>848</v>
      </c>
      <c r="G23" s="12">
        <v>0</v>
      </c>
      <c r="H23" s="12">
        <v>1</v>
      </c>
      <c r="I23" s="12">
        <v>7</v>
      </c>
      <c r="J23" s="12" t="s">
        <v>849</v>
      </c>
      <c r="K23" s="12" t="s">
        <v>820</v>
      </c>
      <c r="L23" s="68" t="s">
        <v>821</v>
      </c>
      <c r="M23" s="69">
        <v>497125</v>
      </c>
      <c r="N23" s="69" t="s">
        <v>822</v>
      </c>
      <c r="O23" s="70" t="s">
        <v>823</v>
      </c>
      <c r="P23" s="71" t="s">
        <v>824</v>
      </c>
      <c r="Q23" s="74">
        <v>2</v>
      </c>
      <c r="R23" s="12">
        <v>2</v>
      </c>
      <c r="S23">
        <v>2</v>
      </c>
    </row>
    <row r="24" spans="1:19" ht="16.8">
      <c r="A24" s="12">
        <v>9</v>
      </c>
      <c r="B24" s="15" t="s">
        <v>850</v>
      </c>
      <c r="C24" s="12">
        <v>3</v>
      </c>
      <c r="D24" s="12" t="s">
        <v>816</v>
      </c>
      <c r="E24" s="12" t="s">
        <v>847</v>
      </c>
      <c r="F24" s="12" t="s">
        <v>848</v>
      </c>
      <c r="G24" s="12">
        <v>0</v>
      </c>
      <c r="H24" s="12">
        <v>1</v>
      </c>
      <c r="I24" s="12">
        <v>7</v>
      </c>
      <c r="J24" s="12" t="s">
        <v>851</v>
      </c>
      <c r="K24" s="12" t="s">
        <v>820</v>
      </c>
      <c r="L24" s="68" t="s">
        <v>821</v>
      </c>
      <c r="M24" s="69">
        <v>497125</v>
      </c>
      <c r="N24" s="69" t="s">
        <v>822</v>
      </c>
      <c r="O24" s="70" t="s">
        <v>823</v>
      </c>
      <c r="P24" s="71" t="s">
        <v>824</v>
      </c>
      <c r="Q24" s="74">
        <v>2</v>
      </c>
      <c r="R24" s="12">
        <v>3</v>
      </c>
      <c r="S24">
        <v>2</v>
      </c>
    </row>
    <row r="25" spans="1:19" ht="16.8">
      <c r="A25" s="10">
        <v>10</v>
      </c>
      <c r="B25" s="15" t="s">
        <v>852</v>
      </c>
      <c r="C25" s="12">
        <v>13</v>
      </c>
      <c r="D25" s="12" t="s">
        <v>816</v>
      </c>
      <c r="E25" s="12" t="s">
        <v>853</v>
      </c>
      <c r="F25" s="12" t="s">
        <v>854</v>
      </c>
      <c r="G25" s="12">
        <v>1</v>
      </c>
      <c r="H25" s="12">
        <v>0</v>
      </c>
      <c r="I25" s="12">
        <v>13</v>
      </c>
      <c r="J25" s="12" t="s">
        <v>855</v>
      </c>
      <c r="K25" s="12" t="s">
        <v>820</v>
      </c>
      <c r="L25" s="68" t="s">
        <v>821</v>
      </c>
      <c r="M25" s="69">
        <v>497125</v>
      </c>
      <c r="N25" s="69" t="s">
        <v>822</v>
      </c>
      <c r="O25" s="70" t="s">
        <v>823</v>
      </c>
      <c r="P25" s="71" t="s">
        <v>824</v>
      </c>
      <c r="Q25" s="74">
        <v>1</v>
      </c>
      <c r="R25" s="12">
        <v>13</v>
      </c>
      <c r="S25">
        <v>13</v>
      </c>
    </row>
    <row r="26" spans="1:19" ht="16.8">
      <c r="A26" s="12">
        <v>11</v>
      </c>
      <c r="B26" s="15" t="s">
        <v>856</v>
      </c>
      <c r="C26" s="12">
        <v>3</v>
      </c>
      <c r="D26" s="12" t="s">
        <v>816</v>
      </c>
      <c r="E26" s="12" t="s">
        <v>857</v>
      </c>
      <c r="F26" s="12" t="s">
        <v>858</v>
      </c>
      <c r="G26" s="12">
        <v>0</v>
      </c>
      <c r="H26" s="12">
        <v>1</v>
      </c>
      <c r="I26" s="12">
        <v>7</v>
      </c>
      <c r="J26" s="12" t="s">
        <v>859</v>
      </c>
      <c r="K26" s="12" t="s">
        <v>820</v>
      </c>
      <c r="L26" s="68" t="s">
        <v>821</v>
      </c>
      <c r="M26" s="69">
        <v>497125</v>
      </c>
      <c r="N26" s="69" t="s">
        <v>822</v>
      </c>
      <c r="O26" s="70" t="s">
        <v>823</v>
      </c>
      <c r="P26" s="71" t="s">
        <v>824</v>
      </c>
      <c r="Q26" s="74">
        <v>2</v>
      </c>
      <c r="R26" s="12">
        <v>3</v>
      </c>
      <c r="S26">
        <v>2</v>
      </c>
    </row>
    <row r="27" spans="1:19" ht="16.8">
      <c r="A27" s="12">
        <v>12</v>
      </c>
      <c r="B27" s="15" t="s">
        <v>4</v>
      </c>
      <c r="C27" s="12">
        <v>13</v>
      </c>
      <c r="D27" s="12" t="s">
        <v>816</v>
      </c>
      <c r="E27" s="12" t="s">
        <v>860</v>
      </c>
      <c r="F27" s="12" t="s">
        <v>861</v>
      </c>
      <c r="G27" s="12">
        <v>1</v>
      </c>
      <c r="H27" s="12">
        <v>1</v>
      </c>
      <c r="I27" s="12">
        <v>13</v>
      </c>
      <c r="J27" s="12" t="s">
        <v>862</v>
      </c>
      <c r="K27" s="12" t="s">
        <v>820</v>
      </c>
      <c r="L27" s="68" t="s">
        <v>821</v>
      </c>
      <c r="M27" s="69">
        <v>497125</v>
      </c>
      <c r="N27" s="69" t="s">
        <v>822</v>
      </c>
      <c r="O27" s="70" t="s">
        <v>823</v>
      </c>
      <c r="P27" s="71" t="s">
        <v>824</v>
      </c>
      <c r="Q27" s="74">
        <v>3</v>
      </c>
      <c r="R27" s="12">
        <v>3</v>
      </c>
      <c r="S27">
        <v>2</v>
      </c>
    </row>
    <row r="28" spans="1:19" ht="16.8">
      <c r="A28" s="12">
        <v>13</v>
      </c>
      <c r="B28" s="15" t="s">
        <v>336</v>
      </c>
      <c r="C28" s="12">
        <v>3</v>
      </c>
      <c r="D28" s="12" t="s">
        <v>816</v>
      </c>
      <c r="E28" s="12" t="s">
        <v>863</v>
      </c>
      <c r="F28" s="12" t="s">
        <v>864</v>
      </c>
      <c r="G28" s="12">
        <v>0</v>
      </c>
      <c r="H28" s="12">
        <v>1</v>
      </c>
      <c r="I28" s="12">
        <v>3</v>
      </c>
      <c r="J28" s="12" t="s">
        <v>865</v>
      </c>
      <c r="K28" s="12" t="s">
        <v>820</v>
      </c>
      <c r="L28" s="68" t="s">
        <v>821</v>
      </c>
      <c r="M28" s="69">
        <v>497125</v>
      </c>
      <c r="N28" s="69" t="s">
        <v>822</v>
      </c>
      <c r="O28" s="70" t="s">
        <v>823</v>
      </c>
      <c r="P28" s="71" t="s">
        <v>824</v>
      </c>
      <c r="Q28" s="74">
        <v>2</v>
      </c>
      <c r="R28" s="12">
        <v>3</v>
      </c>
      <c r="S28">
        <v>2</v>
      </c>
    </row>
    <row r="29" spans="1:19" ht="16.8">
      <c r="A29" s="10">
        <v>14</v>
      </c>
      <c r="B29" s="15" t="s">
        <v>866</v>
      </c>
      <c r="C29" s="12">
        <v>13</v>
      </c>
      <c r="D29" s="12" t="s">
        <v>816</v>
      </c>
      <c r="E29" s="12" t="s">
        <v>867</v>
      </c>
      <c r="F29" s="12" t="s">
        <v>868</v>
      </c>
      <c r="G29" s="12">
        <v>1</v>
      </c>
      <c r="H29" s="12">
        <v>1</v>
      </c>
      <c r="I29" s="12">
        <v>13</v>
      </c>
      <c r="J29" s="12" t="s">
        <v>869</v>
      </c>
      <c r="K29" s="12" t="s">
        <v>820</v>
      </c>
      <c r="L29" s="68" t="s">
        <v>821</v>
      </c>
      <c r="M29" s="69">
        <v>497125</v>
      </c>
      <c r="N29" s="69" t="s">
        <v>822</v>
      </c>
      <c r="O29" s="70" t="s">
        <v>823</v>
      </c>
      <c r="P29" s="71" t="s">
        <v>824</v>
      </c>
      <c r="Q29" s="74">
        <v>2</v>
      </c>
      <c r="R29" s="12">
        <v>2</v>
      </c>
      <c r="S29">
        <v>2</v>
      </c>
    </row>
    <row r="30" spans="1:19" ht="16.8">
      <c r="A30" s="12">
        <v>15</v>
      </c>
      <c r="B30" s="15" t="s">
        <v>870</v>
      </c>
      <c r="C30" s="12">
        <v>3</v>
      </c>
      <c r="D30" s="12" t="s">
        <v>816</v>
      </c>
      <c r="E30" s="12" t="s">
        <v>871</v>
      </c>
      <c r="F30" s="12" t="s">
        <v>872</v>
      </c>
      <c r="G30" s="12">
        <v>0</v>
      </c>
      <c r="H30" s="12">
        <v>1</v>
      </c>
      <c r="I30" s="12">
        <v>7</v>
      </c>
      <c r="J30" s="12" t="s">
        <v>873</v>
      </c>
      <c r="K30" s="12" t="s">
        <v>820</v>
      </c>
      <c r="L30" s="68" t="s">
        <v>821</v>
      </c>
      <c r="M30" s="69">
        <v>497125</v>
      </c>
      <c r="N30" s="69" t="s">
        <v>822</v>
      </c>
      <c r="O30" s="70" t="s">
        <v>823</v>
      </c>
      <c r="P30" s="71" t="s">
        <v>824</v>
      </c>
      <c r="Q30" s="74">
        <v>2</v>
      </c>
      <c r="R30" s="12">
        <v>13</v>
      </c>
      <c r="S30">
        <v>2</v>
      </c>
    </row>
    <row r="31" spans="1:19" ht="16.8">
      <c r="A31" s="12">
        <v>16</v>
      </c>
      <c r="B31" s="15" t="s">
        <v>874</v>
      </c>
      <c r="C31" s="12">
        <v>13</v>
      </c>
      <c r="D31" s="12" t="s">
        <v>816</v>
      </c>
      <c r="E31" s="12" t="s">
        <v>875</v>
      </c>
      <c r="F31" s="12" t="s">
        <v>876</v>
      </c>
      <c r="G31" s="12">
        <v>0</v>
      </c>
      <c r="H31" s="12">
        <v>1</v>
      </c>
      <c r="I31" s="12">
        <v>13</v>
      </c>
      <c r="J31" s="12" t="s">
        <v>877</v>
      </c>
      <c r="K31" s="12" t="s">
        <v>820</v>
      </c>
      <c r="L31" s="68" t="s">
        <v>821</v>
      </c>
      <c r="M31" s="69">
        <v>497125</v>
      </c>
      <c r="N31" s="69" t="s">
        <v>822</v>
      </c>
      <c r="O31" s="70" t="s">
        <v>823</v>
      </c>
      <c r="P31" s="71" t="s">
        <v>824</v>
      </c>
      <c r="Q31" s="74">
        <v>2</v>
      </c>
      <c r="R31" s="12">
        <v>13</v>
      </c>
      <c r="S31">
        <v>2</v>
      </c>
    </row>
    <row r="32" spans="1:19" ht="16.8">
      <c r="A32" s="12">
        <v>17</v>
      </c>
      <c r="B32" s="15" t="s">
        <v>878</v>
      </c>
      <c r="C32" s="12">
        <v>3</v>
      </c>
      <c r="D32" s="12" t="s">
        <v>816</v>
      </c>
      <c r="E32" s="12" t="s">
        <v>847</v>
      </c>
      <c r="F32" s="12" t="s">
        <v>848</v>
      </c>
      <c r="G32" s="12">
        <v>0</v>
      </c>
      <c r="H32" s="12">
        <v>1</v>
      </c>
      <c r="I32" s="12">
        <v>7</v>
      </c>
      <c r="J32" s="12" t="s">
        <v>879</v>
      </c>
      <c r="K32" s="12" t="s">
        <v>820</v>
      </c>
      <c r="L32" s="68" t="s">
        <v>821</v>
      </c>
      <c r="M32" s="69">
        <v>497125</v>
      </c>
      <c r="N32" s="69" t="s">
        <v>822</v>
      </c>
      <c r="O32" s="70" t="s">
        <v>823</v>
      </c>
      <c r="P32" s="71" t="s">
        <v>824</v>
      </c>
      <c r="Q32" s="74">
        <v>2</v>
      </c>
      <c r="R32" s="12">
        <v>7</v>
      </c>
      <c r="S32">
        <v>2</v>
      </c>
    </row>
    <row r="33" spans="1:19" ht="16.8">
      <c r="A33" s="12">
        <v>18</v>
      </c>
      <c r="B33" s="15" t="s">
        <v>880</v>
      </c>
      <c r="C33" s="12">
        <v>1</v>
      </c>
      <c r="D33" s="12" t="s">
        <v>816</v>
      </c>
      <c r="E33" s="12"/>
      <c r="F33" s="12"/>
      <c r="G33" s="12">
        <v>0</v>
      </c>
      <c r="H33" s="12">
        <v>0</v>
      </c>
      <c r="I33" s="12">
        <v>1</v>
      </c>
      <c r="J33" s="12"/>
      <c r="K33" s="12"/>
      <c r="L33" s="12"/>
      <c r="M33" s="69"/>
      <c r="N33" s="69"/>
      <c r="O33" s="70"/>
      <c r="P33" s="66"/>
      <c r="Q33" s="74">
        <v>0</v>
      </c>
      <c r="R33" s="12">
        <v>1</v>
      </c>
      <c r="S33">
        <v>1</v>
      </c>
    </row>
    <row r="34" spans="1:19" ht="16.8">
      <c r="A34" s="12">
        <v>19</v>
      </c>
      <c r="B34" s="15" t="s">
        <v>881</v>
      </c>
      <c r="C34" s="12">
        <v>1</v>
      </c>
      <c r="D34" s="12" t="s">
        <v>816</v>
      </c>
      <c r="E34" s="12"/>
      <c r="F34" s="12"/>
      <c r="G34" s="12">
        <v>0</v>
      </c>
      <c r="H34" s="12">
        <v>0</v>
      </c>
      <c r="I34" s="12">
        <v>1</v>
      </c>
      <c r="J34" s="12"/>
      <c r="K34" s="12"/>
      <c r="L34" s="12"/>
      <c r="M34" s="69"/>
      <c r="N34" s="69"/>
      <c r="O34" s="70"/>
      <c r="P34" s="66"/>
      <c r="Q34" s="74">
        <v>0</v>
      </c>
      <c r="R34" s="12">
        <v>1</v>
      </c>
      <c r="S34">
        <v>1</v>
      </c>
    </row>
    <row r="35" spans="1:19" ht="16.8">
      <c r="A35" s="12">
        <v>20</v>
      </c>
      <c r="B35" s="15" t="s">
        <v>882</v>
      </c>
      <c r="C35" s="12">
        <v>1</v>
      </c>
      <c r="D35" s="12" t="s">
        <v>816</v>
      </c>
      <c r="E35" s="12"/>
      <c r="F35" s="12"/>
      <c r="G35" s="12">
        <v>0</v>
      </c>
      <c r="H35" s="12">
        <v>0</v>
      </c>
      <c r="I35" s="12">
        <v>1</v>
      </c>
      <c r="J35" s="12"/>
      <c r="K35" s="12"/>
      <c r="L35" s="12"/>
      <c r="M35" s="69"/>
      <c r="N35" s="69"/>
      <c r="O35" s="70"/>
      <c r="P35" s="66"/>
      <c r="Q35" s="74">
        <v>0</v>
      </c>
      <c r="R35" s="12">
        <v>1</v>
      </c>
      <c r="S35">
        <v>1</v>
      </c>
    </row>
    <row r="36" spans="1:19" ht="16.8">
      <c r="A36" s="12">
        <v>21</v>
      </c>
      <c r="B36" s="15" t="s">
        <v>883</v>
      </c>
      <c r="C36" s="12">
        <v>1</v>
      </c>
      <c r="D36" s="12" t="s">
        <v>884</v>
      </c>
      <c r="E36" s="12"/>
      <c r="F36" s="12"/>
      <c r="G36" s="12">
        <v>0</v>
      </c>
      <c r="H36" s="12">
        <v>0</v>
      </c>
      <c r="I36" s="12">
        <v>1</v>
      </c>
      <c r="J36" s="12"/>
      <c r="K36" s="12"/>
      <c r="L36" s="12"/>
      <c r="M36" s="69"/>
      <c r="N36" s="69"/>
      <c r="O36" s="70"/>
      <c r="P36" s="66"/>
      <c r="Q36" s="74">
        <v>0</v>
      </c>
      <c r="R36" s="12">
        <v>1</v>
      </c>
      <c r="S36">
        <v>1</v>
      </c>
    </row>
    <row r="37" spans="1:19" ht="16.8">
      <c r="A37" s="12">
        <v>22</v>
      </c>
      <c r="B37" s="15" t="s">
        <v>885</v>
      </c>
      <c r="C37" s="12">
        <v>1</v>
      </c>
      <c r="D37" s="12" t="s">
        <v>816</v>
      </c>
      <c r="E37" s="12"/>
      <c r="F37" s="12"/>
      <c r="G37" s="12">
        <v>0</v>
      </c>
      <c r="H37" s="12">
        <v>0</v>
      </c>
      <c r="I37" s="12">
        <v>1</v>
      </c>
      <c r="J37" s="12"/>
      <c r="K37" s="12"/>
      <c r="L37" s="12"/>
      <c r="M37" s="69"/>
      <c r="N37" s="69"/>
      <c r="O37" s="70"/>
      <c r="P37" s="66"/>
      <c r="Q37" s="74">
        <v>1</v>
      </c>
      <c r="R37" s="12">
        <v>1</v>
      </c>
      <c r="S37">
        <v>1</v>
      </c>
    </row>
    <row r="38" spans="1:19" ht="16.8">
      <c r="A38" s="12">
        <v>23</v>
      </c>
      <c r="B38" s="15" t="s">
        <v>886</v>
      </c>
      <c r="C38" s="12">
        <v>1</v>
      </c>
      <c r="D38" s="12" t="s">
        <v>816</v>
      </c>
      <c r="E38" s="12"/>
      <c r="F38" s="12"/>
      <c r="G38" s="12">
        <v>0</v>
      </c>
      <c r="H38" s="12">
        <v>0</v>
      </c>
      <c r="I38" s="12">
        <v>1</v>
      </c>
      <c r="J38" s="12"/>
      <c r="K38" s="12"/>
      <c r="L38" s="12"/>
      <c r="M38" s="69"/>
      <c r="N38" s="69"/>
      <c r="O38" s="70"/>
      <c r="P38" s="66"/>
      <c r="Q38" s="74">
        <v>0</v>
      </c>
      <c r="R38" s="12">
        <v>1</v>
      </c>
      <c r="S38">
        <v>1</v>
      </c>
    </row>
    <row r="39" spans="1:19" ht="16.8">
      <c r="A39" s="12">
        <v>24</v>
      </c>
      <c r="B39" s="15" t="s">
        <v>887</v>
      </c>
      <c r="C39" s="12">
        <v>1</v>
      </c>
      <c r="D39" s="12" t="s">
        <v>816</v>
      </c>
      <c r="E39" s="12"/>
      <c r="F39" s="12"/>
      <c r="G39" s="12">
        <v>0</v>
      </c>
      <c r="H39" s="12">
        <v>0</v>
      </c>
      <c r="I39" s="12">
        <v>1</v>
      </c>
      <c r="J39" s="12"/>
      <c r="K39" s="12"/>
      <c r="L39" s="12"/>
      <c r="M39" s="69"/>
      <c r="N39" s="69"/>
      <c r="O39" s="70"/>
      <c r="P39" s="66"/>
      <c r="Q39" s="74">
        <v>0</v>
      </c>
      <c r="R39" s="12">
        <v>1</v>
      </c>
      <c r="S39">
        <v>1</v>
      </c>
    </row>
    <row r="40" spans="1:19" ht="16.8">
      <c r="A40" s="12">
        <v>25</v>
      </c>
      <c r="B40" s="15" t="s">
        <v>888</v>
      </c>
      <c r="C40" s="12">
        <v>1</v>
      </c>
      <c r="D40" s="12" t="s">
        <v>816</v>
      </c>
      <c r="E40" s="12"/>
      <c r="F40" s="12"/>
      <c r="G40" s="12">
        <v>0</v>
      </c>
      <c r="H40" s="12">
        <v>0</v>
      </c>
      <c r="I40" s="12">
        <v>1</v>
      </c>
      <c r="J40" s="12"/>
      <c r="K40" s="12"/>
      <c r="L40" s="12"/>
      <c r="M40" s="69"/>
      <c r="N40" s="69"/>
      <c r="O40" s="70"/>
      <c r="P40" s="66"/>
      <c r="Q40" s="74">
        <v>0</v>
      </c>
      <c r="R40" s="12">
        <v>1</v>
      </c>
      <c r="S40">
        <v>1</v>
      </c>
    </row>
    <row r="41" spans="1:19" ht="16.8">
      <c r="A41" s="12">
        <v>26</v>
      </c>
      <c r="B41" s="15" t="s">
        <v>889</v>
      </c>
      <c r="C41" s="12">
        <v>1</v>
      </c>
      <c r="D41" s="12">
        <v>7</v>
      </c>
      <c r="E41" s="12"/>
      <c r="F41" s="12"/>
      <c r="G41" s="12">
        <v>0</v>
      </c>
      <c r="H41" s="12">
        <v>0</v>
      </c>
      <c r="I41" s="12">
        <v>1</v>
      </c>
      <c r="J41" s="12"/>
      <c r="K41" s="12"/>
      <c r="L41" s="12"/>
      <c r="M41" s="69"/>
      <c r="N41" s="69"/>
      <c r="O41" s="70"/>
      <c r="P41" s="66"/>
      <c r="Q41" s="74">
        <v>0</v>
      </c>
      <c r="R41" s="12">
        <v>1</v>
      </c>
      <c r="S41">
        <v>1</v>
      </c>
    </row>
    <row r="42" spans="1:19" ht="16.8">
      <c r="A42" s="12">
        <v>27</v>
      </c>
      <c r="B42" s="15" t="s">
        <v>890</v>
      </c>
      <c r="C42" s="12">
        <v>1</v>
      </c>
      <c r="D42" s="12" t="s">
        <v>816</v>
      </c>
      <c r="E42" s="12"/>
      <c r="F42" s="12"/>
      <c r="G42" s="12">
        <v>0</v>
      </c>
      <c r="H42" s="12">
        <v>0</v>
      </c>
      <c r="I42" s="12">
        <v>1</v>
      </c>
      <c r="J42" s="12"/>
      <c r="K42" s="12"/>
      <c r="L42" s="12"/>
      <c r="M42" s="69"/>
      <c r="N42" s="69"/>
      <c r="O42" s="70"/>
      <c r="P42" s="66"/>
      <c r="Q42" s="74">
        <v>0</v>
      </c>
      <c r="R42" s="12">
        <v>1</v>
      </c>
      <c r="S42">
        <v>1</v>
      </c>
    </row>
    <row r="43" spans="1:19" ht="16.8">
      <c r="A43" s="12">
        <v>28</v>
      </c>
      <c r="B43" s="15" t="s">
        <v>891</v>
      </c>
      <c r="C43" s="12">
        <v>1</v>
      </c>
      <c r="D43" s="12" t="s">
        <v>816</v>
      </c>
      <c r="E43" s="12"/>
      <c r="F43" s="12"/>
      <c r="G43" s="12">
        <v>0</v>
      </c>
      <c r="H43" s="12">
        <v>0</v>
      </c>
      <c r="I43" s="12">
        <v>1</v>
      </c>
      <c r="J43" s="12"/>
      <c r="K43" s="12"/>
      <c r="L43" s="12"/>
      <c r="M43" s="69"/>
      <c r="N43" s="69"/>
      <c r="O43" s="70"/>
      <c r="P43" s="66"/>
      <c r="Q43" s="74">
        <v>0</v>
      </c>
      <c r="R43" s="12">
        <v>1</v>
      </c>
      <c r="S43">
        <v>1</v>
      </c>
    </row>
    <row r="44" spans="1:19" ht="16.8">
      <c r="A44" s="12">
        <v>29</v>
      </c>
      <c r="B44" s="15" t="s">
        <v>892</v>
      </c>
      <c r="C44" s="12">
        <v>13</v>
      </c>
      <c r="D44" s="12" t="s">
        <v>816</v>
      </c>
      <c r="E44" s="12" t="s">
        <v>893</v>
      </c>
      <c r="F44" s="12" t="s">
        <v>894</v>
      </c>
      <c r="G44" s="12">
        <v>1</v>
      </c>
      <c r="H44" s="12">
        <v>1</v>
      </c>
      <c r="I44" s="12">
        <v>7</v>
      </c>
      <c r="J44" s="12" t="s">
        <v>895</v>
      </c>
      <c r="K44" s="12" t="s">
        <v>820</v>
      </c>
      <c r="L44" s="68" t="s">
        <v>821</v>
      </c>
      <c r="M44" s="69">
        <v>497125</v>
      </c>
      <c r="N44" s="69" t="s">
        <v>822</v>
      </c>
      <c r="O44" s="70" t="s">
        <v>823</v>
      </c>
      <c r="P44" s="71" t="s">
        <v>824</v>
      </c>
      <c r="Q44" s="74">
        <v>2</v>
      </c>
      <c r="R44" s="12">
        <v>3</v>
      </c>
      <c r="S44">
        <v>2</v>
      </c>
    </row>
    <row r="45" spans="1:19" ht="16.8">
      <c r="A45" s="12">
        <v>30</v>
      </c>
      <c r="B45" s="15" t="s">
        <v>896</v>
      </c>
      <c r="C45" s="12">
        <v>13</v>
      </c>
      <c r="D45" s="12" t="s">
        <v>816</v>
      </c>
      <c r="E45" s="12" t="s">
        <v>893</v>
      </c>
      <c r="F45" s="12" t="s">
        <v>894</v>
      </c>
      <c r="G45" s="12">
        <v>1</v>
      </c>
      <c r="H45" s="12">
        <v>1</v>
      </c>
      <c r="I45" s="12">
        <v>7</v>
      </c>
      <c r="J45" s="12" t="s">
        <v>895</v>
      </c>
      <c r="K45" s="12" t="s">
        <v>820</v>
      </c>
      <c r="L45" s="68" t="s">
        <v>821</v>
      </c>
      <c r="M45" s="69">
        <v>497125</v>
      </c>
      <c r="N45" s="69" t="s">
        <v>822</v>
      </c>
      <c r="O45" s="70" t="s">
        <v>823</v>
      </c>
      <c r="P45" s="71" t="s">
        <v>824</v>
      </c>
      <c r="Q45" s="74">
        <v>2</v>
      </c>
      <c r="R45" s="12">
        <v>3</v>
      </c>
      <c r="S45">
        <v>2</v>
      </c>
    </row>
    <row r="46" spans="1:19" ht="16.8">
      <c r="A46" s="12">
        <v>31</v>
      </c>
      <c r="B46" s="15" t="s">
        <v>897</v>
      </c>
      <c r="C46" s="12">
        <v>3</v>
      </c>
      <c r="D46" s="12" t="s">
        <v>816</v>
      </c>
      <c r="E46" s="12" t="s">
        <v>898</v>
      </c>
      <c r="F46" s="12" t="s">
        <v>899</v>
      </c>
      <c r="G46" s="12">
        <v>0</v>
      </c>
      <c r="H46" s="12">
        <v>0</v>
      </c>
      <c r="I46" s="12">
        <v>7</v>
      </c>
      <c r="J46" s="12" t="s">
        <v>900</v>
      </c>
      <c r="K46" s="12" t="s">
        <v>820</v>
      </c>
      <c r="L46" s="68" t="s">
        <v>821</v>
      </c>
      <c r="M46" s="69">
        <v>497125</v>
      </c>
      <c r="N46" s="69" t="s">
        <v>822</v>
      </c>
      <c r="O46" s="70" t="s">
        <v>823</v>
      </c>
      <c r="P46" s="71" t="s">
        <v>824</v>
      </c>
      <c r="Q46" s="74">
        <v>2</v>
      </c>
      <c r="R46" s="12">
        <v>13</v>
      </c>
      <c r="S46">
        <v>2</v>
      </c>
    </row>
    <row r="47" spans="1:19" ht="16.8">
      <c r="A47" s="12">
        <v>32</v>
      </c>
      <c r="B47" s="15" t="s">
        <v>901</v>
      </c>
      <c r="C47" s="12">
        <v>3</v>
      </c>
      <c r="D47" s="12" t="s">
        <v>816</v>
      </c>
      <c r="E47" s="12" t="s">
        <v>841</v>
      </c>
      <c r="F47" s="12" t="s">
        <v>842</v>
      </c>
      <c r="G47" s="12">
        <v>0</v>
      </c>
      <c r="H47" s="12">
        <v>1</v>
      </c>
      <c r="I47" s="12">
        <v>7</v>
      </c>
      <c r="J47" s="12" t="s">
        <v>902</v>
      </c>
      <c r="K47" s="12" t="s">
        <v>820</v>
      </c>
      <c r="L47" s="68" t="s">
        <v>821</v>
      </c>
      <c r="M47" s="69">
        <v>497125</v>
      </c>
      <c r="N47" s="69" t="s">
        <v>822</v>
      </c>
      <c r="O47" s="70" t="s">
        <v>823</v>
      </c>
      <c r="P47" s="71" t="s">
        <v>824</v>
      </c>
      <c r="Q47" s="74">
        <v>2</v>
      </c>
      <c r="R47" s="12">
        <v>3</v>
      </c>
      <c r="S47">
        <v>2</v>
      </c>
    </row>
    <row r="48" spans="1:19" ht="16.8">
      <c r="A48" s="12">
        <v>33</v>
      </c>
      <c r="B48" s="15" t="s">
        <v>903</v>
      </c>
      <c r="C48" s="12">
        <v>3</v>
      </c>
      <c r="D48" s="12" t="s">
        <v>816</v>
      </c>
      <c r="E48" s="12" t="s">
        <v>847</v>
      </c>
      <c r="F48" s="12" t="s">
        <v>848</v>
      </c>
      <c r="G48" s="12">
        <v>0</v>
      </c>
      <c r="H48" s="12">
        <v>1</v>
      </c>
      <c r="I48" s="12">
        <v>7</v>
      </c>
      <c r="J48" s="12" t="s">
        <v>904</v>
      </c>
      <c r="K48" s="12" t="s">
        <v>820</v>
      </c>
      <c r="L48" s="68" t="s">
        <v>821</v>
      </c>
      <c r="M48" s="69">
        <v>497125</v>
      </c>
      <c r="N48" s="69" t="s">
        <v>822</v>
      </c>
      <c r="O48" s="70" t="s">
        <v>823</v>
      </c>
      <c r="P48" s="71" t="s">
        <v>824</v>
      </c>
      <c r="Q48" s="74">
        <v>2</v>
      </c>
      <c r="R48" s="12">
        <v>3</v>
      </c>
      <c r="S48">
        <v>2</v>
      </c>
    </row>
    <row r="49" spans="1:19" ht="16.8">
      <c r="A49" s="12">
        <v>34</v>
      </c>
      <c r="B49" s="15" t="s">
        <v>905</v>
      </c>
      <c r="C49" s="12">
        <v>13</v>
      </c>
      <c r="D49" s="12" t="s">
        <v>816</v>
      </c>
      <c r="E49" s="12" t="s">
        <v>906</v>
      </c>
      <c r="F49" s="12" t="s">
        <v>907</v>
      </c>
      <c r="G49" s="12">
        <v>1</v>
      </c>
      <c r="H49" s="12">
        <v>0</v>
      </c>
      <c r="I49" s="12">
        <v>13</v>
      </c>
      <c r="J49" s="12" t="s">
        <v>908</v>
      </c>
      <c r="K49" s="12" t="s">
        <v>820</v>
      </c>
      <c r="L49" s="68" t="s">
        <v>821</v>
      </c>
      <c r="M49" s="69">
        <v>497125</v>
      </c>
      <c r="N49" s="69" t="s">
        <v>822</v>
      </c>
      <c r="O49" s="70" t="s">
        <v>823</v>
      </c>
      <c r="P49" s="71" t="s">
        <v>824</v>
      </c>
      <c r="Q49" s="74">
        <v>2</v>
      </c>
      <c r="R49" s="12">
        <v>3</v>
      </c>
      <c r="S49">
        <v>2</v>
      </c>
    </row>
    <row r="50" spans="1:19" ht="16.8">
      <c r="A50" s="12">
        <v>35</v>
      </c>
      <c r="B50" s="15" t="s">
        <v>909</v>
      </c>
      <c r="C50" s="12">
        <v>13</v>
      </c>
      <c r="D50" s="12" t="s">
        <v>816</v>
      </c>
      <c r="E50" s="12" t="s">
        <v>830</v>
      </c>
      <c r="F50" s="12" t="s">
        <v>831</v>
      </c>
      <c r="G50" s="12">
        <v>1</v>
      </c>
      <c r="H50" s="12">
        <v>0</v>
      </c>
      <c r="I50" s="12">
        <v>13</v>
      </c>
      <c r="J50" s="12" t="s">
        <v>910</v>
      </c>
      <c r="K50" s="12" t="s">
        <v>820</v>
      </c>
      <c r="L50" s="68" t="s">
        <v>821</v>
      </c>
      <c r="M50" s="69">
        <v>497125</v>
      </c>
      <c r="N50" s="69" t="s">
        <v>822</v>
      </c>
      <c r="O50" s="70" t="s">
        <v>823</v>
      </c>
      <c r="P50" s="71" t="s">
        <v>824</v>
      </c>
      <c r="Q50" s="74">
        <v>2</v>
      </c>
      <c r="R50" s="12">
        <v>13</v>
      </c>
      <c r="S50">
        <v>13</v>
      </c>
    </row>
    <row r="51" spans="1:19" ht="16.8">
      <c r="A51" s="12">
        <v>36</v>
      </c>
      <c r="B51" s="15" t="s">
        <v>911</v>
      </c>
      <c r="C51" s="12">
        <v>13</v>
      </c>
      <c r="D51" s="12" t="s">
        <v>816</v>
      </c>
      <c r="E51" s="12" t="s">
        <v>912</v>
      </c>
      <c r="F51" s="12" t="s">
        <v>913</v>
      </c>
      <c r="G51" s="12">
        <v>1</v>
      </c>
      <c r="H51" s="12">
        <v>1</v>
      </c>
      <c r="I51" s="12">
        <v>13</v>
      </c>
      <c r="J51" s="12" t="s">
        <v>914</v>
      </c>
      <c r="K51" s="12" t="s">
        <v>820</v>
      </c>
      <c r="L51" s="68" t="s">
        <v>821</v>
      </c>
      <c r="M51" s="69">
        <v>497125</v>
      </c>
      <c r="N51" s="69" t="s">
        <v>822</v>
      </c>
      <c r="O51" s="70" t="s">
        <v>823</v>
      </c>
      <c r="P51" s="71" t="s">
        <v>824</v>
      </c>
      <c r="Q51" s="74">
        <v>2</v>
      </c>
      <c r="R51" s="12">
        <v>3</v>
      </c>
      <c r="S51">
        <v>2</v>
      </c>
    </row>
    <row r="52" spans="1:19" ht="16.8">
      <c r="A52" s="12">
        <v>37</v>
      </c>
      <c r="B52" s="15" t="s">
        <v>915</v>
      </c>
      <c r="C52" s="12">
        <v>13</v>
      </c>
      <c r="D52" s="12" t="s">
        <v>816</v>
      </c>
      <c r="E52" s="12" t="s">
        <v>916</v>
      </c>
      <c r="F52" s="12" t="s">
        <v>917</v>
      </c>
      <c r="G52" s="12">
        <v>1</v>
      </c>
      <c r="H52" s="12">
        <v>1</v>
      </c>
      <c r="I52" s="12">
        <v>13</v>
      </c>
      <c r="J52" s="12" t="s">
        <v>918</v>
      </c>
      <c r="K52" s="12" t="s">
        <v>820</v>
      </c>
      <c r="L52" s="68" t="s">
        <v>821</v>
      </c>
      <c r="M52" s="69">
        <v>497125</v>
      </c>
      <c r="N52" s="69" t="s">
        <v>822</v>
      </c>
      <c r="O52" s="70" t="s">
        <v>919</v>
      </c>
      <c r="P52" s="71" t="s">
        <v>824</v>
      </c>
      <c r="Q52" s="74">
        <v>2</v>
      </c>
      <c r="R52" s="12">
        <v>3</v>
      </c>
      <c r="S52">
        <v>2</v>
      </c>
    </row>
    <row r="53" spans="1:19" ht="16.8">
      <c r="A53" s="12">
        <v>38</v>
      </c>
      <c r="B53" s="15" t="s">
        <v>920</v>
      </c>
      <c r="C53" s="12">
        <v>3</v>
      </c>
      <c r="D53" s="12" t="s">
        <v>816</v>
      </c>
      <c r="E53" s="12" t="s">
        <v>921</v>
      </c>
      <c r="F53" s="12" t="s">
        <v>922</v>
      </c>
      <c r="G53" s="12">
        <v>0</v>
      </c>
      <c r="H53" s="12">
        <v>1</v>
      </c>
      <c r="I53" s="12">
        <v>7</v>
      </c>
      <c r="J53" s="12"/>
      <c r="K53" s="12"/>
      <c r="L53" s="12"/>
      <c r="M53" s="69"/>
      <c r="N53" s="69"/>
      <c r="O53" s="70"/>
      <c r="P53" s="66"/>
      <c r="Q53" s="74">
        <v>15</v>
      </c>
      <c r="R53" s="12">
        <v>14</v>
      </c>
      <c r="S53">
        <v>2</v>
      </c>
    </row>
    <row r="54" spans="1:19" ht="16.8">
      <c r="A54" s="12">
        <v>39</v>
      </c>
      <c r="B54" s="15" t="s">
        <v>923</v>
      </c>
      <c r="C54" s="12">
        <v>3</v>
      </c>
      <c r="D54" s="12" t="s">
        <v>816</v>
      </c>
      <c r="E54" s="12" t="s">
        <v>924</v>
      </c>
      <c r="F54" s="12" t="s">
        <v>925</v>
      </c>
      <c r="G54" s="12">
        <v>0</v>
      </c>
      <c r="H54" s="12">
        <v>1</v>
      </c>
      <c r="I54" s="12">
        <v>7</v>
      </c>
      <c r="J54" s="12"/>
      <c r="K54" s="12"/>
      <c r="L54" s="12"/>
      <c r="M54" s="69"/>
      <c r="N54" s="69"/>
      <c r="O54" s="70"/>
      <c r="P54" s="66"/>
      <c r="Q54" s="74">
        <v>15</v>
      </c>
      <c r="R54" s="12">
        <v>14</v>
      </c>
      <c r="S54">
        <v>2</v>
      </c>
    </row>
    <row r="55" spans="1:19" ht="16.8">
      <c r="A55" s="12">
        <v>40</v>
      </c>
      <c r="B55" s="15" t="s">
        <v>926</v>
      </c>
      <c r="C55" s="12"/>
      <c r="D55" s="12"/>
      <c r="E55" s="12" t="s">
        <v>927</v>
      </c>
      <c r="F55" s="12" t="s">
        <v>928</v>
      </c>
      <c r="G55" s="12">
        <v>0</v>
      </c>
      <c r="H55" s="12">
        <v>1</v>
      </c>
      <c r="I55" s="12"/>
      <c r="J55" s="12" t="s">
        <v>929</v>
      </c>
      <c r="K55" s="12" t="s">
        <v>930</v>
      </c>
      <c r="L55" s="12"/>
      <c r="M55" s="69">
        <v>845046</v>
      </c>
      <c r="N55" s="69" t="s">
        <v>931</v>
      </c>
      <c r="O55" s="70" t="s">
        <v>932</v>
      </c>
      <c r="P55" s="72"/>
      <c r="Q55" s="74"/>
      <c r="R55" s="12">
        <v>14</v>
      </c>
    </row>
    <row r="56" spans="1:19" ht="16.8">
      <c r="A56" s="12">
        <v>41</v>
      </c>
      <c r="B56" s="15" t="s">
        <v>933</v>
      </c>
      <c r="C56" s="12">
        <v>1</v>
      </c>
      <c r="D56" s="12" t="s">
        <v>816</v>
      </c>
      <c r="E56" s="12"/>
      <c r="F56" s="12"/>
      <c r="G56" s="12">
        <v>0</v>
      </c>
      <c r="H56" s="12">
        <v>0</v>
      </c>
      <c r="I56" s="12">
        <v>1</v>
      </c>
      <c r="J56" s="12"/>
      <c r="K56" s="12"/>
      <c r="L56" s="12"/>
      <c r="M56" s="69"/>
      <c r="N56" s="69"/>
      <c r="O56" s="70"/>
      <c r="P56" s="66"/>
      <c r="Q56" s="74">
        <v>1</v>
      </c>
      <c r="R56" s="12"/>
      <c r="S56">
        <v>1</v>
      </c>
    </row>
    <row r="57" spans="1:19" ht="16.8">
      <c r="A57" s="12">
        <v>42</v>
      </c>
      <c r="B57" s="15" t="s">
        <v>934</v>
      </c>
      <c r="C57" s="12">
        <v>13</v>
      </c>
      <c r="D57" s="12" t="s">
        <v>816</v>
      </c>
      <c r="E57" s="12" t="s">
        <v>935</v>
      </c>
      <c r="F57" s="12" t="s">
        <v>936</v>
      </c>
      <c r="G57" s="12">
        <v>1</v>
      </c>
      <c r="H57" s="12">
        <v>0</v>
      </c>
      <c r="I57" s="12">
        <v>13</v>
      </c>
      <c r="J57" s="12" t="s">
        <v>937</v>
      </c>
      <c r="K57" s="12" t="s">
        <v>820</v>
      </c>
      <c r="L57" s="68" t="s">
        <v>821</v>
      </c>
      <c r="M57" s="69">
        <v>497125</v>
      </c>
      <c r="N57" s="69" t="s">
        <v>822</v>
      </c>
      <c r="O57" s="70" t="s">
        <v>938</v>
      </c>
      <c r="P57" s="71" t="s">
        <v>824</v>
      </c>
      <c r="Q57" s="74">
        <v>2</v>
      </c>
      <c r="R57" s="12">
        <v>1</v>
      </c>
      <c r="S57">
        <v>13</v>
      </c>
    </row>
    <row r="58" spans="1:19" ht="16.8">
      <c r="A58" s="12">
        <v>43</v>
      </c>
      <c r="B58" s="15" t="s">
        <v>939</v>
      </c>
      <c r="C58" s="12">
        <v>3</v>
      </c>
      <c r="D58" s="12" t="s">
        <v>816</v>
      </c>
      <c r="E58" s="12" t="s">
        <v>940</v>
      </c>
      <c r="F58" s="12" t="s">
        <v>941</v>
      </c>
      <c r="G58" s="12">
        <v>0</v>
      </c>
      <c r="H58" s="12">
        <v>0</v>
      </c>
      <c r="I58" s="12">
        <v>13</v>
      </c>
      <c r="J58" s="12" t="s">
        <v>942</v>
      </c>
      <c r="K58" s="12" t="s">
        <v>820</v>
      </c>
      <c r="L58" s="68" t="s">
        <v>821</v>
      </c>
      <c r="M58" s="69">
        <v>497125</v>
      </c>
      <c r="N58" s="69" t="s">
        <v>822</v>
      </c>
      <c r="O58" s="70" t="s">
        <v>823</v>
      </c>
      <c r="P58" s="71" t="s">
        <v>824</v>
      </c>
      <c r="R58" s="12">
        <v>13</v>
      </c>
      <c r="S58">
        <v>2</v>
      </c>
    </row>
    <row r="59" spans="1:19" ht="16.8">
      <c r="A59" s="12">
        <v>44</v>
      </c>
      <c r="B59" s="15" t="s">
        <v>943</v>
      </c>
      <c r="C59" s="12">
        <v>3</v>
      </c>
      <c r="D59" s="12" t="s">
        <v>816</v>
      </c>
      <c r="E59" s="12" t="s">
        <v>940</v>
      </c>
      <c r="F59" s="12" t="s">
        <v>941</v>
      </c>
      <c r="G59" s="12">
        <v>0</v>
      </c>
      <c r="H59" s="12">
        <v>0</v>
      </c>
      <c r="I59" s="12">
        <v>13</v>
      </c>
      <c r="J59" s="12" t="s">
        <v>944</v>
      </c>
      <c r="K59" s="12" t="s">
        <v>820</v>
      </c>
      <c r="L59" s="68" t="s">
        <v>821</v>
      </c>
      <c r="M59" s="69">
        <v>497125</v>
      </c>
      <c r="N59" s="69" t="s">
        <v>822</v>
      </c>
      <c r="O59" s="70" t="s">
        <v>823</v>
      </c>
      <c r="P59" s="71" t="s">
        <v>824</v>
      </c>
      <c r="R59" s="12">
        <v>13</v>
      </c>
      <c r="S59">
        <v>2</v>
      </c>
    </row>
    <row r="60" spans="1:19" ht="16.8">
      <c r="A60" s="12">
        <v>45</v>
      </c>
      <c r="B60" s="15" t="s">
        <v>945</v>
      </c>
      <c r="C60" s="12">
        <v>1</v>
      </c>
      <c r="D60" s="12" t="s">
        <v>816</v>
      </c>
      <c r="E60" s="12"/>
      <c r="F60" s="12"/>
      <c r="G60" s="12">
        <v>0</v>
      </c>
      <c r="H60" s="12">
        <v>0</v>
      </c>
      <c r="I60" s="12">
        <v>1</v>
      </c>
      <c r="J60" s="12"/>
      <c r="K60" s="12"/>
      <c r="L60" s="12"/>
      <c r="M60" s="69"/>
      <c r="N60" s="69"/>
      <c r="O60" s="73"/>
      <c r="P60" s="66"/>
      <c r="R60" s="12">
        <v>13</v>
      </c>
      <c r="S60">
        <v>1</v>
      </c>
    </row>
    <row r="61" spans="1:19" ht="16.8">
      <c r="A61" s="12">
        <v>46</v>
      </c>
      <c r="B61" s="15" t="s">
        <v>946</v>
      </c>
      <c r="C61" s="12">
        <v>1</v>
      </c>
      <c r="D61" s="12" t="s">
        <v>816</v>
      </c>
      <c r="E61" s="12"/>
      <c r="F61" s="12"/>
      <c r="G61" s="12">
        <v>0</v>
      </c>
      <c r="H61" s="12">
        <v>0</v>
      </c>
      <c r="I61" s="12">
        <v>1</v>
      </c>
      <c r="J61" s="12"/>
      <c r="K61" s="12"/>
      <c r="L61" s="12"/>
      <c r="M61" s="69"/>
      <c r="N61" s="69"/>
      <c r="O61" s="73"/>
      <c r="P61" s="66"/>
      <c r="R61" s="12">
        <v>1</v>
      </c>
      <c r="S61">
        <v>1</v>
      </c>
    </row>
    <row r="62" spans="1:19" ht="16.8">
      <c r="A62" s="12">
        <v>47</v>
      </c>
      <c r="B62" s="15" t="s">
        <v>947</v>
      </c>
      <c r="C62" s="12">
        <v>13</v>
      </c>
      <c r="D62" s="12" t="s">
        <v>816</v>
      </c>
      <c r="E62" s="12" t="s">
        <v>948</v>
      </c>
      <c r="F62" s="12" t="s">
        <v>949</v>
      </c>
      <c r="G62" s="12">
        <v>0</v>
      </c>
      <c r="H62" s="12">
        <v>0</v>
      </c>
      <c r="I62" s="12">
        <v>13</v>
      </c>
      <c r="J62" s="12" t="s">
        <v>950</v>
      </c>
      <c r="K62" s="12" t="s">
        <v>820</v>
      </c>
      <c r="L62" s="68" t="s">
        <v>821</v>
      </c>
      <c r="M62" s="69">
        <v>497125</v>
      </c>
      <c r="N62" s="69" t="s">
        <v>822</v>
      </c>
      <c r="O62" s="70" t="s">
        <v>823</v>
      </c>
      <c r="P62" s="71" t="s">
        <v>824</v>
      </c>
      <c r="R62" s="12">
        <v>1</v>
      </c>
      <c r="S62">
        <v>13</v>
      </c>
    </row>
    <row r="63" spans="1:19" ht="16.8">
      <c r="A63" s="12">
        <v>48</v>
      </c>
      <c r="B63" s="15" t="s">
        <v>951</v>
      </c>
      <c r="C63" s="12">
        <v>1</v>
      </c>
      <c r="D63" s="12" t="s">
        <v>816</v>
      </c>
      <c r="E63" s="12"/>
      <c r="F63" s="12"/>
      <c r="G63" s="12">
        <v>0</v>
      </c>
      <c r="H63" s="12">
        <v>0</v>
      </c>
      <c r="I63" s="12">
        <v>1</v>
      </c>
      <c r="J63" s="12"/>
      <c r="K63" s="12"/>
      <c r="L63" s="12"/>
      <c r="M63" s="69"/>
      <c r="N63" s="69"/>
      <c r="O63" s="73"/>
      <c r="P63" s="66"/>
      <c r="R63" s="12">
        <v>13</v>
      </c>
      <c r="S63">
        <v>1</v>
      </c>
    </row>
    <row r="64" spans="1:19" ht="16.8">
      <c r="A64" s="12">
        <v>49</v>
      </c>
      <c r="B64" s="15" t="s">
        <v>952</v>
      </c>
      <c r="C64" s="12">
        <v>3</v>
      </c>
      <c r="D64" s="12" t="s">
        <v>816</v>
      </c>
      <c r="E64" s="12" t="s">
        <v>898</v>
      </c>
      <c r="F64" s="12" t="s">
        <v>899</v>
      </c>
      <c r="G64" s="12">
        <v>0</v>
      </c>
      <c r="H64" s="12">
        <v>1</v>
      </c>
      <c r="I64" s="12">
        <v>7</v>
      </c>
      <c r="J64" s="12" t="s">
        <v>953</v>
      </c>
      <c r="K64" s="12" t="s">
        <v>820</v>
      </c>
      <c r="L64" s="68" t="s">
        <v>821</v>
      </c>
      <c r="M64" s="69">
        <v>497125</v>
      </c>
      <c r="N64" s="69" t="s">
        <v>822</v>
      </c>
      <c r="O64" s="70" t="s">
        <v>823</v>
      </c>
      <c r="P64" s="71" t="s">
        <v>824</v>
      </c>
      <c r="R64" s="12">
        <v>1</v>
      </c>
      <c r="S64">
        <v>2</v>
      </c>
    </row>
    <row r="65" spans="1:19" ht="16.8">
      <c r="A65" s="12">
        <v>50</v>
      </c>
      <c r="B65" s="15" t="s">
        <v>954</v>
      </c>
      <c r="C65" s="12">
        <v>1</v>
      </c>
      <c r="D65" s="12" t="s">
        <v>816</v>
      </c>
      <c r="E65" s="12"/>
      <c r="F65" s="12"/>
      <c r="G65" s="12">
        <v>0</v>
      </c>
      <c r="H65" s="12">
        <v>0</v>
      </c>
      <c r="I65" s="12">
        <v>1</v>
      </c>
      <c r="J65" s="12"/>
      <c r="K65" s="12"/>
      <c r="L65" s="12"/>
      <c r="M65" s="69"/>
      <c r="N65" s="69"/>
      <c r="O65" s="73"/>
      <c r="P65" s="66"/>
      <c r="R65" s="12">
        <v>3</v>
      </c>
      <c r="S65">
        <v>1</v>
      </c>
    </row>
    <row r="66" spans="1:19" ht="16.8">
      <c r="A66" s="12">
        <v>51</v>
      </c>
      <c r="B66" s="15" t="s">
        <v>955</v>
      </c>
      <c r="C66" s="12">
        <v>1</v>
      </c>
      <c r="D66" s="12" t="s">
        <v>816</v>
      </c>
      <c r="E66" s="12"/>
      <c r="F66" s="12"/>
      <c r="G66" s="12">
        <v>0</v>
      </c>
      <c r="H66" s="12">
        <v>0</v>
      </c>
      <c r="I66" s="12">
        <v>1</v>
      </c>
      <c r="J66" s="12"/>
      <c r="K66" s="12"/>
      <c r="L66" s="12"/>
      <c r="M66" s="69"/>
      <c r="N66" s="69"/>
      <c r="O66" s="73"/>
      <c r="P66" s="66"/>
      <c r="R66" s="12">
        <v>1</v>
      </c>
      <c r="S66">
        <v>1</v>
      </c>
    </row>
    <row r="67" spans="1:19" ht="16.8">
      <c r="A67" s="12">
        <v>52</v>
      </c>
      <c r="B67" s="15" t="s">
        <v>956</v>
      </c>
      <c r="C67" s="12">
        <v>1</v>
      </c>
      <c r="D67" s="12" t="s">
        <v>816</v>
      </c>
      <c r="E67" s="12"/>
      <c r="F67" s="12"/>
      <c r="G67" s="12">
        <v>0</v>
      </c>
      <c r="H67" s="12">
        <v>0</v>
      </c>
      <c r="I67" s="12">
        <v>1</v>
      </c>
      <c r="J67" s="12"/>
      <c r="K67" s="12"/>
      <c r="L67" s="12"/>
      <c r="M67" s="69"/>
      <c r="N67" s="69"/>
      <c r="O67" s="73"/>
      <c r="P67" s="66"/>
      <c r="R67" s="12">
        <v>1</v>
      </c>
      <c r="S67">
        <v>1</v>
      </c>
    </row>
    <row r="68" spans="1:19" ht="16.8">
      <c r="A68" s="12">
        <v>53</v>
      </c>
      <c r="B68" s="15" t="s">
        <v>957</v>
      </c>
      <c r="C68" s="12">
        <v>3</v>
      </c>
      <c r="D68" s="12" t="s">
        <v>816</v>
      </c>
      <c r="E68" s="12" t="s">
        <v>940</v>
      </c>
      <c r="F68" s="12" t="s">
        <v>941</v>
      </c>
      <c r="G68" s="12">
        <v>0</v>
      </c>
      <c r="H68" s="12">
        <v>1</v>
      </c>
      <c r="I68" s="12">
        <v>13</v>
      </c>
      <c r="J68" s="12" t="s">
        <v>958</v>
      </c>
      <c r="K68" s="12" t="s">
        <v>820</v>
      </c>
      <c r="L68" s="68" t="s">
        <v>821</v>
      </c>
      <c r="M68" s="69">
        <v>497125</v>
      </c>
      <c r="N68" s="69" t="s">
        <v>822</v>
      </c>
      <c r="O68" s="70" t="s">
        <v>823</v>
      </c>
      <c r="P68" s="71" t="s">
        <v>824</v>
      </c>
      <c r="R68" s="12">
        <v>1</v>
      </c>
      <c r="S68">
        <v>2</v>
      </c>
    </row>
    <row r="69" spans="1:19" ht="16.8">
      <c r="A69" s="12">
        <v>54</v>
      </c>
      <c r="B69" s="15" t="s">
        <v>959</v>
      </c>
      <c r="C69" s="12">
        <v>1</v>
      </c>
      <c r="D69" s="12" t="s">
        <v>960</v>
      </c>
      <c r="E69" s="12"/>
      <c r="F69" s="12"/>
      <c r="G69" s="12">
        <v>0</v>
      </c>
      <c r="H69" s="12">
        <v>0</v>
      </c>
      <c r="I69" s="12">
        <v>1</v>
      </c>
      <c r="J69" s="12"/>
      <c r="K69" s="12"/>
      <c r="L69" s="12"/>
      <c r="M69" s="69"/>
      <c r="N69" s="69"/>
      <c r="O69" s="73"/>
      <c r="P69" s="66"/>
      <c r="R69" s="12">
        <v>13</v>
      </c>
      <c r="S69">
        <v>1</v>
      </c>
    </row>
    <row r="70" spans="1:19" ht="16.8">
      <c r="A70" s="12">
        <v>55</v>
      </c>
      <c r="B70" s="15" t="s">
        <v>961</v>
      </c>
      <c r="C70" s="12">
        <v>1</v>
      </c>
      <c r="D70" s="12" t="s">
        <v>816</v>
      </c>
      <c r="E70" s="12"/>
      <c r="F70" s="12"/>
      <c r="G70" s="12">
        <v>0</v>
      </c>
      <c r="H70" s="12">
        <v>0</v>
      </c>
      <c r="I70" s="12">
        <v>1</v>
      </c>
      <c r="J70" s="12"/>
      <c r="K70" s="12"/>
      <c r="L70" s="12"/>
      <c r="M70" s="69"/>
      <c r="N70" s="69"/>
      <c r="O70" s="73"/>
      <c r="P70" s="66"/>
      <c r="R70" s="12">
        <v>1</v>
      </c>
      <c r="S70">
        <v>1</v>
      </c>
    </row>
    <row r="71" spans="1:19" ht="16.8">
      <c r="A71" s="12">
        <v>56</v>
      </c>
      <c r="B71" s="15" t="s">
        <v>962</v>
      </c>
      <c r="C71" s="12"/>
      <c r="D71" s="12"/>
      <c r="E71" s="12" t="s">
        <v>963</v>
      </c>
      <c r="F71" s="12" t="s">
        <v>963</v>
      </c>
      <c r="G71" s="12">
        <v>0</v>
      </c>
      <c r="H71" s="12">
        <v>0</v>
      </c>
      <c r="I71" s="12"/>
      <c r="J71" s="12"/>
      <c r="K71" s="12"/>
      <c r="L71" s="12"/>
      <c r="M71" s="69">
        <v>844008</v>
      </c>
      <c r="N71" s="69">
        <v>497173</v>
      </c>
      <c r="O71" s="73"/>
      <c r="P71" s="66"/>
      <c r="R71" s="12">
        <v>1</v>
      </c>
    </row>
    <row r="72" spans="1:19" ht="16.8">
      <c r="A72" s="12">
        <v>57</v>
      </c>
      <c r="B72" s="15" t="s">
        <v>964</v>
      </c>
      <c r="C72" s="12"/>
      <c r="D72" s="12"/>
      <c r="E72" s="12" t="s">
        <v>965</v>
      </c>
      <c r="F72" s="12" t="s">
        <v>965</v>
      </c>
      <c r="G72" s="12">
        <v>0</v>
      </c>
      <c r="H72" s="12">
        <v>0</v>
      </c>
      <c r="I72" s="12"/>
      <c r="J72" s="12"/>
      <c r="K72" s="12"/>
      <c r="L72" s="12"/>
      <c r="M72" s="69">
        <v>844008</v>
      </c>
      <c r="N72" s="69">
        <v>497173</v>
      </c>
      <c r="O72" s="73"/>
      <c r="P72" s="66"/>
      <c r="R72" s="12"/>
    </row>
    <row r="73" spans="1:19" ht="16.8">
      <c r="A73" s="12">
        <v>58</v>
      </c>
      <c r="B73" s="15" t="s">
        <v>966</v>
      </c>
      <c r="C73" s="12"/>
      <c r="D73" s="12"/>
      <c r="E73" s="12" t="s">
        <v>967</v>
      </c>
      <c r="F73" s="12" t="s">
        <v>967</v>
      </c>
      <c r="G73" s="12">
        <v>0</v>
      </c>
      <c r="H73" s="12">
        <v>0</v>
      </c>
      <c r="I73" s="12"/>
      <c r="J73" s="12"/>
      <c r="K73" s="12"/>
      <c r="L73" s="12"/>
      <c r="M73" s="69">
        <v>844008</v>
      </c>
      <c r="N73" s="69">
        <v>497173</v>
      </c>
      <c r="O73" s="73"/>
      <c r="P73" s="66"/>
      <c r="R73" s="12"/>
    </row>
    <row r="74" spans="1:19" ht="16.8">
      <c r="A74" s="12">
        <v>59</v>
      </c>
      <c r="B74" s="15" t="s">
        <v>968</v>
      </c>
      <c r="C74" s="12"/>
      <c r="D74" s="12"/>
      <c r="E74" s="12" t="s">
        <v>969</v>
      </c>
      <c r="F74" s="12" t="s">
        <v>970</v>
      </c>
      <c r="G74" s="12">
        <v>0</v>
      </c>
      <c r="H74" s="12">
        <v>0</v>
      </c>
      <c r="I74" s="12"/>
      <c r="J74" s="12"/>
      <c r="K74" s="12"/>
      <c r="L74" s="12"/>
      <c r="M74" s="69">
        <v>844008</v>
      </c>
      <c r="N74" s="69">
        <v>497173</v>
      </c>
      <c r="O74" s="73"/>
      <c r="P74" s="66"/>
      <c r="R74" s="12"/>
    </row>
    <row r="75" spans="1:19" ht="16.8">
      <c r="A75" s="12">
        <v>60</v>
      </c>
      <c r="B75" s="15" t="s">
        <v>971</v>
      </c>
      <c r="C75" s="12"/>
      <c r="D75" s="12"/>
      <c r="E75" s="12" t="s">
        <v>972</v>
      </c>
      <c r="F75" s="12" t="s">
        <v>972</v>
      </c>
      <c r="G75" s="12">
        <v>0</v>
      </c>
      <c r="H75" s="12">
        <v>0</v>
      </c>
      <c r="I75" s="12"/>
      <c r="J75" s="12"/>
      <c r="K75" s="12"/>
      <c r="L75" s="12"/>
      <c r="M75" s="69">
        <v>844008</v>
      </c>
      <c r="N75" s="69">
        <v>497173</v>
      </c>
      <c r="O75" s="73"/>
      <c r="P75" s="66"/>
      <c r="R75" s="12"/>
    </row>
    <row r="76" spans="1:19" ht="16.8">
      <c r="A76" s="12">
        <v>61</v>
      </c>
      <c r="B76" s="15" t="s">
        <v>973</v>
      </c>
      <c r="C76" s="12"/>
      <c r="D76" s="12"/>
      <c r="E76" s="12" t="s">
        <v>974</v>
      </c>
      <c r="F76" s="12" t="s">
        <v>974</v>
      </c>
      <c r="G76" s="12">
        <v>0</v>
      </c>
      <c r="H76" s="12">
        <v>0</v>
      </c>
      <c r="I76" s="12"/>
      <c r="J76" s="12"/>
      <c r="K76" s="12"/>
      <c r="L76" s="12"/>
      <c r="M76" s="69">
        <v>844008</v>
      </c>
      <c r="N76" s="69">
        <v>497173</v>
      </c>
      <c r="O76" s="73"/>
      <c r="P76" s="66"/>
      <c r="R76" s="12"/>
    </row>
    <row r="77" spans="1:19" ht="16.8">
      <c r="A77" s="12">
        <v>62</v>
      </c>
      <c r="B77" s="15" t="s">
        <v>329</v>
      </c>
      <c r="C77" s="12">
        <v>3</v>
      </c>
      <c r="D77" s="12" t="s">
        <v>816</v>
      </c>
      <c r="E77" s="12" t="s">
        <v>948</v>
      </c>
      <c r="F77" s="12" t="s">
        <v>949</v>
      </c>
      <c r="G77" s="12">
        <v>0</v>
      </c>
      <c r="H77" s="12">
        <v>0</v>
      </c>
      <c r="I77" s="12">
        <v>7</v>
      </c>
      <c r="J77" s="12" t="s">
        <v>975</v>
      </c>
      <c r="K77" s="12" t="s">
        <v>820</v>
      </c>
      <c r="L77" s="68" t="s">
        <v>821</v>
      </c>
      <c r="M77" s="69">
        <v>497125</v>
      </c>
      <c r="N77" s="69" t="s">
        <v>931</v>
      </c>
      <c r="O77" s="73" t="s">
        <v>976</v>
      </c>
      <c r="P77" s="71" t="s">
        <v>824</v>
      </c>
      <c r="R77" s="12"/>
      <c r="S77">
        <v>2</v>
      </c>
    </row>
    <row r="78" spans="1:19" ht="16.8">
      <c r="A78" s="12">
        <v>63</v>
      </c>
      <c r="B78" s="15" t="s">
        <v>977</v>
      </c>
      <c r="C78" s="12"/>
      <c r="D78" s="12" t="s">
        <v>816</v>
      </c>
      <c r="E78" s="12" t="s">
        <v>978</v>
      </c>
      <c r="F78" s="12" t="s">
        <v>978</v>
      </c>
      <c r="G78" s="12">
        <v>0</v>
      </c>
      <c r="H78" s="12">
        <v>0</v>
      </c>
      <c r="I78" s="12"/>
      <c r="J78" s="12"/>
      <c r="K78" s="12"/>
      <c r="L78" s="12"/>
      <c r="M78" s="69">
        <v>844008</v>
      </c>
      <c r="N78" s="69" t="s">
        <v>931</v>
      </c>
      <c r="O78" s="73" t="s">
        <v>976</v>
      </c>
      <c r="P78" s="66"/>
      <c r="R78" s="12">
        <v>13</v>
      </c>
    </row>
    <row r="79" spans="1:19" ht="16.8">
      <c r="A79" s="12">
        <v>64</v>
      </c>
      <c r="B79" s="15" t="s">
        <v>979</v>
      </c>
      <c r="C79" s="12"/>
      <c r="D79" s="12" t="s">
        <v>816</v>
      </c>
      <c r="E79" s="12" t="s">
        <v>980</v>
      </c>
      <c r="F79" s="12" t="s">
        <v>980</v>
      </c>
      <c r="G79" s="12">
        <v>0</v>
      </c>
      <c r="H79" s="12">
        <v>0</v>
      </c>
      <c r="I79" s="12"/>
      <c r="J79" s="12"/>
      <c r="K79" s="12"/>
      <c r="L79" s="12"/>
      <c r="M79" s="69">
        <v>844008</v>
      </c>
      <c r="N79" s="69" t="s">
        <v>931</v>
      </c>
      <c r="O79" s="73" t="s">
        <v>976</v>
      </c>
      <c r="P79" s="66"/>
      <c r="R79" s="12"/>
    </row>
    <row r="80" spans="1:19" ht="16.8">
      <c r="A80" s="12">
        <v>65</v>
      </c>
      <c r="B80" s="15" t="s">
        <v>981</v>
      </c>
      <c r="C80" s="12"/>
      <c r="D80" s="12"/>
      <c r="E80" s="12" t="s">
        <v>982</v>
      </c>
      <c r="F80" s="12" t="s">
        <v>983</v>
      </c>
      <c r="G80" s="12">
        <v>0</v>
      </c>
      <c r="H80" s="12">
        <v>0</v>
      </c>
      <c r="I80" s="12"/>
      <c r="J80" s="12" t="s">
        <v>984</v>
      </c>
      <c r="K80" s="12" t="s">
        <v>985</v>
      </c>
      <c r="L80" s="68" t="s">
        <v>986</v>
      </c>
      <c r="M80" s="69">
        <v>844004</v>
      </c>
      <c r="N80" s="69" t="s">
        <v>987</v>
      </c>
      <c r="O80" s="73" t="s">
        <v>988</v>
      </c>
      <c r="P80" s="72"/>
      <c r="R80" s="12"/>
    </row>
    <row r="81" spans="1:19" ht="16.8">
      <c r="A81" s="12">
        <v>66</v>
      </c>
      <c r="B81" s="15" t="s">
        <v>989</v>
      </c>
      <c r="C81" s="12"/>
      <c r="D81" s="12"/>
      <c r="E81" s="12" t="s">
        <v>990</v>
      </c>
      <c r="F81" s="12" t="s">
        <v>991</v>
      </c>
      <c r="G81" s="12">
        <v>0</v>
      </c>
      <c r="H81" s="12">
        <v>0</v>
      </c>
      <c r="I81" s="12"/>
      <c r="J81" s="12"/>
      <c r="K81" s="12" t="s">
        <v>985</v>
      </c>
      <c r="L81" s="68" t="s">
        <v>986</v>
      </c>
      <c r="M81" s="69">
        <v>844004</v>
      </c>
      <c r="N81" s="69" t="s">
        <v>987</v>
      </c>
      <c r="O81" s="73" t="s">
        <v>976</v>
      </c>
      <c r="P81" s="72"/>
      <c r="R81" s="12"/>
    </row>
    <row r="82" spans="1:19" ht="16.8">
      <c r="A82" s="12">
        <v>67</v>
      </c>
      <c r="B82" s="15" t="s">
        <v>992</v>
      </c>
      <c r="C82" s="12">
        <v>13</v>
      </c>
      <c r="D82" s="12" t="s">
        <v>816</v>
      </c>
      <c r="E82" s="12" t="s">
        <v>924</v>
      </c>
      <c r="F82" s="12" t="s">
        <v>925</v>
      </c>
      <c r="G82" s="12">
        <v>1</v>
      </c>
      <c r="H82" s="12">
        <v>1</v>
      </c>
      <c r="I82" s="12">
        <v>13</v>
      </c>
      <c r="J82" s="12" t="s">
        <v>993</v>
      </c>
      <c r="K82" s="12" t="s">
        <v>820</v>
      </c>
      <c r="L82" s="68" t="s">
        <v>821</v>
      </c>
      <c r="M82" s="69">
        <v>497125</v>
      </c>
      <c r="N82" s="69" t="s">
        <v>822</v>
      </c>
      <c r="O82" s="73" t="s">
        <v>994</v>
      </c>
      <c r="P82" s="72"/>
      <c r="R82" s="12"/>
      <c r="S82">
        <v>2</v>
      </c>
    </row>
    <row r="83" spans="1:19" ht="16.8">
      <c r="A83" s="12">
        <v>68</v>
      </c>
      <c r="B83" s="15" t="s">
        <v>995</v>
      </c>
      <c r="C83" s="12">
        <v>1</v>
      </c>
      <c r="D83" s="12" t="s">
        <v>816</v>
      </c>
      <c r="E83" s="12"/>
      <c r="F83" s="12"/>
      <c r="G83" s="12">
        <v>0</v>
      </c>
      <c r="H83" s="12">
        <v>0</v>
      </c>
      <c r="I83" s="12">
        <v>1</v>
      </c>
      <c r="J83" s="12"/>
      <c r="K83" s="12"/>
      <c r="L83" s="12"/>
      <c r="M83" s="69"/>
      <c r="N83" s="69"/>
      <c r="O83" s="73"/>
      <c r="P83" s="66"/>
      <c r="R83" s="12">
        <v>13</v>
      </c>
      <c r="S83">
        <v>1</v>
      </c>
    </row>
    <row r="84" spans="1:19" ht="16.8">
      <c r="A84" s="12">
        <v>69</v>
      </c>
      <c r="B84" s="15" t="s">
        <v>996</v>
      </c>
      <c r="C84" s="12"/>
      <c r="D84" s="12"/>
      <c r="E84" s="12" t="s">
        <v>997</v>
      </c>
      <c r="F84" s="12" t="s">
        <v>998</v>
      </c>
      <c r="G84" s="12">
        <v>0</v>
      </c>
      <c r="H84" s="12">
        <v>0</v>
      </c>
      <c r="I84" s="12"/>
      <c r="J84" s="12" t="s">
        <v>999</v>
      </c>
      <c r="K84" s="12" t="s">
        <v>1000</v>
      </c>
      <c r="L84" s="12"/>
      <c r="M84" s="69">
        <v>844001</v>
      </c>
      <c r="N84" s="69" t="s">
        <v>931</v>
      </c>
      <c r="O84" s="73" t="s">
        <v>1001</v>
      </c>
      <c r="P84" s="72"/>
      <c r="R84" s="12">
        <v>1</v>
      </c>
    </row>
    <row r="85" spans="1:19" ht="16.8">
      <c r="A85" s="12">
        <v>70</v>
      </c>
      <c r="B85" s="15" t="s">
        <v>1002</v>
      </c>
      <c r="C85" s="12"/>
      <c r="D85" s="12"/>
      <c r="E85" s="12" t="s">
        <v>1003</v>
      </c>
      <c r="F85" s="12" t="s">
        <v>1003</v>
      </c>
      <c r="G85" s="12">
        <v>0</v>
      </c>
      <c r="H85" s="12">
        <v>0</v>
      </c>
      <c r="I85" s="12"/>
      <c r="J85" s="12"/>
      <c r="K85" s="12"/>
      <c r="L85" s="12"/>
      <c r="M85" s="69">
        <v>844008</v>
      </c>
      <c r="N85" s="69">
        <v>497173</v>
      </c>
      <c r="O85" s="73"/>
      <c r="P85" s="66"/>
      <c r="R85" s="12"/>
    </row>
    <row r="86" spans="1:19" ht="16.8">
      <c r="A86" s="12">
        <v>71</v>
      </c>
      <c r="B86" s="15" t="s">
        <v>1004</v>
      </c>
      <c r="C86" s="12"/>
      <c r="D86" s="12"/>
      <c r="E86" s="12" t="s">
        <v>1005</v>
      </c>
      <c r="F86" s="12" t="s">
        <v>1005</v>
      </c>
      <c r="G86" s="12">
        <v>0</v>
      </c>
      <c r="H86" s="12">
        <v>0</v>
      </c>
      <c r="I86" s="12"/>
      <c r="J86" s="12"/>
      <c r="K86" s="12"/>
      <c r="L86" s="12"/>
      <c r="M86" s="69">
        <v>844008</v>
      </c>
      <c r="N86" s="69">
        <v>497173</v>
      </c>
      <c r="O86" s="73"/>
      <c r="P86" s="66"/>
      <c r="R86" s="12"/>
    </row>
    <row r="87" spans="1:19" ht="16.8">
      <c r="A87" s="12">
        <v>72</v>
      </c>
      <c r="B87" s="15" t="s">
        <v>1006</v>
      </c>
      <c r="C87" s="12"/>
      <c r="D87" s="12"/>
      <c r="E87" s="12" t="s">
        <v>1007</v>
      </c>
      <c r="F87" s="12" t="s">
        <v>1007</v>
      </c>
      <c r="G87" s="12">
        <v>0</v>
      </c>
      <c r="H87" s="12">
        <v>0</v>
      </c>
      <c r="I87" s="12"/>
      <c r="J87" s="12"/>
      <c r="K87" s="12"/>
      <c r="L87" s="12"/>
      <c r="M87" s="69">
        <v>844008</v>
      </c>
      <c r="N87" s="69">
        <v>497173</v>
      </c>
      <c r="O87" s="73"/>
      <c r="P87" s="66"/>
    </row>
    <row r="88" spans="1:19" ht="16.8">
      <c r="A88" s="12">
        <v>73</v>
      </c>
      <c r="B88" s="15" t="s">
        <v>1008</v>
      </c>
      <c r="C88" s="12"/>
      <c r="D88" s="12"/>
      <c r="E88" s="12" t="s">
        <v>1009</v>
      </c>
      <c r="F88" s="12" t="s">
        <v>1009</v>
      </c>
      <c r="G88" s="12">
        <v>0</v>
      </c>
      <c r="H88" s="12">
        <v>0</v>
      </c>
      <c r="I88" s="12"/>
      <c r="J88" s="12"/>
      <c r="K88" s="12"/>
      <c r="L88" s="12"/>
      <c r="M88" s="69">
        <v>844008</v>
      </c>
      <c r="N88" s="69">
        <v>497173</v>
      </c>
      <c r="O88" s="73"/>
      <c r="P88" s="66"/>
    </row>
    <row r="89" spans="1:19" ht="16.8">
      <c r="A89" s="12">
        <v>74</v>
      </c>
      <c r="B89" s="15" t="s">
        <v>1010</v>
      </c>
      <c r="C89" s="12">
        <v>13</v>
      </c>
      <c r="D89" s="12" t="s">
        <v>816</v>
      </c>
      <c r="E89" s="12" t="s">
        <v>838</v>
      </c>
      <c r="F89" s="12" t="s">
        <v>1011</v>
      </c>
      <c r="G89" s="12">
        <v>1</v>
      </c>
      <c r="H89" s="12">
        <v>0</v>
      </c>
      <c r="I89" s="12">
        <v>3</v>
      </c>
      <c r="J89" s="12" t="s">
        <v>1012</v>
      </c>
      <c r="K89" s="12" t="s">
        <v>820</v>
      </c>
      <c r="L89" s="68" t="s">
        <v>821</v>
      </c>
      <c r="M89" s="69">
        <v>497125</v>
      </c>
      <c r="N89" s="69" t="s">
        <v>822</v>
      </c>
      <c r="O89" s="70" t="s">
        <v>823</v>
      </c>
      <c r="P89" s="71" t="s">
        <v>824</v>
      </c>
    </row>
    <row r="90" spans="1:19" ht="16.8">
      <c r="A90" s="12">
        <v>75</v>
      </c>
      <c r="B90" s="15" t="s">
        <v>1013</v>
      </c>
      <c r="C90" s="12">
        <v>13</v>
      </c>
      <c r="D90" s="12" t="s">
        <v>816</v>
      </c>
      <c r="E90" s="12" t="s">
        <v>853</v>
      </c>
      <c r="F90" s="12" t="s">
        <v>854</v>
      </c>
      <c r="G90" s="12">
        <v>1</v>
      </c>
      <c r="H90" s="12">
        <v>0</v>
      </c>
      <c r="I90" s="12">
        <v>13</v>
      </c>
      <c r="J90" s="12" t="s">
        <v>1014</v>
      </c>
      <c r="K90" s="12" t="s">
        <v>820</v>
      </c>
      <c r="L90" s="68" t="s">
        <v>821</v>
      </c>
      <c r="M90" s="69">
        <v>497125</v>
      </c>
      <c r="N90" s="69" t="s">
        <v>822</v>
      </c>
      <c r="O90" s="70" t="s">
        <v>823</v>
      </c>
      <c r="P90" s="71" t="s">
        <v>824</v>
      </c>
    </row>
    <row r="91" spans="1:19" ht="16.8">
      <c r="A91" s="12">
        <v>76</v>
      </c>
      <c r="B91" s="15" t="s">
        <v>1015</v>
      </c>
      <c r="C91" s="12"/>
      <c r="D91" s="12"/>
      <c r="E91" s="12" t="s">
        <v>967</v>
      </c>
      <c r="F91" s="12" t="s">
        <v>967</v>
      </c>
      <c r="G91" s="12">
        <v>0</v>
      </c>
      <c r="H91" s="12">
        <v>0</v>
      </c>
      <c r="I91" s="12"/>
      <c r="J91" s="12"/>
      <c r="K91" s="12" t="s">
        <v>1016</v>
      </c>
      <c r="L91" s="12"/>
      <c r="M91" s="69">
        <v>844008</v>
      </c>
      <c r="N91" s="69">
        <v>497173</v>
      </c>
      <c r="O91" s="73"/>
      <c r="P91" s="66"/>
    </row>
    <row r="92" spans="1:19" ht="16.8">
      <c r="A92" s="12">
        <v>77</v>
      </c>
      <c r="B92" s="15" t="s">
        <v>1017</v>
      </c>
      <c r="C92" s="12"/>
      <c r="D92" s="12"/>
      <c r="E92" s="12" t="s">
        <v>1018</v>
      </c>
      <c r="F92" s="12" t="s">
        <v>1019</v>
      </c>
      <c r="G92" s="12">
        <v>0</v>
      </c>
      <c r="H92" s="12">
        <v>0</v>
      </c>
      <c r="I92" s="12"/>
      <c r="J92" s="12" t="s">
        <v>1020</v>
      </c>
      <c r="K92" s="12" t="s">
        <v>1021</v>
      </c>
      <c r="L92" s="12"/>
      <c r="M92" s="69">
        <v>845046</v>
      </c>
      <c r="N92" s="69" t="s">
        <v>931</v>
      </c>
      <c r="O92" s="73" t="s">
        <v>1022</v>
      </c>
      <c r="P92" s="72"/>
    </row>
    <row r="93" spans="1:19" ht="16.8">
      <c r="A93" s="12">
        <v>78</v>
      </c>
      <c r="B93" s="15" t="s">
        <v>1023</v>
      </c>
      <c r="C93" s="12"/>
      <c r="D93" s="12"/>
      <c r="E93" s="12" t="s">
        <v>1024</v>
      </c>
      <c r="F93" s="12" t="s">
        <v>1025</v>
      </c>
      <c r="G93" s="12">
        <v>0</v>
      </c>
      <c r="H93" s="12">
        <v>0</v>
      </c>
      <c r="I93" s="12"/>
      <c r="J93" s="12" t="s">
        <v>1026</v>
      </c>
      <c r="K93" s="12" t="s">
        <v>1027</v>
      </c>
      <c r="L93" s="12"/>
      <c r="M93" s="69">
        <v>845046</v>
      </c>
      <c r="N93" s="69" t="s">
        <v>931</v>
      </c>
      <c r="O93" s="73" t="s">
        <v>1028</v>
      </c>
      <c r="P93" s="72"/>
    </row>
    <row r="94" spans="1:19" ht="16.8">
      <c r="A94" s="12">
        <v>79</v>
      </c>
      <c r="B94" s="15" t="s">
        <v>1029</v>
      </c>
      <c r="C94" s="12"/>
      <c r="D94" s="12"/>
      <c r="E94" s="12" t="s">
        <v>1030</v>
      </c>
      <c r="F94" s="12" t="s">
        <v>1031</v>
      </c>
      <c r="G94" s="12">
        <v>0</v>
      </c>
      <c r="H94" s="12">
        <v>0</v>
      </c>
      <c r="I94" s="12"/>
      <c r="J94" s="12" t="s">
        <v>1032</v>
      </c>
      <c r="K94" s="49" t="s">
        <v>1033</v>
      </c>
      <c r="L94" s="49"/>
      <c r="M94" s="69">
        <v>845046</v>
      </c>
      <c r="N94" s="69" t="s">
        <v>931</v>
      </c>
      <c r="O94" s="73" t="s">
        <v>1034</v>
      </c>
      <c r="P94" s="72"/>
    </row>
    <row r="95" spans="1:19" ht="16.8">
      <c r="A95" s="12">
        <v>80</v>
      </c>
      <c r="B95" s="15" t="s">
        <v>322</v>
      </c>
      <c r="C95" s="12">
        <v>13</v>
      </c>
      <c r="D95" s="12" t="s">
        <v>816</v>
      </c>
      <c r="E95" s="12"/>
      <c r="F95" s="12"/>
      <c r="G95" s="12">
        <v>0</v>
      </c>
      <c r="H95" s="12">
        <v>0</v>
      </c>
      <c r="I95" s="12">
        <v>13</v>
      </c>
      <c r="J95" s="12" t="s">
        <v>1035</v>
      </c>
      <c r="K95" s="12" t="s">
        <v>820</v>
      </c>
      <c r="L95" s="68" t="s">
        <v>821</v>
      </c>
      <c r="M95" s="69">
        <v>497125</v>
      </c>
      <c r="N95" s="69" t="s">
        <v>822</v>
      </c>
      <c r="O95" s="70" t="s">
        <v>823</v>
      </c>
      <c r="P95" s="71" t="s">
        <v>824</v>
      </c>
    </row>
    <row r="96" spans="1:19" ht="16.8">
      <c r="A96" s="12">
        <v>81</v>
      </c>
      <c r="B96" s="15" t="s">
        <v>1036</v>
      </c>
      <c r="C96" s="12">
        <v>13</v>
      </c>
      <c r="D96" s="12" t="s">
        <v>816</v>
      </c>
      <c r="E96" s="12" t="s">
        <v>921</v>
      </c>
      <c r="F96" s="12" t="s">
        <v>922</v>
      </c>
      <c r="G96" s="12">
        <v>0</v>
      </c>
      <c r="H96" s="12">
        <v>0</v>
      </c>
      <c r="I96" s="12">
        <v>13</v>
      </c>
      <c r="J96" s="12" t="s">
        <v>1037</v>
      </c>
      <c r="K96" s="12" t="s">
        <v>820</v>
      </c>
      <c r="L96" s="68" t="s">
        <v>821</v>
      </c>
      <c r="M96" s="69">
        <v>497125</v>
      </c>
      <c r="N96" s="69" t="s">
        <v>822</v>
      </c>
      <c r="O96" s="70" t="s">
        <v>823</v>
      </c>
      <c r="P96" s="71" t="s">
        <v>824</v>
      </c>
    </row>
    <row r="97" spans="1:17" ht="16.8">
      <c r="A97" s="12">
        <v>82</v>
      </c>
      <c r="B97" s="15" t="s">
        <v>1038</v>
      </c>
      <c r="C97" s="12">
        <v>13</v>
      </c>
      <c r="D97" s="12" t="s">
        <v>816</v>
      </c>
      <c r="E97" s="12" t="s">
        <v>817</v>
      </c>
      <c r="F97" s="12" t="s">
        <v>818</v>
      </c>
      <c r="G97" s="12">
        <v>0</v>
      </c>
      <c r="H97" s="12">
        <v>0</v>
      </c>
      <c r="I97" s="12">
        <v>13</v>
      </c>
      <c r="J97" s="12" t="s">
        <v>1039</v>
      </c>
      <c r="K97" s="12" t="s">
        <v>820</v>
      </c>
      <c r="L97" s="68" t="s">
        <v>821</v>
      </c>
      <c r="M97" s="69">
        <v>497125</v>
      </c>
      <c r="N97" s="69" t="s">
        <v>822</v>
      </c>
      <c r="O97" s="70" t="s">
        <v>823</v>
      </c>
      <c r="P97" s="71" t="s">
        <v>824</v>
      </c>
    </row>
    <row r="98" spans="1:17" ht="16.8">
      <c r="A98" s="12">
        <v>83</v>
      </c>
      <c r="B98" s="15" t="s">
        <v>1040</v>
      </c>
      <c r="C98" s="12">
        <v>1</v>
      </c>
      <c r="D98" s="12">
        <v>9</v>
      </c>
      <c r="E98" s="12"/>
      <c r="F98" s="12"/>
      <c r="G98" s="12">
        <v>0</v>
      </c>
      <c r="H98" s="12">
        <v>0</v>
      </c>
      <c r="I98" s="12">
        <v>1</v>
      </c>
      <c r="J98" s="12"/>
      <c r="K98" s="12"/>
      <c r="L98" s="12"/>
      <c r="M98" s="69"/>
      <c r="N98" s="69"/>
      <c r="O98" s="73"/>
      <c r="P98" s="66"/>
    </row>
    <row r="99" spans="1:17" ht="16.8">
      <c r="A99" s="12">
        <v>84</v>
      </c>
      <c r="B99" s="15" t="s">
        <v>1041</v>
      </c>
      <c r="C99" s="12">
        <v>13</v>
      </c>
      <c r="D99" s="12" t="s">
        <v>816</v>
      </c>
      <c r="E99" s="12" t="s">
        <v>1042</v>
      </c>
      <c r="F99" s="12" t="s">
        <v>1043</v>
      </c>
      <c r="G99" s="12">
        <v>1</v>
      </c>
      <c r="H99" s="12">
        <v>0</v>
      </c>
      <c r="I99" s="12">
        <v>13</v>
      </c>
      <c r="J99" s="12" t="s">
        <v>1044</v>
      </c>
      <c r="K99" s="12" t="s">
        <v>820</v>
      </c>
      <c r="L99" s="68" t="s">
        <v>821</v>
      </c>
      <c r="M99" s="69">
        <v>497125</v>
      </c>
      <c r="N99" s="69" t="s">
        <v>822</v>
      </c>
      <c r="O99" s="70" t="s">
        <v>823</v>
      </c>
      <c r="P99" s="71" t="s">
        <v>824</v>
      </c>
    </row>
    <row r="100" spans="1:17" ht="16.8">
      <c r="A100" s="12">
        <v>85</v>
      </c>
      <c r="B100" s="15" t="s">
        <v>1045</v>
      </c>
      <c r="C100" s="12">
        <v>1</v>
      </c>
      <c r="D100" s="12">
        <v>10</v>
      </c>
      <c r="E100" s="12"/>
      <c r="F100" s="12"/>
      <c r="G100" s="12">
        <v>0</v>
      </c>
      <c r="H100" s="12">
        <v>0</v>
      </c>
      <c r="I100" s="12">
        <v>1</v>
      </c>
      <c r="J100" s="12"/>
      <c r="K100" s="12"/>
      <c r="L100" s="12"/>
      <c r="M100" s="69"/>
      <c r="N100" s="69"/>
      <c r="O100" s="73"/>
      <c r="P100" s="66"/>
    </row>
    <row r="101" spans="1:17" ht="13.5" customHeight="1">
      <c r="A101" s="12">
        <v>86</v>
      </c>
      <c r="B101" s="15" t="s">
        <v>1046</v>
      </c>
      <c r="C101" s="12">
        <v>13</v>
      </c>
      <c r="D101" s="12" t="s">
        <v>816</v>
      </c>
      <c r="E101" s="12" t="s">
        <v>817</v>
      </c>
      <c r="F101" s="12" t="s">
        <v>818</v>
      </c>
      <c r="G101" s="12">
        <v>0</v>
      </c>
      <c r="H101" s="12">
        <v>0</v>
      </c>
      <c r="I101" s="12">
        <v>13</v>
      </c>
      <c r="J101" s="12" t="s">
        <v>1047</v>
      </c>
      <c r="K101" s="12" t="s">
        <v>820</v>
      </c>
      <c r="L101" s="68" t="s">
        <v>821</v>
      </c>
      <c r="M101" s="69">
        <v>497125</v>
      </c>
      <c r="N101" s="69" t="s">
        <v>822</v>
      </c>
      <c r="O101" s="70" t="s">
        <v>823</v>
      </c>
      <c r="P101" s="71" t="s">
        <v>824</v>
      </c>
    </row>
    <row r="102" spans="1:17" s="18" customFormat="1" ht="16.8">
      <c r="A102" s="12">
        <v>87</v>
      </c>
      <c r="B102" s="15" t="s">
        <v>1048</v>
      </c>
      <c r="C102" s="12">
        <v>3</v>
      </c>
      <c r="D102" s="12" t="s">
        <v>816</v>
      </c>
      <c r="E102" s="12" t="s">
        <v>817</v>
      </c>
      <c r="F102" s="12" t="s">
        <v>818</v>
      </c>
      <c r="G102" s="12">
        <v>0</v>
      </c>
      <c r="H102" s="12">
        <v>1</v>
      </c>
      <c r="I102" s="12">
        <v>7</v>
      </c>
      <c r="J102" s="12" t="s">
        <v>1047</v>
      </c>
      <c r="K102" s="12" t="s">
        <v>820</v>
      </c>
      <c r="L102" s="68" t="s">
        <v>821</v>
      </c>
      <c r="M102" s="69">
        <v>497125</v>
      </c>
      <c r="N102" s="69" t="s">
        <v>822</v>
      </c>
      <c r="O102" s="70" t="s">
        <v>823</v>
      </c>
      <c r="P102" s="71" t="s">
        <v>824</v>
      </c>
      <c r="Q102" s="75"/>
    </row>
    <row r="103" spans="1:17" s="18" customFormat="1" ht="16.8">
      <c r="A103" s="12">
        <v>88</v>
      </c>
      <c r="B103" s="12" t="s">
        <v>1049</v>
      </c>
      <c r="C103" s="12">
        <v>13</v>
      </c>
      <c r="D103" s="12" t="s">
        <v>816</v>
      </c>
      <c r="E103" s="12" t="s">
        <v>817</v>
      </c>
      <c r="F103" s="12" t="s">
        <v>818</v>
      </c>
      <c r="G103" s="12">
        <v>1</v>
      </c>
      <c r="H103" s="12">
        <v>0</v>
      </c>
      <c r="I103" s="12">
        <v>13</v>
      </c>
      <c r="J103" s="12" t="s">
        <v>1047</v>
      </c>
      <c r="K103" s="12" t="s">
        <v>820</v>
      </c>
      <c r="L103" s="68" t="s">
        <v>821</v>
      </c>
      <c r="M103" s="69">
        <v>497125</v>
      </c>
      <c r="N103" s="69" t="s">
        <v>822</v>
      </c>
      <c r="O103" s="70" t="s">
        <v>823</v>
      </c>
      <c r="P103" s="71" t="s">
        <v>824</v>
      </c>
      <c r="Q103" s="75"/>
    </row>
    <row r="104" spans="1:17" s="18" customFormat="1" ht="16.8">
      <c r="A104" s="12">
        <v>89</v>
      </c>
      <c r="B104" s="12" t="s">
        <v>1050</v>
      </c>
      <c r="C104" s="12">
        <v>13</v>
      </c>
      <c r="D104" s="12" t="s">
        <v>816</v>
      </c>
      <c r="E104" s="12" t="s">
        <v>817</v>
      </c>
      <c r="F104" s="12" t="s">
        <v>818</v>
      </c>
      <c r="G104" s="12">
        <v>1</v>
      </c>
      <c r="H104" s="12">
        <v>0</v>
      </c>
      <c r="I104" s="12">
        <v>13</v>
      </c>
      <c r="J104" s="12" t="s">
        <v>1047</v>
      </c>
      <c r="K104" s="12" t="s">
        <v>820</v>
      </c>
      <c r="L104" s="68" t="s">
        <v>821</v>
      </c>
      <c r="M104" s="69">
        <v>497125</v>
      </c>
      <c r="N104" s="69" t="s">
        <v>822</v>
      </c>
      <c r="O104" s="70" t="s">
        <v>823</v>
      </c>
      <c r="P104" s="71" t="s">
        <v>824</v>
      </c>
      <c r="Q104" s="75"/>
    </row>
    <row r="105" spans="1:17" s="12" customFormat="1" ht="16.8">
      <c r="A105" s="12">
        <v>90</v>
      </c>
      <c r="B105" s="12" t="s">
        <v>1051</v>
      </c>
      <c r="C105" s="12">
        <v>13</v>
      </c>
      <c r="D105" s="12" t="s">
        <v>816</v>
      </c>
      <c r="E105" s="12" t="s">
        <v>863</v>
      </c>
      <c r="F105" s="12" t="s">
        <v>864</v>
      </c>
      <c r="G105" s="12">
        <v>1</v>
      </c>
      <c r="H105" s="12">
        <v>0</v>
      </c>
      <c r="I105" s="12">
        <v>13</v>
      </c>
      <c r="J105" s="12" t="s">
        <v>1047</v>
      </c>
      <c r="K105" s="12" t="s">
        <v>820</v>
      </c>
      <c r="L105" s="68" t="s">
        <v>821</v>
      </c>
      <c r="M105" s="69">
        <v>497125</v>
      </c>
      <c r="N105" s="69" t="s">
        <v>822</v>
      </c>
      <c r="O105" s="70" t="s">
        <v>823</v>
      </c>
      <c r="P105" s="71" t="s">
        <v>824</v>
      </c>
      <c r="Q105" s="74"/>
    </row>
    <row r="106" spans="1:17" ht="16.8">
      <c r="A106" s="12">
        <v>91</v>
      </c>
      <c r="B106" s="12" t="s">
        <v>1052</v>
      </c>
      <c r="C106" s="12">
        <v>1</v>
      </c>
      <c r="D106" s="12">
        <v>11</v>
      </c>
      <c r="E106" s="12"/>
      <c r="F106" s="12"/>
      <c r="G106" s="12">
        <v>0</v>
      </c>
      <c r="H106" s="12">
        <v>0</v>
      </c>
      <c r="I106" s="12">
        <v>1</v>
      </c>
      <c r="J106" s="12"/>
      <c r="K106" s="12"/>
      <c r="L106" s="12"/>
      <c r="M106" s="69"/>
      <c r="N106" s="69"/>
      <c r="O106" s="73"/>
      <c r="P106" s="66"/>
    </row>
    <row r="107" spans="1:17" s="12" customFormat="1" ht="16.8">
      <c r="A107" s="12">
        <v>92</v>
      </c>
      <c r="B107" s="12" t="s">
        <v>1053</v>
      </c>
      <c r="C107" s="12">
        <v>1</v>
      </c>
      <c r="D107" s="12">
        <v>12</v>
      </c>
      <c r="G107" s="12">
        <v>0</v>
      </c>
      <c r="H107" s="12">
        <v>0</v>
      </c>
      <c r="I107" s="12">
        <v>1</v>
      </c>
      <c r="M107" s="69"/>
      <c r="N107" s="69"/>
      <c r="O107" s="70"/>
      <c r="P107" s="66"/>
      <c r="Q107" s="74"/>
    </row>
    <row r="108" spans="1:17" s="12" customFormat="1" ht="16.8">
      <c r="A108" s="12">
        <v>93</v>
      </c>
      <c r="B108" s="12" t="s">
        <v>1054</v>
      </c>
      <c r="C108" s="12">
        <v>1</v>
      </c>
      <c r="D108" s="12">
        <v>13</v>
      </c>
      <c r="G108" s="12">
        <v>0</v>
      </c>
      <c r="H108" s="12">
        <v>0</v>
      </c>
      <c r="I108" s="12">
        <v>1</v>
      </c>
      <c r="M108" s="69"/>
      <c r="N108" s="69"/>
      <c r="O108" s="70"/>
      <c r="P108" s="66"/>
      <c r="Q108" s="74"/>
    </row>
    <row r="109" spans="1:17" s="12" customFormat="1" ht="16.8">
      <c r="A109" s="12">
        <v>94</v>
      </c>
      <c r="B109" s="12" t="s">
        <v>1055</v>
      </c>
      <c r="C109" s="12">
        <v>13</v>
      </c>
      <c r="D109" s="12" t="s">
        <v>816</v>
      </c>
      <c r="E109" s="12" t="s">
        <v>1056</v>
      </c>
      <c r="F109" s="12" t="s">
        <v>1057</v>
      </c>
      <c r="G109" s="12">
        <v>1</v>
      </c>
      <c r="H109" s="12">
        <v>0</v>
      </c>
      <c r="I109" s="12">
        <v>13</v>
      </c>
      <c r="J109" s="12" t="s">
        <v>1044</v>
      </c>
      <c r="K109" s="12" t="s">
        <v>820</v>
      </c>
      <c r="L109" s="68" t="s">
        <v>821</v>
      </c>
      <c r="M109" s="69">
        <v>497125</v>
      </c>
      <c r="N109" s="69" t="s">
        <v>822</v>
      </c>
      <c r="O109" s="70" t="s">
        <v>823</v>
      </c>
      <c r="P109" s="71" t="s">
        <v>824</v>
      </c>
      <c r="Q109" s="74"/>
    </row>
    <row r="110" spans="1:17" s="12" customFormat="1" ht="16.8">
      <c r="A110" s="12">
        <v>95</v>
      </c>
      <c r="B110" s="12" t="s">
        <v>1058</v>
      </c>
      <c r="C110" s="12">
        <v>1</v>
      </c>
      <c r="D110" s="12" t="s">
        <v>816</v>
      </c>
      <c r="G110" s="12">
        <v>0</v>
      </c>
      <c r="H110" s="12">
        <v>0</v>
      </c>
      <c r="I110" s="12">
        <v>1</v>
      </c>
      <c r="M110" s="69"/>
      <c r="N110" s="69"/>
      <c r="O110" s="70"/>
      <c r="P110" s="66"/>
      <c r="Q110" s="74"/>
    </row>
    <row r="111" spans="1:17" s="12" customFormat="1" ht="16.8">
      <c r="A111" s="12">
        <v>96</v>
      </c>
      <c r="B111" s="12" t="s">
        <v>1059</v>
      </c>
      <c r="C111" s="12">
        <v>13</v>
      </c>
      <c r="D111" s="12" t="s">
        <v>816</v>
      </c>
      <c r="E111" s="12" t="s">
        <v>863</v>
      </c>
      <c r="F111" s="12" t="s">
        <v>864</v>
      </c>
      <c r="G111" s="12">
        <v>1</v>
      </c>
      <c r="H111" s="12">
        <v>0</v>
      </c>
      <c r="I111" s="12">
        <v>13</v>
      </c>
      <c r="J111" s="12" t="s">
        <v>1047</v>
      </c>
      <c r="K111" s="12" t="s">
        <v>820</v>
      </c>
      <c r="L111" s="68" t="s">
        <v>821</v>
      </c>
      <c r="M111" s="69">
        <v>497125</v>
      </c>
      <c r="N111" s="69" t="s">
        <v>822</v>
      </c>
      <c r="O111" s="70" t="s">
        <v>823</v>
      </c>
      <c r="P111" s="71" t="s">
        <v>824</v>
      </c>
      <c r="Q111" s="74"/>
    </row>
    <row r="112" spans="1:17" s="12" customFormat="1" ht="16.8">
      <c r="A112" s="12">
        <v>97</v>
      </c>
      <c r="B112" s="12" t="s">
        <v>1060</v>
      </c>
      <c r="C112" s="12">
        <v>1</v>
      </c>
      <c r="D112" s="12">
        <v>14</v>
      </c>
      <c r="G112" s="12">
        <v>0</v>
      </c>
      <c r="H112" s="12">
        <v>0</v>
      </c>
      <c r="I112" s="12">
        <v>1</v>
      </c>
      <c r="M112" s="69"/>
      <c r="N112" s="69"/>
      <c r="O112" s="70"/>
      <c r="P112" s="66"/>
      <c r="Q112" s="74"/>
    </row>
    <row r="113" spans="1:17" s="12" customFormat="1" ht="16.8">
      <c r="A113" s="12">
        <v>98</v>
      </c>
      <c r="B113" s="12" t="s">
        <v>1061</v>
      </c>
      <c r="C113" s="12">
        <v>1</v>
      </c>
      <c r="D113" s="12">
        <v>15</v>
      </c>
      <c r="G113" s="12">
        <v>0</v>
      </c>
      <c r="H113" s="12">
        <v>0</v>
      </c>
      <c r="I113" s="12">
        <v>1</v>
      </c>
      <c r="M113" s="69"/>
      <c r="N113" s="69"/>
      <c r="O113" s="70"/>
      <c r="P113" s="66"/>
      <c r="Q113" s="74"/>
    </row>
    <row r="114" spans="1:17" s="12" customFormat="1" ht="16.8">
      <c r="A114" s="12">
        <v>99</v>
      </c>
      <c r="B114" s="12" t="s">
        <v>1062</v>
      </c>
      <c r="C114" s="12">
        <v>13</v>
      </c>
      <c r="D114" s="12" t="s">
        <v>816</v>
      </c>
      <c r="E114" s="12" t="s">
        <v>1063</v>
      </c>
      <c r="F114" s="12" t="s">
        <v>1064</v>
      </c>
      <c r="G114" s="12">
        <v>1</v>
      </c>
      <c r="H114" s="12">
        <v>1</v>
      </c>
      <c r="I114" s="12">
        <v>4</v>
      </c>
      <c r="J114" s="12" t="s">
        <v>1047</v>
      </c>
      <c r="K114" s="12" t="s">
        <v>820</v>
      </c>
      <c r="L114" s="68" t="s">
        <v>821</v>
      </c>
      <c r="M114" s="69">
        <v>497125</v>
      </c>
      <c r="N114" s="69" t="s">
        <v>822</v>
      </c>
      <c r="O114" s="70" t="s">
        <v>1065</v>
      </c>
      <c r="P114" s="71" t="s">
        <v>824</v>
      </c>
      <c r="Q114" s="74"/>
    </row>
    <row r="115" spans="1:17" s="12" customFormat="1" ht="16.8">
      <c r="A115" s="12">
        <v>100</v>
      </c>
      <c r="B115" s="12" t="s">
        <v>1066</v>
      </c>
      <c r="C115" s="12">
        <v>13</v>
      </c>
      <c r="D115" s="12" t="s">
        <v>816</v>
      </c>
      <c r="E115" s="12" t="s">
        <v>921</v>
      </c>
      <c r="F115" s="12" t="s">
        <v>922</v>
      </c>
      <c r="G115" s="12">
        <v>1</v>
      </c>
      <c r="H115" s="12">
        <v>1</v>
      </c>
      <c r="I115" s="12">
        <v>13</v>
      </c>
      <c r="J115" s="12" t="s">
        <v>1047</v>
      </c>
      <c r="K115" s="12" t="s">
        <v>820</v>
      </c>
      <c r="L115" s="12" t="s">
        <v>821</v>
      </c>
      <c r="M115" s="69">
        <v>497125</v>
      </c>
      <c r="N115" s="69" t="s">
        <v>822</v>
      </c>
      <c r="O115" s="70" t="s">
        <v>1067</v>
      </c>
      <c r="P115" s="71" t="s">
        <v>824</v>
      </c>
      <c r="Q115" s="74"/>
    </row>
    <row r="116" spans="1:17" ht="16.8">
      <c r="A116" s="12">
        <v>101</v>
      </c>
      <c r="B116" s="12" t="s">
        <v>1068</v>
      </c>
      <c r="C116" s="12">
        <v>1</v>
      </c>
      <c r="D116" s="12" t="s">
        <v>816</v>
      </c>
      <c r="E116" s="12"/>
      <c r="F116" s="12"/>
      <c r="G116" s="12">
        <v>0</v>
      </c>
      <c r="H116" s="12">
        <v>0</v>
      </c>
      <c r="I116" s="12">
        <v>1</v>
      </c>
      <c r="J116" s="12"/>
      <c r="K116" s="12"/>
      <c r="L116" s="12"/>
      <c r="M116" s="69"/>
      <c r="N116" s="69"/>
      <c r="O116" s="73"/>
      <c r="P116" s="66"/>
    </row>
    <row r="117" spans="1:17" ht="16.8">
      <c r="A117" s="12">
        <v>102</v>
      </c>
      <c r="B117" s="12" t="s">
        <v>1069</v>
      </c>
      <c r="C117" s="12">
        <v>1</v>
      </c>
      <c r="D117" s="12" t="s">
        <v>816</v>
      </c>
      <c r="E117" s="18"/>
      <c r="F117" s="18"/>
      <c r="G117" s="12">
        <v>0</v>
      </c>
      <c r="H117" s="12">
        <v>0</v>
      </c>
      <c r="I117" s="12">
        <v>1</v>
      </c>
      <c r="J117" s="18"/>
      <c r="K117" s="12"/>
      <c r="L117" s="12"/>
      <c r="M117" s="69"/>
      <c r="N117" s="69"/>
      <c r="O117" s="73"/>
      <c r="P117" s="66"/>
    </row>
    <row r="118" spans="1:17" ht="16.8">
      <c r="A118" s="12">
        <v>103</v>
      </c>
      <c r="B118" s="12" t="s">
        <v>1070</v>
      </c>
      <c r="C118" s="12">
        <v>13</v>
      </c>
      <c r="D118" s="12" t="s">
        <v>816</v>
      </c>
      <c r="E118" s="12" t="s">
        <v>834</v>
      </c>
      <c r="F118" s="12" t="s">
        <v>835</v>
      </c>
      <c r="G118" s="12">
        <v>1</v>
      </c>
      <c r="H118" s="12">
        <v>0</v>
      </c>
      <c r="I118" s="12">
        <v>13</v>
      </c>
      <c r="J118" s="12" t="s">
        <v>1047</v>
      </c>
      <c r="K118" s="12" t="s">
        <v>820</v>
      </c>
      <c r="L118" s="12" t="s">
        <v>821</v>
      </c>
      <c r="M118" s="69">
        <v>497125</v>
      </c>
      <c r="N118" s="69" t="s">
        <v>822</v>
      </c>
      <c r="O118" s="70" t="s">
        <v>823</v>
      </c>
      <c r="P118" s="71" t="s">
        <v>824</v>
      </c>
    </row>
    <row r="119" spans="1:17" ht="16.8">
      <c r="A119" s="12">
        <v>104</v>
      </c>
      <c r="B119" s="12" t="s">
        <v>1071</v>
      </c>
      <c r="C119" s="12">
        <v>1</v>
      </c>
      <c r="D119" s="12">
        <v>7</v>
      </c>
      <c r="E119" s="18"/>
      <c r="F119" s="18"/>
      <c r="G119" s="18">
        <v>0</v>
      </c>
      <c r="H119" s="12">
        <v>0</v>
      </c>
      <c r="I119" s="12">
        <v>1</v>
      </c>
      <c r="J119" s="18"/>
      <c r="K119" s="12"/>
      <c r="L119" s="12"/>
      <c r="M119" s="69"/>
      <c r="N119" s="69"/>
      <c r="O119" s="73"/>
      <c r="P119" s="66"/>
    </row>
    <row r="120" spans="1:17" ht="16.8">
      <c r="A120" s="12">
        <v>105</v>
      </c>
      <c r="B120" s="12" t="s">
        <v>1072</v>
      </c>
      <c r="C120" s="12">
        <v>13</v>
      </c>
      <c r="D120" s="12" t="s">
        <v>816</v>
      </c>
      <c r="E120" s="12" t="s">
        <v>834</v>
      </c>
      <c r="F120" s="12" t="s">
        <v>835</v>
      </c>
      <c r="G120" s="12">
        <v>1</v>
      </c>
      <c r="H120" s="12">
        <v>0</v>
      </c>
      <c r="I120" s="12">
        <v>13</v>
      </c>
      <c r="J120" s="12" t="s">
        <v>1047</v>
      </c>
      <c r="K120" s="12" t="s">
        <v>820</v>
      </c>
      <c r="L120" s="12" t="s">
        <v>821</v>
      </c>
      <c r="M120" s="69">
        <v>497125</v>
      </c>
      <c r="N120" s="69" t="s">
        <v>822</v>
      </c>
      <c r="O120" s="70" t="s">
        <v>823</v>
      </c>
      <c r="P120" s="71" t="s">
        <v>824</v>
      </c>
    </row>
    <row r="121" spans="1:17" ht="16.8">
      <c r="A121" s="12">
        <v>106</v>
      </c>
      <c r="B121" s="12" t="s">
        <v>1073</v>
      </c>
      <c r="C121" s="12">
        <v>13</v>
      </c>
      <c r="D121" s="12" t="s">
        <v>816</v>
      </c>
      <c r="E121" s="12" t="s">
        <v>875</v>
      </c>
      <c r="F121" s="12" t="s">
        <v>876</v>
      </c>
      <c r="G121" s="12">
        <v>1</v>
      </c>
      <c r="H121" s="12">
        <v>0</v>
      </c>
      <c r="I121" s="12">
        <v>13</v>
      </c>
      <c r="J121" s="12" t="s">
        <v>1047</v>
      </c>
      <c r="K121" s="12" t="s">
        <v>820</v>
      </c>
      <c r="L121" s="12" t="s">
        <v>821</v>
      </c>
      <c r="M121" s="69">
        <v>497125</v>
      </c>
      <c r="N121" s="69" t="s">
        <v>822</v>
      </c>
      <c r="O121" s="70" t="s">
        <v>823</v>
      </c>
      <c r="P121" s="71" t="s">
        <v>824</v>
      </c>
    </row>
    <row r="122" spans="1:17" ht="16.8">
      <c r="A122" s="12">
        <v>107</v>
      </c>
      <c r="B122" s="12" t="s">
        <v>1074</v>
      </c>
      <c r="C122" s="12">
        <v>13</v>
      </c>
      <c r="D122" s="12" t="s">
        <v>816</v>
      </c>
      <c r="E122" s="12" t="s">
        <v>1075</v>
      </c>
      <c r="F122" s="12" t="s">
        <v>1076</v>
      </c>
      <c r="G122" s="12">
        <v>1</v>
      </c>
      <c r="H122" s="12">
        <v>0</v>
      </c>
      <c r="I122" s="12">
        <v>13</v>
      </c>
      <c r="J122" s="12" t="s">
        <v>1047</v>
      </c>
      <c r="K122" s="12" t="s">
        <v>820</v>
      </c>
      <c r="L122" s="12" t="s">
        <v>821</v>
      </c>
      <c r="M122" s="69">
        <v>497125</v>
      </c>
      <c r="N122" s="69" t="s">
        <v>822</v>
      </c>
      <c r="O122" s="70" t="s">
        <v>823</v>
      </c>
      <c r="P122" s="71" t="s">
        <v>824</v>
      </c>
    </row>
    <row r="123" spans="1:17" ht="16.8">
      <c r="A123" s="12">
        <v>108</v>
      </c>
      <c r="B123" s="12" t="s">
        <v>1077</v>
      </c>
      <c r="C123" s="12">
        <v>13</v>
      </c>
      <c r="D123" s="12" t="s">
        <v>816</v>
      </c>
      <c r="E123" s="12" t="s">
        <v>1075</v>
      </c>
      <c r="F123" s="12" t="s">
        <v>1076</v>
      </c>
      <c r="G123" s="12">
        <v>1</v>
      </c>
      <c r="H123" s="12">
        <v>0</v>
      </c>
      <c r="I123" s="12">
        <v>13</v>
      </c>
      <c r="J123" s="12" t="s">
        <v>1047</v>
      </c>
      <c r="K123" s="12" t="s">
        <v>820</v>
      </c>
      <c r="L123" s="12" t="s">
        <v>821</v>
      </c>
      <c r="M123" s="69">
        <v>497125</v>
      </c>
      <c r="N123" s="69" t="s">
        <v>822</v>
      </c>
      <c r="O123" s="70" t="s">
        <v>823</v>
      </c>
      <c r="P123" s="71" t="s">
        <v>824</v>
      </c>
    </row>
    <row r="124" spans="1:17" ht="16.8">
      <c r="A124" s="12">
        <v>109</v>
      </c>
      <c r="B124" s="12" t="s">
        <v>1078</v>
      </c>
      <c r="C124" s="12">
        <v>13</v>
      </c>
      <c r="D124" s="12" t="s">
        <v>816</v>
      </c>
      <c r="E124" s="12" t="s">
        <v>857</v>
      </c>
      <c r="F124" s="12" t="s">
        <v>858</v>
      </c>
      <c r="G124" s="12">
        <v>1</v>
      </c>
      <c r="H124" s="12">
        <v>0</v>
      </c>
      <c r="I124" s="12">
        <v>13</v>
      </c>
      <c r="J124" s="12" t="s">
        <v>1047</v>
      </c>
      <c r="K124" s="12" t="s">
        <v>820</v>
      </c>
      <c r="L124" s="12" t="s">
        <v>821</v>
      </c>
      <c r="M124" s="69">
        <v>497125</v>
      </c>
      <c r="N124" s="69" t="s">
        <v>822</v>
      </c>
      <c r="O124" s="70" t="s">
        <v>823</v>
      </c>
      <c r="P124" s="71" t="s">
        <v>824</v>
      </c>
    </row>
    <row r="125" spans="1:17" ht="16.8">
      <c r="A125" s="12">
        <v>110</v>
      </c>
      <c r="B125" s="12" t="s">
        <v>1079</v>
      </c>
      <c r="C125" s="12">
        <v>13</v>
      </c>
      <c r="D125" s="12" t="s">
        <v>816</v>
      </c>
      <c r="E125" s="12" t="s">
        <v>1080</v>
      </c>
      <c r="F125" s="12" t="s">
        <v>1081</v>
      </c>
      <c r="G125" s="12">
        <v>1</v>
      </c>
      <c r="H125" s="12">
        <v>0</v>
      </c>
      <c r="I125" s="12">
        <v>13</v>
      </c>
      <c r="J125" s="12" t="s">
        <v>1047</v>
      </c>
      <c r="K125" s="12" t="s">
        <v>820</v>
      </c>
      <c r="L125" s="12" t="s">
        <v>821</v>
      </c>
      <c r="M125" s="69">
        <v>497125</v>
      </c>
      <c r="N125" s="69" t="s">
        <v>822</v>
      </c>
      <c r="O125" s="70" t="s">
        <v>823</v>
      </c>
      <c r="P125" s="71" t="s">
        <v>824</v>
      </c>
    </row>
    <row r="126" spans="1:17" ht="16.8">
      <c r="A126" s="12">
        <v>111</v>
      </c>
      <c r="B126" s="12" t="s">
        <v>1082</v>
      </c>
      <c r="C126" s="12">
        <v>13</v>
      </c>
      <c r="D126" s="12" t="s">
        <v>816</v>
      </c>
      <c r="E126" s="12" t="s">
        <v>867</v>
      </c>
      <c r="F126" s="12" t="s">
        <v>868</v>
      </c>
      <c r="G126" s="12">
        <v>1</v>
      </c>
      <c r="H126" s="12">
        <v>0</v>
      </c>
      <c r="I126" s="12">
        <v>13</v>
      </c>
      <c r="J126" s="12" t="s">
        <v>869</v>
      </c>
      <c r="K126" s="12" t="s">
        <v>820</v>
      </c>
      <c r="L126" s="68" t="s">
        <v>821</v>
      </c>
      <c r="M126" s="69">
        <v>497125</v>
      </c>
      <c r="N126" s="69" t="s">
        <v>822</v>
      </c>
      <c r="O126" s="70" t="s">
        <v>823</v>
      </c>
      <c r="P126" s="71" t="s">
        <v>824</v>
      </c>
    </row>
    <row r="127" spans="1:17" ht="16.8">
      <c r="A127" s="12">
        <v>112</v>
      </c>
      <c r="B127" s="12" t="s">
        <v>1083</v>
      </c>
      <c r="C127" s="12">
        <v>13</v>
      </c>
      <c r="D127" s="12" t="s">
        <v>816</v>
      </c>
      <c r="E127" s="12" t="s">
        <v>863</v>
      </c>
      <c r="F127" s="12" t="s">
        <v>864</v>
      </c>
      <c r="G127" s="12">
        <v>1</v>
      </c>
      <c r="H127" s="12">
        <v>0</v>
      </c>
      <c r="I127" s="12">
        <v>13</v>
      </c>
      <c r="J127" s="12" t="s">
        <v>1047</v>
      </c>
      <c r="K127" s="12" t="s">
        <v>820</v>
      </c>
      <c r="L127" s="12" t="s">
        <v>821</v>
      </c>
      <c r="M127" s="69">
        <v>497125</v>
      </c>
      <c r="N127" s="69" t="s">
        <v>822</v>
      </c>
      <c r="O127" s="70" t="s">
        <v>823</v>
      </c>
      <c r="P127" s="71" t="s">
        <v>824</v>
      </c>
    </row>
    <row r="128" spans="1:17" ht="16.8">
      <c r="A128" s="12">
        <v>113</v>
      </c>
      <c r="B128" s="12" t="s">
        <v>1084</v>
      </c>
      <c r="C128" s="12">
        <v>13</v>
      </c>
      <c r="D128" s="12" t="s">
        <v>816</v>
      </c>
      <c r="E128" s="12" t="s">
        <v>898</v>
      </c>
      <c r="F128" s="12" t="s">
        <v>899</v>
      </c>
      <c r="G128" s="12">
        <v>1</v>
      </c>
      <c r="H128" s="12">
        <v>0</v>
      </c>
      <c r="I128" s="12">
        <v>13</v>
      </c>
      <c r="J128" s="12" t="s">
        <v>1047</v>
      </c>
      <c r="K128" s="12" t="s">
        <v>820</v>
      </c>
      <c r="L128" s="12" t="s">
        <v>821</v>
      </c>
      <c r="M128" s="69">
        <v>497125</v>
      </c>
      <c r="N128" s="69" t="s">
        <v>822</v>
      </c>
      <c r="O128" s="70" t="s">
        <v>823</v>
      </c>
      <c r="P128" s="71" t="s">
        <v>824</v>
      </c>
    </row>
    <row r="129" spans="1:19" ht="16.8">
      <c r="A129" s="12">
        <v>114</v>
      </c>
      <c r="B129" s="12" t="s">
        <v>1085</v>
      </c>
      <c r="C129" s="12">
        <v>1</v>
      </c>
      <c r="D129" s="12" t="s">
        <v>816</v>
      </c>
      <c r="E129" s="18"/>
      <c r="F129" s="18"/>
      <c r="G129" s="12">
        <v>0</v>
      </c>
      <c r="H129" s="12">
        <v>0</v>
      </c>
      <c r="I129" s="12">
        <v>1</v>
      </c>
      <c r="J129" s="18"/>
      <c r="K129" s="12"/>
      <c r="L129" s="12"/>
      <c r="M129" s="69"/>
      <c r="N129" s="69"/>
      <c r="O129" s="73"/>
      <c r="P129" s="66"/>
    </row>
    <row r="130" spans="1:19" ht="16.8">
      <c r="A130" s="12">
        <v>115</v>
      </c>
      <c r="B130" s="12" t="s">
        <v>1086</v>
      </c>
      <c r="C130" s="12">
        <v>13</v>
      </c>
      <c r="D130" s="12" t="s">
        <v>816</v>
      </c>
      <c r="E130" s="12" t="s">
        <v>898</v>
      </c>
      <c r="F130" s="12" t="s">
        <v>899</v>
      </c>
      <c r="G130" s="12">
        <v>1</v>
      </c>
      <c r="H130" s="12">
        <v>0</v>
      </c>
      <c r="I130" s="12">
        <v>13</v>
      </c>
      <c r="J130" s="12" t="s">
        <v>1047</v>
      </c>
      <c r="K130" s="12" t="s">
        <v>820</v>
      </c>
      <c r="L130" s="12" t="s">
        <v>821</v>
      </c>
      <c r="M130" s="69">
        <v>497125</v>
      </c>
      <c r="N130" s="69" t="s">
        <v>822</v>
      </c>
      <c r="O130" s="70" t="s">
        <v>823</v>
      </c>
      <c r="P130" s="71" t="s">
        <v>824</v>
      </c>
    </row>
    <row r="131" spans="1:19" ht="16.8">
      <c r="A131" s="12">
        <v>116</v>
      </c>
      <c r="B131" s="12" t="s">
        <v>391</v>
      </c>
      <c r="C131" s="12">
        <v>1</v>
      </c>
      <c r="D131" s="12" t="s">
        <v>816</v>
      </c>
      <c r="E131" s="18"/>
      <c r="F131" s="18"/>
      <c r="G131" s="12">
        <v>0</v>
      </c>
      <c r="H131" s="12">
        <v>0</v>
      </c>
      <c r="I131" s="12">
        <v>1</v>
      </c>
      <c r="J131" s="18"/>
      <c r="K131" s="12"/>
      <c r="L131" s="12"/>
      <c r="M131" s="69"/>
      <c r="N131" s="69"/>
      <c r="O131" s="73"/>
      <c r="P131" s="79"/>
    </row>
    <row r="132" spans="1:19" ht="16.8">
      <c r="A132" s="12">
        <v>117</v>
      </c>
      <c r="B132" s="12" t="s">
        <v>1087</v>
      </c>
      <c r="C132" s="12">
        <v>13</v>
      </c>
      <c r="D132" s="12" t="s">
        <v>816</v>
      </c>
      <c r="E132" s="12" t="s">
        <v>817</v>
      </c>
      <c r="F132" s="12" t="s">
        <v>818</v>
      </c>
      <c r="G132" s="12">
        <v>1</v>
      </c>
      <c r="H132" s="12">
        <v>0</v>
      </c>
      <c r="I132" s="12">
        <v>13</v>
      </c>
      <c r="J132" s="12" t="s">
        <v>1047</v>
      </c>
      <c r="K132" s="12" t="s">
        <v>820</v>
      </c>
      <c r="L132" s="12" t="s">
        <v>821</v>
      </c>
      <c r="M132" s="69">
        <v>497125</v>
      </c>
      <c r="N132" s="69" t="s">
        <v>822</v>
      </c>
      <c r="O132" s="70" t="s">
        <v>823</v>
      </c>
      <c r="P132" s="71" t="s">
        <v>824</v>
      </c>
    </row>
    <row r="133" spans="1:19" ht="16.8">
      <c r="A133" s="12">
        <v>118</v>
      </c>
      <c r="B133" s="12" t="s">
        <v>1088</v>
      </c>
      <c r="C133" s="12">
        <v>13</v>
      </c>
      <c r="D133" s="12" t="s">
        <v>816</v>
      </c>
      <c r="E133" s="12" t="s">
        <v>817</v>
      </c>
      <c r="F133" s="12" t="s">
        <v>818</v>
      </c>
      <c r="G133" s="12">
        <v>1</v>
      </c>
      <c r="H133" s="12">
        <v>0</v>
      </c>
      <c r="I133" s="12">
        <v>13</v>
      </c>
      <c r="J133" s="12" t="s">
        <v>1047</v>
      </c>
      <c r="K133" s="12" t="s">
        <v>820</v>
      </c>
      <c r="L133" s="12" t="s">
        <v>821</v>
      </c>
      <c r="M133" s="69">
        <v>497125</v>
      </c>
      <c r="N133" s="69" t="s">
        <v>822</v>
      </c>
      <c r="O133" s="70" t="s">
        <v>823</v>
      </c>
      <c r="P133" s="71" t="s">
        <v>824</v>
      </c>
    </row>
    <row r="134" spans="1:19" ht="16.8">
      <c r="A134" s="12">
        <v>119</v>
      </c>
      <c r="B134" s="12" t="s">
        <v>1089</v>
      </c>
      <c r="C134" s="12">
        <v>1</v>
      </c>
      <c r="D134" s="12" t="s">
        <v>816</v>
      </c>
      <c r="E134" s="18"/>
      <c r="F134" s="18"/>
      <c r="G134" s="12">
        <v>0</v>
      </c>
      <c r="H134" s="12">
        <v>0</v>
      </c>
      <c r="I134" s="12">
        <v>1</v>
      </c>
      <c r="J134" s="18"/>
      <c r="K134" s="12"/>
      <c r="L134" s="12"/>
      <c r="M134" s="69"/>
      <c r="N134" s="69"/>
      <c r="O134" s="73"/>
      <c r="P134" s="79"/>
    </row>
    <row r="135" spans="1:19" ht="16.8">
      <c r="A135" s="12">
        <v>120</v>
      </c>
      <c r="B135" s="12" t="s">
        <v>1090</v>
      </c>
      <c r="C135" s="12">
        <v>13</v>
      </c>
      <c r="D135" s="12" t="s">
        <v>816</v>
      </c>
      <c r="E135" s="12" t="s">
        <v>817</v>
      </c>
      <c r="F135" s="12" t="s">
        <v>818</v>
      </c>
      <c r="G135" s="12">
        <v>1</v>
      </c>
      <c r="H135" s="12">
        <v>0</v>
      </c>
      <c r="I135" s="12">
        <v>13</v>
      </c>
      <c r="J135" s="12" t="s">
        <v>1047</v>
      </c>
      <c r="K135" s="12" t="s">
        <v>820</v>
      </c>
      <c r="L135" s="12" t="s">
        <v>821</v>
      </c>
      <c r="M135" s="69">
        <v>497125</v>
      </c>
      <c r="N135" s="69" t="s">
        <v>822</v>
      </c>
      <c r="O135" s="70" t="s">
        <v>823</v>
      </c>
      <c r="P135" s="71" t="s">
        <v>824</v>
      </c>
    </row>
    <row r="136" spans="1:19" ht="16.8">
      <c r="A136" s="12">
        <v>121</v>
      </c>
      <c r="B136" s="12" t="s">
        <v>1091</v>
      </c>
      <c r="C136" s="12">
        <v>13</v>
      </c>
      <c r="D136" s="12" t="s">
        <v>816</v>
      </c>
      <c r="E136" s="12" t="s">
        <v>867</v>
      </c>
      <c r="F136" s="12" t="s">
        <v>868</v>
      </c>
      <c r="G136" s="12">
        <v>1</v>
      </c>
      <c r="H136" s="12">
        <v>0</v>
      </c>
      <c r="I136" s="12">
        <v>13</v>
      </c>
      <c r="J136" s="12" t="s">
        <v>869</v>
      </c>
      <c r="K136" s="12" t="s">
        <v>820</v>
      </c>
      <c r="L136" s="68" t="s">
        <v>821</v>
      </c>
      <c r="M136" s="69">
        <v>497125</v>
      </c>
      <c r="N136" s="69" t="s">
        <v>822</v>
      </c>
      <c r="O136" s="70" t="s">
        <v>823</v>
      </c>
      <c r="P136" s="71" t="s">
        <v>824</v>
      </c>
    </row>
    <row r="137" spans="1:19" ht="16.8">
      <c r="A137" s="12">
        <v>122</v>
      </c>
      <c r="B137" s="12" t="s">
        <v>1092</v>
      </c>
      <c r="C137" s="12">
        <v>13</v>
      </c>
      <c r="D137" s="12" t="s">
        <v>816</v>
      </c>
      <c r="E137" s="12" t="s">
        <v>867</v>
      </c>
      <c r="F137" s="12" t="s">
        <v>868</v>
      </c>
      <c r="G137" s="12">
        <v>1</v>
      </c>
      <c r="H137" s="12">
        <v>0</v>
      </c>
      <c r="I137" s="12">
        <v>13</v>
      </c>
      <c r="J137" s="12" t="s">
        <v>869</v>
      </c>
      <c r="K137" s="12" t="s">
        <v>820</v>
      </c>
      <c r="L137" s="68" t="s">
        <v>821</v>
      </c>
      <c r="M137" s="69">
        <v>497125</v>
      </c>
      <c r="N137" s="69" t="s">
        <v>822</v>
      </c>
      <c r="O137" s="70" t="s">
        <v>823</v>
      </c>
      <c r="P137" s="71" t="s">
        <v>824</v>
      </c>
      <c r="Q137" s="82"/>
      <c r="R137" s="82"/>
    </row>
    <row r="138" spans="1:19" ht="16.8">
      <c r="A138" s="12">
        <v>123</v>
      </c>
      <c r="B138" s="12" t="s">
        <v>397</v>
      </c>
      <c r="C138" s="12">
        <v>17</v>
      </c>
      <c r="D138" s="12">
        <v>20</v>
      </c>
      <c r="E138" s="12" t="s">
        <v>875</v>
      </c>
      <c r="F138" s="12" t="s">
        <v>876</v>
      </c>
      <c r="G138" s="12">
        <v>0</v>
      </c>
      <c r="H138" s="12">
        <v>0</v>
      </c>
      <c r="I138" s="12">
        <v>17</v>
      </c>
      <c r="J138" s="12" t="s">
        <v>869</v>
      </c>
      <c r="K138" s="12" t="s">
        <v>820</v>
      </c>
      <c r="L138" s="68" t="s">
        <v>821</v>
      </c>
      <c r="M138" s="69">
        <v>497125</v>
      </c>
      <c r="N138" s="69" t="s">
        <v>822</v>
      </c>
      <c r="O138" s="70" t="s">
        <v>823</v>
      </c>
      <c r="P138" s="71" t="s">
        <v>824</v>
      </c>
    </row>
    <row r="139" spans="1:19" ht="16.8">
      <c r="A139" s="12">
        <v>124</v>
      </c>
      <c r="B139" s="12" t="s">
        <v>1093</v>
      </c>
      <c r="C139" s="12">
        <v>1</v>
      </c>
      <c r="D139" s="12">
        <v>20</v>
      </c>
      <c r="E139" s="12"/>
      <c r="F139" s="12"/>
      <c r="G139" s="12">
        <v>0</v>
      </c>
      <c r="H139" s="12">
        <v>0</v>
      </c>
      <c r="I139" s="12">
        <v>1</v>
      </c>
      <c r="J139" s="12"/>
      <c r="K139" s="12"/>
      <c r="L139" s="12"/>
      <c r="M139" s="69"/>
      <c r="N139" s="69"/>
      <c r="O139" s="73"/>
      <c r="P139" s="79"/>
    </row>
    <row r="140" spans="1:19" ht="16.8">
      <c r="A140" s="12">
        <v>125</v>
      </c>
      <c r="B140" s="12" t="s">
        <v>1094</v>
      </c>
      <c r="C140" s="12">
        <v>13</v>
      </c>
      <c r="D140" s="12" t="s">
        <v>816</v>
      </c>
      <c r="E140" s="12" t="s">
        <v>867</v>
      </c>
      <c r="F140" s="12" t="s">
        <v>868</v>
      </c>
      <c r="G140" s="12">
        <v>1</v>
      </c>
      <c r="H140" s="12">
        <v>0</v>
      </c>
      <c r="I140" s="12">
        <v>13</v>
      </c>
      <c r="J140" s="12" t="s">
        <v>869</v>
      </c>
      <c r="K140" s="12" t="s">
        <v>820</v>
      </c>
      <c r="L140" s="68" t="s">
        <v>821</v>
      </c>
      <c r="M140" s="69">
        <v>497125</v>
      </c>
      <c r="N140" s="69" t="s">
        <v>822</v>
      </c>
      <c r="O140" s="70" t="s">
        <v>823</v>
      </c>
      <c r="P140" s="71" t="s">
        <v>824</v>
      </c>
    </row>
    <row r="141" spans="1:19" ht="16.8">
      <c r="A141" s="12">
        <v>126</v>
      </c>
      <c r="B141" s="12" t="s">
        <v>1095</v>
      </c>
      <c r="C141" s="12">
        <v>1</v>
      </c>
      <c r="D141" s="12" t="s">
        <v>816</v>
      </c>
      <c r="E141" s="12" t="s">
        <v>867</v>
      </c>
      <c r="F141" s="12" t="s">
        <v>868</v>
      </c>
      <c r="G141" s="12">
        <v>0</v>
      </c>
      <c r="H141" s="12">
        <v>0</v>
      </c>
      <c r="I141" s="12">
        <v>1</v>
      </c>
      <c r="J141" s="12" t="s">
        <v>869</v>
      </c>
      <c r="K141" s="12" t="s">
        <v>820</v>
      </c>
      <c r="L141" s="68" t="s">
        <v>821</v>
      </c>
      <c r="M141" s="69">
        <v>497125</v>
      </c>
      <c r="N141" s="69" t="s">
        <v>822</v>
      </c>
      <c r="O141" s="70" t="s">
        <v>823</v>
      </c>
      <c r="P141" s="71" t="s">
        <v>824</v>
      </c>
    </row>
    <row r="142" spans="1:19" ht="16.8">
      <c r="A142" s="12">
        <v>127</v>
      </c>
      <c r="B142" s="12" t="s">
        <v>1096</v>
      </c>
      <c r="C142" s="12">
        <v>13</v>
      </c>
      <c r="D142" s="12" t="s">
        <v>816</v>
      </c>
      <c r="E142" s="12" t="s">
        <v>940</v>
      </c>
      <c r="F142" s="12" t="s">
        <v>941</v>
      </c>
      <c r="G142" s="12">
        <v>1</v>
      </c>
      <c r="H142" s="12">
        <v>0</v>
      </c>
      <c r="I142" s="12">
        <v>13</v>
      </c>
      <c r="J142" s="12" t="s">
        <v>869</v>
      </c>
      <c r="K142" s="12" t="s">
        <v>820</v>
      </c>
      <c r="L142" s="68" t="s">
        <v>821</v>
      </c>
      <c r="M142" s="69">
        <v>497125</v>
      </c>
      <c r="N142" s="69" t="s">
        <v>822</v>
      </c>
      <c r="O142" s="73" t="s">
        <v>1097</v>
      </c>
      <c r="P142" s="71" t="s">
        <v>824</v>
      </c>
    </row>
    <row r="143" spans="1:19" ht="16.8">
      <c r="A143" s="12">
        <v>128</v>
      </c>
      <c r="B143" s="12" t="s">
        <v>1098</v>
      </c>
      <c r="C143" s="12">
        <v>17</v>
      </c>
      <c r="D143" s="12">
        <v>20</v>
      </c>
      <c r="E143" s="12" t="s">
        <v>875</v>
      </c>
      <c r="F143" s="12" t="s">
        <v>876</v>
      </c>
      <c r="G143" s="12">
        <v>0</v>
      </c>
      <c r="H143" s="12">
        <v>0</v>
      </c>
      <c r="I143" s="12">
        <v>17</v>
      </c>
      <c r="J143" s="12" t="s">
        <v>869</v>
      </c>
      <c r="K143" s="12" t="s">
        <v>820</v>
      </c>
      <c r="L143" s="68" t="s">
        <v>821</v>
      </c>
      <c r="M143" s="69">
        <v>497125</v>
      </c>
      <c r="N143" s="69" t="s">
        <v>822</v>
      </c>
      <c r="O143" s="73" t="s">
        <v>1099</v>
      </c>
      <c r="P143" s="80"/>
      <c r="R143" t="s">
        <v>1100</v>
      </c>
      <c r="S143" t="s">
        <v>1101</v>
      </c>
    </row>
    <row r="144" spans="1:19" ht="16.8">
      <c r="A144" s="12">
        <v>129</v>
      </c>
      <c r="B144" s="12" t="s">
        <v>1102</v>
      </c>
      <c r="C144" s="12">
        <v>13</v>
      </c>
      <c r="D144" s="12" t="s">
        <v>816</v>
      </c>
      <c r="E144" s="12" t="s">
        <v>867</v>
      </c>
      <c r="F144" s="12" t="s">
        <v>868</v>
      </c>
      <c r="G144" s="12">
        <v>1</v>
      </c>
      <c r="H144" s="12">
        <v>0</v>
      </c>
      <c r="I144" s="12">
        <v>13</v>
      </c>
      <c r="J144" s="12" t="s">
        <v>869</v>
      </c>
      <c r="K144" s="12" t="s">
        <v>820</v>
      </c>
      <c r="L144" s="68" t="s">
        <v>821</v>
      </c>
      <c r="M144" s="69">
        <v>497125</v>
      </c>
      <c r="N144" s="69" t="s">
        <v>822</v>
      </c>
      <c r="O144" s="70" t="s">
        <v>823</v>
      </c>
      <c r="P144" s="71" t="s">
        <v>824</v>
      </c>
      <c r="Q144" t="s">
        <v>1103</v>
      </c>
      <c r="R144" t="s">
        <v>1104</v>
      </c>
      <c r="S144" t="s">
        <v>822</v>
      </c>
    </row>
    <row r="145" spans="1:19" ht="16.8">
      <c r="A145" s="12">
        <v>130</v>
      </c>
      <c r="B145" s="12" t="s">
        <v>1105</v>
      </c>
      <c r="C145" s="12">
        <v>13</v>
      </c>
      <c r="D145" s="12" t="s">
        <v>816</v>
      </c>
      <c r="E145" s="12" t="s">
        <v>867</v>
      </c>
      <c r="F145" s="12" t="s">
        <v>868</v>
      </c>
      <c r="G145" s="12">
        <v>1</v>
      </c>
      <c r="H145" s="12">
        <v>0</v>
      </c>
      <c r="I145" s="12">
        <v>13</v>
      </c>
      <c r="J145" s="12" t="s">
        <v>869</v>
      </c>
      <c r="K145" s="12" t="s">
        <v>820</v>
      </c>
      <c r="L145" s="68" t="s">
        <v>821</v>
      </c>
      <c r="M145" s="69">
        <v>497125</v>
      </c>
      <c r="N145" s="69" t="s">
        <v>822</v>
      </c>
      <c r="O145" s="70" t="s">
        <v>823</v>
      </c>
      <c r="P145" s="71" t="s">
        <v>824</v>
      </c>
      <c r="Q145" t="s">
        <v>1106</v>
      </c>
      <c r="R145" t="s">
        <v>1107</v>
      </c>
      <c r="S145" s="83" t="s">
        <v>931</v>
      </c>
    </row>
    <row r="146" spans="1:19" ht="16.8">
      <c r="A146" s="12">
        <v>131</v>
      </c>
      <c r="B146" s="12" t="s">
        <v>1108</v>
      </c>
      <c r="C146" s="12">
        <v>1</v>
      </c>
      <c r="D146" s="12" t="s">
        <v>816</v>
      </c>
      <c r="E146" s="12"/>
      <c r="F146" s="12"/>
      <c r="G146" s="12">
        <v>0</v>
      </c>
      <c r="H146" s="12">
        <v>0</v>
      </c>
      <c r="I146" s="12">
        <v>1</v>
      </c>
      <c r="J146" s="12"/>
      <c r="K146" s="12"/>
      <c r="L146" s="12"/>
      <c r="M146" s="69"/>
      <c r="N146" s="69"/>
      <c r="O146" s="73"/>
      <c r="P146" s="79"/>
      <c r="Q146" t="s">
        <v>1109</v>
      </c>
      <c r="R146" t="s">
        <v>1110</v>
      </c>
      <c r="S146" t="s">
        <v>987</v>
      </c>
    </row>
    <row r="147" spans="1:19" ht="16.8">
      <c r="A147" s="12">
        <v>132</v>
      </c>
      <c r="B147" s="12" t="s">
        <v>1111</v>
      </c>
      <c r="C147" s="12"/>
      <c r="D147" s="12"/>
      <c r="E147" s="12" t="s">
        <v>1112</v>
      </c>
      <c r="F147" s="12" t="s">
        <v>1113</v>
      </c>
      <c r="G147" s="12">
        <v>0</v>
      </c>
      <c r="H147" s="12">
        <v>0</v>
      </c>
      <c r="I147" s="12"/>
      <c r="J147" s="12" t="s">
        <v>1026</v>
      </c>
      <c r="K147" s="12" t="s">
        <v>1027</v>
      </c>
      <c r="L147" s="12"/>
      <c r="M147" s="69">
        <v>845046</v>
      </c>
      <c r="N147" s="69" t="s">
        <v>931</v>
      </c>
      <c r="O147" s="73" t="s">
        <v>1114</v>
      </c>
      <c r="P147" s="71" t="s">
        <v>824</v>
      </c>
    </row>
    <row r="148" spans="1:19" ht="16.8">
      <c r="A148" s="12">
        <v>133</v>
      </c>
      <c r="B148" s="12" t="s">
        <v>1115</v>
      </c>
      <c r="C148" s="12">
        <v>13</v>
      </c>
      <c r="D148" s="12" t="s">
        <v>816</v>
      </c>
      <c r="E148" s="16" t="s">
        <v>1080</v>
      </c>
      <c r="F148" s="16" t="s">
        <v>1081</v>
      </c>
      <c r="G148" s="12">
        <v>1</v>
      </c>
      <c r="H148" s="12">
        <v>0</v>
      </c>
      <c r="I148" s="12">
        <v>13</v>
      </c>
      <c r="J148" s="12" t="s">
        <v>869</v>
      </c>
      <c r="K148" s="12" t="s">
        <v>820</v>
      </c>
      <c r="L148" s="68" t="s">
        <v>821</v>
      </c>
      <c r="M148" s="69">
        <v>497125</v>
      </c>
      <c r="N148" s="69" t="s">
        <v>822</v>
      </c>
      <c r="O148" s="70" t="s">
        <v>823</v>
      </c>
      <c r="P148" s="71" t="s">
        <v>824</v>
      </c>
    </row>
    <row r="149" spans="1:19" ht="16.8">
      <c r="A149" s="12">
        <v>134</v>
      </c>
      <c r="B149" s="12" t="s">
        <v>1116</v>
      </c>
      <c r="C149" s="12">
        <v>1</v>
      </c>
      <c r="D149" s="12" t="s">
        <v>816</v>
      </c>
      <c r="E149" s="12"/>
      <c r="F149" s="12"/>
      <c r="G149" s="12">
        <v>0</v>
      </c>
      <c r="H149" s="12">
        <v>0</v>
      </c>
      <c r="I149" s="12">
        <v>1</v>
      </c>
      <c r="J149" s="12"/>
      <c r="K149" s="12"/>
      <c r="L149" s="12"/>
      <c r="M149" s="69"/>
      <c r="N149" s="69"/>
      <c r="O149" s="73"/>
      <c r="P149" s="79"/>
    </row>
    <row r="150" spans="1:19" ht="16.8">
      <c r="A150" s="12">
        <v>135</v>
      </c>
      <c r="B150" s="12" t="s">
        <v>1117</v>
      </c>
      <c r="C150" s="12"/>
      <c r="D150" s="12"/>
      <c r="E150" s="12"/>
      <c r="F150" s="12"/>
      <c r="G150" s="12">
        <v>0</v>
      </c>
      <c r="H150" s="12">
        <v>0</v>
      </c>
      <c r="I150" s="12"/>
      <c r="J150" s="12"/>
      <c r="K150" s="12"/>
      <c r="L150" s="12"/>
      <c r="M150" s="12"/>
      <c r="N150" s="12"/>
      <c r="O150" s="16" t="s">
        <v>1118</v>
      </c>
      <c r="P150" s="71" t="s">
        <v>824</v>
      </c>
    </row>
    <row r="151" spans="1:19" ht="16.8">
      <c r="A151" s="12">
        <v>136</v>
      </c>
      <c r="B151" s="12" t="s">
        <v>1119</v>
      </c>
      <c r="C151" s="12">
        <v>13</v>
      </c>
      <c r="D151" s="12" t="s">
        <v>816</v>
      </c>
      <c r="E151" s="12" t="s">
        <v>940</v>
      </c>
      <c r="F151" s="12" t="s">
        <v>941</v>
      </c>
      <c r="G151" s="12">
        <v>1</v>
      </c>
      <c r="H151" s="12">
        <v>0</v>
      </c>
      <c r="I151" s="12">
        <v>13</v>
      </c>
      <c r="J151" s="12" t="s">
        <v>869</v>
      </c>
      <c r="K151" s="12" t="s">
        <v>820</v>
      </c>
      <c r="L151" s="12" t="s">
        <v>821</v>
      </c>
      <c r="M151" s="12">
        <v>497125</v>
      </c>
      <c r="N151" s="12" t="s">
        <v>822</v>
      </c>
      <c r="O151" s="16" t="s">
        <v>823</v>
      </c>
      <c r="P151" s="71" t="s">
        <v>824</v>
      </c>
    </row>
    <row r="152" spans="1:19">
      <c r="A152" s="12">
        <v>137</v>
      </c>
      <c r="B152" s="12" t="s">
        <v>1120</v>
      </c>
      <c r="C152" s="12"/>
      <c r="D152" s="12"/>
      <c r="E152" s="12" t="s">
        <v>1121</v>
      </c>
      <c r="F152" s="12" t="s">
        <v>1121</v>
      </c>
      <c r="G152" s="12">
        <v>0</v>
      </c>
      <c r="H152" s="12">
        <v>0</v>
      </c>
      <c r="I152" s="12"/>
      <c r="J152" s="12"/>
      <c r="K152" s="12" t="s">
        <v>1122</v>
      </c>
      <c r="L152" s="12"/>
      <c r="M152" s="12"/>
      <c r="N152" s="12"/>
      <c r="O152" s="12"/>
      <c r="P152" s="81"/>
    </row>
    <row r="153" spans="1:19">
      <c r="A153" s="12">
        <v>138</v>
      </c>
      <c r="B153" s="12" t="s">
        <v>1123</v>
      </c>
      <c r="C153" s="12"/>
      <c r="D153" s="12"/>
      <c r="E153" s="12" t="s">
        <v>1124</v>
      </c>
      <c r="F153" s="12" t="s">
        <v>1124</v>
      </c>
      <c r="G153" s="12">
        <v>0</v>
      </c>
      <c r="H153" s="12">
        <v>0</v>
      </c>
      <c r="I153" s="12"/>
      <c r="J153" s="12"/>
      <c r="K153" s="12" t="s">
        <v>1125</v>
      </c>
      <c r="L153" s="12"/>
      <c r="M153" s="12"/>
      <c r="N153" s="12"/>
      <c r="O153" s="12"/>
      <c r="P153" s="81"/>
    </row>
    <row r="154" spans="1:19">
      <c r="A154" s="12">
        <v>139</v>
      </c>
      <c r="B154" s="12" t="s">
        <v>1126</v>
      </c>
      <c r="C154" s="12"/>
      <c r="D154" s="12"/>
      <c r="E154" s="12" t="s">
        <v>1127</v>
      </c>
      <c r="F154" s="12" t="s">
        <v>1127</v>
      </c>
      <c r="G154" s="12">
        <v>0</v>
      </c>
      <c r="H154" s="12">
        <v>0</v>
      </c>
      <c r="I154" s="12"/>
      <c r="J154" s="12"/>
      <c r="K154" s="12" t="s">
        <v>1128</v>
      </c>
      <c r="L154" s="12"/>
      <c r="M154" s="12"/>
      <c r="N154" s="12"/>
      <c r="O154" s="12"/>
      <c r="P154" s="81"/>
    </row>
    <row r="155" spans="1:19">
      <c r="A155" s="12">
        <v>140</v>
      </c>
      <c r="B155" s="12" t="s">
        <v>1129</v>
      </c>
      <c r="C155" s="12"/>
      <c r="D155" s="12"/>
      <c r="E155" s="12" t="s">
        <v>1130</v>
      </c>
      <c r="F155" s="12" t="s">
        <v>1130</v>
      </c>
      <c r="G155" s="12">
        <v>0</v>
      </c>
      <c r="H155" s="12">
        <v>0</v>
      </c>
      <c r="I155" s="12"/>
      <c r="J155" s="12"/>
      <c r="K155" s="12" t="s">
        <v>1131</v>
      </c>
      <c r="L155" s="12"/>
      <c r="M155" s="12"/>
      <c r="N155" s="12"/>
      <c r="O155" s="12"/>
    </row>
    <row r="156" spans="1:19">
      <c r="A156" s="12">
        <v>141</v>
      </c>
      <c r="B156" s="12" t="s">
        <v>1132</v>
      </c>
      <c r="C156" s="12"/>
      <c r="D156" s="12"/>
      <c r="E156" s="12" t="s">
        <v>1133</v>
      </c>
      <c r="F156" s="12" t="s">
        <v>1133</v>
      </c>
      <c r="G156" s="12">
        <v>0</v>
      </c>
      <c r="H156" s="12">
        <v>0</v>
      </c>
      <c r="I156" s="12"/>
      <c r="J156" s="12"/>
      <c r="K156" s="12" t="s">
        <v>1016</v>
      </c>
      <c r="L156" s="12"/>
      <c r="M156" s="12"/>
      <c r="N156" s="12"/>
      <c r="O156" s="12"/>
    </row>
    <row r="157" spans="1:19">
      <c r="A157" s="12">
        <v>142</v>
      </c>
      <c r="B157" s="12" t="s">
        <v>1134</v>
      </c>
      <c r="C157" s="12"/>
      <c r="D157" s="12"/>
      <c r="E157" s="12" t="s">
        <v>1135</v>
      </c>
      <c r="F157" s="12" t="s">
        <v>1135</v>
      </c>
      <c r="G157" s="12">
        <v>0</v>
      </c>
      <c r="H157" s="12">
        <v>0</v>
      </c>
      <c r="I157" s="12"/>
      <c r="J157" s="12"/>
      <c r="K157" s="12" t="s">
        <v>1131</v>
      </c>
      <c r="L157" s="12"/>
      <c r="M157" s="12"/>
      <c r="N157" s="12"/>
      <c r="O157" s="12"/>
    </row>
    <row r="158" spans="1:19">
      <c r="A158" s="12">
        <v>143</v>
      </c>
      <c r="B158" s="12" t="s">
        <v>1136</v>
      </c>
      <c r="C158" s="12"/>
      <c r="D158" s="12"/>
      <c r="E158" s="12" t="s">
        <v>1137</v>
      </c>
      <c r="F158" s="12" t="s">
        <v>1137</v>
      </c>
      <c r="G158" s="12"/>
      <c r="H158" s="12"/>
      <c r="I158" s="12"/>
      <c r="J158" s="12"/>
      <c r="K158" s="12"/>
      <c r="L158" s="12"/>
      <c r="M158" s="12"/>
      <c r="N158" s="12"/>
      <c r="O158" s="12"/>
    </row>
    <row r="159" spans="1:19">
      <c r="A159" s="12">
        <v>144</v>
      </c>
      <c r="B159" s="12" t="s">
        <v>1138</v>
      </c>
      <c r="C159" s="12"/>
      <c r="D159" s="12"/>
      <c r="E159" s="12" t="s">
        <v>1139</v>
      </c>
      <c r="F159" s="12" t="s">
        <v>1139</v>
      </c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1:19" ht="16.8">
      <c r="A160" s="16">
        <v>145</v>
      </c>
      <c r="B160" s="16" t="s">
        <v>1140</v>
      </c>
      <c r="C160" s="16">
        <v>13</v>
      </c>
      <c r="E160" s="16" t="s">
        <v>912</v>
      </c>
      <c r="F160" s="16" t="s">
        <v>913</v>
      </c>
      <c r="G160" s="16">
        <v>1</v>
      </c>
      <c r="H160" s="16"/>
      <c r="I160" s="16">
        <v>13</v>
      </c>
      <c r="J160" s="16" t="s">
        <v>869</v>
      </c>
      <c r="K160" s="16" t="s">
        <v>820</v>
      </c>
      <c r="L160" s="16" t="s">
        <v>821</v>
      </c>
      <c r="M160" s="16">
        <v>497125</v>
      </c>
      <c r="N160" s="16" t="s">
        <v>822</v>
      </c>
      <c r="O160" s="16" t="s">
        <v>823</v>
      </c>
      <c r="P160" s="71" t="s">
        <v>824</v>
      </c>
    </row>
    <row r="161" spans="1:20" ht="16.8">
      <c r="A161" s="76">
        <v>146</v>
      </c>
      <c r="B161" s="29" t="s">
        <v>1141</v>
      </c>
      <c r="C161" s="20">
        <v>13</v>
      </c>
      <c r="D161" s="29"/>
      <c r="E161" s="77" t="s">
        <v>1142</v>
      </c>
      <c r="F161" s="16" t="s">
        <v>1143</v>
      </c>
      <c r="G161" s="78">
        <v>1</v>
      </c>
      <c r="H161" s="20"/>
      <c r="I161" s="29">
        <v>13</v>
      </c>
      <c r="J161" s="29" t="s">
        <v>1144</v>
      </c>
      <c r="K161" s="29" t="s">
        <v>1145</v>
      </c>
      <c r="L161" s="29" t="s">
        <v>1146</v>
      </c>
      <c r="M161" s="29">
        <v>497125</v>
      </c>
      <c r="N161" s="29" t="s">
        <v>1147</v>
      </c>
      <c r="O161" s="29" t="s">
        <v>1148</v>
      </c>
      <c r="P161" s="71" t="s">
        <v>824</v>
      </c>
      <c r="Q161" s="20"/>
      <c r="R161" s="20"/>
      <c r="S161" s="20"/>
      <c r="T161" s="20"/>
    </row>
    <row r="162" spans="1:20" ht="16.8">
      <c r="A162" s="16">
        <v>147</v>
      </c>
      <c r="B162" s="16" t="s">
        <v>1149</v>
      </c>
      <c r="C162">
        <v>13</v>
      </c>
      <c r="E162" t="s">
        <v>1042</v>
      </c>
      <c r="F162" s="12" t="s">
        <v>1043</v>
      </c>
      <c r="G162" s="16">
        <v>1</v>
      </c>
      <c r="I162" s="29">
        <v>13</v>
      </c>
      <c r="J162" s="29" t="s">
        <v>1144</v>
      </c>
      <c r="K162" s="29" t="s">
        <v>1145</v>
      </c>
      <c r="L162" s="29" t="s">
        <v>1146</v>
      </c>
      <c r="M162" s="29">
        <v>497125</v>
      </c>
      <c r="N162" s="29" t="s">
        <v>1147</v>
      </c>
      <c r="O162" s="29" t="s">
        <v>1148</v>
      </c>
      <c r="P162" s="71" t="s">
        <v>824</v>
      </c>
    </row>
    <row r="163" spans="1:20" ht="16.8">
      <c r="A163" s="16">
        <v>148</v>
      </c>
      <c r="B163" s="16" t="s">
        <v>1150</v>
      </c>
      <c r="C163">
        <v>13</v>
      </c>
      <c r="E163" t="s">
        <v>940</v>
      </c>
      <c r="F163" s="12" t="s">
        <v>941</v>
      </c>
      <c r="G163" s="16">
        <v>1</v>
      </c>
      <c r="I163" s="16">
        <v>13</v>
      </c>
      <c r="J163" s="29" t="s">
        <v>1144</v>
      </c>
      <c r="K163" s="29" t="s">
        <v>1145</v>
      </c>
      <c r="L163" s="29" t="s">
        <v>1146</v>
      </c>
      <c r="M163" s="29">
        <v>497125</v>
      </c>
      <c r="N163" s="29" t="s">
        <v>1147</v>
      </c>
      <c r="O163" s="29" t="s">
        <v>1148</v>
      </c>
      <c r="P163" s="71" t="s">
        <v>824</v>
      </c>
    </row>
    <row r="164" spans="1:20">
      <c r="A164" s="16">
        <v>149</v>
      </c>
      <c r="B164" s="16" t="s">
        <v>1151</v>
      </c>
      <c r="C164">
        <v>1</v>
      </c>
      <c r="D164" s="16" t="s">
        <v>816</v>
      </c>
      <c r="E164" s="16"/>
      <c r="G164" s="16">
        <v>0</v>
      </c>
      <c r="I164" s="16">
        <v>1</v>
      </c>
    </row>
    <row r="165" spans="1:20">
      <c r="A165" s="16">
        <v>150</v>
      </c>
      <c r="B165" s="16" t="s">
        <v>1152</v>
      </c>
      <c r="C165">
        <v>1</v>
      </c>
      <c r="D165" s="16" t="s">
        <v>1153</v>
      </c>
      <c r="E165" s="16"/>
      <c r="G165" s="16">
        <v>0</v>
      </c>
      <c r="I165" s="16">
        <v>1</v>
      </c>
    </row>
    <row r="166" spans="1:20">
      <c r="A166" s="16">
        <v>151</v>
      </c>
      <c r="B166" s="16" t="s">
        <v>1154</v>
      </c>
      <c r="C166">
        <v>1</v>
      </c>
      <c r="D166" s="16" t="s">
        <v>1155</v>
      </c>
      <c r="E166" s="16"/>
      <c r="G166" s="16">
        <v>0</v>
      </c>
      <c r="I166" s="16">
        <v>1</v>
      </c>
    </row>
    <row r="167" spans="1:20">
      <c r="A167" s="16">
        <v>152</v>
      </c>
      <c r="B167" s="16" t="s">
        <v>1156</v>
      </c>
      <c r="C167">
        <v>1</v>
      </c>
      <c r="D167" s="16">
        <v>51</v>
      </c>
      <c r="E167" s="16"/>
      <c r="G167" s="16">
        <v>0</v>
      </c>
      <c r="I167" s="16">
        <v>1</v>
      </c>
    </row>
    <row r="168" spans="1:20">
      <c r="A168" s="16">
        <v>153</v>
      </c>
      <c r="B168" s="16" t="s">
        <v>1157</v>
      </c>
      <c r="C168">
        <v>1</v>
      </c>
      <c r="D168" s="16" t="s">
        <v>1158</v>
      </c>
      <c r="G168" s="16">
        <v>0</v>
      </c>
      <c r="I168" s="16">
        <v>1</v>
      </c>
    </row>
    <row r="169" spans="1:20">
      <c r="A169" s="16">
        <v>154</v>
      </c>
      <c r="B169" s="16" t="s">
        <v>1159</v>
      </c>
      <c r="C169">
        <v>1</v>
      </c>
      <c r="D169" s="16">
        <v>54</v>
      </c>
      <c r="G169" s="16">
        <v>0</v>
      </c>
      <c r="I169" s="16">
        <v>1</v>
      </c>
    </row>
    <row r="170" spans="1:20">
      <c r="A170" s="16">
        <v>155</v>
      </c>
      <c r="B170" s="16" t="s">
        <v>1160</v>
      </c>
      <c r="C170">
        <v>1</v>
      </c>
      <c r="D170" s="16">
        <v>55</v>
      </c>
      <c r="G170" s="16">
        <v>0</v>
      </c>
      <c r="I170" s="16">
        <v>1</v>
      </c>
    </row>
    <row r="171" spans="1:20">
      <c r="A171" s="16">
        <v>156</v>
      </c>
      <c r="B171" s="16" t="s">
        <v>1161</v>
      </c>
      <c r="C171">
        <v>1</v>
      </c>
      <c r="D171" s="16" t="s">
        <v>1162</v>
      </c>
      <c r="G171" s="16">
        <v>0</v>
      </c>
      <c r="I171" s="16">
        <v>1</v>
      </c>
    </row>
    <row r="172" spans="1:20" ht="16.8">
      <c r="A172" s="16">
        <v>157</v>
      </c>
      <c r="B172" s="16" t="s">
        <v>248</v>
      </c>
      <c r="C172">
        <v>13</v>
      </c>
      <c r="D172" s="16" t="s">
        <v>816</v>
      </c>
      <c r="E172" t="s">
        <v>830</v>
      </c>
      <c r="F172" t="s">
        <v>831</v>
      </c>
      <c r="G172">
        <v>1</v>
      </c>
      <c r="H172">
        <v>1</v>
      </c>
      <c r="I172">
        <v>13</v>
      </c>
      <c r="J172" t="s">
        <v>862</v>
      </c>
      <c r="K172" s="16" t="s">
        <v>820</v>
      </c>
      <c r="L172" s="16" t="s">
        <v>821</v>
      </c>
      <c r="M172" s="16">
        <v>497125</v>
      </c>
      <c r="N172" s="16" t="s">
        <v>822</v>
      </c>
      <c r="O172" s="16" t="s">
        <v>823</v>
      </c>
      <c r="P172" s="71" t="s">
        <v>824</v>
      </c>
    </row>
    <row r="173" spans="1:20" ht="16.8">
      <c r="A173" s="16">
        <v>158</v>
      </c>
      <c r="B173" s="16" t="s">
        <v>1163</v>
      </c>
      <c r="C173">
        <v>13</v>
      </c>
      <c r="D173" s="16" t="s">
        <v>816</v>
      </c>
      <c r="E173" t="s">
        <v>948</v>
      </c>
      <c r="F173" t="s">
        <v>949</v>
      </c>
      <c r="G173">
        <v>1</v>
      </c>
      <c r="H173">
        <v>1</v>
      </c>
      <c r="I173">
        <v>13</v>
      </c>
      <c r="J173" t="s">
        <v>862</v>
      </c>
      <c r="K173" s="16" t="s">
        <v>820</v>
      </c>
      <c r="L173" s="16" t="s">
        <v>821</v>
      </c>
      <c r="M173" s="16">
        <v>497125</v>
      </c>
      <c r="N173" s="16" t="s">
        <v>822</v>
      </c>
      <c r="O173" s="16" t="s">
        <v>823</v>
      </c>
      <c r="P173" s="71" t="s">
        <v>824</v>
      </c>
    </row>
    <row r="174" spans="1:20">
      <c r="A174" s="16">
        <v>159</v>
      </c>
      <c r="B174" s="16" t="s">
        <v>1621</v>
      </c>
      <c r="C174">
        <v>13</v>
      </c>
      <c r="D174" s="16" t="s">
        <v>816</v>
      </c>
      <c r="E174" t="s">
        <v>940</v>
      </c>
      <c r="F174" t="s">
        <v>941</v>
      </c>
      <c r="G174">
        <v>1</v>
      </c>
      <c r="H174">
        <v>0</v>
      </c>
      <c r="I174">
        <v>13</v>
      </c>
      <c r="J174" t="s">
        <v>869</v>
      </c>
      <c r="K174" s="16" t="s">
        <v>820</v>
      </c>
      <c r="L174" s="16" t="s">
        <v>821</v>
      </c>
      <c r="M174" s="16">
        <v>497125</v>
      </c>
      <c r="N174" s="16" t="s">
        <v>822</v>
      </c>
      <c r="O174" s="16" t="s">
        <v>1097</v>
      </c>
      <c r="P174" s="64" t="s">
        <v>1622</v>
      </c>
    </row>
    <row r="175" spans="1:20">
      <c r="D175" s="12" t="s">
        <v>1164</v>
      </c>
    </row>
    <row r="176" spans="1:20">
      <c r="D176" s="12" t="s">
        <v>1165</v>
      </c>
    </row>
    <row r="177" spans="4:4">
      <c r="D177" s="12" t="s">
        <v>1166</v>
      </c>
    </row>
  </sheetData>
  <autoFilter ref="A11:G173" xr:uid="{00000000-0009-0000-0000-00000C000000}"/>
  <phoneticPr fontId="23" type="noConversion"/>
  <conditionalFormatting sqref="G1:G149">
    <cfRule type="cellIs" dxfId="1" priority="3" operator="equal">
      <formula>1</formula>
    </cfRule>
  </conditionalFormatting>
  <conditionalFormatting sqref="G162:G1048576">
    <cfRule type="cellIs" dxfId="0" priority="1" operator="equal">
      <formula>1</formula>
    </cfRule>
  </conditionalFormatting>
  <pageMargins left="0.7" right="0.7" top="0.75" bottom="0.75" header="0.3" footer="0.3"/>
  <pageSetup paperSize="9"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0"/>
  <sheetViews>
    <sheetView topLeftCell="A7" workbookViewId="0">
      <selection activeCell="I37" sqref="I37"/>
    </sheetView>
  </sheetViews>
  <sheetFormatPr defaultColWidth="9" defaultRowHeight="13.8"/>
  <cols>
    <col min="1" max="1" width="25.77734375" customWidth="1"/>
    <col min="2" max="2" width="39.33203125" customWidth="1"/>
    <col min="3" max="3" width="22.88671875" customWidth="1"/>
    <col min="4" max="4" width="13.109375" customWidth="1"/>
    <col min="5" max="5" width="13.33203125" customWidth="1"/>
  </cols>
  <sheetData>
    <row r="1" spans="1:5">
      <c r="A1" s="1" t="s">
        <v>0</v>
      </c>
      <c r="B1" s="2" t="s">
        <v>1167</v>
      </c>
      <c r="C1" s="2" t="s">
        <v>2</v>
      </c>
    </row>
    <row r="2" spans="1:5">
      <c r="A2" s="1" t="s">
        <v>3</v>
      </c>
      <c r="B2" s="2" t="s">
        <v>1168</v>
      </c>
      <c r="C2" s="2" t="s">
        <v>5</v>
      </c>
    </row>
    <row r="3" spans="1:5">
      <c r="A3" s="1" t="s">
        <v>6</v>
      </c>
      <c r="B3" s="3" t="s">
        <v>7</v>
      </c>
      <c r="C3" s="2" t="s">
        <v>8</v>
      </c>
    </row>
    <row r="4" spans="1:5">
      <c r="A4" s="1" t="s">
        <v>9</v>
      </c>
      <c r="B4" s="4" t="s">
        <v>10</v>
      </c>
      <c r="C4" s="2"/>
    </row>
    <row r="5" spans="1:5">
      <c r="A5" s="1" t="s">
        <v>11</v>
      </c>
      <c r="B5" s="2"/>
      <c r="C5" s="2" t="s">
        <v>12</v>
      </c>
    </row>
    <row r="6" spans="1:5">
      <c r="A6" s="1" t="s">
        <v>13</v>
      </c>
      <c r="B6" s="2">
        <v>4</v>
      </c>
      <c r="C6" s="2" t="s">
        <v>14</v>
      </c>
    </row>
    <row r="7" spans="1:5">
      <c r="A7" s="1" t="s">
        <v>15</v>
      </c>
      <c r="B7" s="2"/>
      <c r="C7" s="2"/>
    </row>
    <row r="8" spans="1:5">
      <c r="A8" s="1" t="s">
        <v>16</v>
      </c>
      <c r="B8" s="2"/>
      <c r="C8" s="2"/>
    </row>
    <row r="9" spans="1:5">
      <c r="A9" s="2"/>
      <c r="B9" s="2"/>
      <c r="C9" s="2"/>
    </row>
    <row r="10" spans="1:5">
      <c r="A10" s="2"/>
      <c r="B10" s="2"/>
    </row>
    <row r="11" spans="1:5">
      <c r="A11" s="10" t="s">
        <v>491</v>
      </c>
      <c r="B11" s="15" t="s">
        <v>470</v>
      </c>
      <c r="C11" s="10" t="s">
        <v>1169</v>
      </c>
      <c r="D11" s="10" t="s">
        <v>1170</v>
      </c>
      <c r="E11" s="10" t="s">
        <v>284</v>
      </c>
    </row>
    <row r="12" spans="1:5">
      <c r="A12" s="11" t="s">
        <v>23</v>
      </c>
      <c r="B12" s="15" t="s">
        <v>499</v>
      </c>
      <c r="C12" s="11" t="s">
        <v>286</v>
      </c>
      <c r="D12" s="11" t="s">
        <v>285</v>
      </c>
      <c r="E12" s="11" t="s">
        <v>1171</v>
      </c>
    </row>
    <row r="13" spans="1:5">
      <c r="A13" s="11" t="s">
        <v>29</v>
      </c>
      <c r="B13" s="15" t="s">
        <v>30</v>
      </c>
      <c r="C13" s="11" t="s">
        <v>29</v>
      </c>
      <c r="D13" s="11" t="s">
        <v>29</v>
      </c>
      <c r="E13" s="11" t="s">
        <v>29</v>
      </c>
    </row>
    <row r="14" spans="1:5">
      <c r="A14" s="11" t="s">
        <v>31</v>
      </c>
      <c r="B14" s="15"/>
      <c r="C14" s="11" t="s">
        <v>32</v>
      </c>
      <c r="D14" s="11" t="s">
        <v>32</v>
      </c>
      <c r="E14" s="11" t="s">
        <v>32</v>
      </c>
    </row>
    <row r="15" spans="1:5">
      <c r="A15" s="11"/>
      <c r="B15" s="15">
        <v>0</v>
      </c>
      <c r="C15" s="12">
        <v>0</v>
      </c>
      <c r="D15" s="12">
        <v>0</v>
      </c>
      <c r="E15" s="12">
        <v>0</v>
      </c>
    </row>
    <row r="16" spans="1:5">
      <c r="A16" s="10">
        <v>1</v>
      </c>
      <c r="B16" s="15" t="s">
        <v>1172</v>
      </c>
      <c r="C16" s="12">
        <v>2</v>
      </c>
      <c r="D16" s="12">
        <v>1</v>
      </c>
      <c r="E16" s="12">
        <v>2</v>
      </c>
    </row>
    <row r="17" spans="1:5">
      <c r="A17" s="12">
        <v>2</v>
      </c>
      <c r="B17" s="15" t="s">
        <v>1172</v>
      </c>
      <c r="C17" s="12">
        <v>2</v>
      </c>
      <c r="D17" s="12">
        <v>1</v>
      </c>
      <c r="E17" s="12">
        <v>2</v>
      </c>
    </row>
    <row r="18" spans="1:5">
      <c r="A18" s="12">
        <v>3</v>
      </c>
      <c r="B18" s="15" t="s">
        <v>1172</v>
      </c>
      <c r="C18" s="12">
        <v>2</v>
      </c>
      <c r="D18" s="12">
        <v>1</v>
      </c>
      <c r="E18" s="12">
        <v>2</v>
      </c>
    </row>
    <row r="19" spans="1:5">
      <c r="A19" s="10">
        <v>4</v>
      </c>
      <c r="B19" s="15" t="s">
        <v>1172</v>
      </c>
      <c r="C19" s="12">
        <v>2</v>
      </c>
      <c r="D19" s="12">
        <v>1</v>
      </c>
      <c r="E19" s="12">
        <v>2</v>
      </c>
    </row>
    <row r="20" spans="1:5">
      <c r="A20" s="12">
        <v>5</v>
      </c>
      <c r="B20" s="15" t="s">
        <v>1172</v>
      </c>
      <c r="C20" s="12">
        <v>2</v>
      </c>
      <c r="D20" s="12">
        <v>1</v>
      </c>
      <c r="E20" s="12">
        <v>2</v>
      </c>
    </row>
  </sheetData>
  <phoneticPr fontId="23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"/>
  <sheetViews>
    <sheetView workbookViewId="0">
      <selection activeCell="I37" sqref="I37"/>
    </sheetView>
  </sheetViews>
  <sheetFormatPr defaultColWidth="9" defaultRowHeight="13.8"/>
  <cols>
    <col min="1" max="1" width="25.77734375" customWidth="1"/>
    <col min="2" max="2" width="39.33203125" customWidth="1"/>
    <col min="3" max="3" width="22.88671875" customWidth="1"/>
    <col min="4" max="4" width="23.44140625" customWidth="1"/>
    <col min="5" max="6" width="25.33203125" customWidth="1"/>
    <col min="7" max="8" width="31.6640625" customWidth="1"/>
    <col min="9" max="9" width="29.6640625" customWidth="1"/>
    <col min="10" max="10" width="13.109375" customWidth="1"/>
    <col min="11" max="11" width="13.33203125" customWidth="1"/>
  </cols>
  <sheetData>
    <row r="1" spans="1:11">
      <c r="A1" s="1" t="s">
        <v>0</v>
      </c>
      <c r="B1" s="2" t="s">
        <v>1173</v>
      </c>
      <c r="C1" s="2" t="s">
        <v>2</v>
      </c>
      <c r="D1" s="2"/>
      <c r="E1" s="2"/>
      <c r="F1" s="2"/>
      <c r="G1" s="2"/>
      <c r="H1" s="2"/>
      <c r="I1" s="2"/>
    </row>
    <row r="2" spans="1:11">
      <c r="A2" s="1" t="s">
        <v>3</v>
      </c>
      <c r="B2" s="2" t="s">
        <v>783</v>
      </c>
      <c r="C2" s="2" t="s">
        <v>5</v>
      </c>
      <c r="D2" s="2"/>
      <c r="E2" s="2"/>
      <c r="F2" s="2"/>
      <c r="G2" s="2"/>
      <c r="H2" s="2"/>
      <c r="I2" s="2"/>
    </row>
    <row r="3" spans="1:11">
      <c r="A3" s="1" t="s">
        <v>6</v>
      </c>
      <c r="B3" s="3" t="s">
        <v>7</v>
      </c>
      <c r="C3" s="2" t="s">
        <v>8</v>
      </c>
      <c r="D3" s="2"/>
      <c r="E3" s="2"/>
      <c r="F3" s="2"/>
      <c r="G3" s="2"/>
      <c r="H3" s="2"/>
      <c r="I3" s="2"/>
    </row>
    <row r="4" spans="1:11">
      <c r="A4" s="1" t="s">
        <v>9</v>
      </c>
      <c r="B4" s="4" t="s">
        <v>10</v>
      </c>
      <c r="C4" s="2"/>
      <c r="D4" s="2"/>
      <c r="E4" s="2"/>
      <c r="F4" s="2"/>
      <c r="G4" s="2"/>
      <c r="H4" s="2"/>
      <c r="I4" s="2"/>
    </row>
    <row r="5" spans="1:11">
      <c r="A5" s="1" t="s">
        <v>11</v>
      </c>
      <c r="B5" s="2"/>
      <c r="C5" s="2" t="s">
        <v>12</v>
      </c>
      <c r="D5" s="2"/>
      <c r="E5" s="2"/>
      <c r="F5" s="2"/>
      <c r="G5" s="2"/>
      <c r="H5" s="2"/>
      <c r="I5" s="2"/>
    </row>
    <row r="6" spans="1:11">
      <c r="A6" s="1" t="s">
        <v>13</v>
      </c>
      <c r="B6" s="2">
        <v>4</v>
      </c>
      <c r="C6" s="2" t="s">
        <v>14</v>
      </c>
      <c r="D6" s="2"/>
      <c r="E6" s="2"/>
      <c r="F6" s="2"/>
      <c r="G6" s="2"/>
      <c r="H6" s="2"/>
      <c r="I6" s="2"/>
    </row>
    <row r="7" spans="1:11">
      <c r="A7" s="1" t="s">
        <v>15</v>
      </c>
      <c r="B7" s="2"/>
      <c r="C7" s="2"/>
      <c r="D7" s="2"/>
      <c r="E7" s="2"/>
      <c r="F7" s="2"/>
      <c r="G7" s="2"/>
      <c r="H7" s="2"/>
      <c r="I7" s="2"/>
    </row>
    <row r="8" spans="1:11">
      <c r="A8" s="1" t="s">
        <v>16</v>
      </c>
      <c r="B8" s="2"/>
      <c r="C8" s="2"/>
      <c r="D8" s="2"/>
      <c r="E8" s="2"/>
      <c r="F8" s="2"/>
      <c r="G8" s="2"/>
      <c r="H8" s="2"/>
      <c r="I8" s="2"/>
    </row>
    <row r="9" spans="1:11">
      <c r="A9" s="2"/>
      <c r="B9" s="2"/>
      <c r="C9" s="2"/>
      <c r="D9" s="2"/>
      <c r="E9" s="2"/>
      <c r="F9" s="2"/>
      <c r="G9" s="2"/>
      <c r="H9" s="2"/>
      <c r="I9" s="2"/>
    </row>
    <row r="10" spans="1:11">
      <c r="A10" s="2"/>
      <c r="B10" s="2"/>
    </row>
    <row r="11" spans="1:11">
      <c r="A11" s="10" t="s">
        <v>491</v>
      </c>
      <c r="B11" s="15" t="s">
        <v>470</v>
      </c>
      <c r="C11" s="10" t="s">
        <v>1174</v>
      </c>
      <c r="D11" s="10" t="s">
        <v>708</v>
      </c>
      <c r="E11" s="10" t="s">
        <v>1175</v>
      </c>
      <c r="F11" s="10" t="s">
        <v>1176</v>
      </c>
      <c r="G11" s="15" t="s">
        <v>1177</v>
      </c>
      <c r="H11" s="10" t="s">
        <v>1178</v>
      </c>
      <c r="I11" s="15" t="s">
        <v>1179</v>
      </c>
      <c r="J11" s="10" t="s">
        <v>1178</v>
      </c>
      <c r="K11" s="10" t="s">
        <v>1178</v>
      </c>
    </row>
    <row r="12" spans="1:11">
      <c r="A12" s="11" t="s">
        <v>23</v>
      </c>
      <c r="B12" s="15"/>
      <c r="C12" s="11" t="s">
        <v>286</v>
      </c>
      <c r="D12" s="11" t="s">
        <v>710</v>
      </c>
      <c r="E12" s="11" t="s">
        <v>1180</v>
      </c>
      <c r="F12" s="11" t="s">
        <v>1181</v>
      </c>
      <c r="G12" s="15" t="s">
        <v>1182</v>
      </c>
      <c r="H12" s="11" t="s">
        <v>1183</v>
      </c>
      <c r="I12" s="15" t="s">
        <v>1184</v>
      </c>
      <c r="J12" s="11" t="s">
        <v>1185</v>
      </c>
      <c r="K12" s="11" t="s">
        <v>1186</v>
      </c>
    </row>
    <row r="13" spans="1:11">
      <c r="A13" s="11" t="s">
        <v>29</v>
      </c>
      <c r="B13" s="15"/>
      <c r="C13" s="11" t="s">
        <v>29</v>
      </c>
      <c r="D13" s="11" t="s">
        <v>29</v>
      </c>
      <c r="E13" s="11" t="s">
        <v>29</v>
      </c>
      <c r="F13" s="11" t="s">
        <v>29</v>
      </c>
      <c r="G13" s="15" t="s">
        <v>30</v>
      </c>
      <c r="H13" s="11" t="s">
        <v>29</v>
      </c>
      <c r="I13" s="15" t="s">
        <v>30</v>
      </c>
      <c r="J13" s="11" t="s">
        <v>29</v>
      </c>
      <c r="K13" s="11" t="s">
        <v>29</v>
      </c>
    </row>
    <row r="14" spans="1:11">
      <c r="A14" s="11" t="s">
        <v>31</v>
      </c>
      <c r="B14" s="15"/>
      <c r="C14" s="11" t="s">
        <v>32</v>
      </c>
      <c r="D14" s="11" t="s">
        <v>32</v>
      </c>
      <c r="E14" s="11" t="s">
        <v>32</v>
      </c>
      <c r="F14" s="11" t="s">
        <v>32</v>
      </c>
      <c r="G14" s="15" t="s">
        <v>505</v>
      </c>
      <c r="H14" s="11" t="s">
        <v>32</v>
      </c>
      <c r="I14" s="15" t="s">
        <v>505</v>
      </c>
      <c r="J14" s="11" t="s">
        <v>32</v>
      </c>
      <c r="K14" s="11" t="s">
        <v>32</v>
      </c>
    </row>
    <row r="15" spans="1:11">
      <c r="A15" s="11"/>
      <c r="B15" s="15">
        <v>0</v>
      </c>
      <c r="C15" s="12">
        <v>0</v>
      </c>
      <c r="D15" s="12">
        <v>0</v>
      </c>
      <c r="E15" s="12">
        <v>0</v>
      </c>
      <c r="F15" s="12">
        <v>0</v>
      </c>
      <c r="G15" s="15">
        <v>0</v>
      </c>
      <c r="H15" s="12">
        <v>0</v>
      </c>
      <c r="I15" s="15">
        <v>0</v>
      </c>
      <c r="J15" s="12"/>
      <c r="K15" s="12"/>
    </row>
    <row r="16" spans="1:11">
      <c r="A16" s="10">
        <v>1</v>
      </c>
      <c r="B16" s="15" t="s">
        <v>1187</v>
      </c>
      <c r="C16" s="12">
        <v>1</v>
      </c>
      <c r="D16" s="12">
        <v>9500</v>
      </c>
      <c r="E16" s="12">
        <v>7</v>
      </c>
      <c r="F16" s="12">
        <v>340001</v>
      </c>
      <c r="G16" s="15" t="s">
        <v>1188</v>
      </c>
      <c r="H16" s="12">
        <v>340002</v>
      </c>
      <c r="I16" s="15" t="s">
        <v>1189</v>
      </c>
      <c r="J16" s="12">
        <v>120</v>
      </c>
      <c r="K16" s="12">
        <v>120</v>
      </c>
    </row>
    <row r="17" spans="1:11">
      <c r="A17" s="12">
        <v>2</v>
      </c>
      <c r="B17" s="15" t="s">
        <v>1190</v>
      </c>
      <c r="C17" s="12">
        <v>0</v>
      </c>
      <c r="D17" s="12">
        <v>9501</v>
      </c>
      <c r="E17" s="12">
        <v>0</v>
      </c>
      <c r="F17" s="12">
        <v>340011</v>
      </c>
      <c r="G17" s="15" t="s">
        <v>1191</v>
      </c>
      <c r="H17" s="12">
        <v>340012</v>
      </c>
      <c r="I17" s="15" t="s">
        <v>1191</v>
      </c>
      <c r="J17" s="12">
        <v>100</v>
      </c>
      <c r="K17" s="12">
        <v>100</v>
      </c>
    </row>
    <row r="18" spans="1:11">
      <c r="A18" s="12">
        <v>3</v>
      </c>
      <c r="B18" s="15" t="s">
        <v>1192</v>
      </c>
      <c r="C18" s="12">
        <v>0</v>
      </c>
      <c r="D18" s="12">
        <v>9502</v>
      </c>
      <c r="E18" s="12">
        <v>0</v>
      </c>
      <c r="F18" s="12">
        <v>340021</v>
      </c>
      <c r="G18" s="15" t="s">
        <v>1193</v>
      </c>
      <c r="H18" s="12">
        <v>340022</v>
      </c>
      <c r="I18" s="15" t="s">
        <v>1194</v>
      </c>
      <c r="J18" s="12">
        <v>75</v>
      </c>
      <c r="K18" s="12">
        <v>75</v>
      </c>
    </row>
    <row r="19" spans="1:11">
      <c r="A19" s="10">
        <v>4</v>
      </c>
      <c r="B19" s="15" t="s">
        <v>1195</v>
      </c>
      <c r="C19" s="12">
        <v>0</v>
      </c>
      <c r="D19" s="12">
        <v>9503</v>
      </c>
      <c r="E19" s="12">
        <v>0</v>
      </c>
      <c r="F19" s="12">
        <v>340031</v>
      </c>
      <c r="G19" s="15" t="s">
        <v>1196</v>
      </c>
      <c r="H19" s="12">
        <v>340032</v>
      </c>
      <c r="I19" s="15" t="s">
        <v>1197</v>
      </c>
      <c r="J19" s="12">
        <v>120</v>
      </c>
      <c r="K19" s="12">
        <v>120</v>
      </c>
    </row>
    <row r="20" spans="1:11">
      <c r="A20" s="12">
        <v>5</v>
      </c>
      <c r="B20" s="15" t="s">
        <v>1198</v>
      </c>
      <c r="C20" s="12">
        <v>1</v>
      </c>
      <c r="D20" s="12">
        <v>9504</v>
      </c>
      <c r="E20" s="12">
        <v>7</v>
      </c>
      <c r="F20" s="12">
        <v>340041</v>
      </c>
      <c r="G20" s="15" t="s">
        <v>1188</v>
      </c>
      <c r="H20" s="12">
        <v>340042</v>
      </c>
      <c r="I20" s="15" t="s">
        <v>1198</v>
      </c>
      <c r="J20" s="12">
        <v>120</v>
      </c>
      <c r="K20" s="12">
        <v>120</v>
      </c>
    </row>
  </sheetData>
  <phoneticPr fontId="23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8"/>
  <sheetViews>
    <sheetView topLeftCell="A6" workbookViewId="0">
      <selection activeCell="I37" sqref="I37"/>
    </sheetView>
  </sheetViews>
  <sheetFormatPr defaultColWidth="9" defaultRowHeight="13.8"/>
  <cols>
    <col min="2" max="2" width="13" customWidth="1"/>
    <col min="3" max="3" width="45.109375" customWidth="1"/>
    <col min="4" max="4" width="15" customWidth="1"/>
    <col min="5" max="7" width="15.33203125" customWidth="1"/>
  </cols>
  <sheetData>
    <row r="1" spans="1:8">
      <c r="A1" s="1" t="s">
        <v>0</v>
      </c>
      <c r="B1" s="2" t="s">
        <v>1199</v>
      </c>
      <c r="C1" s="2" t="s">
        <v>2</v>
      </c>
      <c r="D1" s="2"/>
      <c r="E1" s="2"/>
    </row>
    <row r="2" spans="1:8">
      <c r="A2" s="1" t="s">
        <v>3</v>
      </c>
      <c r="B2" s="2" t="s">
        <v>1200</v>
      </c>
      <c r="C2" s="2" t="s">
        <v>5</v>
      </c>
      <c r="D2" s="2"/>
      <c r="E2" s="2"/>
    </row>
    <row r="3" spans="1:8">
      <c r="A3" s="1" t="s">
        <v>6</v>
      </c>
      <c r="B3" s="3" t="s">
        <v>7</v>
      </c>
      <c r="C3" s="2" t="s">
        <v>8</v>
      </c>
      <c r="D3" s="2"/>
      <c r="E3" s="2"/>
    </row>
    <row r="4" spans="1:8">
      <c r="A4" s="1" t="s">
        <v>9</v>
      </c>
      <c r="B4" s="4" t="s">
        <v>10</v>
      </c>
      <c r="C4" s="2"/>
      <c r="D4" s="2"/>
      <c r="E4" s="2"/>
    </row>
    <row r="5" spans="1:8">
      <c r="A5" s="1" t="s">
        <v>11</v>
      </c>
      <c r="B5" s="2"/>
      <c r="C5" s="2" t="s">
        <v>12</v>
      </c>
      <c r="D5" s="2"/>
      <c r="E5" s="2"/>
    </row>
    <row r="6" spans="1:8">
      <c r="A6" s="1" t="s">
        <v>13</v>
      </c>
      <c r="B6" s="2">
        <v>4</v>
      </c>
      <c r="C6" s="2" t="s">
        <v>14</v>
      </c>
      <c r="D6" s="2"/>
      <c r="E6" s="2"/>
    </row>
    <row r="7" spans="1:8">
      <c r="A7" s="1" t="s">
        <v>15</v>
      </c>
      <c r="B7" s="2"/>
      <c r="C7" s="2"/>
      <c r="D7" s="2"/>
      <c r="E7" s="2"/>
    </row>
    <row r="8" spans="1:8">
      <c r="A8" s="1" t="s">
        <v>16</v>
      </c>
      <c r="B8" s="2"/>
      <c r="C8" s="2"/>
      <c r="D8" s="2"/>
      <c r="E8" s="2"/>
    </row>
    <row r="9" spans="1:8">
      <c r="A9" s="2"/>
      <c r="B9" s="2"/>
      <c r="C9" s="2"/>
      <c r="D9" s="2"/>
    </row>
    <row r="10" spans="1:8">
      <c r="A10" s="2"/>
      <c r="B10" s="2"/>
      <c r="C10" s="2"/>
      <c r="D10" s="2"/>
    </row>
    <row r="11" spans="1:8">
      <c r="A11" s="10" t="s">
        <v>17</v>
      </c>
      <c r="B11" s="10" t="s">
        <v>1201</v>
      </c>
      <c r="C11" s="10" t="s">
        <v>1202</v>
      </c>
      <c r="D11" s="10" t="s">
        <v>492</v>
      </c>
      <c r="E11" s="60" t="s">
        <v>436</v>
      </c>
      <c r="F11" s="60" t="s">
        <v>437</v>
      </c>
    </row>
    <row r="12" spans="1:8">
      <c r="A12" s="11" t="s">
        <v>23</v>
      </c>
      <c r="B12" s="11" t="s">
        <v>1203</v>
      </c>
      <c r="C12" s="11" t="s">
        <v>1204</v>
      </c>
      <c r="D12" s="11" t="s">
        <v>498</v>
      </c>
      <c r="E12" s="61" t="s">
        <v>440</v>
      </c>
      <c r="F12" s="61" t="s">
        <v>441</v>
      </c>
    </row>
    <row r="13" spans="1:8" ht="15.6">
      <c r="A13" s="11" t="s">
        <v>29</v>
      </c>
      <c r="B13" s="11" t="s">
        <v>30</v>
      </c>
      <c r="C13" s="11" t="s">
        <v>29</v>
      </c>
      <c r="D13" s="11" t="s">
        <v>30</v>
      </c>
      <c r="E13" s="62" t="s">
        <v>30</v>
      </c>
      <c r="F13" s="62" t="s">
        <v>30</v>
      </c>
    </row>
    <row r="14" spans="1:8">
      <c r="A14" s="11" t="s">
        <v>31</v>
      </c>
      <c r="B14" s="11" t="s">
        <v>32</v>
      </c>
      <c r="C14" s="11" t="s">
        <v>32</v>
      </c>
      <c r="D14" s="11" t="s">
        <v>32</v>
      </c>
      <c r="E14" s="61" t="s">
        <v>32</v>
      </c>
      <c r="F14" s="61" t="s">
        <v>32</v>
      </c>
    </row>
    <row r="15" spans="1:8" ht="15.6">
      <c r="A15" s="11"/>
      <c r="B15" s="11">
        <v>101</v>
      </c>
      <c r="C15" s="11">
        <v>1</v>
      </c>
      <c r="D15" s="11">
        <v>0</v>
      </c>
      <c r="E15" s="61">
        <v>36526</v>
      </c>
      <c r="F15" s="62">
        <v>72686</v>
      </c>
    </row>
    <row r="16" spans="1:8">
      <c r="A16" s="10">
        <v>1</v>
      </c>
      <c r="B16" s="12">
        <v>100172</v>
      </c>
      <c r="C16" s="10">
        <v>3</v>
      </c>
      <c r="D16" s="10">
        <v>120011</v>
      </c>
      <c r="E16" s="63">
        <v>80942</v>
      </c>
      <c r="F16" s="63">
        <v>80973</v>
      </c>
      <c r="H16" t="s">
        <v>1205</v>
      </c>
    </row>
    <row r="17" spans="1:8">
      <c r="A17" s="12">
        <v>2</v>
      </c>
      <c r="B17" s="12">
        <v>100153</v>
      </c>
      <c r="C17" s="12">
        <v>3</v>
      </c>
      <c r="D17" s="12">
        <v>120011</v>
      </c>
      <c r="E17" s="63">
        <v>80973</v>
      </c>
      <c r="F17" s="63">
        <v>81003</v>
      </c>
      <c r="H17" t="s">
        <v>751</v>
      </c>
    </row>
    <row r="18" spans="1:8">
      <c r="A18" s="12">
        <v>3</v>
      </c>
      <c r="B18" s="12">
        <v>100033</v>
      </c>
      <c r="C18" s="12">
        <v>3</v>
      </c>
      <c r="D18" s="12">
        <v>120011</v>
      </c>
      <c r="E18" s="63">
        <v>81003</v>
      </c>
      <c r="F18" s="63">
        <v>81034</v>
      </c>
      <c r="H18" t="s">
        <v>1206</v>
      </c>
    </row>
  </sheetData>
  <phoneticPr fontId="23" type="noConversion"/>
  <pageMargins left="0.7" right="0.7" top="0.75" bottom="0.75" header="0.3" footer="0.3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715"/>
  <sheetViews>
    <sheetView topLeftCell="A4" workbookViewId="0">
      <selection activeCell="I37" sqref="I37"/>
    </sheetView>
  </sheetViews>
  <sheetFormatPr defaultColWidth="9" defaultRowHeight="13.8"/>
  <cols>
    <col min="2" max="2" width="13" customWidth="1"/>
    <col min="3" max="3" width="45.109375" customWidth="1"/>
    <col min="4" max="4" width="15.33203125" customWidth="1"/>
  </cols>
  <sheetData>
    <row r="1" spans="1:8">
      <c r="A1" s="1" t="s">
        <v>0</v>
      </c>
      <c r="B1" s="2" t="s">
        <v>1207</v>
      </c>
      <c r="C1" s="2" t="s">
        <v>2</v>
      </c>
    </row>
    <row r="2" spans="1:8">
      <c r="A2" s="1" t="s">
        <v>3</v>
      </c>
      <c r="B2" s="2" t="s">
        <v>1200</v>
      </c>
      <c r="C2" s="2" t="s">
        <v>5</v>
      </c>
    </row>
    <row r="3" spans="1:8">
      <c r="A3" s="1" t="s">
        <v>6</v>
      </c>
      <c r="B3" s="3" t="s">
        <v>7</v>
      </c>
      <c r="C3" s="2" t="s">
        <v>8</v>
      </c>
    </row>
    <row r="4" spans="1:8">
      <c r="A4" s="1" t="s">
        <v>9</v>
      </c>
      <c r="B4" s="4" t="s">
        <v>10</v>
      </c>
      <c r="C4" s="2"/>
    </row>
    <row r="5" spans="1:8">
      <c r="A5" s="1" t="s">
        <v>11</v>
      </c>
      <c r="B5" s="2"/>
      <c r="C5" s="2" t="s">
        <v>12</v>
      </c>
    </row>
    <row r="6" spans="1:8">
      <c r="A6" s="1" t="s">
        <v>13</v>
      </c>
      <c r="B6" s="2">
        <v>4</v>
      </c>
      <c r="C6" s="2" t="s">
        <v>14</v>
      </c>
    </row>
    <row r="7" spans="1:8">
      <c r="A7" s="1" t="s">
        <v>15</v>
      </c>
      <c r="B7" s="2"/>
      <c r="C7" s="2"/>
    </row>
    <row r="8" spans="1:8">
      <c r="A8" s="1" t="s">
        <v>16</v>
      </c>
      <c r="B8" s="2"/>
      <c r="C8" s="2"/>
    </row>
    <row r="9" spans="1:8">
      <c r="A9" s="2"/>
      <c r="C9" s="2"/>
    </row>
    <row r="10" spans="1:8">
      <c r="A10" s="2"/>
      <c r="B10" s="2"/>
      <c r="C10" s="2"/>
    </row>
    <row r="11" spans="1:8">
      <c r="A11" s="10" t="s">
        <v>1208</v>
      </c>
      <c r="B11" s="10" t="s">
        <v>1209</v>
      </c>
      <c r="C11" s="10" t="s">
        <v>1210</v>
      </c>
      <c r="D11" s="18"/>
      <c r="E11" s="18"/>
      <c r="F11" s="18"/>
    </row>
    <row r="12" spans="1:8">
      <c r="A12" s="11" t="s">
        <v>23</v>
      </c>
      <c r="B12" s="11" t="s">
        <v>1211</v>
      </c>
      <c r="C12" s="11" t="s">
        <v>1212</v>
      </c>
      <c r="D12" s="59"/>
      <c r="E12" s="59"/>
      <c r="F12" s="59"/>
    </row>
    <row r="13" spans="1:8">
      <c r="A13" s="11" t="s">
        <v>29</v>
      </c>
      <c r="B13" s="11" t="s">
        <v>29</v>
      </c>
      <c r="C13" s="11" t="s">
        <v>29</v>
      </c>
      <c r="D13" s="59"/>
      <c r="E13" s="59"/>
      <c r="F13" s="59"/>
    </row>
    <row r="14" spans="1:8">
      <c r="A14" s="11" t="s">
        <v>31</v>
      </c>
      <c r="B14" s="11" t="s">
        <v>32</v>
      </c>
      <c r="C14" s="11" t="s">
        <v>32</v>
      </c>
      <c r="D14" s="59"/>
      <c r="E14" s="59"/>
      <c r="F14" s="59"/>
    </row>
    <row r="15" spans="1:8">
      <c r="A15" s="11"/>
      <c r="B15" s="11">
        <v>1</v>
      </c>
      <c r="C15" s="11">
        <v>1</v>
      </c>
      <c r="D15" s="59" t="s">
        <v>1208</v>
      </c>
      <c r="E15" s="59">
        <v>688</v>
      </c>
      <c r="F15" s="59">
        <v>688</v>
      </c>
    </row>
    <row r="16" spans="1:8">
      <c r="A16" s="10">
        <v>1</v>
      </c>
      <c r="B16" s="12">
        <v>10</v>
      </c>
      <c r="C16">
        <v>150</v>
      </c>
      <c r="D16" s="59">
        <f>IF(MOD(A16,5)=0,1,0)</f>
        <v>0</v>
      </c>
      <c r="E16" s="59">
        <f>MAX(E15-B16,0)</f>
        <v>678</v>
      </c>
      <c r="F16" s="59">
        <f t="shared" ref="F16:F79" si="0">MAX(F15-H16,0)</f>
        <v>688</v>
      </c>
      <c r="H16" s="10"/>
    </row>
    <row r="17" spans="1:8">
      <c r="A17" s="12">
        <v>2</v>
      </c>
      <c r="B17" s="12">
        <v>10</v>
      </c>
      <c r="C17">
        <v>150</v>
      </c>
      <c r="D17" s="59">
        <f t="shared" ref="D17:D80" si="1">IF(MOD(A17,5)=0,1,0)</f>
        <v>0</v>
      </c>
      <c r="E17" s="59">
        <f t="shared" ref="E17:E80" si="2">MAX(E16-B17,0)</f>
        <v>668</v>
      </c>
      <c r="F17" s="59">
        <f t="shared" si="0"/>
        <v>688</v>
      </c>
      <c r="H17" s="10"/>
    </row>
    <row r="18" spans="1:8">
      <c r="A18" s="12">
        <v>3</v>
      </c>
      <c r="B18" s="12">
        <v>10</v>
      </c>
      <c r="C18">
        <v>150</v>
      </c>
      <c r="D18" s="59">
        <f t="shared" si="1"/>
        <v>0</v>
      </c>
      <c r="E18" s="59">
        <f t="shared" si="2"/>
        <v>658</v>
      </c>
      <c r="F18" s="59">
        <f t="shared" si="0"/>
        <v>688</v>
      </c>
      <c r="H18" s="10"/>
    </row>
    <row r="19" spans="1:8">
      <c r="A19" s="10">
        <v>4</v>
      </c>
      <c r="B19" s="12">
        <v>10</v>
      </c>
      <c r="C19">
        <v>150</v>
      </c>
      <c r="D19" s="59">
        <f t="shared" si="1"/>
        <v>0</v>
      </c>
      <c r="E19" s="59">
        <f t="shared" si="2"/>
        <v>648</v>
      </c>
      <c r="F19" s="59">
        <f t="shared" si="0"/>
        <v>688</v>
      </c>
      <c r="H19" s="10"/>
    </row>
    <row r="20" spans="1:8">
      <c r="A20" s="12">
        <v>5</v>
      </c>
      <c r="B20" s="12">
        <v>10</v>
      </c>
      <c r="C20">
        <v>300</v>
      </c>
      <c r="D20" s="59">
        <f t="shared" si="1"/>
        <v>1</v>
      </c>
      <c r="E20" s="59">
        <f t="shared" si="2"/>
        <v>638</v>
      </c>
      <c r="F20" s="59">
        <f t="shared" si="0"/>
        <v>688</v>
      </c>
      <c r="H20" s="10"/>
    </row>
    <row r="21" spans="1:8">
      <c r="A21" s="12">
        <v>6</v>
      </c>
      <c r="B21" s="12">
        <v>10</v>
      </c>
      <c r="C21">
        <v>120</v>
      </c>
      <c r="D21" s="59">
        <f t="shared" si="1"/>
        <v>0</v>
      </c>
      <c r="E21" s="59">
        <f t="shared" si="2"/>
        <v>628</v>
      </c>
      <c r="F21" s="59">
        <f t="shared" si="0"/>
        <v>688</v>
      </c>
      <c r="H21" s="10"/>
    </row>
    <row r="22" spans="1:8">
      <c r="A22" s="10">
        <v>7</v>
      </c>
      <c r="B22" s="12">
        <v>10</v>
      </c>
      <c r="C22">
        <v>120</v>
      </c>
      <c r="D22" s="59">
        <f t="shared" si="1"/>
        <v>0</v>
      </c>
      <c r="E22" s="59">
        <f t="shared" si="2"/>
        <v>618</v>
      </c>
      <c r="F22" s="59">
        <f t="shared" si="0"/>
        <v>688</v>
      </c>
      <c r="H22" s="10"/>
    </row>
    <row r="23" spans="1:8">
      <c r="A23" s="12">
        <v>8</v>
      </c>
      <c r="B23" s="12">
        <v>10</v>
      </c>
      <c r="C23">
        <v>120</v>
      </c>
      <c r="D23" s="59">
        <f t="shared" si="1"/>
        <v>0</v>
      </c>
      <c r="E23" s="59">
        <f t="shared" si="2"/>
        <v>608</v>
      </c>
      <c r="F23" s="59">
        <f t="shared" si="0"/>
        <v>688</v>
      </c>
      <c r="H23" s="10"/>
    </row>
    <row r="24" spans="1:8">
      <c r="A24" s="12">
        <v>9</v>
      </c>
      <c r="B24" s="12">
        <v>10</v>
      </c>
      <c r="C24">
        <v>120</v>
      </c>
      <c r="D24" s="59">
        <f t="shared" si="1"/>
        <v>0</v>
      </c>
      <c r="E24" s="59">
        <f t="shared" si="2"/>
        <v>598</v>
      </c>
      <c r="F24" s="59">
        <f t="shared" si="0"/>
        <v>688</v>
      </c>
      <c r="H24" s="10"/>
    </row>
    <row r="25" spans="1:8">
      <c r="A25" s="10">
        <v>10</v>
      </c>
      <c r="B25" s="12">
        <v>10</v>
      </c>
      <c r="C25">
        <v>240</v>
      </c>
      <c r="D25" s="59">
        <f t="shared" si="1"/>
        <v>1</v>
      </c>
      <c r="E25" s="59">
        <f t="shared" si="2"/>
        <v>588</v>
      </c>
      <c r="F25" s="59">
        <f t="shared" si="0"/>
        <v>688</v>
      </c>
      <c r="H25" s="10"/>
    </row>
    <row r="26" spans="1:8">
      <c r="A26" s="12">
        <v>11</v>
      </c>
      <c r="B26" s="12">
        <v>10</v>
      </c>
      <c r="C26">
        <v>50</v>
      </c>
      <c r="D26" s="59">
        <f t="shared" si="1"/>
        <v>0</v>
      </c>
      <c r="E26" s="59">
        <f t="shared" si="2"/>
        <v>578</v>
      </c>
      <c r="F26" s="59">
        <f t="shared" si="0"/>
        <v>688</v>
      </c>
      <c r="H26" s="10"/>
    </row>
    <row r="27" spans="1:8">
      <c r="A27" s="12">
        <v>12</v>
      </c>
      <c r="B27" s="12">
        <v>10</v>
      </c>
      <c r="C27">
        <v>50</v>
      </c>
      <c r="D27" s="59">
        <f t="shared" si="1"/>
        <v>0</v>
      </c>
      <c r="E27" s="59">
        <f t="shared" si="2"/>
        <v>568</v>
      </c>
      <c r="F27" s="59">
        <f t="shared" si="0"/>
        <v>688</v>
      </c>
      <c r="H27" s="10"/>
    </row>
    <row r="28" spans="1:8">
      <c r="A28" s="10">
        <v>13</v>
      </c>
      <c r="B28" s="12">
        <v>10</v>
      </c>
      <c r="C28">
        <v>50</v>
      </c>
      <c r="D28" s="59">
        <f t="shared" si="1"/>
        <v>0</v>
      </c>
      <c r="E28" s="59">
        <f t="shared" si="2"/>
        <v>558</v>
      </c>
      <c r="F28" s="59">
        <f t="shared" si="0"/>
        <v>688</v>
      </c>
      <c r="H28" s="10"/>
    </row>
    <row r="29" spans="1:8">
      <c r="A29" s="12">
        <v>14</v>
      </c>
      <c r="B29" s="12">
        <v>10</v>
      </c>
      <c r="C29">
        <v>50</v>
      </c>
      <c r="D29" s="59">
        <f t="shared" si="1"/>
        <v>0</v>
      </c>
      <c r="E29" s="59">
        <f t="shared" si="2"/>
        <v>548</v>
      </c>
      <c r="F29" s="59">
        <f t="shared" si="0"/>
        <v>688</v>
      </c>
      <c r="H29" s="10"/>
    </row>
    <row r="30" spans="1:8">
      <c r="A30" s="12">
        <v>15</v>
      </c>
      <c r="B30" s="12">
        <v>10</v>
      </c>
      <c r="C30">
        <v>100</v>
      </c>
      <c r="D30" s="59">
        <f t="shared" si="1"/>
        <v>1</v>
      </c>
      <c r="E30" s="59">
        <f t="shared" si="2"/>
        <v>538</v>
      </c>
      <c r="F30" s="59">
        <f t="shared" si="0"/>
        <v>688</v>
      </c>
      <c r="H30" s="10"/>
    </row>
    <row r="31" spans="1:8">
      <c r="A31" s="10">
        <v>16</v>
      </c>
      <c r="B31" s="12">
        <v>10</v>
      </c>
      <c r="C31">
        <v>20</v>
      </c>
      <c r="D31" s="59">
        <f t="shared" si="1"/>
        <v>0</v>
      </c>
      <c r="E31" s="59">
        <f t="shared" si="2"/>
        <v>528</v>
      </c>
      <c r="F31" s="59">
        <f t="shared" si="0"/>
        <v>688</v>
      </c>
      <c r="H31" s="10"/>
    </row>
    <row r="32" spans="1:8">
      <c r="A32" s="12">
        <v>17</v>
      </c>
      <c r="B32" s="12">
        <v>10</v>
      </c>
      <c r="C32">
        <v>20</v>
      </c>
      <c r="D32" s="59">
        <f t="shared" si="1"/>
        <v>0</v>
      </c>
      <c r="E32" s="59">
        <f t="shared" si="2"/>
        <v>518</v>
      </c>
      <c r="F32" s="59">
        <f t="shared" si="0"/>
        <v>688</v>
      </c>
      <c r="H32" s="10"/>
    </row>
    <row r="33" spans="1:8">
      <c r="A33" s="12">
        <v>18</v>
      </c>
      <c r="B33" s="12">
        <v>10</v>
      </c>
      <c r="C33">
        <v>20</v>
      </c>
      <c r="D33" s="59">
        <f t="shared" si="1"/>
        <v>0</v>
      </c>
      <c r="E33" s="59">
        <f t="shared" si="2"/>
        <v>508</v>
      </c>
      <c r="F33" s="59">
        <f t="shared" si="0"/>
        <v>688</v>
      </c>
      <c r="H33" s="10"/>
    </row>
    <row r="34" spans="1:8">
      <c r="A34" s="10">
        <v>19</v>
      </c>
      <c r="B34" s="12">
        <v>10</v>
      </c>
      <c r="C34">
        <v>20</v>
      </c>
      <c r="D34" s="59">
        <f t="shared" si="1"/>
        <v>0</v>
      </c>
      <c r="E34" s="59">
        <f t="shared" si="2"/>
        <v>498</v>
      </c>
      <c r="F34" s="59">
        <f t="shared" si="0"/>
        <v>688</v>
      </c>
      <c r="H34" s="10"/>
    </row>
    <row r="35" spans="1:8">
      <c r="A35" s="12">
        <v>20</v>
      </c>
      <c r="B35" s="12">
        <v>10</v>
      </c>
      <c r="C35">
        <v>40</v>
      </c>
      <c r="D35" s="59">
        <f t="shared" si="1"/>
        <v>1</v>
      </c>
      <c r="E35" s="59">
        <f t="shared" si="2"/>
        <v>488</v>
      </c>
      <c r="F35" s="59">
        <f t="shared" si="0"/>
        <v>688</v>
      </c>
      <c r="H35" s="10"/>
    </row>
    <row r="36" spans="1:8">
      <c r="A36" s="12">
        <v>21</v>
      </c>
      <c r="B36" s="12">
        <v>10</v>
      </c>
      <c r="C36">
        <v>10</v>
      </c>
      <c r="D36" s="59">
        <f t="shared" si="1"/>
        <v>0</v>
      </c>
      <c r="E36" s="59">
        <f t="shared" si="2"/>
        <v>478</v>
      </c>
      <c r="F36" s="59">
        <f t="shared" si="0"/>
        <v>688</v>
      </c>
      <c r="H36" s="10"/>
    </row>
    <row r="37" spans="1:8">
      <c r="A37" s="10">
        <v>22</v>
      </c>
      <c r="B37" s="12">
        <v>10</v>
      </c>
      <c r="C37">
        <v>10</v>
      </c>
      <c r="D37" s="59">
        <f t="shared" si="1"/>
        <v>0</v>
      </c>
      <c r="E37" s="59">
        <f t="shared" si="2"/>
        <v>468</v>
      </c>
      <c r="F37" s="59">
        <f t="shared" si="0"/>
        <v>688</v>
      </c>
      <c r="H37" s="10"/>
    </row>
    <row r="38" spans="1:8">
      <c r="A38" s="12">
        <v>23</v>
      </c>
      <c r="B38" s="12">
        <v>10</v>
      </c>
      <c r="C38">
        <v>10</v>
      </c>
      <c r="D38" s="59">
        <f t="shared" si="1"/>
        <v>0</v>
      </c>
      <c r="E38" s="59">
        <f t="shared" si="2"/>
        <v>458</v>
      </c>
      <c r="F38" s="59">
        <f t="shared" si="0"/>
        <v>688</v>
      </c>
      <c r="H38" s="10"/>
    </row>
    <row r="39" spans="1:8">
      <c r="A39" s="12">
        <v>24</v>
      </c>
      <c r="B39" s="12">
        <v>10</v>
      </c>
      <c r="C39">
        <v>10</v>
      </c>
      <c r="D39" s="59">
        <f t="shared" si="1"/>
        <v>0</v>
      </c>
      <c r="E39" s="59">
        <f t="shared" si="2"/>
        <v>448</v>
      </c>
      <c r="F39" s="59">
        <f t="shared" si="0"/>
        <v>688</v>
      </c>
      <c r="H39" s="10"/>
    </row>
    <row r="40" spans="1:8">
      <c r="A40" s="10">
        <v>25</v>
      </c>
      <c r="B40" s="12">
        <v>10</v>
      </c>
      <c r="C40">
        <v>20</v>
      </c>
      <c r="D40" s="59">
        <f t="shared" si="1"/>
        <v>1</v>
      </c>
      <c r="E40" s="59">
        <f t="shared" si="2"/>
        <v>438</v>
      </c>
      <c r="F40" s="59">
        <f t="shared" si="0"/>
        <v>688</v>
      </c>
      <c r="H40" s="10"/>
    </row>
    <row r="41" spans="1:8">
      <c r="A41" s="12">
        <v>26</v>
      </c>
      <c r="B41" s="12">
        <v>10</v>
      </c>
      <c r="C41">
        <v>5</v>
      </c>
      <c r="D41" s="59">
        <f t="shared" si="1"/>
        <v>0</v>
      </c>
      <c r="E41" s="59">
        <f t="shared" si="2"/>
        <v>428</v>
      </c>
      <c r="F41" s="59">
        <f t="shared" si="0"/>
        <v>688</v>
      </c>
      <c r="H41" s="10"/>
    </row>
    <row r="42" spans="1:8">
      <c r="A42" s="12">
        <v>27</v>
      </c>
      <c r="B42" s="12">
        <v>10</v>
      </c>
      <c r="C42">
        <v>5</v>
      </c>
      <c r="D42" s="59">
        <f t="shared" si="1"/>
        <v>0</v>
      </c>
      <c r="E42" s="59">
        <f t="shared" si="2"/>
        <v>418</v>
      </c>
      <c r="F42" s="59">
        <f t="shared" si="0"/>
        <v>688</v>
      </c>
      <c r="H42" s="10"/>
    </row>
    <row r="43" spans="1:8">
      <c r="A43" s="10">
        <v>28</v>
      </c>
      <c r="B43" s="12">
        <v>10</v>
      </c>
      <c r="C43">
        <v>5</v>
      </c>
      <c r="D43" s="59">
        <f t="shared" si="1"/>
        <v>0</v>
      </c>
      <c r="E43" s="59">
        <f t="shared" si="2"/>
        <v>408</v>
      </c>
      <c r="F43" s="59">
        <f t="shared" si="0"/>
        <v>688</v>
      </c>
      <c r="H43" s="10"/>
    </row>
    <row r="44" spans="1:8">
      <c r="A44" s="12">
        <v>29</v>
      </c>
      <c r="B44" s="12">
        <v>10</v>
      </c>
      <c r="C44">
        <v>5</v>
      </c>
      <c r="D44" s="59">
        <f t="shared" si="1"/>
        <v>0</v>
      </c>
      <c r="E44" s="59">
        <f t="shared" si="2"/>
        <v>398</v>
      </c>
      <c r="F44" s="59">
        <f t="shared" si="0"/>
        <v>688</v>
      </c>
      <c r="H44" s="10"/>
    </row>
    <row r="45" spans="1:8">
      <c r="A45" s="12">
        <v>30</v>
      </c>
      <c r="B45" s="12">
        <v>10</v>
      </c>
      <c r="C45">
        <v>10</v>
      </c>
      <c r="D45" s="59">
        <f t="shared" si="1"/>
        <v>1</v>
      </c>
      <c r="E45" s="59">
        <f t="shared" si="2"/>
        <v>388</v>
      </c>
      <c r="F45" s="59">
        <f t="shared" si="0"/>
        <v>688</v>
      </c>
      <c r="H45" s="10"/>
    </row>
    <row r="46" spans="1:8">
      <c r="A46" s="10">
        <v>31</v>
      </c>
      <c r="B46" s="12">
        <v>10</v>
      </c>
      <c r="C46">
        <v>5</v>
      </c>
      <c r="D46" s="59">
        <f t="shared" si="1"/>
        <v>0</v>
      </c>
      <c r="E46" s="59">
        <f t="shared" si="2"/>
        <v>378</v>
      </c>
      <c r="F46" s="59">
        <f t="shared" si="0"/>
        <v>688</v>
      </c>
      <c r="H46" s="10"/>
    </row>
    <row r="47" spans="1:8">
      <c r="A47" s="12">
        <v>32</v>
      </c>
      <c r="B47" s="12">
        <v>10</v>
      </c>
      <c r="C47">
        <v>5</v>
      </c>
      <c r="D47" s="59">
        <f t="shared" si="1"/>
        <v>0</v>
      </c>
      <c r="E47" s="59">
        <f t="shared" si="2"/>
        <v>368</v>
      </c>
      <c r="F47" s="59">
        <f t="shared" si="0"/>
        <v>688</v>
      </c>
      <c r="H47" s="10"/>
    </row>
    <row r="48" spans="1:8">
      <c r="A48" s="12">
        <v>33</v>
      </c>
      <c r="B48" s="12">
        <v>10</v>
      </c>
      <c r="C48">
        <v>5</v>
      </c>
      <c r="D48" s="59">
        <f t="shared" si="1"/>
        <v>0</v>
      </c>
      <c r="E48" s="59">
        <f t="shared" si="2"/>
        <v>358</v>
      </c>
      <c r="F48" s="59">
        <f t="shared" si="0"/>
        <v>688</v>
      </c>
      <c r="H48" s="10"/>
    </row>
    <row r="49" spans="1:8">
      <c r="A49" s="10">
        <v>34</v>
      </c>
      <c r="B49" s="12">
        <v>10</v>
      </c>
      <c r="C49">
        <v>5</v>
      </c>
      <c r="D49" s="59">
        <f t="shared" si="1"/>
        <v>0</v>
      </c>
      <c r="E49" s="59">
        <f t="shared" si="2"/>
        <v>348</v>
      </c>
      <c r="F49" s="59">
        <f t="shared" si="0"/>
        <v>688</v>
      </c>
      <c r="H49" s="10"/>
    </row>
    <row r="50" spans="1:8">
      <c r="A50" s="12">
        <v>35</v>
      </c>
      <c r="B50" s="12">
        <v>10</v>
      </c>
      <c r="C50">
        <v>10</v>
      </c>
      <c r="D50" s="59">
        <f t="shared" si="1"/>
        <v>1</v>
      </c>
      <c r="E50" s="59">
        <f t="shared" si="2"/>
        <v>338</v>
      </c>
      <c r="F50" s="59">
        <f t="shared" si="0"/>
        <v>688</v>
      </c>
      <c r="H50" s="10"/>
    </row>
    <row r="51" spans="1:8">
      <c r="A51" s="12">
        <v>36</v>
      </c>
      <c r="B51" s="12">
        <v>10</v>
      </c>
      <c r="C51">
        <v>5</v>
      </c>
      <c r="D51" s="59">
        <f t="shared" si="1"/>
        <v>0</v>
      </c>
      <c r="E51" s="59">
        <f t="shared" si="2"/>
        <v>328</v>
      </c>
      <c r="F51" s="59">
        <f t="shared" si="0"/>
        <v>688</v>
      </c>
      <c r="H51" s="10"/>
    </row>
    <row r="52" spans="1:8">
      <c r="A52" s="10">
        <v>37</v>
      </c>
      <c r="B52" s="12">
        <v>10</v>
      </c>
      <c r="C52">
        <v>5</v>
      </c>
      <c r="D52" s="59">
        <f t="shared" si="1"/>
        <v>0</v>
      </c>
      <c r="E52" s="59">
        <f t="shared" si="2"/>
        <v>318</v>
      </c>
      <c r="F52" s="59">
        <f t="shared" si="0"/>
        <v>688</v>
      </c>
      <c r="H52" s="10"/>
    </row>
    <row r="53" spans="1:8">
      <c r="A53" s="12">
        <v>38</v>
      </c>
      <c r="B53" s="12">
        <v>10</v>
      </c>
      <c r="C53">
        <v>5</v>
      </c>
      <c r="D53" s="59">
        <f t="shared" si="1"/>
        <v>0</v>
      </c>
      <c r="E53" s="59">
        <f t="shared" si="2"/>
        <v>308</v>
      </c>
      <c r="F53" s="59">
        <f t="shared" si="0"/>
        <v>688</v>
      </c>
      <c r="H53" s="10"/>
    </row>
    <row r="54" spans="1:8">
      <c r="A54" s="12">
        <v>39</v>
      </c>
      <c r="B54" s="12">
        <v>10</v>
      </c>
      <c r="C54">
        <v>5</v>
      </c>
      <c r="D54" s="59">
        <f t="shared" si="1"/>
        <v>0</v>
      </c>
      <c r="E54" s="59">
        <f t="shared" si="2"/>
        <v>298</v>
      </c>
      <c r="F54" s="59">
        <f t="shared" si="0"/>
        <v>688</v>
      </c>
      <c r="H54" s="10"/>
    </row>
    <row r="55" spans="1:8">
      <c r="A55" s="10">
        <v>40</v>
      </c>
      <c r="B55" s="12">
        <v>10</v>
      </c>
      <c r="C55">
        <v>10</v>
      </c>
      <c r="D55" s="59">
        <f t="shared" si="1"/>
        <v>1</v>
      </c>
      <c r="E55" s="59">
        <f t="shared" si="2"/>
        <v>288</v>
      </c>
      <c r="F55" s="59">
        <f t="shared" si="0"/>
        <v>688</v>
      </c>
      <c r="H55" s="10"/>
    </row>
    <row r="56" spans="1:8">
      <c r="A56" s="12">
        <v>41</v>
      </c>
      <c r="B56" s="12">
        <v>10</v>
      </c>
      <c r="C56">
        <v>5</v>
      </c>
      <c r="D56" s="59">
        <f t="shared" si="1"/>
        <v>0</v>
      </c>
      <c r="E56" s="59">
        <f t="shared" si="2"/>
        <v>278</v>
      </c>
      <c r="F56" s="59">
        <f t="shared" si="0"/>
        <v>688</v>
      </c>
      <c r="H56" s="10"/>
    </row>
    <row r="57" spans="1:8">
      <c r="A57" s="12">
        <v>42</v>
      </c>
      <c r="B57" s="12">
        <v>10</v>
      </c>
      <c r="C57">
        <v>5</v>
      </c>
      <c r="D57" s="59">
        <f t="shared" si="1"/>
        <v>0</v>
      </c>
      <c r="E57" s="59">
        <f t="shared" si="2"/>
        <v>268</v>
      </c>
      <c r="F57" s="59">
        <f t="shared" si="0"/>
        <v>688</v>
      </c>
      <c r="H57" s="10"/>
    </row>
    <row r="58" spans="1:8">
      <c r="A58" s="10">
        <v>43</v>
      </c>
      <c r="B58" s="12">
        <v>10</v>
      </c>
      <c r="C58">
        <v>5</v>
      </c>
      <c r="D58" s="59">
        <f t="shared" si="1"/>
        <v>0</v>
      </c>
      <c r="E58" s="59">
        <f t="shared" si="2"/>
        <v>258</v>
      </c>
      <c r="F58" s="59">
        <f t="shared" si="0"/>
        <v>688</v>
      </c>
      <c r="H58" s="10"/>
    </row>
    <row r="59" spans="1:8">
      <c r="A59" s="12">
        <v>44</v>
      </c>
      <c r="B59" s="12">
        <v>10</v>
      </c>
      <c r="C59">
        <v>5</v>
      </c>
      <c r="D59" s="59">
        <f t="shared" si="1"/>
        <v>0</v>
      </c>
      <c r="E59" s="59">
        <f t="shared" si="2"/>
        <v>248</v>
      </c>
      <c r="F59" s="59">
        <f t="shared" si="0"/>
        <v>688</v>
      </c>
      <c r="H59" s="10"/>
    </row>
    <row r="60" spans="1:8">
      <c r="A60" s="12">
        <v>45</v>
      </c>
      <c r="B60" s="12">
        <v>10</v>
      </c>
      <c r="C60">
        <v>10</v>
      </c>
      <c r="D60" s="59">
        <f t="shared" si="1"/>
        <v>1</v>
      </c>
      <c r="E60" s="59">
        <f t="shared" si="2"/>
        <v>238</v>
      </c>
      <c r="F60" s="59">
        <f t="shared" si="0"/>
        <v>688</v>
      </c>
      <c r="H60" s="10"/>
    </row>
    <row r="61" spans="1:8">
      <c r="A61" s="10">
        <v>46</v>
      </c>
      <c r="B61" s="12">
        <v>10</v>
      </c>
      <c r="C61">
        <v>5</v>
      </c>
      <c r="D61" s="59">
        <f t="shared" si="1"/>
        <v>0</v>
      </c>
      <c r="E61" s="59">
        <f t="shared" si="2"/>
        <v>228</v>
      </c>
      <c r="F61" s="59">
        <f t="shared" si="0"/>
        <v>688</v>
      </c>
      <c r="H61" s="10"/>
    </row>
    <row r="62" spans="1:8">
      <c r="A62" s="12">
        <v>47</v>
      </c>
      <c r="B62" s="12">
        <v>10</v>
      </c>
      <c r="C62">
        <v>5</v>
      </c>
      <c r="D62" s="59">
        <f t="shared" si="1"/>
        <v>0</v>
      </c>
      <c r="E62" s="59">
        <f t="shared" si="2"/>
        <v>218</v>
      </c>
      <c r="F62" s="59">
        <f t="shared" si="0"/>
        <v>688</v>
      </c>
      <c r="H62" s="10"/>
    </row>
    <row r="63" spans="1:8">
      <c r="A63" s="12">
        <v>48</v>
      </c>
      <c r="B63" s="12">
        <v>10</v>
      </c>
      <c r="C63">
        <v>5</v>
      </c>
      <c r="D63" s="59">
        <f t="shared" si="1"/>
        <v>0</v>
      </c>
      <c r="E63" s="59">
        <f t="shared" si="2"/>
        <v>208</v>
      </c>
      <c r="F63" s="59">
        <f t="shared" si="0"/>
        <v>688</v>
      </c>
      <c r="H63" s="10"/>
    </row>
    <row r="64" spans="1:8">
      <c r="A64" s="10">
        <v>49</v>
      </c>
      <c r="B64" s="12">
        <v>10</v>
      </c>
      <c r="C64">
        <v>5</v>
      </c>
      <c r="D64" s="59">
        <f t="shared" si="1"/>
        <v>0</v>
      </c>
      <c r="E64" s="59">
        <f t="shared" si="2"/>
        <v>198</v>
      </c>
      <c r="F64" s="59">
        <f t="shared" si="0"/>
        <v>688</v>
      </c>
      <c r="H64" s="10"/>
    </row>
    <row r="65" spans="1:8">
      <c r="A65" s="12">
        <v>50</v>
      </c>
      <c r="B65" s="12">
        <v>10</v>
      </c>
      <c r="C65">
        <v>10</v>
      </c>
      <c r="D65" s="59">
        <f t="shared" si="1"/>
        <v>1</v>
      </c>
      <c r="E65" s="59">
        <f t="shared" si="2"/>
        <v>188</v>
      </c>
      <c r="F65" s="59">
        <f t="shared" si="0"/>
        <v>688</v>
      </c>
      <c r="H65" s="10"/>
    </row>
    <row r="66" spans="1:8">
      <c r="A66" s="12">
        <v>51</v>
      </c>
      <c r="B66" s="12">
        <v>10</v>
      </c>
      <c r="C66">
        <v>5</v>
      </c>
      <c r="D66" s="59">
        <f t="shared" si="1"/>
        <v>0</v>
      </c>
      <c r="E66" s="59">
        <f t="shared" si="2"/>
        <v>178</v>
      </c>
      <c r="F66" s="59">
        <f t="shared" si="0"/>
        <v>688</v>
      </c>
      <c r="H66" s="10"/>
    </row>
    <row r="67" spans="1:8">
      <c r="A67" s="10">
        <v>52</v>
      </c>
      <c r="B67" s="12">
        <v>10</v>
      </c>
      <c r="C67">
        <v>5</v>
      </c>
      <c r="D67" s="59">
        <f t="shared" si="1"/>
        <v>0</v>
      </c>
      <c r="E67" s="59">
        <f t="shared" si="2"/>
        <v>168</v>
      </c>
      <c r="F67" s="59">
        <f t="shared" si="0"/>
        <v>688</v>
      </c>
      <c r="H67" s="10"/>
    </row>
    <row r="68" spans="1:8">
      <c r="A68" s="12">
        <v>53</v>
      </c>
      <c r="B68" s="12">
        <v>10</v>
      </c>
      <c r="C68">
        <v>5</v>
      </c>
      <c r="D68" s="59">
        <f t="shared" si="1"/>
        <v>0</v>
      </c>
      <c r="E68" s="59">
        <f t="shared" si="2"/>
        <v>158</v>
      </c>
      <c r="F68" s="59">
        <f t="shared" si="0"/>
        <v>688</v>
      </c>
      <c r="H68" s="10"/>
    </row>
    <row r="69" spans="1:8">
      <c r="A69" s="12">
        <v>54</v>
      </c>
      <c r="B69" s="12">
        <v>10</v>
      </c>
      <c r="C69">
        <v>5</v>
      </c>
      <c r="D69" s="59">
        <f t="shared" si="1"/>
        <v>0</v>
      </c>
      <c r="E69" s="59">
        <f t="shared" si="2"/>
        <v>148</v>
      </c>
      <c r="F69" s="59">
        <f t="shared" si="0"/>
        <v>688</v>
      </c>
      <c r="H69" s="10"/>
    </row>
    <row r="70" spans="1:8">
      <c r="A70" s="10">
        <v>55</v>
      </c>
      <c r="B70" s="12">
        <v>10</v>
      </c>
      <c r="C70">
        <v>10</v>
      </c>
      <c r="D70" s="59">
        <f t="shared" si="1"/>
        <v>1</v>
      </c>
      <c r="E70" s="59">
        <f t="shared" si="2"/>
        <v>138</v>
      </c>
      <c r="F70" s="59">
        <f t="shared" si="0"/>
        <v>688</v>
      </c>
      <c r="H70" s="10"/>
    </row>
    <row r="71" spans="1:8">
      <c r="A71" s="12">
        <v>56</v>
      </c>
      <c r="B71" s="12">
        <v>10</v>
      </c>
      <c r="C71">
        <v>5</v>
      </c>
      <c r="D71" s="59">
        <f t="shared" si="1"/>
        <v>0</v>
      </c>
      <c r="E71" s="59">
        <f t="shared" si="2"/>
        <v>128</v>
      </c>
      <c r="F71" s="59">
        <f t="shared" si="0"/>
        <v>688</v>
      </c>
      <c r="H71" s="10"/>
    </row>
    <row r="72" spans="1:8">
      <c r="A72" s="12">
        <v>57</v>
      </c>
      <c r="B72" s="12">
        <v>10</v>
      </c>
      <c r="C72">
        <v>5</v>
      </c>
      <c r="D72" s="59">
        <f t="shared" si="1"/>
        <v>0</v>
      </c>
      <c r="E72" s="59">
        <f t="shared" si="2"/>
        <v>118</v>
      </c>
      <c r="F72" s="59">
        <f t="shared" si="0"/>
        <v>688</v>
      </c>
      <c r="H72" s="10"/>
    </row>
    <row r="73" spans="1:8">
      <c r="A73" s="10">
        <v>58</v>
      </c>
      <c r="B73" s="12">
        <v>10</v>
      </c>
      <c r="C73">
        <v>5</v>
      </c>
      <c r="D73" s="59">
        <f t="shared" si="1"/>
        <v>0</v>
      </c>
      <c r="E73" s="59">
        <f t="shared" si="2"/>
        <v>108</v>
      </c>
      <c r="F73" s="59">
        <f t="shared" si="0"/>
        <v>688</v>
      </c>
      <c r="H73" s="10"/>
    </row>
    <row r="74" spans="1:8">
      <c r="A74" s="12">
        <v>59</v>
      </c>
      <c r="B74" s="12">
        <v>10</v>
      </c>
      <c r="C74">
        <v>5</v>
      </c>
      <c r="D74" s="59">
        <f t="shared" si="1"/>
        <v>0</v>
      </c>
      <c r="E74" s="59">
        <f t="shared" si="2"/>
        <v>98</v>
      </c>
      <c r="F74" s="59">
        <f t="shared" si="0"/>
        <v>688</v>
      </c>
      <c r="H74" s="10"/>
    </row>
    <row r="75" spans="1:8">
      <c r="A75" s="12">
        <v>60</v>
      </c>
      <c r="B75" s="12">
        <v>10</v>
      </c>
      <c r="C75">
        <v>10</v>
      </c>
      <c r="D75" s="59">
        <f t="shared" si="1"/>
        <v>1</v>
      </c>
      <c r="E75" s="59">
        <f t="shared" si="2"/>
        <v>88</v>
      </c>
      <c r="F75" s="59">
        <f t="shared" si="0"/>
        <v>688</v>
      </c>
      <c r="H75" s="10"/>
    </row>
    <row r="76" spans="1:8">
      <c r="A76" s="10">
        <v>61</v>
      </c>
      <c r="B76" s="12">
        <v>10</v>
      </c>
      <c r="C76">
        <v>5</v>
      </c>
      <c r="D76" s="59">
        <f t="shared" si="1"/>
        <v>0</v>
      </c>
      <c r="E76" s="59">
        <f t="shared" si="2"/>
        <v>78</v>
      </c>
      <c r="F76" s="59">
        <f t="shared" si="0"/>
        <v>688</v>
      </c>
      <c r="H76" s="10"/>
    </row>
    <row r="77" spans="1:8">
      <c r="A77" s="12">
        <v>62</v>
      </c>
      <c r="B77" s="12">
        <v>10</v>
      </c>
      <c r="C77">
        <v>5</v>
      </c>
      <c r="D77" s="59">
        <f t="shared" si="1"/>
        <v>0</v>
      </c>
      <c r="E77" s="59">
        <f t="shared" si="2"/>
        <v>68</v>
      </c>
      <c r="F77" s="59">
        <f t="shared" si="0"/>
        <v>688</v>
      </c>
      <c r="H77" s="10"/>
    </row>
    <row r="78" spans="1:8">
      <c r="A78" s="12">
        <v>63</v>
      </c>
      <c r="B78" s="12">
        <v>10</v>
      </c>
      <c r="C78">
        <v>5</v>
      </c>
      <c r="D78" s="59">
        <f t="shared" si="1"/>
        <v>0</v>
      </c>
      <c r="E78" s="59">
        <f t="shared" si="2"/>
        <v>58</v>
      </c>
      <c r="F78" s="59">
        <f t="shared" si="0"/>
        <v>688</v>
      </c>
      <c r="H78" s="10"/>
    </row>
    <row r="79" spans="1:8">
      <c r="A79" s="10">
        <v>64</v>
      </c>
      <c r="B79" s="12">
        <v>10</v>
      </c>
      <c r="C79">
        <v>5</v>
      </c>
      <c r="D79" s="59">
        <f t="shared" si="1"/>
        <v>0</v>
      </c>
      <c r="E79" s="59">
        <f t="shared" si="2"/>
        <v>48</v>
      </c>
      <c r="F79" s="59">
        <f t="shared" si="0"/>
        <v>688</v>
      </c>
      <c r="H79" s="10"/>
    </row>
    <row r="80" spans="1:8">
      <c r="A80" s="12">
        <v>65</v>
      </c>
      <c r="B80" s="12">
        <v>10</v>
      </c>
      <c r="C80">
        <v>10</v>
      </c>
      <c r="D80" s="59">
        <f t="shared" si="1"/>
        <v>1</v>
      </c>
      <c r="E80" s="59">
        <f t="shared" si="2"/>
        <v>38</v>
      </c>
      <c r="F80" s="59">
        <f t="shared" ref="F80:F143" si="3">MAX(F79-H80,0)</f>
        <v>688</v>
      </c>
      <c r="H80" s="10"/>
    </row>
    <row r="81" spans="1:8">
      <c r="A81" s="12">
        <v>66</v>
      </c>
      <c r="B81" s="12">
        <v>10</v>
      </c>
      <c r="C81">
        <v>5</v>
      </c>
      <c r="D81" s="59">
        <f t="shared" ref="D81:D144" si="4">IF(MOD(A81,5)=0,1,0)</f>
        <v>0</v>
      </c>
      <c r="E81" s="59">
        <f t="shared" ref="E81:E144" si="5">MAX(E80-B81,0)</f>
        <v>28</v>
      </c>
      <c r="F81" s="59">
        <f t="shared" si="3"/>
        <v>688</v>
      </c>
      <c r="H81" s="10"/>
    </row>
    <row r="82" spans="1:8">
      <c r="A82" s="10">
        <v>67</v>
      </c>
      <c r="B82" s="12">
        <v>10</v>
      </c>
      <c r="C82">
        <v>5</v>
      </c>
      <c r="D82" s="59">
        <f t="shared" si="4"/>
        <v>0</v>
      </c>
      <c r="E82" s="59">
        <f t="shared" si="5"/>
        <v>18</v>
      </c>
      <c r="F82" s="59">
        <f t="shared" si="3"/>
        <v>688</v>
      </c>
      <c r="H82" s="10"/>
    </row>
    <row r="83" spans="1:8">
      <c r="A83" s="12">
        <v>68</v>
      </c>
      <c r="B83" s="12">
        <v>10</v>
      </c>
      <c r="C83">
        <v>5</v>
      </c>
      <c r="D83" s="59">
        <f t="shared" si="4"/>
        <v>0</v>
      </c>
      <c r="E83" s="59">
        <f t="shared" si="5"/>
        <v>8</v>
      </c>
      <c r="F83" s="59">
        <f t="shared" si="3"/>
        <v>688</v>
      </c>
      <c r="H83" s="10"/>
    </row>
    <row r="84" spans="1:8">
      <c r="A84" s="12">
        <v>69</v>
      </c>
      <c r="B84" s="12">
        <v>10</v>
      </c>
      <c r="C84">
        <v>5</v>
      </c>
      <c r="D84" s="59">
        <f t="shared" si="4"/>
        <v>0</v>
      </c>
      <c r="E84" s="59">
        <f t="shared" si="5"/>
        <v>0</v>
      </c>
      <c r="F84" s="59">
        <f t="shared" si="3"/>
        <v>688</v>
      </c>
      <c r="H84" s="10"/>
    </row>
    <row r="85" spans="1:8">
      <c r="A85" s="10">
        <v>70</v>
      </c>
      <c r="B85" s="12">
        <v>10</v>
      </c>
      <c r="C85">
        <v>10</v>
      </c>
      <c r="D85" s="59">
        <f t="shared" si="4"/>
        <v>1</v>
      </c>
      <c r="E85" s="59">
        <f t="shared" si="5"/>
        <v>0</v>
      </c>
      <c r="F85" s="59">
        <f t="shared" si="3"/>
        <v>688</v>
      </c>
      <c r="H85" s="10"/>
    </row>
    <row r="86" spans="1:8">
      <c r="A86" s="12">
        <v>71</v>
      </c>
      <c r="B86" s="12">
        <v>10</v>
      </c>
      <c r="C86">
        <v>1</v>
      </c>
      <c r="D86" s="59">
        <f t="shared" si="4"/>
        <v>0</v>
      </c>
      <c r="E86" s="59">
        <f t="shared" si="5"/>
        <v>0</v>
      </c>
      <c r="F86" s="59">
        <f t="shared" si="3"/>
        <v>688</v>
      </c>
      <c r="H86" s="10"/>
    </row>
    <row r="87" spans="1:8">
      <c r="A87" s="12">
        <v>72</v>
      </c>
      <c r="B87" s="12">
        <v>10</v>
      </c>
      <c r="C87">
        <v>1</v>
      </c>
      <c r="D87" s="59">
        <f t="shared" si="4"/>
        <v>0</v>
      </c>
      <c r="E87" s="59">
        <f t="shared" si="5"/>
        <v>0</v>
      </c>
      <c r="F87" s="59">
        <f t="shared" si="3"/>
        <v>688</v>
      </c>
      <c r="H87" s="10"/>
    </row>
    <row r="88" spans="1:8">
      <c r="A88" s="10">
        <v>73</v>
      </c>
      <c r="B88" s="12">
        <v>10</v>
      </c>
      <c r="C88">
        <v>1</v>
      </c>
      <c r="D88" s="59">
        <f t="shared" si="4"/>
        <v>0</v>
      </c>
      <c r="E88" s="59">
        <f t="shared" si="5"/>
        <v>0</v>
      </c>
      <c r="F88" s="59">
        <f t="shared" si="3"/>
        <v>688</v>
      </c>
      <c r="H88" s="10"/>
    </row>
    <row r="89" spans="1:8">
      <c r="A89" s="12">
        <v>74</v>
      </c>
      <c r="B89" s="12">
        <v>10</v>
      </c>
      <c r="C89">
        <v>1</v>
      </c>
      <c r="D89" s="59">
        <f t="shared" si="4"/>
        <v>0</v>
      </c>
      <c r="E89" s="59">
        <f t="shared" si="5"/>
        <v>0</v>
      </c>
      <c r="F89" s="59">
        <f t="shared" si="3"/>
        <v>688</v>
      </c>
      <c r="H89" s="10"/>
    </row>
    <row r="90" spans="1:8">
      <c r="A90" s="12">
        <v>75</v>
      </c>
      <c r="B90" s="12">
        <v>10</v>
      </c>
      <c r="C90">
        <v>2</v>
      </c>
      <c r="D90" s="59">
        <f t="shared" si="4"/>
        <v>1</v>
      </c>
      <c r="E90" s="59">
        <f t="shared" si="5"/>
        <v>0</v>
      </c>
      <c r="F90" s="59">
        <f t="shared" si="3"/>
        <v>688</v>
      </c>
      <c r="H90" s="10"/>
    </row>
    <row r="91" spans="1:8">
      <c r="A91" s="10">
        <v>76</v>
      </c>
      <c r="B91" s="12">
        <v>10</v>
      </c>
      <c r="C91">
        <v>1</v>
      </c>
      <c r="D91" s="59">
        <f t="shared" si="4"/>
        <v>0</v>
      </c>
      <c r="E91" s="59">
        <f t="shared" si="5"/>
        <v>0</v>
      </c>
      <c r="F91" s="59">
        <f t="shared" si="3"/>
        <v>688</v>
      </c>
      <c r="H91" s="10"/>
    </row>
    <row r="92" spans="1:8">
      <c r="A92" s="12">
        <v>77</v>
      </c>
      <c r="B92" s="12">
        <v>10</v>
      </c>
      <c r="C92">
        <v>1</v>
      </c>
      <c r="D92" s="59">
        <f t="shared" si="4"/>
        <v>0</v>
      </c>
      <c r="E92" s="59">
        <f t="shared" si="5"/>
        <v>0</v>
      </c>
      <c r="F92" s="59">
        <f t="shared" si="3"/>
        <v>688</v>
      </c>
      <c r="H92" s="10"/>
    </row>
    <row r="93" spans="1:8">
      <c r="A93" s="12">
        <v>78</v>
      </c>
      <c r="B93" s="12">
        <v>10</v>
      </c>
      <c r="C93">
        <v>1</v>
      </c>
      <c r="D93" s="59">
        <f t="shared" si="4"/>
        <v>0</v>
      </c>
      <c r="E93" s="59">
        <f t="shared" si="5"/>
        <v>0</v>
      </c>
      <c r="F93" s="59">
        <f t="shared" si="3"/>
        <v>688</v>
      </c>
      <c r="H93" s="10"/>
    </row>
    <row r="94" spans="1:8">
      <c r="A94" s="10">
        <v>79</v>
      </c>
      <c r="B94" s="12">
        <v>10</v>
      </c>
      <c r="C94">
        <v>1</v>
      </c>
      <c r="D94" s="59">
        <f t="shared" si="4"/>
        <v>0</v>
      </c>
      <c r="E94" s="59">
        <f t="shared" si="5"/>
        <v>0</v>
      </c>
      <c r="F94" s="59">
        <f t="shared" si="3"/>
        <v>688</v>
      </c>
      <c r="H94" s="10"/>
    </row>
    <row r="95" spans="1:8">
      <c r="A95" s="12">
        <v>80</v>
      </c>
      <c r="B95" s="12">
        <v>10</v>
      </c>
      <c r="C95">
        <v>2</v>
      </c>
      <c r="D95" s="59">
        <f t="shared" si="4"/>
        <v>1</v>
      </c>
      <c r="E95" s="59">
        <f t="shared" si="5"/>
        <v>0</v>
      </c>
      <c r="F95" s="59">
        <f t="shared" si="3"/>
        <v>688</v>
      </c>
      <c r="H95" s="10"/>
    </row>
    <row r="96" spans="1:8">
      <c r="A96" s="12">
        <v>81</v>
      </c>
      <c r="B96" s="12">
        <v>10</v>
      </c>
      <c r="C96">
        <v>1</v>
      </c>
      <c r="D96" s="59">
        <f t="shared" si="4"/>
        <v>0</v>
      </c>
      <c r="E96" s="59">
        <f t="shared" si="5"/>
        <v>0</v>
      </c>
      <c r="F96" s="59">
        <f t="shared" si="3"/>
        <v>688</v>
      </c>
      <c r="H96" s="10"/>
    </row>
    <row r="97" spans="1:8">
      <c r="A97" s="10">
        <v>82</v>
      </c>
      <c r="B97" s="12">
        <v>10</v>
      </c>
      <c r="C97">
        <v>1</v>
      </c>
      <c r="D97" s="59">
        <f t="shared" si="4"/>
        <v>0</v>
      </c>
      <c r="E97" s="59">
        <f t="shared" si="5"/>
        <v>0</v>
      </c>
      <c r="F97" s="59">
        <f t="shared" si="3"/>
        <v>688</v>
      </c>
      <c r="H97" s="10"/>
    </row>
    <row r="98" spans="1:8">
      <c r="A98" s="12">
        <v>83</v>
      </c>
      <c r="B98" s="12">
        <v>10</v>
      </c>
      <c r="C98">
        <v>1</v>
      </c>
      <c r="D98" s="59">
        <f t="shared" si="4"/>
        <v>0</v>
      </c>
      <c r="E98" s="59">
        <f t="shared" si="5"/>
        <v>0</v>
      </c>
      <c r="F98" s="59">
        <f t="shared" si="3"/>
        <v>688</v>
      </c>
      <c r="H98" s="10"/>
    </row>
    <row r="99" spans="1:8">
      <c r="A99" s="12">
        <v>84</v>
      </c>
      <c r="B99" s="12">
        <v>10</v>
      </c>
      <c r="C99">
        <v>1</v>
      </c>
      <c r="D99" s="59">
        <f t="shared" si="4"/>
        <v>0</v>
      </c>
      <c r="E99" s="59">
        <f t="shared" si="5"/>
        <v>0</v>
      </c>
      <c r="F99" s="59">
        <f t="shared" si="3"/>
        <v>688</v>
      </c>
      <c r="H99" s="10"/>
    </row>
    <row r="100" spans="1:8">
      <c r="A100" s="10">
        <v>85</v>
      </c>
      <c r="B100" s="12">
        <v>10</v>
      </c>
      <c r="C100">
        <v>2</v>
      </c>
      <c r="D100" s="59">
        <f t="shared" si="4"/>
        <v>1</v>
      </c>
      <c r="E100" s="59">
        <f t="shared" si="5"/>
        <v>0</v>
      </c>
      <c r="F100" s="59">
        <f t="shared" si="3"/>
        <v>688</v>
      </c>
      <c r="H100" s="10"/>
    </row>
    <row r="101" spans="1:8">
      <c r="A101" s="12">
        <v>86</v>
      </c>
      <c r="B101" s="12">
        <v>10</v>
      </c>
      <c r="C101">
        <v>1</v>
      </c>
      <c r="D101" s="59">
        <f t="shared" si="4"/>
        <v>0</v>
      </c>
      <c r="E101" s="59">
        <f t="shared" si="5"/>
        <v>0</v>
      </c>
      <c r="F101" s="59">
        <f t="shared" si="3"/>
        <v>688</v>
      </c>
      <c r="H101" s="10"/>
    </row>
    <row r="102" spans="1:8">
      <c r="A102" s="12">
        <v>87</v>
      </c>
      <c r="B102" s="12">
        <v>10</v>
      </c>
      <c r="C102">
        <v>1</v>
      </c>
      <c r="D102" s="59">
        <f t="shared" si="4"/>
        <v>0</v>
      </c>
      <c r="E102" s="59">
        <f t="shared" si="5"/>
        <v>0</v>
      </c>
      <c r="F102" s="59">
        <f t="shared" si="3"/>
        <v>688</v>
      </c>
      <c r="H102" s="10"/>
    </row>
    <row r="103" spans="1:8">
      <c r="A103" s="10">
        <v>88</v>
      </c>
      <c r="B103" s="12">
        <v>10</v>
      </c>
      <c r="C103">
        <v>1</v>
      </c>
      <c r="D103" s="59">
        <f t="shared" si="4"/>
        <v>0</v>
      </c>
      <c r="E103" s="59">
        <f t="shared" si="5"/>
        <v>0</v>
      </c>
      <c r="F103" s="59">
        <f t="shared" si="3"/>
        <v>688</v>
      </c>
      <c r="H103" s="10"/>
    </row>
    <row r="104" spans="1:8">
      <c r="A104" s="12">
        <v>89</v>
      </c>
      <c r="B104" s="12">
        <v>10</v>
      </c>
      <c r="C104">
        <v>1</v>
      </c>
      <c r="D104" s="59">
        <f t="shared" si="4"/>
        <v>0</v>
      </c>
      <c r="E104" s="59">
        <f t="shared" si="5"/>
        <v>0</v>
      </c>
      <c r="F104" s="59">
        <f t="shared" si="3"/>
        <v>688</v>
      </c>
      <c r="H104" s="10"/>
    </row>
    <row r="105" spans="1:8">
      <c r="A105" s="12">
        <v>90</v>
      </c>
      <c r="B105" s="12">
        <v>10</v>
      </c>
      <c r="C105">
        <v>2</v>
      </c>
      <c r="D105" s="59">
        <f t="shared" si="4"/>
        <v>1</v>
      </c>
      <c r="E105" s="59">
        <f t="shared" si="5"/>
        <v>0</v>
      </c>
      <c r="F105" s="59">
        <f t="shared" si="3"/>
        <v>688</v>
      </c>
      <c r="H105" s="10"/>
    </row>
    <row r="106" spans="1:8">
      <c r="A106" s="10">
        <v>91</v>
      </c>
      <c r="B106" s="12">
        <v>10</v>
      </c>
      <c r="C106">
        <v>1</v>
      </c>
      <c r="D106" s="59">
        <f t="shared" si="4"/>
        <v>0</v>
      </c>
      <c r="E106" s="59">
        <f t="shared" si="5"/>
        <v>0</v>
      </c>
      <c r="F106" s="59">
        <f t="shared" si="3"/>
        <v>688</v>
      </c>
      <c r="H106" s="10"/>
    </row>
    <row r="107" spans="1:8">
      <c r="A107" s="12">
        <v>92</v>
      </c>
      <c r="B107" s="12">
        <v>10</v>
      </c>
      <c r="C107">
        <v>1</v>
      </c>
      <c r="D107" s="59">
        <f t="shared" si="4"/>
        <v>0</v>
      </c>
      <c r="E107" s="59">
        <f t="shared" si="5"/>
        <v>0</v>
      </c>
      <c r="F107" s="59">
        <f t="shared" si="3"/>
        <v>688</v>
      </c>
      <c r="H107" s="10"/>
    </row>
    <row r="108" spans="1:8">
      <c r="A108" s="12">
        <v>93</v>
      </c>
      <c r="B108" s="12">
        <v>10</v>
      </c>
      <c r="C108">
        <v>1</v>
      </c>
      <c r="D108" s="59">
        <f t="shared" si="4"/>
        <v>0</v>
      </c>
      <c r="E108" s="59">
        <f t="shared" si="5"/>
        <v>0</v>
      </c>
      <c r="F108" s="59">
        <f t="shared" si="3"/>
        <v>688</v>
      </c>
      <c r="H108" s="10"/>
    </row>
    <row r="109" spans="1:8">
      <c r="A109" s="10">
        <v>94</v>
      </c>
      <c r="B109" s="12">
        <v>10</v>
      </c>
      <c r="C109">
        <v>1</v>
      </c>
      <c r="D109" s="59">
        <f t="shared" si="4"/>
        <v>0</v>
      </c>
      <c r="E109" s="59">
        <f t="shared" si="5"/>
        <v>0</v>
      </c>
      <c r="F109" s="59">
        <f t="shared" si="3"/>
        <v>688</v>
      </c>
      <c r="H109" s="10"/>
    </row>
    <row r="110" spans="1:8">
      <c r="A110" s="12">
        <v>95</v>
      </c>
      <c r="B110" s="12">
        <v>10</v>
      </c>
      <c r="C110">
        <v>2</v>
      </c>
      <c r="D110" s="59">
        <f t="shared" si="4"/>
        <v>1</v>
      </c>
      <c r="E110" s="59">
        <f t="shared" si="5"/>
        <v>0</v>
      </c>
      <c r="F110" s="59">
        <f t="shared" si="3"/>
        <v>688</v>
      </c>
      <c r="H110" s="10"/>
    </row>
    <row r="111" spans="1:8">
      <c r="A111" s="12">
        <v>96</v>
      </c>
      <c r="B111" s="12">
        <v>10</v>
      </c>
      <c r="C111">
        <v>1</v>
      </c>
      <c r="D111" s="59">
        <f t="shared" si="4"/>
        <v>0</v>
      </c>
      <c r="E111" s="59">
        <f t="shared" si="5"/>
        <v>0</v>
      </c>
      <c r="F111" s="59">
        <f t="shared" si="3"/>
        <v>688</v>
      </c>
      <c r="H111" s="10"/>
    </row>
    <row r="112" spans="1:8">
      <c r="A112" s="10">
        <v>97</v>
      </c>
      <c r="B112" s="12">
        <v>10</v>
      </c>
      <c r="C112">
        <v>1</v>
      </c>
      <c r="D112" s="59">
        <f t="shared" si="4"/>
        <v>0</v>
      </c>
      <c r="E112" s="59">
        <f t="shared" si="5"/>
        <v>0</v>
      </c>
      <c r="F112" s="59">
        <f t="shared" si="3"/>
        <v>688</v>
      </c>
      <c r="H112" s="10"/>
    </row>
    <row r="113" spans="1:8">
      <c r="A113" s="12">
        <v>98</v>
      </c>
      <c r="B113" s="12">
        <v>10</v>
      </c>
      <c r="C113">
        <v>1</v>
      </c>
      <c r="D113" s="59">
        <f t="shared" si="4"/>
        <v>0</v>
      </c>
      <c r="E113" s="59">
        <f t="shared" si="5"/>
        <v>0</v>
      </c>
      <c r="F113" s="59">
        <f t="shared" si="3"/>
        <v>688</v>
      </c>
      <c r="H113" s="10"/>
    </row>
    <row r="114" spans="1:8">
      <c r="A114" s="12">
        <v>99</v>
      </c>
      <c r="B114" s="12">
        <v>10</v>
      </c>
      <c r="C114">
        <v>1</v>
      </c>
      <c r="D114" s="59">
        <f t="shared" si="4"/>
        <v>0</v>
      </c>
      <c r="E114" s="59">
        <f t="shared" si="5"/>
        <v>0</v>
      </c>
      <c r="F114" s="59">
        <f t="shared" si="3"/>
        <v>688</v>
      </c>
      <c r="H114" s="10"/>
    </row>
    <row r="115" spans="1:8">
      <c r="A115" s="10">
        <v>100</v>
      </c>
      <c r="B115" s="12">
        <v>10</v>
      </c>
      <c r="C115">
        <v>2</v>
      </c>
      <c r="D115" s="59">
        <f t="shared" si="4"/>
        <v>1</v>
      </c>
      <c r="E115" s="59">
        <f t="shared" si="5"/>
        <v>0</v>
      </c>
      <c r="F115" s="59">
        <f t="shared" si="3"/>
        <v>688</v>
      </c>
      <c r="H115" s="10"/>
    </row>
    <row r="116" spans="1:8">
      <c r="A116" s="12">
        <v>101</v>
      </c>
      <c r="B116" s="12">
        <v>10</v>
      </c>
      <c r="C116">
        <v>1</v>
      </c>
      <c r="D116" s="59">
        <f t="shared" si="4"/>
        <v>0</v>
      </c>
      <c r="E116" s="59">
        <f t="shared" si="5"/>
        <v>0</v>
      </c>
      <c r="F116" s="59">
        <f t="shared" si="3"/>
        <v>688</v>
      </c>
      <c r="H116" s="10"/>
    </row>
    <row r="117" spans="1:8">
      <c r="A117" s="12">
        <v>102</v>
      </c>
      <c r="B117" s="12">
        <v>10</v>
      </c>
      <c r="C117">
        <v>1</v>
      </c>
      <c r="D117" s="59">
        <f t="shared" si="4"/>
        <v>0</v>
      </c>
      <c r="E117" s="59">
        <f t="shared" si="5"/>
        <v>0</v>
      </c>
      <c r="F117" s="59">
        <f t="shared" si="3"/>
        <v>688</v>
      </c>
      <c r="H117" s="10"/>
    </row>
    <row r="118" spans="1:8">
      <c r="A118" s="10">
        <v>103</v>
      </c>
      <c r="B118" s="12">
        <v>10</v>
      </c>
      <c r="C118">
        <v>1</v>
      </c>
      <c r="D118" s="59">
        <f t="shared" si="4"/>
        <v>0</v>
      </c>
      <c r="E118" s="59">
        <f t="shared" si="5"/>
        <v>0</v>
      </c>
      <c r="F118" s="59">
        <f t="shared" si="3"/>
        <v>688</v>
      </c>
      <c r="H118" s="10"/>
    </row>
    <row r="119" spans="1:8">
      <c r="A119" s="12">
        <v>104</v>
      </c>
      <c r="B119" s="12">
        <v>10</v>
      </c>
      <c r="C119">
        <v>1</v>
      </c>
      <c r="D119" s="59">
        <f t="shared" si="4"/>
        <v>0</v>
      </c>
      <c r="E119" s="59">
        <f t="shared" si="5"/>
        <v>0</v>
      </c>
      <c r="F119" s="59">
        <f t="shared" si="3"/>
        <v>688</v>
      </c>
      <c r="H119" s="10"/>
    </row>
    <row r="120" spans="1:8">
      <c r="A120" s="12">
        <v>105</v>
      </c>
      <c r="B120" s="12">
        <v>10</v>
      </c>
      <c r="C120">
        <v>2</v>
      </c>
      <c r="D120" s="59">
        <f t="shared" si="4"/>
        <v>1</v>
      </c>
      <c r="E120" s="59">
        <f t="shared" si="5"/>
        <v>0</v>
      </c>
      <c r="F120" s="59">
        <f t="shared" si="3"/>
        <v>688</v>
      </c>
      <c r="H120" s="10"/>
    </row>
    <row r="121" spans="1:8">
      <c r="A121" s="12">
        <v>106</v>
      </c>
      <c r="B121" s="12">
        <v>10</v>
      </c>
      <c r="C121">
        <v>1</v>
      </c>
      <c r="D121" s="59">
        <f t="shared" si="4"/>
        <v>0</v>
      </c>
      <c r="E121" s="59">
        <f t="shared" si="5"/>
        <v>0</v>
      </c>
      <c r="F121" s="59">
        <f t="shared" si="3"/>
        <v>688</v>
      </c>
      <c r="H121" s="10"/>
    </row>
    <row r="122" spans="1:8">
      <c r="A122" s="12">
        <v>107</v>
      </c>
      <c r="B122" s="12">
        <v>10</v>
      </c>
      <c r="C122">
        <v>1</v>
      </c>
      <c r="D122" s="59">
        <f t="shared" si="4"/>
        <v>0</v>
      </c>
      <c r="E122" s="59">
        <f t="shared" si="5"/>
        <v>0</v>
      </c>
      <c r="F122" s="59">
        <f t="shared" si="3"/>
        <v>688</v>
      </c>
      <c r="H122" s="10"/>
    </row>
    <row r="123" spans="1:8">
      <c r="A123" s="10">
        <v>108</v>
      </c>
      <c r="B123" s="12">
        <v>10</v>
      </c>
      <c r="C123">
        <v>1</v>
      </c>
      <c r="D123" s="59">
        <f t="shared" si="4"/>
        <v>0</v>
      </c>
      <c r="E123" s="59">
        <f t="shared" si="5"/>
        <v>0</v>
      </c>
      <c r="F123" s="59">
        <f t="shared" si="3"/>
        <v>688</v>
      </c>
      <c r="H123" s="10"/>
    </row>
    <row r="124" spans="1:8">
      <c r="A124" s="12">
        <v>109</v>
      </c>
      <c r="B124" s="12">
        <v>10</v>
      </c>
      <c r="C124">
        <v>1</v>
      </c>
      <c r="D124" s="59">
        <f t="shared" si="4"/>
        <v>0</v>
      </c>
      <c r="E124" s="59">
        <f t="shared" si="5"/>
        <v>0</v>
      </c>
      <c r="F124" s="59">
        <f t="shared" si="3"/>
        <v>688</v>
      </c>
      <c r="H124" s="10"/>
    </row>
    <row r="125" spans="1:8">
      <c r="A125" s="12">
        <v>110</v>
      </c>
      <c r="B125" s="12">
        <v>10</v>
      </c>
      <c r="C125">
        <v>2</v>
      </c>
      <c r="D125" s="59">
        <f t="shared" si="4"/>
        <v>1</v>
      </c>
      <c r="E125" s="59">
        <f t="shared" si="5"/>
        <v>0</v>
      </c>
      <c r="F125" s="59">
        <f t="shared" si="3"/>
        <v>688</v>
      </c>
      <c r="H125" s="10"/>
    </row>
    <row r="126" spans="1:8">
      <c r="A126" s="10">
        <v>111</v>
      </c>
      <c r="B126" s="12">
        <v>10</v>
      </c>
      <c r="C126">
        <v>1</v>
      </c>
      <c r="D126" s="59">
        <f t="shared" si="4"/>
        <v>0</v>
      </c>
      <c r="E126" s="59">
        <f t="shared" si="5"/>
        <v>0</v>
      </c>
      <c r="F126" s="59">
        <f t="shared" si="3"/>
        <v>688</v>
      </c>
      <c r="H126" s="10"/>
    </row>
    <row r="127" spans="1:8">
      <c r="A127" s="12">
        <v>112</v>
      </c>
      <c r="B127" s="12">
        <v>10</v>
      </c>
      <c r="C127">
        <v>1</v>
      </c>
      <c r="D127" s="59">
        <f t="shared" si="4"/>
        <v>0</v>
      </c>
      <c r="E127" s="59">
        <f t="shared" si="5"/>
        <v>0</v>
      </c>
      <c r="F127" s="59">
        <f t="shared" si="3"/>
        <v>688</v>
      </c>
      <c r="H127" s="10"/>
    </row>
    <row r="128" spans="1:8">
      <c r="A128" s="12">
        <v>113</v>
      </c>
      <c r="B128" s="12">
        <v>10</v>
      </c>
      <c r="C128">
        <v>1</v>
      </c>
      <c r="D128" s="59">
        <f t="shared" si="4"/>
        <v>0</v>
      </c>
      <c r="E128" s="59">
        <f t="shared" si="5"/>
        <v>0</v>
      </c>
      <c r="F128" s="59">
        <f t="shared" si="3"/>
        <v>688</v>
      </c>
      <c r="H128" s="10"/>
    </row>
    <row r="129" spans="1:8">
      <c r="A129" s="12">
        <v>114</v>
      </c>
      <c r="B129" s="12">
        <v>10</v>
      </c>
      <c r="C129">
        <v>1</v>
      </c>
      <c r="D129" s="59">
        <f t="shared" si="4"/>
        <v>0</v>
      </c>
      <c r="E129" s="59">
        <f t="shared" si="5"/>
        <v>0</v>
      </c>
      <c r="F129" s="59">
        <f t="shared" si="3"/>
        <v>688</v>
      </c>
      <c r="H129" s="10"/>
    </row>
    <row r="130" spans="1:8">
      <c r="A130" s="12">
        <v>115</v>
      </c>
      <c r="B130" s="12">
        <v>10</v>
      </c>
      <c r="C130">
        <v>2</v>
      </c>
      <c r="D130" s="59">
        <f t="shared" si="4"/>
        <v>1</v>
      </c>
      <c r="E130" s="59">
        <f t="shared" si="5"/>
        <v>0</v>
      </c>
      <c r="F130" s="59">
        <f t="shared" si="3"/>
        <v>688</v>
      </c>
      <c r="H130" s="10"/>
    </row>
    <row r="131" spans="1:8">
      <c r="A131" s="10">
        <v>116</v>
      </c>
      <c r="B131" s="12">
        <v>10</v>
      </c>
      <c r="C131">
        <v>1</v>
      </c>
      <c r="D131" s="59">
        <f t="shared" si="4"/>
        <v>0</v>
      </c>
      <c r="E131" s="59">
        <f t="shared" si="5"/>
        <v>0</v>
      </c>
      <c r="F131" s="59">
        <f t="shared" si="3"/>
        <v>688</v>
      </c>
      <c r="H131" s="10"/>
    </row>
    <row r="132" spans="1:8">
      <c r="A132" s="12">
        <v>117</v>
      </c>
      <c r="B132" s="12">
        <v>10</v>
      </c>
      <c r="C132">
        <v>1</v>
      </c>
      <c r="D132" s="59">
        <f t="shared" si="4"/>
        <v>0</v>
      </c>
      <c r="E132" s="59">
        <f t="shared" si="5"/>
        <v>0</v>
      </c>
      <c r="F132" s="59">
        <f t="shared" si="3"/>
        <v>688</v>
      </c>
      <c r="H132" s="10"/>
    </row>
    <row r="133" spans="1:8">
      <c r="A133" s="12">
        <v>118</v>
      </c>
      <c r="B133" s="12">
        <v>10</v>
      </c>
      <c r="C133">
        <v>1</v>
      </c>
      <c r="D133" s="59">
        <f t="shared" si="4"/>
        <v>0</v>
      </c>
      <c r="E133" s="59">
        <f t="shared" si="5"/>
        <v>0</v>
      </c>
      <c r="F133" s="59">
        <f t="shared" si="3"/>
        <v>688</v>
      </c>
      <c r="H133" s="10"/>
    </row>
    <row r="134" spans="1:8">
      <c r="A134" s="10">
        <v>119</v>
      </c>
      <c r="B134" s="12">
        <v>10</v>
      </c>
      <c r="C134">
        <v>1</v>
      </c>
      <c r="D134" s="59">
        <f t="shared" si="4"/>
        <v>0</v>
      </c>
      <c r="E134" s="59">
        <f t="shared" si="5"/>
        <v>0</v>
      </c>
      <c r="F134" s="59">
        <f t="shared" si="3"/>
        <v>688</v>
      </c>
      <c r="H134" s="10"/>
    </row>
    <row r="135" spans="1:8">
      <c r="A135" s="12">
        <v>120</v>
      </c>
      <c r="B135" s="12">
        <v>10</v>
      </c>
      <c r="C135">
        <v>2</v>
      </c>
      <c r="D135" s="59">
        <f t="shared" si="4"/>
        <v>1</v>
      </c>
      <c r="E135" s="59">
        <f t="shared" si="5"/>
        <v>0</v>
      </c>
      <c r="F135" s="59">
        <f t="shared" si="3"/>
        <v>688</v>
      </c>
      <c r="H135" s="10"/>
    </row>
    <row r="136" spans="1:8">
      <c r="A136" s="12">
        <v>121</v>
      </c>
      <c r="B136" s="12">
        <v>10</v>
      </c>
      <c r="C136">
        <v>1</v>
      </c>
      <c r="D136" s="59">
        <f t="shared" si="4"/>
        <v>0</v>
      </c>
      <c r="E136" s="59">
        <f t="shared" si="5"/>
        <v>0</v>
      </c>
      <c r="F136" s="59">
        <f t="shared" si="3"/>
        <v>688</v>
      </c>
      <c r="H136" s="10"/>
    </row>
    <row r="137" spans="1:8">
      <c r="A137" s="12">
        <v>122</v>
      </c>
      <c r="B137" s="12">
        <v>10</v>
      </c>
      <c r="C137">
        <v>1</v>
      </c>
      <c r="D137" s="59">
        <f t="shared" si="4"/>
        <v>0</v>
      </c>
      <c r="E137" s="59">
        <f t="shared" si="5"/>
        <v>0</v>
      </c>
      <c r="F137" s="59">
        <f t="shared" si="3"/>
        <v>688</v>
      </c>
      <c r="H137" s="10"/>
    </row>
    <row r="138" spans="1:8">
      <c r="A138" s="12">
        <v>123</v>
      </c>
      <c r="B138" s="12">
        <v>10</v>
      </c>
      <c r="C138">
        <v>1</v>
      </c>
      <c r="D138" s="59">
        <f t="shared" si="4"/>
        <v>0</v>
      </c>
      <c r="E138" s="59">
        <f t="shared" si="5"/>
        <v>0</v>
      </c>
      <c r="F138" s="59">
        <f t="shared" si="3"/>
        <v>688</v>
      </c>
      <c r="H138" s="10"/>
    </row>
    <row r="139" spans="1:8">
      <c r="A139" s="10">
        <v>124</v>
      </c>
      <c r="B139" s="12">
        <v>10</v>
      </c>
      <c r="C139">
        <v>1</v>
      </c>
      <c r="D139" s="59">
        <f t="shared" si="4"/>
        <v>0</v>
      </c>
      <c r="E139" s="59">
        <f t="shared" si="5"/>
        <v>0</v>
      </c>
      <c r="F139" s="59">
        <f t="shared" si="3"/>
        <v>688</v>
      </c>
      <c r="H139" s="10"/>
    </row>
    <row r="140" spans="1:8">
      <c r="A140" s="12">
        <v>125</v>
      </c>
      <c r="B140" s="12">
        <v>10</v>
      </c>
      <c r="C140">
        <v>2</v>
      </c>
      <c r="D140" s="59">
        <f t="shared" si="4"/>
        <v>1</v>
      </c>
      <c r="E140" s="59">
        <f t="shared" si="5"/>
        <v>0</v>
      </c>
      <c r="F140" s="59">
        <f t="shared" si="3"/>
        <v>688</v>
      </c>
      <c r="H140" s="10"/>
    </row>
    <row r="141" spans="1:8">
      <c r="A141" s="12">
        <v>126</v>
      </c>
      <c r="B141" s="12">
        <v>10</v>
      </c>
      <c r="C141">
        <v>1</v>
      </c>
      <c r="D141" s="59">
        <f t="shared" si="4"/>
        <v>0</v>
      </c>
      <c r="E141" s="59">
        <f t="shared" si="5"/>
        <v>0</v>
      </c>
      <c r="F141" s="59">
        <f t="shared" si="3"/>
        <v>688</v>
      </c>
      <c r="H141" s="10"/>
    </row>
    <row r="142" spans="1:8">
      <c r="A142" s="10">
        <v>127</v>
      </c>
      <c r="B142" s="12">
        <v>10</v>
      </c>
      <c r="C142">
        <v>1</v>
      </c>
      <c r="D142" s="59">
        <f t="shared" si="4"/>
        <v>0</v>
      </c>
      <c r="E142" s="59">
        <f t="shared" si="5"/>
        <v>0</v>
      </c>
      <c r="F142" s="59">
        <f t="shared" si="3"/>
        <v>688</v>
      </c>
      <c r="H142" s="10"/>
    </row>
    <row r="143" spans="1:8">
      <c r="A143" s="12">
        <v>128</v>
      </c>
      <c r="B143" s="12">
        <v>10</v>
      </c>
      <c r="C143">
        <v>1</v>
      </c>
      <c r="D143" s="59">
        <f t="shared" si="4"/>
        <v>0</v>
      </c>
      <c r="E143" s="59">
        <f t="shared" si="5"/>
        <v>0</v>
      </c>
      <c r="F143" s="59">
        <f t="shared" si="3"/>
        <v>688</v>
      </c>
      <c r="H143" s="10"/>
    </row>
    <row r="144" spans="1:8">
      <c r="A144" s="12">
        <v>129</v>
      </c>
      <c r="B144" s="12">
        <v>10</v>
      </c>
      <c r="C144">
        <v>1</v>
      </c>
      <c r="D144" s="59">
        <f t="shared" si="4"/>
        <v>0</v>
      </c>
      <c r="E144" s="59">
        <f t="shared" si="5"/>
        <v>0</v>
      </c>
      <c r="F144" s="59">
        <f t="shared" ref="F144:F207" si="6">MAX(F143-H144,0)</f>
        <v>688</v>
      </c>
      <c r="H144" s="10"/>
    </row>
    <row r="145" spans="1:8">
      <c r="A145" s="12">
        <v>130</v>
      </c>
      <c r="B145" s="12">
        <v>10</v>
      </c>
      <c r="C145">
        <v>2</v>
      </c>
      <c r="D145" s="59">
        <f t="shared" ref="D145:D208" si="7">IF(MOD(A145,5)=0,1,0)</f>
        <v>1</v>
      </c>
      <c r="E145" s="59">
        <f t="shared" ref="E145:E208" si="8">MAX(E144-B145,0)</f>
        <v>0</v>
      </c>
      <c r="F145" s="59">
        <f t="shared" si="6"/>
        <v>688</v>
      </c>
      <c r="H145" s="10"/>
    </row>
    <row r="146" spans="1:8">
      <c r="A146" s="12">
        <v>131</v>
      </c>
      <c r="B146" s="12">
        <v>10</v>
      </c>
      <c r="C146">
        <v>1</v>
      </c>
      <c r="D146" s="59">
        <f t="shared" si="7"/>
        <v>0</v>
      </c>
      <c r="E146" s="59">
        <f t="shared" si="8"/>
        <v>0</v>
      </c>
      <c r="F146" s="59">
        <f t="shared" si="6"/>
        <v>688</v>
      </c>
      <c r="H146" s="10"/>
    </row>
    <row r="147" spans="1:8">
      <c r="A147" s="10">
        <v>132</v>
      </c>
      <c r="B147" s="12">
        <v>10</v>
      </c>
      <c r="C147">
        <v>1</v>
      </c>
      <c r="D147" s="59">
        <f t="shared" si="7"/>
        <v>0</v>
      </c>
      <c r="E147" s="59">
        <f t="shared" si="8"/>
        <v>0</v>
      </c>
      <c r="F147" s="59">
        <f t="shared" si="6"/>
        <v>688</v>
      </c>
      <c r="H147" s="10"/>
    </row>
    <row r="148" spans="1:8">
      <c r="A148" s="12">
        <v>133</v>
      </c>
      <c r="B148" s="12">
        <v>10</v>
      </c>
      <c r="C148">
        <v>1</v>
      </c>
      <c r="D148" s="59">
        <f t="shared" si="7"/>
        <v>0</v>
      </c>
      <c r="E148" s="59">
        <f t="shared" si="8"/>
        <v>0</v>
      </c>
      <c r="F148" s="59">
        <f t="shared" si="6"/>
        <v>688</v>
      </c>
      <c r="H148" s="10"/>
    </row>
    <row r="149" spans="1:8">
      <c r="A149" s="12">
        <v>134</v>
      </c>
      <c r="B149" s="12">
        <v>10</v>
      </c>
      <c r="C149">
        <v>1</v>
      </c>
      <c r="D149" s="59">
        <f t="shared" si="7"/>
        <v>0</v>
      </c>
      <c r="E149" s="59">
        <f t="shared" si="8"/>
        <v>0</v>
      </c>
      <c r="F149" s="59">
        <f t="shared" si="6"/>
        <v>688</v>
      </c>
      <c r="H149" s="10"/>
    </row>
    <row r="150" spans="1:8">
      <c r="A150" s="10">
        <v>135</v>
      </c>
      <c r="B150" s="12">
        <v>10</v>
      </c>
      <c r="C150">
        <v>2</v>
      </c>
      <c r="D150" s="59">
        <f t="shared" si="7"/>
        <v>1</v>
      </c>
      <c r="E150" s="59">
        <f t="shared" si="8"/>
        <v>0</v>
      </c>
      <c r="F150" s="59">
        <f t="shared" si="6"/>
        <v>688</v>
      </c>
      <c r="H150" s="10"/>
    </row>
    <row r="151" spans="1:8">
      <c r="A151" s="12">
        <v>136</v>
      </c>
      <c r="B151" s="12">
        <v>10</v>
      </c>
      <c r="C151">
        <v>1</v>
      </c>
      <c r="D151" s="59">
        <f t="shared" si="7"/>
        <v>0</v>
      </c>
      <c r="E151" s="59">
        <f t="shared" si="8"/>
        <v>0</v>
      </c>
      <c r="F151" s="59">
        <f t="shared" si="6"/>
        <v>688</v>
      </c>
      <c r="H151" s="10"/>
    </row>
    <row r="152" spans="1:8">
      <c r="A152" s="12">
        <v>137</v>
      </c>
      <c r="B152" s="12">
        <v>10</v>
      </c>
      <c r="C152">
        <v>1</v>
      </c>
      <c r="D152" s="59">
        <f t="shared" si="7"/>
        <v>0</v>
      </c>
      <c r="E152" s="59">
        <f t="shared" si="8"/>
        <v>0</v>
      </c>
      <c r="F152" s="59">
        <f t="shared" si="6"/>
        <v>688</v>
      </c>
      <c r="H152" s="10"/>
    </row>
    <row r="153" spans="1:8">
      <c r="A153" s="12">
        <v>138</v>
      </c>
      <c r="B153" s="12">
        <v>10</v>
      </c>
      <c r="C153">
        <v>1</v>
      </c>
      <c r="D153" s="59">
        <f t="shared" si="7"/>
        <v>0</v>
      </c>
      <c r="E153" s="59">
        <f t="shared" si="8"/>
        <v>0</v>
      </c>
      <c r="F153" s="59">
        <f t="shared" si="6"/>
        <v>688</v>
      </c>
      <c r="H153" s="10"/>
    </row>
    <row r="154" spans="1:8">
      <c r="A154" s="12">
        <v>139</v>
      </c>
      <c r="B154" s="12">
        <v>10</v>
      </c>
      <c r="C154">
        <v>1</v>
      </c>
      <c r="D154" s="59">
        <f t="shared" si="7"/>
        <v>0</v>
      </c>
      <c r="E154" s="59">
        <f t="shared" si="8"/>
        <v>0</v>
      </c>
      <c r="F154" s="59">
        <f t="shared" si="6"/>
        <v>688</v>
      </c>
      <c r="H154" s="10"/>
    </row>
    <row r="155" spans="1:8">
      <c r="A155" s="10">
        <v>140</v>
      </c>
      <c r="B155" s="12">
        <v>10</v>
      </c>
      <c r="C155">
        <v>2</v>
      </c>
      <c r="D155" s="59">
        <f t="shared" si="7"/>
        <v>1</v>
      </c>
      <c r="E155" s="59">
        <f t="shared" si="8"/>
        <v>0</v>
      </c>
      <c r="F155" s="59">
        <f t="shared" si="6"/>
        <v>688</v>
      </c>
      <c r="H155" s="10"/>
    </row>
    <row r="156" spans="1:8">
      <c r="A156" s="12">
        <v>141</v>
      </c>
      <c r="B156" s="12">
        <v>10</v>
      </c>
      <c r="C156">
        <v>1</v>
      </c>
      <c r="D156" s="59">
        <f t="shared" si="7"/>
        <v>0</v>
      </c>
      <c r="E156" s="59">
        <f t="shared" si="8"/>
        <v>0</v>
      </c>
      <c r="F156" s="59">
        <f t="shared" si="6"/>
        <v>688</v>
      </c>
      <c r="H156" s="10"/>
    </row>
    <row r="157" spans="1:8">
      <c r="A157" s="12">
        <v>142</v>
      </c>
      <c r="B157" s="12">
        <v>10</v>
      </c>
      <c r="C157">
        <v>1</v>
      </c>
      <c r="D157" s="59">
        <f t="shared" si="7"/>
        <v>0</v>
      </c>
      <c r="E157" s="59">
        <f t="shared" si="8"/>
        <v>0</v>
      </c>
      <c r="F157" s="59">
        <f t="shared" si="6"/>
        <v>688</v>
      </c>
      <c r="H157" s="10"/>
    </row>
    <row r="158" spans="1:8">
      <c r="A158" s="10">
        <v>143</v>
      </c>
      <c r="B158" s="12">
        <v>10</v>
      </c>
      <c r="C158">
        <v>1</v>
      </c>
      <c r="D158" s="59">
        <f t="shared" si="7"/>
        <v>0</v>
      </c>
      <c r="E158" s="59">
        <f t="shared" si="8"/>
        <v>0</v>
      </c>
      <c r="F158" s="59">
        <f t="shared" si="6"/>
        <v>688</v>
      </c>
      <c r="H158" s="10"/>
    </row>
    <row r="159" spans="1:8">
      <c r="A159" s="12">
        <v>144</v>
      </c>
      <c r="B159" s="12">
        <v>10</v>
      </c>
      <c r="C159">
        <v>1</v>
      </c>
      <c r="D159" s="59">
        <f t="shared" si="7"/>
        <v>0</v>
      </c>
      <c r="E159" s="59">
        <f t="shared" si="8"/>
        <v>0</v>
      </c>
      <c r="F159" s="59">
        <f t="shared" si="6"/>
        <v>688</v>
      </c>
      <c r="H159" s="10"/>
    </row>
    <row r="160" spans="1:8">
      <c r="A160" s="12">
        <v>145</v>
      </c>
      <c r="B160" s="12">
        <v>10</v>
      </c>
      <c r="C160">
        <v>2</v>
      </c>
      <c r="D160" s="59">
        <f t="shared" si="7"/>
        <v>1</v>
      </c>
      <c r="E160" s="59">
        <f t="shared" si="8"/>
        <v>0</v>
      </c>
      <c r="F160" s="59">
        <f t="shared" si="6"/>
        <v>688</v>
      </c>
      <c r="H160" s="10"/>
    </row>
    <row r="161" spans="1:8">
      <c r="A161" s="12">
        <v>146</v>
      </c>
      <c r="B161" s="12">
        <v>10</v>
      </c>
      <c r="C161">
        <v>1</v>
      </c>
      <c r="D161" s="59">
        <f t="shared" si="7"/>
        <v>0</v>
      </c>
      <c r="E161" s="59">
        <f t="shared" si="8"/>
        <v>0</v>
      </c>
      <c r="F161" s="59">
        <f t="shared" si="6"/>
        <v>688</v>
      </c>
      <c r="H161" s="10"/>
    </row>
    <row r="162" spans="1:8">
      <c r="A162" s="12">
        <v>147</v>
      </c>
      <c r="B162" s="12">
        <v>10</v>
      </c>
      <c r="C162">
        <v>1</v>
      </c>
      <c r="D162" s="59">
        <f t="shared" si="7"/>
        <v>0</v>
      </c>
      <c r="E162" s="59">
        <f t="shared" si="8"/>
        <v>0</v>
      </c>
      <c r="F162" s="59">
        <f t="shared" si="6"/>
        <v>688</v>
      </c>
      <c r="H162" s="10"/>
    </row>
    <row r="163" spans="1:8">
      <c r="A163" s="10">
        <v>148</v>
      </c>
      <c r="B163" s="12">
        <v>10</v>
      </c>
      <c r="C163">
        <v>1</v>
      </c>
      <c r="D163" s="59">
        <f t="shared" si="7"/>
        <v>0</v>
      </c>
      <c r="E163" s="59">
        <f t="shared" si="8"/>
        <v>0</v>
      </c>
      <c r="F163" s="59">
        <f t="shared" si="6"/>
        <v>688</v>
      </c>
      <c r="H163" s="10"/>
    </row>
    <row r="164" spans="1:8">
      <c r="A164" s="12">
        <v>149</v>
      </c>
      <c r="B164" s="12">
        <v>10</v>
      </c>
      <c r="C164">
        <v>1</v>
      </c>
      <c r="D164" s="59">
        <f t="shared" si="7"/>
        <v>0</v>
      </c>
      <c r="E164" s="59">
        <f t="shared" si="8"/>
        <v>0</v>
      </c>
      <c r="F164" s="59">
        <f t="shared" si="6"/>
        <v>688</v>
      </c>
      <c r="H164" s="10"/>
    </row>
    <row r="165" spans="1:8">
      <c r="A165" s="12">
        <v>150</v>
      </c>
      <c r="B165" s="12">
        <v>10</v>
      </c>
      <c r="C165">
        <v>2</v>
      </c>
      <c r="D165" s="59">
        <f t="shared" si="7"/>
        <v>1</v>
      </c>
      <c r="E165" s="59">
        <f t="shared" si="8"/>
        <v>0</v>
      </c>
      <c r="F165" s="59">
        <f t="shared" si="6"/>
        <v>688</v>
      </c>
      <c r="H165" s="10"/>
    </row>
    <row r="166" spans="1:8">
      <c r="A166" s="10">
        <v>151</v>
      </c>
      <c r="B166" s="12">
        <v>10</v>
      </c>
      <c r="C166">
        <v>1</v>
      </c>
      <c r="D166" s="59">
        <f t="shared" si="7"/>
        <v>0</v>
      </c>
      <c r="E166" s="59">
        <f t="shared" si="8"/>
        <v>0</v>
      </c>
      <c r="F166" s="59">
        <f t="shared" si="6"/>
        <v>688</v>
      </c>
      <c r="H166" s="10"/>
    </row>
    <row r="167" spans="1:8">
      <c r="A167" s="12">
        <v>152</v>
      </c>
      <c r="B167" s="12">
        <v>10</v>
      </c>
      <c r="C167">
        <v>1</v>
      </c>
      <c r="D167" s="59">
        <f t="shared" si="7"/>
        <v>0</v>
      </c>
      <c r="E167" s="59">
        <f t="shared" si="8"/>
        <v>0</v>
      </c>
      <c r="F167" s="59">
        <f t="shared" si="6"/>
        <v>688</v>
      </c>
      <c r="H167" s="10"/>
    </row>
    <row r="168" spans="1:8">
      <c r="A168" s="12">
        <v>153</v>
      </c>
      <c r="B168" s="12">
        <v>10</v>
      </c>
      <c r="C168">
        <v>1</v>
      </c>
      <c r="D168" s="59">
        <f t="shared" si="7"/>
        <v>0</v>
      </c>
      <c r="E168" s="59">
        <f t="shared" si="8"/>
        <v>0</v>
      </c>
      <c r="F168" s="59">
        <f t="shared" si="6"/>
        <v>688</v>
      </c>
      <c r="H168" s="10"/>
    </row>
    <row r="169" spans="1:8">
      <c r="A169" s="10">
        <v>154</v>
      </c>
      <c r="B169" s="12">
        <v>10</v>
      </c>
      <c r="C169">
        <v>1</v>
      </c>
      <c r="D169" s="59">
        <f t="shared" si="7"/>
        <v>0</v>
      </c>
      <c r="E169" s="59">
        <f t="shared" si="8"/>
        <v>0</v>
      </c>
      <c r="F169" s="59">
        <f t="shared" si="6"/>
        <v>688</v>
      </c>
      <c r="H169" s="10"/>
    </row>
    <row r="170" spans="1:8">
      <c r="A170" s="12">
        <v>155</v>
      </c>
      <c r="B170" s="12">
        <v>10</v>
      </c>
      <c r="C170">
        <v>2</v>
      </c>
      <c r="D170" s="59">
        <f t="shared" si="7"/>
        <v>1</v>
      </c>
      <c r="E170" s="59">
        <f t="shared" si="8"/>
        <v>0</v>
      </c>
      <c r="F170" s="59">
        <f t="shared" si="6"/>
        <v>688</v>
      </c>
      <c r="H170" s="10"/>
    </row>
    <row r="171" spans="1:8">
      <c r="A171" s="12">
        <v>156</v>
      </c>
      <c r="B171" s="12">
        <v>10</v>
      </c>
      <c r="C171">
        <v>1</v>
      </c>
      <c r="D171" s="59">
        <f t="shared" si="7"/>
        <v>0</v>
      </c>
      <c r="E171" s="59">
        <f t="shared" si="8"/>
        <v>0</v>
      </c>
      <c r="F171" s="59">
        <f t="shared" si="6"/>
        <v>688</v>
      </c>
      <c r="H171" s="10"/>
    </row>
    <row r="172" spans="1:8">
      <c r="A172" s="10">
        <v>157</v>
      </c>
      <c r="B172" s="12">
        <v>10</v>
      </c>
      <c r="C172">
        <v>1</v>
      </c>
      <c r="D172" s="59">
        <f t="shared" si="7"/>
        <v>0</v>
      </c>
      <c r="E172" s="59">
        <f t="shared" si="8"/>
        <v>0</v>
      </c>
      <c r="F172" s="59">
        <f t="shared" si="6"/>
        <v>688</v>
      </c>
      <c r="H172" s="10"/>
    </row>
    <row r="173" spans="1:8">
      <c r="A173" s="12">
        <v>158</v>
      </c>
      <c r="B173" s="12">
        <v>10</v>
      </c>
      <c r="C173">
        <v>1</v>
      </c>
      <c r="D173" s="59">
        <f t="shared" si="7"/>
        <v>0</v>
      </c>
      <c r="E173" s="59">
        <f t="shared" si="8"/>
        <v>0</v>
      </c>
      <c r="F173" s="59">
        <f t="shared" si="6"/>
        <v>688</v>
      </c>
      <c r="H173" s="10"/>
    </row>
    <row r="174" spans="1:8">
      <c r="A174" s="12">
        <v>159</v>
      </c>
      <c r="B174" s="12">
        <v>10</v>
      </c>
      <c r="C174">
        <v>1</v>
      </c>
      <c r="D174" s="59">
        <f t="shared" si="7"/>
        <v>0</v>
      </c>
      <c r="E174" s="59">
        <f t="shared" si="8"/>
        <v>0</v>
      </c>
      <c r="F174" s="59">
        <f t="shared" si="6"/>
        <v>688</v>
      </c>
      <c r="H174" s="10"/>
    </row>
    <row r="175" spans="1:8">
      <c r="A175" s="12">
        <v>160</v>
      </c>
      <c r="B175" s="12">
        <v>10</v>
      </c>
      <c r="C175">
        <v>2</v>
      </c>
      <c r="D175" s="59">
        <f t="shared" si="7"/>
        <v>1</v>
      </c>
      <c r="E175" s="59">
        <f t="shared" si="8"/>
        <v>0</v>
      </c>
      <c r="F175" s="59">
        <f t="shared" si="6"/>
        <v>688</v>
      </c>
      <c r="H175" s="10"/>
    </row>
    <row r="176" spans="1:8">
      <c r="A176" s="12">
        <v>161</v>
      </c>
      <c r="B176" s="12">
        <v>10</v>
      </c>
      <c r="C176">
        <v>1</v>
      </c>
      <c r="D176" s="59">
        <f t="shared" si="7"/>
        <v>0</v>
      </c>
      <c r="E176" s="59">
        <f t="shared" si="8"/>
        <v>0</v>
      </c>
      <c r="F176" s="59">
        <f t="shared" si="6"/>
        <v>688</v>
      </c>
      <c r="H176" s="10"/>
    </row>
    <row r="177" spans="1:8">
      <c r="A177" s="10">
        <v>162</v>
      </c>
      <c r="B177" s="12">
        <v>10</v>
      </c>
      <c r="C177">
        <v>1</v>
      </c>
      <c r="D177" s="59">
        <f t="shared" si="7"/>
        <v>0</v>
      </c>
      <c r="E177" s="59">
        <f t="shared" si="8"/>
        <v>0</v>
      </c>
      <c r="F177" s="59">
        <f t="shared" si="6"/>
        <v>688</v>
      </c>
      <c r="H177" s="10"/>
    </row>
    <row r="178" spans="1:8">
      <c r="A178" s="12">
        <v>163</v>
      </c>
      <c r="B178" s="12">
        <v>10</v>
      </c>
      <c r="C178">
        <v>1</v>
      </c>
      <c r="D178" s="59">
        <f t="shared" si="7"/>
        <v>0</v>
      </c>
      <c r="E178" s="59">
        <f t="shared" si="8"/>
        <v>0</v>
      </c>
      <c r="F178" s="59">
        <f t="shared" si="6"/>
        <v>688</v>
      </c>
      <c r="H178" s="10"/>
    </row>
    <row r="179" spans="1:8">
      <c r="A179" s="12">
        <v>164</v>
      </c>
      <c r="B179" s="12">
        <v>10</v>
      </c>
      <c r="C179">
        <v>1</v>
      </c>
      <c r="D179" s="59">
        <f t="shared" si="7"/>
        <v>0</v>
      </c>
      <c r="E179" s="59">
        <f t="shared" si="8"/>
        <v>0</v>
      </c>
      <c r="F179" s="59">
        <f t="shared" si="6"/>
        <v>688</v>
      </c>
      <c r="H179" s="10"/>
    </row>
    <row r="180" spans="1:8">
      <c r="A180" s="10">
        <v>165</v>
      </c>
      <c r="B180" s="12">
        <v>10</v>
      </c>
      <c r="C180">
        <v>2</v>
      </c>
      <c r="D180" s="59">
        <f t="shared" si="7"/>
        <v>1</v>
      </c>
      <c r="E180" s="59">
        <f t="shared" si="8"/>
        <v>0</v>
      </c>
      <c r="F180" s="59">
        <f t="shared" si="6"/>
        <v>688</v>
      </c>
      <c r="H180" s="10"/>
    </row>
    <row r="181" spans="1:8">
      <c r="A181" s="12">
        <v>166</v>
      </c>
      <c r="B181" s="12">
        <v>10</v>
      </c>
      <c r="C181">
        <v>1</v>
      </c>
      <c r="D181" s="59">
        <f t="shared" si="7"/>
        <v>0</v>
      </c>
      <c r="E181" s="59">
        <f t="shared" si="8"/>
        <v>0</v>
      </c>
      <c r="F181" s="59">
        <f t="shared" si="6"/>
        <v>688</v>
      </c>
      <c r="H181" s="10"/>
    </row>
    <row r="182" spans="1:8">
      <c r="A182" s="12">
        <v>167</v>
      </c>
      <c r="B182" s="12">
        <v>10</v>
      </c>
      <c r="C182">
        <v>1</v>
      </c>
      <c r="D182" s="59">
        <f t="shared" si="7"/>
        <v>0</v>
      </c>
      <c r="E182" s="59">
        <f t="shared" si="8"/>
        <v>0</v>
      </c>
      <c r="F182" s="59">
        <f t="shared" si="6"/>
        <v>688</v>
      </c>
      <c r="H182" s="10"/>
    </row>
    <row r="183" spans="1:8">
      <c r="A183" s="12">
        <v>168</v>
      </c>
      <c r="B183" s="12">
        <v>10</v>
      </c>
      <c r="C183">
        <v>1</v>
      </c>
      <c r="D183" s="59">
        <f t="shared" si="7"/>
        <v>0</v>
      </c>
      <c r="E183" s="59">
        <f t="shared" si="8"/>
        <v>0</v>
      </c>
      <c r="F183" s="59">
        <f t="shared" si="6"/>
        <v>688</v>
      </c>
      <c r="H183" s="10"/>
    </row>
    <row r="184" spans="1:8">
      <c r="A184" s="12">
        <v>169</v>
      </c>
      <c r="B184" s="12">
        <v>10</v>
      </c>
      <c r="C184">
        <v>1</v>
      </c>
      <c r="D184" s="59">
        <f t="shared" si="7"/>
        <v>0</v>
      </c>
      <c r="E184" s="59">
        <f t="shared" si="8"/>
        <v>0</v>
      </c>
      <c r="F184" s="59">
        <f t="shared" si="6"/>
        <v>688</v>
      </c>
      <c r="H184" s="10"/>
    </row>
    <row r="185" spans="1:8">
      <c r="A185" s="10">
        <v>170</v>
      </c>
      <c r="B185" s="12">
        <v>10</v>
      </c>
      <c r="C185">
        <v>2</v>
      </c>
      <c r="D185" s="59">
        <f t="shared" si="7"/>
        <v>1</v>
      </c>
      <c r="E185" s="59">
        <f t="shared" si="8"/>
        <v>0</v>
      </c>
      <c r="F185" s="59">
        <f t="shared" si="6"/>
        <v>688</v>
      </c>
      <c r="H185" s="10"/>
    </row>
    <row r="186" spans="1:8">
      <c r="A186" s="12">
        <v>171</v>
      </c>
      <c r="B186" s="12">
        <v>10</v>
      </c>
      <c r="C186">
        <v>1</v>
      </c>
      <c r="D186" s="59">
        <f t="shared" si="7"/>
        <v>0</v>
      </c>
      <c r="E186" s="59">
        <f t="shared" si="8"/>
        <v>0</v>
      </c>
      <c r="F186" s="59">
        <f t="shared" si="6"/>
        <v>688</v>
      </c>
      <c r="H186" s="10"/>
    </row>
    <row r="187" spans="1:8">
      <c r="A187" s="12">
        <v>172</v>
      </c>
      <c r="B187" s="12">
        <v>10</v>
      </c>
      <c r="C187">
        <v>1</v>
      </c>
      <c r="D187" s="59">
        <f t="shared" si="7"/>
        <v>0</v>
      </c>
      <c r="E187" s="59">
        <f t="shared" si="8"/>
        <v>0</v>
      </c>
      <c r="F187" s="59">
        <f t="shared" si="6"/>
        <v>688</v>
      </c>
      <c r="H187" s="10"/>
    </row>
    <row r="188" spans="1:8">
      <c r="A188" s="10">
        <v>173</v>
      </c>
      <c r="B188" s="12">
        <v>10</v>
      </c>
      <c r="C188">
        <v>1</v>
      </c>
      <c r="D188" s="59">
        <f t="shared" si="7"/>
        <v>0</v>
      </c>
      <c r="E188" s="59">
        <f t="shared" si="8"/>
        <v>0</v>
      </c>
      <c r="F188" s="59">
        <f t="shared" si="6"/>
        <v>688</v>
      </c>
      <c r="H188" s="10"/>
    </row>
    <row r="189" spans="1:8">
      <c r="A189" s="12">
        <v>174</v>
      </c>
      <c r="B189" s="12">
        <v>10</v>
      </c>
      <c r="C189">
        <v>1</v>
      </c>
      <c r="D189" s="59">
        <f t="shared" si="7"/>
        <v>0</v>
      </c>
      <c r="E189" s="59">
        <f t="shared" si="8"/>
        <v>0</v>
      </c>
      <c r="F189" s="59">
        <f t="shared" si="6"/>
        <v>688</v>
      </c>
      <c r="H189" s="10"/>
    </row>
    <row r="190" spans="1:8">
      <c r="A190" s="12">
        <v>175</v>
      </c>
      <c r="B190" s="12">
        <v>10</v>
      </c>
      <c r="C190">
        <v>2</v>
      </c>
      <c r="D190" s="59">
        <f t="shared" si="7"/>
        <v>1</v>
      </c>
      <c r="E190" s="59">
        <f t="shared" si="8"/>
        <v>0</v>
      </c>
      <c r="F190" s="59">
        <f t="shared" si="6"/>
        <v>688</v>
      </c>
      <c r="H190" s="10"/>
    </row>
    <row r="191" spans="1:8">
      <c r="A191" s="12">
        <v>176</v>
      </c>
      <c r="B191" s="12">
        <v>10</v>
      </c>
      <c r="C191">
        <v>1</v>
      </c>
      <c r="D191" s="59">
        <f t="shared" si="7"/>
        <v>0</v>
      </c>
      <c r="E191" s="59">
        <f t="shared" si="8"/>
        <v>0</v>
      </c>
      <c r="F191" s="59">
        <f t="shared" si="6"/>
        <v>688</v>
      </c>
      <c r="H191" s="10"/>
    </row>
    <row r="192" spans="1:8">
      <c r="A192" s="12">
        <v>177</v>
      </c>
      <c r="B192" s="12">
        <v>10</v>
      </c>
      <c r="C192">
        <v>1</v>
      </c>
      <c r="D192" s="59">
        <f t="shared" si="7"/>
        <v>0</v>
      </c>
      <c r="E192" s="59">
        <f t="shared" si="8"/>
        <v>0</v>
      </c>
      <c r="F192" s="59">
        <f t="shared" si="6"/>
        <v>688</v>
      </c>
      <c r="H192" s="10"/>
    </row>
    <row r="193" spans="1:8">
      <c r="A193" s="10">
        <v>178</v>
      </c>
      <c r="B193" s="12">
        <v>10</v>
      </c>
      <c r="C193">
        <v>1</v>
      </c>
      <c r="D193" s="59">
        <f t="shared" si="7"/>
        <v>0</v>
      </c>
      <c r="E193" s="59">
        <f t="shared" si="8"/>
        <v>0</v>
      </c>
      <c r="F193" s="59">
        <f t="shared" si="6"/>
        <v>688</v>
      </c>
      <c r="H193" s="10"/>
    </row>
    <row r="194" spans="1:8">
      <c r="A194" s="12">
        <v>179</v>
      </c>
      <c r="B194" s="12">
        <v>10</v>
      </c>
      <c r="C194">
        <v>1</v>
      </c>
      <c r="D194" s="59">
        <f t="shared" si="7"/>
        <v>0</v>
      </c>
      <c r="E194" s="59">
        <f t="shared" si="8"/>
        <v>0</v>
      </c>
      <c r="F194" s="59">
        <f t="shared" si="6"/>
        <v>688</v>
      </c>
      <c r="H194" s="10"/>
    </row>
    <row r="195" spans="1:8">
      <c r="A195" s="12">
        <v>180</v>
      </c>
      <c r="B195" s="12">
        <v>10</v>
      </c>
      <c r="C195">
        <v>2</v>
      </c>
      <c r="D195" s="59">
        <f t="shared" si="7"/>
        <v>1</v>
      </c>
      <c r="E195" s="59">
        <f t="shared" si="8"/>
        <v>0</v>
      </c>
      <c r="F195" s="59">
        <f t="shared" si="6"/>
        <v>688</v>
      </c>
      <c r="H195" s="10"/>
    </row>
    <row r="196" spans="1:8">
      <c r="A196" s="10">
        <v>181</v>
      </c>
      <c r="B196" s="12">
        <v>10</v>
      </c>
      <c r="C196">
        <v>1</v>
      </c>
      <c r="D196" s="59">
        <f t="shared" si="7"/>
        <v>0</v>
      </c>
      <c r="E196" s="59">
        <f t="shared" si="8"/>
        <v>0</v>
      </c>
      <c r="F196" s="59">
        <f t="shared" si="6"/>
        <v>688</v>
      </c>
      <c r="H196" s="10"/>
    </row>
    <row r="197" spans="1:8">
      <c r="A197" s="12">
        <v>182</v>
      </c>
      <c r="B197" s="12">
        <v>10</v>
      </c>
      <c r="C197">
        <v>1</v>
      </c>
      <c r="D197" s="59">
        <f t="shared" si="7"/>
        <v>0</v>
      </c>
      <c r="E197" s="59">
        <f t="shared" si="8"/>
        <v>0</v>
      </c>
      <c r="F197" s="59">
        <f t="shared" si="6"/>
        <v>688</v>
      </c>
      <c r="H197" s="10"/>
    </row>
    <row r="198" spans="1:8">
      <c r="A198" s="12">
        <v>183</v>
      </c>
      <c r="B198" s="12">
        <v>10</v>
      </c>
      <c r="C198">
        <v>1</v>
      </c>
      <c r="D198" s="59">
        <f t="shared" si="7"/>
        <v>0</v>
      </c>
      <c r="E198" s="59">
        <f t="shared" si="8"/>
        <v>0</v>
      </c>
      <c r="F198" s="59">
        <f t="shared" si="6"/>
        <v>688</v>
      </c>
      <c r="H198" s="10"/>
    </row>
    <row r="199" spans="1:8">
      <c r="A199" s="12">
        <v>184</v>
      </c>
      <c r="B199" s="12">
        <v>10</v>
      </c>
      <c r="C199">
        <v>1</v>
      </c>
      <c r="D199" s="59">
        <f t="shared" si="7"/>
        <v>0</v>
      </c>
      <c r="E199" s="59">
        <f t="shared" si="8"/>
        <v>0</v>
      </c>
      <c r="F199" s="59">
        <f t="shared" si="6"/>
        <v>688</v>
      </c>
      <c r="H199" s="10"/>
    </row>
    <row r="200" spans="1:8">
      <c r="A200" s="12">
        <v>185</v>
      </c>
      <c r="B200" s="12">
        <v>10</v>
      </c>
      <c r="C200">
        <v>2</v>
      </c>
      <c r="D200" s="59">
        <f t="shared" si="7"/>
        <v>1</v>
      </c>
      <c r="E200" s="59">
        <f t="shared" si="8"/>
        <v>0</v>
      </c>
      <c r="F200" s="59">
        <f t="shared" si="6"/>
        <v>688</v>
      </c>
      <c r="H200" s="10"/>
    </row>
    <row r="201" spans="1:8">
      <c r="A201" s="10">
        <v>186</v>
      </c>
      <c r="B201" s="12">
        <v>10</v>
      </c>
      <c r="C201">
        <v>1</v>
      </c>
      <c r="D201" s="59">
        <f t="shared" si="7"/>
        <v>0</v>
      </c>
      <c r="E201" s="59">
        <f t="shared" si="8"/>
        <v>0</v>
      </c>
      <c r="F201" s="59">
        <f t="shared" si="6"/>
        <v>688</v>
      </c>
      <c r="H201" s="10"/>
    </row>
    <row r="202" spans="1:8">
      <c r="A202" s="12">
        <v>187</v>
      </c>
      <c r="B202" s="12">
        <v>10</v>
      </c>
      <c r="C202">
        <v>1</v>
      </c>
      <c r="D202" s="59">
        <f t="shared" si="7"/>
        <v>0</v>
      </c>
      <c r="E202" s="59">
        <f t="shared" si="8"/>
        <v>0</v>
      </c>
      <c r="F202" s="59">
        <f t="shared" si="6"/>
        <v>688</v>
      </c>
      <c r="H202" s="10"/>
    </row>
    <row r="203" spans="1:8">
      <c r="A203" s="12">
        <v>188</v>
      </c>
      <c r="B203" s="12">
        <v>10</v>
      </c>
      <c r="C203">
        <v>1</v>
      </c>
      <c r="D203" s="59">
        <f t="shared" si="7"/>
        <v>0</v>
      </c>
      <c r="E203" s="59">
        <f t="shared" si="8"/>
        <v>0</v>
      </c>
      <c r="F203" s="59">
        <f t="shared" si="6"/>
        <v>688</v>
      </c>
      <c r="H203" s="10"/>
    </row>
    <row r="204" spans="1:8">
      <c r="A204" s="10">
        <v>189</v>
      </c>
      <c r="B204" s="12">
        <v>10</v>
      </c>
      <c r="C204">
        <v>1</v>
      </c>
      <c r="D204" s="59">
        <f t="shared" si="7"/>
        <v>0</v>
      </c>
      <c r="E204" s="59">
        <f t="shared" si="8"/>
        <v>0</v>
      </c>
      <c r="F204" s="59">
        <f t="shared" si="6"/>
        <v>688</v>
      </c>
      <c r="H204" s="10"/>
    </row>
    <row r="205" spans="1:8">
      <c r="A205" s="12">
        <v>190</v>
      </c>
      <c r="B205" s="12">
        <v>10</v>
      </c>
      <c r="C205">
        <v>2</v>
      </c>
      <c r="D205" s="59">
        <f t="shared" si="7"/>
        <v>1</v>
      </c>
      <c r="E205" s="59">
        <f t="shared" si="8"/>
        <v>0</v>
      </c>
      <c r="F205" s="59">
        <f t="shared" si="6"/>
        <v>688</v>
      </c>
      <c r="H205" s="10"/>
    </row>
    <row r="206" spans="1:8">
      <c r="A206" s="12">
        <v>191</v>
      </c>
      <c r="B206" s="12">
        <v>10</v>
      </c>
      <c r="C206">
        <v>1</v>
      </c>
      <c r="D206" s="59">
        <f t="shared" si="7"/>
        <v>0</v>
      </c>
      <c r="E206" s="59">
        <f t="shared" si="8"/>
        <v>0</v>
      </c>
      <c r="F206" s="59">
        <f t="shared" si="6"/>
        <v>688</v>
      </c>
      <c r="H206" s="10"/>
    </row>
    <row r="207" spans="1:8">
      <c r="A207" s="12">
        <v>192</v>
      </c>
      <c r="B207" s="12">
        <v>10</v>
      </c>
      <c r="C207">
        <v>1</v>
      </c>
      <c r="D207" s="59">
        <f t="shared" si="7"/>
        <v>0</v>
      </c>
      <c r="E207" s="59">
        <f t="shared" si="8"/>
        <v>0</v>
      </c>
      <c r="F207" s="59">
        <f t="shared" si="6"/>
        <v>688</v>
      </c>
      <c r="H207" s="10"/>
    </row>
    <row r="208" spans="1:8">
      <c r="A208" s="12">
        <v>193</v>
      </c>
      <c r="B208" s="12">
        <v>10</v>
      </c>
      <c r="C208">
        <v>1</v>
      </c>
      <c r="D208" s="59">
        <f t="shared" si="7"/>
        <v>0</v>
      </c>
      <c r="E208" s="59">
        <f t="shared" si="8"/>
        <v>0</v>
      </c>
      <c r="F208" s="59">
        <f t="shared" ref="F208:F259" si="9">MAX(F207-H208,0)</f>
        <v>688</v>
      </c>
      <c r="H208" s="10"/>
    </row>
    <row r="209" spans="1:8">
      <c r="A209" s="10">
        <v>194</v>
      </c>
      <c r="B209" s="12">
        <v>10</v>
      </c>
      <c r="C209">
        <v>1</v>
      </c>
      <c r="D209" s="59">
        <f t="shared" ref="D209:D259" si="10">IF(MOD(A209,5)=0,1,0)</f>
        <v>0</v>
      </c>
      <c r="E209" s="59">
        <f t="shared" ref="E209:E259" si="11">MAX(E208-B209,0)</f>
        <v>0</v>
      </c>
      <c r="F209" s="59">
        <f t="shared" si="9"/>
        <v>688</v>
      </c>
      <c r="H209" s="10"/>
    </row>
    <row r="210" spans="1:8">
      <c r="A210" s="12">
        <v>195</v>
      </c>
      <c r="B210" s="12">
        <v>10</v>
      </c>
      <c r="C210">
        <v>2</v>
      </c>
      <c r="D210" s="59">
        <f t="shared" si="10"/>
        <v>1</v>
      </c>
      <c r="E210" s="59">
        <f t="shared" si="11"/>
        <v>0</v>
      </c>
      <c r="F210" s="59">
        <f t="shared" si="9"/>
        <v>688</v>
      </c>
      <c r="H210" s="10"/>
    </row>
    <row r="211" spans="1:8">
      <c r="A211" s="12">
        <v>196</v>
      </c>
      <c r="B211" s="12">
        <v>10</v>
      </c>
      <c r="C211">
        <v>1</v>
      </c>
      <c r="D211" s="59">
        <f t="shared" si="10"/>
        <v>0</v>
      </c>
      <c r="E211" s="59">
        <f t="shared" si="11"/>
        <v>0</v>
      </c>
      <c r="F211" s="59">
        <f t="shared" si="9"/>
        <v>688</v>
      </c>
      <c r="H211" s="10"/>
    </row>
    <row r="212" spans="1:8">
      <c r="A212" s="10">
        <v>197</v>
      </c>
      <c r="B212" s="12">
        <v>10</v>
      </c>
      <c r="C212">
        <v>1</v>
      </c>
      <c r="D212" s="59">
        <f t="shared" si="10"/>
        <v>0</v>
      </c>
      <c r="E212" s="59">
        <f t="shared" si="11"/>
        <v>0</v>
      </c>
      <c r="F212" s="59">
        <f t="shared" si="9"/>
        <v>688</v>
      </c>
      <c r="H212" s="10"/>
    </row>
    <row r="213" spans="1:8">
      <c r="A213" s="12">
        <v>198</v>
      </c>
      <c r="B213" s="12">
        <v>10</v>
      </c>
      <c r="C213">
        <v>1</v>
      </c>
      <c r="D213" s="59">
        <f t="shared" si="10"/>
        <v>0</v>
      </c>
      <c r="E213" s="59">
        <f t="shared" si="11"/>
        <v>0</v>
      </c>
      <c r="F213" s="59">
        <f t="shared" si="9"/>
        <v>688</v>
      </c>
      <c r="H213" s="10"/>
    </row>
    <row r="214" spans="1:8">
      <c r="A214" s="12">
        <v>199</v>
      </c>
      <c r="B214" s="12">
        <v>10</v>
      </c>
      <c r="C214">
        <v>1</v>
      </c>
      <c r="D214" s="59">
        <f t="shared" si="10"/>
        <v>0</v>
      </c>
      <c r="E214" s="59">
        <f t="shared" si="11"/>
        <v>0</v>
      </c>
      <c r="F214" s="59">
        <f t="shared" si="9"/>
        <v>688</v>
      </c>
      <c r="H214" s="10"/>
    </row>
    <row r="215" spans="1:8">
      <c r="A215" s="12">
        <v>200</v>
      </c>
      <c r="B215" s="12">
        <v>10</v>
      </c>
      <c r="C215">
        <v>2</v>
      </c>
      <c r="D215" s="59">
        <f t="shared" si="10"/>
        <v>1</v>
      </c>
      <c r="E215" s="59">
        <f t="shared" si="11"/>
        <v>0</v>
      </c>
      <c r="F215" s="59">
        <f t="shared" si="9"/>
        <v>688</v>
      </c>
      <c r="H215" s="10"/>
    </row>
    <row r="216" spans="1:8">
      <c r="A216" s="12">
        <v>201</v>
      </c>
      <c r="B216" s="12">
        <v>10</v>
      </c>
      <c r="C216">
        <v>1</v>
      </c>
      <c r="D216" s="59">
        <f t="shared" si="10"/>
        <v>0</v>
      </c>
      <c r="E216" s="59">
        <f t="shared" si="11"/>
        <v>0</v>
      </c>
      <c r="F216" s="59">
        <f t="shared" si="9"/>
        <v>688</v>
      </c>
      <c r="H216" s="10"/>
    </row>
    <row r="217" spans="1:8">
      <c r="A217" s="10">
        <v>202</v>
      </c>
      <c r="B217" s="12">
        <v>10</v>
      </c>
      <c r="C217">
        <v>1</v>
      </c>
      <c r="D217" s="59">
        <f t="shared" si="10"/>
        <v>0</v>
      </c>
      <c r="E217" s="59">
        <f t="shared" si="11"/>
        <v>0</v>
      </c>
      <c r="F217" s="59">
        <f t="shared" si="9"/>
        <v>688</v>
      </c>
      <c r="H217" s="10"/>
    </row>
    <row r="218" spans="1:8">
      <c r="A218" s="12">
        <v>203</v>
      </c>
      <c r="B218" s="12">
        <v>10</v>
      </c>
      <c r="C218">
        <v>1</v>
      </c>
      <c r="D218" s="59">
        <f t="shared" si="10"/>
        <v>0</v>
      </c>
      <c r="E218" s="59">
        <f t="shared" si="11"/>
        <v>0</v>
      </c>
      <c r="F218" s="59">
        <f t="shared" si="9"/>
        <v>688</v>
      </c>
      <c r="H218" s="10"/>
    </row>
    <row r="219" spans="1:8">
      <c r="A219" s="12">
        <v>204</v>
      </c>
      <c r="B219" s="12">
        <v>10</v>
      </c>
      <c r="C219">
        <v>1</v>
      </c>
      <c r="D219" s="59">
        <f t="shared" si="10"/>
        <v>0</v>
      </c>
      <c r="E219" s="59">
        <f t="shared" si="11"/>
        <v>0</v>
      </c>
      <c r="F219" s="59">
        <f t="shared" si="9"/>
        <v>688</v>
      </c>
      <c r="H219" s="10"/>
    </row>
    <row r="220" spans="1:8">
      <c r="A220" s="12">
        <v>205</v>
      </c>
      <c r="B220" s="12">
        <v>10</v>
      </c>
      <c r="C220">
        <v>2</v>
      </c>
      <c r="D220" s="59">
        <f t="shared" si="10"/>
        <v>1</v>
      </c>
      <c r="E220" s="59">
        <f t="shared" si="11"/>
        <v>0</v>
      </c>
      <c r="F220" s="59">
        <f t="shared" si="9"/>
        <v>688</v>
      </c>
      <c r="H220" s="10"/>
    </row>
    <row r="221" spans="1:8">
      <c r="A221" s="12">
        <v>206</v>
      </c>
      <c r="B221" s="12">
        <v>10</v>
      </c>
      <c r="C221">
        <v>1</v>
      </c>
      <c r="D221" s="59">
        <f t="shared" si="10"/>
        <v>0</v>
      </c>
      <c r="E221" s="59">
        <f t="shared" si="11"/>
        <v>0</v>
      </c>
      <c r="F221" s="59">
        <f t="shared" si="9"/>
        <v>688</v>
      </c>
      <c r="H221" s="10"/>
    </row>
    <row r="222" spans="1:8">
      <c r="A222" s="10">
        <v>207</v>
      </c>
      <c r="B222" s="12">
        <v>10</v>
      </c>
      <c r="C222">
        <v>1</v>
      </c>
      <c r="D222" s="59">
        <f t="shared" si="10"/>
        <v>0</v>
      </c>
      <c r="E222" s="59">
        <f t="shared" si="11"/>
        <v>0</v>
      </c>
      <c r="F222" s="59">
        <f t="shared" si="9"/>
        <v>688</v>
      </c>
      <c r="H222" s="10"/>
    </row>
    <row r="223" spans="1:8">
      <c r="A223" s="12">
        <v>208</v>
      </c>
      <c r="B223" s="12">
        <v>10</v>
      </c>
      <c r="C223">
        <v>1</v>
      </c>
      <c r="D223" s="59">
        <f t="shared" si="10"/>
        <v>0</v>
      </c>
      <c r="E223" s="59">
        <f t="shared" si="11"/>
        <v>0</v>
      </c>
      <c r="F223" s="59">
        <f t="shared" si="9"/>
        <v>688</v>
      </c>
      <c r="H223" s="10"/>
    </row>
    <row r="224" spans="1:8">
      <c r="A224" s="12">
        <v>209</v>
      </c>
      <c r="B224" s="12">
        <v>10</v>
      </c>
      <c r="C224">
        <v>1</v>
      </c>
      <c r="D224" s="59">
        <f t="shared" si="10"/>
        <v>0</v>
      </c>
      <c r="E224" s="59">
        <f t="shared" si="11"/>
        <v>0</v>
      </c>
      <c r="F224" s="59">
        <f t="shared" si="9"/>
        <v>688</v>
      </c>
      <c r="H224" s="10"/>
    </row>
    <row r="225" spans="1:8">
      <c r="A225" s="12">
        <v>210</v>
      </c>
      <c r="B225" s="12">
        <v>10</v>
      </c>
      <c r="C225">
        <v>2</v>
      </c>
      <c r="D225" s="59">
        <f t="shared" si="10"/>
        <v>1</v>
      </c>
      <c r="E225" s="59">
        <f t="shared" si="11"/>
        <v>0</v>
      </c>
      <c r="F225" s="59">
        <f t="shared" si="9"/>
        <v>688</v>
      </c>
      <c r="H225" s="10"/>
    </row>
    <row r="226" spans="1:8">
      <c r="A226" s="12">
        <v>211</v>
      </c>
      <c r="B226" s="12">
        <v>10</v>
      </c>
      <c r="C226">
        <v>1</v>
      </c>
      <c r="D226" s="59">
        <f t="shared" si="10"/>
        <v>0</v>
      </c>
      <c r="E226" s="59">
        <f t="shared" si="11"/>
        <v>0</v>
      </c>
      <c r="F226" s="59">
        <f t="shared" si="9"/>
        <v>688</v>
      </c>
      <c r="H226" s="10"/>
    </row>
    <row r="227" spans="1:8">
      <c r="A227" s="10">
        <v>212</v>
      </c>
      <c r="B227" s="12">
        <v>10</v>
      </c>
      <c r="C227">
        <v>1</v>
      </c>
      <c r="D227" s="59">
        <f t="shared" si="10"/>
        <v>0</v>
      </c>
      <c r="E227" s="59">
        <f t="shared" si="11"/>
        <v>0</v>
      </c>
      <c r="F227" s="59">
        <f t="shared" si="9"/>
        <v>688</v>
      </c>
      <c r="H227" s="10"/>
    </row>
    <row r="228" spans="1:8">
      <c r="A228" s="12">
        <v>213</v>
      </c>
      <c r="B228" s="12">
        <v>10</v>
      </c>
      <c r="C228">
        <v>1</v>
      </c>
      <c r="D228" s="59">
        <f t="shared" si="10"/>
        <v>0</v>
      </c>
      <c r="E228" s="59">
        <f t="shared" si="11"/>
        <v>0</v>
      </c>
      <c r="F228" s="59">
        <f t="shared" si="9"/>
        <v>688</v>
      </c>
      <c r="H228" s="10"/>
    </row>
    <row r="229" spans="1:8">
      <c r="A229" s="12">
        <v>214</v>
      </c>
      <c r="B229" s="12">
        <v>10</v>
      </c>
      <c r="C229">
        <v>1</v>
      </c>
      <c r="D229" s="59">
        <f t="shared" si="10"/>
        <v>0</v>
      </c>
      <c r="E229" s="59">
        <f t="shared" si="11"/>
        <v>0</v>
      </c>
      <c r="F229" s="59">
        <f t="shared" si="9"/>
        <v>688</v>
      </c>
      <c r="H229" s="10"/>
    </row>
    <row r="230" spans="1:8">
      <c r="A230" s="12">
        <v>215</v>
      </c>
      <c r="B230" s="12">
        <v>10</v>
      </c>
      <c r="C230">
        <v>2</v>
      </c>
      <c r="D230" s="59">
        <f t="shared" si="10"/>
        <v>1</v>
      </c>
      <c r="E230" s="59">
        <f t="shared" si="11"/>
        <v>0</v>
      </c>
      <c r="F230" s="59">
        <f t="shared" si="9"/>
        <v>688</v>
      </c>
      <c r="H230" s="10"/>
    </row>
    <row r="231" spans="1:8">
      <c r="A231" s="12">
        <v>216</v>
      </c>
      <c r="B231" s="12">
        <v>10</v>
      </c>
      <c r="C231">
        <v>1</v>
      </c>
      <c r="D231" s="59">
        <f t="shared" si="10"/>
        <v>0</v>
      </c>
      <c r="E231" s="59">
        <f t="shared" si="11"/>
        <v>0</v>
      </c>
      <c r="F231" s="59">
        <f t="shared" si="9"/>
        <v>688</v>
      </c>
      <c r="H231" s="10"/>
    </row>
    <row r="232" spans="1:8">
      <c r="A232" s="10">
        <v>217</v>
      </c>
      <c r="B232" s="12">
        <v>10</v>
      </c>
      <c r="C232">
        <v>1</v>
      </c>
      <c r="D232" s="59">
        <f t="shared" si="10"/>
        <v>0</v>
      </c>
      <c r="E232" s="59">
        <f t="shared" si="11"/>
        <v>0</v>
      </c>
      <c r="F232" s="59">
        <f t="shared" si="9"/>
        <v>688</v>
      </c>
      <c r="H232" s="10"/>
    </row>
    <row r="233" spans="1:8">
      <c r="A233" s="12">
        <v>218</v>
      </c>
      <c r="B233" s="12">
        <v>10</v>
      </c>
      <c r="C233">
        <v>1</v>
      </c>
      <c r="D233" s="59">
        <f t="shared" si="10"/>
        <v>0</v>
      </c>
      <c r="E233" s="59">
        <f t="shared" si="11"/>
        <v>0</v>
      </c>
      <c r="F233" s="59">
        <f t="shared" si="9"/>
        <v>688</v>
      </c>
      <c r="H233" s="10"/>
    </row>
    <row r="234" spans="1:8">
      <c r="A234" s="12">
        <v>219</v>
      </c>
      <c r="B234" s="12">
        <v>10</v>
      </c>
      <c r="C234">
        <v>1</v>
      </c>
      <c r="D234" s="59">
        <f t="shared" si="10"/>
        <v>0</v>
      </c>
      <c r="E234" s="59">
        <f t="shared" si="11"/>
        <v>0</v>
      </c>
      <c r="F234" s="59">
        <f t="shared" si="9"/>
        <v>688</v>
      </c>
      <c r="H234" s="10"/>
    </row>
    <row r="235" spans="1:8">
      <c r="A235" s="10">
        <v>220</v>
      </c>
      <c r="B235" s="12">
        <v>10</v>
      </c>
      <c r="C235">
        <v>2</v>
      </c>
      <c r="D235" s="59">
        <f t="shared" si="10"/>
        <v>1</v>
      </c>
      <c r="E235" s="59">
        <f t="shared" si="11"/>
        <v>0</v>
      </c>
      <c r="F235" s="59">
        <f t="shared" si="9"/>
        <v>688</v>
      </c>
      <c r="H235" s="10"/>
    </row>
    <row r="236" spans="1:8">
      <c r="A236" s="12">
        <v>221</v>
      </c>
      <c r="B236" s="12">
        <v>10</v>
      </c>
      <c r="C236">
        <v>1</v>
      </c>
      <c r="D236" s="59">
        <f t="shared" si="10"/>
        <v>0</v>
      </c>
      <c r="E236" s="59">
        <f t="shared" si="11"/>
        <v>0</v>
      </c>
      <c r="F236" s="59">
        <f t="shared" si="9"/>
        <v>688</v>
      </c>
      <c r="H236" s="10"/>
    </row>
    <row r="237" spans="1:8">
      <c r="A237" s="12">
        <v>222</v>
      </c>
      <c r="B237" s="12">
        <v>10</v>
      </c>
      <c r="C237">
        <v>1</v>
      </c>
      <c r="D237" s="59">
        <f t="shared" si="10"/>
        <v>0</v>
      </c>
      <c r="E237" s="59">
        <f t="shared" si="11"/>
        <v>0</v>
      </c>
      <c r="F237" s="59">
        <f t="shared" si="9"/>
        <v>688</v>
      </c>
      <c r="H237" s="10"/>
    </row>
    <row r="238" spans="1:8">
      <c r="A238" s="12">
        <v>223</v>
      </c>
      <c r="B238" s="12">
        <v>10</v>
      </c>
      <c r="C238">
        <v>1</v>
      </c>
      <c r="D238" s="59">
        <f t="shared" si="10"/>
        <v>0</v>
      </c>
      <c r="E238" s="59">
        <f t="shared" si="11"/>
        <v>0</v>
      </c>
      <c r="F238" s="59">
        <f t="shared" si="9"/>
        <v>688</v>
      </c>
      <c r="H238" s="10"/>
    </row>
    <row r="239" spans="1:8">
      <c r="A239" s="12">
        <v>224</v>
      </c>
      <c r="B239" s="12">
        <v>10</v>
      </c>
      <c r="C239">
        <v>1</v>
      </c>
      <c r="D239" s="59">
        <f t="shared" si="10"/>
        <v>0</v>
      </c>
      <c r="E239" s="59">
        <f t="shared" si="11"/>
        <v>0</v>
      </c>
      <c r="F239" s="59">
        <f t="shared" si="9"/>
        <v>688</v>
      </c>
      <c r="H239" s="10"/>
    </row>
    <row r="240" spans="1:8">
      <c r="A240" s="10">
        <v>225</v>
      </c>
      <c r="B240" s="12">
        <v>10</v>
      </c>
      <c r="C240">
        <v>2</v>
      </c>
      <c r="D240" s="59">
        <f t="shared" si="10"/>
        <v>1</v>
      </c>
      <c r="E240" s="59">
        <f t="shared" si="11"/>
        <v>0</v>
      </c>
      <c r="F240" s="59">
        <f t="shared" si="9"/>
        <v>688</v>
      </c>
      <c r="H240" s="10"/>
    </row>
    <row r="241" spans="1:8">
      <c r="A241" s="12">
        <v>226</v>
      </c>
      <c r="B241" s="12">
        <v>10</v>
      </c>
      <c r="C241">
        <v>1</v>
      </c>
      <c r="D241" s="59">
        <f t="shared" si="10"/>
        <v>0</v>
      </c>
      <c r="E241" s="59">
        <f t="shared" si="11"/>
        <v>0</v>
      </c>
      <c r="F241" s="59">
        <f t="shared" si="9"/>
        <v>688</v>
      </c>
      <c r="H241" s="10"/>
    </row>
    <row r="242" spans="1:8">
      <c r="A242" s="12">
        <v>227</v>
      </c>
      <c r="B242" s="12">
        <v>10</v>
      </c>
      <c r="C242">
        <v>1</v>
      </c>
      <c r="D242" s="59">
        <f t="shared" si="10"/>
        <v>0</v>
      </c>
      <c r="E242" s="59">
        <f t="shared" si="11"/>
        <v>0</v>
      </c>
      <c r="F242" s="59">
        <f t="shared" si="9"/>
        <v>688</v>
      </c>
      <c r="H242" s="10"/>
    </row>
    <row r="243" spans="1:8">
      <c r="A243" s="12">
        <v>228</v>
      </c>
      <c r="B243" s="12">
        <v>10</v>
      </c>
      <c r="C243">
        <v>1</v>
      </c>
      <c r="D243" s="59">
        <f t="shared" si="10"/>
        <v>0</v>
      </c>
      <c r="E243" s="59">
        <f t="shared" si="11"/>
        <v>0</v>
      </c>
      <c r="F243" s="59">
        <f t="shared" si="9"/>
        <v>688</v>
      </c>
      <c r="H243" s="10"/>
    </row>
    <row r="244" spans="1:8">
      <c r="A244" s="12">
        <v>229</v>
      </c>
      <c r="B244" s="12">
        <v>10</v>
      </c>
      <c r="C244">
        <v>1</v>
      </c>
      <c r="D244" s="59">
        <f t="shared" si="10"/>
        <v>0</v>
      </c>
      <c r="E244" s="59">
        <f t="shared" si="11"/>
        <v>0</v>
      </c>
      <c r="F244" s="59">
        <f t="shared" si="9"/>
        <v>688</v>
      </c>
      <c r="H244" s="10"/>
    </row>
    <row r="245" spans="1:8">
      <c r="A245" s="12">
        <v>230</v>
      </c>
      <c r="B245" s="12">
        <v>10</v>
      </c>
      <c r="C245">
        <v>2</v>
      </c>
      <c r="D245" s="59">
        <f t="shared" si="10"/>
        <v>1</v>
      </c>
      <c r="E245" s="59">
        <f t="shared" si="11"/>
        <v>0</v>
      </c>
      <c r="F245" s="59">
        <f t="shared" si="9"/>
        <v>688</v>
      </c>
      <c r="H245" s="10"/>
    </row>
    <row r="246" spans="1:8">
      <c r="A246" s="12">
        <v>231</v>
      </c>
      <c r="B246" s="12">
        <v>10</v>
      </c>
      <c r="C246">
        <v>1</v>
      </c>
      <c r="D246" s="59">
        <f t="shared" si="10"/>
        <v>0</v>
      </c>
      <c r="E246" s="59">
        <f t="shared" si="11"/>
        <v>0</v>
      </c>
      <c r="F246" s="59">
        <f t="shared" si="9"/>
        <v>688</v>
      </c>
      <c r="H246" s="10"/>
    </row>
    <row r="247" spans="1:8">
      <c r="A247" s="10">
        <v>232</v>
      </c>
      <c r="B247" s="12">
        <v>10</v>
      </c>
      <c r="C247">
        <v>1</v>
      </c>
      <c r="D247" s="59">
        <f t="shared" si="10"/>
        <v>0</v>
      </c>
      <c r="E247" s="59">
        <f t="shared" si="11"/>
        <v>0</v>
      </c>
      <c r="F247" s="59">
        <f t="shared" si="9"/>
        <v>688</v>
      </c>
      <c r="H247" s="10"/>
    </row>
    <row r="248" spans="1:8">
      <c r="A248" s="12">
        <v>233</v>
      </c>
      <c r="B248" s="12">
        <v>10</v>
      </c>
      <c r="C248">
        <v>1</v>
      </c>
      <c r="D248" s="59">
        <f t="shared" si="10"/>
        <v>0</v>
      </c>
      <c r="E248" s="59">
        <f t="shared" si="11"/>
        <v>0</v>
      </c>
      <c r="F248" s="59">
        <f t="shared" si="9"/>
        <v>688</v>
      </c>
      <c r="H248" s="10"/>
    </row>
    <row r="249" spans="1:8">
      <c r="A249" s="12">
        <v>234</v>
      </c>
      <c r="B249" s="12">
        <v>10</v>
      </c>
      <c r="C249">
        <v>1</v>
      </c>
      <c r="D249" s="59">
        <f t="shared" si="10"/>
        <v>0</v>
      </c>
      <c r="E249" s="59">
        <f t="shared" si="11"/>
        <v>0</v>
      </c>
      <c r="F249" s="59">
        <f t="shared" si="9"/>
        <v>688</v>
      </c>
      <c r="H249" s="10"/>
    </row>
    <row r="250" spans="1:8">
      <c r="A250" s="12">
        <v>235</v>
      </c>
      <c r="B250" s="12">
        <v>10</v>
      </c>
      <c r="C250">
        <v>2</v>
      </c>
      <c r="D250" s="59">
        <f t="shared" si="10"/>
        <v>1</v>
      </c>
      <c r="E250" s="59">
        <f t="shared" si="11"/>
        <v>0</v>
      </c>
      <c r="F250" s="59">
        <f t="shared" si="9"/>
        <v>688</v>
      </c>
      <c r="H250" s="10"/>
    </row>
    <row r="251" spans="1:8">
      <c r="A251" s="12">
        <v>236</v>
      </c>
      <c r="B251" s="12">
        <v>10</v>
      </c>
      <c r="C251">
        <v>1</v>
      </c>
      <c r="D251" s="59">
        <f t="shared" si="10"/>
        <v>0</v>
      </c>
      <c r="E251" s="59">
        <f t="shared" si="11"/>
        <v>0</v>
      </c>
      <c r="F251" s="59">
        <f t="shared" si="9"/>
        <v>688</v>
      </c>
      <c r="H251" s="10"/>
    </row>
    <row r="252" spans="1:8">
      <c r="A252" s="12">
        <v>237</v>
      </c>
      <c r="B252" s="12">
        <v>10</v>
      </c>
      <c r="C252">
        <v>1</v>
      </c>
      <c r="D252" s="59">
        <f t="shared" si="10"/>
        <v>0</v>
      </c>
      <c r="E252" s="59">
        <f t="shared" si="11"/>
        <v>0</v>
      </c>
      <c r="F252" s="59">
        <f t="shared" si="9"/>
        <v>688</v>
      </c>
      <c r="H252" s="10"/>
    </row>
    <row r="253" spans="1:8">
      <c r="A253" s="12">
        <v>238</v>
      </c>
      <c r="B253" s="12">
        <v>10</v>
      </c>
      <c r="C253">
        <v>1</v>
      </c>
      <c r="D253" s="59">
        <f t="shared" si="10"/>
        <v>0</v>
      </c>
      <c r="E253" s="59">
        <f t="shared" si="11"/>
        <v>0</v>
      </c>
      <c r="F253" s="59">
        <f t="shared" si="9"/>
        <v>688</v>
      </c>
      <c r="H253" s="10"/>
    </row>
    <row r="254" spans="1:8">
      <c r="A254" s="12">
        <v>239</v>
      </c>
      <c r="B254" s="12">
        <v>10</v>
      </c>
      <c r="C254">
        <v>1</v>
      </c>
      <c r="D254" s="59">
        <f t="shared" si="10"/>
        <v>0</v>
      </c>
      <c r="E254" s="59">
        <f t="shared" si="11"/>
        <v>0</v>
      </c>
      <c r="F254" s="59">
        <f t="shared" si="9"/>
        <v>688</v>
      </c>
      <c r="H254" s="10"/>
    </row>
    <row r="255" spans="1:8">
      <c r="A255" s="12">
        <v>240</v>
      </c>
      <c r="B255" s="12">
        <v>10</v>
      </c>
      <c r="C255">
        <v>2</v>
      </c>
      <c r="D255" s="59">
        <f t="shared" si="10"/>
        <v>1</v>
      </c>
      <c r="E255" s="59">
        <f t="shared" si="11"/>
        <v>0</v>
      </c>
      <c r="F255" s="59">
        <f t="shared" si="9"/>
        <v>688</v>
      </c>
      <c r="H255" s="10"/>
    </row>
    <row r="256" spans="1:8">
      <c r="A256" s="10">
        <v>241</v>
      </c>
      <c r="B256" s="12">
        <v>10</v>
      </c>
      <c r="C256">
        <v>1</v>
      </c>
      <c r="D256" s="59">
        <f t="shared" si="10"/>
        <v>0</v>
      </c>
      <c r="E256" s="59">
        <f t="shared" si="11"/>
        <v>0</v>
      </c>
      <c r="F256" s="59">
        <f t="shared" si="9"/>
        <v>688</v>
      </c>
      <c r="H256" s="10"/>
    </row>
    <row r="257" spans="1:8">
      <c r="A257" s="12">
        <v>242</v>
      </c>
      <c r="B257" s="12">
        <v>10</v>
      </c>
      <c r="C257">
        <v>1</v>
      </c>
      <c r="D257" s="59">
        <f t="shared" si="10"/>
        <v>0</v>
      </c>
      <c r="E257" s="59">
        <f t="shared" si="11"/>
        <v>0</v>
      </c>
      <c r="F257" s="59">
        <f t="shared" si="9"/>
        <v>688</v>
      </c>
      <c r="H257" s="10"/>
    </row>
    <row r="258" spans="1:8">
      <c r="A258" s="10">
        <v>243</v>
      </c>
      <c r="B258" s="12">
        <v>10</v>
      </c>
      <c r="C258">
        <v>1</v>
      </c>
      <c r="D258" s="59">
        <f t="shared" si="10"/>
        <v>0</v>
      </c>
      <c r="E258" s="59">
        <f t="shared" si="11"/>
        <v>0</v>
      </c>
      <c r="F258" s="59">
        <f t="shared" si="9"/>
        <v>688</v>
      </c>
      <c r="H258" s="10"/>
    </row>
    <row r="259" spans="1:8">
      <c r="A259" s="12">
        <v>244</v>
      </c>
      <c r="B259" s="12">
        <v>10</v>
      </c>
      <c r="C259">
        <v>1</v>
      </c>
      <c r="D259" s="59">
        <f t="shared" si="10"/>
        <v>0</v>
      </c>
      <c r="E259" s="59">
        <f t="shared" si="11"/>
        <v>0</v>
      </c>
      <c r="F259" s="59">
        <f t="shared" si="9"/>
        <v>688</v>
      </c>
      <c r="H259" s="10"/>
    </row>
    <row r="260" spans="1:8">
      <c r="A260" s="12">
        <v>245</v>
      </c>
      <c r="B260" s="12">
        <v>10</v>
      </c>
      <c r="C260">
        <v>2</v>
      </c>
    </row>
    <row r="261" spans="1:8">
      <c r="A261" s="10">
        <v>246</v>
      </c>
      <c r="B261" s="12">
        <v>10</v>
      </c>
      <c r="C261">
        <v>1</v>
      </c>
    </row>
    <row r="262" spans="1:8">
      <c r="A262" s="12">
        <v>247</v>
      </c>
      <c r="B262" s="12">
        <v>10</v>
      </c>
      <c r="C262">
        <v>1</v>
      </c>
    </row>
    <row r="263" spans="1:8">
      <c r="A263" s="12">
        <v>248</v>
      </c>
      <c r="B263" s="12">
        <v>10</v>
      </c>
      <c r="C263">
        <v>1</v>
      </c>
    </row>
    <row r="264" spans="1:8">
      <c r="A264" s="10">
        <v>249</v>
      </c>
      <c r="B264" s="12">
        <v>10</v>
      </c>
      <c r="C264">
        <v>1</v>
      </c>
    </row>
    <row r="265" spans="1:8">
      <c r="A265" s="12">
        <v>250</v>
      </c>
      <c r="B265" s="12">
        <v>10</v>
      </c>
      <c r="C265">
        <v>2</v>
      </c>
    </row>
    <row r="266" spans="1:8">
      <c r="A266" s="12">
        <v>251</v>
      </c>
      <c r="B266" s="12">
        <v>10</v>
      </c>
      <c r="C266">
        <v>1</v>
      </c>
    </row>
    <row r="267" spans="1:8">
      <c r="A267" s="10">
        <v>252</v>
      </c>
      <c r="B267" s="12">
        <v>10</v>
      </c>
      <c r="C267">
        <v>1</v>
      </c>
    </row>
    <row r="268" spans="1:8">
      <c r="A268" s="12">
        <v>253</v>
      </c>
      <c r="B268" s="12">
        <v>10</v>
      </c>
      <c r="C268">
        <v>1</v>
      </c>
    </row>
    <row r="269" spans="1:8">
      <c r="A269" s="12">
        <v>254</v>
      </c>
      <c r="B269" s="12">
        <v>10</v>
      </c>
      <c r="C269">
        <v>1</v>
      </c>
    </row>
    <row r="270" spans="1:8">
      <c r="A270" s="10">
        <v>255</v>
      </c>
      <c r="B270" s="12">
        <v>10</v>
      </c>
      <c r="C270">
        <v>2</v>
      </c>
    </row>
    <row r="271" spans="1:8">
      <c r="A271" s="12">
        <v>256</v>
      </c>
      <c r="B271" s="12">
        <v>10</v>
      </c>
      <c r="C271">
        <v>1</v>
      </c>
    </row>
    <row r="272" spans="1:8">
      <c r="A272" s="12">
        <v>257</v>
      </c>
      <c r="B272" s="12">
        <v>10</v>
      </c>
      <c r="C272">
        <v>1</v>
      </c>
    </row>
    <row r="273" spans="1:3">
      <c r="A273" s="10">
        <v>258</v>
      </c>
      <c r="B273" s="12">
        <v>10</v>
      </c>
      <c r="C273">
        <v>1</v>
      </c>
    </row>
    <row r="274" spans="1:3">
      <c r="A274" s="12">
        <v>259</v>
      </c>
      <c r="B274" s="12">
        <v>10</v>
      </c>
      <c r="C274">
        <v>1</v>
      </c>
    </row>
    <row r="275" spans="1:3">
      <c r="A275" s="12">
        <v>260</v>
      </c>
      <c r="B275" s="12">
        <v>10</v>
      </c>
      <c r="C275">
        <v>2</v>
      </c>
    </row>
    <row r="276" spans="1:3">
      <c r="A276" s="10">
        <v>261</v>
      </c>
      <c r="B276" s="12">
        <v>10</v>
      </c>
      <c r="C276">
        <v>1</v>
      </c>
    </row>
    <row r="277" spans="1:3">
      <c r="A277" s="12">
        <v>262</v>
      </c>
      <c r="B277" s="12">
        <v>10</v>
      </c>
      <c r="C277">
        <v>1</v>
      </c>
    </row>
    <row r="278" spans="1:3">
      <c r="A278" s="12">
        <v>263</v>
      </c>
      <c r="B278" s="12">
        <v>10</v>
      </c>
      <c r="C278">
        <v>1</v>
      </c>
    </row>
    <row r="279" spans="1:3">
      <c r="A279" s="10">
        <v>264</v>
      </c>
      <c r="B279" s="12">
        <v>10</v>
      </c>
      <c r="C279">
        <v>1</v>
      </c>
    </row>
    <row r="280" spans="1:3">
      <c r="A280" s="12">
        <v>265</v>
      </c>
      <c r="B280" s="12">
        <v>10</v>
      </c>
      <c r="C280">
        <v>2</v>
      </c>
    </row>
    <row r="281" spans="1:3">
      <c r="A281" s="12">
        <v>266</v>
      </c>
      <c r="B281" s="12">
        <v>10</v>
      </c>
      <c r="C281">
        <v>1</v>
      </c>
    </row>
    <row r="282" spans="1:3">
      <c r="A282" s="10">
        <v>267</v>
      </c>
      <c r="B282" s="12">
        <v>10</v>
      </c>
      <c r="C282">
        <v>1</v>
      </c>
    </row>
    <row r="283" spans="1:3">
      <c r="A283" s="12">
        <v>268</v>
      </c>
      <c r="B283" s="12">
        <v>10</v>
      </c>
      <c r="C283">
        <v>1</v>
      </c>
    </row>
    <row r="284" spans="1:3">
      <c r="A284" s="12">
        <v>269</v>
      </c>
      <c r="B284" s="12">
        <v>10</v>
      </c>
      <c r="C284">
        <v>1</v>
      </c>
    </row>
    <row r="285" spans="1:3">
      <c r="A285" s="10">
        <v>270</v>
      </c>
      <c r="B285" s="12">
        <v>10</v>
      </c>
      <c r="C285">
        <v>2</v>
      </c>
    </row>
    <row r="286" spans="1:3">
      <c r="A286" s="12">
        <v>271</v>
      </c>
      <c r="B286" s="12">
        <v>10</v>
      </c>
      <c r="C286">
        <v>1</v>
      </c>
    </row>
    <row r="287" spans="1:3">
      <c r="A287" s="12">
        <v>272</v>
      </c>
      <c r="B287" s="12">
        <v>10</v>
      </c>
      <c r="C287">
        <v>1</v>
      </c>
    </row>
    <row r="288" spans="1:3">
      <c r="A288" s="10">
        <v>273</v>
      </c>
      <c r="B288" s="12">
        <v>10</v>
      </c>
      <c r="C288">
        <v>1</v>
      </c>
    </row>
    <row r="289" spans="1:3">
      <c r="A289" s="12">
        <v>274</v>
      </c>
      <c r="B289" s="12">
        <v>10</v>
      </c>
      <c r="C289">
        <v>1</v>
      </c>
    </row>
    <row r="290" spans="1:3">
      <c r="A290" s="12">
        <v>275</v>
      </c>
      <c r="B290" s="12">
        <v>10</v>
      </c>
      <c r="C290">
        <v>2</v>
      </c>
    </row>
    <row r="291" spans="1:3">
      <c r="A291" s="10">
        <v>276</v>
      </c>
      <c r="B291" s="12">
        <v>10</v>
      </c>
      <c r="C291">
        <v>1</v>
      </c>
    </row>
    <row r="292" spans="1:3">
      <c r="A292" s="12">
        <v>277</v>
      </c>
      <c r="B292" s="12">
        <v>10</v>
      </c>
      <c r="C292">
        <v>1</v>
      </c>
    </row>
    <row r="293" spans="1:3">
      <c r="A293" s="12">
        <v>278</v>
      </c>
      <c r="B293" s="12">
        <v>10</v>
      </c>
      <c r="C293">
        <v>1</v>
      </c>
    </row>
    <row r="294" spans="1:3">
      <c r="A294" s="10">
        <v>279</v>
      </c>
      <c r="B294" s="12">
        <v>10</v>
      </c>
      <c r="C294">
        <v>1</v>
      </c>
    </row>
    <row r="295" spans="1:3">
      <c r="A295" s="12">
        <v>280</v>
      </c>
      <c r="B295" s="12">
        <v>10</v>
      </c>
      <c r="C295">
        <v>2</v>
      </c>
    </row>
    <row r="296" spans="1:3">
      <c r="A296" s="12">
        <v>281</v>
      </c>
      <c r="B296" s="12">
        <v>10</v>
      </c>
      <c r="C296">
        <v>1</v>
      </c>
    </row>
    <row r="297" spans="1:3">
      <c r="A297" s="10">
        <v>282</v>
      </c>
      <c r="B297" s="12">
        <v>10</v>
      </c>
      <c r="C297">
        <v>1</v>
      </c>
    </row>
    <row r="298" spans="1:3">
      <c r="A298" s="12">
        <v>283</v>
      </c>
      <c r="B298" s="12">
        <v>10</v>
      </c>
      <c r="C298">
        <v>1</v>
      </c>
    </row>
    <row r="299" spans="1:3">
      <c r="A299" s="12">
        <v>284</v>
      </c>
      <c r="B299" s="12">
        <v>10</v>
      </c>
      <c r="C299">
        <v>1</v>
      </c>
    </row>
    <row r="300" spans="1:3">
      <c r="A300" s="10">
        <v>285</v>
      </c>
      <c r="B300" s="12">
        <v>10</v>
      </c>
      <c r="C300">
        <v>2</v>
      </c>
    </row>
    <row r="301" spans="1:3">
      <c r="A301" s="12">
        <v>286</v>
      </c>
      <c r="B301" s="12">
        <v>10</v>
      </c>
      <c r="C301">
        <v>1</v>
      </c>
    </row>
    <row r="302" spans="1:3">
      <c r="A302" s="12">
        <v>287</v>
      </c>
      <c r="B302" s="12">
        <v>10</v>
      </c>
      <c r="C302">
        <v>1</v>
      </c>
    </row>
    <row r="303" spans="1:3">
      <c r="A303" s="10">
        <v>288</v>
      </c>
      <c r="B303" s="12">
        <v>10</v>
      </c>
      <c r="C303">
        <v>1</v>
      </c>
    </row>
    <row r="304" spans="1:3">
      <c r="A304" s="12">
        <v>289</v>
      </c>
      <c r="B304" s="12">
        <v>10</v>
      </c>
      <c r="C304">
        <v>1</v>
      </c>
    </row>
    <row r="305" spans="1:3">
      <c r="A305" s="12">
        <v>290</v>
      </c>
      <c r="B305" s="12">
        <v>10</v>
      </c>
      <c r="C305">
        <v>2</v>
      </c>
    </row>
    <row r="306" spans="1:3">
      <c r="A306" s="10">
        <v>291</v>
      </c>
      <c r="B306" s="12">
        <v>10</v>
      </c>
      <c r="C306">
        <v>1</v>
      </c>
    </row>
    <row r="307" spans="1:3">
      <c r="A307" s="12">
        <v>292</v>
      </c>
      <c r="B307" s="12">
        <v>10</v>
      </c>
      <c r="C307">
        <v>1</v>
      </c>
    </row>
    <row r="308" spans="1:3">
      <c r="A308" s="12">
        <v>293</v>
      </c>
      <c r="B308" s="12">
        <v>10</v>
      </c>
      <c r="C308">
        <v>1</v>
      </c>
    </row>
    <row r="309" spans="1:3">
      <c r="A309" s="10">
        <v>294</v>
      </c>
      <c r="B309" s="12">
        <v>10</v>
      </c>
      <c r="C309">
        <v>1</v>
      </c>
    </row>
    <row r="310" spans="1:3">
      <c r="A310" s="12">
        <v>295</v>
      </c>
      <c r="B310" s="12">
        <v>10</v>
      </c>
      <c r="C310">
        <v>2</v>
      </c>
    </row>
    <row r="311" spans="1:3">
      <c r="A311" s="12">
        <v>296</v>
      </c>
      <c r="B311" s="12">
        <v>10</v>
      </c>
      <c r="C311">
        <v>1</v>
      </c>
    </row>
    <row r="312" spans="1:3">
      <c r="A312" s="10">
        <v>297</v>
      </c>
      <c r="B312" s="12">
        <v>10</v>
      </c>
      <c r="C312">
        <v>1</v>
      </c>
    </row>
    <row r="313" spans="1:3">
      <c r="A313" s="12">
        <v>298</v>
      </c>
      <c r="B313" s="12">
        <v>10</v>
      </c>
      <c r="C313">
        <v>1</v>
      </c>
    </row>
    <row r="314" spans="1:3">
      <c r="A314" s="12">
        <v>299</v>
      </c>
      <c r="B314" s="12">
        <v>10</v>
      </c>
      <c r="C314">
        <v>1</v>
      </c>
    </row>
    <row r="315" spans="1:3">
      <c r="A315" s="10">
        <v>300</v>
      </c>
      <c r="B315" s="12">
        <v>10</v>
      </c>
      <c r="C315">
        <v>2</v>
      </c>
    </row>
    <row r="316" spans="1:3">
      <c r="A316" s="12"/>
      <c r="B316" s="12"/>
    </row>
    <row r="317" spans="1:3">
      <c r="A317" s="12"/>
      <c r="B317" s="12"/>
    </row>
    <row r="318" spans="1:3">
      <c r="A318" s="10"/>
      <c r="B318" s="12"/>
    </row>
    <row r="319" spans="1:3">
      <c r="A319" s="12"/>
      <c r="B319" s="12"/>
    </row>
    <row r="320" spans="1:3">
      <c r="A320" s="12"/>
      <c r="B320" s="12"/>
    </row>
    <row r="321" spans="1:2">
      <c r="A321" s="10"/>
      <c r="B321" s="12"/>
    </row>
    <row r="322" spans="1:2">
      <c r="A322" s="12"/>
      <c r="B322" s="12"/>
    </row>
    <row r="323" spans="1:2">
      <c r="A323" s="12"/>
      <c r="B323" s="12"/>
    </row>
    <row r="324" spans="1:2">
      <c r="A324" s="10"/>
      <c r="B324" s="12"/>
    </row>
    <row r="325" spans="1:2">
      <c r="A325" s="12"/>
      <c r="B325" s="12"/>
    </row>
    <row r="326" spans="1:2">
      <c r="A326" s="12"/>
      <c r="B326" s="12"/>
    </row>
    <row r="327" spans="1:2">
      <c r="A327" s="10"/>
      <c r="B327" s="12"/>
    </row>
    <row r="328" spans="1:2">
      <c r="A328" s="12"/>
      <c r="B328" s="12"/>
    </row>
    <row r="329" spans="1:2">
      <c r="A329" s="12"/>
      <c r="B329" s="12"/>
    </row>
    <row r="330" spans="1:2">
      <c r="A330" s="10"/>
      <c r="B330" s="12"/>
    </row>
    <row r="331" spans="1:2">
      <c r="A331" s="12"/>
      <c r="B331" s="12"/>
    </row>
    <row r="332" spans="1:2">
      <c r="A332" s="12"/>
      <c r="B332" s="12"/>
    </row>
    <row r="333" spans="1:2">
      <c r="A333" s="10"/>
      <c r="B333" s="12"/>
    </row>
    <row r="334" spans="1:2">
      <c r="A334" s="12"/>
      <c r="B334" s="12"/>
    </row>
    <row r="335" spans="1:2">
      <c r="A335" s="12"/>
      <c r="B335" s="12"/>
    </row>
    <row r="336" spans="1:2">
      <c r="A336" s="10"/>
      <c r="B336" s="12"/>
    </row>
    <row r="337" spans="1:2">
      <c r="A337" s="12"/>
      <c r="B337" s="12"/>
    </row>
    <row r="338" spans="1:2">
      <c r="A338" s="12"/>
      <c r="B338" s="12"/>
    </row>
    <row r="339" spans="1:2">
      <c r="A339" s="10"/>
      <c r="B339" s="12"/>
    </row>
    <row r="340" spans="1:2">
      <c r="A340" s="12"/>
      <c r="B340" s="12"/>
    </row>
    <row r="341" spans="1:2">
      <c r="A341" s="12"/>
      <c r="B341" s="12"/>
    </row>
    <row r="342" spans="1:2">
      <c r="A342" s="10"/>
      <c r="B342" s="12"/>
    </row>
    <row r="343" spans="1:2">
      <c r="A343" s="12"/>
      <c r="B343" s="12"/>
    </row>
    <row r="344" spans="1:2">
      <c r="A344" s="12"/>
      <c r="B344" s="12"/>
    </row>
    <row r="345" spans="1:2">
      <c r="A345" s="10"/>
      <c r="B345" s="12"/>
    </row>
    <row r="346" spans="1:2">
      <c r="A346" s="12"/>
      <c r="B346" s="12"/>
    </row>
    <row r="347" spans="1:2">
      <c r="A347" s="12"/>
      <c r="B347" s="12"/>
    </row>
    <row r="348" spans="1:2">
      <c r="A348" s="10"/>
      <c r="B348" s="12"/>
    </row>
    <row r="349" spans="1:2">
      <c r="A349" s="12"/>
      <c r="B349" s="12"/>
    </row>
    <row r="350" spans="1:2">
      <c r="A350" s="12"/>
      <c r="B350" s="12"/>
    </row>
    <row r="351" spans="1:2">
      <c r="A351" s="10"/>
      <c r="B351" s="12"/>
    </row>
    <row r="352" spans="1:2">
      <c r="A352" s="12"/>
      <c r="B352" s="12"/>
    </row>
    <row r="353" spans="1:2">
      <c r="A353" s="12"/>
      <c r="B353" s="12"/>
    </row>
    <row r="354" spans="1:2">
      <c r="A354" s="10"/>
      <c r="B354" s="12"/>
    </row>
    <row r="355" spans="1:2">
      <c r="A355" s="12"/>
      <c r="B355" s="12"/>
    </row>
    <row r="356" spans="1:2">
      <c r="A356" s="12"/>
      <c r="B356" s="12"/>
    </row>
    <row r="357" spans="1:2">
      <c r="A357" s="10"/>
      <c r="B357" s="12"/>
    </row>
    <row r="358" spans="1:2">
      <c r="A358" s="12"/>
      <c r="B358" s="12"/>
    </row>
    <row r="359" spans="1:2">
      <c r="A359" s="12"/>
      <c r="B359" s="12"/>
    </row>
    <row r="360" spans="1:2">
      <c r="A360" s="10"/>
      <c r="B360" s="12"/>
    </row>
    <row r="361" spans="1:2">
      <c r="A361" s="12"/>
      <c r="B361" s="12"/>
    </row>
    <row r="362" spans="1:2">
      <c r="A362" s="12"/>
      <c r="B362" s="12"/>
    </row>
    <row r="363" spans="1:2">
      <c r="A363" s="10"/>
      <c r="B363" s="12"/>
    </row>
    <row r="364" spans="1:2">
      <c r="A364" s="12"/>
      <c r="B364" s="12"/>
    </row>
    <row r="365" spans="1:2">
      <c r="A365" s="12"/>
      <c r="B365" s="12"/>
    </row>
    <row r="366" spans="1:2">
      <c r="A366" s="10"/>
      <c r="B366" s="12"/>
    </row>
    <row r="367" spans="1:2">
      <c r="A367" s="12"/>
      <c r="B367" s="12"/>
    </row>
    <row r="368" spans="1:2">
      <c r="A368" s="12"/>
      <c r="B368" s="12"/>
    </row>
    <row r="369" spans="1:2">
      <c r="A369" s="10"/>
      <c r="B369" s="12"/>
    </row>
    <row r="370" spans="1:2">
      <c r="A370" s="12"/>
      <c r="B370" s="12"/>
    </row>
    <row r="371" spans="1:2">
      <c r="A371" s="12"/>
      <c r="B371" s="12"/>
    </row>
    <row r="372" spans="1:2">
      <c r="A372" s="10"/>
      <c r="B372" s="12"/>
    </row>
    <row r="373" spans="1:2">
      <c r="A373" s="12"/>
      <c r="B373" s="12"/>
    </row>
    <row r="374" spans="1:2">
      <c r="A374" s="12"/>
      <c r="B374" s="12"/>
    </row>
    <row r="375" spans="1:2">
      <c r="A375" s="10"/>
      <c r="B375" s="12"/>
    </row>
    <row r="376" spans="1:2">
      <c r="A376" s="12"/>
      <c r="B376" s="12"/>
    </row>
    <row r="377" spans="1:2">
      <c r="A377" s="12"/>
      <c r="B377" s="12"/>
    </row>
    <row r="378" spans="1:2">
      <c r="A378" s="10"/>
      <c r="B378" s="12"/>
    </row>
    <row r="379" spans="1:2">
      <c r="A379" s="12"/>
      <c r="B379" s="12"/>
    </row>
    <row r="380" spans="1:2">
      <c r="A380" s="12"/>
      <c r="B380" s="12"/>
    </row>
    <row r="381" spans="1:2">
      <c r="A381" s="10"/>
      <c r="B381" s="12"/>
    </row>
    <row r="382" spans="1:2">
      <c r="A382" s="12"/>
      <c r="B382" s="12"/>
    </row>
    <row r="383" spans="1:2">
      <c r="A383" s="12"/>
      <c r="B383" s="12"/>
    </row>
    <row r="384" spans="1:2">
      <c r="A384" s="10"/>
      <c r="B384" s="12"/>
    </row>
    <row r="385" spans="1:2">
      <c r="A385" s="12"/>
      <c r="B385" s="12"/>
    </row>
    <row r="386" spans="1:2">
      <c r="A386" s="12"/>
      <c r="B386" s="12"/>
    </row>
    <row r="387" spans="1:2">
      <c r="A387" s="10"/>
      <c r="B387" s="12"/>
    </row>
    <row r="388" spans="1:2">
      <c r="A388" s="12"/>
      <c r="B388" s="12"/>
    </row>
    <row r="389" spans="1:2">
      <c r="A389" s="12"/>
      <c r="B389" s="12"/>
    </row>
    <row r="390" spans="1:2">
      <c r="A390" s="10"/>
      <c r="B390" s="12"/>
    </row>
    <row r="391" spans="1:2">
      <c r="A391" s="12"/>
      <c r="B391" s="12"/>
    </row>
    <row r="392" spans="1:2">
      <c r="A392" s="12"/>
      <c r="B392" s="12"/>
    </row>
    <row r="393" spans="1:2">
      <c r="A393" s="10"/>
      <c r="B393" s="12"/>
    </row>
    <row r="394" spans="1:2">
      <c r="A394" s="12"/>
      <c r="B394" s="12"/>
    </row>
    <row r="395" spans="1:2">
      <c r="A395" s="12"/>
      <c r="B395" s="12"/>
    </row>
    <row r="396" spans="1:2">
      <c r="A396" s="10"/>
      <c r="B396" s="12"/>
    </row>
    <row r="397" spans="1:2">
      <c r="A397" s="12"/>
      <c r="B397" s="12"/>
    </row>
    <row r="398" spans="1:2">
      <c r="A398" s="12"/>
      <c r="B398" s="12"/>
    </row>
    <row r="399" spans="1:2">
      <c r="A399" s="10"/>
      <c r="B399" s="12"/>
    </row>
    <row r="400" spans="1:2">
      <c r="A400" s="12"/>
      <c r="B400" s="12"/>
    </row>
    <row r="401" spans="1:2">
      <c r="A401" s="12"/>
      <c r="B401" s="12"/>
    </row>
    <row r="402" spans="1:2">
      <c r="A402" s="10"/>
      <c r="B402" s="12"/>
    </row>
    <row r="403" spans="1:2">
      <c r="A403" s="12"/>
      <c r="B403" s="12"/>
    </row>
    <row r="404" spans="1:2">
      <c r="A404" s="12"/>
      <c r="B404" s="12"/>
    </row>
    <row r="405" spans="1:2">
      <c r="A405" s="10"/>
      <c r="B405" s="12"/>
    </row>
    <row r="406" spans="1:2">
      <c r="A406" s="12"/>
      <c r="B406" s="12"/>
    </row>
    <row r="407" spans="1:2">
      <c r="A407" s="12"/>
      <c r="B407" s="12"/>
    </row>
    <row r="408" spans="1:2">
      <c r="A408" s="10"/>
      <c r="B408" s="12"/>
    </row>
    <row r="409" spans="1:2">
      <c r="A409" s="12"/>
      <c r="B409" s="12"/>
    </row>
    <row r="410" spans="1:2">
      <c r="A410" s="12"/>
      <c r="B410" s="12"/>
    </row>
    <row r="411" spans="1:2">
      <c r="A411" s="10"/>
      <c r="B411" s="12"/>
    </row>
    <row r="412" spans="1:2">
      <c r="A412" s="12"/>
      <c r="B412" s="12"/>
    </row>
    <row r="413" spans="1:2">
      <c r="A413" s="12"/>
      <c r="B413" s="12"/>
    </row>
    <row r="414" spans="1:2">
      <c r="A414" s="10"/>
      <c r="B414" s="12"/>
    </row>
    <row r="415" spans="1:2">
      <c r="A415" s="12"/>
      <c r="B415" s="12"/>
    </row>
    <row r="416" spans="1:2">
      <c r="A416" s="12"/>
      <c r="B416" s="12"/>
    </row>
    <row r="417" spans="1:2">
      <c r="A417" s="10"/>
      <c r="B417" s="12"/>
    </row>
    <row r="418" spans="1:2">
      <c r="A418" s="12"/>
      <c r="B418" s="12"/>
    </row>
    <row r="419" spans="1:2">
      <c r="A419" s="12"/>
      <c r="B419" s="12"/>
    </row>
    <row r="420" spans="1:2">
      <c r="A420" s="10"/>
      <c r="B420" s="12"/>
    </row>
    <row r="421" spans="1:2">
      <c r="A421" s="12"/>
      <c r="B421" s="12"/>
    </row>
    <row r="422" spans="1:2">
      <c r="A422" s="12"/>
      <c r="B422" s="12"/>
    </row>
    <row r="423" spans="1:2">
      <c r="A423" s="10"/>
      <c r="B423" s="12"/>
    </row>
    <row r="424" spans="1:2">
      <c r="A424" s="12"/>
      <c r="B424" s="12"/>
    </row>
    <row r="425" spans="1:2">
      <c r="A425" s="12"/>
      <c r="B425" s="12"/>
    </row>
    <row r="426" spans="1:2">
      <c r="A426" s="10"/>
      <c r="B426" s="12"/>
    </row>
    <row r="427" spans="1:2">
      <c r="A427" s="12"/>
      <c r="B427" s="12"/>
    </row>
    <row r="428" spans="1:2">
      <c r="A428" s="12"/>
      <c r="B428" s="12"/>
    </row>
    <row r="429" spans="1:2">
      <c r="A429" s="10"/>
      <c r="B429" s="12"/>
    </row>
    <row r="430" spans="1:2">
      <c r="A430" s="12"/>
      <c r="B430" s="12"/>
    </row>
    <row r="431" spans="1:2">
      <c r="A431" s="12"/>
      <c r="B431" s="12"/>
    </row>
    <row r="432" spans="1:2">
      <c r="A432" s="10"/>
      <c r="B432" s="12"/>
    </row>
    <row r="433" spans="1:2">
      <c r="A433" s="12"/>
      <c r="B433" s="12"/>
    </row>
    <row r="434" spans="1:2">
      <c r="A434" s="12"/>
      <c r="B434" s="12"/>
    </row>
    <row r="435" spans="1:2">
      <c r="A435" s="10"/>
      <c r="B435" s="12"/>
    </row>
    <row r="436" spans="1:2">
      <c r="A436" s="12"/>
      <c r="B436" s="12"/>
    </row>
    <row r="437" spans="1:2">
      <c r="A437" s="12"/>
      <c r="B437" s="12"/>
    </row>
    <row r="438" spans="1:2">
      <c r="A438" s="10"/>
      <c r="B438" s="12"/>
    </row>
    <row r="439" spans="1:2">
      <c r="A439" s="12"/>
      <c r="B439" s="12"/>
    </row>
    <row r="440" spans="1:2">
      <c r="A440" s="12"/>
      <c r="B440" s="12"/>
    </row>
    <row r="441" spans="1:2">
      <c r="A441" s="10"/>
      <c r="B441" s="12"/>
    </row>
    <row r="442" spans="1:2">
      <c r="A442" s="12"/>
      <c r="B442" s="12"/>
    </row>
    <row r="443" spans="1:2">
      <c r="A443" s="12"/>
      <c r="B443" s="12"/>
    </row>
    <row r="444" spans="1:2">
      <c r="A444" s="10"/>
      <c r="B444" s="12"/>
    </row>
    <row r="445" spans="1:2">
      <c r="A445" s="12"/>
      <c r="B445" s="12"/>
    </row>
    <row r="446" spans="1:2">
      <c r="A446" s="12"/>
      <c r="B446" s="12"/>
    </row>
    <row r="447" spans="1:2">
      <c r="A447" s="10"/>
      <c r="B447" s="12"/>
    </row>
    <row r="448" spans="1:2">
      <c r="A448" s="12"/>
      <c r="B448" s="12"/>
    </row>
    <row r="449" spans="1:2">
      <c r="A449" s="12"/>
      <c r="B449" s="12"/>
    </row>
    <row r="450" spans="1:2">
      <c r="A450" s="10"/>
      <c r="B450" s="12"/>
    </row>
    <row r="451" spans="1:2">
      <c r="A451" s="12"/>
      <c r="B451" s="12"/>
    </row>
    <row r="452" spans="1:2">
      <c r="A452" s="12"/>
      <c r="B452" s="12"/>
    </row>
    <row r="453" spans="1:2">
      <c r="A453" s="10"/>
      <c r="B453" s="12"/>
    </row>
    <row r="454" spans="1:2">
      <c r="A454" s="12"/>
      <c r="B454" s="12"/>
    </row>
    <row r="455" spans="1:2">
      <c r="A455" s="12"/>
      <c r="B455" s="12"/>
    </row>
    <row r="456" spans="1:2">
      <c r="A456" s="10"/>
      <c r="B456" s="12"/>
    </row>
    <row r="457" spans="1:2">
      <c r="A457" s="12"/>
      <c r="B457" s="12"/>
    </row>
    <row r="458" spans="1:2">
      <c r="A458" s="12"/>
      <c r="B458" s="12"/>
    </row>
    <row r="459" spans="1:2">
      <c r="A459" s="10"/>
      <c r="B459" s="12"/>
    </row>
    <row r="460" spans="1:2">
      <c r="A460" s="12"/>
      <c r="B460" s="12"/>
    </row>
    <row r="461" spans="1:2">
      <c r="A461" s="12"/>
      <c r="B461" s="12"/>
    </row>
    <row r="462" spans="1:2">
      <c r="A462" s="10"/>
      <c r="B462" s="12"/>
    </row>
    <row r="463" spans="1:2">
      <c r="A463" s="12"/>
      <c r="B463" s="12"/>
    </row>
    <row r="464" spans="1:2">
      <c r="A464" s="12"/>
      <c r="B464" s="12"/>
    </row>
    <row r="465" spans="1:2">
      <c r="A465" s="10"/>
      <c r="B465" s="12"/>
    </row>
    <row r="466" spans="1:2">
      <c r="A466" s="12"/>
      <c r="B466" s="12"/>
    </row>
    <row r="467" spans="1:2">
      <c r="A467" s="12"/>
      <c r="B467" s="12"/>
    </row>
    <row r="468" spans="1:2">
      <c r="A468" s="10"/>
      <c r="B468" s="12"/>
    </row>
    <row r="469" spans="1:2">
      <c r="A469" s="12"/>
      <c r="B469" s="12"/>
    </row>
    <row r="470" spans="1:2">
      <c r="A470" s="12"/>
      <c r="B470" s="12"/>
    </row>
    <row r="471" spans="1:2">
      <c r="A471" s="10"/>
      <c r="B471" s="12"/>
    </row>
    <row r="472" spans="1:2">
      <c r="A472" s="12"/>
      <c r="B472" s="12"/>
    </row>
    <row r="473" spans="1:2">
      <c r="A473" s="12"/>
      <c r="B473" s="12"/>
    </row>
    <row r="474" spans="1:2">
      <c r="A474" s="10"/>
      <c r="B474" s="12"/>
    </row>
    <row r="475" spans="1:2">
      <c r="A475" s="12"/>
      <c r="B475" s="12"/>
    </row>
    <row r="476" spans="1:2">
      <c r="A476" s="12"/>
      <c r="B476" s="12"/>
    </row>
    <row r="477" spans="1:2">
      <c r="A477" s="10"/>
      <c r="B477" s="12"/>
    </row>
    <row r="478" spans="1:2">
      <c r="A478" s="12"/>
      <c r="B478" s="12"/>
    </row>
    <row r="479" spans="1:2">
      <c r="A479" s="12"/>
      <c r="B479" s="12"/>
    </row>
    <row r="480" spans="1:2">
      <c r="A480" s="10"/>
      <c r="B480" s="12"/>
    </row>
    <row r="481" spans="1:2">
      <c r="A481" s="12"/>
      <c r="B481" s="12"/>
    </row>
    <row r="482" spans="1:2">
      <c r="A482" s="12"/>
      <c r="B482" s="12"/>
    </row>
    <row r="483" spans="1:2">
      <c r="A483" s="10"/>
      <c r="B483" s="12"/>
    </row>
    <row r="484" spans="1:2">
      <c r="A484" s="12"/>
      <c r="B484" s="12"/>
    </row>
    <row r="485" spans="1:2">
      <c r="A485" s="12"/>
      <c r="B485" s="12"/>
    </row>
    <row r="486" spans="1:2">
      <c r="A486" s="10"/>
      <c r="B486" s="12"/>
    </row>
    <row r="487" spans="1:2">
      <c r="A487" s="12"/>
      <c r="B487" s="12"/>
    </row>
    <row r="488" spans="1:2">
      <c r="A488" s="12"/>
      <c r="B488" s="12"/>
    </row>
    <row r="489" spans="1:2">
      <c r="A489" s="10"/>
      <c r="B489" s="12"/>
    </row>
    <row r="490" spans="1:2">
      <c r="A490" s="12"/>
      <c r="B490" s="12"/>
    </row>
    <row r="491" spans="1:2">
      <c r="A491" s="12"/>
      <c r="B491" s="12"/>
    </row>
    <row r="492" spans="1:2">
      <c r="A492" s="10"/>
      <c r="B492" s="12"/>
    </row>
    <row r="493" spans="1:2">
      <c r="A493" s="12"/>
      <c r="B493" s="12"/>
    </row>
    <row r="494" spans="1:2">
      <c r="A494" s="12"/>
      <c r="B494" s="12"/>
    </row>
    <row r="495" spans="1:2">
      <c r="A495" s="10"/>
      <c r="B495" s="12"/>
    </row>
    <row r="496" spans="1:2">
      <c r="A496" s="12"/>
      <c r="B496" s="12"/>
    </row>
    <row r="497" spans="1:2">
      <c r="A497" s="12"/>
      <c r="B497" s="12"/>
    </row>
    <row r="498" spans="1:2">
      <c r="A498" s="10"/>
      <c r="B498" s="12"/>
    </row>
    <row r="499" spans="1:2">
      <c r="A499" s="12"/>
      <c r="B499" s="12"/>
    </row>
    <row r="500" spans="1:2">
      <c r="A500" s="12"/>
      <c r="B500" s="12"/>
    </row>
    <row r="501" spans="1:2">
      <c r="A501" s="10"/>
      <c r="B501" s="12"/>
    </row>
    <row r="502" spans="1:2">
      <c r="A502" s="12"/>
      <c r="B502" s="12"/>
    </row>
    <row r="503" spans="1:2">
      <c r="A503" s="12"/>
      <c r="B503" s="12"/>
    </row>
    <row r="504" spans="1:2">
      <c r="A504" s="10"/>
      <c r="B504" s="12"/>
    </row>
    <row r="505" spans="1:2">
      <c r="A505" s="12"/>
      <c r="B505" s="12"/>
    </row>
    <row r="506" spans="1:2">
      <c r="A506" s="12"/>
      <c r="B506" s="12"/>
    </row>
    <row r="507" spans="1:2">
      <c r="A507" s="10"/>
      <c r="B507" s="12"/>
    </row>
    <row r="508" spans="1:2">
      <c r="A508" s="12"/>
      <c r="B508" s="12"/>
    </row>
    <row r="509" spans="1:2">
      <c r="A509" s="12"/>
      <c r="B509" s="12"/>
    </row>
    <row r="510" spans="1:2">
      <c r="A510" s="10"/>
      <c r="B510" s="12"/>
    </row>
    <row r="511" spans="1:2">
      <c r="A511" s="12"/>
      <c r="B511" s="12"/>
    </row>
    <row r="512" spans="1:2">
      <c r="A512" s="12"/>
      <c r="B512" s="12"/>
    </row>
    <row r="513" spans="1:2">
      <c r="A513" s="10"/>
      <c r="B513" s="12"/>
    </row>
    <row r="514" spans="1:2">
      <c r="A514" s="12"/>
      <c r="B514" s="12"/>
    </row>
    <row r="515" spans="1:2">
      <c r="A515" s="12"/>
      <c r="B515" s="12"/>
    </row>
    <row r="516" spans="1:2">
      <c r="A516" s="10"/>
      <c r="B516" s="12"/>
    </row>
    <row r="517" spans="1:2">
      <c r="A517" s="12"/>
      <c r="B517" s="12"/>
    </row>
    <row r="518" spans="1:2">
      <c r="A518" s="12"/>
      <c r="B518" s="12"/>
    </row>
    <row r="519" spans="1:2">
      <c r="A519" s="10"/>
      <c r="B519" s="12"/>
    </row>
    <row r="520" spans="1:2">
      <c r="A520" s="12"/>
      <c r="B520" s="12"/>
    </row>
    <row r="521" spans="1:2">
      <c r="A521" s="12"/>
      <c r="B521" s="12"/>
    </row>
    <row r="522" spans="1:2">
      <c r="A522" s="10"/>
      <c r="B522" s="12"/>
    </row>
    <row r="523" spans="1:2">
      <c r="A523" s="12"/>
      <c r="B523" s="12"/>
    </row>
    <row r="524" spans="1:2">
      <c r="A524" s="12"/>
      <c r="B524" s="12"/>
    </row>
    <row r="525" spans="1:2">
      <c r="A525" s="10"/>
      <c r="B525" s="12"/>
    </row>
    <row r="526" spans="1:2">
      <c r="A526" s="12"/>
      <c r="B526" s="12"/>
    </row>
    <row r="527" spans="1:2">
      <c r="A527" s="12"/>
      <c r="B527" s="12"/>
    </row>
    <row r="528" spans="1:2">
      <c r="A528" s="10"/>
      <c r="B528" s="12"/>
    </row>
    <row r="529" spans="1:2">
      <c r="A529" s="12"/>
      <c r="B529" s="12"/>
    </row>
    <row r="530" spans="1:2">
      <c r="A530" s="12"/>
      <c r="B530" s="12"/>
    </row>
    <row r="531" spans="1:2">
      <c r="A531" s="10"/>
      <c r="B531" s="12"/>
    </row>
    <row r="532" spans="1:2">
      <c r="A532" s="12"/>
      <c r="B532" s="12"/>
    </row>
    <row r="533" spans="1:2">
      <c r="A533" s="12"/>
      <c r="B533" s="12"/>
    </row>
    <row r="534" spans="1:2">
      <c r="A534" s="10"/>
      <c r="B534" s="12"/>
    </row>
    <row r="535" spans="1:2">
      <c r="A535" s="12"/>
      <c r="B535" s="12"/>
    </row>
    <row r="536" spans="1:2">
      <c r="A536" s="12"/>
      <c r="B536" s="12"/>
    </row>
    <row r="537" spans="1:2">
      <c r="A537" s="10"/>
      <c r="B537" s="12"/>
    </row>
    <row r="538" spans="1:2">
      <c r="A538" s="12"/>
      <c r="B538" s="12"/>
    </row>
    <row r="539" spans="1:2">
      <c r="A539" s="12"/>
      <c r="B539" s="12"/>
    </row>
    <row r="540" spans="1:2">
      <c r="A540" s="10"/>
      <c r="B540" s="12"/>
    </row>
    <row r="541" spans="1:2">
      <c r="A541" s="12"/>
      <c r="B541" s="12"/>
    </row>
    <row r="542" spans="1:2">
      <c r="A542" s="12"/>
      <c r="B542" s="12"/>
    </row>
    <row r="543" spans="1:2">
      <c r="A543" s="10"/>
      <c r="B543" s="12"/>
    </row>
    <row r="544" spans="1:2">
      <c r="A544" s="12"/>
      <c r="B544" s="12"/>
    </row>
    <row r="545" spans="1:2">
      <c r="A545" s="12"/>
      <c r="B545" s="12"/>
    </row>
    <row r="546" spans="1:2">
      <c r="A546" s="10"/>
      <c r="B546" s="12"/>
    </row>
    <row r="547" spans="1:2">
      <c r="A547" s="12"/>
      <c r="B547" s="12"/>
    </row>
    <row r="548" spans="1:2">
      <c r="A548" s="12"/>
      <c r="B548" s="12"/>
    </row>
    <row r="549" spans="1:2">
      <c r="A549" s="10"/>
      <c r="B549" s="12"/>
    </row>
    <row r="550" spans="1:2">
      <c r="A550" s="12"/>
      <c r="B550" s="12"/>
    </row>
    <row r="551" spans="1:2">
      <c r="A551" s="12"/>
      <c r="B551" s="12"/>
    </row>
    <row r="552" spans="1:2">
      <c r="A552" s="10"/>
      <c r="B552" s="12"/>
    </row>
    <row r="553" spans="1:2">
      <c r="A553" s="12"/>
      <c r="B553" s="12"/>
    </row>
    <row r="554" spans="1:2">
      <c r="A554" s="12"/>
      <c r="B554" s="12"/>
    </row>
    <row r="555" spans="1:2">
      <c r="A555" s="10"/>
      <c r="B555" s="12"/>
    </row>
    <row r="556" spans="1:2">
      <c r="A556" s="12"/>
      <c r="B556" s="12"/>
    </row>
    <row r="557" spans="1:2">
      <c r="A557" s="12"/>
      <c r="B557" s="12"/>
    </row>
    <row r="558" spans="1:2">
      <c r="A558" s="10"/>
      <c r="B558" s="12"/>
    </row>
    <row r="559" spans="1:2">
      <c r="A559" s="12"/>
      <c r="B559" s="12"/>
    </row>
    <row r="560" spans="1:2">
      <c r="A560" s="12"/>
      <c r="B560" s="12"/>
    </row>
    <row r="561" spans="1:2">
      <c r="A561" s="10"/>
      <c r="B561" s="12"/>
    </row>
    <row r="562" spans="1:2">
      <c r="A562" s="12"/>
      <c r="B562" s="12"/>
    </row>
    <row r="563" spans="1:2">
      <c r="A563" s="12"/>
      <c r="B563" s="12"/>
    </row>
    <row r="564" spans="1:2">
      <c r="A564" s="10"/>
      <c r="B564" s="12"/>
    </row>
    <row r="565" spans="1:2">
      <c r="A565" s="12"/>
      <c r="B565" s="12"/>
    </row>
    <row r="566" spans="1:2">
      <c r="A566" s="12"/>
      <c r="B566" s="12"/>
    </row>
    <row r="567" spans="1:2">
      <c r="A567" s="10"/>
      <c r="B567" s="12"/>
    </row>
    <row r="568" spans="1:2">
      <c r="A568" s="12"/>
      <c r="B568" s="12"/>
    </row>
    <row r="569" spans="1:2">
      <c r="A569" s="12"/>
      <c r="B569" s="12"/>
    </row>
    <row r="570" spans="1:2">
      <c r="A570" s="10"/>
      <c r="B570" s="12"/>
    </row>
    <row r="571" spans="1:2">
      <c r="A571" s="12"/>
      <c r="B571" s="12"/>
    </row>
    <row r="572" spans="1:2">
      <c r="A572" s="12"/>
      <c r="B572" s="12"/>
    </row>
    <row r="573" spans="1:2">
      <c r="A573" s="10"/>
      <c r="B573" s="12"/>
    </row>
    <row r="574" spans="1:2">
      <c r="A574" s="12"/>
      <c r="B574" s="12"/>
    </row>
    <row r="575" spans="1:2">
      <c r="A575" s="12"/>
      <c r="B575" s="12"/>
    </row>
    <row r="576" spans="1:2">
      <c r="A576" s="10"/>
      <c r="B576" s="12"/>
    </row>
    <row r="577" spans="1:2">
      <c r="A577" s="12"/>
      <c r="B577" s="12"/>
    </row>
    <row r="578" spans="1:2">
      <c r="A578" s="12"/>
      <c r="B578" s="12"/>
    </row>
    <row r="579" spans="1:2">
      <c r="A579" s="10"/>
      <c r="B579" s="12"/>
    </row>
    <row r="580" spans="1:2">
      <c r="A580" s="12"/>
      <c r="B580" s="12"/>
    </row>
    <row r="581" spans="1:2">
      <c r="A581" s="12"/>
      <c r="B581" s="12"/>
    </row>
    <row r="582" spans="1:2">
      <c r="A582" s="10"/>
      <c r="B582" s="12"/>
    </row>
    <row r="583" spans="1:2">
      <c r="A583" s="12"/>
      <c r="B583" s="12"/>
    </row>
    <row r="584" spans="1:2">
      <c r="A584" s="12"/>
      <c r="B584" s="12"/>
    </row>
    <row r="585" spans="1:2">
      <c r="A585" s="10"/>
      <c r="B585" s="12"/>
    </row>
    <row r="586" spans="1:2">
      <c r="A586" s="12"/>
      <c r="B586" s="12"/>
    </row>
    <row r="587" spans="1:2">
      <c r="A587" s="12"/>
      <c r="B587" s="12"/>
    </row>
    <row r="588" spans="1:2">
      <c r="A588" s="10"/>
      <c r="B588" s="12"/>
    </row>
    <row r="589" spans="1:2">
      <c r="A589" s="12"/>
      <c r="B589" s="12"/>
    </row>
    <row r="590" spans="1:2">
      <c r="A590" s="12"/>
      <c r="B590" s="12"/>
    </row>
    <row r="591" spans="1:2">
      <c r="A591" s="10"/>
      <c r="B591" s="12"/>
    </row>
    <row r="592" spans="1:2">
      <c r="A592" s="12"/>
      <c r="B592" s="12"/>
    </row>
    <row r="593" spans="1:2">
      <c r="A593" s="12"/>
      <c r="B593" s="12"/>
    </row>
    <row r="594" spans="1:2">
      <c r="A594" s="10"/>
      <c r="B594" s="12"/>
    </row>
    <row r="595" spans="1:2">
      <c r="A595" s="12"/>
      <c r="B595" s="12"/>
    </row>
    <row r="596" spans="1:2">
      <c r="A596" s="12"/>
      <c r="B596" s="12"/>
    </row>
    <row r="597" spans="1:2">
      <c r="A597" s="10"/>
      <c r="B597" s="12"/>
    </row>
    <row r="598" spans="1:2">
      <c r="A598" s="12"/>
      <c r="B598" s="12"/>
    </row>
    <row r="599" spans="1:2">
      <c r="A599" s="12"/>
      <c r="B599" s="12"/>
    </row>
    <row r="600" spans="1:2">
      <c r="A600" s="10"/>
      <c r="B600" s="12"/>
    </row>
    <row r="601" spans="1:2">
      <c r="A601" s="12"/>
      <c r="B601" s="12"/>
    </row>
    <row r="602" spans="1:2">
      <c r="A602" s="12"/>
      <c r="B602" s="12"/>
    </row>
    <row r="603" spans="1:2">
      <c r="A603" s="10"/>
      <c r="B603" s="12"/>
    </row>
    <row r="604" spans="1:2">
      <c r="A604" s="12"/>
      <c r="B604" s="12"/>
    </row>
    <row r="605" spans="1:2">
      <c r="A605" s="12"/>
      <c r="B605" s="12"/>
    </row>
    <row r="606" spans="1:2">
      <c r="A606" s="10"/>
      <c r="B606" s="12"/>
    </row>
    <row r="607" spans="1:2">
      <c r="A607" s="12"/>
      <c r="B607" s="12"/>
    </row>
    <row r="608" spans="1:2">
      <c r="A608" s="12"/>
      <c r="B608" s="12"/>
    </row>
    <row r="609" spans="1:2">
      <c r="A609" s="10"/>
      <c r="B609" s="12"/>
    </row>
    <row r="610" spans="1:2">
      <c r="A610" s="12"/>
      <c r="B610" s="12"/>
    </row>
    <row r="611" spans="1:2">
      <c r="A611" s="12"/>
      <c r="B611" s="12"/>
    </row>
    <row r="612" spans="1:2">
      <c r="A612" s="10"/>
      <c r="B612" s="12"/>
    </row>
    <row r="613" spans="1:2">
      <c r="A613" s="12"/>
      <c r="B613" s="12"/>
    </row>
    <row r="614" spans="1:2">
      <c r="A614" s="12"/>
      <c r="B614" s="12"/>
    </row>
    <row r="615" spans="1:2">
      <c r="A615" s="10"/>
      <c r="B615" s="12"/>
    </row>
    <row r="616" spans="1:2">
      <c r="A616" s="12"/>
      <c r="B616" s="12"/>
    </row>
    <row r="617" spans="1:2">
      <c r="A617" s="12"/>
      <c r="B617" s="12"/>
    </row>
    <row r="618" spans="1:2">
      <c r="A618" s="10"/>
      <c r="B618" s="12"/>
    </row>
    <row r="619" spans="1:2">
      <c r="A619" s="12"/>
      <c r="B619" s="12"/>
    </row>
    <row r="620" spans="1:2">
      <c r="A620" s="12"/>
      <c r="B620" s="12"/>
    </row>
    <row r="621" spans="1:2">
      <c r="A621" s="10"/>
      <c r="B621" s="12"/>
    </row>
    <row r="622" spans="1:2">
      <c r="A622" s="12"/>
      <c r="B622" s="12"/>
    </row>
    <row r="623" spans="1:2">
      <c r="A623" s="12"/>
      <c r="B623" s="12"/>
    </row>
    <row r="624" spans="1:2">
      <c r="A624" s="10"/>
      <c r="B624" s="12"/>
    </row>
    <row r="625" spans="1:2">
      <c r="A625" s="12"/>
      <c r="B625" s="12"/>
    </row>
    <row r="626" spans="1:2">
      <c r="A626" s="12"/>
      <c r="B626" s="12"/>
    </row>
    <row r="627" spans="1:2">
      <c r="A627" s="10"/>
      <c r="B627" s="12"/>
    </row>
    <row r="628" spans="1:2">
      <c r="A628" s="12"/>
      <c r="B628" s="12"/>
    </row>
    <row r="629" spans="1:2">
      <c r="A629" s="12"/>
      <c r="B629" s="12"/>
    </row>
    <row r="630" spans="1:2">
      <c r="A630" s="10"/>
      <c r="B630" s="12"/>
    </row>
    <row r="631" spans="1:2">
      <c r="A631" s="12"/>
      <c r="B631" s="12"/>
    </row>
    <row r="632" spans="1:2">
      <c r="A632" s="12"/>
      <c r="B632" s="12"/>
    </row>
    <row r="633" spans="1:2">
      <c r="A633" s="10"/>
      <c r="B633" s="12"/>
    </row>
    <row r="634" spans="1:2">
      <c r="A634" s="12"/>
      <c r="B634" s="12"/>
    </row>
    <row r="635" spans="1:2">
      <c r="A635" s="12"/>
      <c r="B635" s="12"/>
    </row>
    <row r="636" spans="1:2">
      <c r="A636" s="10"/>
      <c r="B636" s="12"/>
    </row>
    <row r="637" spans="1:2">
      <c r="A637" s="12"/>
      <c r="B637" s="12"/>
    </row>
    <row r="638" spans="1:2">
      <c r="A638" s="12"/>
      <c r="B638" s="12"/>
    </row>
    <row r="639" spans="1:2">
      <c r="A639" s="10"/>
      <c r="B639" s="12"/>
    </row>
    <row r="640" spans="1:2">
      <c r="A640" s="12"/>
      <c r="B640" s="12"/>
    </row>
    <row r="641" spans="1:2">
      <c r="A641" s="12"/>
      <c r="B641" s="12"/>
    </row>
    <row r="642" spans="1:2">
      <c r="A642" s="10"/>
      <c r="B642" s="12"/>
    </row>
    <row r="643" spans="1:2">
      <c r="A643" s="12"/>
      <c r="B643" s="12"/>
    </row>
    <row r="644" spans="1:2">
      <c r="A644" s="12"/>
      <c r="B644" s="12"/>
    </row>
    <row r="645" spans="1:2">
      <c r="A645" s="10"/>
      <c r="B645" s="12"/>
    </row>
    <row r="646" spans="1:2">
      <c r="A646" s="12"/>
      <c r="B646" s="12"/>
    </row>
    <row r="647" spans="1:2">
      <c r="A647" s="12"/>
      <c r="B647" s="12"/>
    </row>
    <row r="648" spans="1:2">
      <c r="A648" s="10"/>
      <c r="B648" s="12"/>
    </row>
    <row r="649" spans="1:2">
      <c r="A649" s="12"/>
      <c r="B649" s="12"/>
    </row>
    <row r="650" spans="1:2">
      <c r="A650" s="12"/>
      <c r="B650" s="12"/>
    </row>
    <row r="651" spans="1:2">
      <c r="A651" s="10"/>
      <c r="B651" s="12"/>
    </row>
    <row r="652" spans="1:2">
      <c r="A652" s="12"/>
      <c r="B652" s="12"/>
    </row>
    <row r="653" spans="1:2">
      <c r="A653" s="12"/>
      <c r="B653" s="12"/>
    </row>
    <row r="654" spans="1:2">
      <c r="A654" s="10"/>
      <c r="B654" s="12"/>
    </row>
    <row r="655" spans="1:2">
      <c r="A655" s="12"/>
      <c r="B655" s="12"/>
    </row>
    <row r="656" spans="1:2">
      <c r="A656" s="12"/>
      <c r="B656" s="12"/>
    </row>
    <row r="657" spans="1:2">
      <c r="A657" s="10"/>
      <c r="B657" s="12"/>
    </row>
    <row r="658" spans="1:2">
      <c r="A658" s="12"/>
      <c r="B658" s="12"/>
    </row>
    <row r="659" spans="1:2">
      <c r="A659" s="12"/>
      <c r="B659" s="12"/>
    </row>
    <row r="660" spans="1:2">
      <c r="A660" s="10"/>
      <c r="B660" s="12"/>
    </row>
    <row r="661" spans="1:2">
      <c r="A661" s="12"/>
      <c r="B661" s="12"/>
    </row>
    <row r="662" spans="1:2">
      <c r="A662" s="12"/>
      <c r="B662" s="12"/>
    </row>
    <row r="663" spans="1:2">
      <c r="A663" s="10"/>
      <c r="B663" s="12"/>
    </row>
    <row r="664" spans="1:2">
      <c r="A664" s="12"/>
      <c r="B664" s="12"/>
    </row>
    <row r="665" spans="1:2">
      <c r="A665" s="12"/>
      <c r="B665" s="12"/>
    </row>
    <row r="666" spans="1:2">
      <c r="A666" s="10"/>
      <c r="B666" s="12"/>
    </row>
    <row r="667" spans="1:2">
      <c r="A667" s="12"/>
      <c r="B667" s="12"/>
    </row>
    <row r="668" spans="1:2">
      <c r="A668" s="12"/>
      <c r="B668" s="12"/>
    </row>
    <row r="669" spans="1:2">
      <c r="A669" s="10"/>
      <c r="B669" s="12"/>
    </row>
    <row r="670" spans="1:2">
      <c r="A670" s="12"/>
      <c r="B670" s="12"/>
    </row>
    <row r="671" spans="1:2">
      <c r="A671" s="12"/>
      <c r="B671" s="12"/>
    </row>
    <row r="672" spans="1:2">
      <c r="A672" s="10"/>
      <c r="B672" s="12"/>
    </row>
    <row r="673" spans="1:2">
      <c r="A673" s="12"/>
      <c r="B673" s="12"/>
    </row>
    <row r="674" spans="1:2">
      <c r="A674" s="12"/>
      <c r="B674" s="12"/>
    </row>
    <row r="675" spans="1:2">
      <c r="A675" s="10"/>
      <c r="B675" s="12"/>
    </row>
    <row r="676" spans="1:2">
      <c r="A676" s="12"/>
      <c r="B676" s="12"/>
    </row>
    <row r="677" spans="1:2">
      <c r="A677" s="12"/>
      <c r="B677" s="12"/>
    </row>
    <row r="678" spans="1:2">
      <c r="A678" s="10"/>
      <c r="B678" s="12"/>
    </row>
    <row r="679" spans="1:2">
      <c r="A679" s="12"/>
      <c r="B679" s="12"/>
    </row>
    <row r="680" spans="1:2">
      <c r="A680" s="12"/>
      <c r="B680" s="12"/>
    </row>
    <row r="681" spans="1:2">
      <c r="A681" s="10"/>
      <c r="B681" s="12"/>
    </row>
    <row r="682" spans="1:2">
      <c r="A682" s="12"/>
      <c r="B682" s="12"/>
    </row>
    <row r="683" spans="1:2">
      <c r="A683" s="12"/>
      <c r="B683" s="12"/>
    </row>
    <row r="684" spans="1:2">
      <c r="A684" s="10"/>
      <c r="B684" s="12"/>
    </row>
    <row r="685" spans="1:2">
      <c r="A685" s="12"/>
      <c r="B685" s="12"/>
    </row>
    <row r="686" spans="1:2">
      <c r="A686" s="12"/>
      <c r="B686" s="12"/>
    </row>
    <row r="687" spans="1:2">
      <c r="A687" s="10"/>
      <c r="B687" s="12"/>
    </row>
    <row r="688" spans="1:2">
      <c r="A688" s="12"/>
      <c r="B688" s="12"/>
    </row>
    <row r="689" spans="1:2">
      <c r="A689" s="12"/>
      <c r="B689" s="12"/>
    </row>
    <row r="690" spans="1:2">
      <c r="A690" s="10"/>
      <c r="B690" s="12"/>
    </row>
    <row r="691" spans="1:2">
      <c r="A691" s="12"/>
      <c r="B691" s="12"/>
    </row>
    <row r="692" spans="1:2">
      <c r="A692" s="12"/>
      <c r="B692" s="12"/>
    </row>
    <row r="693" spans="1:2">
      <c r="A693" s="10"/>
      <c r="B693" s="12"/>
    </row>
    <row r="694" spans="1:2">
      <c r="A694" s="12"/>
      <c r="B694" s="12"/>
    </row>
    <row r="695" spans="1:2">
      <c r="A695" s="12"/>
      <c r="B695" s="12"/>
    </row>
    <row r="696" spans="1:2">
      <c r="A696" s="10"/>
      <c r="B696" s="12"/>
    </row>
    <row r="697" spans="1:2">
      <c r="A697" s="12"/>
      <c r="B697" s="12"/>
    </row>
    <row r="698" spans="1:2">
      <c r="A698" s="12"/>
      <c r="B698" s="12"/>
    </row>
    <row r="699" spans="1:2">
      <c r="A699" s="10"/>
      <c r="B699" s="12"/>
    </row>
    <row r="700" spans="1:2">
      <c r="A700" s="12"/>
      <c r="B700" s="12"/>
    </row>
    <row r="701" spans="1:2">
      <c r="A701" s="12"/>
      <c r="B701" s="12"/>
    </row>
    <row r="702" spans="1:2">
      <c r="A702" s="10"/>
      <c r="B702" s="12"/>
    </row>
    <row r="703" spans="1:2">
      <c r="A703" s="12"/>
      <c r="B703" s="12"/>
    </row>
    <row r="704" spans="1:2">
      <c r="A704" s="12"/>
      <c r="B704" s="12"/>
    </row>
    <row r="705" spans="1:2">
      <c r="A705" s="10"/>
      <c r="B705" s="12"/>
    </row>
    <row r="706" spans="1:2">
      <c r="A706" s="12"/>
      <c r="B706" s="12"/>
    </row>
    <row r="707" spans="1:2">
      <c r="A707" s="12"/>
      <c r="B707" s="12"/>
    </row>
    <row r="708" spans="1:2">
      <c r="A708" s="10"/>
      <c r="B708" s="12"/>
    </row>
    <row r="709" spans="1:2">
      <c r="A709" s="12"/>
      <c r="B709" s="12"/>
    </row>
    <row r="710" spans="1:2">
      <c r="A710" s="12"/>
      <c r="B710" s="12"/>
    </row>
    <row r="711" spans="1:2">
      <c r="A711" s="10"/>
      <c r="B711" s="12"/>
    </row>
    <row r="712" spans="1:2">
      <c r="A712" s="12"/>
      <c r="B712" s="12"/>
    </row>
    <row r="713" spans="1:2">
      <c r="A713" s="12"/>
      <c r="B713" s="12"/>
    </row>
    <row r="714" spans="1:2">
      <c r="A714" s="10"/>
      <c r="B714" s="12"/>
    </row>
    <row r="715" spans="1:2">
      <c r="A715" s="12"/>
      <c r="B715" s="12"/>
    </row>
  </sheetData>
  <phoneticPr fontId="23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6"/>
  <sheetViews>
    <sheetView topLeftCell="A4" workbookViewId="0">
      <selection activeCell="D25" sqref="D25"/>
    </sheetView>
  </sheetViews>
  <sheetFormatPr defaultColWidth="9" defaultRowHeight="13.8"/>
  <cols>
    <col min="2" max="2" width="13" customWidth="1"/>
    <col min="3" max="3" width="45.109375" customWidth="1"/>
    <col min="4" max="5" width="29.6640625" customWidth="1"/>
    <col min="6" max="6" width="10.88671875" customWidth="1"/>
    <col min="7" max="7" width="29.6640625" customWidth="1"/>
    <col min="9" max="9" width="17.44140625" customWidth="1"/>
    <col min="10" max="10" width="17.6640625" customWidth="1"/>
  </cols>
  <sheetData>
    <row r="1" spans="1:10">
      <c r="A1" s="1" t="s">
        <v>0</v>
      </c>
      <c r="B1" s="2" t="s">
        <v>1213</v>
      </c>
      <c r="C1" s="2" t="s">
        <v>2</v>
      </c>
    </row>
    <row r="2" spans="1:10">
      <c r="A2" s="1" t="s">
        <v>3</v>
      </c>
      <c r="B2" s="2" t="s">
        <v>339</v>
      </c>
      <c r="C2" s="2" t="s">
        <v>5</v>
      </c>
    </row>
    <row r="3" spans="1:10">
      <c r="A3" s="1" t="s">
        <v>6</v>
      </c>
      <c r="B3" s="3" t="s">
        <v>7</v>
      </c>
      <c r="C3" s="2" t="s">
        <v>8</v>
      </c>
    </row>
    <row r="4" spans="1:10">
      <c r="A4" s="1" t="s">
        <v>9</v>
      </c>
      <c r="B4" s="4" t="s">
        <v>10</v>
      </c>
      <c r="C4" s="2"/>
    </row>
    <row r="5" spans="1:10">
      <c r="A5" s="1" t="s">
        <v>11</v>
      </c>
      <c r="B5" s="2"/>
      <c r="C5" s="2" t="s">
        <v>12</v>
      </c>
    </row>
    <row r="6" spans="1:10">
      <c r="A6" s="1" t="s">
        <v>13</v>
      </c>
      <c r="B6" s="2">
        <v>4</v>
      </c>
      <c r="C6" s="2" t="s">
        <v>14</v>
      </c>
    </row>
    <row r="7" spans="1:10">
      <c r="A7" s="1" t="s">
        <v>15</v>
      </c>
      <c r="B7" s="2"/>
      <c r="C7" s="2"/>
    </row>
    <row r="8" spans="1:10">
      <c r="A8" s="1" t="s">
        <v>16</v>
      </c>
      <c r="B8" s="2"/>
      <c r="C8" s="2"/>
    </row>
    <row r="9" spans="1:10">
      <c r="A9" s="2"/>
      <c r="C9" s="2"/>
    </row>
    <row r="10" spans="1:10">
      <c r="A10" s="2"/>
      <c r="B10" s="2"/>
      <c r="C10" s="2"/>
    </row>
    <row r="11" spans="1:10">
      <c r="A11" s="10" t="s">
        <v>1208</v>
      </c>
      <c r="B11" s="10" t="s">
        <v>1170</v>
      </c>
      <c r="C11" s="10" t="s">
        <v>1214</v>
      </c>
      <c r="D11" s="10" t="s">
        <v>1215</v>
      </c>
      <c r="E11" s="10" t="s">
        <v>1216</v>
      </c>
      <c r="F11" s="10" t="s">
        <v>1217</v>
      </c>
      <c r="G11" s="10" t="s">
        <v>1218</v>
      </c>
      <c r="H11" s="10" t="s">
        <v>1216</v>
      </c>
      <c r="I11" s="52" t="s">
        <v>1219</v>
      </c>
      <c r="J11" s="52" t="s">
        <v>1220</v>
      </c>
    </row>
    <row r="12" spans="1:10">
      <c r="A12" s="11" t="s">
        <v>23</v>
      </c>
      <c r="B12" s="11" t="s">
        <v>285</v>
      </c>
      <c r="C12" s="11" t="s">
        <v>500</v>
      </c>
      <c r="D12" s="15" t="s">
        <v>500</v>
      </c>
      <c r="E12" s="11" t="s">
        <v>1221</v>
      </c>
      <c r="F12" s="11" t="s">
        <v>1222</v>
      </c>
      <c r="G12" s="15" t="s">
        <v>1222</v>
      </c>
      <c r="H12" s="11" t="s">
        <v>1223</v>
      </c>
      <c r="I12" s="53" t="s">
        <v>1224</v>
      </c>
      <c r="J12" s="53" t="s">
        <v>1225</v>
      </c>
    </row>
    <row r="13" spans="1:10">
      <c r="A13" s="11" t="s">
        <v>29</v>
      </c>
      <c r="B13" s="11" t="s">
        <v>29</v>
      </c>
      <c r="C13" s="11" t="s">
        <v>29</v>
      </c>
      <c r="D13" s="15" t="s">
        <v>30</v>
      </c>
      <c r="E13" s="11" t="s">
        <v>30</v>
      </c>
      <c r="F13" s="11" t="s">
        <v>29</v>
      </c>
      <c r="G13" s="15" t="s">
        <v>30</v>
      </c>
      <c r="H13" s="11" t="s">
        <v>30</v>
      </c>
      <c r="I13" s="53" t="s">
        <v>30</v>
      </c>
      <c r="J13" s="53" t="s">
        <v>30</v>
      </c>
    </row>
    <row r="14" spans="1:10">
      <c r="A14" s="11" t="s">
        <v>31</v>
      </c>
      <c r="B14" s="11" t="s">
        <v>32</v>
      </c>
      <c r="C14" s="11" t="s">
        <v>32</v>
      </c>
      <c r="D14" s="15" t="s">
        <v>505</v>
      </c>
      <c r="E14" s="11" t="s">
        <v>32</v>
      </c>
      <c r="F14" s="11" t="s">
        <v>32</v>
      </c>
      <c r="G14" s="15" t="s">
        <v>505</v>
      </c>
      <c r="H14" s="11" t="s">
        <v>32</v>
      </c>
      <c r="I14" s="53" t="s">
        <v>32</v>
      </c>
      <c r="J14" s="53" t="s">
        <v>32</v>
      </c>
    </row>
    <row r="15" spans="1:10" ht="15.6">
      <c r="A15" s="11"/>
      <c r="B15" s="11">
        <v>1</v>
      </c>
      <c r="C15" s="11">
        <v>0</v>
      </c>
      <c r="D15" s="15">
        <v>0</v>
      </c>
      <c r="E15" s="11">
        <v>1</v>
      </c>
      <c r="F15" s="11">
        <v>0</v>
      </c>
      <c r="G15" s="15">
        <v>0</v>
      </c>
      <c r="H15" s="11">
        <v>1</v>
      </c>
      <c r="I15" s="54">
        <v>36526</v>
      </c>
      <c r="J15" s="55">
        <v>72686</v>
      </c>
    </row>
    <row r="16" spans="1:10">
      <c r="A16" s="3">
        <v>1</v>
      </c>
      <c r="B16" s="12">
        <v>100081</v>
      </c>
      <c r="C16" s="12">
        <v>10101</v>
      </c>
      <c r="D16" s="15" t="s">
        <v>1226</v>
      </c>
      <c r="E16" s="48">
        <v>0.2</v>
      </c>
      <c r="F16" s="12">
        <v>10201</v>
      </c>
      <c r="G16" s="15" t="s">
        <v>1227</v>
      </c>
      <c r="H16" s="48">
        <v>0.1</v>
      </c>
      <c r="I16" s="56">
        <v>44570</v>
      </c>
      <c r="J16" s="56">
        <v>44571</v>
      </c>
    </row>
    <row r="17" spans="1:10">
      <c r="A17" s="3">
        <v>2</v>
      </c>
      <c r="B17" s="12">
        <v>100101</v>
      </c>
      <c r="C17" s="12">
        <v>10102</v>
      </c>
      <c r="D17" s="15" t="s">
        <v>1226</v>
      </c>
      <c r="E17" s="48">
        <v>0.2</v>
      </c>
      <c r="F17" s="12">
        <v>10202</v>
      </c>
      <c r="G17" s="15" t="s">
        <v>1227</v>
      </c>
      <c r="H17" s="48">
        <v>0.1</v>
      </c>
      <c r="I17" s="56">
        <v>44571</v>
      </c>
      <c r="J17" s="56">
        <v>44572</v>
      </c>
    </row>
    <row r="18" spans="1:10">
      <c r="A18" s="3">
        <v>3</v>
      </c>
      <c r="B18" s="12">
        <v>100181</v>
      </c>
      <c r="C18" s="12">
        <v>10101</v>
      </c>
      <c r="D18" s="15" t="s">
        <v>1226</v>
      </c>
      <c r="E18" s="48">
        <v>2</v>
      </c>
      <c r="F18" s="12">
        <v>10201</v>
      </c>
      <c r="G18" s="15" t="s">
        <v>1228</v>
      </c>
      <c r="H18" s="48">
        <v>1</v>
      </c>
      <c r="I18" s="56">
        <v>44572</v>
      </c>
      <c r="J18" s="56">
        <v>44573</v>
      </c>
    </row>
    <row r="19" spans="1:10" ht="15.6">
      <c r="A19" s="3">
        <v>4</v>
      </c>
      <c r="B19" s="49">
        <v>100013</v>
      </c>
      <c r="C19" s="12">
        <v>10102</v>
      </c>
      <c r="D19" s="15" t="s">
        <v>1226</v>
      </c>
      <c r="E19" s="48">
        <v>2</v>
      </c>
      <c r="F19" s="12">
        <v>10202</v>
      </c>
      <c r="G19" s="15" t="s">
        <v>1228</v>
      </c>
      <c r="H19" s="48">
        <v>1</v>
      </c>
      <c r="I19" s="56">
        <v>44573</v>
      </c>
      <c r="J19" s="56">
        <v>44574</v>
      </c>
    </row>
    <row r="20" spans="1:10">
      <c r="A20" s="3">
        <v>5</v>
      </c>
      <c r="B20" s="12">
        <v>100223</v>
      </c>
      <c r="C20" s="12">
        <v>10102</v>
      </c>
      <c r="D20" s="15" t="s">
        <v>1226</v>
      </c>
      <c r="E20" s="48">
        <v>2</v>
      </c>
      <c r="F20" s="12">
        <v>10202</v>
      </c>
      <c r="G20" s="15" t="s">
        <v>1228</v>
      </c>
      <c r="H20" s="48">
        <v>1</v>
      </c>
      <c r="I20" s="56">
        <v>44574</v>
      </c>
      <c r="J20" s="56">
        <v>44575</v>
      </c>
    </row>
    <row r="21" spans="1:10" ht="15.6">
      <c r="A21" s="3">
        <v>6</v>
      </c>
      <c r="B21" s="12">
        <v>100412</v>
      </c>
      <c r="C21" s="12">
        <v>10102</v>
      </c>
      <c r="D21" s="12"/>
      <c r="E21" s="48">
        <v>2</v>
      </c>
      <c r="F21" s="12">
        <v>10202</v>
      </c>
      <c r="G21" s="12"/>
      <c r="H21" s="48">
        <v>1</v>
      </c>
      <c r="I21" s="56">
        <v>44645</v>
      </c>
      <c r="J21" s="57">
        <v>44659</v>
      </c>
    </row>
    <row r="22" spans="1:10" ht="15.6">
      <c r="A22" s="3">
        <v>7</v>
      </c>
      <c r="B22" s="12">
        <v>100092</v>
      </c>
      <c r="C22" s="12">
        <v>10102</v>
      </c>
      <c r="D22" s="12"/>
      <c r="E22" s="48">
        <v>2</v>
      </c>
      <c r="F22" s="12">
        <v>10202</v>
      </c>
      <c r="G22" s="12"/>
      <c r="H22" s="48">
        <v>1</v>
      </c>
      <c r="I22" s="57">
        <v>44659</v>
      </c>
      <c r="J22" s="57">
        <v>44673</v>
      </c>
    </row>
    <row r="23" spans="1:10" ht="15.6">
      <c r="A23" s="3">
        <v>8</v>
      </c>
      <c r="B23" s="12">
        <v>100082</v>
      </c>
      <c r="C23" s="12">
        <v>10102</v>
      </c>
      <c r="D23" s="12"/>
      <c r="E23" s="48">
        <v>2</v>
      </c>
      <c r="F23" s="12">
        <v>10202</v>
      </c>
      <c r="G23" s="12"/>
      <c r="H23" s="48">
        <v>1</v>
      </c>
      <c r="I23" s="57">
        <v>44673</v>
      </c>
      <c r="J23" s="57">
        <v>44686.999305555597</v>
      </c>
    </row>
    <row r="24" spans="1:10" ht="15.6">
      <c r="A24" s="3">
        <v>9</v>
      </c>
      <c r="B24" s="12">
        <v>100254</v>
      </c>
      <c r="C24" s="12">
        <v>10102</v>
      </c>
      <c r="D24" s="12"/>
      <c r="E24" s="48">
        <v>2</v>
      </c>
      <c r="F24" s="12">
        <v>10202</v>
      </c>
      <c r="G24" s="12"/>
      <c r="H24" s="48">
        <v>1</v>
      </c>
      <c r="I24" s="57">
        <v>44687</v>
      </c>
      <c r="J24" s="57">
        <v>44700.999305555597</v>
      </c>
    </row>
    <row r="25" spans="1:10" ht="15.6">
      <c r="A25" s="3">
        <v>10</v>
      </c>
      <c r="B25" s="12">
        <v>100072</v>
      </c>
      <c r="C25" s="12">
        <v>10102</v>
      </c>
      <c r="D25" s="12"/>
      <c r="E25" s="48">
        <v>2</v>
      </c>
      <c r="F25" s="12">
        <v>10202</v>
      </c>
      <c r="G25" s="12"/>
      <c r="H25" s="48">
        <v>1</v>
      </c>
      <c r="I25" s="57">
        <v>44701</v>
      </c>
      <c r="J25" s="57">
        <v>44712.999305555597</v>
      </c>
    </row>
    <row r="26" spans="1:10" ht="15.6">
      <c r="A26" s="3">
        <v>11</v>
      </c>
      <c r="B26" s="12">
        <v>100052</v>
      </c>
      <c r="C26" s="12">
        <v>10102</v>
      </c>
      <c r="D26" s="12"/>
      <c r="E26" s="48">
        <v>2</v>
      </c>
      <c r="F26" s="12">
        <v>10202</v>
      </c>
      <c r="G26" s="12"/>
      <c r="H26" s="48">
        <v>1</v>
      </c>
      <c r="I26" s="57">
        <v>44713</v>
      </c>
      <c r="J26" s="57">
        <v>44724.999305555597</v>
      </c>
    </row>
    <row r="27" spans="1:10" ht="15.6">
      <c r="A27" s="3">
        <v>12</v>
      </c>
      <c r="B27" s="12">
        <v>100102</v>
      </c>
      <c r="C27" s="12">
        <v>10102</v>
      </c>
      <c r="D27" s="12"/>
      <c r="E27" s="48">
        <v>2</v>
      </c>
      <c r="F27" s="12">
        <v>10202</v>
      </c>
      <c r="G27" s="12"/>
      <c r="H27" s="48">
        <v>1</v>
      </c>
      <c r="I27" s="57">
        <v>44725</v>
      </c>
      <c r="J27" s="57">
        <v>44737.999305555597</v>
      </c>
    </row>
    <row r="28" spans="1:10" ht="15.6">
      <c r="A28" s="3">
        <v>13</v>
      </c>
      <c r="B28" s="12">
        <v>100043</v>
      </c>
      <c r="C28" s="12">
        <v>10102</v>
      </c>
      <c r="D28" s="12"/>
      <c r="E28" s="48">
        <v>2</v>
      </c>
      <c r="F28" s="12">
        <v>10202</v>
      </c>
      <c r="G28" s="12"/>
      <c r="H28" s="48">
        <v>1</v>
      </c>
      <c r="I28" s="57">
        <v>44738</v>
      </c>
      <c r="J28" s="57">
        <v>44750.999305555597</v>
      </c>
    </row>
    <row r="29" spans="1:10" ht="15.6">
      <c r="A29" s="3">
        <v>14</v>
      </c>
      <c r="B29" s="12">
        <v>100122</v>
      </c>
      <c r="C29" s="12">
        <v>10102</v>
      </c>
      <c r="D29" s="12"/>
      <c r="E29" s="48">
        <v>2</v>
      </c>
      <c r="F29" s="12">
        <v>10202</v>
      </c>
      <c r="G29" s="12"/>
      <c r="H29" s="48">
        <v>1</v>
      </c>
      <c r="I29" s="57">
        <v>44751</v>
      </c>
      <c r="J29" s="57">
        <v>44762.999305555597</v>
      </c>
    </row>
    <row r="30" spans="1:10" ht="15.6">
      <c r="A30" s="3">
        <v>15</v>
      </c>
      <c r="B30" s="12">
        <v>100174</v>
      </c>
      <c r="C30" s="12">
        <v>10102</v>
      </c>
      <c r="D30" s="12"/>
      <c r="E30" s="48">
        <v>2</v>
      </c>
      <c r="F30" s="12">
        <v>10202</v>
      </c>
      <c r="G30" s="12"/>
      <c r="H30" s="48">
        <v>1</v>
      </c>
      <c r="I30" s="57">
        <v>44763</v>
      </c>
      <c r="J30" s="57">
        <v>44773.999305555597</v>
      </c>
    </row>
    <row r="31" spans="1:10" ht="15.6">
      <c r="A31" s="3">
        <v>16</v>
      </c>
      <c r="B31" s="50">
        <v>100092</v>
      </c>
      <c r="C31" s="50">
        <v>10102</v>
      </c>
      <c r="D31" s="50"/>
      <c r="E31" s="51">
        <v>2</v>
      </c>
      <c r="F31" s="50">
        <v>10202</v>
      </c>
      <c r="G31" s="50"/>
      <c r="H31" s="51">
        <v>1</v>
      </c>
      <c r="I31" s="58">
        <v>44774</v>
      </c>
      <c r="J31" s="58">
        <v>44783.999305555597</v>
      </c>
    </row>
    <row r="32" spans="1:10" ht="15.6">
      <c r="A32" s="3">
        <v>17</v>
      </c>
      <c r="B32" s="50">
        <v>100102</v>
      </c>
      <c r="C32" s="50">
        <v>10102</v>
      </c>
      <c r="D32" s="50"/>
      <c r="E32" s="51">
        <v>2</v>
      </c>
      <c r="F32" s="50">
        <v>10202</v>
      </c>
      <c r="G32" s="50"/>
      <c r="H32" s="51">
        <v>1</v>
      </c>
      <c r="I32" s="58">
        <v>44784</v>
      </c>
      <c r="J32" s="58">
        <v>44794.999305555597</v>
      </c>
    </row>
    <row r="33" spans="1:10" ht="15.6">
      <c r="A33" s="3">
        <v>18</v>
      </c>
      <c r="B33" s="50">
        <v>100132</v>
      </c>
      <c r="C33" s="50">
        <v>10102</v>
      </c>
      <c r="D33" s="50"/>
      <c r="E33" s="51">
        <v>2</v>
      </c>
      <c r="F33" s="50">
        <v>10202</v>
      </c>
      <c r="G33" s="50"/>
      <c r="H33" s="51">
        <v>1</v>
      </c>
      <c r="I33" s="58">
        <v>44795</v>
      </c>
      <c r="J33" s="58">
        <v>44804.999305555597</v>
      </c>
    </row>
    <row r="34" spans="1:10" ht="15.6">
      <c r="A34" s="3">
        <v>19</v>
      </c>
      <c r="B34" s="50">
        <v>100043</v>
      </c>
      <c r="C34" s="50">
        <v>10102</v>
      </c>
      <c r="D34" s="50"/>
      <c r="E34" s="51">
        <v>2</v>
      </c>
      <c r="F34" s="50">
        <v>10202</v>
      </c>
      <c r="G34" s="50"/>
      <c r="H34" s="51">
        <v>1</v>
      </c>
      <c r="I34" s="58">
        <v>44805</v>
      </c>
      <c r="J34" s="58">
        <v>44819.999305555597</v>
      </c>
    </row>
    <row r="35" spans="1:10" ht="15.6">
      <c r="A35" s="2">
        <v>20</v>
      </c>
      <c r="B35" s="50">
        <v>100027</v>
      </c>
      <c r="C35" s="50">
        <v>10102</v>
      </c>
      <c r="D35" s="50"/>
      <c r="E35" s="51">
        <v>2</v>
      </c>
      <c r="F35" s="50">
        <v>10202</v>
      </c>
      <c r="G35" s="50"/>
      <c r="H35" s="51">
        <v>1</v>
      </c>
      <c r="I35" s="58">
        <v>44820</v>
      </c>
      <c r="J35" s="58">
        <v>44834.999305555597</v>
      </c>
    </row>
    <row r="36" spans="1:10" ht="15.6">
      <c r="A36" s="2">
        <v>21</v>
      </c>
      <c r="B36" s="50">
        <v>100027</v>
      </c>
      <c r="C36" s="50">
        <v>10102</v>
      </c>
      <c r="D36" s="50"/>
      <c r="E36" s="51">
        <v>2</v>
      </c>
      <c r="F36" s="50">
        <v>10202</v>
      </c>
      <c r="G36" s="50"/>
      <c r="H36" s="51">
        <v>1</v>
      </c>
      <c r="I36" s="58">
        <v>45087</v>
      </c>
      <c r="J36" s="58">
        <v>45102.999988425901</v>
      </c>
    </row>
  </sheetData>
  <phoneticPr fontId="23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selection activeCell="I37" sqref="I37"/>
    </sheetView>
  </sheetViews>
  <sheetFormatPr defaultColWidth="9" defaultRowHeight="13.8"/>
  <cols>
    <col min="2" max="2" width="13" customWidth="1"/>
    <col min="3" max="3" width="45.109375" customWidth="1"/>
    <col min="4" max="4" width="29.6640625" customWidth="1"/>
  </cols>
  <sheetData>
    <row r="1" spans="1:4">
      <c r="A1" s="1" t="s">
        <v>0</v>
      </c>
      <c r="B1" s="2" t="s">
        <v>1229</v>
      </c>
      <c r="C1" s="2" t="s">
        <v>2</v>
      </c>
    </row>
    <row r="2" spans="1:4">
      <c r="A2" s="1" t="s">
        <v>3</v>
      </c>
      <c r="B2" s="2" t="s">
        <v>1230</v>
      </c>
      <c r="C2" s="2" t="s">
        <v>5</v>
      </c>
    </row>
    <row r="3" spans="1:4">
      <c r="A3" s="1" t="s">
        <v>6</v>
      </c>
      <c r="B3" s="3" t="s">
        <v>7</v>
      </c>
      <c r="C3" s="2" t="s">
        <v>8</v>
      </c>
    </row>
    <row r="4" spans="1:4">
      <c r="A4" s="1" t="s">
        <v>9</v>
      </c>
      <c r="B4" s="4" t="s">
        <v>10</v>
      </c>
      <c r="C4" s="2"/>
    </row>
    <row r="5" spans="1:4">
      <c r="A5" s="1" t="s">
        <v>11</v>
      </c>
      <c r="B5" s="2"/>
      <c r="C5" s="2" t="s">
        <v>12</v>
      </c>
    </row>
    <row r="6" spans="1:4">
      <c r="A6" s="1" t="s">
        <v>13</v>
      </c>
      <c r="B6" s="2">
        <v>4</v>
      </c>
      <c r="C6" s="2" t="s">
        <v>14</v>
      </c>
    </row>
    <row r="7" spans="1:4">
      <c r="A7" s="1" t="s">
        <v>15</v>
      </c>
      <c r="B7" s="2"/>
      <c r="C7" s="2"/>
    </row>
    <row r="8" spans="1:4">
      <c r="A8" s="1" t="s">
        <v>16</v>
      </c>
      <c r="B8" s="2"/>
      <c r="C8" s="2"/>
    </row>
    <row r="9" spans="1:4">
      <c r="A9" s="2"/>
      <c r="C9" s="2"/>
    </row>
    <row r="10" spans="1:4">
      <c r="A10" s="2"/>
      <c r="B10" s="2"/>
      <c r="C10" s="2"/>
    </row>
    <row r="11" spans="1:4">
      <c r="A11" s="10" t="s">
        <v>1208</v>
      </c>
      <c r="B11" s="10" t="s">
        <v>1170</v>
      </c>
      <c r="C11" s="10" t="s">
        <v>284</v>
      </c>
      <c r="D11" s="10" t="s">
        <v>1231</v>
      </c>
    </row>
    <row r="12" spans="1:4">
      <c r="A12" s="11" t="s">
        <v>23</v>
      </c>
      <c r="B12" s="11" t="s">
        <v>285</v>
      </c>
      <c r="C12" s="11" t="s">
        <v>1232</v>
      </c>
      <c r="D12" s="11" t="s">
        <v>501</v>
      </c>
    </row>
    <row r="13" spans="1:4">
      <c r="A13" s="11" t="s">
        <v>29</v>
      </c>
      <c r="B13" s="11" t="s">
        <v>29</v>
      </c>
      <c r="C13" s="11" t="s">
        <v>29</v>
      </c>
      <c r="D13" s="11" t="s">
        <v>29</v>
      </c>
    </row>
    <row r="14" spans="1:4">
      <c r="A14" s="11" t="s">
        <v>31</v>
      </c>
      <c r="B14" s="11" t="s">
        <v>32</v>
      </c>
      <c r="C14" s="11" t="s">
        <v>32</v>
      </c>
      <c r="D14" s="11" t="s">
        <v>32</v>
      </c>
    </row>
    <row r="15" spans="1:4">
      <c r="A15" s="11"/>
      <c r="B15" s="11">
        <v>1</v>
      </c>
      <c r="C15" s="11">
        <v>0</v>
      </c>
      <c r="D15" s="11">
        <v>1</v>
      </c>
    </row>
    <row r="16" spans="1:4">
      <c r="A16" s="10">
        <v>1</v>
      </c>
      <c r="B16" s="12">
        <v>1</v>
      </c>
      <c r="C16" s="12">
        <v>600</v>
      </c>
      <c r="D16" s="47">
        <v>1</v>
      </c>
    </row>
    <row r="17" spans="1:4">
      <c r="A17" s="12">
        <v>2</v>
      </c>
      <c r="B17" s="12">
        <v>1</v>
      </c>
      <c r="C17" s="12">
        <v>300</v>
      </c>
      <c r="D17" s="47">
        <v>2</v>
      </c>
    </row>
    <row r="18" spans="1:4">
      <c r="A18" s="10">
        <v>3</v>
      </c>
      <c r="B18" s="12">
        <v>1</v>
      </c>
      <c r="C18" s="12">
        <v>180</v>
      </c>
      <c r="D18" s="47">
        <v>5</v>
      </c>
    </row>
    <row r="19" spans="1:4">
      <c r="A19" s="12">
        <v>4</v>
      </c>
      <c r="B19" s="12">
        <v>1</v>
      </c>
      <c r="C19" s="12">
        <v>90</v>
      </c>
      <c r="D19" s="47">
        <v>50</v>
      </c>
    </row>
    <row r="20" spans="1:4">
      <c r="A20" s="10">
        <v>5</v>
      </c>
      <c r="B20" s="12">
        <v>1</v>
      </c>
      <c r="C20" s="12">
        <v>60</v>
      </c>
      <c r="D20" s="47">
        <v>50</v>
      </c>
    </row>
    <row r="21" spans="1:4">
      <c r="A21" s="12">
        <v>6</v>
      </c>
      <c r="B21" s="12">
        <v>1</v>
      </c>
      <c r="C21" s="12">
        <v>30</v>
      </c>
      <c r="D21" s="47">
        <v>100</v>
      </c>
    </row>
  </sheetData>
  <phoneticPr fontId="23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1"/>
  <sheetViews>
    <sheetView topLeftCell="A7" workbookViewId="0">
      <selection activeCell="D32" sqref="D32"/>
    </sheetView>
  </sheetViews>
  <sheetFormatPr defaultColWidth="11" defaultRowHeight="13.8"/>
  <cols>
    <col min="1" max="1" width="34.6640625" style="2" customWidth="1"/>
    <col min="2" max="2" width="20.109375" style="2" customWidth="1"/>
    <col min="3" max="3" width="18.21875" style="2" customWidth="1"/>
    <col min="4" max="4" width="13" style="2" customWidth="1"/>
    <col min="5" max="5" width="16.44140625" style="2" customWidth="1"/>
    <col min="6" max="6" width="24.88671875" style="2" customWidth="1"/>
    <col min="7" max="7" width="25.44140625" style="2" customWidth="1"/>
    <col min="8" max="8" width="16.88671875" style="2" customWidth="1"/>
    <col min="9" max="9" width="14" style="2" customWidth="1"/>
    <col min="10" max="10" width="15.33203125" style="2" customWidth="1"/>
    <col min="11" max="11" width="20.88671875" style="2" customWidth="1"/>
    <col min="12" max="12" width="20.77734375" style="2" customWidth="1"/>
    <col min="13" max="16384" width="11" style="2"/>
  </cols>
  <sheetData>
    <row r="1" spans="1:9">
      <c r="A1" s="1" t="s">
        <v>0</v>
      </c>
      <c r="B1" s="2" t="s">
        <v>1233</v>
      </c>
      <c r="C1" s="2" t="s">
        <v>2</v>
      </c>
    </row>
    <row r="2" spans="1:9">
      <c r="A2" s="1" t="s">
        <v>3</v>
      </c>
      <c r="B2" s="2" t="s">
        <v>1234</v>
      </c>
      <c r="C2" s="2" t="s">
        <v>5</v>
      </c>
    </row>
    <row r="3" spans="1:9">
      <c r="A3" s="1" t="s">
        <v>6</v>
      </c>
      <c r="B3" s="3" t="s">
        <v>7</v>
      </c>
      <c r="C3" s="2" t="s">
        <v>8</v>
      </c>
    </row>
    <row r="4" spans="1:9">
      <c r="A4" s="1" t="s">
        <v>9</v>
      </c>
      <c r="B4" s="4" t="s">
        <v>10</v>
      </c>
    </row>
    <row r="5" spans="1:9">
      <c r="A5" s="1" t="s">
        <v>11</v>
      </c>
      <c r="C5" s="2" t="s">
        <v>12</v>
      </c>
    </row>
    <row r="6" spans="1:9">
      <c r="A6" s="1" t="s">
        <v>13</v>
      </c>
      <c r="B6" s="2">
        <v>4</v>
      </c>
      <c r="C6" s="2" t="s">
        <v>14</v>
      </c>
    </row>
    <row r="7" spans="1:9">
      <c r="A7" s="1" t="s">
        <v>15</v>
      </c>
    </row>
    <row r="8" spans="1:9">
      <c r="A8" s="1" t="s">
        <v>16</v>
      </c>
    </row>
    <row r="11" spans="1:9">
      <c r="A11" s="2" t="s">
        <v>1235</v>
      </c>
      <c r="B11" s="2" t="s">
        <v>1219</v>
      </c>
      <c r="C11" s="2" t="s">
        <v>1220</v>
      </c>
      <c r="D11" s="2" t="s">
        <v>1236</v>
      </c>
      <c r="E11" s="2" t="s">
        <v>1237</v>
      </c>
      <c r="F11" s="2" t="s">
        <v>1238</v>
      </c>
      <c r="G11" s="2" t="s">
        <v>1239</v>
      </c>
      <c r="H11" s="3" t="s">
        <v>1240</v>
      </c>
      <c r="I11" s="3" t="s">
        <v>1241</v>
      </c>
    </row>
    <row r="12" spans="1:9">
      <c r="A12" s="4" t="s">
        <v>23</v>
      </c>
      <c r="B12" s="4" t="s">
        <v>1224</v>
      </c>
      <c r="C12" s="4" t="s">
        <v>1225</v>
      </c>
      <c r="D12" s="4" t="s">
        <v>1242</v>
      </c>
      <c r="E12" s="4" t="s">
        <v>1243</v>
      </c>
      <c r="F12" s="4" t="s">
        <v>1244</v>
      </c>
      <c r="G12" s="4" t="s">
        <v>1245</v>
      </c>
      <c r="H12" s="3" t="s">
        <v>1246</v>
      </c>
      <c r="I12" s="3" t="s">
        <v>1247</v>
      </c>
    </row>
    <row r="13" spans="1:9">
      <c r="A13" s="4" t="s">
        <v>29</v>
      </c>
      <c r="B13" s="4" t="s">
        <v>30</v>
      </c>
      <c r="C13" s="4" t="s">
        <v>30</v>
      </c>
      <c r="D13" s="4" t="s">
        <v>30</v>
      </c>
      <c r="E13" s="4" t="s">
        <v>30</v>
      </c>
      <c r="F13" s="4" t="s">
        <v>29</v>
      </c>
      <c r="G13" s="4" t="s">
        <v>29</v>
      </c>
      <c r="H13" s="3" t="s">
        <v>29</v>
      </c>
      <c r="I13" s="3" t="s">
        <v>29</v>
      </c>
    </row>
    <row r="14" spans="1:9">
      <c r="A14" s="4" t="s">
        <v>31</v>
      </c>
      <c r="B14" s="4" t="s">
        <v>32</v>
      </c>
      <c r="C14" s="4" t="s">
        <v>32</v>
      </c>
      <c r="D14" s="4" t="s">
        <v>32</v>
      </c>
      <c r="E14" s="4" t="s">
        <v>32</v>
      </c>
      <c r="F14" s="4" t="s">
        <v>31</v>
      </c>
      <c r="G14" s="4" t="s">
        <v>31</v>
      </c>
      <c r="H14" s="3" t="s">
        <v>31</v>
      </c>
      <c r="I14" s="3" t="s">
        <v>31</v>
      </c>
    </row>
    <row r="15" spans="1:9" ht="15.6">
      <c r="A15" s="4">
        <v>0</v>
      </c>
      <c r="B15" s="39">
        <v>36526</v>
      </c>
      <c r="C15" s="40">
        <v>72686</v>
      </c>
      <c r="D15" s="4" t="s">
        <v>1248</v>
      </c>
      <c r="E15" s="4" t="s">
        <v>1248</v>
      </c>
      <c r="F15" s="4">
        <v>0</v>
      </c>
      <c r="G15" s="4">
        <v>0</v>
      </c>
      <c r="H15" s="3">
        <v>0</v>
      </c>
      <c r="I15" s="3">
        <v>0</v>
      </c>
    </row>
    <row r="16" spans="1:9" ht="15.6">
      <c r="A16" s="3">
        <v>1</v>
      </c>
      <c r="B16" s="41">
        <v>44422</v>
      </c>
      <c r="C16" s="42">
        <v>44530</v>
      </c>
      <c r="D16" s="2" t="s">
        <v>1248</v>
      </c>
    </row>
    <row r="17" spans="1:10" ht="15.6">
      <c r="A17" s="3">
        <v>2</v>
      </c>
      <c r="B17" s="41">
        <v>44593</v>
      </c>
      <c r="C17" s="42">
        <v>44620.996527777803</v>
      </c>
      <c r="D17" s="2" t="s">
        <v>1248</v>
      </c>
    </row>
    <row r="18" spans="1:10" ht="15.6">
      <c r="A18" s="3">
        <v>3</v>
      </c>
      <c r="B18" s="42">
        <v>44652</v>
      </c>
      <c r="C18" s="42">
        <v>44681.999305555597</v>
      </c>
      <c r="D18" s="2" t="s">
        <v>1249</v>
      </c>
    </row>
    <row r="19" spans="1:10" ht="15.6">
      <c r="A19" s="3">
        <v>4</v>
      </c>
      <c r="B19" s="42">
        <v>44682</v>
      </c>
      <c r="C19" s="42">
        <v>44712.999305555597</v>
      </c>
      <c r="D19" s="2" t="s">
        <v>1248</v>
      </c>
    </row>
    <row r="20" spans="1:10" ht="15.6">
      <c r="A20" s="3">
        <v>5</v>
      </c>
      <c r="B20" s="41">
        <v>44713</v>
      </c>
      <c r="C20" s="42">
        <v>44742.999305555597</v>
      </c>
      <c r="D20" s="2" t="s">
        <v>1249</v>
      </c>
    </row>
    <row r="21" spans="1:10" ht="15.6">
      <c r="A21" s="3">
        <v>6</v>
      </c>
      <c r="B21" s="42">
        <v>44743</v>
      </c>
      <c r="C21" s="42">
        <v>44773.999305555597</v>
      </c>
      <c r="D21" s="2" t="s">
        <v>1250</v>
      </c>
    </row>
    <row r="22" spans="1:10" ht="15.6">
      <c r="A22" s="3">
        <v>7</v>
      </c>
      <c r="B22" s="43">
        <v>44774</v>
      </c>
      <c r="C22" s="43">
        <v>44804.999305555597</v>
      </c>
      <c r="D22" s="21" t="s">
        <v>1251</v>
      </c>
    </row>
    <row r="23" spans="1:10" ht="15.6">
      <c r="A23" s="3">
        <v>8</v>
      </c>
      <c r="B23" s="43">
        <v>44805</v>
      </c>
      <c r="C23" s="43">
        <v>44834.999305555597</v>
      </c>
      <c r="D23" s="21" t="s">
        <v>1252</v>
      </c>
    </row>
    <row r="24" spans="1:10">
      <c r="A24" s="3">
        <v>9</v>
      </c>
      <c r="B24" s="41">
        <v>44851</v>
      </c>
      <c r="C24" s="41">
        <v>44871.999305555597</v>
      </c>
      <c r="D24" s="21">
        <v>1</v>
      </c>
      <c r="E24" s="21">
        <v>2</v>
      </c>
      <c r="F24" s="21">
        <v>179</v>
      </c>
      <c r="G24" s="21">
        <v>279</v>
      </c>
      <c r="H24" s="21">
        <v>556</v>
      </c>
      <c r="I24" s="21">
        <v>988</v>
      </c>
    </row>
    <row r="25" spans="1:10">
      <c r="A25" s="3">
        <v>10</v>
      </c>
      <c r="B25" s="41">
        <v>44872</v>
      </c>
      <c r="C25" s="41">
        <v>44892.999305555597</v>
      </c>
      <c r="D25" s="21">
        <v>1</v>
      </c>
      <c r="E25" s="21">
        <v>2</v>
      </c>
      <c r="F25" s="21">
        <v>179</v>
      </c>
      <c r="G25" s="21">
        <v>279</v>
      </c>
      <c r="H25" s="21">
        <v>556</v>
      </c>
      <c r="I25" s="21">
        <v>988</v>
      </c>
    </row>
    <row r="26" spans="1:10">
      <c r="A26" s="3">
        <v>11</v>
      </c>
      <c r="B26" s="41">
        <v>44893</v>
      </c>
      <c r="C26" s="41">
        <v>44913.999305555597</v>
      </c>
      <c r="D26" s="21">
        <v>1</v>
      </c>
      <c r="E26" s="21">
        <v>2</v>
      </c>
      <c r="F26" s="21">
        <v>179</v>
      </c>
      <c r="G26" s="21">
        <v>279</v>
      </c>
      <c r="H26" s="21">
        <v>556</v>
      </c>
      <c r="I26" s="21">
        <v>988</v>
      </c>
    </row>
    <row r="27" spans="1:10">
      <c r="A27" s="3">
        <v>12</v>
      </c>
      <c r="B27" s="41">
        <v>44914</v>
      </c>
      <c r="C27" s="41">
        <v>44934.999305555597</v>
      </c>
      <c r="D27" s="21">
        <v>1</v>
      </c>
      <c r="E27" s="21">
        <v>2</v>
      </c>
      <c r="F27" s="21">
        <v>179</v>
      </c>
      <c r="G27" s="21">
        <v>279</v>
      </c>
      <c r="H27" s="21">
        <v>556</v>
      </c>
      <c r="I27" s="21">
        <v>988</v>
      </c>
    </row>
    <row r="28" spans="1:10">
      <c r="A28" s="3">
        <v>13</v>
      </c>
      <c r="B28" s="41">
        <v>44935</v>
      </c>
      <c r="C28" s="41">
        <v>44955.999305555597</v>
      </c>
      <c r="D28" s="21">
        <v>3</v>
      </c>
      <c r="E28" s="21">
        <v>4</v>
      </c>
      <c r="F28" s="21">
        <v>179</v>
      </c>
      <c r="G28" s="21">
        <v>279</v>
      </c>
      <c r="H28" s="21">
        <v>556</v>
      </c>
      <c r="I28" s="21">
        <v>988</v>
      </c>
    </row>
    <row r="29" spans="1:10">
      <c r="A29" s="3">
        <v>14</v>
      </c>
      <c r="B29" s="41">
        <v>44956</v>
      </c>
      <c r="C29" s="41">
        <v>44976.999305555597</v>
      </c>
      <c r="D29" s="21">
        <v>5</v>
      </c>
      <c r="E29" s="21">
        <v>6</v>
      </c>
      <c r="F29" s="21">
        <v>179</v>
      </c>
      <c r="G29" s="21">
        <v>279</v>
      </c>
      <c r="H29" s="21">
        <v>556</v>
      </c>
      <c r="I29" s="21">
        <v>988</v>
      </c>
    </row>
    <row r="30" spans="1:10">
      <c r="A30" s="2">
        <v>15</v>
      </c>
      <c r="B30" s="41">
        <v>45075</v>
      </c>
      <c r="C30" s="41">
        <v>45102.999305555597</v>
      </c>
      <c r="D30" s="21">
        <v>21</v>
      </c>
      <c r="E30" s="21">
        <v>22</v>
      </c>
      <c r="F30" s="21">
        <v>100912</v>
      </c>
      <c r="G30" s="21">
        <v>100912</v>
      </c>
    </row>
    <row r="31" spans="1:10">
      <c r="A31" s="3">
        <v>16</v>
      </c>
      <c r="B31" s="44">
        <v>45107</v>
      </c>
      <c r="C31" s="44">
        <v>45116.999305555597</v>
      </c>
      <c r="D31" s="45">
        <v>21</v>
      </c>
      <c r="E31" s="45">
        <v>22</v>
      </c>
      <c r="F31" s="45">
        <v>100912</v>
      </c>
      <c r="G31" s="45">
        <v>100912</v>
      </c>
      <c r="H31" s="46"/>
      <c r="I31" s="46"/>
      <c r="J31" s="46" t="s">
        <v>1253</v>
      </c>
    </row>
  </sheetData>
  <phoneticPr fontId="23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517"/>
  <sheetViews>
    <sheetView workbookViewId="0">
      <pane ySplit="14" topLeftCell="A501" activePane="bottomLeft" state="frozen"/>
      <selection pane="bottomLeft" activeCell="I488" sqref="I488"/>
    </sheetView>
  </sheetViews>
  <sheetFormatPr defaultColWidth="9" defaultRowHeight="13.8"/>
  <cols>
    <col min="1" max="2" width="25.77734375" customWidth="1"/>
    <col min="3" max="3" width="17.88671875" customWidth="1"/>
    <col min="4" max="4" width="25.44140625" customWidth="1"/>
    <col min="5" max="5" width="15.33203125" style="16" customWidth="1"/>
    <col min="6" max="6" width="21.77734375" style="16" customWidth="1"/>
    <col min="7" max="7" width="15.33203125" customWidth="1"/>
    <col min="9" max="9" width="12.109375" customWidth="1"/>
    <col min="10" max="10" width="13" customWidth="1"/>
    <col min="11" max="11" width="10" customWidth="1"/>
    <col min="12" max="12" width="14.109375" customWidth="1"/>
    <col min="13" max="13" width="12.109375" customWidth="1"/>
    <col min="34" max="34" width="12.109375" customWidth="1"/>
    <col min="35" max="35" width="17.33203125" customWidth="1"/>
  </cols>
  <sheetData>
    <row r="1" spans="1:35">
      <c r="A1" s="1" t="s">
        <v>0</v>
      </c>
      <c r="B1" s="2" t="s">
        <v>1254</v>
      </c>
      <c r="C1" s="2" t="s">
        <v>2</v>
      </c>
    </row>
    <row r="2" spans="1:35">
      <c r="A2" s="1" t="s">
        <v>3</v>
      </c>
      <c r="B2" s="2" t="s">
        <v>1255</v>
      </c>
      <c r="C2" s="2" t="s">
        <v>5</v>
      </c>
    </row>
    <row r="3" spans="1:35">
      <c r="A3" s="1" t="s">
        <v>6</v>
      </c>
      <c r="B3" s="3" t="s">
        <v>7</v>
      </c>
      <c r="C3" s="2" t="s">
        <v>8</v>
      </c>
    </row>
    <row r="4" spans="1:35">
      <c r="A4" s="1" t="s">
        <v>9</v>
      </c>
      <c r="B4" s="4" t="s">
        <v>10</v>
      </c>
      <c r="C4" s="2"/>
    </row>
    <row r="5" spans="1:35">
      <c r="A5" s="1" t="s">
        <v>11</v>
      </c>
      <c r="B5" s="2"/>
      <c r="C5" s="2" t="s">
        <v>12</v>
      </c>
    </row>
    <row r="6" spans="1:35">
      <c r="A6" s="1" t="s">
        <v>13</v>
      </c>
      <c r="B6" s="2">
        <v>4</v>
      </c>
      <c r="C6" s="2" t="s">
        <v>14</v>
      </c>
    </row>
    <row r="7" spans="1:35">
      <c r="A7" s="1" t="s">
        <v>15</v>
      </c>
      <c r="B7" s="2"/>
      <c r="C7" s="2"/>
    </row>
    <row r="8" spans="1:35">
      <c r="A8" s="1" t="s">
        <v>16</v>
      </c>
      <c r="B8" s="2"/>
      <c r="C8" s="2"/>
    </row>
    <row r="9" spans="1:35">
      <c r="A9" s="2"/>
      <c r="B9" s="2"/>
      <c r="C9" s="2"/>
      <c r="D9" s="2"/>
    </row>
    <row r="10" spans="1:35">
      <c r="A10" s="2"/>
      <c r="B10" s="2"/>
      <c r="C10" s="2"/>
      <c r="D10" s="2"/>
    </row>
    <row r="11" spans="1:35">
      <c r="A11" s="23" t="s">
        <v>1256</v>
      </c>
      <c r="B11" s="23" t="s">
        <v>1257</v>
      </c>
      <c r="C11" s="23" t="s">
        <v>1258</v>
      </c>
      <c r="D11" s="23" t="s">
        <v>1259</v>
      </c>
      <c r="E11" s="24" t="s">
        <v>1260</v>
      </c>
      <c r="F11" s="24" t="s">
        <v>1261</v>
      </c>
      <c r="G11" s="23" t="s">
        <v>1262</v>
      </c>
    </row>
    <row r="12" spans="1:35">
      <c r="A12" s="25" t="s">
        <v>23</v>
      </c>
      <c r="B12" s="25" t="s">
        <v>307</v>
      </c>
      <c r="C12" s="25" t="s">
        <v>1263</v>
      </c>
      <c r="D12" s="25" t="s">
        <v>1264</v>
      </c>
      <c r="E12" s="26" t="s">
        <v>1265</v>
      </c>
      <c r="F12" s="26" t="s">
        <v>1266</v>
      </c>
      <c r="G12" s="25" t="s">
        <v>1267</v>
      </c>
    </row>
    <row r="13" spans="1:35" ht="15.6">
      <c r="A13" s="25" t="s">
        <v>29</v>
      </c>
      <c r="B13" s="25" t="s">
        <v>29</v>
      </c>
      <c r="C13" s="25" t="s">
        <v>29</v>
      </c>
      <c r="D13" s="25" t="s">
        <v>29</v>
      </c>
      <c r="E13" s="27" t="s">
        <v>30</v>
      </c>
      <c r="F13" s="27" t="s">
        <v>30</v>
      </c>
      <c r="G13" s="25" t="s">
        <v>29</v>
      </c>
    </row>
    <row r="14" spans="1:35">
      <c r="A14" s="25" t="s">
        <v>31</v>
      </c>
      <c r="B14" s="25" t="s">
        <v>32</v>
      </c>
      <c r="C14" s="25" t="s">
        <v>32</v>
      </c>
      <c r="D14" s="25" t="s">
        <v>32</v>
      </c>
      <c r="E14" s="26" t="s">
        <v>32</v>
      </c>
      <c r="F14" s="26" t="s">
        <v>32</v>
      </c>
      <c r="G14" s="25" t="s">
        <v>32</v>
      </c>
      <c r="AI14" t="s">
        <v>713</v>
      </c>
    </row>
    <row r="15" spans="1:35">
      <c r="A15" s="25"/>
      <c r="B15" s="25">
        <v>1</v>
      </c>
      <c r="C15" s="25">
        <v>0</v>
      </c>
      <c r="D15" s="25">
        <v>0</v>
      </c>
      <c r="E15" s="26"/>
      <c r="F15" s="26" t="s">
        <v>1268</v>
      </c>
      <c r="G15" s="25">
        <v>1</v>
      </c>
      <c r="H15" t="s">
        <v>1257</v>
      </c>
      <c r="I15" t="s">
        <v>1269</v>
      </c>
      <c r="J15" t="s">
        <v>1270</v>
      </c>
      <c r="K15" t="s">
        <v>1271</v>
      </c>
      <c r="L15" t="s">
        <v>1272</v>
      </c>
      <c r="M15" t="s">
        <v>1273</v>
      </c>
      <c r="N15" t="s">
        <v>1274</v>
      </c>
    </row>
    <row r="16" spans="1:35">
      <c r="A16" s="2">
        <v>1</v>
      </c>
      <c r="B16" s="2">
        <v>1</v>
      </c>
      <c r="C16" s="2">
        <v>100</v>
      </c>
      <c r="D16" s="2">
        <v>0</v>
      </c>
      <c r="E16" s="16" t="s">
        <v>1275</v>
      </c>
      <c r="F16" s="16" t="s">
        <v>1276</v>
      </c>
      <c r="G16" s="2">
        <v>4</v>
      </c>
      <c r="H16">
        <v>1</v>
      </c>
      <c r="K16" t="s">
        <v>1172</v>
      </c>
      <c r="L16">
        <v>10</v>
      </c>
      <c r="M16" t="s">
        <v>1277</v>
      </c>
      <c r="N16">
        <v>1</v>
      </c>
      <c r="U16" t="str">
        <f>CONCATENATE(P16,Q16,R16,S16,T16)</f>
        <v/>
      </c>
      <c r="W16" t="s">
        <v>712</v>
      </c>
      <c r="X16">
        <v>1</v>
      </c>
      <c r="Y16" t="s">
        <v>713</v>
      </c>
      <c r="Z16">
        <v>10</v>
      </c>
      <c r="AA16" t="s">
        <v>714</v>
      </c>
      <c r="AB16" t="str">
        <f>CONCATENATE(W16,X16,Y16,Z16,AA16)</f>
        <v>[1,10]</v>
      </c>
      <c r="AC16" t="s">
        <v>712</v>
      </c>
      <c r="AD16">
        <v>200004</v>
      </c>
      <c r="AE16" t="s">
        <v>713</v>
      </c>
      <c r="AF16">
        <v>1</v>
      </c>
      <c r="AG16" t="s">
        <v>714</v>
      </c>
      <c r="AH16" t="str">
        <f>CONCATENATE(AC16,AD16,AE16,AF16,AG16)</f>
        <v>[200004,1]</v>
      </c>
      <c r="AI16" t="str">
        <f>IF(AH16="",AB16,CONCATENATE(AB16,$AI$14,AH16))</f>
        <v>[1,10],[200004,1]</v>
      </c>
    </row>
    <row r="17" spans="1:35">
      <c r="A17" s="2">
        <v>2</v>
      </c>
      <c r="B17" s="2">
        <v>2</v>
      </c>
      <c r="C17" s="2">
        <v>100</v>
      </c>
      <c r="D17" s="2">
        <v>0</v>
      </c>
      <c r="E17" s="16" t="s">
        <v>1278</v>
      </c>
      <c r="F17" s="16" t="s">
        <v>1279</v>
      </c>
      <c r="G17" s="2">
        <v>4</v>
      </c>
      <c r="H17">
        <v>2</v>
      </c>
      <c r="I17" t="s">
        <v>1187</v>
      </c>
      <c r="J17">
        <v>2000</v>
      </c>
      <c r="K17" t="s">
        <v>1172</v>
      </c>
      <c r="L17">
        <v>10</v>
      </c>
      <c r="P17" t="s">
        <v>712</v>
      </c>
      <c r="Q17">
        <v>2</v>
      </c>
      <c r="R17" t="s">
        <v>713</v>
      </c>
      <c r="S17">
        <v>2000</v>
      </c>
      <c r="T17" t="s">
        <v>714</v>
      </c>
      <c r="U17" t="str">
        <f t="shared" ref="U17:U45" si="0">CONCATENATE(P17,Q17,R17,S17,T17)</f>
        <v>[2,2000]</v>
      </c>
      <c r="W17" t="s">
        <v>712</v>
      </c>
      <c r="X17">
        <v>1</v>
      </c>
      <c r="Y17" t="s">
        <v>713</v>
      </c>
      <c r="Z17">
        <v>10</v>
      </c>
      <c r="AA17" t="s">
        <v>714</v>
      </c>
      <c r="AB17" t="str">
        <f t="shared" ref="AB17:AB45" si="1">CONCATENATE(W17,X17,Y17,Z17,AA17)</f>
        <v>[1,10]</v>
      </c>
      <c r="AH17" t="str">
        <f t="shared" ref="AH17:AH45" si="2">CONCATENATE(AC17,AD17,AE17,AF17,AG17)</f>
        <v/>
      </c>
      <c r="AI17" t="str">
        <f t="shared" ref="AI17:AI45" si="3">IF(AH17="",AB17,CONCATENATE(AB17,$AI$14,AH17))</f>
        <v>[1,10]</v>
      </c>
    </row>
    <row r="18" spans="1:35">
      <c r="A18" s="2">
        <v>3</v>
      </c>
      <c r="B18" s="2">
        <v>3</v>
      </c>
      <c r="C18" s="2">
        <v>100</v>
      </c>
      <c r="D18" s="2">
        <v>0</v>
      </c>
      <c r="E18" s="16" t="s">
        <v>1280</v>
      </c>
      <c r="F18" s="16" t="s">
        <v>1281</v>
      </c>
      <c r="G18" s="2">
        <v>4</v>
      </c>
      <c r="H18">
        <v>3</v>
      </c>
      <c r="K18" t="s">
        <v>1172</v>
      </c>
      <c r="L18">
        <v>10</v>
      </c>
      <c r="M18" t="s">
        <v>1282</v>
      </c>
      <c r="N18">
        <v>1</v>
      </c>
      <c r="U18" t="str">
        <f t="shared" si="0"/>
        <v/>
      </c>
      <c r="W18" t="s">
        <v>712</v>
      </c>
      <c r="X18">
        <v>1</v>
      </c>
      <c r="Y18" t="s">
        <v>713</v>
      </c>
      <c r="Z18">
        <v>10</v>
      </c>
      <c r="AA18" t="s">
        <v>714</v>
      </c>
      <c r="AB18" t="str">
        <f t="shared" si="1"/>
        <v>[1,10]</v>
      </c>
      <c r="AC18" t="s">
        <v>712</v>
      </c>
      <c r="AD18">
        <v>810015</v>
      </c>
      <c r="AE18" t="s">
        <v>713</v>
      </c>
      <c r="AF18">
        <v>1</v>
      </c>
      <c r="AG18" t="s">
        <v>714</v>
      </c>
      <c r="AH18" t="str">
        <f t="shared" si="2"/>
        <v>[810015,1]</v>
      </c>
      <c r="AI18" t="str">
        <f t="shared" si="3"/>
        <v>[1,10],[810015,1]</v>
      </c>
    </row>
    <row r="19" spans="1:35">
      <c r="A19" s="2">
        <v>4</v>
      </c>
      <c r="B19" s="2">
        <v>4</v>
      </c>
      <c r="C19" s="2">
        <v>100</v>
      </c>
      <c r="D19" s="2">
        <v>0</v>
      </c>
      <c r="E19" s="16" t="s">
        <v>1275</v>
      </c>
      <c r="F19" s="16" t="s">
        <v>1283</v>
      </c>
      <c r="G19" s="2">
        <v>4</v>
      </c>
      <c r="H19">
        <v>4</v>
      </c>
      <c r="K19" t="s">
        <v>1172</v>
      </c>
      <c r="L19">
        <v>10</v>
      </c>
      <c r="U19" t="str">
        <f t="shared" si="0"/>
        <v/>
      </c>
      <c r="W19" t="s">
        <v>712</v>
      </c>
      <c r="X19">
        <v>1</v>
      </c>
      <c r="Y19" t="s">
        <v>713</v>
      </c>
      <c r="Z19">
        <v>10</v>
      </c>
      <c r="AA19" t="s">
        <v>714</v>
      </c>
      <c r="AB19" t="str">
        <f t="shared" si="1"/>
        <v>[1,10]</v>
      </c>
      <c r="AH19" t="str">
        <f t="shared" si="2"/>
        <v/>
      </c>
      <c r="AI19" t="str">
        <f t="shared" si="3"/>
        <v>[1,10]</v>
      </c>
    </row>
    <row r="20" spans="1:35">
      <c r="A20" s="2">
        <v>5</v>
      </c>
      <c r="B20" s="2">
        <v>5</v>
      </c>
      <c r="C20" s="2">
        <v>100</v>
      </c>
      <c r="D20" s="2">
        <v>0</v>
      </c>
      <c r="E20" s="16" t="s">
        <v>1284</v>
      </c>
      <c r="F20" s="16" t="s">
        <v>1285</v>
      </c>
      <c r="G20" s="2">
        <v>4</v>
      </c>
      <c r="H20">
        <v>5</v>
      </c>
      <c r="I20" t="s">
        <v>1286</v>
      </c>
      <c r="J20">
        <v>20</v>
      </c>
      <c r="K20" t="s">
        <v>1172</v>
      </c>
      <c r="L20">
        <v>10</v>
      </c>
      <c r="M20" t="s">
        <v>1286</v>
      </c>
      <c r="N20">
        <v>40</v>
      </c>
      <c r="P20" t="s">
        <v>712</v>
      </c>
      <c r="Q20">
        <v>13</v>
      </c>
      <c r="R20" t="s">
        <v>713</v>
      </c>
      <c r="S20">
        <v>20</v>
      </c>
      <c r="T20" t="s">
        <v>714</v>
      </c>
      <c r="U20" t="str">
        <f t="shared" si="0"/>
        <v>[13,20]</v>
      </c>
      <c r="W20" t="s">
        <v>712</v>
      </c>
      <c r="X20">
        <v>1</v>
      </c>
      <c r="Y20" t="s">
        <v>713</v>
      </c>
      <c r="Z20">
        <v>10</v>
      </c>
      <c r="AA20" t="s">
        <v>714</v>
      </c>
      <c r="AB20" t="str">
        <f t="shared" si="1"/>
        <v>[1,10]</v>
      </c>
      <c r="AC20" t="s">
        <v>712</v>
      </c>
      <c r="AD20">
        <v>13</v>
      </c>
      <c r="AE20" t="s">
        <v>713</v>
      </c>
      <c r="AF20">
        <v>40</v>
      </c>
      <c r="AG20" t="s">
        <v>714</v>
      </c>
      <c r="AH20" t="str">
        <f t="shared" si="2"/>
        <v>[13,40]</v>
      </c>
      <c r="AI20" t="str">
        <f t="shared" si="3"/>
        <v>[1,10],[13,40]</v>
      </c>
    </row>
    <row r="21" spans="1:35">
      <c r="A21" s="2">
        <v>6</v>
      </c>
      <c r="B21" s="2">
        <v>6</v>
      </c>
      <c r="C21" s="2">
        <v>100</v>
      </c>
      <c r="D21" s="2">
        <v>0</v>
      </c>
      <c r="E21" s="16" t="s">
        <v>1275</v>
      </c>
      <c r="F21" s="16" t="s">
        <v>1283</v>
      </c>
      <c r="G21" s="2">
        <v>4</v>
      </c>
      <c r="H21">
        <v>6</v>
      </c>
      <c r="K21" t="s">
        <v>1172</v>
      </c>
      <c r="L21">
        <v>10</v>
      </c>
      <c r="U21" t="str">
        <f t="shared" si="0"/>
        <v/>
      </c>
      <c r="W21" t="s">
        <v>712</v>
      </c>
      <c r="X21">
        <v>1</v>
      </c>
      <c r="Y21" t="s">
        <v>713</v>
      </c>
      <c r="Z21">
        <v>10</v>
      </c>
      <c r="AA21" t="s">
        <v>714</v>
      </c>
      <c r="AB21" t="str">
        <f t="shared" si="1"/>
        <v>[1,10]</v>
      </c>
      <c r="AH21" t="str">
        <f t="shared" si="2"/>
        <v/>
      </c>
      <c r="AI21" t="str">
        <f t="shared" si="3"/>
        <v>[1,10]</v>
      </c>
    </row>
    <row r="22" spans="1:35">
      <c r="A22" s="2">
        <v>7</v>
      </c>
      <c r="B22" s="2">
        <v>7</v>
      </c>
      <c r="C22" s="2">
        <v>100</v>
      </c>
      <c r="D22" s="2">
        <v>0</v>
      </c>
      <c r="E22" s="16" t="s">
        <v>1278</v>
      </c>
      <c r="F22" s="16" t="s">
        <v>1287</v>
      </c>
      <c r="G22" s="2">
        <v>4</v>
      </c>
      <c r="H22">
        <v>7</v>
      </c>
      <c r="I22" t="s">
        <v>1172</v>
      </c>
      <c r="J22">
        <v>5</v>
      </c>
      <c r="K22" t="s">
        <v>1172</v>
      </c>
      <c r="L22">
        <v>10</v>
      </c>
      <c r="M22" t="s">
        <v>1288</v>
      </c>
      <c r="N22">
        <v>20</v>
      </c>
      <c r="P22" t="s">
        <v>712</v>
      </c>
      <c r="Q22">
        <v>1</v>
      </c>
      <c r="R22" t="s">
        <v>713</v>
      </c>
      <c r="S22">
        <v>5</v>
      </c>
      <c r="T22" t="s">
        <v>714</v>
      </c>
      <c r="U22" t="str">
        <f t="shared" si="0"/>
        <v>[1,5]</v>
      </c>
      <c r="W22" t="s">
        <v>712</v>
      </c>
      <c r="X22">
        <v>1</v>
      </c>
      <c r="Y22" t="s">
        <v>713</v>
      </c>
      <c r="Z22">
        <v>10</v>
      </c>
      <c r="AA22" t="s">
        <v>714</v>
      </c>
      <c r="AB22" t="str">
        <f t="shared" si="1"/>
        <v>[1,10]</v>
      </c>
      <c r="AC22" t="s">
        <v>712</v>
      </c>
      <c r="AD22">
        <v>600006</v>
      </c>
      <c r="AE22" t="s">
        <v>713</v>
      </c>
      <c r="AF22">
        <v>20</v>
      </c>
      <c r="AG22" t="s">
        <v>714</v>
      </c>
      <c r="AH22" t="str">
        <f t="shared" si="2"/>
        <v>[600006,20]</v>
      </c>
      <c r="AI22" t="str">
        <f t="shared" si="3"/>
        <v>[1,10],[600006,20]</v>
      </c>
    </row>
    <row r="23" spans="1:35">
      <c r="A23" s="2">
        <v>8</v>
      </c>
      <c r="B23" s="2">
        <v>8</v>
      </c>
      <c r="C23" s="2">
        <v>100</v>
      </c>
      <c r="D23" s="2">
        <v>0</v>
      </c>
      <c r="E23" s="16" t="s">
        <v>1275</v>
      </c>
      <c r="F23" s="16" t="s">
        <v>1283</v>
      </c>
      <c r="G23" s="2">
        <v>4</v>
      </c>
      <c r="H23">
        <v>8</v>
      </c>
      <c r="K23" t="s">
        <v>1172</v>
      </c>
      <c r="L23">
        <v>10</v>
      </c>
      <c r="U23" t="str">
        <f t="shared" si="0"/>
        <v/>
      </c>
      <c r="W23" t="s">
        <v>712</v>
      </c>
      <c r="X23">
        <v>1</v>
      </c>
      <c r="Y23" t="s">
        <v>713</v>
      </c>
      <c r="Z23">
        <v>10</v>
      </c>
      <c r="AA23" t="s">
        <v>714</v>
      </c>
      <c r="AB23" t="str">
        <f t="shared" si="1"/>
        <v>[1,10]</v>
      </c>
      <c r="AH23" t="str">
        <f t="shared" si="2"/>
        <v/>
      </c>
      <c r="AI23" t="str">
        <f t="shared" si="3"/>
        <v>[1,10]</v>
      </c>
    </row>
    <row r="24" spans="1:35">
      <c r="A24" s="2">
        <v>9</v>
      </c>
      <c r="B24" s="2">
        <v>9</v>
      </c>
      <c r="C24" s="2">
        <v>100</v>
      </c>
      <c r="D24" s="2">
        <v>0</v>
      </c>
      <c r="E24" s="16" t="s">
        <v>1275</v>
      </c>
      <c r="F24" s="16" t="s">
        <v>1283</v>
      </c>
      <c r="G24" s="2">
        <v>4</v>
      </c>
      <c r="H24">
        <v>9</v>
      </c>
      <c r="K24" t="s">
        <v>1172</v>
      </c>
      <c r="L24">
        <v>10</v>
      </c>
      <c r="U24" t="str">
        <f t="shared" si="0"/>
        <v/>
      </c>
      <c r="W24" t="s">
        <v>712</v>
      </c>
      <c r="X24">
        <v>1</v>
      </c>
      <c r="Y24" t="s">
        <v>713</v>
      </c>
      <c r="Z24">
        <v>10</v>
      </c>
      <c r="AA24" t="s">
        <v>714</v>
      </c>
      <c r="AB24" t="str">
        <f t="shared" si="1"/>
        <v>[1,10]</v>
      </c>
      <c r="AH24" t="str">
        <f t="shared" si="2"/>
        <v/>
      </c>
      <c r="AI24" t="str">
        <f t="shared" si="3"/>
        <v>[1,10]</v>
      </c>
    </row>
    <row r="25" spans="1:35">
      <c r="A25" s="2">
        <v>10</v>
      </c>
      <c r="B25" s="2">
        <v>10</v>
      </c>
      <c r="C25" s="2">
        <v>100</v>
      </c>
      <c r="D25" s="2">
        <v>1</v>
      </c>
      <c r="E25" s="16" t="s">
        <v>1280</v>
      </c>
      <c r="F25" s="16" t="s">
        <v>1289</v>
      </c>
      <c r="G25" s="2">
        <v>4</v>
      </c>
      <c r="H25">
        <v>10</v>
      </c>
      <c r="I25" t="s">
        <v>1205</v>
      </c>
      <c r="J25">
        <v>1</v>
      </c>
      <c r="K25" t="s">
        <v>1172</v>
      </c>
      <c r="L25">
        <v>10</v>
      </c>
      <c r="M25" t="s">
        <v>1290</v>
      </c>
      <c r="N25">
        <v>1</v>
      </c>
      <c r="P25" t="s">
        <v>712</v>
      </c>
      <c r="Q25">
        <v>100172</v>
      </c>
      <c r="R25" t="s">
        <v>713</v>
      </c>
      <c r="S25">
        <v>1</v>
      </c>
      <c r="T25" t="s">
        <v>714</v>
      </c>
      <c r="U25" t="str">
        <f t="shared" si="0"/>
        <v>[100172,1]</v>
      </c>
      <c r="W25" t="s">
        <v>712</v>
      </c>
      <c r="X25">
        <v>1</v>
      </c>
      <c r="Y25" t="s">
        <v>713</v>
      </c>
      <c r="Z25">
        <v>10</v>
      </c>
      <c r="AA25" t="s">
        <v>714</v>
      </c>
      <c r="AB25" t="str">
        <f t="shared" si="1"/>
        <v>[1,10]</v>
      </c>
      <c r="AC25" t="s">
        <v>712</v>
      </c>
      <c r="AD25" s="2">
        <v>300005</v>
      </c>
      <c r="AE25" t="s">
        <v>713</v>
      </c>
      <c r="AF25">
        <v>1</v>
      </c>
      <c r="AG25" t="s">
        <v>714</v>
      </c>
      <c r="AH25" t="str">
        <f t="shared" si="2"/>
        <v>[300005,1]</v>
      </c>
      <c r="AI25" t="str">
        <f t="shared" si="3"/>
        <v>[1,10],[300005,1]</v>
      </c>
    </row>
    <row r="26" spans="1:35">
      <c r="A26" s="2">
        <v>11</v>
      </c>
      <c r="B26" s="2">
        <v>11</v>
      </c>
      <c r="C26" s="2">
        <v>100</v>
      </c>
      <c r="D26" s="2">
        <v>0</v>
      </c>
      <c r="E26" s="16" t="s">
        <v>1275</v>
      </c>
      <c r="F26" s="16" t="s">
        <v>1283</v>
      </c>
      <c r="G26" s="2">
        <v>4</v>
      </c>
      <c r="H26">
        <v>11</v>
      </c>
      <c r="K26" t="s">
        <v>1172</v>
      </c>
      <c r="L26">
        <v>10</v>
      </c>
      <c r="U26" t="str">
        <f t="shared" si="0"/>
        <v/>
      </c>
      <c r="W26" t="s">
        <v>712</v>
      </c>
      <c r="X26">
        <v>1</v>
      </c>
      <c r="Y26" t="s">
        <v>713</v>
      </c>
      <c r="Z26">
        <v>10</v>
      </c>
      <c r="AA26" t="s">
        <v>714</v>
      </c>
      <c r="AB26" t="str">
        <f t="shared" si="1"/>
        <v>[1,10]</v>
      </c>
      <c r="AH26" t="str">
        <f t="shared" si="2"/>
        <v/>
      </c>
      <c r="AI26" t="str">
        <f t="shared" si="3"/>
        <v>[1,10]</v>
      </c>
    </row>
    <row r="27" spans="1:35">
      <c r="A27" s="2">
        <v>12</v>
      </c>
      <c r="B27" s="2">
        <v>12</v>
      </c>
      <c r="C27" s="2">
        <v>100</v>
      </c>
      <c r="D27" s="2">
        <v>0</v>
      </c>
      <c r="E27" s="16" t="s">
        <v>1278</v>
      </c>
      <c r="F27" s="16" t="s">
        <v>1291</v>
      </c>
      <c r="G27" s="2">
        <v>4</v>
      </c>
      <c r="H27">
        <v>12</v>
      </c>
      <c r="I27" t="s">
        <v>1286</v>
      </c>
      <c r="J27">
        <v>20</v>
      </c>
      <c r="K27" t="s">
        <v>1172</v>
      </c>
      <c r="L27">
        <v>10</v>
      </c>
      <c r="M27" t="s">
        <v>1286</v>
      </c>
      <c r="N27">
        <v>40</v>
      </c>
      <c r="P27" t="s">
        <v>712</v>
      </c>
      <c r="Q27">
        <v>13</v>
      </c>
      <c r="R27" t="s">
        <v>713</v>
      </c>
      <c r="S27">
        <v>20</v>
      </c>
      <c r="T27" t="s">
        <v>714</v>
      </c>
      <c r="U27" t="str">
        <f t="shared" si="0"/>
        <v>[13,20]</v>
      </c>
      <c r="W27" t="s">
        <v>712</v>
      </c>
      <c r="X27">
        <v>1</v>
      </c>
      <c r="Y27" t="s">
        <v>713</v>
      </c>
      <c r="Z27">
        <v>10</v>
      </c>
      <c r="AA27" t="s">
        <v>714</v>
      </c>
      <c r="AB27" t="str">
        <f t="shared" si="1"/>
        <v>[1,10]</v>
      </c>
      <c r="AC27" t="s">
        <v>712</v>
      </c>
      <c r="AD27">
        <v>13</v>
      </c>
      <c r="AE27" t="s">
        <v>713</v>
      </c>
      <c r="AF27">
        <v>40</v>
      </c>
      <c r="AG27" t="s">
        <v>714</v>
      </c>
      <c r="AH27" t="str">
        <f t="shared" si="2"/>
        <v>[13,40]</v>
      </c>
      <c r="AI27" t="str">
        <f t="shared" si="3"/>
        <v>[1,10],[13,40]</v>
      </c>
    </row>
    <row r="28" spans="1:35">
      <c r="A28" s="2">
        <v>13</v>
      </c>
      <c r="B28" s="2">
        <v>13</v>
      </c>
      <c r="C28" s="2">
        <v>100</v>
      </c>
      <c r="D28" s="2">
        <v>0</v>
      </c>
      <c r="E28" s="16" t="s">
        <v>1275</v>
      </c>
      <c r="F28" s="16" t="s">
        <v>1283</v>
      </c>
      <c r="G28" s="2">
        <v>4</v>
      </c>
      <c r="H28">
        <v>13</v>
      </c>
      <c r="K28" t="s">
        <v>1172</v>
      </c>
      <c r="L28">
        <v>10</v>
      </c>
      <c r="U28" t="str">
        <f t="shared" si="0"/>
        <v/>
      </c>
      <c r="W28" t="s">
        <v>712</v>
      </c>
      <c r="X28">
        <v>1</v>
      </c>
      <c r="Y28" t="s">
        <v>713</v>
      </c>
      <c r="Z28">
        <v>10</v>
      </c>
      <c r="AA28" t="s">
        <v>714</v>
      </c>
      <c r="AB28" t="str">
        <f t="shared" si="1"/>
        <v>[1,10]</v>
      </c>
      <c r="AH28" t="str">
        <f t="shared" si="2"/>
        <v/>
      </c>
      <c r="AI28" t="str">
        <f t="shared" si="3"/>
        <v>[1,10]</v>
      </c>
    </row>
    <row r="29" spans="1:35">
      <c r="A29" s="2">
        <v>14</v>
      </c>
      <c r="B29" s="2">
        <v>14</v>
      </c>
      <c r="C29" s="2">
        <v>100</v>
      </c>
      <c r="D29" s="2">
        <v>0</v>
      </c>
      <c r="E29" s="16" t="s">
        <v>1275</v>
      </c>
      <c r="F29" s="16" t="s">
        <v>1283</v>
      </c>
      <c r="G29" s="2">
        <v>4</v>
      </c>
      <c r="H29">
        <v>14</v>
      </c>
      <c r="K29" t="s">
        <v>1172</v>
      </c>
      <c r="L29">
        <v>10</v>
      </c>
      <c r="U29" t="str">
        <f t="shared" si="0"/>
        <v/>
      </c>
      <c r="W29" t="s">
        <v>712</v>
      </c>
      <c r="X29">
        <v>1</v>
      </c>
      <c r="Y29" t="s">
        <v>713</v>
      </c>
      <c r="Z29">
        <v>10</v>
      </c>
      <c r="AA29" t="s">
        <v>714</v>
      </c>
      <c r="AB29" t="str">
        <f t="shared" si="1"/>
        <v>[1,10]</v>
      </c>
      <c r="AH29" t="str">
        <f t="shared" si="2"/>
        <v/>
      </c>
      <c r="AI29" t="str">
        <f t="shared" si="3"/>
        <v>[1,10]</v>
      </c>
    </row>
    <row r="30" spans="1:35">
      <c r="A30" s="2">
        <v>15</v>
      </c>
      <c r="B30" s="2">
        <v>15</v>
      </c>
      <c r="C30" s="2">
        <v>100</v>
      </c>
      <c r="D30" s="2">
        <v>0</v>
      </c>
      <c r="E30" s="16" t="s">
        <v>1292</v>
      </c>
      <c r="F30" s="16" t="s">
        <v>1293</v>
      </c>
      <c r="G30" s="2">
        <v>4</v>
      </c>
      <c r="H30">
        <v>15</v>
      </c>
      <c r="I30" t="s">
        <v>1172</v>
      </c>
      <c r="J30">
        <v>5</v>
      </c>
      <c r="K30" t="s">
        <v>1172</v>
      </c>
      <c r="L30">
        <v>10</v>
      </c>
      <c r="M30" t="s">
        <v>1288</v>
      </c>
      <c r="N30">
        <v>20</v>
      </c>
      <c r="P30" t="s">
        <v>712</v>
      </c>
      <c r="Q30">
        <v>1</v>
      </c>
      <c r="R30" t="s">
        <v>713</v>
      </c>
      <c r="S30">
        <v>5</v>
      </c>
      <c r="T30" t="s">
        <v>714</v>
      </c>
      <c r="U30" t="str">
        <f t="shared" si="0"/>
        <v>[1,5]</v>
      </c>
      <c r="W30" t="s">
        <v>712</v>
      </c>
      <c r="X30">
        <v>1</v>
      </c>
      <c r="Y30" t="s">
        <v>713</v>
      </c>
      <c r="Z30">
        <v>10</v>
      </c>
      <c r="AA30" t="s">
        <v>714</v>
      </c>
      <c r="AB30" t="str">
        <f t="shared" si="1"/>
        <v>[1,10]</v>
      </c>
      <c r="AC30" t="s">
        <v>712</v>
      </c>
      <c r="AD30">
        <v>600006</v>
      </c>
      <c r="AE30" t="s">
        <v>713</v>
      </c>
      <c r="AF30">
        <v>20</v>
      </c>
      <c r="AG30" t="s">
        <v>714</v>
      </c>
      <c r="AH30" t="str">
        <f t="shared" si="2"/>
        <v>[600006,20]</v>
      </c>
      <c r="AI30" t="str">
        <f t="shared" si="3"/>
        <v>[1,10],[600006,20]</v>
      </c>
    </row>
    <row r="31" spans="1:35">
      <c r="A31" s="2">
        <v>16</v>
      </c>
      <c r="B31" s="2">
        <v>16</v>
      </c>
      <c r="C31" s="2">
        <v>100</v>
      </c>
      <c r="D31" s="2">
        <v>0</v>
      </c>
      <c r="E31" s="16" t="s">
        <v>1275</v>
      </c>
      <c r="F31" s="16" t="s">
        <v>1283</v>
      </c>
      <c r="G31" s="2">
        <v>4</v>
      </c>
      <c r="H31">
        <v>16</v>
      </c>
      <c r="K31" t="s">
        <v>1172</v>
      </c>
      <c r="L31">
        <v>10</v>
      </c>
      <c r="U31" t="str">
        <f t="shared" si="0"/>
        <v/>
      </c>
      <c r="W31" t="s">
        <v>712</v>
      </c>
      <c r="X31">
        <v>1</v>
      </c>
      <c r="Y31" t="s">
        <v>713</v>
      </c>
      <c r="Z31">
        <v>10</v>
      </c>
      <c r="AA31" t="s">
        <v>714</v>
      </c>
      <c r="AB31" t="str">
        <f t="shared" si="1"/>
        <v>[1,10]</v>
      </c>
      <c r="AH31" t="str">
        <f t="shared" si="2"/>
        <v/>
      </c>
      <c r="AI31" t="str">
        <f t="shared" si="3"/>
        <v>[1,10]</v>
      </c>
    </row>
    <row r="32" spans="1:35">
      <c r="A32" s="2">
        <v>17</v>
      </c>
      <c r="B32" s="2">
        <v>17</v>
      </c>
      <c r="C32" s="2">
        <v>100</v>
      </c>
      <c r="D32" s="2">
        <v>0</v>
      </c>
      <c r="E32" s="16" t="s">
        <v>1284</v>
      </c>
      <c r="F32" s="16" t="s">
        <v>1294</v>
      </c>
      <c r="G32" s="2">
        <v>4</v>
      </c>
      <c r="H32">
        <v>17</v>
      </c>
      <c r="K32" t="s">
        <v>1172</v>
      </c>
      <c r="L32">
        <v>10</v>
      </c>
      <c r="U32" t="str">
        <f t="shared" si="0"/>
        <v/>
      </c>
      <c r="W32" t="s">
        <v>712</v>
      </c>
      <c r="X32">
        <v>1</v>
      </c>
      <c r="Y32" t="s">
        <v>713</v>
      </c>
      <c r="Z32">
        <v>10</v>
      </c>
      <c r="AA32" t="s">
        <v>714</v>
      </c>
      <c r="AB32" t="str">
        <f t="shared" si="1"/>
        <v>[1,10]</v>
      </c>
      <c r="AH32" t="str">
        <f t="shared" si="2"/>
        <v/>
      </c>
      <c r="AI32" t="str">
        <f t="shared" si="3"/>
        <v>[1,10]</v>
      </c>
    </row>
    <row r="33" spans="1:35">
      <c r="A33" s="2">
        <v>18</v>
      </c>
      <c r="B33" s="2">
        <v>18</v>
      </c>
      <c r="C33" s="2">
        <v>100</v>
      </c>
      <c r="D33" s="2">
        <v>0</v>
      </c>
      <c r="E33" s="16" t="s">
        <v>1275</v>
      </c>
      <c r="F33" s="16" t="s">
        <v>1283</v>
      </c>
      <c r="G33" s="2">
        <v>4</v>
      </c>
      <c r="H33">
        <v>18</v>
      </c>
      <c r="I33" t="s">
        <v>1187</v>
      </c>
      <c r="J33">
        <v>2000</v>
      </c>
      <c r="K33" t="s">
        <v>1172</v>
      </c>
      <c r="L33">
        <v>10</v>
      </c>
      <c r="M33" t="s">
        <v>1295</v>
      </c>
      <c r="N33">
        <v>10</v>
      </c>
      <c r="P33" t="s">
        <v>712</v>
      </c>
      <c r="Q33">
        <v>2</v>
      </c>
      <c r="R33" t="s">
        <v>713</v>
      </c>
      <c r="S33">
        <v>2000</v>
      </c>
      <c r="T33" t="s">
        <v>714</v>
      </c>
      <c r="U33" t="str">
        <f t="shared" si="0"/>
        <v>[2,2000]</v>
      </c>
      <c r="W33" t="s">
        <v>712</v>
      </c>
      <c r="X33">
        <v>1</v>
      </c>
      <c r="Y33" t="s">
        <v>713</v>
      </c>
      <c r="Z33">
        <v>10</v>
      </c>
      <c r="AA33" t="s">
        <v>714</v>
      </c>
      <c r="AB33" t="str">
        <f t="shared" si="1"/>
        <v>[1,10]</v>
      </c>
      <c r="AC33" t="s">
        <v>712</v>
      </c>
      <c r="AD33">
        <v>850002</v>
      </c>
      <c r="AE33" t="s">
        <v>713</v>
      </c>
      <c r="AF33">
        <v>100</v>
      </c>
      <c r="AG33" t="s">
        <v>714</v>
      </c>
      <c r="AH33" t="str">
        <f t="shared" si="2"/>
        <v>[850002,100]</v>
      </c>
      <c r="AI33" t="str">
        <f t="shared" si="3"/>
        <v>[1,10],[850002,100]</v>
      </c>
    </row>
    <row r="34" spans="1:35">
      <c r="A34" s="2">
        <v>19</v>
      </c>
      <c r="B34" s="2">
        <v>19</v>
      </c>
      <c r="C34" s="2">
        <v>100</v>
      </c>
      <c r="D34" s="2">
        <v>0</v>
      </c>
      <c r="E34" s="16" t="s">
        <v>1275</v>
      </c>
      <c r="F34" s="16" t="s">
        <v>1283</v>
      </c>
      <c r="G34" s="2">
        <v>4</v>
      </c>
      <c r="H34">
        <v>19</v>
      </c>
      <c r="K34" t="s">
        <v>1172</v>
      </c>
      <c r="L34">
        <v>10</v>
      </c>
      <c r="U34" t="str">
        <f t="shared" si="0"/>
        <v/>
      </c>
      <c r="W34" t="s">
        <v>712</v>
      </c>
      <c r="X34">
        <v>1</v>
      </c>
      <c r="Y34" t="s">
        <v>713</v>
      </c>
      <c r="Z34">
        <v>10</v>
      </c>
      <c r="AA34" t="s">
        <v>714</v>
      </c>
      <c r="AB34" t="str">
        <f t="shared" si="1"/>
        <v>[1,10]</v>
      </c>
      <c r="AH34" t="str">
        <f t="shared" si="2"/>
        <v/>
      </c>
      <c r="AI34" t="str">
        <f t="shared" si="3"/>
        <v>[1,10]</v>
      </c>
    </row>
    <row r="35" spans="1:35">
      <c r="A35" s="2">
        <v>20</v>
      </c>
      <c r="B35" s="2">
        <v>20</v>
      </c>
      <c r="C35" s="2">
        <v>100</v>
      </c>
      <c r="D35" s="2">
        <v>1</v>
      </c>
      <c r="E35" s="16" t="s">
        <v>1280</v>
      </c>
      <c r="F35" s="16" t="s">
        <v>1296</v>
      </c>
      <c r="G35" s="2">
        <v>4</v>
      </c>
      <c r="H35">
        <v>20</v>
      </c>
      <c r="I35" t="s">
        <v>1286</v>
      </c>
      <c r="J35">
        <v>20</v>
      </c>
      <c r="K35" t="s">
        <v>1172</v>
      </c>
      <c r="L35">
        <v>10</v>
      </c>
      <c r="M35" t="s">
        <v>1297</v>
      </c>
      <c r="N35">
        <v>1</v>
      </c>
      <c r="P35" t="s">
        <v>712</v>
      </c>
      <c r="Q35">
        <v>13</v>
      </c>
      <c r="R35" t="s">
        <v>713</v>
      </c>
      <c r="S35">
        <v>20</v>
      </c>
      <c r="T35" t="s">
        <v>714</v>
      </c>
      <c r="U35" t="str">
        <f t="shared" si="0"/>
        <v>[13,20]</v>
      </c>
      <c r="W35" t="s">
        <v>712</v>
      </c>
      <c r="X35">
        <v>1</v>
      </c>
      <c r="Y35" t="s">
        <v>713</v>
      </c>
      <c r="Z35">
        <v>10</v>
      </c>
      <c r="AA35" t="s">
        <v>714</v>
      </c>
      <c r="AB35" t="str">
        <f t="shared" si="1"/>
        <v>[1,10]</v>
      </c>
      <c r="AC35" t="s">
        <v>712</v>
      </c>
      <c r="AD35" s="2">
        <v>870005</v>
      </c>
      <c r="AE35" t="s">
        <v>713</v>
      </c>
      <c r="AF35">
        <v>1</v>
      </c>
      <c r="AG35" t="s">
        <v>714</v>
      </c>
      <c r="AH35" t="str">
        <f t="shared" si="2"/>
        <v>[870005,1]</v>
      </c>
      <c r="AI35" t="str">
        <f t="shared" si="3"/>
        <v>[1,10],[870005,1]</v>
      </c>
    </row>
    <row r="36" spans="1:35">
      <c r="A36" s="2">
        <v>21</v>
      </c>
      <c r="B36" s="2">
        <v>21</v>
      </c>
      <c r="C36" s="2">
        <v>100</v>
      </c>
      <c r="D36" s="2">
        <v>0</v>
      </c>
      <c r="E36" s="16" t="s">
        <v>1275</v>
      </c>
      <c r="F36" s="16" t="s">
        <v>1283</v>
      </c>
      <c r="G36" s="2">
        <v>4</v>
      </c>
      <c r="H36">
        <v>21</v>
      </c>
      <c r="K36" t="s">
        <v>1172</v>
      </c>
      <c r="L36">
        <v>10</v>
      </c>
      <c r="U36" t="str">
        <f t="shared" si="0"/>
        <v/>
      </c>
      <c r="W36" t="s">
        <v>712</v>
      </c>
      <c r="X36">
        <v>1</v>
      </c>
      <c r="Y36" t="s">
        <v>713</v>
      </c>
      <c r="Z36">
        <v>10</v>
      </c>
      <c r="AA36" t="s">
        <v>714</v>
      </c>
      <c r="AB36" t="str">
        <f t="shared" si="1"/>
        <v>[1,10]</v>
      </c>
      <c r="AH36" t="str">
        <f t="shared" si="2"/>
        <v/>
      </c>
      <c r="AI36" t="str">
        <f t="shared" si="3"/>
        <v>[1,10]</v>
      </c>
    </row>
    <row r="37" spans="1:35">
      <c r="A37" s="2">
        <v>22</v>
      </c>
      <c r="B37" s="2">
        <v>22</v>
      </c>
      <c r="C37" s="2">
        <v>100</v>
      </c>
      <c r="D37" s="2">
        <v>0</v>
      </c>
      <c r="E37" s="16" t="s">
        <v>1284</v>
      </c>
      <c r="F37" s="16" t="s">
        <v>1291</v>
      </c>
      <c r="G37" s="2">
        <v>4</v>
      </c>
      <c r="H37">
        <v>22</v>
      </c>
      <c r="I37" t="s">
        <v>1172</v>
      </c>
      <c r="J37">
        <v>5</v>
      </c>
      <c r="K37" t="s">
        <v>1172</v>
      </c>
      <c r="L37">
        <v>10</v>
      </c>
      <c r="M37" t="s">
        <v>1286</v>
      </c>
      <c r="N37">
        <v>40</v>
      </c>
      <c r="P37" t="s">
        <v>712</v>
      </c>
      <c r="Q37">
        <v>1</v>
      </c>
      <c r="R37" t="s">
        <v>713</v>
      </c>
      <c r="S37">
        <v>5</v>
      </c>
      <c r="T37" t="s">
        <v>714</v>
      </c>
      <c r="U37" t="str">
        <f t="shared" si="0"/>
        <v>[1,5]</v>
      </c>
      <c r="W37" t="s">
        <v>712</v>
      </c>
      <c r="X37">
        <v>1</v>
      </c>
      <c r="Y37" t="s">
        <v>713</v>
      </c>
      <c r="Z37">
        <v>10</v>
      </c>
      <c r="AA37" t="s">
        <v>714</v>
      </c>
      <c r="AB37" t="str">
        <f t="shared" si="1"/>
        <v>[1,10]</v>
      </c>
      <c r="AC37" t="s">
        <v>712</v>
      </c>
      <c r="AD37">
        <v>13</v>
      </c>
      <c r="AE37" t="s">
        <v>713</v>
      </c>
      <c r="AF37">
        <v>40</v>
      </c>
      <c r="AG37" t="s">
        <v>714</v>
      </c>
      <c r="AH37" t="str">
        <f t="shared" si="2"/>
        <v>[13,40]</v>
      </c>
      <c r="AI37" t="str">
        <f t="shared" si="3"/>
        <v>[1,10],[13,40]</v>
      </c>
    </row>
    <row r="38" spans="1:35">
      <c r="A38" s="2">
        <v>23</v>
      </c>
      <c r="B38" s="2">
        <v>23</v>
      </c>
      <c r="C38" s="2">
        <v>100</v>
      </c>
      <c r="D38" s="2">
        <v>0</v>
      </c>
      <c r="E38" s="16" t="s">
        <v>1275</v>
      </c>
      <c r="F38" s="16" t="s">
        <v>1283</v>
      </c>
      <c r="G38" s="2">
        <v>4</v>
      </c>
      <c r="H38">
        <v>23</v>
      </c>
      <c r="K38" t="s">
        <v>1172</v>
      </c>
      <c r="L38">
        <v>10</v>
      </c>
      <c r="U38" t="str">
        <f t="shared" si="0"/>
        <v/>
      </c>
      <c r="W38" t="s">
        <v>712</v>
      </c>
      <c r="X38">
        <v>1</v>
      </c>
      <c r="Y38" t="s">
        <v>713</v>
      </c>
      <c r="Z38">
        <v>10</v>
      </c>
      <c r="AA38" t="s">
        <v>714</v>
      </c>
      <c r="AB38" t="str">
        <f t="shared" si="1"/>
        <v>[1,10]</v>
      </c>
      <c r="AH38" t="str">
        <f t="shared" si="2"/>
        <v/>
      </c>
      <c r="AI38" t="str">
        <f t="shared" si="3"/>
        <v>[1,10]</v>
      </c>
    </row>
    <row r="39" spans="1:35">
      <c r="A39" s="2">
        <v>24</v>
      </c>
      <c r="B39" s="2">
        <v>24</v>
      </c>
      <c r="C39" s="2">
        <v>100</v>
      </c>
      <c r="D39" s="2">
        <v>0</v>
      </c>
      <c r="E39" s="16" t="s">
        <v>1275</v>
      </c>
      <c r="F39" s="16" t="s">
        <v>1283</v>
      </c>
      <c r="G39" s="2">
        <v>4</v>
      </c>
      <c r="H39">
        <v>24</v>
      </c>
      <c r="K39" t="s">
        <v>1172</v>
      </c>
      <c r="L39">
        <v>10</v>
      </c>
      <c r="U39" t="str">
        <f t="shared" si="0"/>
        <v/>
      </c>
      <c r="W39" t="s">
        <v>712</v>
      </c>
      <c r="X39">
        <v>1</v>
      </c>
      <c r="Y39" t="s">
        <v>713</v>
      </c>
      <c r="Z39">
        <v>10</v>
      </c>
      <c r="AA39" t="s">
        <v>714</v>
      </c>
      <c r="AB39" t="str">
        <f t="shared" si="1"/>
        <v>[1,10]</v>
      </c>
      <c r="AH39" t="str">
        <f t="shared" si="2"/>
        <v/>
      </c>
      <c r="AI39" t="str">
        <f t="shared" si="3"/>
        <v>[1,10]</v>
      </c>
    </row>
    <row r="40" spans="1:35">
      <c r="A40" s="2">
        <v>25</v>
      </c>
      <c r="B40" s="2">
        <v>25</v>
      </c>
      <c r="C40" s="2">
        <v>100</v>
      </c>
      <c r="D40" s="2">
        <v>0</v>
      </c>
      <c r="E40" s="16" t="s">
        <v>1280</v>
      </c>
      <c r="F40" s="16" t="s">
        <v>1298</v>
      </c>
      <c r="G40" s="2">
        <v>4</v>
      </c>
      <c r="H40">
        <v>25</v>
      </c>
      <c r="I40" t="s">
        <v>1187</v>
      </c>
      <c r="J40">
        <v>2000</v>
      </c>
      <c r="K40" t="s">
        <v>1172</v>
      </c>
      <c r="L40">
        <v>10</v>
      </c>
      <c r="M40" t="s">
        <v>1288</v>
      </c>
      <c r="N40">
        <v>20</v>
      </c>
      <c r="P40" t="s">
        <v>712</v>
      </c>
      <c r="Q40">
        <v>2</v>
      </c>
      <c r="R40" t="s">
        <v>713</v>
      </c>
      <c r="S40">
        <v>2000</v>
      </c>
      <c r="T40" t="s">
        <v>714</v>
      </c>
      <c r="U40" t="str">
        <f t="shared" si="0"/>
        <v>[2,2000]</v>
      </c>
      <c r="W40" t="s">
        <v>712</v>
      </c>
      <c r="X40">
        <v>1</v>
      </c>
      <c r="Y40" t="s">
        <v>713</v>
      </c>
      <c r="Z40">
        <v>10</v>
      </c>
      <c r="AA40" t="s">
        <v>714</v>
      </c>
      <c r="AB40" t="str">
        <f t="shared" si="1"/>
        <v>[1,10]</v>
      </c>
      <c r="AC40" t="s">
        <v>712</v>
      </c>
      <c r="AD40">
        <v>600006</v>
      </c>
      <c r="AE40" t="s">
        <v>713</v>
      </c>
      <c r="AF40">
        <v>20</v>
      </c>
      <c r="AG40" t="s">
        <v>714</v>
      </c>
      <c r="AH40" t="str">
        <f t="shared" si="2"/>
        <v>[600006,20]</v>
      </c>
      <c r="AI40" t="str">
        <f t="shared" si="3"/>
        <v>[1,10],[600006,20]</v>
      </c>
    </row>
    <row r="41" spans="1:35">
      <c r="A41" s="2">
        <v>26</v>
      </c>
      <c r="B41" s="2">
        <v>26</v>
      </c>
      <c r="C41" s="2">
        <v>100</v>
      </c>
      <c r="D41" s="2">
        <v>0</v>
      </c>
      <c r="E41" s="16" t="s">
        <v>1275</v>
      </c>
      <c r="F41" s="16" t="s">
        <v>1283</v>
      </c>
      <c r="G41" s="2">
        <v>4</v>
      </c>
      <c r="H41">
        <v>26</v>
      </c>
      <c r="K41" t="s">
        <v>1172</v>
      </c>
      <c r="L41">
        <v>10</v>
      </c>
      <c r="U41" t="str">
        <f t="shared" si="0"/>
        <v/>
      </c>
      <c r="W41" t="s">
        <v>712</v>
      </c>
      <c r="X41">
        <v>1</v>
      </c>
      <c r="Y41" t="s">
        <v>713</v>
      </c>
      <c r="Z41">
        <v>10</v>
      </c>
      <c r="AA41" t="s">
        <v>714</v>
      </c>
      <c r="AB41" t="str">
        <f t="shared" si="1"/>
        <v>[1,10]</v>
      </c>
      <c r="AH41" t="str">
        <f t="shared" si="2"/>
        <v/>
      </c>
      <c r="AI41" t="str">
        <f t="shared" si="3"/>
        <v>[1,10]</v>
      </c>
    </row>
    <row r="42" spans="1:35">
      <c r="A42" s="2">
        <v>27</v>
      </c>
      <c r="B42" s="2">
        <v>27</v>
      </c>
      <c r="C42" s="2">
        <v>100</v>
      </c>
      <c r="D42" s="2">
        <v>0</v>
      </c>
      <c r="E42" s="16" t="s">
        <v>1284</v>
      </c>
      <c r="F42" s="16" t="s">
        <v>1299</v>
      </c>
      <c r="G42" s="2">
        <v>4</v>
      </c>
      <c r="H42">
        <v>27</v>
      </c>
      <c r="K42" t="s">
        <v>1172</v>
      </c>
      <c r="L42">
        <v>10</v>
      </c>
      <c r="U42" t="str">
        <f t="shared" si="0"/>
        <v/>
      </c>
      <c r="W42" t="s">
        <v>712</v>
      </c>
      <c r="X42">
        <v>1</v>
      </c>
      <c r="Y42" t="s">
        <v>713</v>
      </c>
      <c r="Z42">
        <v>10</v>
      </c>
      <c r="AA42" t="s">
        <v>714</v>
      </c>
      <c r="AB42" t="str">
        <f t="shared" si="1"/>
        <v>[1,10]</v>
      </c>
      <c r="AH42" t="str">
        <f t="shared" si="2"/>
        <v/>
      </c>
      <c r="AI42" t="str">
        <f t="shared" si="3"/>
        <v>[1,10]</v>
      </c>
    </row>
    <row r="43" spans="1:35">
      <c r="A43" s="2">
        <v>28</v>
      </c>
      <c r="B43" s="2">
        <v>28</v>
      </c>
      <c r="C43" s="2">
        <v>100</v>
      </c>
      <c r="D43" s="2">
        <v>0</v>
      </c>
      <c r="E43" s="16" t="s">
        <v>1275</v>
      </c>
      <c r="F43" s="16" t="s">
        <v>1283</v>
      </c>
      <c r="G43" s="2">
        <v>4</v>
      </c>
      <c r="H43">
        <v>28</v>
      </c>
      <c r="I43" t="s">
        <v>1286</v>
      </c>
      <c r="J43">
        <v>20</v>
      </c>
      <c r="K43" t="s">
        <v>1172</v>
      </c>
      <c r="L43">
        <v>10</v>
      </c>
      <c r="M43" t="s">
        <v>1295</v>
      </c>
      <c r="N43">
        <v>10</v>
      </c>
      <c r="P43" t="s">
        <v>712</v>
      </c>
      <c r="Q43">
        <v>13</v>
      </c>
      <c r="R43" t="s">
        <v>713</v>
      </c>
      <c r="S43">
        <v>20</v>
      </c>
      <c r="T43" t="s">
        <v>714</v>
      </c>
      <c r="U43" t="str">
        <f t="shared" si="0"/>
        <v>[13,20]</v>
      </c>
      <c r="W43" t="s">
        <v>712</v>
      </c>
      <c r="X43">
        <v>1</v>
      </c>
      <c r="Y43" t="s">
        <v>713</v>
      </c>
      <c r="Z43">
        <v>10</v>
      </c>
      <c r="AA43" t="s">
        <v>714</v>
      </c>
      <c r="AB43" t="str">
        <f t="shared" si="1"/>
        <v>[1,10]</v>
      </c>
      <c r="AC43" t="s">
        <v>712</v>
      </c>
      <c r="AD43">
        <v>850003</v>
      </c>
      <c r="AE43" t="s">
        <v>713</v>
      </c>
      <c r="AF43">
        <v>100</v>
      </c>
      <c r="AG43" t="s">
        <v>714</v>
      </c>
      <c r="AH43" t="str">
        <f t="shared" si="2"/>
        <v>[850003,100]</v>
      </c>
      <c r="AI43" t="str">
        <f t="shared" si="3"/>
        <v>[1,10],[850003,100]</v>
      </c>
    </row>
    <row r="44" spans="1:35">
      <c r="A44" s="2">
        <v>29</v>
      </c>
      <c r="B44" s="2">
        <v>29</v>
      </c>
      <c r="C44" s="2">
        <v>100</v>
      </c>
      <c r="D44" s="2">
        <v>0</v>
      </c>
      <c r="E44" s="16" t="s">
        <v>1275</v>
      </c>
      <c r="F44" s="16" t="s">
        <v>1283</v>
      </c>
      <c r="G44" s="2">
        <v>4</v>
      </c>
      <c r="H44">
        <v>29</v>
      </c>
      <c r="K44" t="s">
        <v>1172</v>
      </c>
      <c r="L44">
        <v>10</v>
      </c>
      <c r="U44" t="str">
        <f t="shared" si="0"/>
        <v/>
      </c>
      <c r="W44" t="s">
        <v>712</v>
      </c>
      <c r="X44">
        <v>1</v>
      </c>
      <c r="Y44" t="s">
        <v>713</v>
      </c>
      <c r="Z44">
        <v>10</v>
      </c>
      <c r="AA44" t="s">
        <v>714</v>
      </c>
      <c r="AB44" t="str">
        <f t="shared" si="1"/>
        <v>[1,10]</v>
      </c>
      <c r="AH44" t="str">
        <f t="shared" si="2"/>
        <v/>
      </c>
      <c r="AI44" t="str">
        <f t="shared" si="3"/>
        <v>[1,10]</v>
      </c>
    </row>
    <row r="45" spans="1:35">
      <c r="A45" s="2">
        <v>30</v>
      </c>
      <c r="B45" s="2">
        <v>30</v>
      </c>
      <c r="C45" s="2">
        <v>100</v>
      </c>
      <c r="D45" s="2">
        <v>1</v>
      </c>
      <c r="E45" s="16" t="s">
        <v>1300</v>
      </c>
      <c r="F45" s="16" t="s">
        <v>1301</v>
      </c>
      <c r="G45" s="2">
        <v>4</v>
      </c>
      <c r="H45">
        <v>30</v>
      </c>
      <c r="I45" t="s">
        <v>1172</v>
      </c>
      <c r="J45">
        <v>5</v>
      </c>
      <c r="K45" t="s">
        <v>1172</v>
      </c>
      <c r="L45">
        <v>10</v>
      </c>
      <c r="M45" t="s">
        <v>1302</v>
      </c>
      <c r="N45">
        <v>1</v>
      </c>
      <c r="P45" t="s">
        <v>712</v>
      </c>
      <c r="Q45">
        <v>1</v>
      </c>
      <c r="R45" t="s">
        <v>713</v>
      </c>
      <c r="S45">
        <v>5</v>
      </c>
      <c r="T45" t="s">
        <v>714</v>
      </c>
      <c r="U45" t="str">
        <f t="shared" si="0"/>
        <v>[1,5]</v>
      </c>
      <c r="W45" t="s">
        <v>712</v>
      </c>
      <c r="X45">
        <v>1</v>
      </c>
      <c r="Y45" t="s">
        <v>713</v>
      </c>
      <c r="Z45">
        <v>10</v>
      </c>
      <c r="AA45" t="s">
        <v>714</v>
      </c>
      <c r="AB45" t="str">
        <f t="shared" si="1"/>
        <v>[1,10]</v>
      </c>
      <c r="AC45" t="s">
        <v>712</v>
      </c>
      <c r="AD45" s="2">
        <v>100091</v>
      </c>
      <c r="AE45" t="s">
        <v>713</v>
      </c>
      <c r="AF45">
        <v>1</v>
      </c>
      <c r="AG45" t="s">
        <v>714</v>
      </c>
      <c r="AH45" t="str">
        <f t="shared" si="2"/>
        <v>[100091,1]</v>
      </c>
      <c r="AI45" t="str">
        <f t="shared" si="3"/>
        <v>[1,10],[100091,1]</v>
      </c>
    </row>
    <row r="46" spans="1:35">
      <c r="A46" s="2">
        <v>31</v>
      </c>
      <c r="B46" s="2">
        <v>1</v>
      </c>
      <c r="C46" s="2">
        <v>100</v>
      </c>
      <c r="D46" s="2">
        <v>0</v>
      </c>
      <c r="E46" s="16" t="s">
        <v>1275</v>
      </c>
      <c r="F46" s="16" t="s">
        <v>1303</v>
      </c>
      <c r="G46" s="2">
        <v>5</v>
      </c>
    </row>
    <row r="47" spans="1:35">
      <c r="A47" s="2">
        <v>32</v>
      </c>
      <c r="B47" s="2">
        <v>2</v>
      </c>
      <c r="C47" s="2">
        <v>100</v>
      </c>
      <c r="D47" s="2">
        <v>0</v>
      </c>
      <c r="E47" s="16" t="s">
        <v>1278</v>
      </c>
      <c r="F47" s="16" t="s">
        <v>1283</v>
      </c>
      <c r="G47" s="2">
        <v>5</v>
      </c>
    </row>
    <row r="48" spans="1:35">
      <c r="A48" s="2">
        <v>33</v>
      </c>
      <c r="B48" s="2">
        <v>3</v>
      </c>
      <c r="C48" s="2">
        <v>100</v>
      </c>
      <c r="D48" s="2">
        <v>0</v>
      </c>
      <c r="E48" s="16" t="s">
        <v>1280</v>
      </c>
      <c r="F48" s="16" t="s">
        <v>1304</v>
      </c>
      <c r="G48" s="2">
        <v>5</v>
      </c>
    </row>
    <row r="49" spans="1:35">
      <c r="A49" s="2">
        <v>34</v>
      </c>
      <c r="B49" s="2">
        <v>4</v>
      </c>
      <c r="C49" s="2">
        <v>100</v>
      </c>
      <c r="D49" s="2">
        <v>0</v>
      </c>
      <c r="E49" s="16" t="s">
        <v>1275</v>
      </c>
      <c r="F49" s="16" t="s">
        <v>1283</v>
      </c>
      <c r="G49" s="2">
        <v>5</v>
      </c>
    </row>
    <row r="50" spans="1:35">
      <c r="A50" s="2">
        <v>35</v>
      </c>
      <c r="B50" s="2">
        <v>5</v>
      </c>
      <c r="C50" s="2">
        <v>100</v>
      </c>
      <c r="D50" s="2">
        <v>0</v>
      </c>
      <c r="E50" s="16" t="s">
        <v>1284</v>
      </c>
      <c r="F50" s="16" t="s">
        <v>1305</v>
      </c>
      <c r="G50" s="2">
        <v>5</v>
      </c>
    </row>
    <row r="51" spans="1:35">
      <c r="A51" s="2">
        <v>36</v>
      </c>
      <c r="B51" s="2">
        <v>6</v>
      </c>
      <c r="C51" s="2">
        <v>100</v>
      </c>
      <c r="D51" s="2">
        <v>0</v>
      </c>
      <c r="E51" s="16" t="s">
        <v>1275</v>
      </c>
      <c r="F51" s="16" t="s">
        <v>1283</v>
      </c>
      <c r="G51" s="2">
        <v>5</v>
      </c>
    </row>
    <row r="52" spans="1:35">
      <c r="A52" s="2">
        <v>37</v>
      </c>
      <c r="B52" s="2">
        <v>7</v>
      </c>
      <c r="C52" s="2">
        <v>100</v>
      </c>
      <c r="D52" s="2">
        <v>0</v>
      </c>
      <c r="E52" s="16" t="s">
        <v>1306</v>
      </c>
      <c r="F52" s="16" t="s">
        <v>1287</v>
      </c>
      <c r="G52" s="2">
        <v>5</v>
      </c>
    </row>
    <row r="53" spans="1:35">
      <c r="A53" s="2">
        <v>38</v>
      </c>
      <c r="B53" s="2">
        <v>8</v>
      </c>
      <c r="C53" s="2">
        <v>100</v>
      </c>
      <c r="D53" s="2">
        <v>0</v>
      </c>
      <c r="E53" s="16" t="s">
        <v>1275</v>
      </c>
      <c r="F53" s="16" t="s">
        <v>1283</v>
      </c>
      <c r="G53" s="2">
        <v>5</v>
      </c>
      <c r="H53" t="s">
        <v>1257</v>
      </c>
      <c r="I53" t="s">
        <v>1269</v>
      </c>
      <c r="J53" t="s">
        <v>1270</v>
      </c>
      <c r="K53" t="s">
        <v>1271</v>
      </c>
      <c r="L53" t="s">
        <v>1272</v>
      </c>
      <c r="M53" t="s">
        <v>1273</v>
      </c>
      <c r="N53" t="s">
        <v>1274</v>
      </c>
    </row>
    <row r="54" spans="1:35">
      <c r="A54" s="2">
        <v>39</v>
      </c>
      <c r="B54" s="2">
        <v>9</v>
      </c>
      <c r="C54" s="2">
        <v>100</v>
      </c>
      <c r="D54" s="2">
        <v>0</v>
      </c>
      <c r="E54" s="16" t="s">
        <v>1275</v>
      </c>
      <c r="F54" s="16" t="s">
        <v>1283</v>
      </c>
      <c r="G54" s="2">
        <v>5</v>
      </c>
      <c r="H54">
        <v>1</v>
      </c>
      <c r="I54" t="s">
        <v>1286</v>
      </c>
      <c r="J54">
        <v>2</v>
      </c>
      <c r="K54" t="s">
        <v>1172</v>
      </c>
      <c r="L54">
        <v>10</v>
      </c>
      <c r="M54" t="s">
        <v>1277</v>
      </c>
      <c r="N54">
        <v>1</v>
      </c>
      <c r="P54" t="s">
        <v>712</v>
      </c>
      <c r="Q54">
        <v>13</v>
      </c>
      <c r="R54" t="s">
        <v>713</v>
      </c>
      <c r="S54">
        <v>2</v>
      </c>
      <c r="T54" t="s">
        <v>714</v>
      </c>
      <c r="U54" t="str">
        <f>CONCATENATE(P54,Q54,R54,S54,T54)</f>
        <v>[13,2]</v>
      </c>
      <c r="W54" t="s">
        <v>712</v>
      </c>
      <c r="X54">
        <v>1</v>
      </c>
      <c r="Y54" t="s">
        <v>713</v>
      </c>
      <c r="Z54">
        <v>10</v>
      </c>
      <c r="AA54" t="s">
        <v>714</v>
      </c>
      <c r="AB54" t="str">
        <f>CONCATENATE(W54,X54,Y54,Z54,AA54)</f>
        <v>[1,10]</v>
      </c>
      <c r="AC54" t="s">
        <v>712</v>
      </c>
      <c r="AD54">
        <v>200004</v>
      </c>
      <c r="AE54" t="s">
        <v>713</v>
      </c>
      <c r="AF54">
        <v>1</v>
      </c>
      <c r="AG54" t="s">
        <v>714</v>
      </c>
      <c r="AH54" t="str">
        <f>CONCATENATE(AC54,AD54,AE54,AF54,AG54)</f>
        <v>[200004,1]</v>
      </c>
      <c r="AI54" t="str">
        <f>IF(AH54="",AB54,CONCATENATE(AB54,$AI$14,AH54))</f>
        <v>[1,10],[200004,1]</v>
      </c>
    </row>
    <row r="55" spans="1:35">
      <c r="A55" s="2">
        <v>40</v>
      </c>
      <c r="B55" s="2">
        <v>10</v>
      </c>
      <c r="C55" s="2">
        <v>100</v>
      </c>
      <c r="D55" s="2">
        <v>1</v>
      </c>
      <c r="E55" s="16" t="s">
        <v>1280</v>
      </c>
      <c r="F55" s="16" t="s">
        <v>1307</v>
      </c>
      <c r="G55" s="2">
        <v>5</v>
      </c>
      <c r="H55">
        <v>2</v>
      </c>
      <c r="I55" t="s">
        <v>1187</v>
      </c>
      <c r="J55">
        <v>2000</v>
      </c>
      <c r="K55" t="s">
        <v>1172</v>
      </c>
      <c r="L55">
        <v>10</v>
      </c>
      <c r="M55" t="s">
        <v>1187</v>
      </c>
      <c r="N55">
        <v>4000</v>
      </c>
      <c r="P55" t="s">
        <v>712</v>
      </c>
      <c r="Q55">
        <v>2</v>
      </c>
      <c r="R55" t="s">
        <v>713</v>
      </c>
      <c r="S55">
        <v>2000</v>
      </c>
      <c r="T55" t="s">
        <v>714</v>
      </c>
      <c r="U55" t="str">
        <f t="shared" ref="U55:U83" si="4">CONCATENATE(P55,Q55,R55,S55,T55)</f>
        <v>[2,2000]</v>
      </c>
      <c r="W55" t="s">
        <v>712</v>
      </c>
      <c r="X55">
        <v>1</v>
      </c>
      <c r="Y55" t="s">
        <v>713</v>
      </c>
      <c r="Z55">
        <v>10</v>
      </c>
      <c r="AA55" t="s">
        <v>714</v>
      </c>
      <c r="AB55" t="str">
        <f t="shared" ref="AB55:AB83" si="5">CONCATENATE(W55,X55,Y55,Z55,AA55)</f>
        <v>[1,10]</v>
      </c>
      <c r="AC55" t="s">
        <v>712</v>
      </c>
      <c r="AD55">
        <v>2</v>
      </c>
      <c r="AE55" t="s">
        <v>713</v>
      </c>
      <c r="AF55">
        <v>4000</v>
      </c>
      <c r="AG55" t="s">
        <v>714</v>
      </c>
      <c r="AH55" t="str">
        <f t="shared" ref="AH55:AH83" si="6">CONCATENATE(AC55,AD55,AE55,AF55,AG55)</f>
        <v>[2,4000]</v>
      </c>
      <c r="AI55" t="str">
        <f t="shared" ref="AI55:AI83" si="7">IF(AH55="",AB55,CONCATENATE(AB55,$AI$14,AH55))</f>
        <v>[1,10],[2,4000]</v>
      </c>
    </row>
    <row r="56" spans="1:35">
      <c r="A56" s="2">
        <v>41</v>
      </c>
      <c r="B56" s="2">
        <v>11</v>
      </c>
      <c r="C56" s="2">
        <v>100</v>
      </c>
      <c r="D56" s="2">
        <v>0</v>
      </c>
      <c r="E56" s="16" t="s">
        <v>1275</v>
      </c>
      <c r="F56" s="16" t="s">
        <v>1283</v>
      </c>
      <c r="G56" s="2">
        <v>5</v>
      </c>
      <c r="H56">
        <v>3</v>
      </c>
      <c r="I56" t="s">
        <v>1286</v>
      </c>
      <c r="J56">
        <v>2</v>
      </c>
      <c r="K56" t="s">
        <v>1172</v>
      </c>
      <c r="L56">
        <v>10</v>
      </c>
      <c r="M56" t="s">
        <v>1282</v>
      </c>
      <c r="N56">
        <v>1</v>
      </c>
      <c r="P56" t="s">
        <v>712</v>
      </c>
      <c r="Q56">
        <v>13</v>
      </c>
      <c r="R56" t="s">
        <v>713</v>
      </c>
      <c r="S56">
        <v>2</v>
      </c>
      <c r="T56" t="s">
        <v>714</v>
      </c>
      <c r="U56" t="str">
        <f t="shared" si="4"/>
        <v>[13,2]</v>
      </c>
      <c r="W56" t="s">
        <v>712</v>
      </c>
      <c r="X56">
        <v>1</v>
      </c>
      <c r="Y56" t="s">
        <v>713</v>
      </c>
      <c r="Z56">
        <v>10</v>
      </c>
      <c r="AA56" t="s">
        <v>714</v>
      </c>
      <c r="AB56" t="str">
        <f t="shared" si="5"/>
        <v>[1,10]</v>
      </c>
      <c r="AC56" t="s">
        <v>712</v>
      </c>
      <c r="AD56">
        <v>810015</v>
      </c>
      <c r="AE56" t="s">
        <v>713</v>
      </c>
      <c r="AF56">
        <v>1</v>
      </c>
      <c r="AG56" t="s">
        <v>714</v>
      </c>
      <c r="AH56" t="str">
        <f t="shared" si="6"/>
        <v>[810015,1]</v>
      </c>
      <c r="AI56" t="str">
        <f t="shared" si="7"/>
        <v>[1,10],[810015,1]</v>
      </c>
    </row>
    <row r="57" spans="1:35">
      <c r="A57" s="2">
        <v>42</v>
      </c>
      <c r="B57" s="2">
        <v>12</v>
      </c>
      <c r="C57" s="2">
        <v>100</v>
      </c>
      <c r="D57" s="2">
        <v>0</v>
      </c>
      <c r="E57" s="16" t="s">
        <v>1306</v>
      </c>
      <c r="F57" s="16" t="s">
        <v>1291</v>
      </c>
      <c r="G57" s="2">
        <v>5</v>
      </c>
      <c r="H57">
        <v>4</v>
      </c>
      <c r="I57" t="s">
        <v>1286</v>
      </c>
      <c r="J57">
        <v>2</v>
      </c>
      <c r="K57" t="s">
        <v>1172</v>
      </c>
      <c r="L57">
        <v>10</v>
      </c>
      <c r="M57" t="s">
        <v>1187</v>
      </c>
      <c r="N57">
        <v>2000</v>
      </c>
      <c r="P57" t="s">
        <v>712</v>
      </c>
      <c r="Q57">
        <v>13</v>
      </c>
      <c r="R57" t="s">
        <v>713</v>
      </c>
      <c r="S57">
        <v>2</v>
      </c>
      <c r="T57" t="s">
        <v>714</v>
      </c>
      <c r="U57" t="str">
        <f t="shared" si="4"/>
        <v>[13,2]</v>
      </c>
      <c r="W57" t="s">
        <v>712</v>
      </c>
      <c r="X57">
        <v>1</v>
      </c>
      <c r="Y57" t="s">
        <v>713</v>
      </c>
      <c r="Z57">
        <v>10</v>
      </c>
      <c r="AA57" t="s">
        <v>714</v>
      </c>
      <c r="AB57" t="str">
        <f t="shared" si="5"/>
        <v>[1,10]</v>
      </c>
      <c r="AC57" t="s">
        <v>712</v>
      </c>
      <c r="AD57">
        <v>2</v>
      </c>
      <c r="AE57" t="s">
        <v>713</v>
      </c>
      <c r="AF57">
        <v>2000</v>
      </c>
      <c r="AG57" t="s">
        <v>714</v>
      </c>
      <c r="AH57" t="str">
        <f t="shared" si="6"/>
        <v>[2,2000]</v>
      </c>
      <c r="AI57" t="str">
        <f t="shared" si="7"/>
        <v>[1,10],[2,2000]</v>
      </c>
    </row>
    <row r="58" spans="1:35">
      <c r="A58" s="2">
        <v>43</v>
      </c>
      <c r="B58" s="2">
        <v>13</v>
      </c>
      <c r="C58" s="2">
        <v>100</v>
      </c>
      <c r="D58" s="2">
        <v>0</v>
      </c>
      <c r="E58" s="16" t="s">
        <v>1275</v>
      </c>
      <c r="F58" s="16" t="s">
        <v>1283</v>
      </c>
      <c r="G58" s="2">
        <v>5</v>
      </c>
      <c r="H58">
        <v>5</v>
      </c>
      <c r="I58" t="s">
        <v>1286</v>
      </c>
      <c r="J58">
        <v>20</v>
      </c>
      <c r="K58" t="s">
        <v>1172</v>
      </c>
      <c r="L58">
        <v>10</v>
      </c>
      <c r="M58" t="s">
        <v>1286</v>
      </c>
      <c r="N58">
        <v>40</v>
      </c>
      <c r="P58" t="s">
        <v>712</v>
      </c>
      <c r="Q58">
        <v>13</v>
      </c>
      <c r="R58" t="s">
        <v>713</v>
      </c>
      <c r="S58">
        <v>20</v>
      </c>
      <c r="T58" t="s">
        <v>714</v>
      </c>
      <c r="U58" t="str">
        <f t="shared" si="4"/>
        <v>[13,20]</v>
      </c>
      <c r="W58" t="s">
        <v>712</v>
      </c>
      <c r="X58">
        <v>1</v>
      </c>
      <c r="Y58" t="s">
        <v>713</v>
      </c>
      <c r="Z58">
        <v>10</v>
      </c>
      <c r="AA58" t="s">
        <v>714</v>
      </c>
      <c r="AB58" t="str">
        <f t="shared" si="5"/>
        <v>[1,10]</v>
      </c>
      <c r="AC58" t="s">
        <v>712</v>
      </c>
      <c r="AD58">
        <v>13</v>
      </c>
      <c r="AE58" t="s">
        <v>713</v>
      </c>
      <c r="AF58">
        <v>40</v>
      </c>
      <c r="AG58" t="s">
        <v>714</v>
      </c>
      <c r="AH58" t="str">
        <f t="shared" si="6"/>
        <v>[13,40]</v>
      </c>
      <c r="AI58" t="str">
        <f t="shared" si="7"/>
        <v>[1,10],[13,40]</v>
      </c>
    </row>
    <row r="59" spans="1:35">
      <c r="A59" s="2">
        <v>44</v>
      </c>
      <c r="B59" s="2">
        <v>14</v>
      </c>
      <c r="C59" s="2">
        <v>100</v>
      </c>
      <c r="D59" s="2">
        <v>0</v>
      </c>
      <c r="E59" s="16" t="s">
        <v>1275</v>
      </c>
      <c r="F59" s="16" t="s">
        <v>1283</v>
      </c>
      <c r="G59" s="2">
        <v>5</v>
      </c>
      <c r="H59">
        <v>6</v>
      </c>
      <c r="I59" t="s">
        <v>1286</v>
      </c>
      <c r="J59">
        <v>2</v>
      </c>
      <c r="K59" t="s">
        <v>1172</v>
      </c>
      <c r="L59">
        <v>10</v>
      </c>
      <c r="M59" t="s">
        <v>1187</v>
      </c>
      <c r="N59">
        <v>2000</v>
      </c>
      <c r="P59" t="s">
        <v>712</v>
      </c>
      <c r="Q59">
        <v>13</v>
      </c>
      <c r="R59" t="s">
        <v>713</v>
      </c>
      <c r="S59">
        <v>2</v>
      </c>
      <c r="T59" t="s">
        <v>714</v>
      </c>
      <c r="U59" t="str">
        <f t="shared" si="4"/>
        <v>[13,2]</v>
      </c>
      <c r="W59" t="s">
        <v>712</v>
      </c>
      <c r="X59">
        <v>1</v>
      </c>
      <c r="Y59" t="s">
        <v>713</v>
      </c>
      <c r="Z59">
        <v>10</v>
      </c>
      <c r="AA59" t="s">
        <v>714</v>
      </c>
      <c r="AB59" t="str">
        <f t="shared" si="5"/>
        <v>[1,10]</v>
      </c>
      <c r="AC59" t="s">
        <v>712</v>
      </c>
      <c r="AD59">
        <v>2</v>
      </c>
      <c r="AE59" t="s">
        <v>713</v>
      </c>
      <c r="AF59">
        <v>2000</v>
      </c>
      <c r="AG59" t="s">
        <v>714</v>
      </c>
      <c r="AH59" t="str">
        <f t="shared" si="6"/>
        <v>[2,2000]</v>
      </c>
      <c r="AI59" t="str">
        <f t="shared" si="7"/>
        <v>[1,10],[2,2000]</v>
      </c>
    </row>
    <row r="60" spans="1:35">
      <c r="A60" s="2">
        <v>45</v>
      </c>
      <c r="B60" s="2">
        <v>15</v>
      </c>
      <c r="C60" s="2">
        <v>100</v>
      </c>
      <c r="D60" s="2">
        <v>0</v>
      </c>
      <c r="E60" s="16" t="s">
        <v>1308</v>
      </c>
      <c r="F60" s="16" t="s">
        <v>1309</v>
      </c>
      <c r="G60" s="2">
        <v>5</v>
      </c>
      <c r="H60">
        <v>7</v>
      </c>
      <c r="I60" t="s">
        <v>1172</v>
      </c>
      <c r="J60">
        <v>5</v>
      </c>
      <c r="K60" t="s">
        <v>1172</v>
      </c>
      <c r="L60">
        <v>10</v>
      </c>
      <c r="M60" t="s">
        <v>1288</v>
      </c>
      <c r="N60">
        <v>20</v>
      </c>
      <c r="P60" t="s">
        <v>712</v>
      </c>
      <c r="Q60">
        <v>1</v>
      </c>
      <c r="R60" t="s">
        <v>713</v>
      </c>
      <c r="S60">
        <v>5</v>
      </c>
      <c r="T60" t="s">
        <v>714</v>
      </c>
      <c r="U60" t="str">
        <f t="shared" si="4"/>
        <v>[1,5]</v>
      </c>
      <c r="W60" t="s">
        <v>712</v>
      </c>
      <c r="X60">
        <v>1</v>
      </c>
      <c r="Y60" t="s">
        <v>713</v>
      </c>
      <c r="Z60">
        <v>10</v>
      </c>
      <c r="AA60" t="s">
        <v>714</v>
      </c>
      <c r="AB60" t="str">
        <f t="shared" si="5"/>
        <v>[1,10]</v>
      </c>
      <c r="AC60" t="s">
        <v>712</v>
      </c>
      <c r="AD60">
        <v>600006</v>
      </c>
      <c r="AE60" t="s">
        <v>713</v>
      </c>
      <c r="AF60">
        <v>20</v>
      </c>
      <c r="AG60" t="s">
        <v>714</v>
      </c>
      <c r="AH60" t="str">
        <f t="shared" si="6"/>
        <v>[600006,20]</v>
      </c>
      <c r="AI60" t="str">
        <f t="shared" si="7"/>
        <v>[1,10],[600006,20]</v>
      </c>
    </row>
    <row r="61" spans="1:35">
      <c r="A61" s="2">
        <v>46</v>
      </c>
      <c r="B61" s="2">
        <v>16</v>
      </c>
      <c r="C61" s="2">
        <v>100</v>
      </c>
      <c r="D61" s="2">
        <v>0</v>
      </c>
      <c r="E61" s="16" t="s">
        <v>1275</v>
      </c>
      <c r="F61" s="16" t="s">
        <v>1283</v>
      </c>
      <c r="G61" s="2">
        <v>5</v>
      </c>
      <c r="H61">
        <v>8</v>
      </c>
      <c r="I61" t="s">
        <v>1286</v>
      </c>
      <c r="J61">
        <v>2</v>
      </c>
      <c r="K61" t="s">
        <v>1172</v>
      </c>
      <c r="L61">
        <v>10</v>
      </c>
      <c r="M61" t="s">
        <v>1187</v>
      </c>
      <c r="N61">
        <v>2000</v>
      </c>
      <c r="P61" t="s">
        <v>712</v>
      </c>
      <c r="Q61">
        <v>13</v>
      </c>
      <c r="R61" t="s">
        <v>713</v>
      </c>
      <c r="S61">
        <v>2</v>
      </c>
      <c r="T61" t="s">
        <v>714</v>
      </c>
      <c r="U61" t="str">
        <f t="shared" si="4"/>
        <v>[13,2]</v>
      </c>
      <c r="W61" t="s">
        <v>712</v>
      </c>
      <c r="X61">
        <v>1</v>
      </c>
      <c r="Y61" t="s">
        <v>713</v>
      </c>
      <c r="Z61">
        <v>10</v>
      </c>
      <c r="AA61" t="s">
        <v>714</v>
      </c>
      <c r="AB61" t="str">
        <f t="shared" si="5"/>
        <v>[1,10]</v>
      </c>
      <c r="AC61" t="s">
        <v>712</v>
      </c>
      <c r="AD61">
        <v>2</v>
      </c>
      <c r="AE61" t="s">
        <v>713</v>
      </c>
      <c r="AF61">
        <v>2000</v>
      </c>
      <c r="AG61" t="s">
        <v>714</v>
      </c>
      <c r="AH61" t="str">
        <f t="shared" si="6"/>
        <v>[2,2000]</v>
      </c>
      <c r="AI61" t="str">
        <f t="shared" si="7"/>
        <v>[1,10],[2,2000]</v>
      </c>
    </row>
    <row r="62" spans="1:35">
      <c r="A62" s="2">
        <v>47</v>
      </c>
      <c r="B62" s="2">
        <v>17</v>
      </c>
      <c r="C62" s="2">
        <v>100</v>
      </c>
      <c r="D62" s="2">
        <v>0</v>
      </c>
      <c r="E62" s="16" t="s">
        <v>1275</v>
      </c>
      <c r="F62" s="16" t="s">
        <v>1283</v>
      </c>
      <c r="G62" s="2">
        <v>5</v>
      </c>
      <c r="H62">
        <v>9</v>
      </c>
      <c r="I62" t="s">
        <v>1286</v>
      </c>
      <c r="J62">
        <v>2</v>
      </c>
      <c r="K62" t="s">
        <v>1172</v>
      </c>
      <c r="L62">
        <v>10</v>
      </c>
      <c r="M62" t="s">
        <v>1187</v>
      </c>
      <c r="N62">
        <v>2000</v>
      </c>
      <c r="P62" t="s">
        <v>712</v>
      </c>
      <c r="Q62">
        <v>13</v>
      </c>
      <c r="R62" t="s">
        <v>713</v>
      </c>
      <c r="S62">
        <v>2</v>
      </c>
      <c r="T62" t="s">
        <v>714</v>
      </c>
      <c r="U62" t="str">
        <f t="shared" si="4"/>
        <v>[13,2]</v>
      </c>
      <c r="W62" t="s">
        <v>712</v>
      </c>
      <c r="X62">
        <v>1</v>
      </c>
      <c r="Y62" t="s">
        <v>713</v>
      </c>
      <c r="Z62">
        <v>10</v>
      </c>
      <c r="AA62" t="s">
        <v>714</v>
      </c>
      <c r="AB62" t="str">
        <f t="shared" si="5"/>
        <v>[1,10]</v>
      </c>
      <c r="AC62" t="s">
        <v>712</v>
      </c>
      <c r="AD62">
        <v>2</v>
      </c>
      <c r="AE62" t="s">
        <v>713</v>
      </c>
      <c r="AF62">
        <v>2000</v>
      </c>
      <c r="AG62" t="s">
        <v>714</v>
      </c>
      <c r="AH62" t="str">
        <f t="shared" si="6"/>
        <v>[2,2000]</v>
      </c>
      <c r="AI62" t="str">
        <f t="shared" si="7"/>
        <v>[1,10],[2,2000]</v>
      </c>
    </row>
    <row r="63" spans="1:35">
      <c r="A63" s="2">
        <v>48</v>
      </c>
      <c r="B63" s="2">
        <v>18</v>
      </c>
      <c r="C63" s="2">
        <v>100</v>
      </c>
      <c r="D63" s="2">
        <v>0</v>
      </c>
      <c r="E63" s="16" t="s">
        <v>1278</v>
      </c>
      <c r="F63" s="16" t="s">
        <v>1310</v>
      </c>
      <c r="G63" s="2">
        <v>5</v>
      </c>
      <c r="H63">
        <v>10</v>
      </c>
      <c r="I63" t="s">
        <v>1205</v>
      </c>
      <c r="J63">
        <v>1</v>
      </c>
      <c r="K63" t="s">
        <v>1172</v>
      </c>
      <c r="L63">
        <v>10</v>
      </c>
      <c r="M63" t="s">
        <v>1290</v>
      </c>
      <c r="N63">
        <v>1</v>
      </c>
      <c r="P63" t="s">
        <v>712</v>
      </c>
      <c r="Q63">
        <v>100172</v>
      </c>
      <c r="R63" t="s">
        <v>713</v>
      </c>
      <c r="S63">
        <v>1</v>
      </c>
      <c r="T63" t="s">
        <v>714</v>
      </c>
      <c r="U63" t="str">
        <f t="shared" si="4"/>
        <v>[100172,1]</v>
      </c>
      <c r="W63" t="s">
        <v>712</v>
      </c>
      <c r="X63">
        <v>1</v>
      </c>
      <c r="Y63" t="s">
        <v>713</v>
      </c>
      <c r="Z63">
        <v>10</v>
      </c>
      <c r="AA63" t="s">
        <v>714</v>
      </c>
      <c r="AB63" t="str">
        <f t="shared" si="5"/>
        <v>[1,10]</v>
      </c>
      <c r="AC63" t="s">
        <v>712</v>
      </c>
      <c r="AD63" s="2">
        <v>300005</v>
      </c>
      <c r="AE63" t="s">
        <v>713</v>
      </c>
      <c r="AF63">
        <v>1</v>
      </c>
      <c r="AG63" t="s">
        <v>714</v>
      </c>
      <c r="AH63" t="str">
        <f t="shared" si="6"/>
        <v>[300005,1]</v>
      </c>
      <c r="AI63" t="str">
        <f t="shared" si="7"/>
        <v>[1,10],[300005,1]</v>
      </c>
    </row>
    <row r="64" spans="1:35">
      <c r="A64" s="2">
        <v>49</v>
      </c>
      <c r="B64" s="2">
        <v>19</v>
      </c>
      <c r="C64" s="2">
        <v>100</v>
      </c>
      <c r="D64" s="2">
        <v>0</v>
      </c>
      <c r="E64" s="16" t="s">
        <v>1275</v>
      </c>
      <c r="F64" s="16" t="s">
        <v>1283</v>
      </c>
      <c r="G64" s="2">
        <v>5</v>
      </c>
      <c r="H64">
        <v>11</v>
      </c>
      <c r="I64" t="s">
        <v>1286</v>
      </c>
      <c r="J64">
        <v>2</v>
      </c>
      <c r="K64" t="s">
        <v>1172</v>
      </c>
      <c r="L64">
        <v>10</v>
      </c>
      <c r="M64" t="s">
        <v>1187</v>
      </c>
      <c r="N64">
        <v>2000</v>
      </c>
      <c r="P64" t="s">
        <v>712</v>
      </c>
      <c r="Q64">
        <v>13</v>
      </c>
      <c r="R64" t="s">
        <v>713</v>
      </c>
      <c r="S64">
        <v>2</v>
      </c>
      <c r="T64" t="s">
        <v>714</v>
      </c>
      <c r="U64" t="str">
        <f t="shared" si="4"/>
        <v>[13,2]</v>
      </c>
      <c r="W64" t="s">
        <v>712</v>
      </c>
      <c r="X64">
        <v>1</v>
      </c>
      <c r="Y64" t="s">
        <v>713</v>
      </c>
      <c r="Z64">
        <v>10</v>
      </c>
      <c r="AA64" t="s">
        <v>714</v>
      </c>
      <c r="AB64" t="str">
        <f t="shared" si="5"/>
        <v>[1,10]</v>
      </c>
      <c r="AC64" t="s">
        <v>712</v>
      </c>
      <c r="AD64">
        <v>2</v>
      </c>
      <c r="AE64" t="s">
        <v>713</v>
      </c>
      <c r="AF64">
        <v>2000</v>
      </c>
      <c r="AG64" t="s">
        <v>714</v>
      </c>
      <c r="AH64" t="str">
        <f t="shared" si="6"/>
        <v>[2,2000]</v>
      </c>
      <c r="AI64" t="str">
        <f t="shared" si="7"/>
        <v>[1,10],[2,2000]</v>
      </c>
    </row>
    <row r="65" spans="1:35">
      <c r="A65" s="2">
        <v>50</v>
      </c>
      <c r="B65" s="2">
        <v>20</v>
      </c>
      <c r="C65" s="2">
        <v>100</v>
      </c>
      <c r="D65" s="2">
        <v>1</v>
      </c>
      <c r="E65" s="16" t="s">
        <v>1280</v>
      </c>
      <c r="F65" s="16" t="s">
        <v>1311</v>
      </c>
      <c r="G65" s="2">
        <v>5</v>
      </c>
      <c r="H65">
        <v>12</v>
      </c>
      <c r="I65" t="s">
        <v>1286</v>
      </c>
      <c r="J65">
        <v>20</v>
      </c>
      <c r="K65" t="s">
        <v>1172</v>
      </c>
      <c r="L65">
        <v>10</v>
      </c>
      <c r="M65" t="s">
        <v>1286</v>
      </c>
      <c r="N65">
        <v>40</v>
      </c>
      <c r="P65" t="s">
        <v>712</v>
      </c>
      <c r="Q65">
        <v>13</v>
      </c>
      <c r="R65" t="s">
        <v>713</v>
      </c>
      <c r="S65">
        <v>20</v>
      </c>
      <c r="T65" t="s">
        <v>714</v>
      </c>
      <c r="U65" t="str">
        <f t="shared" si="4"/>
        <v>[13,20]</v>
      </c>
      <c r="W65" t="s">
        <v>712</v>
      </c>
      <c r="X65">
        <v>1</v>
      </c>
      <c r="Y65" t="s">
        <v>713</v>
      </c>
      <c r="Z65">
        <v>10</v>
      </c>
      <c r="AA65" t="s">
        <v>714</v>
      </c>
      <c r="AB65" t="str">
        <f t="shared" si="5"/>
        <v>[1,10]</v>
      </c>
      <c r="AC65" t="s">
        <v>712</v>
      </c>
      <c r="AD65">
        <v>13</v>
      </c>
      <c r="AE65" t="s">
        <v>713</v>
      </c>
      <c r="AF65">
        <v>40</v>
      </c>
      <c r="AG65" t="s">
        <v>714</v>
      </c>
      <c r="AH65" t="str">
        <f t="shared" si="6"/>
        <v>[13,40]</v>
      </c>
      <c r="AI65" t="str">
        <f t="shared" si="7"/>
        <v>[1,10],[13,40]</v>
      </c>
    </row>
    <row r="66" spans="1:35">
      <c r="A66" s="2">
        <v>51</v>
      </c>
      <c r="B66" s="2">
        <v>21</v>
      </c>
      <c r="C66" s="2">
        <v>100</v>
      </c>
      <c r="D66" s="2">
        <v>0</v>
      </c>
      <c r="E66" s="16" t="s">
        <v>1275</v>
      </c>
      <c r="F66" s="16" t="s">
        <v>1283</v>
      </c>
      <c r="G66" s="2">
        <v>5</v>
      </c>
      <c r="H66">
        <v>13</v>
      </c>
      <c r="I66" t="s">
        <v>1286</v>
      </c>
      <c r="J66">
        <v>2</v>
      </c>
      <c r="K66" t="s">
        <v>1172</v>
      </c>
      <c r="L66">
        <v>10</v>
      </c>
      <c r="M66" t="s">
        <v>1187</v>
      </c>
      <c r="N66">
        <v>2000</v>
      </c>
      <c r="P66" t="s">
        <v>712</v>
      </c>
      <c r="Q66">
        <v>13</v>
      </c>
      <c r="R66" t="s">
        <v>713</v>
      </c>
      <c r="S66">
        <v>2</v>
      </c>
      <c r="T66" t="s">
        <v>714</v>
      </c>
      <c r="U66" t="str">
        <f t="shared" si="4"/>
        <v>[13,2]</v>
      </c>
      <c r="W66" t="s">
        <v>712</v>
      </c>
      <c r="X66">
        <v>1</v>
      </c>
      <c r="Y66" t="s">
        <v>713</v>
      </c>
      <c r="Z66">
        <v>10</v>
      </c>
      <c r="AA66" t="s">
        <v>714</v>
      </c>
      <c r="AB66" t="str">
        <f t="shared" si="5"/>
        <v>[1,10]</v>
      </c>
      <c r="AC66" t="s">
        <v>712</v>
      </c>
      <c r="AD66">
        <v>2</v>
      </c>
      <c r="AE66" t="s">
        <v>713</v>
      </c>
      <c r="AF66">
        <v>2000</v>
      </c>
      <c r="AG66" t="s">
        <v>714</v>
      </c>
      <c r="AH66" t="str">
        <f t="shared" si="6"/>
        <v>[2,2000]</v>
      </c>
      <c r="AI66" t="str">
        <f t="shared" si="7"/>
        <v>[1,10],[2,2000]</v>
      </c>
    </row>
    <row r="67" spans="1:35">
      <c r="A67" s="2">
        <v>52</v>
      </c>
      <c r="B67" s="2">
        <v>22</v>
      </c>
      <c r="C67" s="2">
        <v>100</v>
      </c>
      <c r="D67" s="2">
        <v>0</v>
      </c>
      <c r="E67" s="16" t="s">
        <v>1306</v>
      </c>
      <c r="F67" s="16" t="s">
        <v>1291</v>
      </c>
      <c r="G67" s="2">
        <v>5</v>
      </c>
      <c r="H67">
        <v>14</v>
      </c>
      <c r="I67" t="s">
        <v>1286</v>
      </c>
      <c r="J67">
        <v>2</v>
      </c>
      <c r="K67" t="s">
        <v>1172</v>
      </c>
      <c r="L67">
        <v>10</v>
      </c>
      <c r="M67" t="s">
        <v>1187</v>
      </c>
      <c r="N67">
        <v>2000</v>
      </c>
      <c r="P67" t="s">
        <v>712</v>
      </c>
      <c r="Q67">
        <v>13</v>
      </c>
      <c r="R67" t="s">
        <v>713</v>
      </c>
      <c r="S67">
        <v>2</v>
      </c>
      <c r="T67" t="s">
        <v>714</v>
      </c>
      <c r="U67" t="str">
        <f t="shared" si="4"/>
        <v>[13,2]</v>
      </c>
      <c r="W67" t="s">
        <v>712</v>
      </c>
      <c r="X67">
        <v>1</v>
      </c>
      <c r="Y67" t="s">
        <v>713</v>
      </c>
      <c r="Z67">
        <v>10</v>
      </c>
      <c r="AA67" t="s">
        <v>714</v>
      </c>
      <c r="AB67" t="str">
        <f t="shared" si="5"/>
        <v>[1,10]</v>
      </c>
      <c r="AC67" t="s">
        <v>712</v>
      </c>
      <c r="AD67">
        <v>2</v>
      </c>
      <c r="AE67" t="s">
        <v>713</v>
      </c>
      <c r="AF67">
        <v>2000</v>
      </c>
      <c r="AG67" t="s">
        <v>714</v>
      </c>
      <c r="AH67" t="str">
        <f t="shared" si="6"/>
        <v>[2,2000]</v>
      </c>
      <c r="AI67" t="str">
        <f t="shared" si="7"/>
        <v>[1,10],[2,2000]</v>
      </c>
    </row>
    <row r="68" spans="1:35">
      <c r="A68" s="2">
        <v>53</v>
      </c>
      <c r="B68" s="2">
        <v>23</v>
      </c>
      <c r="C68" s="2">
        <v>100</v>
      </c>
      <c r="D68" s="2">
        <v>0</v>
      </c>
      <c r="E68" s="16" t="s">
        <v>1275</v>
      </c>
      <c r="F68" s="16" t="s">
        <v>1283</v>
      </c>
      <c r="G68" s="2">
        <v>5</v>
      </c>
      <c r="H68">
        <v>15</v>
      </c>
      <c r="I68" t="s">
        <v>1172</v>
      </c>
      <c r="J68">
        <v>5</v>
      </c>
      <c r="K68" t="s">
        <v>1172</v>
      </c>
      <c r="L68">
        <v>10</v>
      </c>
      <c r="M68" t="s">
        <v>1288</v>
      </c>
      <c r="N68">
        <v>20</v>
      </c>
      <c r="P68" t="s">
        <v>712</v>
      </c>
      <c r="Q68">
        <v>1</v>
      </c>
      <c r="R68" t="s">
        <v>713</v>
      </c>
      <c r="S68">
        <v>5</v>
      </c>
      <c r="T68" t="s">
        <v>714</v>
      </c>
      <c r="U68" t="str">
        <f t="shared" si="4"/>
        <v>[1,5]</v>
      </c>
      <c r="W68" t="s">
        <v>712</v>
      </c>
      <c r="X68">
        <v>1</v>
      </c>
      <c r="Y68" t="s">
        <v>713</v>
      </c>
      <c r="Z68">
        <v>10</v>
      </c>
      <c r="AA68" t="s">
        <v>714</v>
      </c>
      <c r="AB68" t="str">
        <f t="shared" si="5"/>
        <v>[1,10]</v>
      </c>
      <c r="AC68" t="s">
        <v>712</v>
      </c>
      <c r="AD68">
        <v>600006</v>
      </c>
      <c r="AE68" t="s">
        <v>713</v>
      </c>
      <c r="AF68">
        <v>20</v>
      </c>
      <c r="AG68" t="s">
        <v>714</v>
      </c>
      <c r="AH68" t="str">
        <f t="shared" si="6"/>
        <v>[600006,20]</v>
      </c>
      <c r="AI68" t="str">
        <f t="shared" si="7"/>
        <v>[1,10],[600006,20]</v>
      </c>
    </row>
    <row r="69" spans="1:35">
      <c r="A69" s="2">
        <v>54</v>
      </c>
      <c r="B69" s="2">
        <v>24</v>
      </c>
      <c r="C69" s="2">
        <v>100</v>
      </c>
      <c r="D69" s="2">
        <v>0</v>
      </c>
      <c r="E69" s="16" t="s">
        <v>1275</v>
      </c>
      <c r="F69" s="16" t="s">
        <v>1283</v>
      </c>
      <c r="G69" s="2">
        <v>5</v>
      </c>
      <c r="H69">
        <v>16</v>
      </c>
      <c r="I69" t="s">
        <v>1286</v>
      </c>
      <c r="J69">
        <v>2</v>
      </c>
      <c r="K69" t="s">
        <v>1172</v>
      </c>
      <c r="L69">
        <v>10</v>
      </c>
      <c r="M69" t="s">
        <v>1187</v>
      </c>
      <c r="N69">
        <v>2000</v>
      </c>
      <c r="P69" t="s">
        <v>712</v>
      </c>
      <c r="Q69">
        <v>13</v>
      </c>
      <c r="R69" t="s">
        <v>713</v>
      </c>
      <c r="S69">
        <v>2</v>
      </c>
      <c r="T69" t="s">
        <v>714</v>
      </c>
      <c r="U69" t="str">
        <f t="shared" si="4"/>
        <v>[13,2]</v>
      </c>
      <c r="W69" t="s">
        <v>712</v>
      </c>
      <c r="X69">
        <v>1</v>
      </c>
      <c r="Y69" t="s">
        <v>713</v>
      </c>
      <c r="Z69">
        <v>10</v>
      </c>
      <c r="AA69" t="s">
        <v>714</v>
      </c>
      <c r="AB69" t="str">
        <f t="shared" si="5"/>
        <v>[1,10]</v>
      </c>
      <c r="AC69" t="s">
        <v>712</v>
      </c>
      <c r="AD69">
        <v>2</v>
      </c>
      <c r="AE69" t="s">
        <v>713</v>
      </c>
      <c r="AF69">
        <v>2000</v>
      </c>
      <c r="AG69" t="s">
        <v>714</v>
      </c>
      <c r="AH69" t="str">
        <f t="shared" si="6"/>
        <v>[2,2000]</v>
      </c>
      <c r="AI69" t="str">
        <f t="shared" si="7"/>
        <v>[1,10],[2,2000]</v>
      </c>
    </row>
    <row r="70" spans="1:35">
      <c r="A70" s="2">
        <v>55</v>
      </c>
      <c r="B70" s="2">
        <v>25</v>
      </c>
      <c r="C70" s="2">
        <v>100</v>
      </c>
      <c r="D70" s="2">
        <v>0</v>
      </c>
      <c r="E70" s="16" t="s">
        <v>1284</v>
      </c>
      <c r="F70" s="16" t="s">
        <v>1312</v>
      </c>
      <c r="G70" s="2">
        <v>5</v>
      </c>
      <c r="H70">
        <v>17</v>
      </c>
      <c r="I70" t="s">
        <v>1286</v>
      </c>
      <c r="J70">
        <v>2</v>
      </c>
      <c r="K70" t="s">
        <v>1172</v>
      </c>
      <c r="L70">
        <v>10</v>
      </c>
      <c r="M70" t="s">
        <v>1187</v>
      </c>
      <c r="N70">
        <v>2000</v>
      </c>
      <c r="P70" t="s">
        <v>712</v>
      </c>
      <c r="Q70">
        <v>13</v>
      </c>
      <c r="R70" t="s">
        <v>713</v>
      </c>
      <c r="S70">
        <v>2</v>
      </c>
      <c r="T70" t="s">
        <v>714</v>
      </c>
      <c r="U70" t="str">
        <f t="shared" si="4"/>
        <v>[13,2]</v>
      </c>
      <c r="W70" t="s">
        <v>712</v>
      </c>
      <c r="X70">
        <v>1</v>
      </c>
      <c r="Y70" t="s">
        <v>713</v>
      </c>
      <c r="Z70">
        <v>10</v>
      </c>
      <c r="AA70" t="s">
        <v>714</v>
      </c>
      <c r="AB70" t="str">
        <f t="shared" si="5"/>
        <v>[1,10]</v>
      </c>
      <c r="AC70" t="s">
        <v>712</v>
      </c>
      <c r="AD70">
        <v>2</v>
      </c>
      <c r="AE70" t="s">
        <v>713</v>
      </c>
      <c r="AF70">
        <v>2000</v>
      </c>
      <c r="AG70" t="s">
        <v>714</v>
      </c>
      <c r="AH70" t="str">
        <f t="shared" si="6"/>
        <v>[2,2000]</v>
      </c>
      <c r="AI70" t="str">
        <f t="shared" si="7"/>
        <v>[1,10],[2,2000]</v>
      </c>
    </row>
    <row r="71" spans="1:35">
      <c r="A71" s="2">
        <v>56</v>
      </c>
      <c r="B71" s="2">
        <v>26</v>
      </c>
      <c r="C71" s="2">
        <v>100</v>
      </c>
      <c r="D71" s="2">
        <v>0</v>
      </c>
      <c r="E71" s="16" t="s">
        <v>1275</v>
      </c>
      <c r="F71" s="16" t="s">
        <v>1283</v>
      </c>
      <c r="G71" s="2">
        <v>5</v>
      </c>
      <c r="H71">
        <v>18</v>
      </c>
      <c r="I71" t="s">
        <v>1187</v>
      </c>
      <c r="J71">
        <v>2000</v>
      </c>
      <c r="K71" t="s">
        <v>1172</v>
      </c>
      <c r="L71">
        <v>10</v>
      </c>
      <c r="M71" t="s">
        <v>1295</v>
      </c>
      <c r="N71">
        <v>10</v>
      </c>
      <c r="P71" t="s">
        <v>712</v>
      </c>
      <c r="Q71">
        <v>2</v>
      </c>
      <c r="R71" t="s">
        <v>713</v>
      </c>
      <c r="S71">
        <v>2000</v>
      </c>
      <c r="T71" t="s">
        <v>714</v>
      </c>
      <c r="U71" t="str">
        <f t="shared" si="4"/>
        <v>[2,2000]</v>
      </c>
      <c r="W71" t="s">
        <v>712</v>
      </c>
      <c r="X71">
        <v>1</v>
      </c>
      <c r="Y71" t="s">
        <v>713</v>
      </c>
      <c r="Z71">
        <v>10</v>
      </c>
      <c r="AA71" t="s">
        <v>714</v>
      </c>
      <c r="AB71" t="str">
        <f t="shared" si="5"/>
        <v>[1,10]</v>
      </c>
      <c r="AC71" t="s">
        <v>712</v>
      </c>
      <c r="AD71">
        <v>850002</v>
      </c>
      <c r="AE71" t="s">
        <v>713</v>
      </c>
      <c r="AF71">
        <v>100</v>
      </c>
      <c r="AG71" t="s">
        <v>714</v>
      </c>
      <c r="AH71" t="str">
        <f t="shared" si="6"/>
        <v>[850002,100]</v>
      </c>
      <c r="AI71" t="str">
        <f t="shared" si="7"/>
        <v>[1,10],[850002,100]</v>
      </c>
    </row>
    <row r="72" spans="1:35">
      <c r="A72" s="2">
        <v>57</v>
      </c>
      <c r="B72" s="2">
        <v>27</v>
      </c>
      <c r="C72" s="2">
        <v>100</v>
      </c>
      <c r="D72" s="2">
        <v>0</v>
      </c>
      <c r="E72" s="16" t="s">
        <v>1275</v>
      </c>
      <c r="F72" s="16" t="s">
        <v>1283</v>
      </c>
      <c r="G72" s="2">
        <v>5</v>
      </c>
      <c r="H72">
        <v>19</v>
      </c>
      <c r="I72" t="s">
        <v>1286</v>
      </c>
      <c r="J72">
        <v>2</v>
      </c>
      <c r="K72" t="s">
        <v>1172</v>
      </c>
      <c r="L72">
        <v>10</v>
      </c>
      <c r="M72" t="s">
        <v>1187</v>
      </c>
      <c r="N72">
        <v>2000</v>
      </c>
      <c r="P72" t="s">
        <v>712</v>
      </c>
      <c r="Q72">
        <v>13</v>
      </c>
      <c r="R72" t="s">
        <v>713</v>
      </c>
      <c r="S72">
        <v>2</v>
      </c>
      <c r="T72" t="s">
        <v>714</v>
      </c>
      <c r="U72" t="str">
        <f t="shared" si="4"/>
        <v>[13,2]</v>
      </c>
      <c r="W72" t="s">
        <v>712</v>
      </c>
      <c r="X72">
        <v>1</v>
      </c>
      <c r="Y72" t="s">
        <v>713</v>
      </c>
      <c r="Z72">
        <v>10</v>
      </c>
      <c r="AA72" t="s">
        <v>714</v>
      </c>
      <c r="AB72" t="str">
        <f t="shared" si="5"/>
        <v>[1,10]</v>
      </c>
      <c r="AC72" t="s">
        <v>712</v>
      </c>
      <c r="AD72">
        <v>2</v>
      </c>
      <c r="AE72" t="s">
        <v>713</v>
      </c>
      <c r="AF72">
        <v>2000</v>
      </c>
      <c r="AG72" t="s">
        <v>714</v>
      </c>
      <c r="AH72" t="str">
        <f t="shared" si="6"/>
        <v>[2,2000]</v>
      </c>
      <c r="AI72" t="str">
        <f t="shared" si="7"/>
        <v>[1,10],[2,2000]</v>
      </c>
    </row>
    <row r="73" spans="1:35">
      <c r="A73" s="2">
        <v>58</v>
      </c>
      <c r="B73" s="2">
        <v>28</v>
      </c>
      <c r="C73" s="2">
        <v>100</v>
      </c>
      <c r="D73" s="2">
        <v>0</v>
      </c>
      <c r="E73" s="16" t="s">
        <v>1313</v>
      </c>
      <c r="F73" s="16" t="s">
        <v>1314</v>
      </c>
      <c r="G73" s="2">
        <v>5</v>
      </c>
      <c r="H73">
        <v>20</v>
      </c>
      <c r="I73" t="s">
        <v>1286</v>
      </c>
      <c r="J73">
        <v>20</v>
      </c>
      <c r="K73" t="s">
        <v>1172</v>
      </c>
      <c r="L73">
        <v>10</v>
      </c>
      <c r="M73" t="s">
        <v>1297</v>
      </c>
      <c r="N73">
        <v>1</v>
      </c>
      <c r="P73" t="s">
        <v>712</v>
      </c>
      <c r="Q73">
        <v>13</v>
      </c>
      <c r="R73" t="s">
        <v>713</v>
      </c>
      <c r="S73">
        <v>20</v>
      </c>
      <c r="T73" t="s">
        <v>714</v>
      </c>
      <c r="U73" t="str">
        <f t="shared" si="4"/>
        <v>[13,20]</v>
      </c>
      <c r="W73" t="s">
        <v>712</v>
      </c>
      <c r="X73">
        <v>1</v>
      </c>
      <c r="Y73" t="s">
        <v>713</v>
      </c>
      <c r="Z73">
        <v>10</v>
      </c>
      <c r="AA73" t="s">
        <v>714</v>
      </c>
      <c r="AB73" t="str">
        <f t="shared" si="5"/>
        <v>[1,10]</v>
      </c>
      <c r="AC73" t="s">
        <v>712</v>
      </c>
      <c r="AD73" s="2">
        <v>870005</v>
      </c>
      <c r="AE73" t="s">
        <v>713</v>
      </c>
      <c r="AF73">
        <v>1</v>
      </c>
      <c r="AG73" t="s">
        <v>714</v>
      </c>
      <c r="AH73" t="str">
        <f t="shared" si="6"/>
        <v>[870005,1]</v>
      </c>
      <c r="AI73" t="str">
        <f t="shared" si="7"/>
        <v>[1,10],[870005,1]</v>
      </c>
    </row>
    <row r="74" spans="1:35">
      <c r="A74" s="2">
        <v>59</v>
      </c>
      <c r="B74" s="2">
        <v>29</v>
      </c>
      <c r="C74" s="2">
        <v>100</v>
      </c>
      <c r="D74" s="2">
        <v>0</v>
      </c>
      <c r="E74" s="16" t="s">
        <v>1275</v>
      </c>
      <c r="F74" s="16" t="s">
        <v>1283</v>
      </c>
      <c r="G74" s="2">
        <v>5</v>
      </c>
      <c r="H74">
        <v>21</v>
      </c>
      <c r="I74" t="s">
        <v>1286</v>
      </c>
      <c r="J74">
        <v>2</v>
      </c>
      <c r="K74" t="s">
        <v>1172</v>
      </c>
      <c r="L74">
        <v>10</v>
      </c>
      <c r="M74" t="s">
        <v>1187</v>
      </c>
      <c r="N74">
        <v>2000</v>
      </c>
      <c r="P74" t="s">
        <v>712</v>
      </c>
      <c r="Q74">
        <v>13</v>
      </c>
      <c r="R74" t="s">
        <v>713</v>
      </c>
      <c r="S74">
        <v>2</v>
      </c>
      <c r="T74" t="s">
        <v>714</v>
      </c>
      <c r="U74" t="str">
        <f t="shared" si="4"/>
        <v>[13,2]</v>
      </c>
      <c r="W74" t="s">
        <v>712</v>
      </c>
      <c r="X74">
        <v>1</v>
      </c>
      <c r="Y74" t="s">
        <v>713</v>
      </c>
      <c r="Z74">
        <v>10</v>
      </c>
      <c r="AA74" t="s">
        <v>714</v>
      </c>
      <c r="AB74" t="str">
        <f t="shared" si="5"/>
        <v>[1,10]</v>
      </c>
      <c r="AC74" t="s">
        <v>712</v>
      </c>
      <c r="AD74">
        <v>2</v>
      </c>
      <c r="AE74" t="s">
        <v>713</v>
      </c>
      <c r="AF74">
        <v>2000</v>
      </c>
      <c r="AG74" t="s">
        <v>714</v>
      </c>
      <c r="AH74" t="str">
        <f t="shared" si="6"/>
        <v>[2,2000]</v>
      </c>
      <c r="AI74" t="str">
        <f t="shared" si="7"/>
        <v>[1,10],[2,2000]</v>
      </c>
    </row>
    <row r="75" spans="1:35">
      <c r="A75" s="2">
        <v>60</v>
      </c>
      <c r="B75" s="2">
        <v>30</v>
      </c>
      <c r="C75" s="2">
        <v>100</v>
      </c>
      <c r="D75" s="2">
        <v>1</v>
      </c>
      <c r="E75" s="16" t="s">
        <v>1300</v>
      </c>
      <c r="F75" s="16" t="s">
        <v>1315</v>
      </c>
      <c r="G75" s="2">
        <v>5</v>
      </c>
      <c r="H75">
        <v>22</v>
      </c>
      <c r="I75" t="s">
        <v>1172</v>
      </c>
      <c r="J75">
        <v>5</v>
      </c>
      <c r="K75" t="s">
        <v>1172</v>
      </c>
      <c r="L75">
        <v>10</v>
      </c>
      <c r="M75" t="s">
        <v>1286</v>
      </c>
      <c r="N75">
        <v>40</v>
      </c>
      <c r="P75" t="s">
        <v>712</v>
      </c>
      <c r="Q75">
        <v>1</v>
      </c>
      <c r="R75" t="s">
        <v>713</v>
      </c>
      <c r="S75">
        <v>5</v>
      </c>
      <c r="T75" t="s">
        <v>714</v>
      </c>
      <c r="U75" t="str">
        <f t="shared" si="4"/>
        <v>[1,5]</v>
      </c>
      <c r="W75" t="s">
        <v>712</v>
      </c>
      <c r="X75">
        <v>1</v>
      </c>
      <c r="Y75" t="s">
        <v>713</v>
      </c>
      <c r="Z75">
        <v>10</v>
      </c>
      <c r="AA75" t="s">
        <v>714</v>
      </c>
      <c r="AB75" t="str">
        <f t="shared" si="5"/>
        <v>[1,10]</v>
      </c>
      <c r="AC75" t="s">
        <v>712</v>
      </c>
      <c r="AD75">
        <v>13</v>
      </c>
      <c r="AE75" t="s">
        <v>713</v>
      </c>
      <c r="AF75">
        <v>40</v>
      </c>
      <c r="AG75" t="s">
        <v>714</v>
      </c>
      <c r="AH75" t="str">
        <f t="shared" si="6"/>
        <v>[13,40]</v>
      </c>
      <c r="AI75" t="str">
        <f t="shared" si="7"/>
        <v>[1,10],[13,40]</v>
      </c>
    </row>
    <row r="76" spans="1:35">
      <c r="A76" s="2">
        <v>61</v>
      </c>
      <c r="B76" s="2">
        <v>1</v>
      </c>
      <c r="C76" s="2">
        <v>100</v>
      </c>
      <c r="D76" s="2">
        <v>0</v>
      </c>
      <c r="E76" s="16" t="s">
        <v>1275</v>
      </c>
      <c r="F76" s="16" t="s">
        <v>1303</v>
      </c>
      <c r="G76" s="2">
        <v>6</v>
      </c>
      <c r="H76">
        <v>23</v>
      </c>
      <c r="I76" t="s">
        <v>1286</v>
      </c>
      <c r="J76">
        <v>2</v>
      </c>
      <c r="K76" t="s">
        <v>1172</v>
      </c>
      <c r="L76">
        <v>10</v>
      </c>
      <c r="M76" t="s">
        <v>1187</v>
      </c>
      <c r="N76">
        <v>2000</v>
      </c>
      <c r="P76" t="s">
        <v>712</v>
      </c>
      <c r="Q76">
        <v>13</v>
      </c>
      <c r="R76" t="s">
        <v>713</v>
      </c>
      <c r="S76">
        <v>2</v>
      </c>
      <c r="T76" t="s">
        <v>714</v>
      </c>
      <c r="U76" t="str">
        <f t="shared" si="4"/>
        <v>[13,2]</v>
      </c>
      <c r="W76" t="s">
        <v>712</v>
      </c>
      <c r="X76">
        <v>1</v>
      </c>
      <c r="Y76" t="s">
        <v>713</v>
      </c>
      <c r="Z76">
        <v>10</v>
      </c>
      <c r="AA76" t="s">
        <v>714</v>
      </c>
      <c r="AB76" t="str">
        <f t="shared" si="5"/>
        <v>[1,10]</v>
      </c>
      <c r="AC76" t="s">
        <v>712</v>
      </c>
      <c r="AD76">
        <v>2</v>
      </c>
      <c r="AE76" t="s">
        <v>713</v>
      </c>
      <c r="AF76">
        <v>2000</v>
      </c>
      <c r="AG76" t="s">
        <v>714</v>
      </c>
      <c r="AH76" t="str">
        <f t="shared" si="6"/>
        <v>[2,2000]</v>
      </c>
      <c r="AI76" t="str">
        <f t="shared" si="7"/>
        <v>[1,10],[2,2000]</v>
      </c>
    </row>
    <row r="77" spans="1:35">
      <c r="A77" s="2">
        <v>62</v>
      </c>
      <c r="B77" s="2">
        <v>2</v>
      </c>
      <c r="C77" s="2">
        <v>100</v>
      </c>
      <c r="D77" s="2">
        <v>0</v>
      </c>
      <c r="E77" s="16" t="s">
        <v>1278</v>
      </c>
      <c r="F77" s="16" t="s">
        <v>1279</v>
      </c>
      <c r="G77" s="2">
        <v>6</v>
      </c>
      <c r="H77">
        <v>24</v>
      </c>
      <c r="I77" t="s">
        <v>1286</v>
      </c>
      <c r="J77">
        <v>2</v>
      </c>
      <c r="K77" t="s">
        <v>1172</v>
      </c>
      <c r="L77">
        <v>10</v>
      </c>
      <c r="M77" t="s">
        <v>1187</v>
      </c>
      <c r="N77">
        <v>2000</v>
      </c>
      <c r="P77" t="s">
        <v>712</v>
      </c>
      <c r="Q77">
        <v>13</v>
      </c>
      <c r="R77" t="s">
        <v>713</v>
      </c>
      <c r="S77">
        <v>2</v>
      </c>
      <c r="T77" t="s">
        <v>714</v>
      </c>
      <c r="U77" t="str">
        <f t="shared" si="4"/>
        <v>[13,2]</v>
      </c>
      <c r="W77" t="s">
        <v>712</v>
      </c>
      <c r="X77">
        <v>1</v>
      </c>
      <c r="Y77" t="s">
        <v>713</v>
      </c>
      <c r="Z77">
        <v>10</v>
      </c>
      <c r="AA77" t="s">
        <v>714</v>
      </c>
      <c r="AB77" t="str">
        <f t="shared" si="5"/>
        <v>[1,10]</v>
      </c>
      <c r="AC77" t="s">
        <v>712</v>
      </c>
      <c r="AD77">
        <v>2</v>
      </c>
      <c r="AE77" t="s">
        <v>713</v>
      </c>
      <c r="AF77">
        <v>2000</v>
      </c>
      <c r="AG77" t="s">
        <v>714</v>
      </c>
      <c r="AH77" t="str">
        <f t="shared" si="6"/>
        <v>[2,2000]</v>
      </c>
      <c r="AI77" t="str">
        <f t="shared" si="7"/>
        <v>[1,10],[2,2000]</v>
      </c>
    </row>
    <row r="78" spans="1:35">
      <c r="A78" s="2">
        <v>63</v>
      </c>
      <c r="B78" s="2">
        <v>3</v>
      </c>
      <c r="C78" s="2">
        <v>100</v>
      </c>
      <c r="D78" s="2">
        <v>0</v>
      </c>
      <c r="E78" s="16" t="s">
        <v>1280</v>
      </c>
      <c r="F78" s="16" t="s">
        <v>1316</v>
      </c>
      <c r="G78" s="2">
        <v>6</v>
      </c>
      <c r="H78">
        <v>25</v>
      </c>
      <c r="I78" t="s">
        <v>1187</v>
      </c>
      <c r="J78">
        <v>2000</v>
      </c>
      <c r="K78" t="s">
        <v>1172</v>
      </c>
      <c r="L78">
        <v>10</v>
      </c>
      <c r="M78" t="s">
        <v>1288</v>
      </c>
      <c r="N78">
        <v>20</v>
      </c>
      <c r="P78" t="s">
        <v>712</v>
      </c>
      <c r="Q78">
        <v>2</v>
      </c>
      <c r="R78" t="s">
        <v>713</v>
      </c>
      <c r="S78">
        <v>2000</v>
      </c>
      <c r="T78" t="s">
        <v>714</v>
      </c>
      <c r="U78" t="str">
        <f t="shared" si="4"/>
        <v>[2,2000]</v>
      </c>
      <c r="W78" t="s">
        <v>712</v>
      </c>
      <c r="X78">
        <v>1</v>
      </c>
      <c r="Y78" t="s">
        <v>713</v>
      </c>
      <c r="Z78">
        <v>10</v>
      </c>
      <c r="AA78" t="s">
        <v>714</v>
      </c>
      <c r="AB78" t="str">
        <f t="shared" si="5"/>
        <v>[1,10]</v>
      </c>
      <c r="AC78" t="s">
        <v>712</v>
      </c>
      <c r="AD78">
        <v>600006</v>
      </c>
      <c r="AE78" t="s">
        <v>713</v>
      </c>
      <c r="AF78">
        <v>20</v>
      </c>
      <c r="AG78" t="s">
        <v>714</v>
      </c>
      <c r="AH78" t="str">
        <f t="shared" si="6"/>
        <v>[600006,20]</v>
      </c>
      <c r="AI78" t="str">
        <f t="shared" si="7"/>
        <v>[1,10],[600006,20]</v>
      </c>
    </row>
    <row r="79" spans="1:35">
      <c r="A79" s="2">
        <v>64</v>
      </c>
      <c r="B79" s="2">
        <v>4</v>
      </c>
      <c r="C79" s="2">
        <v>100</v>
      </c>
      <c r="D79" s="2">
        <v>0</v>
      </c>
      <c r="E79" s="16" t="s">
        <v>1275</v>
      </c>
      <c r="F79" s="16" t="s">
        <v>1283</v>
      </c>
      <c r="G79" s="2">
        <v>6</v>
      </c>
      <c r="H79">
        <v>26</v>
      </c>
      <c r="I79" t="s">
        <v>1286</v>
      </c>
      <c r="J79">
        <v>2</v>
      </c>
      <c r="K79" t="s">
        <v>1172</v>
      </c>
      <c r="L79">
        <v>10</v>
      </c>
      <c r="M79" t="s">
        <v>1187</v>
      </c>
      <c r="N79">
        <v>2000</v>
      </c>
      <c r="P79" t="s">
        <v>712</v>
      </c>
      <c r="Q79">
        <v>13</v>
      </c>
      <c r="R79" t="s">
        <v>713</v>
      </c>
      <c r="S79">
        <v>2</v>
      </c>
      <c r="T79" t="s">
        <v>714</v>
      </c>
      <c r="U79" t="str">
        <f t="shared" si="4"/>
        <v>[13,2]</v>
      </c>
      <c r="W79" t="s">
        <v>712</v>
      </c>
      <c r="X79">
        <v>1</v>
      </c>
      <c r="Y79" t="s">
        <v>713</v>
      </c>
      <c r="Z79">
        <v>10</v>
      </c>
      <c r="AA79" t="s">
        <v>714</v>
      </c>
      <c r="AB79" t="str">
        <f t="shared" si="5"/>
        <v>[1,10]</v>
      </c>
      <c r="AC79" t="s">
        <v>712</v>
      </c>
      <c r="AD79">
        <v>2</v>
      </c>
      <c r="AE79" t="s">
        <v>713</v>
      </c>
      <c r="AF79">
        <v>2000</v>
      </c>
      <c r="AG79" t="s">
        <v>714</v>
      </c>
      <c r="AH79" t="str">
        <f t="shared" si="6"/>
        <v>[2,2000]</v>
      </c>
      <c r="AI79" t="str">
        <f t="shared" si="7"/>
        <v>[1,10],[2,2000]</v>
      </c>
    </row>
    <row r="80" spans="1:35">
      <c r="A80" s="2">
        <v>65</v>
      </c>
      <c r="B80" s="2">
        <v>5</v>
      </c>
      <c r="C80" s="2">
        <v>100</v>
      </c>
      <c r="D80" s="2">
        <v>0</v>
      </c>
      <c r="E80" s="16" t="s">
        <v>1284</v>
      </c>
      <c r="F80" s="16" t="s">
        <v>1317</v>
      </c>
      <c r="G80" s="2">
        <v>6</v>
      </c>
      <c r="H80">
        <v>27</v>
      </c>
      <c r="I80" t="s">
        <v>1286</v>
      </c>
      <c r="J80">
        <v>2</v>
      </c>
      <c r="K80" t="s">
        <v>1172</v>
      </c>
      <c r="L80">
        <v>10</v>
      </c>
      <c r="M80" t="s">
        <v>1187</v>
      </c>
      <c r="N80">
        <v>2000</v>
      </c>
      <c r="P80" t="s">
        <v>712</v>
      </c>
      <c r="Q80">
        <v>13</v>
      </c>
      <c r="R80" t="s">
        <v>713</v>
      </c>
      <c r="S80">
        <v>2</v>
      </c>
      <c r="T80" t="s">
        <v>714</v>
      </c>
      <c r="U80" t="str">
        <f t="shared" si="4"/>
        <v>[13,2]</v>
      </c>
      <c r="W80" t="s">
        <v>712</v>
      </c>
      <c r="X80">
        <v>1</v>
      </c>
      <c r="Y80" t="s">
        <v>713</v>
      </c>
      <c r="Z80">
        <v>10</v>
      </c>
      <c r="AA80" t="s">
        <v>714</v>
      </c>
      <c r="AB80" t="str">
        <f t="shared" si="5"/>
        <v>[1,10]</v>
      </c>
      <c r="AC80" t="s">
        <v>712</v>
      </c>
      <c r="AD80">
        <v>2</v>
      </c>
      <c r="AE80" t="s">
        <v>713</v>
      </c>
      <c r="AF80">
        <v>2000</v>
      </c>
      <c r="AG80" t="s">
        <v>714</v>
      </c>
      <c r="AH80" t="str">
        <f t="shared" si="6"/>
        <v>[2,2000]</v>
      </c>
      <c r="AI80" t="str">
        <f t="shared" si="7"/>
        <v>[1,10],[2,2000]</v>
      </c>
    </row>
    <row r="81" spans="1:35">
      <c r="A81" s="2">
        <v>66</v>
      </c>
      <c r="B81" s="2">
        <v>6</v>
      </c>
      <c r="C81" s="2">
        <v>100</v>
      </c>
      <c r="D81" s="2">
        <v>0</v>
      </c>
      <c r="E81" s="16" t="s">
        <v>1275</v>
      </c>
      <c r="F81" s="16" t="s">
        <v>1283</v>
      </c>
      <c r="G81" s="2">
        <v>6</v>
      </c>
      <c r="H81">
        <v>28</v>
      </c>
      <c r="I81" t="s">
        <v>1286</v>
      </c>
      <c r="J81">
        <v>20</v>
      </c>
      <c r="K81" t="s">
        <v>1172</v>
      </c>
      <c r="L81">
        <v>10</v>
      </c>
      <c r="M81" t="s">
        <v>1295</v>
      </c>
      <c r="N81">
        <v>10</v>
      </c>
      <c r="P81" t="s">
        <v>712</v>
      </c>
      <c r="Q81">
        <v>13</v>
      </c>
      <c r="R81" t="s">
        <v>713</v>
      </c>
      <c r="S81">
        <v>20</v>
      </c>
      <c r="T81" t="s">
        <v>714</v>
      </c>
      <c r="U81" t="str">
        <f t="shared" si="4"/>
        <v>[13,20]</v>
      </c>
      <c r="W81" t="s">
        <v>712</v>
      </c>
      <c r="X81">
        <v>1</v>
      </c>
      <c r="Y81" t="s">
        <v>713</v>
      </c>
      <c r="Z81">
        <v>10</v>
      </c>
      <c r="AA81" t="s">
        <v>714</v>
      </c>
      <c r="AB81" t="str">
        <f t="shared" si="5"/>
        <v>[1,10]</v>
      </c>
      <c r="AC81" t="s">
        <v>712</v>
      </c>
      <c r="AD81">
        <v>850003</v>
      </c>
      <c r="AE81" t="s">
        <v>713</v>
      </c>
      <c r="AF81">
        <v>100</v>
      </c>
      <c r="AG81" t="s">
        <v>714</v>
      </c>
      <c r="AH81" t="str">
        <f t="shared" si="6"/>
        <v>[850003,100]</v>
      </c>
      <c r="AI81" t="str">
        <f t="shared" si="7"/>
        <v>[1,10],[850003,100]</v>
      </c>
    </row>
    <row r="82" spans="1:35">
      <c r="A82" s="2">
        <v>67</v>
      </c>
      <c r="B82" s="2">
        <v>7</v>
      </c>
      <c r="C82" s="2">
        <v>100</v>
      </c>
      <c r="D82" s="2">
        <v>0</v>
      </c>
      <c r="E82" s="16" t="s">
        <v>1278</v>
      </c>
      <c r="F82" s="16" t="s">
        <v>1287</v>
      </c>
      <c r="G82" s="2">
        <v>6</v>
      </c>
      <c r="H82">
        <v>29</v>
      </c>
      <c r="I82" t="s">
        <v>1286</v>
      </c>
      <c r="J82">
        <v>2</v>
      </c>
      <c r="K82" t="s">
        <v>1172</v>
      </c>
      <c r="L82">
        <v>10</v>
      </c>
      <c r="M82" t="s">
        <v>1187</v>
      </c>
      <c r="N82">
        <v>2000</v>
      </c>
      <c r="P82" t="s">
        <v>712</v>
      </c>
      <c r="Q82">
        <v>13</v>
      </c>
      <c r="R82" t="s">
        <v>713</v>
      </c>
      <c r="S82">
        <v>2</v>
      </c>
      <c r="T82" t="s">
        <v>714</v>
      </c>
      <c r="U82" t="str">
        <f t="shared" si="4"/>
        <v>[13,2]</v>
      </c>
      <c r="W82" t="s">
        <v>712</v>
      </c>
      <c r="X82">
        <v>1</v>
      </c>
      <c r="Y82" t="s">
        <v>713</v>
      </c>
      <c r="Z82">
        <v>10</v>
      </c>
      <c r="AA82" t="s">
        <v>714</v>
      </c>
      <c r="AB82" t="str">
        <f t="shared" si="5"/>
        <v>[1,10]</v>
      </c>
      <c r="AC82" t="s">
        <v>712</v>
      </c>
      <c r="AD82">
        <v>2</v>
      </c>
      <c r="AE82" t="s">
        <v>713</v>
      </c>
      <c r="AF82">
        <v>2000</v>
      </c>
      <c r="AG82" t="s">
        <v>714</v>
      </c>
      <c r="AH82" t="str">
        <f t="shared" si="6"/>
        <v>[2,2000]</v>
      </c>
      <c r="AI82" t="str">
        <f t="shared" si="7"/>
        <v>[1,10],[2,2000]</v>
      </c>
    </row>
    <row r="83" spans="1:35">
      <c r="A83" s="2">
        <v>68</v>
      </c>
      <c r="B83" s="2">
        <v>8</v>
      </c>
      <c r="C83" s="2">
        <v>100</v>
      </c>
      <c r="D83" s="2">
        <v>0</v>
      </c>
      <c r="E83" s="16" t="s">
        <v>1275</v>
      </c>
      <c r="F83" s="16" t="s">
        <v>1283</v>
      </c>
      <c r="G83" s="2">
        <v>6</v>
      </c>
      <c r="H83">
        <v>30</v>
      </c>
      <c r="I83" t="s">
        <v>1172</v>
      </c>
      <c r="J83">
        <v>5</v>
      </c>
      <c r="K83" t="s">
        <v>1172</v>
      </c>
      <c r="L83">
        <v>10</v>
      </c>
      <c r="M83" t="s">
        <v>1302</v>
      </c>
      <c r="N83">
        <v>1</v>
      </c>
      <c r="P83" t="s">
        <v>712</v>
      </c>
      <c r="Q83">
        <v>1</v>
      </c>
      <c r="R83" t="s">
        <v>713</v>
      </c>
      <c r="S83">
        <v>5</v>
      </c>
      <c r="T83" t="s">
        <v>714</v>
      </c>
      <c r="U83" t="str">
        <f t="shared" si="4"/>
        <v>[1,5]</v>
      </c>
      <c r="W83" t="s">
        <v>712</v>
      </c>
      <c r="X83">
        <v>1</v>
      </c>
      <c r="Y83" t="s">
        <v>713</v>
      </c>
      <c r="Z83">
        <v>10</v>
      </c>
      <c r="AA83" t="s">
        <v>714</v>
      </c>
      <c r="AB83" t="str">
        <f t="shared" si="5"/>
        <v>[1,10]</v>
      </c>
      <c r="AC83" t="s">
        <v>712</v>
      </c>
      <c r="AD83" s="2">
        <v>100091</v>
      </c>
      <c r="AE83" t="s">
        <v>713</v>
      </c>
      <c r="AF83">
        <v>1</v>
      </c>
      <c r="AG83" t="s">
        <v>714</v>
      </c>
      <c r="AH83" t="str">
        <f t="shared" si="6"/>
        <v>[100091,1]</v>
      </c>
      <c r="AI83" t="str">
        <f t="shared" si="7"/>
        <v>[1,10],[100091,1]</v>
      </c>
    </row>
    <row r="84" spans="1:35">
      <c r="A84" s="2">
        <v>69</v>
      </c>
      <c r="B84" s="2">
        <v>9</v>
      </c>
      <c r="C84" s="2">
        <v>100</v>
      </c>
      <c r="D84" s="2">
        <v>0</v>
      </c>
      <c r="E84" s="16" t="s">
        <v>1275</v>
      </c>
      <c r="F84" s="16" t="s">
        <v>1283</v>
      </c>
      <c r="G84" s="2">
        <v>6</v>
      </c>
    </row>
    <row r="85" spans="1:35">
      <c r="A85" s="2">
        <v>70</v>
      </c>
      <c r="B85" s="2">
        <v>10</v>
      </c>
      <c r="C85" s="2">
        <v>100</v>
      </c>
      <c r="D85" s="2">
        <v>1</v>
      </c>
      <c r="E85" s="16" t="s">
        <v>1280</v>
      </c>
      <c r="F85" s="16" t="s">
        <v>1307</v>
      </c>
      <c r="G85" s="2">
        <v>6</v>
      </c>
    </row>
    <row r="86" spans="1:35">
      <c r="A86" s="2">
        <v>71</v>
      </c>
      <c r="B86" s="2">
        <v>11</v>
      </c>
      <c r="C86" s="2">
        <v>100</v>
      </c>
      <c r="D86" s="2">
        <v>0</v>
      </c>
      <c r="E86" s="16" t="s">
        <v>1275</v>
      </c>
      <c r="F86" s="16" t="s">
        <v>1283</v>
      </c>
      <c r="G86" s="2">
        <v>6</v>
      </c>
    </row>
    <row r="87" spans="1:35">
      <c r="A87" s="2">
        <v>72</v>
      </c>
      <c r="B87" s="2">
        <v>12</v>
      </c>
      <c r="C87" s="2">
        <v>100</v>
      </c>
      <c r="D87" s="2">
        <v>0</v>
      </c>
      <c r="E87" s="16" t="s">
        <v>1278</v>
      </c>
      <c r="F87" s="16" t="s">
        <v>1291</v>
      </c>
      <c r="G87" s="2">
        <v>6</v>
      </c>
    </row>
    <row r="88" spans="1:35">
      <c r="A88" s="2">
        <v>73</v>
      </c>
      <c r="B88" s="2">
        <v>13</v>
      </c>
      <c r="C88" s="2">
        <v>100</v>
      </c>
      <c r="D88" s="2">
        <v>0</v>
      </c>
      <c r="E88" s="16" t="s">
        <v>1275</v>
      </c>
      <c r="F88" s="16" t="s">
        <v>1283</v>
      </c>
      <c r="G88" s="2">
        <v>6</v>
      </c>
    </row>
    <row r="89" spans="1:35">
      <c r="A89" s="2">
        <v>74</v>
      </c>
      <c r="B89" s="2">
        <v>14</v>
      </c>
      <c r="C89" s="2">
        <v>100</v>
      </c>
      <c r="D89" s="2">
        <v>0</v>
      </c>
      <c r="E89" s="16" t="s">
        <v>1275</v>
      </c>
      <c r="F89" s="16" t="s">
        <v>1283</v>
      </c>
      <c r="G89" s="2">
        <v>6</v>
      </c>
    </row>
    <row r="90" spans="1:35">
      <c r="A90" s="2">
        <v>75</v>
      </c>
      <c r="B90" s="2">
        <v>15</v>
      </c>
      <c r="C90" s="2">
        <v>100</v>
      </c>
      <c r="D90" s="2">
        <v>0</v>
      </c>
      <c r="E90" s="16" t="s">
        <v>1318</v>
      </c>
      <c r="F90" s="16" t="s">
        <v>1319</v>
      </c>
      <c r="G90" s="2">
        <v>6</v>
      </c>
    </row>
    <row r="91" spans="1:35">
      <c r="A91" s="2">
        <v>76</v>
      </c>
      <c r="B91" s="2">
        <v>16</v>
      </c>
      <c r="C91" s="2">
        <v>100</v>
      </c>
      <c r="D91" s="2">
        <v>0</v>
      </c>
      <c r="E91" s="16" t="s">
        <v>1275</v>
      </c>
      <c r="F91" s="16" t="s">
        <v>1283</v>
      </c>
      <c r="G91" s="2">
        <v>6</v>
      </c>
    </row>
    <row r="92" spans="1:35">
      <c r="A92" s="2">
        <v>77</v>
      </c>
      <c r="B92" s="2">
        <v>17</v>
      </c>
      <c r="C92" s="2">
        <v>100</v>
      </c>
      <c r="D92" s="2">
        <v>0</v>
      </c>
      <c r="E92" s="16" t="s">
        <v>1284</v>
      </c>
      <c r="F92" s="16" t="s">
        <v>1299</v>
      </c>
      <c r="G92" s="2">
        <v>6</v>
      </c>
    </row>
    <row r="93" spans="1:35">
      <c r="A93" s="2">
        <v>78</v>
      </c>
      <c r="B93" s="2">
        <v>18</v>
      </c>
      <c r="C93" s="2">
        <v>100</v>
      </c>
      <c r="D93" s="2">
        <v>0</v>
      </c>
      <c r="E93" s="16" t="s">
        <v>1275</v>
      </c>
      <c r="F93" s="16" t="s">
        <v>1283</v>
      </c>
      <c r="G93" s="2">
        <v>6</v>
      </c>
    </row>
    <row r="94" spans="1:35">
      <c r="A94" s="2">
        <v>79</v>
      </c>
      <c r="B94" s="2">
        <v>19</v>
      </c>
      <c r="C94" s="2">
        <v>100</v>
      </c>
      <c r="D94" s="2">
        <v>0</v>
      </c>
      <c r="E94" s="16" t="s">
        <v>1275</v>
      </c>
      <c r="F94" s="16" t="s">
        <v>1283</v>
      </c>
      <c r="G94" s="2">
        <v>6</v>
      </c>
    </row>
    <row r="95" spans="1:35">
      <c r="A95" s="2">
        <v>80</v>
      </c>
      <c r="B95" s="2">
        <v>20</v>
      </c>
      <c r="C95" s="2">
        <v>100</v>
      </c>
      <c r="D95" s="2">
        <v>1</v>
      </c>
      <c r="E95" s="16" t="s">
        <v>1280</v>
      </c>
      <c r="F95" s="16" t="s">
        <v>1320</v>
      </c>
      <c r="G95" s="2">
        <v>6</v>
      </c>
    </row>
    <row r="96" spans="1:35">
      <c r="A96" s="2">
        <v>81</v>
      </c>
      <c r="B96" s="2">
        <v>21</v>
      </c>
      <c r="C96" s="2">
        <v>100</v>
      </c>
      <c r="D96" s="2">
        <v>0</v>
      </c>
      <c r="E96" s="16" t="s">
        <v>1275</v>
      </c>
      <c r="F96" s="16" t="s">
        <v>1283</v>
      </c>
      <c r="G96" s="2">
        <v>6</v>
      </c>
    </row>
    <row r="97" spans="1:7">
      <c r="A97" s="2">
        <v>82</v>
      </c>
      <c r="B97" s="2">
        <v>22</v>
      </c>
      <c r="C97" s="2">
        <v>100</v>
      </c>
      <c r="D97" s="2">
        <v>0</v>
      </c>
      <c r="E97" s="16" t="s">
        <v>1284</v>
      </c>
      <c r="F97" s="16" t="s">
        <v>1291</v>
      </c>
      <c r="G97" s="2">
        <v>6</v>
      </c>
    </row>
    <row r="98" spans="1:7">
      <c r="A98" s="2">
        <v>83</v>
      </c>
      <c r="B98" s="2">
        <v>23</v>
      </c>
      <c r="C98" s="2">
        <v>100</v>
      </c>
      <c r="D98" s="2">
        <v>0</v>
      </c>
      <c r="E98" s="16" t="s">
        <v>1275</v>
      </c>
      <c r="F98" s="16" t="s">
        <v>1283</v>
      </c>
      <c r="G98" s="2">
        <v>6</v>
      </c>
    </row>
    <row r="99" spans="1:7">
      <c r="A99" s="2">
        <v>84</v>
      </c>
      <c r="B99" s="2">
        <v>24</v>
      </c>
      <c r="C99" s="2">
        <v>100</v>
      </c>
      <c r="D99" s="2">
        <v>0</v>
      </c>
      <c r="E99" s="16" t="s">
        <v>1275</v>
      </c>
      <c r="F99" s="16" t="s">
        <v>1283</v>
      </c>
      <c r="G99" s="2">
        <v>6</v>
      </c>
    </row>
    <row r="100" spans="1:7">
      <c r="A100" s="2">
        <v>85</v>
      </c>
      <c r="B100" s="2">
        <v>25</v>
      </c>
      <c r="C100" s="2">
        <v>100</v>
      </c>
      <c r="D100" s="2">
        <v>0</v>
      </c>
      <c r="E100" s="16" t="s">
        <v>1280</v>
      </c>
      <c r="F100" s="16" t="s">
        <v>1321</v>
      </c>
      <c r="G100" s="2">
        <v>6</v>
      </c>
    </row>
    <row r="101" spans="1:7">
      <c r="A101" s="2">
        <v>86</v>
      </c>
      <c r="B101" s="2">
        <v>26</v>
      </c>
      <c r="C101" s="2">
        <v>100</v>
      </c>
      <c r="D101" s="2">
        <v>0</v>
      </c>
      <c r="E101" s="16" t="s">
        <v>1275</v>
      </c>
      <c r="F101" s="16" t="s">
        <v>1283</v>
      </c>
      <c r="G101" s="2">
        <v>6</v>
      </c>
    </row>
    <row r="102" spans="1:7">
      <c r="A102" s="2">
        <v>87</v>
      </c>
      <c r="B102" s="2">
        <v>27</v>
      </c>
      <c r="C102" s="2">
        <v>100</v>
      </c>
      <c r="D102" s="2">
        <v>0</v>
      </c>
      <c r="E102" s="16" t="s">
        <v>1284</v>
      </c>
      <c r="F102" s="16" t="s">
        <v>1310</v>
      </c>
      <c r="G102" s="2">
        <v>6</v>
      </c>
    </row>
    <row r="103" spans="1:7">
      <c r="A103" s="2">
        <v>88</v>
      </c>
      <c r="B103" s="2">
        <v>28</v>
      </c>
      <c r="C103" s="2">
        <v>100</v>
      </c>
      <c r="D103" s="2">
        <v>0</v>
      </c>
      <c r="E103" s="16" t="s">
        <v>1275</v>
      </c>
      <c r="F103" s="16" t="s">
        <v>1283</v>
      </c>
      <c r="G103" s="2">
        <v>6</v>
      </c>
    </row>
    <row r="104" spans="1:7">
      <c r="A104" s="2">
        <v>89</v>
      </c>
      <c r="B104" s="2">
        <v>29</v>
      </c>
      <c r="C104" s="2">
        <v>100</v>
      </c>
      <c r="D104" s="2">
        <v>0</v>
      </c>
      <c r="E104" s="16" t="s">
        <v>1275</v>
      </c>
      <c r="F104" s="16" t="s">
        <v>1283</v>
      </c>
      <c r="G104" s="2">
        <v>6</v>
      </c>
    </row>
    <row r="105" spans="1:7">
      <c r="A105" s="2">
        <v>90</v>
      </c>
      <c r="B105" s="2">
        <v>30</v>
      </c>
      <c r="C105" s="2">
        <v>100</v>
      </c>
      <c r="D105" s="2">
        <v>1</v>
      </c>
      <c r="E105" s="16" t="s">
        <v>1300</v>
      </c>
      <c r="F105" s="16" t="s">
        <v>1322</v>
      </c>
      <c r="G105" s="2">
        <v>6</v>
      </c>
    </row>
    <row r="106" spans="1:7">
      <c r="A106" s="2">
        <v>91</v>
      </c>
      <c r="B106" s="2">
        <v>1</v>
      </c>
      <c r="C106" s="2">
        <v>100</v>
      </c>
      <c r="D106" s="2">
        <v>0</v>
      </c>
      <c r="E106" s="16" t="s">
        <v>1275</v>
      </c>
      <c r="F106" s="28" t="s">
        <v>1276</v>
      </c>
      <c r="G106" s="2">
        <v>7</v>
      </c>
    </row>
    <row r="107" spans="1:7">
      <c r="A107" s="2">
        <f>A106+1</f>
        <v>92</v>
      </c>
      <c r="B107" s="2">
        <v>2</v>
      </c>
      <c r="C107" s="2">
        <v>100</v>
      </c>
      <c r="D107" s="2">
        <v>0</v>
      </c>
      <c r="E107" s="16" t="s">
        <v>1278</v>
      </c>
      <c r="F107" s="28" t="s">
        <v>1279</v>
      </c>
      <c r="G107" s="2">
        <v>7</v>
      </c>
    </row>
    <row r="108" spans="1:7">
      <c r="A108" s="2">
        <f t="shared" ref="A108:A165" si="8">A107+1</f>
        <v>93</v>
      </c>
      <c r="B108" s="2">
        <v>3</v>
      </c>
      <c r="C108" s="2">
        <v>100</v>
      </c>
      <c r="D108" s="2">
        <v>0</v>
      </c>
      <c r="E108" s="16" t="s">
        <v>1280</v>
      </c>
      <c r="F108" s="28" t="s">
        <v>1323</v>
      </c>
      <c r="G108" s="2">
        <v>7</v>
      </c>
    </row>
    <row r="109" spans="1:7">
      <c r="A109" s="2">
        <f t="shared" si="8"/>
        <v>94</v>
      </c>
      <c r="B109" s="2">
        <v>4</v>
      </c>
      <c r="C109" s="2">
        <v>100</v>
      </c>
      <c r="D109" s="2">
        <v>0</v>
      </c>
      <c r="E109" s="16" t="s">
        <v>1275</v>
      </c>
      <c r="F109" s="28" t="s">
        <v>1283</v>
      </c>
      <c r="G109" s="2">
        <v>7</v>
      </c>
    </row>
    <row r="110" spans="1:7">
      <c r="A110" s="2">
        <f t="shared" si="8"/>
        <v>95</v>
      </c>
      <c r="B110" s="2">
        <v>5</v>
      </c>
      <c r="C110" s="2">
        <v>100</v>
      </c>
      <c r="D110" s="2">
        <v>0</v>
      </c>
      <c r="E110" s="16" t="s">
        <v>1284</v>
      </c>
      <c r="F110" s="28" t="s">
        <v>1324</v>
      </c>
      <c r="G110" s="2">
        <v>7</v>
      </c>
    </row>
    <row r="111" spans="1:7">
      <c r="A111" s="2">
        <f t="shared" si="8"/>
        <v>96</v>
      </c>
      <c r="B111" s="2">
        <v>6</v>
      </c>
      <c r="C111" s="2">
        <v>100</v>
      </c>
      <c r="D111" s="2">
        <v>0</v>
      </c>
      <c r="E111" s="16" t="s">
        <v>1275</v>
      </c>
      <c r="F111" s="28" t="s">
        <v>1283</v>
      </c>
      <c r="G111" s="2">
        <v>7</v>
      </c>
    </row>
    <row r="112" spans="1:7">
      <c r="A112" s="2">
        <f t="shared" si="8"/>
        <v>97</v>
      </c>
      <c r="B112" s="2">
        <v>7</v>
      </c>
      <c r="C112" s="2">
        <v>100</v>
      </c>
      <c r="D112" s="2">
        <v>0</v>
      </c>
      <c r="E112" s="16" t="s">
        <v>1278</v>
      </c>
      <c r="F112" s="28" t="s">
        <v>1287</v>
      </c>
      <c r="G112" s="2">
        <v>7</v>
      </c>
    </row>
    <row r="113" spans="1:7">
      <c r="A113" s="2">
        <f t="shared" si="8"/>
        <v>98</v>
      </c>
      <c r="B113" s="2">
        <v>8</v>
      </c>
      <c r="C113" s="2">
        <v>100</v>
      </c>
      <c r="D113" s="2">
        <v>0</v>
      </c>
      <c r="E113" s="16" t="s">
        <v>1275</v>
      </c>
      <c r="F113" s="28" t="s">
        <v>1283</v>
      </c>
      <c r="G113" s="2">
        <v>7</v>
      </c>
    </row>
    <row r="114" spans="1:7">
      <c r="A114" s="2">
        <f t="shared" si="8"/>
        <v>99</v>
      </c>
      <c r="B114" s="2">
        <v>9</v>
      </c>
      <c r="C114" s="2">
        <v>100</v>
      </c>
      <c r="D114" s="2">
        <v>0</v>
      </c>
      <c r="E114" s="16" t="s">
        <v>1275</v>
      </c>
      <c r="F114" s="28" t="s">
        <v>1283</v>
      </c>
      <c r="G114" s="2">
        <v>7</v>
      </c>
    </row>
    <row r="115" spans="1:7">
      <c r="A115" s="2">
        <f t="shared" si="8"/>
        <v>100</v>
      </c>
      <c r="B115" s="2">
        <v>10</v>
      </c>
      <c r="C115" s="2">
        <v>100</v>
      </c>
      <c r="D115" s="2">
        <v>1</v>
      </c>
      <c r="E115" s="16" t="s">
        <v>1280</v>
      </c>
      <c r="F115" s="28" t="s">
        <v>1325</v>
      </c>
      <c r="G115" s="2">
        <v>7</v>
      </c>
    </row>
    <row r="116" spans="1:7">
      <c r="A116" s="2">
        <f t="shared" si="8"/>
        <v>101</v>
      </c>
      <c r="B116" s="2">
        <v>11</v>
      </c>
      <c r="C116" s="2">
        <v>100</v>
      </c>
      <c r="D116" s="2">
        <v>0</v>
      </c>
      <c r="E116" s="16" t="s">
        <v>1275</v>
      </c>
      <c r="F116" s="28" t="s">
        <v>1283</v>
      </c>
      <c r="G116" s="2">
        <v>7</v>
      </c>
    </row>
    <row r="117" spans="1:7">
      <c r="A117" s="2">
        <f t="shared" si="8"/>
        <v>102</v>
      </c>
      <c r="B117" s="2">
        <v>12</v>
      </c>
      <c r="C117" s="2">
        <v>100</v>
      </c>
      <c r="D117" s="2">
        <v>0</v>
      </c>
      <c r="E117" s="16" t="s">
        <v>1278</v>
      </c>
      <c r="F117" s="28" t="s">
        <v>1291</v>
      </c>
      <c r="G117" s="2">
        <v>7</v>
      </c>
    </row>
    <row r="118" spans="1:7">
      <c r="A118" s="2">
        <f t="shared" si="8"/>
        <v>103</v>
      </c>
      <c r="B118" s="2">
        <v>13</v>
      </c>
      <c r="C118" s="2">
        <v>100</v>
      </c>
      <c r="D118" s="2">
        <v>0</v>
      </c>
      <c r="E118" s="16" t="s">
        <v>1275</v>
      </c>
      <c r="F118" s="28" t="s">
        <v>1283</v>
      </c>
      <c r="G118" s="2">
        <v>7</v>
      </c>
    </row>
    <row r="119" spans="1:7">
      <c r="A119" s="2">
        <f t="shared" si="8"/>
        <v>104</v>
      </c>
      <c r="B119" s="2">
        <v>14</v>
      </c>
      <c r="C119" s="2">
        <v>100</v>
      </c>
      <c r="D119" s="2">
        <v>0</v>
      </c>
      <c r="E119" s="16" t="s">
        <v>1275</v>
      </c>
      <c r="F119" s="28" t="s">
        <v>1283</v>
      </c>
      <c r="G119" s="2">
        <v>7</v>
      </c>
    </row>
    <row r="120" spans="1:7">
      <c r="A120" s="2">
        <f t="shared" si="8"/>
        <v>105</v>
      </c>
      <c r="B120" s="2">
        <v>15</v>
      </c>
      <c r="C120" s="2">
        <v>100</v>
      </c>
      <c r="D120" s="2">
        <v>0</v>
      </c>
      <c r="E120" s="16" t="s">
        <v>1326</v>
      </c>
      <c r="F120" s="28" t="s">
        <v>1327</v>
      </c>
      <c r="G120" s="2">
        <v>7</v>
      </c>
    </row>
    <row r="121" spans="1:7">
      <c r="A121" s="2">
        <f t="shared" si="8"/>
        <v>106</v>
      </c>
      <c r="B121" s="2">
        <v>16</v>
      </c>
      <c r="C121" s="2">
        <v>100</v>
      </c>
      <c r="D121" s="2">
        <v>0</v>
      </c>
      <c r="E121" s="16" t="s">
        <v>1275</v>
      </c>
      <c r="F121" s="28" t="s">
        <v>1283</v>
      </c>
      <c r="G121" s="2">
        <v>7</v>
      </c>
    </row>
    <row r="122" spans="1:7">
      <c r="A122" s="2">
        <f t="shared" si="8"/>
        <v>107</v>
      </c>
      <c r="B122" s="2">
        <v>17</v>
      </c>
      <c r="C122" s="2">
        <v>100</v>
      </c>
      <c r="D122" s="2">
        <v>0</v>
      </c>
      <c r="E122" s="16" t="s">
        <v>1284</v>
      </c>
      <c r="F122" s="28" t="s">
        <v>1314</v>
      </c>
      <c r="G122" s="2">
        <v>7</v>
      </c>
    </row>
    <row r="123" spans="1:7">
      <c r="A123" s="2">
        <f t="shared" si="8"/>
        <v>108</v>
      </c>
      <c r="B123" s="2">
        <v>18</v>
      </c>
      <c r="C123" s="2">
        <v>100</v>
      </c>
      <c r="D123" s="2">
        <v>0</v>
      </c>
      <c r="E123" s="16" t="s">
        <v>1275</v>
      </c>
      <c r="F123" s="28" t="s">
        <v>1283</v>
      </c>
      <c r="G123" s="2">
        <v>7</v>
      </c>
    </row>
    <row r="124" spans="1:7">
      <c r="A124" s="2">
        <f t="shared" si="8"/>
        <v>109</v>
      </c>
      <c r="B124" s="2">
        <v>19</v>
      </c>
      <c r="C124" s="2">
        <v>100</v>
      </c>
      <c r="D124" s="2">
        <v>0</v>
      </c>
      <c r="E124" s="16" t="s">
        <v>1275</v>
      </c>
      <c r="F124" s="28" t="s">
        <v>1283</v>
      </c>
      <c r="G124" s="2">
        <v>7</v>
      </c>
    </row>
    <row r="125" spans="1:7">
      <c r="A125" s="2">
        <f t="shared" si="8"/>
        <v>110</v>
      </c>
      <c r="B125" s="2">
        <v>20</v>
      </c>
      <c r="C125" s="2">
        <v>100</v>
      </c>
      <c r="D125" s="2">
        <v>1</v>
      </c>
      <c r="E125" s="16" t="s">
        <v>1280</v>
      </c>
      <c r="F125" s="28" t="s">
        <v>1328</v>
      </c>
      <c r="G125" s="2">
        <v>7</v>
      </c>
    </row>
    <row r="126" spans="1:7">
      <c r="A126" s="2">
        <f t="shared" si="8"/>
        <v>111</v>
      </c>
      <c r="B126" s="2">
        <v>21</v>
      </c>
      <c r="C126" s="2">
        <v>100</v>
      </c>
      <c r="D126" s="2">
        <v>0</v>
      </c>
      <c r="E126" s="16" t="s">
        <v>1275</v>
      </c>
      <c r="F126" s="28" t="s">
        <v>1283</v>
      </c>
      <c r="G126" s="2">
        <v>7</v>
      </c>
    </row>
    <row r="127" spans="1:7">
      <c r="A127" s="2">
        <f t="shared" si="8"/>
        <v>112</v>
      </c>
      <c r="B127" s="2">
        <v>22</v>
      </c>
      <c r="C127" s="2">
        <v>100</v>
      </c>
      <c r="D127" s="2">
        <v>0</v>
      </c>
      <c r="E127" s="16" t="s">
        <v>1284</v>
      </c>
      <c r="F127" s="28" t="s">
        <v>1291</v>
      </c>
      <c r="G127" s="2">
        <v>7</v>
      </c>
    </row>
    <row r="128" spans="1:7">
      <c r="A128" s="2">
        <f t="shared" si="8"/>
        <v>113</v>
      </c>
      <c r="B128" s="2">
        <v>23</v>
      </c>
      <c r="C128" s="2">
        <v>100</v>
      </c>
      <c r="D128" s="2">
        <v>0</v>
      </c>
      <c r="E128" s="16" t="s">
        <v>1275</v>
      </c>
      <c r="F128" s="28" t="s">
        <v>1283</v>
      </c>
      <c r="G128" s="2">
        <v>7</v>
      </c>
    </row>
    <row r="129" spans="1:7">
      <c r="A129" s="2">
        <f t="shared" si="8"/>
        <v>114</v>
      </c>
      <c r="B129" s="2">
        <v>24</v>
      </c>
      <c r="C129" s="2">
        <v>100</v>
      </c>
      <c r="D129" s="2">
        <v>0</v>
      </c>
      <c r="E129" s="16" t="s">
        <v>1275</v>
      </c>
      <c r="F129" s="28" t="s">
        <v>1283</v>
      </c>
      <c r="G129" s="2">
        <v>7</v>
      </c>
    </row>
    <row r="130" spans="1:7">
      <c r="A130" s="2">
        <f t="shared" si="8"/>
        <v>115</v>
      </c>
      <c r="B130" s="2">
        <v>25</v>
      </c>
      <c r="C130" s="2">
        <v>100</v>
      </c>
      <c r="D130" s="2">
        <v>0</v>
      </c>
      <c r="E130" s="16" t="s">
        <v>1280</v>
      </c>
      <c r="F130" s="28" t="s">
        <v>1329</v>
      </c>
      <c r="G130" s="2">
        <v>7</v>
      </c>
    </row>
    <row r="131" spans="1:7">
      <c r="A131" s="2">
        <f t="shared" si="8"/>
        <v>116</v>
      </c>
      <c r="B131" s="2">
        <v>26</v>
      </c>
      <c r="C131" s="2">
        <v>100</v>
      </c>
      <c r="D131" s="2">
        <v>0</v>
      </c>
      <c r="E131" s="16" t="s">
        <v>1275</v>
      </c>
      <c r="F131" s="28" t="s">
        <v>1283</v>
      </c>
      <c r="G131" s="2">
        <v>7</v>
      </c>
    </row>
    <row r="132" spans="1:7">
      <c r="A132" s="2">
        <f t="shared" si="8"/>
        <v>117</v>
      </c>
      <c r="B132" s="2">
        <v>27</v>
      </c>
      <c r="C132" s="2">
        <v>100</v>
      </c>
      <c r="D132" s="2">
        <v>0</v>
      </c>
      <c r="E132" s="16" t="s">
        <v>1284</v>
      </c>
      <c r="F132" s="28" t="s">
        <v>1330</v>
      </c>
      <c r="G132" s="2">
        <v>7</v>
      </c>
    </row>
    <row r="133" spans="1:7">
      <c r="A133" s="2">
        <f t="shared" si="8"/>
        <v>118</v>
      </c>
      <c r="B133" s="2">
        <v>28</v>
      </c>
      <c r="C133" s="2">
        <v>100</v>
      </c>
      <c r="D133" s="2">
        <v>0</v>
      </c>
      <c r="E133" s="16" t="s">
        <v>1275</v>
      </c>
      <c r="F133" s="28" t="s">
        <v>1283</v>
      </c>
      <c r="G133" s="2">
        <v>7</v>
      </c>
    </row>
    <row r="134" spans="1:7">
      <c r="A134" s="2">
        <f t="shared" si="8"/>
        <v>119</v>
      </c>
      <c r="B134" s="2">
        <v>29</v>
      </c>
      <c r="C134" s="2">
        <v>100</v>
      </c>
      <c r="D134" s="2">
        <v>0</v>
      </c>
      <c r="E134" s="16" t="s">
        <v>1275</v>
      </c>
      <c r="F134" s="28" t="s">
        <v>1283</v>
      </c>
      <c r="G134" s="2">
        <v>7</v>
      </c>
    </row>
    <row r="135" spans="1:7">
      <c r="A135" s="2">
        <f t="shared" si="8"/>
        <v>120</v>
      </c>
      <c r="B135" s="2">
        <v>30</v>
      </c>
      <c r="C135" s="2">
        <v>100</v>
      </c>
      <c r="D135" s="2">
        <v>1</v>
      </c>
      <c r="E135" s="16" t="s">
        <v>1300</v>
      </c>
      <c r="F135" s="28" t="s">
        <v>1331</v>
      </c>
      <c r="G135" s="2">
        <v>7</v>
      </c>
    </row>
    <row r="136" spans="1:7">
      <c r="A136" s="2">
        <f t="shared" si="8"/>
        <v>121</v>
      </c>
      <c r="B136" s="2">
        <v>1</v>
      </c>
      <c r="C136" s="2">
        <v>100</v>
      </c>
      <c r="D136" s="2">
        <v>0</v>
      </c>
      <c r="E136" s="28" t="s">
        <v>1275</v>
      </c>
      <c r="F136" s="28" t="s">
        <v>1303</v>
      </c>
      <c r="G136" s="2">
        <v>8</v>
      </c>
    </row>
    <row r="137" spans="1:7">
      <c r="A137" s="2">
        <f t="shared" si="8"/>
        <v>122</v>
      </c>
      <c r="B137" s="2">
        <v>2</v>
      </c>
      <c r="C137" s="2">
        <v>100</v>
      </c>
      <c r="D137" s="2">
        <v>0</v>
      </c>
      <c r="E137" s="28" t="s">
        <v>1278</v>
      </c>
      <c r="F137" s="28" t="s">
        <v>1279</v>
      </c>
      <c r="G137" s="2">
        <v>8</v>
      </c>
    </row>
    <row r="138" spans="1:7">
      <c r="A138" s="2">
        <f t="shared" si="8"/>
        <v>123</v>
      </c>
      <c r="B138" s="2">
        <v>3</v>
      </c>
      <c r="C138" s="2">
        <v>100</v>
      </c>
      <c r="D138" s="2">
        <v>0</v>
      </c>
      <c r="E138" s="28" t="s">
        <v>1280</v>
      </c>
      <c r="F138" s="28" t="s">
        <v>1281</v>
      </c>
      <c r="G138" s="2">
        <v>8</v>
      </c>
    </row>
    <row r="139" spans="1:7">
      <c r="A139" s="2">
        <f t="shared" si="8"/>
        <v>124</v>
      </c>
      <c r="B139" s="2">
        <v>4</v>
      </c>
      <c r="C139" s="2">
        <v>100</v>
      </c>
      <c r="D139" s="2">
        <v>0</v>
      </c>
      <c r="E139" s="28" t="s">
        <v>1275</v>
      </c>
      <c r="F139" s="28" t="s">
        <v>1283</v>
      </c>
      <c r="G139" s="2">
        <v>8</v>
      </c>
    </row>
    <row r="140" spans="1:7">
      <c r="A140" s="2">
        <f t="shared" si="8"/>
        <v>125</v>
      </c>
      <c r="B140" s="2">
        <v>5</v>
      </c>
      <c r="C140" s="2">
        <v>100</v>
      </c>
      <c r="D140" s="2">
        <v>0</v>
      </c>
      <c r="E140" s="28" t="s">
        <v>1284</v>
      </c>
      <c r="F140" s="28" t="s">
        <v>1332</v>
      </c>
      <c r="G140" s="2">
        <v>8</v>
      </c>
    </row>
    <row r="141" spans="1:7">
      <c r="A141" s="2">
        <f t="shared" si="8"/>
        <v>126</v>
      </c>
      <c r="B141" s="2">
        <v>6</v>
      </c>
      <c r="C141" s="2">
        <v>100</v>
      </c>
      <c r="D141" s="2">
        <v>0</v>
      </c>
      <c r="E141" s="28" t="s">
        <v>1275</v>
      </c>
      <c r="F141" s="28" t="s">
        <v>1283</v>
      </c>
      <c r="G141" s="2">
        <v>8</v>
      </c>
    </row>
    <row r="142" spans="1:7">
      <c r="A142" s="2">
        <f t="shared" si="8"/>
        <v>127</v>
      </c>
      <c r="B142" s="2">
        <v>7</v>
      </c>
      <c r="C142" s="2">
        <v>100</v>
      </c>
      <c r="D142" s="2">
        <v>0</v>
      </c>
      <c r="E142" s="28" t="s">
        <v>1278</v>
      </c>
      <c r="F142" s="28" t="s">
        <v>1287</v>
      </c>
      <c r="G142" s="2">
        <v>8</v>
      </c>
    </row>
    <row r="143" spans="1:7">
      <c r="A143" s="2">
        <f t="shared" si="8"/>
        <v>128</v>
      </c>
      <c r="B143" s="2">
        <v>8</v>
      </c>
      <c r="C143" s="2">
        <v>100</v>
      </c>
      <c r="D143" s="2">
        <v>0</v>
      </c>
      <c r="E143" s="28" t="s">
        <v>1275</v>
      </c>
      <c r="F143" s="28" t="s">
        <v>1283</v>
      </c>
      <c r="G143" s="2">
        <v>8</v>
      </c>
    </row>
    <row r="144" spans="1:7">
      <c r="A144" s="2">
        <f t="shared" si="8"/>
        <v>129</v>
      </c>
      <c r="B144" s="2">
        <v>9</v>
      </c>
      <c r="C144" s="2">
        <v>100</v>
      </c>
      <c r="D144" s="2">
        <v>0</v>
      </c>
      <c r="E144" s="28" t="s">
        <v>1275</v>
      </c>
      <c r="F144" s="28" t="s">
        <v>1283</v>
      </c>
      <c r="G144" s="2">
        <v>8</v>
      </c>
    </row>
    <row r="145" spans="1:7">
      <c r="A145" s="2">
        <f t="shared" si="8"/>
        <v>130</v>
      </c>
      <c r="B145" s="2">
        <v>10</v>
      </c>
      <c r="C145" s="2">
        <v>100</v>
      </c>
      <c r="D145" s="2">
        <v>1</v>
      </c>
      <c r="E145" s="28" t="s">
        <v>1280</v>
      </c>
      <c r="F145" s="28" t="s">
        <v>1333</v>
      </c>
      <c r="G145" s="2">
        <v>8</v>
      </c>
    </row>
    <row r="146" spans="1:7">
      <c r="A146" s="2">
        <f t="shared" si="8"/>
        <v>131</v>
      </c>
      <c r="B146" s="2">
        <v>11</v>
      </c>
      <c r="C146" s="2">
        <v>100</v>
      </c>
      <c r="D146" s="2">
        <v>0</v>
      </c>
      <c r="E146" s="28" t="s">
        <v>1275</v>
      </c>
      <c r="F146" s="28" t="s">
        <v>1283</v>
      </c>
      <c r="G146" s="2">
        <v>8</v>
      </c>
    </row>
    <row r="147" spans="1:7">
      <c r="A147" s="2">
        <f t="shared" si="8"/>
        <v>132</v>
      </c>
      <c r="B147" s="2">
        <v>12</v>
      </c>
      <c r="C147" s="2">
        <v>100</v>
      </c>
      <c r="D147" s="2">
        <v>0</v>
      </c>
      <c r="E147" s="28" t="s">
        <v>1278</v>
      </c>
      <c r="F147" s="28" t="s">
        <v>1291</v>
      </c>
      <c r="G147" s="2">
        <v>8</v>
      </c>
    </row>
    <row r="148" spans="1:7">
      <c r="A148" s="2">
        <f t="shared" si="8"/>
        <v>133</v>
      </c>
      <c r="B148" s="2">
        <v>13</v>
      </c>
      <c r="C148" s="2">
        <v>100</v>
      </c>
      <c r="D148" s="2">
        <v>0</v>
      </c>
      <c r="E148" s="28" t="s">
        <v>1275</v>
      </c>
      <c r="F148" s="28" t="s">
        <v>1283</v>
      </c>
      <c r="G148" s="2">
        <v>8</v>
      </c>
    </row>
    <row r="149" spans="1:7">
      <c r="A149" s="2">
        <f t="shared" si="8"/>
        <v>134</v>
      </c>
      <c r="B149" s="2">
        <v>14</v>
      </c>
      <c r="C149" s="2">
        <v>100</v>
      </c>
      <c r="D149" s="2">
        <v>0</v>
      </c>
      <c r="E149" s="28" t="s">
        <v>1275</v>
      </c>
      <c r="F149" s="28" t="s">
        <v>1283</v>
      </c>
      <c r="G149" s="2">
        <v>8</v>
      </c>
    </row>
    <row r="150" spans="1:7">
      <c r="A150" s="2">
        <f t="shared" si="8"/>
        <v>135</v>
      </c>
      <c r="B150" s="2">
        <v>15</v>
      </c>
      <c r="C150" s="2">
        <v>100</v>
      </c>
      <c r="D150" s="2">
        <v>0</v>
      </c>
      <c r="E150" s="28" t="s">
        <v>1334</v>
      </c>
      <c r="F150" s="28" t="s">
        <v>1327</v>
      </c>
      <c r="G150" s="2">
        <v>8</v>
      </c>
    </row>
    <row r="151" spans="1:7">
      <c r="A151" s="2">
        <f t="shared" si="8"/>
        <v>136</v>
      </c>
      <c r="B151" s="2">
        <v>16</v>
      </c>
      <c r="C151" s="2">
        <v>100</v>
      </c>
      <c r="D151" s="2">
        <v>0</v>
      </c>
      <c r="E151" s="28" t="s">
        <v>1275</v>
      </c>
      <c r="F151" s="28" t="s">
        <v>1283</v>
      </c>
      <c r="G151" s="2">
        <v>8</v>
      </c>
    </row>
    <row r="152" spans="1:7">
      <c r="A152" s="2">
        <f t="shared" si="8"/>
        <v>137</v>
      </c>
      <c r="B152" s="2">
        <v>17</v>
      </c>
      <c r="C152" s="2">
        <v>100</v>
      </c>
      <c r="D152" s="2">
        <v>0</v>
      </c>
      <c r="E152" s="28" t="s">
        <v>1284</v>
      </c>
      <c r="F152" s="28" t="s">
        <v>1294</v>
      </c>
      <c r="G152" s="2">
        <v>8</v>
      </c>
    </row>
    <row r="153" spans="1:7">
      <c r="A153" s="2">
        <f t="shared" si="8"/>
        <v>138</v>
      </c>
      <c r="B153" s="2">
        <v>18</v>
      </c>
      <c r="C153" s="2">
        <v>100</v>
      </c>
      <c r="D153" s="2">
        <v>0</v>
      </c>
      <c r="E153" s="28" t="s">
        <v>1275</v>
      </c>
      <c r="F153" s="28" t="s">
        <v>1283</v>
      </c>
      <c r="G153" s="2">
        <v>8</v>
      </c>
    </row>
    <row r="154" spans="1:7">
      <c r="A154" s="2">
        <f t="shared" si="8"/>
        <v>139</v>
      </c>
      <c r="B154" s="2">
        <v>19</v>
      </c>
      <c r="C154" s="2">
        <v>100</v>
      </c>
      <c r="D154" s="2">
        <v>0</v>
      </c>
      <c r="E154" s="28" t="s">
        <v>1275</v>
      </c>
      <c r="F154" s="28" t="s">
        <v>1283</v>
      </c>
      <c r="G154" s="2">
        <v>8</v>
      </c>
    </row>
    <row r="155" spans="1:7">
      <c r="A155" s="2">
        <f t="shared" si="8"/>
        <v>140</v>
      </c>
      <c r="B155" s="2">
        <v>20</v>
      </c>
      <c r="C155" s="2">
        <v>100</v>
      </c>
      <c r="D155" s="2">
        <v>1</v>
      </c>
      <c r="E155" s="28" t="s">
        <v>1280</v>
      </c>
      <c r="F155" s="28" t="s">
        <v>1311</v>
      </c>
      <c r="G155" s="2">
        <v>8</v>
      </c>
    </row>
    <row r="156" spans="1:7">
      <c r="A156" s="2">
        <f t="shared" si="8"/>
        <v>141</v>
      </c>
      <c r="B156" s="2">
        <v>21</v>
      </c>
      <c r="C156" s="2">
        <v>100</v>
      </c>
      <c r="D156" s="2">
        <v>0</v>
      </c>
      <c r="E156" s="28" t="s">
        <v>1275</v>
      </c>
      <c r="F156" s="28" t="s">
        <v>1283</v>
      </c>
      <c r="G156" s="2">
        <v>8</v>
      </c>
    </row>
    <row r="157" spans="1:7">
      <c r="A157" s="2">
        <f t="shared" si="8"/>
        <v>142</v>
      </c>
      <c r="B157" s="2">
        <v>22</v>
      </c>
      <c r="C157" s="2">
        <v>100</v>
      </c>
      <c r="D157" s="2">
        <v>0</v>
      </c>
      <c r="E157" s="28" t="s">
        <v>1284</v>
      </c>
      <c r="F157" s="28" t="s">
        <v>1291</v>
      </c>
      <c r="G157" s="2">
        <v>8</v>
      </c>
    </row>
    <row r="158" spans="1:7">
      <c r="A158" s="2">
        <f t="shared" si="8"/>
        <v>143</v>
      </c>
      <c r="B158" s="2">
        <v>23</v>
      </c>
      <c r="C158" s="2">
        <v>100</v>
      </c>
      <c r="D158" s="2">
        <v>0</v>
      </c>
      <c r="E158" s="28" t="s">
        <v>1275</v>
      </c>
      <c r="F158" s="28" t="s">
        <v>1283</v>
      </c>
      <c r="G158" s="2">
        <v>8</v>
      </c>
    </row>
    <row r="159" spans="1:7">
      <c r="A159" s="2">
        <f t="shared" si="8"/>
        <v>144</v>
      </c>
      <c r="B159" s="2">
        <v>24</v>
      </c>
      <c r="C159" s="2">
        <v>100</v>
      </c>
      <c r="D159" s="2">
        <v>0</v>
      </c>
      <c r="E159" s="28" t="s">
        <v>1275</v>
      </c>
      <c r="F159" s="28" t="s">
        <v>1283</v>
      </c>
      <c r="G159" s="2">
        <v>8</v>
      </c>
    </row>
    <row r="160" spans="1:7">
      <c r="A160" s="2">
        <f t="shared" si="8"/>
        <v>145</v>
      </c>
      <c r="B160" s="2">
        <v>25</v>
      </c>
      <c r="C160" s="2">
        <v>100</v>
      </c>
      <c r="D160" s="2">
        <v>0</v>
      </c>
      <c r="E160" s="28" t="s">
        <v>1280</v>
      </c>
      <c r="F160" s="28" t="s">
        <v>1335</v>
      </c>
      <c r="G160" s="2">
        <v>8</v>
      </c>
    </row>
    <row r="161" spans="1:7">
      <c r="A161" s="2">
        <f t="shared" si="8"/>
        <v>146</v>
      </c>
      <c r="B161" s="2">
        <v>26</v>
      </c>
      <c r="C161" s="2">
        <v>100</v>
      </c>
      <c r="D161" s="2">
        <v>0</v>
      </c>
      <c r="E161" s="28" t="s">
        <v>1275</v>
      </c>
      <c r="F161" s="28" t="s">
        <v>1283</v>
      </c>
      <c r="G161" s="2">
        <v>8</v>
      </c>
    </row>
    <row r="162" spans="1:7">
      <c r="A162" s="2">
        <f t="shared" si="8"/>
        <v>147</v>
      </c>
      <c r="B162" s="2">
        <v>27</v>
      </c>
      <c r="C162" s="2">
        <v>100</v>
      </c>
      <c r="D162" s="2">
        <v>0</v>
      </c>
      <c r="E162" s="28" t="s">
        <v>1284</v>
      </c>
      <c r="F162" s="28" t="s">
        <v>1336</v>
      </c>
      <c r="G162" s="2">
        <v>8</v>
      </c>
    </row>
    <row r="163" spans="1:7">
      <c r="A163" s="2">
        <f t="shared" si="8"/>
        <v>148</v>
      </c>
      <c r="B163" s="2">
        <v>28</v>
      </c>
      <c r="C163" s="2">
        <v>100</v>
      </c>
      <c r="D163" s="2">
        <v>0</v>
      </c>
      <c r="E163" s="28" t="s">
        <v>1275</v>
      </c>
      <c r="F163" s="28" t="s">
        <v>1283</v>
      </c>
      <c r="G163" s="2">
        <v>8</v>
      </c>
    </row>
    <row r="164" spans="1:7">
      <c r="A164" s="2">
        <f t="shared" si="8"/>
        <v>149</v>
      </c>
      <c r="B164" s="2">
        <v>29</v>
      </c>
      <c r="C164" s="2">
        <v>100</v>
      </c>
      <c r="D164" s="2">
        <v>0</v>
      </c>
      <c r="E164" s="28" t="s">
        <v>1275</v>
      </c>
      <c r="F164" s="28" t="s">
        <v>1283</v>
      </c>
      <c r="G164" s="2">
        <v>8</v>
      </c>
    </row>
    <row r="165" spans="1:7">
      <c r="A165" s="2">
        <f t="shared" si="8"/>
        <v>150</v>
      </c>
      <c r="B165" s="2">
        <v>30</v>
      </c>
      <c r="C165" s="2">
        <v>100</v>
      </c>
      <c r="D165" s="2">
        <v>1</v>
      </c>
      <c r="E165" s="28" t="s">
        <v>1300</v>
      </c>
      <c r="F165" s="28" t="s">
        <v>1337</v>
      </c>
      <c r="G165" s="2">
        <v>8</v>
      </c>
    </row>
    <row r="166" spans="1:7">
      <c r="A166" s="2">
        <v>151</v>
      </c>
      <c r="B166">
        <v>1</v>
      </c>
      <c r="C166">
        <v>100</v>
      </c>
      <c r="D166">
        <v>0</v>
      </c>
      <c r="E166" s="29" t="s">
        <v>1338</v>
      </c>
      <c r="F166" s="29" t="s">
        <v>1339</v>
      </c>
      <c r="G166">
        <v>9</v>
      </c>
    </row>
    <row r="167" spans="1:7">
      <c r="A167" s="2">
        <v>152</v>
      </c>
      <c r="B167">
        <v>2</v>
      </c>
      <c r="C167">
        <v>100</v>
      </c>
      <c r="D167">
        <v>0</v>
      </c>
      <c r="E167" s="29" t="s">
        <v>1338</v>
      </c>
      <c r="F167" s="29" t="s">
        <v>1340</v>
      </c>
      <c r="G167">
        <v>9</v>
      </c>
    </row>
    <row r="168" spans="1:7">
      <c r="A168" s="2">
        <v>153</v>
      </c>
      <c r="B168">
        <v>3</v>
      </c>
      <c r="C168">
        <v>100</v>
      </c>
      <c r="D168">
        <v>0</v>
      </c>
      <c r="E168" s="29" t="s">
        <v>1338</v>
      </c>
      <c r="F168" s="29" t="s">
        <v>1341</v>
      </c>
      <c r="G168">
        <v>9</v>
      </c>
    </row>
    <row r="169" spans="1:7">
      <c r="A169" s="2">
        <v>154</v>
      </c>
      <c r="B169">
        <v>4</v>
      </c>
      <c r="C169">
        <v>100</v>
      </c>
      <c r="D169">
        <v>0</v>
      </c>
      <c r="E169" s="29" t="s">
        <v>1342</v>
      </c>
      <c r="F169" s="29" t="s">
        <v>1339</v>
      </c>
      <c r="G169">
        <v>9</v>
      </c>
    </row>
    <row r="170" spans="1:7">
      <c r="A170" s="2">
        <v>155</v>
      </c>
      <c r="B170">
        <v>5</v>
      </c>
      <c r="C170">
        <v>100</v>
      </c>
      <c r="D170">
        <v>2</v>
      </c>
      <c r="E170" s="29" t="s">
        <v>1343</v>
      </c>
      <c r="F170" s="29" t="s">
        <v>1344</v>
      </c>
      <c r="G170">
        <v>9</v>
      </c>
    </row>
    <row r="171" spans="1:7">
      <c r="A171" s="2">
        <v>156</v>
      </c>
      <c r="B171">
        <v>6</v>
      </c>
      <c r="C171">
        <v>100</v>
      </c>
      <c r="D171">
        <v>0</v>
      </c>
      <c r="E171" s="29" t="s">
        <v>1338</v>
      </c>
      <c r="F171" s="29" t="s">
        <v>1345</v>
      </c>
      <c r="G171">
        <v>9</v>
      </c>
    </row>
    <row r="172" spans="1:7">
      <c r="A172" s="2">
        <v>157</v>
      </c>
      <c r="B172">
        <v>7</v>
      </c>
      <c r="C172">
        <v>100</v>
      </c>
      <c r="D172">
        <v>0</v>
      </c>
      <c r="E172" s="29" t="s">
        <v>1338</v>
      </c>
      <c r="F172" s="29" t="s">
        <v>1346</v>
      </c>
      <c r="G172">
        <v>9</v>
      </c>
    </row>
    <row r="173" spans="1:7">
      <c r="A173" s="2">
        <v>158</v>
      </c>
      <c r="B173">
        <v>8</v>
      </c>
      <c r="C173">
        <v>100</v>
      </c>
      <c r="D173">
        <v>0</v>
      </c>
      <c r="E173" s="29"/>
      <c r="F173" s="29" t="s">
        <v>1347</v>
      </c>
      <c r="G173">
        <v>9</v>
      </c>
    </row>
    <row r="174" spans="1:7">
      <c r="A174" s="2">
        <v>159</v>
      </c>
      <c r="B174">
        <v>9</v>
      </c>
      <c r="C174">
        <v>100</v>
      </c>
      <c r="D174">
        <v>0</v>
      </c>
      <c r="E174" s="29" t="s">
        <v>1338</v>
      </c>
      <c r="F174" s="29" t="s">
        <v>1348</v>
      </c>
      <c r="G174">
        <v>9</v>
      </c>
    </row>
    <row r="175" spans="1:7">
      <c r="A175" s="2">
        <v>160</v>
      </c>
      <c r="B175">
        <v>10</v>
      </c>
      <c r="C175">
        <v>100</v>
      </c>
      <c r="D175">
        <v>1</v>
      </c>
      <c r="E175" s="29" t="s">
        <v>1349</v>
      </c>
      <c r="F175" s="29" t="s">
        <v>1350</v>
      </c>
      <c r="G175">
        <v>9</v>
      </c>
    </row>
    <row r="176" spans="1:7">
      <c r="A176" s="2">
        <v>161</v>
      </c>
      <c r="B176">
        <v>11</v>
      </c>
      <c r="C176">
        <v>100</v>
      </c>
      <c r="D176">
        <v>0</v>
      </c>
      <c r="E176" s="29" t="s">
        <v>1338</v>
      </c>
      <c r="F176" s="29" t="s">
        <v>1345</v>
      </c>
      <c r="G176">
        <v>9</v>
      </c>
    </row>
    <row r="177" spans="1:7">
      <c r="A177" s="2">
        <v>162</v>
      </c>
      <c r="B177">
        <v>12</v>
      </c>
      <c r="C177">
        <v>100</v>
      </c>
      <c r="D177">
        <v>0</v>
      </c>
      <c r="E177" s="29" t="s">
        <v>1351</v>
      </c>
      <c r="F177" s="29" t="s">
        <v>1352</v>
      </c>
      <c r="G177">
        <v>9</v>
      </c>
    </row>
    <row r="178" spans="1:7">
      <c r="A178" s="2">
        <v>163</v>
      </c>
      <c r="B178">
        <v>13</v>
      </c>
      <c r="C178">
        <v>100</v>
      </c>
      <c r="D178">
        <v>0</v>
      </c>
      <c r="E178" s="29"/>
      <c r="F178" s="29" t="s">
        <v>1345</v>
      </c>
      <c r="G178">
        <v>9</v>
      </c>
    </row>
    <row r="179" spans="1:7">
      <c r="A179" s="2">
        <v>164</v>
      </c>
      <c r="B179">
        <v>14</v>
      </c>
      <c r="C179">
        <v>100</v>
      </c>
      <c r="D179">
        <v>0</v>
      </c>
      <c r="E179" s="29" t="s">
        <v>1338</v>
      </c>
      <c r="F179" s="29" t="s">
        <v>1348</v>
      </c>
      <c r="G179">
        <v>9</v>
      </c>
    </row>
    <row r="180" spans="1:7">
      <c r="A180" s="2">
        <v>165</v>
      </c>
      <c r="B180">
        <v>15</v>
      </c>
      <c r="C180">
        <v>100</v>
      </c>
      <c r="D180">
        <v>1</v>
      </c>
      <c r="E180" s="29" t="s">
        <v>1353</v>
      </c>
      <c r="F180" s="29" t="s">
        <v>1354</v>
      </c>
      <c r="G180">
        <v>9</v>
      </c>
    </row>
    <row r="181" spans="1:7">
      <c r="A181" s="2">
        <v>166</v>
      </c>
      <c r="B181">
        <v>16</v>
      </c>
      <c r="C181">
        <v>100</v>
      </c>
      <c r="D181">
        <v>0</v>
      </c>
      <c r="E181" s="29" t="s">
        <v>1355</v>
      </c>
      <c r="F181" s="29" t="s">
        <v>1345</v>
      </c>
      <c r="G181">
        <v>9</v>
      </c>
    </row>
    <row r="182" spans="1:7">
      <c r="A182" s="2">
        <v>167</v>
      </c>
      <c r="B182">
        <v>17</v>
      </c>
      <c r="C182">
        <v>100</v>
      </c>
      <c r="D182">
        <v>0</v>
      </c>
      <c r="E182" s="29" t="s">
        <v>1338</v>
      </c>
      <c r="F182" s="29" t="s">
        <v>1356</v>
      </c>
      <c r="G182">
        <v>9</v>
      </c>
    </row>
    <row r="183" spans="1:7">
      <c r="A183" s="2">
        <v>168</v>
      </c>
      <c r="B183">
        <v>18</v>
      </c>
      <c r="C183">
        <v>100</v>
      </c>
      <c r="D183">
        <v>0</v>
      </c>
      <c r="E183" s="29"/>
      <c r="F183" s="29" t="s">
        <v>1345</v>
      </c>
      <c r="G183">
        <v>9</v>
      </c>
    </row>
    <row r="184" spans="1:7">
      <c r="A184" s="2">
        <v>169</v>
      </c>
      <c r="B184">
        <v>19</v>
      </c>
      <c r="C184">
        <v>100</v>
      </c>
      <c r="D184">
        <v>0</v>
      </c>
      <c r="E184" s="29" t="s">
        <v>1338</v>
      </c>
      <c r="F184" s="29" t="s">
        <v>1357</v>
      </c>
      <c r="G184">
        <v>9</v>
      </c>
    </row>
    <row r="185" spans="1:7">
      <c r="A185" s="2">
        <v>170</v>
      </c>
      <c r="B185">
        <v>20</v>
      </c>
      <c r="C185">
        <v>100</v>
      </c>
      <c r="D185">
        <v>1</v>
      </c>
      <c r="E185" s="29" t="s">
        <v>1358</v>
      </c>
      <c r="F185" s="29" t="s">
        <v>1350</v>
      </c>
      <c r="G185">
        <v>9</v>
      </c>
    </row>
    <row r="186" spans="1:7">
      <c r="A186" s="2">
        <v>171</v>
      </c>
      <c r="B186">
        <v>21</v>
      </c>
      <c r="C186">
        <v>100</v>
      </c>
      <c r="D186">
        <v>0</v>
      </c>
      <c r="E186" s="29" t="s">
        <v>1355</v>
      </c>
      <c r="F186" s="29" t="s">
        <v>1359</v>
      </c>
      <c r="G186">
        <v>9</v>
      </c>
    </row>
    <row r="187" spans="1:7">
      <c r="A187" s="2">
        <v>172</v>
      </c>
      <c r="B187">
        <v>22</v>
      </c>
      <c r="C187">
        <v>100</v>
      </c>
      <c r="D187">
        <v>0</v>
      </c>
      <c r="E187" s="29"/>
      <c r="F187" s="29" t="s">
        <v>1348</v>
      </c>
      <c r="G187">
        <v>9</v>
      </c>
    </row>
    <row r="188" spans="1:7">
      <c r="A188" s="2">
        <v>173</v>
      </c>
      <c r="B188">
        <v>23</v>
      </c>
      <c r="C188">
        <v>100</v>
      </c>
      <c r="D188">
        <v>0</v>
      </c>
      <c r="E188" s="29" t="s">
        <v>1338</v>
      </c>
      <c r="F188" s="29" t="s">
        <v>1348</v>
      </c>
      <c r="G188">
        <v>9</v>
      </c>
    </row>
    <row r="189" spans="1:7">
      <c r="A189" s="2">
        <v>174</v>
      </c>
      <c r="B189">
        <v>24</v>
      </c>
      <c r="C189">
        <v>100</v>
      </c>
      <c r="D189">
        <v>0</v>
      </c>
      <c r="E189" s="29" t="s">
        <v>1360</v>
      </c>
      <c r="F189" s="29" t="s">
        <v>1345</v>
      </c>
      <c r="G189">
        <v>9</v>
      </c>
    </row>
    <row r="190" spans="1:7">
      <c r="A190" s="2">
        <v>175</v>
      </c>
      <c r="B190">
        <v>25</v>
      </c>
      <c r="C190">
        <v>100</v>
      </c>
      <c r="D190">
        <v>1</v>
      </c>
      <c r="E190" s="29" t="s">
        <v>1349</v>
      </c>
      <c r="F190" s="29" t="s">
        <v>1361</v>
      </c>
      <c r="G190">
        <v>9</v>
      </c>
    </row>
    <row r="191" spans="1:7">
      <c r="A191" s="2">
        <v>176</v>
      </c>
      <c r="B191">
        <v>26</v>
      </c>
      <c r="C191">
        <v>100</v>
      </c>
      <c r="D191">
        <v>0</v>
      </c>
      <c r="E191" s="29" t="s">
        <v>1338</v>
      </c>
      <c r="F191" s="29" t="s">
        <v>1345</v>
      </c>
      <c r="G191">
        <v>9</v>
      </c>
    </row>
    <row r="192" spans="1:7">
      <c r="A192" s="2">
        <v>177</v>
      </c>
      <c r="B192">
        <v>27</v>
      </c>
      <c r="C192">
        <v>100</v>
      </c>
      <c r="D192">
        <v>0</v>
      </c>
      <c r="E192" s="29" t="s">
        <v>1362</v>
      </c>
      <c r="F192" s="29" t="s">
        <v>1363</v>
      </c>
      <c r="G192">
        <v>9</v>
      </c>
    </row>
    <row r="193" spans="1:7">
      <c r="A193" s="2">
        <v>178</v>
      </c>
      <c r="B193">
        <v>28</v>
      </c>
      <c r="C193">
        <v>100</v>
      </c>
      <c r="D193">
        <v>0</v>
      </c>
      <c r="E193" s="29" t="s">
        <v>1342</v>
      </c>
      <c r="F193" s="29" t="s">
        <v>1348</v>
      </c>
      <c r="G193">
        <v>9</v>
      </c>
    </row>
    <row r="194" spans="1:7">
      <c r="A194" s="2">
        <v>179</v>
      </c>
      <c r="B194">
        <v>29</v>
      </c>
      <c r="C194">
        <v>100</v>
      </c>
      <c r="D194">
        <v>0</v>
      </c>
      <c r="E194" s="29"/>
      <c r="F194" s="29" t="s">
        <v>1348</v>
      </c>
      <c r="G194">
        <v>9</v>
      </c>
    </row>
    <row r="195" spans="1:7">
      <c r="A195" s="2">
        <v>180</v>
      </c>
      <c r="B195">
        <v>30</v>
      </c>
      <c r="C195">
        <v>100</v>
      </c>
      <c r="D195">
        <v>1</v>
      </c>
      <c r="E195" s="29" t="s">
        <v>1357</v>
      </c>
      <c r="F195" s="29" t="s">
        <v>1364</v>
      </c>
      <c r="G195">
        <v>9</v>
      </c>
    </row>
    <row r="196" spans="1:7">
      <c r="A196" s="2">
        <v>181</v>
      </c>
      <c r="B196">
        <v>31</v>
      </c>
      <c r="C196">
        <v>100</v>
      </c>
      <c r="D196">
        <v>0</v>
      </c>
      <c r="E196" s="29"/>
      <c r="F196" s="29" t="s">
        <v>1345</v>
      </c>
      <c r="G196">
        <v>9</v>
      </c>
    </row>
    <row r="197" spans="1:7">
      <c r="A197" s="2">
        <v>182</v>
      </c>
      <c r="B197">
        <v>32</v>
      </c>
      <c r="C197">
        <v>100</v>
      </c>
      <c r="D197">
        <v>0</v>
      </c>
      <c r="E197" s="29"/>
      <c r="F197" s="29" t="s">
        <v>1348</v>
      </c>
      <c r="G197">
        <v>9</v>
      </c>
    </row>
    <row r="198" spans="1:7">
      <c r="A198" s="2">
        <v>183</v>
      </c>
      <c r="B198">
        <v>33</v>
      </c>
      <c r="C198">
        <v>100</v>
      </c>
      <c r="D198">
        <v>0</v>
      </c>
      <c r="E198" s="29"/>
      <c r="F198" s="29" t="s">
        <v>1345</v>
      </c>
      <c r="G198">
        <v>9</v>
      </c>
    </row>
    <row r="199" spans="1:7">
      <c r="A199" s="2">
        <v>184</v>
      </c>
      <c r="B199">
        <v>34</v>
      </c>
      <c r="C199">
        <v>100</v>
      </c>
      <c r="D199">
        <v>0</v>
      </c>
      <c r="E199" s="29"/>
      <c r="F199" s="29" t="s">
        <v>1345</v>
      </c>
      <c r="G199">
        <v>9</v>
      </c>
    </row>
    <row r="200" spans="1:7">
      <c r="A200" s="2">
        <v>185</v>
      </c>
      <c r="B200">
        <v>35</v>
      </c>
      <c r="C200">
        <v>100</v>
      </c>
      <c r="D200">
        <v>2</v>
      </c>
      <c r="E200" s="29"/>
      <c r="F200" s="29" t="s">
        <v>1365</v>
      </c>
      <c r="G200">
        <v>9</v>
      </c>
    </row>
    <row r="201" spans="1:7">
      <c r="A201" s="2">
        <v>186</v>
      </c>
      <c r="B201">
        <v>36</v>
      </c>
      <c r="C201">
        <v>100</v>
      </c>
      <c r="D201">
        <v>0</v>
      </c>
      <c r="E201" s="29"/>
      <c r="F201" s="29" t="s">
        <v>1345</v>
      </c>
      <c r="G201">
        <v>9</v>
      </c>
    </row>
    <row r="202" spans="1:7">
      <c r="A202" s="2">
        <v>187</v>
      </c>
      <c r="B202">
        <v>37</v>
      </c>
      <c r="C202">
        <v>100</v>
      </c>
      <c r="D202">
        <v>0</v>
      </c>
      <c r="E202" s="29"/>
      <c r="F202" s="29" t="s">
        <v>1345</v>
      </c>
      <c r="G202">
        <v>9</v>
      </c>
    </row>
    <row r="203" spans="1:7">
      <c r="A203" s="2">
        <v>188</v>
      </c>
      <c r="B203">
        <v>38</v>
      </c>
      <c r="C203">
        <v>100</v>
      </c>
      <c r="D203">
        <v>0</v>
      </c>
      <c r="E203" s="29"/>
      <c r="F203" s="29" t="s">
        <v>1352</v>
      </c>
      <c r="G203">
        <v>9</v>
      </c>
    </row>
    <row r="204" spans="1:7">
      <c r="A204" s="2">
        <v>189</v>
      </c>
      <c r="B204">
        <v>39</v>
      </c>
      <c r="C204">
        <v>100</v>
      </c>
      <c r="D204">
        <v>0</v>
      </c>
      <c r="E204" s="29"/>
      <c r="F204" s="29" t="s">
        <v>1345</v>
      </c>
      <c r="G204">
        <v>9</v>
      </c>
    </row>
    <row r="205" spans="1:7">
      <c r="A205" s="2">
        <v>190</v>
      </c>
      <c r="B205">
        <v>40</v>
      </c>
      <c r="C205">
        <v>100</v>
      </c>
      <c r="D205">
        <v>1</v>
      </c>
      <c r="E205" s="29"/>
      <c r="F205" s="29" t="s">
        <v>1364</v>
      </c>
      <c r="G205">
        <v>9</v>
      </c>
    </row>
    <row r="206" spans="1:7">
      <c r="A206" s="2">
        <v>191</v>
      </c>
      <c r="B206">
        <v>41</v>
      </c>
      <c r="C206">
        <v>100</v>
      </c>
      <c r="D206">
        <v>0</v>
      </c>
      <c r="E206" s="29"/>
      <c r="F206" s="29" t="s">
        <v>1366</v>
      </c>
      <c r="G206">
        <v>9</v>
      </c>
    </row>
    <row r="207" spans="1:7">
      <c r="A207" s="2">
        <v>192</v>
      </c>
      <c r="B207">
        <v>42</v>
      </c>
      <c r="C207">
        <v>100</v>
      </c>
      <c r="D207">
        <v>1</v>
      </c>
      <c r="E207" s="29"/>
      <c r="F207" s="29" t="s">
        <v>1367</v>
      </c>
      <c r="G207">
        <v>9</v>
      </c>
    </row>
    <row r="208" spans="1:7">
      <c r="A208" s="2">
        <v>193</v>
      </c>
      <c r="B208">
        <v>1</v>
      </c>
      <c r="C208">
        <v>100</v>
      </c>
      <c r="D208">
        <v>0</v>
      </c>
      <c r="E208" s="29" t="s">
        <v>1338</v>
      </c>
      <c r="F208" s="29" t="s">
        <v>1339</v>
      </c>
      <c r="G208">
        <v>10</v>
      </c>
    </row>
    <row r="209" spans="1:7">
      <c r="A209" s="2">
        <v>194</v>
      </c>
      <c r="B209">
        <v>2</v>
      </c>
      <c r="C209">
        <v>100</v>
      </c>
      <c r="D209">
        <v>0</v>
      </c>
      <c r="E209" s="29" t="s">
        <v>1338</v>
      </c>
      <c r="F209" s="29" t="s">
        <v>1340</v>
      </c>
      <c r="G209">
        <v>10</v>
      </c>
    </row>
    <row r="210" spans="1:7">
      <c r="A210" s="2">
        <v>195</v>
      </c>
      <c r="B210">
        <v>3</v>
      </c>
      <c r="C210">
        <v>100</v>
      </c>
      <c r="D210">
        <v>0</v>
      </c>
      <c r="E210" s="29" t="s">
        <v>1338</v>
      </c>
      <c r="F210" s="29" t="s">
        <v>1368</v>
      </c>
      <c r="G210">
        <v>10</v>
      </c>
    </row>
    <row r="211" spans="1:7">
      <c r="A211" s="2">
        <v>196</v>
      </c>
      <c r="B211">
        <v>4</v>
      </c>
      <c r="C211">
        <v>100</v>
      </c>
      <c r="D211">
        <v>0</v>
      </c>
      <c r="E211" s="29" t="s">
        <v>1342</v>
      </c>
      <c r="F211" s="29" t="s">
        <v>1339</v>
      </c>
      <c r="G211">
        <v>10</v>
      </c>
    </row>
    <row r="212" spans="1:7">
      <c r="A212" s="2">
        <v>197</v>
      </c>
      <c r="B212">
        <v>5</v>
      </c>
      <c r="C212">
        <v>100</v>
      </c>
      <c r="D212">
        <v>2</v>
      </c>
      <c r="E212" s="29" t="s">
        <v>1343</v>
      </c>
      <c r="F212" s="29" t="s">
        <v>1369</v>
      </c>
      <c r="G212">
        <v>10</v>
      </c>
    </row>
    <row r="213" spans="1:7">
      <c r="A213" s="2">
        <v>198</v>
      </c>
      <c r="B213">
        <v>6</v>
      </c>
      <c r="C213">
        <v>100</v>
      </c>
      <c r="D213">
        <v>0</v>
      </c>
      <c r="E213" s="29" t="s">
        <v>1338</v>
      </c>
      <c r="F213" s="29" t="s">
        <v>1345</v>
      </c>
      <c r="G213">
        <v>10</v>
      </c>
    </row>
    <row r="214" spans="1:7">
      <c r="A214" s="2">
        <v>199</v>
      </c>
      <c r="B214">
        <v>7</v>
      </c>
      <c r="C214">
        <v>100</v>
      </c>
      <c r="D214">
        <v>0</v>
      </c>
      <c r="E214" s="29" t="s">
        <v>1338</v>
      </c>
      <c r="F214" s="29" t="s">
        <v>1346</v>
      </c>
      <c r="G214">
        <v>10</v>
      </c>
    </row>
    <row r="215" spans="1:7">
      <c r="A215" s="2">
        <v>200</v>
      </c>
      <c r="B215">
        <v>8</v>
      </c>
      <c r="C215">
        <v>100</v>
      </c>
      <c r="D215">
        <v>0</v>
      </c>
      <c r="E215" s="29"/>
      <c r="F215" s="29" t="s">
        <v>1347</v>
      </c>
      <c r="G215">
        <v>10</v>
      </c>
    </row>
    <row r="216" spans="1:7">
      <c r="A216" s="2">
        <v>201</v>
      </c>
      <c r="B216">
        <v>9</v>
      </c>
      <c r="C216">
        <v>100</v>
      </c>
      <c r="D216">
        <v>0</v>
      </c>
      <c r="E216" s="29" t="s">
        <v>1338</v>
      </c>
      <c r="F216" s="29" t="s">
        <v>1348</v>
      </c>
      <c r="G216">
        <v>10</v>
      </c>
    </row>
    <row r="217" spans="1:7">
      <c r="A217" s="2">
        <v>202</v>
      </c>
      <c r="B217">
        <v>10</v>
      </c>
      <c r="C217">
        <v>100</v>
      </c>
      <c r="D217">
        <v>1</v>
      </c>
      <c r="E217" s="29" t="s">
        <v>1349</v>
      </c>
      <c r="F217" s="29" t="s">
        <v>1350</v>
      </c>
      <c r="G217">
        <v>10</v>
      </c>
    </row>
    <row r="218" spans="1:7">
      <c r="A218" s="2">
        <v>203</v>
      </c>
      <c r="B218">
        <v>11</v>
      </c>
      <c r="C218">
        <v>100</v>
      </c>
      <c r="D218">
        <v>0</v>
      </c>
      <c r="E218" s="29" t="s">
        <v>1338</v>
      </c>
      <c r="F218" s="29" t="s">
        <v>1345</v>
      </c>
      <c r="G218">
        <v>10</v>
      </c>
    </row>
    <row r="219" spans="1:7">
      <c r="A219" s="2">
        <v>204</v>
      </c>
      <c r="B219">
        <v>12</v>
      </c>
      <c r="C219">
        <v>100</v>
      </c>
      <c r="D219">
        <v>0</v>
      </c>
      <c r="E219" s="29" t="s">
        <v>1351</v>
      </c>
      <c r="F219" s="29" t="s">
        <v>1352</v>
      </c>
      <c r="G219">
        <v>10</v>
      </c>
    </row>
    <row r="220" spans="1:7">
      <c r="A220" s="2">
        <v>205</v>
      </c>
      <c r="B220">
        <v>13</v>
      </c>
      <c r="C220">
        <v>100</v>
      </c>
      <c r="D220">
        <v>0</v>
      </c>
      <c r="E220" s="29"/>
      <c r="F220" s="29" t="s">
        <v>1345</v>
      </c>
      <c r="G220">
        <v>10</v>
      </c>
    </row>
    <row r="221" spans="1:7">
      <c r="A221" s="2">
        <v>206</v>
      </c>
      <c r="B221">
        <v>14</v>
      </c>
      <c r="C221">
        <v>100</v>
      </c>
      <c r="D221">
        <v>0</v>
      </c>
      <c r="E221" s="29" t="s">
        <v>1338</v>
      </c>
      <c r="F221" s="29" t="s">
        <v>1348</v>
      </c>
      <c r="G221">
        <v>10</v>
      </c>
    </row>
    <row r="222" spans="1:7">
      <c r="A222" s="2">
        <v>207</v>
      </c>
      <c r="B222">
        <v>15</v>
      </c>
      <c r="C222">
        <v>100</v>
      </c>
      <c r="D222">
        <v>1</v>
      </c>
      <c r="E222" s="29" t="s">
        <v>1370</v>
      </c>
      <c r="F222" s="29" t="s">
        <v>1371</v>
      </c>
      <c r="G222">
        <v>10</v>
      </c>
    </row>
    <row r="223" spans="1:7">
      <c r="A223" s="2">
        <v>208</v>
      </c>
      <c r="B223">
        <v>16</v>
      </c>
      <c r="C223">
        <v>100</v>
      </c>
      <c r="D223">
        <v>0</v>
      </c>
      <c r="E223" s="29" t="s">
        <v>1355</v>
      </c>
      <c r="F223" s="29" t="s">
        <v>1345</v>
      </c>
      <c r="G223">
        <v>10</v>
      </c>
    </row>
    <row r="224" spans="1:7">
      <c r="A224" s="2">
        <v>209</v>
      </c>
      <c r="B224">
        <v>17</v>
      </c>
      <c r="C224">
        <v>100</v>
      </c>
      <c r="D224">
        <v>0</v>
      </c>
      <c r="E224" s="29" t="s">
        <v>1338</v>
      </c>
      <c r="F224" s="29" t="s">
        <v>1356</v>
      </c>
      <c r="G224">
        <v>10</v>
      </c>
    </row>
    <row r="225" spans="1:25">
      <c r="A225" s="2">
        <v>210</v>
      </c>
      <c r="B225">
        <v>18</v>
      </c>
      <c r="C225">
        <v>100</v>
      </c>
      <c r="D225">
        <v>0</v>
      </c>
      <c r="E225" s="29"/>
      <c r="F225" s="29" t="s">
        <v>1345</v>
      </c>
      <c r="G225">
        <v>10</v>
      </c>
    </row>
    <row r="226" spans="1:25">
      <c r="A226" s="2">
        <v>211</v>
      </c>
      <c r="B226">
        <v>19</v>
      </c>
      <c r="C226">
        <v>100</v>
      </c>
      <c r="D226">
        <v>0</v>
      </c>
      <c r="E226" s="29" t="s">
        <v>1338</v>
      </c>
      <c r="F226" s="29" t="s">
        <v>1372</v>
      </c>
      <c r="G226">
        <v>10</v>
      </c>
    </row>
    <row r="227" spans="1:25">
      <c r="A227" s="2">
        <v>212</v>
      </c>
      <c r="B227">
        <v>20</v>
      </c>
      <c r="C227">
        <v>100</v>
      </c>
      <c r="D227">
        <v>1</v>
      </c>
      <c r="E227" s="29" t="s">
        <v>1358</v>
      </c>
      <c r="F227" s="29" t="s">
        <v>1350</v>
      </c>
      <c r="G227">
        <v>10</v>
      </c>
    </row>
    <row r="228" spans="1:25">
      <c r="A228" s="2">
        <v>213</v>
      </c>
      <c r="B228">
        <v>21</v>
      </c>
      <c r="C228">
        <v>100</v>
      </c>
      <c r="D228">
        <v>0</v>
      </c>
      <c r="E228" s="29" t="s">
        <v>1355</v>
      </c>
      <c r="F228" s="29" t="s">
        <v>1359</v>
      </c>
      <c r="G228">
        <v>10</v>
      </c>
    </row>
    <row r="229" spans="1:25">
      <c r="A229" s="2">
        <v>214</v>
      </c>
      <c r="B229">
        <v>22</v>
      </c>
      <c r="C229">
        <v>100</v>
      </c>
      <c r="D229">
        <v>0</v>
      </c>
      <c r="E229" s="29"/>
      <c r="F229" s="29" t="s">
        <v>1348</v>
      </c>
      <c r="G229">
        <v>10</v>
      </c>
    </row>
    <row r="230" spans="1:25">
      <c r="A230" s="2">
        <v>215</v>
      </c>
      <c r="B230">
        <v>23</v>
      </c>
      <c r="C230">
        <v>100</v>
      </c>
      <c r="D230">
        <v>0</v>
      </c>
      <c r="E230" s="29" t="s">
        <v>1338</v>
      </c>
      <c r="F230" s="29" t="s">
        <v>1348</v>
      </c>
      <c r="G230">
        <v>10</v>
      </c>
    </row>
    <row r="231" spans="1:25">
      <c r="A231" s="2">
        <v>216</v>
      </c>
      <c r="B231">
        <v>24</v>
      </c>
      <c r="C231">
        <v>100</v>
      </c>
      <c r="D231">
        <v>0</v>
      </c>
      <c r="E231" s="29" t="s">
        <v>1360</v>
      </c>
      <c r="F231" s="29" t="s">
        <v>1345</v>
      </c>
      <c r="G231">
        <v>10</v>
      </c>
    </row>
    <row r="232" spans="1:25">
      <c r="A232" s="2">
        <v>217</v>
      </c>
      <c r="B232">
        <v>25</v>
      </c>
      <c r="C232">
        <v>100</v>
      </c>
      <c r="D232">
        <v>1</v>
      </c>
      <c r="E232" s="29" t="s">
        <v>1349</v>
      </c>
      <c r="F232" s="29" t="s">
        <v>1373</v>
      </c>
      <c r="G232">
        <v>10</v>
      </c>
    </row>
    <row r="233" spans="1:25">
      <c r="A233" s="2">
        <v>218</v>
      </c>
      <c r="B233">
        <v>26</v>
      </c>
      <c r="C233">
        <v>100</v>
      </c>
      <c r="D233">
        <v>0</v>
      </c>
      <c r="E233" s="29" t="s">
        <v>1338</v>
      </c>
      <c r="F233" s="29" t="s">
        <v>1345</v>
      </c>
      <c r="G233">
        <v>10</v>
      </c>
    </row>
    <row r="234" spans="1:25">
      <c r="A234" s="2">
        <v>219</v>
      </c>
      <c r="B234">
        <v>27</v>
      </c>
      <c r="C234">
        <v>100</v>
      </c>
      <c r="D234">
        <v>0</v>
      </c>
      <c r="E234" s="29" t="s">
        <v>1362</v>
      </c>
      <c r="F234" s="29" t="s">
        <v>1363</v>
      </c>
      <c r="G234">
        <v>10</v>
      </c>
    </row>
    <row r="235" spans="1:25">
      <c r="A235" s="2">
        <v>220</v>
      </c>
      <c r="B235">
        <v>28</v>
      </c>
      <c r="C235">
        <v>100</v>
      </c>
      <c r="D235">
        <v>0</v>
      </c>
      <c r="E235" s="29" t="s">
        <v>1342</v>
      </c>
      <c r="F235" s="29" t="s">
        <v>1348</v>
      </c>
      <c r="G235">
        <v>10</v>
      </c>
    </row>
    <row r="236" spans="1:25">
      <c r="A236" s="2">
        <v>221</v>
      </c>
      <c r="B236">
        <v>29</v>
      </c>
      <c r="C236">
        <v>100</v>
      </c>
      <c r="D236">
        <v>0</v>
      </c>
      <c r="E236" s="29"/>
      <c r="F236" s="29" t="s">
        <v>1348</v>
      </c>
      <c r="G236">
        <v>10</v>
      </c>
    </row>
    <row r="237" spans="1:25">
      <c r="A237" s="2">
        <v>222</v>
      </c>
      <c r="B237">
        <v>30</v>
      </c>
      <c r="C237">
        <v>100</v>
      </c>
      <c r="D237">
        <v>1</v>
      </c>
      <c r="E237" s="29" t="s">
        <v>1372</v>
      </c>
      <c r="F237" s="29" t="s">
        <v>1364</v>
      </c>
      <c r="G237">
        <v>10</v>
      </c>
    </row>
    <row r="238" spans="1:25">
      <c r="A238" s="2">
        <v>223</v>
      </c>
      <c r="B238">
        <v>31</v>
      </c>
      <c r="C238">
        <v>100</v>
      </c>
      <c r="D238">
        <v>0</v>
      </c>
      <c r="E238" s="29"/>
      <c r="F238" s="29" t="s">
        <v>1345</v>
      </c>
      <c r="G238">
        <v>10</v>
      </c>
    </row>
    <row r="239" spans="1:25">
      <c r="A239" s="2">
        <v>224</v>
      </c>
      <c r="B239">
        <v>32</v>
      </c>
      <c r="C239">
        <v>100</v>
      </c>
      <c r="D239">
        <v>0</v>
      </c>
      <c r="E239" s="29"/>
      <c r="F239" s="29" t="s">
        <v>1348</v>
      </c>
      <c r="G239">
        <v>10</v>
      </c>
    </row>
    <row r="240" spans="1:25" ht="15.6">
      <c r="A240" s="2">
        <v>225</v>
      </c>
      <c r="B240">
        <v>33</v>
      </c>
      <c r="C240">
        <v>100</v>
      </c>
      <c r="D240">
        <v>0</v>
      </c>
      <c r="E240" s="29"/>
      <c r="F240" s="29" t="s">
        <v>1345</v>
      </c>
      <c r="G240">
        <v>10</v>
      </c>
      <c r="I240" s="30"/>
      <c r="J240" s="31"/>
      <c r="L240" s="31"/>
      <c r="N240" s="32"/>
      <c r="O240" s="32"/>
      <c r="P240" s="32"/>
      <c r="Q240" s="32"/>
      <c r="R240" s="32"/>
      <c r="S240" s="32"/>
      <c r="T240" s="32"/>
      <c r="U240" s="33"/>
      <c r="V240" s="32"/>
      <c r="W240" s="32"/>
      <c r="X240" s="34"/>
      <c r="Y240" s="35"/>
    </row>
    <row r="241" spans="1:11">
      <c r="A241" s="2">
        <v>226</v>
      </c>
      <c r="B241">
        <v>34</v>
      </c>
      <c r="C241">
        <v>100</v>
      </c>
      <c r="D241">
        <v>0</v>
      </c>
      <c r="E241" s="29"/>
      <c r="F241" s="29" t="s">
        <v>1345</v>
      </c>
      <c r="G241">
        <v>10</v>
      </c>
    </row>
    <row r="242" spans="1:11">
      <c r="A242" s="2">
        <v>227</v>
      </c>
      <c r="B242">
        <v>35</v>
      </c>
      <c r="C242">
        <v>100</v>
      </c>
      <c r="D242">
        <v>2</v>
      </c>
      <c r="E242" s="29"/>
      <c r="F242" s="29" t="s">
        <v>1374</v>
      </c>
      <c r="G242">
        <v>10</v>
      </c>
    </row>
    <row r="243" spans="1:11">
      <c r="A243" s="2">
        <v>228</v>
      </c>
      <c r="B243">
        <v>36</v>
      </c>
      <c r="C243">
        <v>100</v>
      </c>
      <c r="D243">
        <v>0</v>
      </c>
      <c r="E243" s="29"/>
      <c r="F243" s="29" t="s">
        <v>1345</v>
      </c>
      <c r="G243">
        <v>10</v>
      </c>
    </row>
    <row r="244" spans="1:11">
      <c r="A244" s="2">
        <v>229</v>
      </c>
      <c r="B244">
        <v>37</v>
      </c>
      <c r="C244">
        <v>100</v>
      </c>
      <c r="D244">
        <v>0</v>
      </c>
      <c r="E244" s="29"/>
      <c r="F244" s="29" t="s">
        <v>1345</v>
      </c>
      <c r="G244">
        <v>10</v>
      </c>
    </row>
    <row r="245" spans="1:11">
      <c r="A245" s="2">
        <v>230</v>
      </c>
      <c r="B245">
        <v>38</v>
      </c>
      <c r="C245">
        <v>100</v>
      </c>
      <c r="D245">
        <v>0</v>
      </c>
      <c r="E245" s="29"/>
      <c r="F245" s="29" t="s">
        <v>1352</v>
      </c>
      <c r="G245">
        <v>10</v>
      </c>
      <c r="I245" t="s">
        <v>1375</v>
      </c>
      <c r="J245">
        <v>400403</v>
      </c>
      <c r="K245">
        <v>400405</v>
      </c>
    </row>
    <row r="246" spans="1:11">
      <c r="A246" s="2">
        <v>231</v>
      </c>
      <c r="B246">
        <v>39</v>
      </c>
      <c r="C246">
        <v>100</v>
      </c>
      <c r="D246">
        <v>0</v>
      </c>
      <c r="E246" s="29"/>
      <c r="F246" s="29" t="s">
        <v>1345</v>
      </c>
      <c r="G246">
        <v>10</v>
      </c>
      <c r="I246" t="s">
        <v>1376</v>
      </c>
      <c r="J246">
        <v>420081</v>
      </c>
    </row>
    <row r="247" spans="1:11">
      <c r="A247" s="2">
        <v>232</v>
      </c>
      <c r="B247">
        <v>40</v>
      </c>
      <c r="C247">
        <v>100</v>
      </c>
      <c r="D247">
        <v>1</v>
      </c>
      <c r="E247" s="29"/>
      <c r="F247" s="29" t="s">
        <v>1364</v>
      </c>
      <c r="G247">
        <v>10</v>
      </c>
      <c r="I247" t="s">
        <v>1377</v>
      </c>
      <c r="J247">
        <v>420104</v>
      </c>
    </row>
    <row r="248" spans="1:11">
      <c r="A248" s="2">
        <v>233</v>
      </c>
      <c r="B248">
        <v>41</v>
      </c>
      <c r="C248">
        <v>100</v>
      </c>
      <c r="D248">
        <v>0</v>
      </c>
      <c r="E248" s="29"/>
      <c r="F248" s="29" t="s">
        <v>1366</v>
      </c>
      <c r="G248">
        <v>10</v>
      </c>
      <c r="I248" t="s">
        <v>1378</v>
      </c>
      <c r="J248">
        <v>460093</v>
      </c>
    </row>
    <row r="249" spans="1:11">
      <c r="A249" s="2">
        <v>234</v>
      </c>
      <c r="B249">
        <v>42</v>
      </c>
      <c r="C249">
        <v>100</v>
      </c>
      <c r="D249">
        <v>1</v>
      </c>
      <c r="E249" s="29"/>
      <c r="F249" s="29" t="s">
        <v>1367</v>
      </c>
      <c r="G249">
        <v>10</v>
      </c>
      <c r="I249" t="s">
        <v>1379</v>
      </c>
      <c r="J249">
        <v>460096</v>
      </c>
    </row>
    <row r="250" spans="1:11">
      <c r="A250" s="2">
        <v>235</v>
      </c>
      <c r="B250">
        <v>1</v>
      </c>
      <c r="C250">
        <v>100</v>
      </c>
      <c r="D250">
        <v>0</v>
      </c>
      <c r="E250" s="29" t="s">
        <v>1338</v>
      </c>
      <c r="F250" s="29" t="s">
        <v>1339</v>
      </c>
      <c r="G250">
        <v>11</v>
      </c>
      <c r="I250" t="s">
        <v>1195</v>
      </c>
      <c r="J250">
        <v>810041</v>
      </c>
    </row>
    <row r="251" spans="1:11">
      <c r="A251" s="2">
        <v>236</v>
      </c>
      <c r="B251">
        <v>2</v>
      </c>
      <c r="C251">
        <v>100</v>
      </c>
      <c r="D251">
        <v>0</v>
      </c>
      <c r="E251" s="29" t="s">
        <v>1338</v>
      </c>
      <c r="F251" s="29" t="s">
        <v>1340</v>
      </c>
      <c r="G251">
        <v>11</v>
      </c>
    </row>
    <row r="252" spans="1:11">
      <c r="A252" s="2">
        <v>237</v>
      </c>
      <c r="B252">
        <v>3</v>
      </c>
      <c r="C252">
        <v>100</v>
      </c>
      <c r="D252">
        <v>0</v>
      </c>
      <c r="E252" s="29" t="s">
        <v>1338</v>
      </c>
      <c r="F252" s="29" t="s">
        <v>1380</v>
      </c>
      <c r="G252">
        <v>11</v>
      </c>
      <c r="I252" t="s">
        <v>1381</v>
      </c>
    </row>
    <row r="253" spans="1:11">
      <c r="A253" s="2">
        <v>238</v>
      </c>
      <c r="B253">
        <v>4</v>
      </c>
      <c r="C253">
        <v>100</v>
      </c>
      <c r="D253">
        <v>0</v>
      </c>
      <c r="E253" s="29" t="s">
        <v>1342</v>
      </c>
      <c r="F253" s="29" t="s">
        <v>1339</v>
      </c>
      <c r="G253">
        <v>11</v>
      </c>
    </row>
    <row r="254" spans="1:11">
      <c r="A254" s="2">
        <v>239</v>
      </c>
      <c r="B254">
        <v>5</v>
      </c>
      <c r="C254">
        <v>100</v>
      </c>
      <c r="D254">
        <v>2</v>
      </c>
      <c r="E254" s="29" t="s">
        <v>1382</v>
      </c>
      <c r="F254" s="29" t="s">
        <v>1383</v>
      </c>
      <c r="G254">
        <v>11</v>
      </c>
      <c r="H254" t="s">
        <v>1384</v>
      </c>
      <c r="I254" t="s">
        <v>1385</v>
      </c>
    </row>
    <row r="255" spans="1:11">
      <c r="A255" s="2">
        <v>240</v>
      </c>
      <c r="B255">
        <v>6</v>
      </c>
      <c r="C255">
        <v>100</v>
      </c>
      <c r="D255">
        <v>0</v>
      </c>
      <c r="E255" s="29" t="s">
        <v>1338</v>
      </c>
      <c r="F255" s="29" t="s">
        <v>1345</v>
      </c>
      <c r="G255">
        <v>11</v>
      </c>
    </row>
    <row r="256" spans="1:11">
      <c r="A256" s="2">
        <v>241</v>
      </c>
      <c r="B256">
        <v>7</v>
      </c>
      <c r="C256">
        <v>100</v>
      </c>
      <c r="D256">
        <v>0</v>
      </c>
      <c r="E256" s="29" t="s">
        <v>1338</v>
      </c>
      <c r="F256" s="29" t="s">
        <v>1346</v>
      </c>
      <c r="G256">
        <v>11</v>
      </c>
    </row>
    <row r="257" spans="1:9">
      <c r="A257" s="2">
        <v>242</v>
      </c>
      <c r="B257">
        <v>8</v>
      </c>
      <c r="C257">
        <v>100</v>
      </c>
      <c r="D257">
        <v>0</v>
      </c>
      <c r="E257" s="29"/>
      <c r="F257" s="29" t="s">
        <v>1347</v>
      </c>
      <c r="G257">
        <v>11</v>
      </c>
    </row>
    <row r="258" spans="1:9">
      <c r="A258" s="2">
        <v>243</v>
      </c>
      <c r="B258">
        <v>9</v>
      </c>
      <c r="C258">
        <v>100</v>
      </c>
      <c r="D258">
        <v>0</v>
      </c>
      <c r="E258" s="29" t="s">
        <v>1338</v>
      </c>
      <c r="F258" s="29" t="s">
        <v>1348</v>
      </c>
      <c r="G258">
        <v>11</v>
      </c>
    </row>
    <row r="259" spans="1:9">
      <c r="A259" s="2">
        <v>244</v>
      </c>
      <c r="B259">
        <v>10</v>
      </c>
      <c r="C259">
        <v>100</v>
      </c>
      <c r="D259">
        <v>1</v>
      </c>
      <c r="E259" s="29" t="s">
        <v>1349</v>
      </c>
      <c r="F259" s="29" t="s">
        <v>1350</v>
      </c>
      <c r="G259">
        <v>11</v>
      </c>
    </row>
    <row r="260" spans="1:9">
      <c r="A260" s="2">
        <v>245</v>
      </c>
      <c r="B260">
        <v>11</v>
      </c>
      <c r="C260">
        <v>100</v>
      </c>
      <c r="D260">
        <v>0</v>
      </c>
      <c r="E260" s="29" t="s">
        <v>1338</v>
      </c>
      <c r="F260" s="29" t="s">
        <v>1345</v>
      </c>
      <c r="G260">
        <v>11</v>
      </c>
    </row>
    <row r="261" spans="1:9">
      <c r="A261" s="2">
        <v>246</v>
      </c>
      <c r="B261">
        <v>12</v>
      </c>
      <c r="C261">
        <v>100</v>
      </c>
      <c r="D261">
        <v>0</v>
      </c>
      <c r="E261" s="29" t="s">
        <v>1351</v>
      </c>
      <c r="F261" s="29" t="s">
        <v>1352</v>
      </c>
      <c r="G261">
        <v>11</v>
      </c>
    </row>
    <row r="262" spans="1:9">
      <c r="A262" s="2">
        <v>247</v>
      </c>
      <c r="B262">
        <v>13</v>
      </c>
      <c r="C262">
        <v>100</v>
      </c>
      <c r="D262">
        <v>0</v>
      </c>
      <c r="E262" s="29"/>
      <c r="F262" s="29" t="s">
        <v>1345</v>
      </c>
      <c r="G262">
        <v>11</v>
      </c>
    </row>
    <row r="263" spans="1:9">
      <c r="A263" s="2">
        <v>248</v>
      </c>
      <c r="B263">
        <v>14</v>
      </c>
      <c r="C263">
        <v>100</v>
      </c>
      <c r="D263">
        <v>0</v>
      </c>
      <c r="E263" s="29" t="s">
        <v>1338</v>
      </c>
      <c r="F263" s="29" t="s">
        <v>1348</v>
      </c>
      <c r="G263">
        <v>11</v>
      </c>
    </row>
    <row r="264" spans="1:9">
      <c r="A264" s="2">
        <v>249</v>
      </c>
      <c r="B264">
        <v>15</v>
      </c>
      <c r="C264">
        <v>100</v>
      </c>
      <c r="D264">
        <v>1</v>
      </c>
      <c r="E264" s="29" t="s">
        <v>1386</v>
      </c>
      <c r="F264" s="29" t="s">
        <v>1387</v>
      </c>
      <c r="G264">
        <v>11</v>
      </c>
      <c r="H264" t="s">
        <v>1388</v>
      </c>
      <c r="I264" t="s">
        <v>1389</v>
      </c>
    </row>
    <row r="265" spans="1:9">
      <c r="A265" s="2">
        <v>250</v>
      </c>
      <c r="B265">
        <v>16</v>
      </c>
      <c r="C265">
        <v>100</v>
      </c>
      <c r="D265">
        <v>0</v>
      </c>
      <c r="E265" s="29" t="s">
        <v>1355</v>
      </c>
      <c r="F265" s="29" t="s">
        <v>1345</v>
      </c>
      <c r="G265">
        <v>11</v>
      </c>
    </row>
    <row r="266" spans="1:9">
      <c r="A266" s="2">
        <v>251</v>
      </c>
      <c r="B266">
        <v>17</v>
      </c>
      <c r="C266">
        <v>100</v>
      </c>
      <c r="D266">
        <v>0</v>
      </c>
      <c r="E266" s="29" t="s">
        <v>1338</v>
      </c>
      <c r="F266" s="29" t="s">
        <v>1356</v>
      </c>
      <c r="G266">
        <v>11</v>
      </c>
    </row>
    <row r="267" spans="1:9">
      <c r="A267" s="2">
        <v>252</v>
      </c>
      <c r="B267">
        <v>18</v>
      </c>
      <c r="C267">
        <v>100</v>
      </c>
      <c r="D267">
        <v>0</v>
      </c>
      <c r="E267" s="29"/>
      <c r="F267" s="29" t="s">
        <v>1345</v>
      </c>
      <c r="G267">
        <v>11</v>
      </c>
    </row>
    <row r="268" spans="1:9">
      <c r="A268" s="2">
        <v>253</v>
      </c>
      <c r="B268">
        <v>19</v>
      </c>
      <c r="C268">
        <v>100</v>
      </c>
      <c r="D268">
        <v>0</v>
      </c>
      <c r="E268" s="29" t="s">
        <v>1338</v>
      </c>
      <c r="F268" s="29" t="s">
        <v>1390</v>
      </c>
      <c r="G268">
        <v>11</v>
      </c>
      <c r="I268" t="s">
        <v>1381</v>
      </c>
    </row>
    <row r="269" spans="1:9">
      <c r="A269" s="2">
        <v>254</v>
      </c>
      <c r="B269">
        <v>20</v>
      </c>
      <c r="C269">
        <v>100</v>
      </c>
      <c r="D269">
        <v>1</v>
      </c>
      <c r="E269" s="29" t="s">
        <v>1358</v>
      </c>
      <c r="F269" s="29" t="s">
        <v>1350</v>
      </c>
      <c r="G269">
        <v>11</v>
      </c>
    </row>
    <row r="270" spans="1:9">
      <c r="A270" s="2">
        <v>255</v>
      </c>
      <c r="B270">
        <v>21</v>
      </c>
      <c r="C270">
        <v>100</v>
      </c>
      <c r="D270">
        <v>0</v>
      </c>
      <c r="E270" s="29" t="s">
        <v>1355</v>
      </c>
      <c r="F270" s="29" t="s">
        <v>1359</v>
      </c>
      <c r="G270">
        <v>11</v>
      </c>
    </row>
    <row r="271" spans="1:9">
      <c r="A271" s="2">
        <v>256</v>
      </c>
      <c r="B271">
        <v>22</v>
      </c>
      <c r="C271">
        <v>100</v>
      </c>
      <c r="D271">
        <v>0</v>
      </c>
      <c r="E271" s="29"/>
      <c r="F271" s="29" t="s">
        <v>1348</v>
      </c>
      <c r="G271">
        <v>11</v>
      </c>
    </row>
    <row r="272" spans="1:9">
      <c r="A272" s="2">
        <v>257</v>
      </c>
      <c r="B272">
        <v>23</v>
      </c>
      <c r="C272">
        <v>100</v>
      </c>
      <c r="D272">
        <v>0</v>
      </c>
      <c r="E272" s="29" t="s">
        <v>1338</v>
      </c>
      <c r="F272" s="29" t="s">
        <v>1348</v>
      </c>
      <c r="G272">
        <v>11</v>
      </c>
    </row>
    <row r="273" spans="1:10">
      <c r="A273" s="2">
        <v>258</v>
      </c>
      <c r="B273">
        <v>24</v>
      </c>
      <c r="C273">
        <v>100</v>
      </c>
      <c r="D273">
        <v>0</v>
      </c>
      <c r="E273" s="29" t="s">
        <v>1360</v>
      </c>
      <c r="F273" s="29" t="s">
        <v>1345</v>
      </c>
      <c r="G273">
        <v>11</v>
      </c>
    </row>
    <row r="274" spans="1:10">
      <c r="A274" s="2">
        <v>259</v>
      </c>
      <c r="B274">
        <v>25</v>
      </c>
      <c r="C274">
        <v>100</v>
      </c>
      <c r="D274">
        <v>1</v>
      </c>
      <c r="E274" s="29" t="s">
        <v>1349</v>
      </c>
      <c r="F274" s="29" t="s">
        <v>1391</v>
      </c>
      <c r="G274">
        <v>11</v>
      </c>
      <c r="I274" t="s">
        <v>1392</v>
      </c>
    </row>
    <row r="275" spans="1:10">
      <c r="A275" s="2">
        <v>260</v>
      </c>
      <c r="B275">
        <v>26</v>
      </c>
      <c r="C275">
        <v>100</v>
      </c>
      <c r="D275">
        <v>0</v>
      </c>
      <c r="E275" s="29" t="s">
        <v>1338</v>
      </c>
      <c r="F275" s="29" t="s">
        <v>1345</v>
      </c>
      <c r="G275">
        <v>11</v>
      </c>
    </row>
    <row r="276" spans="1:10">
      <c r="A276" s="2">
        <v>261</v>
      </c>
      <c r="B276">
        <v>27</v>
      </c>
      <c r="C276">
        <v>100</v>
      </c>
      <c r="D276">
        <v>0</v>
      </c>
      <c r="E276" s="29" t="s">
        <v>1362</v>
      </c>
      <c r="F276" s="29" t="s">
        <v>1363</v>
      </c>
      <c r="G276">
        <v>11</v>
      </c>
    </row>
    <row r="277" spans="1:10">
      <c r="A277" s="2">
        <v>262</v>
      </c>
      <c r="B277">
        <v>28</v>
      </c>
      <c r="C277">
        <v>100</v>
      </c>
      <c r="D277">
        <v>0</v>
      </c>
      <c r="E277" s="29" t="s">
        <v>1342</v>
      </c>
      <c r="F277" s="29" t="s">
        <v>1348</v>
      </c>
      <c r="G277">
        <v>11</v>
      </c>
    </row>
    <row r="278" spans="1:10">
      <c r="A278" s="2">
        <v>263</v>
      </c>
      <c r="B278">
        <v>29</v>
      </c>
      <c r="C278">
        <v>100</v>
      </c>
      <c r="D278">
        <v>0</v>
      </c>
      <c r="E278" s="29"/>
      <c r="F278" s="29" t="s">
        <v>1348</v>
      </c>
      <c r="G278">
        <v>11</v>
      </c>
    </row>
    <row r="279" spans="1:10">
      <c r="A279" s="2">
        <v>264</v>
      </c>
      <c r="B279">
        <v>30</v>
      </c>
      <c r="C279">
        <v>100</v>
      </c>
      <c r="D279">
        <v>1</v>
      </c>
      <c r="E279" s="29" t="s">
        <v>1390</v>
      </c>
      <c r="F279" s="29" t="s">
        <v>1364</v>
      </c>
      <c r="G279">
        <v>11</v>
      </c>
    </row>
    <row r="280" spans="1:10">
      <c r="A280" s="2">
        <v>265</v>
      </c>
      <c r="B280">
        <v>31</v>
      </c>
      <c r="C280">
        <v>100</v>
      </c>
      <c r="D280">
        <v>0</v>
      </c>
      <c r="E280" s="29"/>
      <c r="F280" s="29" t="s">
        <v>1345</v>
      </c>
      <c r="G280">
        <v>11</v>
      </c>
    </row>
    <row r="281" spans="1:10">
      <c r="A281" s="2">
        <v>266</v>
      </c>
      <c r="B281">
        <v>32</v>
      </c>
      <c r="C281">
        <v>100</v>
      </c>
      <c r="D281">
        <v>0</v>
      </c>
      <c r="E281" s="29"/>
      <c r="F281" s="29" t="s">
        <v>1348</v>
      </c>
      <c r="G281">
        <v>11</v>
      </c>
    </row>
    <row r="282" spans="1:10">
      <c r="A282" s="2">
        <v>267</v>
      </c>
      <c r="B282">
        <v>33</v>
      </c>
      <c r="C282">
        <v>100</v>
      </c>
      <c r="D282">
        <v>0</v>
      </c>
      <c r="E282" s="29"/>
      <c r="F282" s="29" t="s">
        <v>1345</v>
      </c>
      <c r="G282">
        <v>11</v>
      </c>
    </row>
    <row r="283" spans="1:10">
      <c r="A283" s="2">
        <v>268</v>
      </c>
      <c r="B283">
        <v>34</v>
      </c>
      <c r="C283">
        <v>100</v>
      </c>
      <c r="D283">
        <v>0</v>
      </c>
      <c r="E283" s="29"/>
      <c r="F283" s="29" t="s">
        <v>1345</v>
      </c>
      <c r="G283">
        <v>11</v>
      </c>
    </row>
    <row r="284" spans="1:10">
      <c r="A284" s="2">
        <v>269</v>
      </c>
      <c r="B284">
        <v>35</v>
      </c>
      <c r="C284">
        <v>100</v>
      </c>
      <c r="D284">
        <v>2</v>
      </c>
      <c r="E284" s="29"/>
      <c r="F284" s="29" t="s">
        <v>1393</v>
      </c>
      <c r="G284">
        <v>11</v>
      </c>
      <c r="I284" t="s">
        <v>1381</v>
      </c>
    </row>
    <row r="285" spans="1:10">
      <c r="A285" s="2">
        <v>270</v>
      </c>
      <c r="B285">
        <v>36</v>
      </c>
      <c r="C285">
        <v>100</v>
      </c>
      <c r="D285">
        <v>0</v>
      </c>
      <c r="E285" s="29"/>
      <c r="F285" s="29" t="s">
        <v>1345</v>
      </c>
      <c r="G285">
        <v>11</v>
      </c>
    </row>
    <row r="286" spans="1:10">
      <c r="A286" s="2">
        <v>271</v>
      </c>
      <c r="B286">
        <v>37</v>
      </c>
      <c r="C286">
        <v>100</v>
      </c>
      <c r="D286">
        <v>0</v>
      </c>
      <c r="E286" s="29"/>
      <c r="F286" s="29" t="s">
        <v>1345</v>
      </c>
      <c r="G286">
        <v>11</v>
      </c>
    </row>
    <row r="287" spans="1:10">
      <c r="A287" s="2">
        <v>272</v>
      </c>
      <c r="B287">
        <v>38</v>
      </c>
      <c r="C287">
        <v>100</v>
      </c>
      <c r="D287">
        <v>0</v>
      </c>
      <c r="E287" s="29"/>
      <c r="F287" s="29" t="s">
        <v>1352</v>
      </c>
      <c r="G287">
        <v>11</v>
      </c>
      <c r="I287" t="s">
        <v>1394</v>
      </c>
      <c r="J287">
        <v>400415</v>
      </c>
    </row>
    <row r="288" spans="1:10">
      <c r="A288" s="2">
        <v>273</v>
      </c>
      <c r="B288">
        <v>39</v>
      </c>
      <c r="C288">
        <v>100</v>
      </c>
      <c r="D288">
        <v>0</v>
      </c>
      <c r="E288" s="29"/>
      <c r="F288" s="29" t="s">
        <v>1345</v>
      </c>
      <c r="G288">
        <v>11</v>
      </c>
      <c r="I288" t="s">
        <v>1376</v>
      </c>
      <c r="J288">
        <v>420061</v>
      </c>
    </row>
    <row r="289" spans="1:12">
      <c r="A289" s="2">
        <v>274</v>
      </c>
      <c r="B289">
        <v>40</v>
      </c>
      <c r="C289">
        <v>100</v>
      </c>
      <c r="D289">
        <v>1</v>
      </c>
      <c r="E289" s="29"/>
      <c r="F289" s="29" t="s">
        <v>1364</v>
      </c>
      <c r="G289">
        <v>11</v>
      </c>
      <c r="I289" t="s">
        <v>1377</v>
      </c>
      <c r="J289">
        <v>420124</v>
      </c>
    </row>
    <row r="290" spans="1:12">
      <c r="A290" s="2">
        <v>275</v>
      </c>
      <c r="B290">
        <v>41</v>
      </c>
      <c r="C290">
        <v>100</v>
      </c>
      <c r="D290">
        <v>0</v>
      </c>
      <c r="E290" s="29"/>
      <c r="F290" s="29" t="s">
        <v>1366</v>
      </c>
      <c r="G290">
        <v>11</v>
      </c>
      <c r="I290" t="s">
        <v>1378</v>
      </c>
      <c r="J290">
        <v>460097</v>
      </c>
    </row>
    <row r="291" spans="1:12">
      <c r="A291" s="2">
        <v>276</v>
      </c>
      <c r="B291">
        <v>42</v>
      </c>
      <c r="C291">
        <v>100</v>
      </c>
      <c r="D291">
        <v>1</v>
      </c>
      <c r="E291" s="29"/>
      <c r="F291" s="29" t="s">
        <v>1367</v>
      </c>
      <c r="G291">
        <v>11</v>
      </c>
      <c r="I291" t="s">
        <v>1379</v>
      </c>
      <c r="J291">
        <v>460100</v>
      </c>
    </row>
    <row r="292" spans="1:12">
      <c r="A292" s="2">
        <v>277</v>
      </c>
      <c r="B292">
        <v>1</v>
      </c>
      <c r="C292">
        <v>100</v>
      </c>
      <c r="D292">
        <v>0</v>
      </c>
      <c r="E292" s="29" t="s">
        <v>1338</v>
      </c>
      <c r="F292" s="29" t="s">
        <v>1339</v>
      </c>
      <c r="G292">
        <v>12</v>
      </c>
      <c r="I292" t="s">
        <v>1195</v>
      </c>
      <c r="J292">
        <v>810044</v>
      </c>
    </row>
    <row r="293" spans="1:12">
      <c r="A293" s="2">
        <v>278</v>
      </c>
      <c r="B293">
        <v>2</v>
      </c>
      <c r="C293">
        <v>100</v>
      </c>
      <c r="D293">
        <v>0</v>
      </c>
      <c r="E293" s="29" t="s">
        <v>1338</v>
      </c>
      <c r="F293" s="29" t="s">
        <v>1340</v>
      </c>
      <c r="G293">
        <v>12</v>
      </c>
    </row>
    <row r="294" spans="1:12">
      <c r="A294" s="2">
        <v>279</v>
      </c>
      <c r="B294">
        <v>3</v>
      </c>
      <c r="C294">
        <v>100</v>
      </c>
      <c r="D294">
        <v>0</v>
      </c>
      <c r="E294" s="29" t="s">
        <v>1338</v>
      </c>
      <c r="F294" s="29" t="s">
        <v>1395</v>
      </c>
      <c r="G294">
        <v>12</v>
      </c>
      <c r="I294" t="s">
        <v>1381</v>
      </c>
      <c r="J294">
        <v>400415</v>
      </c>
    </row>
    <row r="295" spans="1:12">
      <c r="A295" s="2">
        <v>280</v>
      </c>
      <c r="B295">
        <v>4</v>
      </c>
      <c r="C295">
        <v>100</v>
      </c>
      <c r="D295">
        <v>0</v>
      </c>
      <c r="E295" s="29" t="s">
        <v>1342</v>
      </c>
      <c r="F295" s="29" t="s">
        <v>1339</v>
      </c>
      <c r="G295">
        <v>12</v>
      </c>
    </row>
    <row r="296" spans="1:12">
      <c r="A296" s="2">
        <v>281</v>
      </c>
      <c r="B296">
        <v>5</v>
      </c>
      <c r="C296">
        <v>100</v>
      </c>
      <c r="D296">
        <v>2</v>
      </c>
      <c r="E296" s="29" t="s">
        <v>1343</v>
      </c>
      <c r="F296" s="29" t="s">
        <v>1344</v>
      </c>
      <c r="G296">
        <v>12</v>
      </c>
      <c r="H296" t="s">
        <v>1384</v>
      </c>
      <c r="I296" t="s">
        <v>1385</v>
      </c>
      <c r="J296">
        <v>420061</v>
      </c>
      <c r="K296">
        <v>420124</v>
      </c>
    </row>
    <row r="297" spans="1:12">
      <c r="A297" s="2">
        <v>282</v>
      </c>
      <c r="B297">
        <v>6</v>
      </c>
      <c r="C297">
        <v>100</v>
      </c>
      <c r="D297">
        <v>0</v>
      </c>
      <c r="E297" s="29" t="s">
        <v>1338</v>
      </c>
      <c r="F297" s="29" t="s">
        <v>1345</v>
      </c>
      <c r="G297">
        <v>12</v>
      </c>
    </row>
    <row r="298" spans="1:12">
      <c r="A298" s="2">
        <v>283</v>
      </c>
      <c r="B298">
        <v>7</v>
      </c>
      <c r="C298">
        <v>100</v>
      </c>
      <c r="D298">
        <v>0</v>
      </c>
      <c r="E298" s="29" t="s">
        <v>1338</v>
      </c>
      <c r="F298" s="29" t="s">
        <v>1346</v>
      </c>
      <c r="G298">
        <v>12</v>
      </c>
    </row>
    <row r="299" spans="1:12">
      <c r="A299" s="2">
        <v>284</v>
      </c>
      <c r="B299">
        <v>8</v>
      </c>
      <c r="C299">
        <v>100</v>
      </c>
      <c r="D299">
        <v>0</v>
      </c>
      <c r="E299" s="29"/>
      <c r="F299" s="29" t="s">
        <v>1347</v>
      </c>
      <c r="G299">
        <v>12</v>
      </c>
    </row>
    <row r="300" spans="1:12">
      <c r="A300" s="2">
        <v>285</v>
      </c>
      <c r="B300">
        <v>9</v>
      </c>
      <c r="C300">
        <v>100</v>
      </c>
      <c r="D300">
        <v>0</v>
      </c>
      <c r="E300" s="29" t="s">
        <v>1338</v>
      </c>
      <c r="F300" s="29" t="s">
        <v>1348</v>
      </c>
      <c r="G300">
        <v>12</v>
      </c>
    </row>
    <row r="301" spans="1:12" ht="15.6">
      <c r="A301" s="2">
        <v>286</v>
      </c>
      <c r="B301">
        <v>10</v>
      </c>
      <c r="C301">
        <v>100</v>
      </c>
      <c r="D301">
        <v>1</v>
      </c>
      <c r="E301" s="29" t="s">
        <v>1349</v>
      </c>
      <c r="F301" s="29" t="s">
        <v>1350</v>
      </c>
      <c r="G301">
        <v>12</v>
      </c>
      <c r="H301" s="30">
        <v>870018</v>
      </c>
      <c r="I301" s="36">
        <v>8700181</v>
      </c>
      <c r="J301" t="s">
        <v>1396</v>
      </c>
      <c r="K301" s="36">
        <v>8700182</v>
      </c>
      <c r="L301" t="s">
        <v>1397</v>
      </c>
    </row>
    <row r="302" spans="1:12" ht="15.6">
      <c r="A302" s="2">
        <v>287</v>
      </c>
      <c r="B302">
        <v>11</v>
      </c>
      <c r="C302">
        <v>100</v>
      </c>
      <c r="D302">
        <v>0</v>
      </c>
      <c r="E302" s="29" t="s">
        <v>1338</v>
      </c>
      <c r="F302" s="29" t="s">
        <v>1345</v>
      </c>
      <c r="G302">
        <v>12</v>
      </c>
      <c r="H302" s="30">
        <v>870013</v>
      </c>
      <c r="I302" s="36">
        <v>8700131</v>
      </c>
      <c r="J302" t="s">
        <v>1398</v>
      </c>
      <c r="K302" s="36">
        <v>8700132</v>
      </c>
      <c r="L302" t="s">
        <v>1399</v>
      </c>
    </row>
    <row r="303" spans="1:12">
      <c r="A303" s="2">
        <v>288</v>
      </c>
      <c r="B303">
        <v>12</v>
      </c>
      <c r="C303">
        <v>100</v>
      </c>
      <c r="D303">
        <v>0</v>
      </c>
      <c r="E303" s="29" t="s">
        <v>1351</v>
      </c>
      <c r="F303" s="29" t="s">
        <v>1352</v>
      </c>
      <c r="G303">
        <v>12</v>
      </c>
    </row>
    <row r="304" spans="1:12">
      <c r="A304" s="2">
        <v>289</v>
      </c>
      <c r="B304">
        <v>13</v>
      </c>
      <c r="C304">
        <v>100</v>
      </c>
      <c r="D304">
        <v>0</v>
      </c>
      <c r="E304" s="29"/>
      <c r="F304" s="29" t="s">
        <v>1345</v>
      </c>
      <c r="G304">
        <v>12</v>
      </c>
    </row>
    <row r="305" spans="1:11">
      <c r="A305" s="2">
        <v>290</v>
      </c>
      <c r="B305">
        <v>14</v>
      </c>
      <c r="C305">
        <v>100</v>
      </c>
      <c r="D305">
        <v>0</v>
      </c>
      <c r="E305" s="29" t="s">
        <v>1338</v>
      </c>
      <c r="F305" s="29" t="s">
        <v>1348</v>
      </c>
      <c r="G305">
        <v>12</v>
      </c>
    </row>
    <row r="306" spans="1:11">
      <c r="A306" s="2">
        <v>291</v>
      </c>
      <c r="B306">
        <v>15</v>
      </c>
      <c r="C306">
        <v>100</v>
      </c>
      <c r="D306">
        <v>1</v>
      </c>
      <c r="E306" s="29" t="s">
        <v>1400</v>
      </c>
      <c r="F306" s="29" t="s">
        <v>1401</v>
      </c>
      <c r="G306">
        <v>12</v>
      </c>
      <c r="H306" t="s">
        <v>1388</v>
      </c>
      <c r="I306" t="s">
        <v>1389</v>
      </c>
      <c r="J306">
        <v>460097</v>
      </c>
      <c r="K306">
        <v>460100</v>
      </c>
    </row>
    <row r="307" spans="1:11">
      <c r="A307" s="2">
        <v>292</v>
      </c>
      <c r="B307">
        <v>16</v>
      </c>
      <c r="C307">
        <v>100</v>
      </c>
      <c r="D307">
        <v>0</v>
      </c>
      <c r="E307" s="29" t="s">
        <v>1355</v>
      </c>
      <c r="F307" s="29" t="s">
        <v>1345</v>
      </c>
      <c r="G307">
        <v>12</v>
      </c>
    </row>
    <row r="308" spans="1:11">
      <c r="A308" s="2">
        <v>293</v>
      </c>
      <c r="B308">
        <v>17</v>
      </c>
      <c r="C308">
        <v>100</v>
      </c>
      <c r="D308">
        <v>0</v>
      </c>
      <c r="E308" s="29" t="s">
        <v>1338</v>
      </c>
      <c r="F308" s="29" t="s">
        <v>1356</v>
      </c>
      <c r="G308">
        <v>12</v>
      </c>
    </row>
    <row r="309" spans="1:11">
      <c r="A309" s="2">
        <v>294</v>
      </c>
      <c r="B309">
        <v>18</v>
      </c>
      <c r="C309">
        <v>100</v>
      </c>
      <c r="D309">
        <v>0</v>
      </c>
      <c r="E309" s="29"/>
      <c r="F309" s="29" t="s">
        <v>1345</v>
      </c>
      <c r="G309">
        <v>12</v>
      </c>
    </row>
    <row r="310" spans="1:11">
      <c r="A310" s="2">
        <v>295</v>
      </c>
      <c r="B310">
        <v>19</v>
      </c>
      <c r="C310">
        <v>100</v>
      </c>
      <c r="D310">
        <v>0</v>
      </c>
      <c r="E310" s="29" t="s">
        <v>1338</v>
      </c>
      <c r="F310" s="29" t="s">
        <v>1402</v>
      </c>
      <c r="G310">
        <v>12</v>
      </c>
      <c r="I310" t="s">
        <v>1381</v>
      </c>
      <c r="J310">
        <v>400415</v>
      </c>
    </row>
    <row r="311" spans="1:11">
      <c r="A311" s="2">
        <v>296</v>
      </c>
      <c r="B311">
        <v>20</v>
      </c>
      <c r="C311">
        <v>100</v>
      </c>
      <c r="D311">
        <v>1</v>
      </c>
      <c r="E311" s="29" t="s">
        <v>1358</v>
      </c>
      <c r="F311" s="29" t="s">
        <v>1350</v>
      </c>
      <c r="G311">
        <v>12</v>
      </c>
    </row>
    <row r="312" spans="1:11">
      <c r="A312" s="2">
        <v>297</v>
      </c>
      <c r="B312">
        <v>21</v>
      </c>
      <c r="C312">
        <v>100</v>
      </c>
      <c r="D312">
        <v>0</v>
      </c>
      <c r="E312" s="29" t="s">
        <v>1355</v>
      </c>
      <c r="F312" s="29" t="s">
        <v>1359</v>
      </c>
      <c r="G312">
        <v>12</v>
      </c>
    </row>
    <row r="313" spans="1:11">
      <c r="A313" s="2">
        <v>298</v>
      </c>
      <c r="B313">
        <v>22</v>
      </c>
      <c r="C313">
        <v>100</v>
      </c>
      <c r="D313">
        <v>0</v>
      </c>
      <c r="E313" s="29"/>
      <c r="F313" s="29" t="s">
        <v>1348</v>
      </c>
      <c r="G313">
        <v>12</v>
      </c>
    </row>
    <row r="314" spans="1:11">
      <c r="A314" s="2">
        <v>299</v>
      </c>
      <c r="B314">
        <v>23</v>
      </c>
      <c r="C314">
        <v>100</v>
      </c>
      <c r="D314">
        <v>0</v>
      </c>
      <c r="E314" s="29" t="s">
        <v>1338</v>
      </c>
      <c r="F314" s="29" t="s">
        <v>1348</v>
      </c>
      <c r="G314">
        <v>12</v>
      </c>
    </row>
    <row r="315" spans="1:11">
      <c r="A315" s="2">
        <v>300</v>
      </c>
      <c r="B315">
        <v>24</v>
      </c>
      <c r="C315">
        <v>100</v>
      </c>
      <c r="D315">
        <v>0</v>
      </c>
      <c r="E315" s="29" t="s">
        <v>1360</v>
      </c>
      <c r="F315" s="29" t="s">
        <v>1345</v>
      </c>
      <c r="G315">
        <v>12</v>
      </c>
    </row>
    <row r="316" spans="1:11">
      <c r="A316" s="2">
        <v>301</v>
      </c>
      <c r="B316">
        <v>25</v>
      </c>
      <c r="C316">
        <v>100</v>
      </c>
      <c r="D316">
        <v>1</v>
      </c>
      <c r="E316" s="29" t="s">
        <v>1349</v>
      </c>
      <c r="F316" s="29" t="s">
        <v>1403</v>
      </c>
      <c r="G316">
        <v>12</v>
      </c>
      <c r="I316" t="s">
        <v>1392</v>
      </c>
      <c r="J316">
        <v>810044</v>
      </c>
    </row>
    <row r="317" spans="1:11">
      <c r="A317" s="2">
        <v>302</v>
      </c>
      <c r="B317">
        <v>26</v>
      </c>
      <c r="C317">
        <v>100</v>
      </c>
      <c r="D317">
        <v>0</v>
      </c>
      <c r="E317" s="29" t="s">
        <v>1338</v>
      </c>
      <c r="F317" s="29" t="s">
        <v>1345</v>
      </c>
      <c r="G317">
        <v>12</v>
      </c>
    </row>
    <row r="318" spans="1:11">
      <c r="A318" s="2">
        <v>303</v>
      </c>
      <c r="B318">
        <v>27</v>
      </c>
      <c r="C318">
        <v>100</v>
      </c>
      <c r="D318">
        <v>0</v>
      </c>
      <c r="E318" s="29" t="s">
        <v>1362</v>
      </c>
      <c r="F318" s="29" t="s">
        <v>1363</v>
      </c>
      <c r="G318">
        <v>12</v>
      </c>
    </row>
    <row r="319" spans="1:11">
      <c r="A319" s="2">
        <v>304</v>
      </c>
      <c r="B319">
        <v>28</v>
      </c>
      <c r="C319">
        <v>100</v>
      </c>
      <c r="D319">
        <v>0</v>
      </c>
      <c r="E319" s="29" t="s">
        <v>1342</v>
      </c>
      <c r="F319" s="29" t="s">
        <v>1348</v>
      </c>
      <c r="G319">
        <v>12</v>
      </c>
    </row>
    <row r="320" spans="1:11">
      <c r="A320" s="2">
        <v>305</v>
      </c>
      <c r="B320">
        <v>29</v>
      </c>
      <c r="C320">
        <v>100</v>
      </c>
      <c r="D320">
        <v>0</v>
      </c>
      <c r="E320" s="29"/>
      <c r="F320" s="29" t="s">
        <v>1348</v>
      </c>
      <c r="G320">
        <v>12</v>
      </c>
    </row>
    <row r="321" spans="1:11">
      <c r="A321" s="2">
        <v>306</v>
      </c>
      <c r="B321">
        <v>30</v>
      </c>
      <c r="C321">
        <v>100</v>
      </c>
      <c r="D321">
        <v>1</v>
      </c>
      <c r="E321" s="29" t="s">
        <v>1402</v>
      </c>
      <c r="F321" s="29" t="s">
        <v>1364</v>
      </c>
      <c r="G321">
        <v>12</v>
      </c>
      <c r="H321" t="s">
        <v>1381</v>
      </c>
      <c r="J321">
        <v>400415</v>
      </c>
    </row>
    <row r="322" spans="1:11">
      <c r="A322" s="2">
        <v>307</v>
      </c>
      <c r="B322">
        <v>31</v>
      </c>
      <c r="C322">
        <v>100</v>
      </c>
      <c r="D322">
        <v>0</v>
      </c>
      <c r="E322" s="29"/>
      <c r="F322" s="29" t="s">
        <v>1345</v>
      </c>
      <c r="G322">
        <v>12</v>
      </c>
    </row>
    <row r="323" spans="1:11">
      <c r="A323" s="2">
        <v>308</v>
      </c>
      <c r="B323">
        <v>32</v>
      </c>
      <c r="C323">
        <v>100</v>
      </c>
      <c r="D323">
        <v>0</v>
      </c>
      <c r="E323" s="29"/>
      <c r="F323" s="29" t="s">
        <v>1348</v>
      </c>
      <c r="G323">
        <v>12</v>
      </c>
    </row>
    <row r="324" spans="1:11">
      <c r="A324" s="2">
        <v>309</v>
      </c>
      <c r="B324">
        <v>33</v>
      </c>
      <c r="C324">
        <v>100</v>
      </c>
      <c r="D324">
        <v>0</v>
      </c>
      <c r="E324" s="29"/>
      <c r="F324" s="29" t="s">
        <v>1345</v>
      </c>
      <c r="G324">
        <v>12</v>
      </c>
    </row>
    <row r="325" spans="1:11">
      <c r="A325" s="2">
        <v>310</v>
      </c>
      <c r="B325">
        <v>34</v>
      </c>
      <c r="C325">
        <v>100</v>
      </c>
      <c r="D325">
        <v>0</v>
      </c>
      <c r="E325" s="29"/>
      <c r="F325" s="29" t="s">
        <v>1345</v>
      </c>
      <c r="G325">
        <v>12</v>
      </c>
    </row>
    <row r="326" spans="1:11">
      <c r="A326" s="2">
        <v>311</v>
      </c>
      <c r="B326">
        <v>35</v>
      </c>
      <c r="C326">
        <v>100</v>
      </c>
      <c r="D326">
        <v>2</v>
      </c>
      <c r="E326" s="29"/>
      <c r="F326" s="29" t="s">
        <v>1404</v>
      </c>
      <c r="G326">
        <v>12</v>
      </c>
      <c r="I326" t="s">
        <v>1381</v>
      </c>
      <c r="J326">
        <v>400415</v>
      </c>
    </row>
    <row r="327" spans="1:11">
      <c r="A327" s="2">
        <v>312</v>
      </c>
      <c r="B327">
        <v>36</v>
      </c>
      <c r="C327">
        <v>100</v>
      </c>
      <c r="D327">
        <v>0</v>
      </c>
      <c r="E327" s="29"/>
      <c r="F327" s="29" t="s">
        <v>1345</v>
      </c>
      <c r="G327">
        <v>12</v>
      </c>
    </row>
    <row r="328" spans="1:11">
      <c r="A328" s="2">
        <v>313</v>
      </c>
      <c r="B328">
        <v>37</v>
      </c>
      <c r="C328">
        <v>100</v>
      </c>
      <c r="D328">
        <v>0</v>
      </c>
      <c r="E328" s="29"/>
      <c r="F328" s="29" t="s">
        <v>1345</v>
      </c>
      <c r="G328">
        <v>12</v>
      </c>
    </row>
    <row r="329" spans="1:11">
      <c r="A329" s="2">
        <v>314</v>
      </c>
      <c r="B329">
        <v>38</v>
      </c>
      <c r="C329">
        <v>100</v>
      </c>
      <c r="D329">
        <v>0</v>
      </c>
      <c r="E329" s="29"/>
      <c r="F329" s="29" t="s">
        <v>1352</v>
      </c>
      <c r="G329">
        <v>12</v>
      </c>
      <c r="I329" t="s">
        <v>1405</v>
      </c>
      <c r="J329">
        <v>400425</v>
      </c>
      <c r="K329">
        <v>400415</v>
      </c>
    </row>
    <row r="330" spans="1:11">
      <c r="A330" s="2">
        <v>315</v>
      </c>
      <c r="B330">
        <v>39</v>
      </c>
      <c r="C330">
        <v>100</v>
      </c>
      <c r="D330">
        <v>0</v>
      </c>
      <c r="E330" s="29"/>
      <c r="F330" s="29" t="s">
        <v>1345</v>
      </c>
      <c r="G330">
        <v>12</v>
      </c>
      <c r="I330" t="s">
        <v>1376</v>
      </c>
      <c r="J330">
        <v>420081</v>
      </c>
      <c r="K330">
        <v>420061</v>
      </c>
    </row>
    <row r="331" spans="1:11">
      <c r="A331" s="2">
        <v>316</v>
      </c>
      <c r="B331">
        <v>40</v>
      </c>
      <c r="C331">
        <v>100</v>
      </c>
      <c r="D331">
        <v>1</v>
      </c>
      <c r="E331" s="29"/>
      <c r="F331" s="29" t="s">
        <v>1364</v>
      </c>
      <c r="G331">
        <v>12</v>
      </c>
      <c r="I331" t="s">
        <v>1377</v>
      </c>
      <c r="J331">
        <v>420194</v>
      </c>
      <c r="K331">
        <v>420124</v>
      </c>
    </row>
    <row r="332" spans="1:11">
      <c r="A332" s="2">
        <v>317</v>
      </c>
      <c r="B332">
        <v>41</v>
      </c>
      <c r="C332">
        <v>100</v>
      </c>
      <c r="D332">
        <v>0</v>
      </c>
      <c r="E332" s="29"/>
      <c r="F332" s="29" t="s">
        <v>1366</v>
      </c>
      <c r="G332">
        <v>12</v>
      </c>
      <c r="I332" t="s">
        <v>1378</v>
      </c>
      <c r="J332">
        <v>460101</v>
      </c>
      <c r="K332">
        <v>460097</v>
      </c>
    </row>
    <row r="333" spans="1:11">
      <c r="A333" s="2">
        <v>318</v>
      </c>
      <c r="B333">
        <v>42</v>
      </c>
      <c r="C333">
        <v>100</v>
      </c>
      <c r="D333">
        <v>1</v>
      </c>
      <c r="E333" s="29"/>
      <c r="F333" s="29" t="s">
        <v>1367</v>
      </c>
      <c r="G333">
        <v>12</v>
      </c>
      <c r="I333" t="s">
        <v>1379</v>
      </c>
      <c r="J333">
        <v>460104</v>
      </c>
      <c r="K333">
        <v>460100</v>
      </c>
    </row>
    <row r="334" spans="1:11">
      <c r="A334" s="2">
        <v>319</v>
      </c>
      <c r="B334">
        <v>1</v>
      </c>
      <c r="C334">
        <v>100</v>
      </c>
      <c r="D334">
        <v>0</v>
      </c>
      <c r="E334" s="29" t="s">
        <v>1338</v>
      </c>
      <c r="F334" s="29" t="s">
        <v>1339</v>
      </c>
      <c r="G334">
        <v>13</v>
      </c>
      <c r="I334" t="s">
        <v>1195</v>
      </c>
      <c r="J334">
        <v>810045</v>
      </c>
      <c r="K334">
        <v>810044</v>
      </c>
    </row>
    <row r="335" spans="1:11">
      <c r="A335" s="2">
        <v>320</v>
      </c>
      <c r="B335">
        <v>2</v>
      </c>
      <c r="C335">
        <v>100</v>
      </c>
      <c r="D335">
        <v>0</v>
      </c>
      <c r="E335" s="29" t="s">
        <v>1338</v>
      </c>
      <c r="F335" s="29" t="s">
        <v>1340</v>
      </c>
      <c r="G335">
        <v>13</v>
      </c>
    </row>
    <row r="336" spans="1:11">
      <c r="A336" s="2">
        <v>321</v>
      </c>
      <c r="B336">
        <v>3</v>
      </c>
      <c r="C336">
        <v>100</v>
      </c>
      <c r="D336">
        <v>0</v>
      </c>
      <c r="E336" s="29" t="s">
        <v>1338</v>
      </c>
      <c r="F336" s="29" t="s">
        <v>1406</v>
      </c>
      <c r="G336">
        <v>13</v>
      </c>
      <c r="I336" t="s">
        <v>1381</v>
      </c>
      <c r="J336">
        <v>400425</v>
      </c>
    </row>
    <row r="337" spans="1:11">
      <c r="A337" s="2">
        <v>322</v>
      </c>
      <c r="B337">
        <v>4</v>
      </c>
      <c r="C337">
        <v>100</v>
      </c>
      <c r="D337">
        <v>0</v>
      </c>
      <c r="E337" s="29" t="s">
        <v>1342</v>
      </c>
      <c r="F337" s="29" t="s">
        <v>1339</v>
      </c>
      <c r="G337">
        <v>13</v>
      </c>
    </row>
    <row r="338" spans="1:11">
      <c r="A338" s="2">
        <v>323</v>
      </c>
      <c r="B338">
        <v>5</v>
      </c>
      <c r="C338">
        <v>100</v>
      </c>
      <c r="D338">
        <v>2</v>
      </c>
      <c r="E338" s="29" t="s">
        <v>1382</v>
      </c>
      <c r="F338" s="29" t="s">
        <v>1407</v>
      </c>
      <c r="G338">
        <v>13</v>
      </c>
      <c r="H338" t="s">
        <v>1384</v>
      </c>
      <c r="I338" t="s">
        <v>1385</v>
      </c>
      <c r="J338">
        <v>420081</v>
      </c>
      <c r="K338">
        <v>420194</v>
      </c>
    </row>
    <row r="339" spans="1:11">
      <c r="A339" s="2">
        <v>324</v>
      </c>
      <c r="B339">
        <v>6</v>
      </c>
      <c r="C339">
        <v>100</v>
      </c>
      <c r="D339">
        <v>0</v>
      </c>
      <c r="E339" s="29" t="s">
        <v>1338</v>
      </c>
      <c r="F339" s="29" t="s">
        <v>1345</v>
      </c>
      <c r="G339">
        <v>13</v>
      </c>
    </row>
    <row r="340" spans="1:11">
      <c r="A340" s="2">
        <v>325</v>
      </c>
      <c r="B340">
        <v>7</v>
      </c>
      <c r="C340">
        <v>100</v>
      </c>
      <c r="D340">
        <v>0</v>
      </c>
      <c r="E340" s="29" t="s">
        <v>1338</v>
      </c>
      <c r="F340" s="29" t="s">
        <v>1346</v>
      </c>
      <c r="G340">
        <v>13</v>
      </c>
    </row>
    <row r="341" spans="1:11">
      <c r="A341" s="2">
        <v>326</v>
      </c>
      <c r="B341">
        <v>8</v>
      </c>
      <c r="C341">
        <v>100</v>
      </c>
      <c r="D341">
        <v>0</v>
      </c>
      <c r="E341" s="29"/>
      <c r="F341" s="29" t="s">
        <v>1347</v>
      </c>
      <c r="G341">
        <v>13</v>
      </c>
    </row>
    <row r="342" spans="1:11">
      <c r="A342" s="2">
        <v>327</v>
      </c>
      <c r="B342">
        <v>9</v>
      </c>
      <c r="C342">
        <v>100</v>
      </c>
      <c r="D342">
        <v>0</v>
      </c>
      <c r="E342" s="29" t="s">
        <v>1338</v>
      </c>
      <c r="F342" s="29" t="s">
        <v>1348</v>
      </c>
      <c r="G342">
        <v>13</v>
      </c>
    </row>
    <row r="343" spans="1:11">
      <c r="A343" s="2">
        <v>328</v>
      </c>
      <c r="B343">
        <v>10</v>
      </c>
      <c r="C343">
        <v>100</v>
      </c>
      <c r="D343">
        <v>1</v>
      </c>
      <c r="E343" s="29" t="s">
        <v>1349</v>
      </c>
      <c r="F343" s="29" t="s">
        <v>1350</v>
      </c>
      <c r="G343">
        <v>13</v>
      </c>
    </row>
    <row r="344" spans="1:11">
      <c r="A344" s="2">
        <v>329</v>
      </c>
      <c r="B344">
        <v>11</v>
      </c>
      <c r="C344">
        <v>100</v>
      </c>
      <c r="D344">
        <v>0</v>
      </c>
      <c r="E344" s="29" t="s">
        <v>1338</v>
      </c>
      <c r="F344" s="29" t="s">
        <v>1345</v>
      </c>
      <c r="G344">
        <v>13</v>
      </c>
    </row>
    <row r="345" spans="1:11">
      <c r="A345" s="2">
        <v>330</v>
      </c>
      <c r="B345">
        <v>12</v>
      </c>
      <c r="C345">
        <v>100</v>
      </c>
      <c r="D345">
        <v>0</v>
      </c>
      <c r="E345" s="29" t="s">
        <v>1351</v>
      </c>
      <c r="F345" s="29" t="s">
        <v>1352</v>
      </c>
      <c r="G345">
        <v>13</v>
      </c>
    </row>
    <row r="346" spans="1:11">
      <c r="A346" s="2">
        <v>331</v>
      </c>
      <c r="B346">
        <v>13</v>
      </c>
      <c r="C346">
        <v>100</v>
      </c>
      <c r="D346">
        <v>0</v>
      </c>
      <c r="E346" s="29"/>
      <c r="F346" s="29" t="s">
        <v>1345</v>
      </c>
      <c r="G346">
        <v>13</v>
      </c>
    </row>
    <row r="347" spans="1:11">
      <c r="A347" s="2">
        <v>332</v>
      </c>
      <c r="B347">
        <v>14</v>
      </c>
      <c r="C347">
        <v>100</v>
      </c>
      <c r="D347">
        <v>0</v>
      </c>
      <c r="E347" s="29" t="s">
        <v>1338</v>
      </c>
      <c r="F347" s="29" t="s">
        <v>1348</v>
      </c>
      <c r="G347">
        <v>13</v>
      </c>
    </row>
    <row r="348" spans="1:11">
      <c r="A348" s="2">
        <v>333</v>
      </c>
      <c r="B348">
        <v>15</v>
      </c>
      <c r="C348">
        <v>100</v>
      </c>
      <c r="D348">
        <v>1</v>
      </c>
      <c r="E348" s="29" t="s">
        <v>1408</v>
      </c>
      <c r="F348" s="29" t="s">
        <v>1409</v>
      </c>
      <c r="G348">
        <v>13</v>
      </c>
      <c r="H348" t="s">
        <v>1388</v>
      </c>
      <c r="I348" t="s">
        <v>1389</v>
      </c>
      <c r="J348">
        <v>460101</v>
      </c>
      <c r="K348">
        <v>460104</v>
      </c>
    </row>
    <row r="349" spans="1:11">
      <c r="A349" s="2">
        <v>334</v>
      </c>
      <c r="B349">
        <v>16</v>
      </c>
      <c r="C349">
        <v>100</v>
      </c>
      <c r="D349">
        <v>0</v>
      </c>
      <c r="E349" s="29" t="s">
        <v>1355</v>
      </c>
      <c r="F349" s="29" t="s">
        <v>1345</v>
      </c>
      <c r="G349">
        <v>13</v>
      </c>
    </row>
    <row r="350" spans="1:11">
      <c r="A350" s="2">
        <v>335</v>
      </c>
      <c r="B350">
        <v>17</v>
      </c>
      <c r="C350">
        <v>100</v>
      </c>
      <c r="D350">
        <v>0</v>
      </c>
      <c r="E350" s="29" t="s">
        <v>1338</v>
      </c>
      <c r="F350" s="29" t="s">
        <v>1356</v>
      </c>
      <c r="G350">
        <v>13</v>
      </c>
    </row>
    <row r="351" spans="1:11">
      <c r="A351" s="2">
        <v>336</v>
      </c>
      <c r="B351">
        <v>18</v>
      </c>
      <c r="C351">
        <v>100</v>
      </c>
      <c r="D351">
        <v>0</v>
      </c>
      <c r="E351" s="29"/>
      <c r="F351" s="29" t="s">
        <v>1345</v>
      </c>
      <c r="G351">
        <v>13</v>
      </c>
    </row>
    <row r="352" spans="1:11">
      <c r="A352" s="2">
        <v>337</v>
      </c>
      <c r="B352">
        <v>19</v>
      </c>
      <c r="C352">
        <v>100</v>
      </c>
      <c r="D352">
        <v>0</v>
      </c>
      <c r="E352" s="29" t="s">
        <v>1338</v>
      </c>
      <c r="F352" s="29" t="s">
        <v>1410</v>
      </c>
      <c r="G352">
        <v>13</v>
      </c>
      <c r="I352" t="s">
        <v>1381</v>
      </c>
      <c r="J352">
        <v>400425</v>
      </c>
    </row>
    <row r="353" spans="1:11">
      <c r="A353" s="2">
        <v>338</v>
      </c>
      <c r="B353">
        <v>20</v>
      </c>
      <c r="C353">
        <v>100</v>
      </c>
      <c r="D353">
        <v>1</v>
      </c>
      <c r="E353" s="29" t="s">
        <v>1358</v>
      </c>
      <c r="F353" s="29" t="s">
        <v>1350</v>
      </c>
      <c r="G353">
        <v>13</v>
      </c>
    </row>
    <row r="354" spans="1:11">
      <c r="A354" s="2">
        <v>339</v>
      </c>
      <c r="B354">
        <v>21</v>
      </c>
      <c r="C354">
        <v>100</v>
      </c>
      <c r="D354">
        <v>0</v>
      </c>
      <c r="E354" s="29" t="s">
        <v>1355</v>
      </c>
      <c r="F354" s="29" t="s">
        <v>1359</v>
      </c>
      <c r="G354">
        <v>13</v>
      </c>
    </row>
    <row r="355" spans="1:11">
      <c r="A355" s="2">
        <v>340</v>
      </c>
      <c r="B355">
        <v>22</v>
      </c>
      <c r="C355">
        <v>100</v>
      </c>
      <c r="D355">
        <v>0</v>
      </c>
      <c r="E355" s="29"/>
      <c r="F355" s="29" t="s">
        <v>1348</v>
      </c>
      <c r="G355">
        <v>13</v>
      </c>
    </row>
    <row r="356" spans="1:11">
      <c r="A356" s="2">
        <v>341</v>
      </c>
      <c r="B356">
        <v>23</v>
      </c>
      <c r="C356">
        <v>100</v>
      </c>
      <c r="D356">
        <v>0</v>
      </c>
      <c r="E356" s="29" t="s">
        <v>1338</v>
      </c>
      <c r="F356" s="29" t="s">
        <v>1348</v>
      </c>
      <c r="G356">
        <v>13</v>
      </c>
    </row>
    <row r="357" spans="1:11">
      <c r="A357" s="2">
        <v>342</v>
      </c>
      <c r="B357">
        <v>24</v>
      </c>
      <c r="C357">
        <v>100</v>
      </c>
      <c r="D357">
        <v>0</v>
      </c>
      <c r="E357" s="29" t="s">
        <v>1360</v>
      </c>
      <c r="F357" s="29" t="s">
        <v>1345</v>
      </c>
      <c r="G357">
        <v>13</v>
      </c>
    </row>
    <row r="358" spans="1:11">
      <c r="A358" s="2">
        <v>343</v>
      </c>
      <c r="B358">
        <v>25</v>
      </c>
      <c r="C358">
        <v>100</v>
      </c>
      <c r="D358">
        <v>1</v>
      </c>
      <c r="E358" s="29" t="s">
        <v>1349</v>
      </c>
      <c r="F358" s="29" t="s">
        <v>1411</v>
      </c>
      <c r="G358">
        <v>13</v>
      </c>
      <c r="I358" t="s">
        <v>1392</v>
      </c>
      <c r="K358">
        <v>810045</v>
      </c>
    </row>
    <row r="359" spans="1:11">
      <c r="A359" s="2">
        <v>344</v>
      </c>
      <c r="B359">
        <v>26</v>
      </c>
      <c r="C359">
        <v>100</v>
      </c>
      <c r="D359">
        <v>0</v>
      </c>
      <c r="E359" s="29" t="s">
        <v>1338</v>
      </c>
      <c r="F359" s="29" t="s">
        <v>1345</v>
      </c>
      <c r="G359">
        <v>13</v>
      </c>
    </row>
    <row r="360" spans="1:11">
      <c r="A360" s="2">
        <v>345</v>
      </c>
      <c r="B360">
        <v>27</v>
      </c>
      <c r="C360">
        <v>100</v>
      </c>
      <c r="D360">
        <v>0</v>
      </c>
      <c r="E360" s="29" t="s">
        <v>1362</v>
      </c>
      <c r="F360" s="29" t="s">
        <v>1363</v>
      </c>
      <c r="G360">
        <v>13</v>
      </c>
    </row>
    <row r="361" spans="1:11">
      <c r="A361" s="2">
        <v>346</v>
      </c>
      <c r="B361">
        <v>28</v>
      </c>
      <c r="C361">
        <v>100</v>
      </c>
      <c r="D361">
        <v>0</v>
      </c>
      <c r="E361" s="29" t="s">
        <v>1342</v>
      </c>
      <c r="F361" s="29" t="s">
        <v>1348</v>
      </c>
      <c r="G361">
        <v>13</v>
      </c>
    </row>
    <row r="362" spans="1:11">
      <c r="A362" s="2">
        <v>347</v>
      </c>
      <c r="B362">
        <v>29</v>
      </c>
      <c r="C362">
        <v>100</v>
      </c>
      <c r="D362">
        <v>0</v>
      </c>
      <c r="E362" s="29"/>
      <c r="F362" s="29" t="s">
        <v>1348</v>
      </c>
      <c r="G362">
        <v>13</v>
      </c>
    </row>
    <row r="363" spans="1:11">
      <c r="A363" s="2">
        <v>348</v>
      </c>
      <c r="B363">
        <v>30</v>
      </c>
      <c r="C363">
        <v>100</v>
      </c>
      <c r="D363">
        <v>1</v>
      </c>
      <c r="E363" s="29" t="s">
        <v>1410</v>
      </c>
      <c r="F363" s="29" t="s">
        <v>1364</v>
      </c>
      <c r="G363">
        <v>13</v>
      </c>
      <c r="H363" t="s">
        <v>1381</v>
      </c>
      <c r="J363">
        <v>400425</v>
      </c>
    </row>
    <row r="364" spans="1:11">
      <c r="A364" s="2">
        <v>349</v>
      </c>
      <c r="B364">
        <v>31</v>
      </c>
      <c r="C364">
        <v>100</v>
      </c>
      <c r="D364">
        <v>0</v>
      </c>
      <c r="E364" s="29"/>
      <c r="F364" s="29" t="s">
        <v>1345</v>
      </c>
      <c r="G364">
        <v>13</v>
      </c>
    </row>
    <row r="365" spans="1:11">
      <c r="A365" s="2">
        <v>350</v>
      </c>
      <c r="B365">
        <v>32</v>
      </c>
      <c r="C365">
        <v>100</v>
      </c>
      <c r="D365">
        <v>0</v>
      </c>
      <c r="E365" s="29"/>
      <c r="F365" s="29" t="s">
        <v>1348</v>
      </c>
      <c r="G365">
        <v>13</v>
      </c>
    </row>
    <row r="366" spans="1:11">
      <c r="A366" s="2">
        <v>351</v>
      </c>
      <c r="B366">
        <v>33</v>
      </c>
      <c r="C366">
        <v>100</v>
      </c>
      <c r="D366">
        <v>0</v>
      </c>
      <c r="E366" s="29"/>
      <c r="F366" s="29" t="s">
        <v>1345</v>
      </c>
      <c r="G366">
        <v>13</v>
      </c>
    </row>
    <row r="367" spans="1:11">
      <c r="A367" s="2">
        <v>352</v>
      </c>
      <c r="B367">
        <v>34</v>
      </c>
      <c r="C367">
        <v>100</v>
      </c>
      <c r="D367">
        <v>0</v>
      </c>
      <c r="E367" s="29"/>
      <c r="F367" s="29" t="s">
        <v>1345</v>
      </c>
      <c r="G367">
        <v>13</v>
      </c>
    </row>
    <row r="368" spans="1:11">
      <c r="A368" s="2">
        <v>353</v>
      </c>
      <c r="B368">
        <v>35</v>
      </c>
      <c r="C368">
        <v>100</v>
      </c>
      <c r="D368">
        <v>2</v>
      </c>
      <c r="E368" s="29"/>
      <c r="F368" s="29" t="s">
        <v>1412</v>
      </c>
      <c r="G368">
        <v>13</v>
      </c>
      <c r="I368" t="s">
        <v>1381</v>
      </c>
      <c r="K368">
        <v>400425</v>
      </c>
    </row>
    <row r="369" spans="1:11">
      <c r="A369" s="2">
        <v>354</v>
      </c>
      <c r="B369">
        <v>36</v>
      </c>
      <c r="C369">
        <v>100</v>
      </c>
      <c r="D369">
        <v>0</v>
      </c>
      <c r="E369" s="29"/>
      <c r="F369" s="29" t="s">
        <v>1345</v>
      </c>
      <c r="G369">
        <v>13</v>
      </c>
    </row>
    <row r="370" spans="1:11">
      <c r="A370" s="2">
        <v>355</v>
      </c>
      <c r="B370">
        <v>37</v>
      </c>
      <c r="C370">
        <v>100</v>
      </c>
      <c r="D370">
        <v>0</v>
      </c>
      <c r="E370" s="29"/>
      <c r="F370" s="29" t="s">
        <v>1345</v>
      </c>
      <c r="G370">
        <v>13</v>
      </c>
    </row>
    <row r="371" spans="1:11">
      <c r="A371" s="2">
        <v>356</v>
      </c>
      <c r="B371">
        <v>38</v>
      </c>
      <c r="C371">
        <v>100</v>
      </c>
      <c r="D371">
        <v>0</v>
      </c>
      <c r="E371" s="29"/>
      <c r="F371" s="29" t="s">
        <v>1352</v>
      </c>
      <c r="G371">
        <v>13</v>
      </c>
      <c r="I371" t="s">
        <v>1413</v>
      </c>
      <c r="J371">
        <v>400435</v>
      </c>
      <c r="K371">
        <v>400415</v>
      </c>
    </row>
    <row r="372" spans="1:11">
      <c r="A372" s="2">
        <v>357</v>
      </c>
      <c r="B372">
        <v>39</v>
      </c>
      <c r="C372">
        <v>100</v>
      </c>
      <c r="D372">
        <v>0</v>
      </c>
      <c r="E372" s="29"/>
      <c r="F372" s="29" t="s">
        <v>1345</v>
      </c>
      <c r="G372">
        <v>13</v>
      </c>
      <c r="I372" t="s">
        <v>1376</v>
      </c>
      <c r="J372">
        <v>420071</v>
      </c>
      <c r="K372">
        <v>420061</v>
      </c>
    </row>
    <row r="373" spans="1:11">
      <c r="A373" s="2">
        <v>358</v>
      </c>
      <c r="B373">
        <v>40</v>
      </c>
      <c r="C373">
        <v>100</v>
      </c>
      <c r="D373">
        <v>1</v>
      </c>
      <c r="E373" s="29"/>
      <c r="F373" s="29" t="s">
        <v>1364</v>
      </c>
      <c r="G373">
        <v>13</v>
      </c>
      <c r="I373" t="s">
        <v>1377</v>
      </c>
      <c r="J373">
        <v>420114</v>
      </c>
      <c r="K373">
        <v>420124</v>
      </c>
    </row>
    <row r="374" spans="1:11">
      <c r="A374" s="2">
        <v>359</v>
      </c>
      <c r="B374">
        <v>41</v>
      </c>
      <c r="C374">
        <v>100</v>
      </c>
      <c r="D374">
        <v>0</v>
      </c>
      <c r="E374" s="29"/>
      <c r="F374" s="29" t="s">
        <v>1366</v>
      </c>
      <c r="G374">
        <v>13</v>
      </c>
      <c r="I374" t="s">
        <v>1378</v>
      </c>
      <c r="J374">
        <v>460105</v>
      </c>
      <c r="K374">
        <v>460097</v>
      </c>
    </row>
    <row r="375" spans="1:11">
      <c r="A375" s="2">
        <v>360</v>
      </c>
      <c r="B375">
        <v>42</v>
      </c>
      <c r="C375">
        <v>100</v>
      </c>
      <c r="D375">
        <v>1</v>
      </c>
      <c r="E375" s="29"/>
      <c r="F375" s="29" t="s">
        <v>1367</v>
      </c>
      <c r="G375">
        <v>13</v>
      </c>
      <c r="I375" t="s">
        <v>1379</v>
      </c>
      <c r="J375">
        <v>460108</v>
      </c>
      <c r="K375">
        <v>460100</v>
      </c>
    </row>
    <row r="376" spans="1:11">
      <c r="A376" s="2">
        <v>361</v>
      </c>
      <c r="B376">
        <v>1</v>
      </c>
      <c r="C376">
        <v>100</v>
      </c>
      <c r="D376">
        <v>1</v>
      </c>
      <c r="E376" s="29" t="s">
        <v>1338</v>
      </c>
      <c r="F376" s="29" t="s">
        <v>1339</v>
      </c>
      <c r="G376">
        <v>14</v>
      </c>
      <c r="I376" t="s">
        <v>1195</v>
      </c>
      <c r="J376">
        <v>810046</v>
      </c>
      <c r="K376">
        <v>810044</v>
      </c>
    </row>
    <row r="377" spans="1:11">
      <c r="A377" s="2">
        <v>362</v>
      </c>
      <c r="B377">
        <v>2</v>
      </c>
      <c r="C377">
        <v>100</v>
      </c>
      <c r="D377">
        <v>0</v>
      </c>
      <c r="E377" s="29" t="s">
        <v>1338</v>
      </c>
      <c r="F377" s="29" t="s">
        <v>1340</v>
      </c>
      <c r="G377">
        <v>14</v>
      </c>
    </row>
    <row r="378" spans="1:11">
      <c r="A378" s="2">
        <v>363</v>
      </c>
      <c r="B378">
        <v>3</v>
      </c>
      <c r="C378">
        <v>100</v>
      </c>
      <c r="D378">
        <v>0</v>
      </c>
      <c r="E378" s="29" t="s">
        <v>1338</v>
      </c>
      <c r="F378" s="29" t="s">
        <v>1368</v>
      </c>
      <c r="G378">
        <v>14</v>
      </c>
      <c r="I378" t="s">
        <v>1381</v>
      </c>
      <c r="K378">
        <v>400435</v>
      </c>
    </row>
    <row r="379" spans="1:11">
      <c r="A379" s="2">
        <v>364</v>
      </c>
      <c r="B379">
        <v>4</v>
      </c>
      <c r="C379">
        <v>100</v>
      </c>
      <c r="D379">
        <v>0</v>
      </c>
      <c r="E379" s="29" t="s">
        <v>1342</v>
      </c>
      <c r="F379" s="29" t="s">
        <v>1339</v>
      </c>
      <c r="G379">
        <v>14</v>
      </c>
    </row>
    <row r="380" spans="1:11">
      <c r="A380" s="2">
        <v>365</v>
      </c>
      <c r="B380">
        <v>5</v>
      </c>
      <c r="C380">
        <v>100</v>
      </c>
      <c r="D380">
        <v>0</v>
      </c>
      <c r="E380" s="29" t="s">
        <v>1414</v>
      </c>
      <c r="F380" s="29" t="s">
        <v>1415</v>
      </c>
      <c r="G380">
        <v>14</v>
      </c>
      <c r="H380" t="s">
        <v>1384</v>
      </c>
      <c r="I380" t="s">
        <v>1385</v>
      </c>
      <c r="J380">
        <v>420071</v>
      </c>
      <c r="K380">
        <v>420114</v>
      </c>
    </row>
    <row r="381" spans="1:11">
      <c r="A381" s="2">
        <v>366</v>
      </c>
      <c r="B381">
        <v>6</v>
      </c>
      <c r="C381">
        <v>100</v>
      </c>
      <c r="D381">
        <v>0</v>
      </c>
      <c r="E381" s="29" t="s">
        <v>1338</v>
      </c>
      <c r="F381" s="29" t="s">
        <v>1345</v>
      </c>
      <c r="G381">
        <v>14</v>
      </c>
    </row>
    <row r="382" spans="1:11">
      <c r="A382" s="2">
        <v>367</v>
      </c>
      <c r="B382">
        <v>7</v>
      </c>
      <c r="C382">
        <v>100</v>
      </c>
      <c r="D382">
        <v>1</v>
      </c>
      <c r="E382" s="29" t="s">
        <v>1338</v>
      </c>
      <c r="F382" s="29" t="s">
        <v>1346</v>
      </c>
      <c r="G382">
        <v>14</v>
      </c>
    </row>
    <row r="383" spans="1:11">
      <c r="A383" s="2">
        <v>368</v>
      </c>
      <c r="B383">
        <v>8</v>
      </c>
      <c r="C383">
        <v>100</v>
      </c>
      <c r="D383">
        <v>0</v>
      </c>
      <c r="E383" s="29"/>
      <c r="F383" s="29" t="s">
        <v>1347</v>
      </c>
      <c r="G383">
        <v>14</v>
      </c>
    </row>
    <row r="384" spans="1:11">
      <c r="A384" s="2">
        <v>369</v>
      </c>
      <c r="B384">
        <v>9</v>
      </c>
      <c r="C384">
        <v>100</v>
      </c>
      <c r="D384">
        <v>0</v>
      </c>
      <c r="E384" s="29" t="s">
        <v>1338</v>
      </c>
      <c r="F384" s="29" t="s">
        <v>1348</v>
      </c>
      <c r="G384">
        <v>14</v>
      </c>
    </row>
    <row r="385" spans="1:11">
      <c r="A385" s="2">
        <v>370</v>
      </c>
      <c r="B385">
        <v>10</v>
      </c>
      <c r="C385">
        <v>100</v>
      </c>
      <c r="D385">
        <v>0</v>
      </c>
      <c r="E385" s="29" t="s">
        <v>1349</v>
      </c>
      <c r="F385" s="29" t="s">
        <v>1350</v>
      </c>
      <c r="G385">
        <v>14</v>
      </c>
    </row>
    <row r="386" spans="1:11">
      <c r="A386" s="2">
        <v>371</v>
      </c>
      <c r="B386">
        <v>11</v>
      </c>
      <c r="C386">
        <v>100</v>
      </c>
      <c r="D386">
        <v>0</v>
      </c>
      <c r="E386" s="29" t="s">
        <v>1338</v>
      </c>
      <c r="F386" s="29" t="s">
        <v>1345</v>
      </c>
      <c r="G386">
        <v>14</v>
      </c>
    </row>
    <row r="387" spans="1:11">
      <c r="A387" s="2">
        <v>372</v>
      </c>
      <c r="B387">
        <v>12</v>
      </c>
      <c r="C387">
        <v>100</v>
      </c>
      <c r="D387">
        <v>0</v>
      </c>
      <c r="E387" s="29" t="s">
        <v>1351</v>
      </c>
      <c r="F387" s="29" t="s">
        <v>1352</v>
      </c>
      <c r="G387">
        <v>14</v>
      </c>
    </row>
    <row r="388" spans="1:11">
      <c r="A388" s="2">
        <v>373</v>
      </c>
      <c r="B388">
        <v>13</v>
      </c>
      <c r="C388">
        <v>100</v>
      </c>
      <c r="D388">
        <v>0</v>
      </c>
      <c r="E388" s="29"/>
      <c r="F388" s="29" t="s">
        <v>1345</v>
      </c>
      <c r="G388">
        <v>14</v>
      </c>
    </row>
    <row r="389" spans="1:11">
      <c r="A389" s="2">
        <v>374</v>
      </c>
      <c r="B389">
        <v>14</v>
      </c>
      <c r="C389">
        <v>100</v>
      </c>
      <c r="D389">
        <v>0</v>
      </c>
      <c r="E389" s="29" t="s">
        <v>1338</v>
      </c>
      <c r="F389" s="29" t="s">
        <v>1348</v>
      </c>
      <c r="G389">
        <v>14</v>
      </c>
    </row>
    <row r="390" spans="1:11">
      <c r="A390" s="2">
        <v>375</v>
      </c>
      <c r="B390">
        <v>15</v>
      </c>
      <c r="C390">
        <v>100</v>
      </c>
      <c r="D390">
        <v>0</v>
      </c>
      <c r="E390" s="29" t="s">
        <v>1416</v>
      </c>
      <c r="F390" s="29" t="s">
        <v>1417</v>
      </c>
      <c r="G390">
        <v>14</v>
      </c>
      <c r="H390" t="s">
        <v>1388</v>
      </c>
      <c r="I390" t="s">
        <v>1389</v>
      </c>
      <c r="J390">
        <v>460105</v>
      </c>
      <c r="K390">
        <v>460108</v>
      </c>
    </row>
    <row r="391" spans="1:11">
      <c r="A391" s="2">
        <v>376</v>
      </c>
      <c r="B391">
        <v>16</v>
      </c>
      <c r="C391">
        <v>100</v>
      </c>
      <c r="D391">
        <v>0</v>
      </c>
      <c r="E391" s="29" t="s">
        <v>1355</v>
      </c>
      <c r="F391" s="29" t="s">
        <v>1345</v>
      </c>
      <c r="G391">
        <v>14</v>
      </c>
    </row>
    <row r="392" spans="1:11">
      <c r="A392" s="2">
        <v>377</v>
      </c>
      <c r="B392">
        <v>17</v>
      </c>
      <c r="C392">
        <v>100</v>
      </c>
      <c r="D392">
        <v>0</v>
      </c>
      <c r="E392" s="29" t="s">
        <v>1338</v>
      </c>
      <c r="F392" s="29" t="s">
        <v>1356</v>
      </c>
      <c r="G392">
        <v>14</v>
      </c>
    </row>
    <row r="393" spans="1:11">
      <c r="A393" s="2">
        <v>378</v>
      </c>
      <c r="B393">
        <v>18</v>
      </c>
      <c r="C393">
        <v>100</v>
      </c>
      <c r="D393">
        <v>0</v>
      </c>
      <c r="E393" s="29"/>
      <c r="F393" s="29" t="s">
        <v>1345</v>
      </c>
      <c r="G393">
        <v>14</v>
      </c>
    </row>
    <row r="394" spans="1:11">
      <c r="A394" s="2">
        <v>379</v>
      </c>
      <c r="B394">
        <v>19</v>
      </c>
      <c r="C394">
        <v>100</v>
      </c>
      <c r="D394">
        <v>0</v>
      </c>
      <c r="E394" s="29" t="s">
        <v>1338</v>
      </c>
      <c r="F394" s="29" t="s">
        <v>1372</v>
      </c>
      <c r="G394">
        <v>14</v>
      </c>
      <c r="I394" t="s">
        <v>1381</v>
      </c>
      <c r="K394">
        <v>400435</v>
      </c>
    </row>
    <row r="395" spans="1:11">
      <c r="A395" s="2">
        <v>380</v>
      </c>
      <c r="B395">
        <v>20</v>
      </c>
      <c r="C395">
        <v>100</v>
      </c>
      <c r="D395">
        <v>0</v>
      </c>
      <c r="E395" s="29" t="s">
        <v>1358</v>
      </c>
      <c r="F395" s="29" t="s">
        <v>1350</v>
      </c>
      <c r="G395">
        <v>14</v>
      </c>
    </row>
    <row r="396" spans="1:11">
      <c r="A396" s="2">
        <v>381</v>
      </c>
      <c r="B396">
        <v>21</v>
      </c>
      <c r="C396">
        <v>100</v>
      </c>
      <c r="D396">
        <v>0</v>
      </c>
      <c r="E396" s="29" t="s">
        <v>1355</v>
      </c>
      <c r="F396" s="29" t="s">
        <v>1359</v>
      </c>
      <c r="G396">
        <v>14</v>
      </c>
    </row>
    <row r="397" spans="1:11">
      <c r="A397" s="2">
        <v>382</v>
      </c>
      <c r="B397">
        <v>22</v>
      </c>
      <c r="C397">
        <v>100</v>
      </c>
      <c r="D397">
        <v>0</v>
      </c>
      <c r="E397" s="29"/>
      <c r="F397" s="29" t="s">
        <v>1348</v>
      </c>
      <c r="G397">
        <v>14</v>
      </c>
    </row>
    <row r="398" spans="1:11">
      <c r="A398" s="2">
        <v>383</v>
      </c>
      <c r="B398">
        <v>23</v>
      </c>
      <c r="C398">
        <v>100</v>
      </c>
      <c r="D398">
        <v>0</v>
      </c>
      <c r="E398" s="29" t="s">
        <v>1338</v>
      </c>
      <c r="F398" s="29" t="s">
        <v>1348</v>
      </c>
      <c r="G398">
        <v>14</v>
      </c>
    </row>
    <row r="399" spans="1:11">
      <c r="A399" s="2">
        <v>384</v>
      </c>
      <c r="B399">
        <v>24</v>
      </c>
      <c r="C399">
        <v>100</v>
      </c>
      <c r="D399">
        <v>0</v>
      </c>
      <c r="E399" s="29" t="s">
        <v>1360</v>
      </c>
      <c r="F399" s="29" t="s">
        <v>1345</v>
      </c>
      <c r="G399">
        <v>14</v>
      </c>
    </row>
    <row r="400" spans="1:11">
      <c r="A400" s="2">
        <v>385</v>
      </c>
      <c r="B400">
        <v>25</v>
      </c>
      <c r="C400">
        <v>100</v>
      </c>
      <c r="D400">
        <v>0</v>
      </c>
      <c r="E400" s="29" t="s">
        <v>1349</v>
      </c>
      <c r="F400" s="29" t="s">
        <v>1418</v>
      </c>
      <c r="G400">
        <v>14</v>
      </c>
      <c r="I400" t="s">
        <v>1392</v>
      </c>
      <c r="K400">
        <v>810046</v>
      </c>
    </row>
    <row r="401" spans="1:11">
      <c r="A401" s="2">
        <v>386</v>
      </c>
      <c r="B401">
        <v>26</v>
      </c>
      <c r="C401">
        <v>100</v>
      </c>
      <c r="D401">
        <v>0</v>
      </c>
      <c r="E401" s="29" t="s">
        <v>1338</v>
      </c>
      <c r="F401" s="29" t="s">
        <v>1345</v>
      </c>
      <c r="G401">
        <v>14</v>
      </c>
    </row>
    <row r="402" spans="1:11">
      <c r="A402" s="2">
        <v>387</v>
      </c>
      <c r="B402">
        <v>27</v>
      </c>
      <c r="C402">
        <v>100</v>
      </c>
      <c r="D402">
        <v>0</v>
      </c>
      <c r="E402" s="29" t="s">
        <v>1362</v>
      </c>
      <c r="F402" s="29" t="s">
        <v>1363</v>
      </c>
      <c r="G402">
        <v>14</v>
      </c>
    </row>
    <row r="403" spans="1:11">
      <c r="A403" s="2">
        <v>388</v>
      </c>
      <c r="B403">
        <v>28</v>
      </c>
      <c r="C403">
        <v>100</v>
      </c>
      <c r="D403">
        <v>0</v>
      </c>
      <c r="E403" s="29" t="s">
        <v>1342</v>
      </c>
      <c r="F403" s="29" t="s">
        <v>1348</v>
      </c>
      <c r="G403">
        <v>14</v>
      </c>
    </row>
    <row r="404" spans="1:11">
      <c r="A404" s="2">
        <v>389</v>
      </c>
      <c r="B404">
        <v>29</v>
      </c>
      <c r="C404">
        <v>100</v>
      </c>
      <c r="D404">
        <v>0</v>
      </c>
      <c r="E404" s="29"/>
      <c r="F404" s="29" t="s">
        <v>1348</v>
      </c>
      <c r="G404">
        <v>14</v>
      </c>
    </row>
    <row r="405" spans="1:11">
      <c r="A405" s="2">
        <v>390</v>
      </c>
      <c r="B405">
        <v>30</v>
      </c>
      <c r="C405">
        <v>100</v>
      </c>
      <c r="D405">
        <v>0</v>
      </c>
      <c r="E405" s="29" t="s">
        <v>1372</v>
      </c>
      <c r="F405" s="29" t="s">
        <v>1364</v>
      </c>
      <c r="G405">
        <v>14</v>
      </c>
      <c r="H405" t="s">
        <v>1381</v>
      </c>
      <c r="J405">
        <v>400435</v>
      </c>
    </row>
    <row r="406" spans="1:11">
      <c r="A406" s="2">
        <v>391</v>
      </c>
      <c r="B406">
        <v>31</v>
      </c>
      <c r="C406">
        <v>100</v>
      </c>
      <c r="D406">
        <v>0</v>
      </c>
      <c r="E406" s="29"/>
      <c r="F406" s="29" t="s">
        <v>1345</v>
      </c>
      <c r="G406">
        <v>14</v>
      </c>
    </row>
    <row r="407" spans="1:11">
      <c r="A407" s="2">
        <v>392</v>
      </c>
      <c r="B407">
        <v>32</v>
      </c>
      <c r="C407">
        <v>100</v>
      </c>
      <c r="D407">
        <v>0</v>
      </c>
      <c r="E407" s="29"/>
      <c r="F407" s="29" t="s">
        <v>1348</v>
      </c>
      <c r="G407">
        <v>14</v>
      </c>
    </row>
    <row r="408" spans="1:11">
      <c r="A408" s="2">
        <v>393</v>
      </c>
      <c r="B408">
        <v>33</v>
      </c>
      <c r="C408">
        <v>100</v>
      </c>
      <c r="D408">
        <v>0</v>
      </c>
      <c r="E408" s="29"/>
      <c r="F408" s="29" t="s">
        <v>1345</v>
      </c>
      <c r="G408">
        <v>14</v>
      </c>
    </row>
    <row r="409" spans="1:11">
      <c r="A409" s="2">
        <v>394</v>
      </c>
      <c r="B409">
        <v>34</v>
      </c>
      <c r="C409">
        <v>100</v>
      </c>
      <c r="D409">
        <v>0</v>
      </c>
      <c r="E409" s="29"/>
      <c r="F409" s="29" t="s">
        <v>1345</v>
      </c>
      <c r="G409">
        <v>14</v>
      </c>
    </row>
    <row r="410" spans="1:11">
      <c r="A410" s="2">
        <v>395</v>
      </c>
      <c r="B410">
        <v>35</v>
      </c>
      <c r="C410">
        <v>100</v>
      </c>
      <c r="D410">
        <v>0</v>
      </c>
      <c r="E410" s="29"/>
      <c r="F410" s="29" t="s">
        <v>1374</v>
      </c>
      <c r="G410">
        <v>14</v>
      </c>
      <c r="I410" t="s">
        <v>1381</v>
      </c>
      <c r="K410">
        <v>400435</v>
      </c>
    </row>
    <row r="411" spans="1:11">
      <c r="A411" s="2">
        <v>396</v>
      </c>
      <c r="B411">
        <v>36</v>
      </c>
      <c r="C411">
        <v>100</v>
      </c>
      <c r="D411">
        <v>0</v>
      </c>
      <c r="E411" s="29"/>
      <c r="F411" s="29" t="s">
        <v>1345</v>
      </c>
      <c r="G411">
        <v>14</v>
      </c>
    </row>
    <row r="412" spans="1:11">
      <c r="A412" s="2">
        <v>397</v>
      </c>
      <c r="B412">
        <v>37</v>
      </c>
      <c r="C412">
        <v>100</v>
      </c>
      <c r="D412">
        <v>0</v>
      </c>
      <c r="E412" s="29"/>
      <c r="F412" s="29" t="s">
        <v>1345</v>
      </c>
      <c r="G412">
        <v>14</v>
      </c>
    </row>
    <row r="413" spans="1:11">
      <c r="A413" s="2">
        <v>398</v>
      </c>
      <c r="B413">
        <v>38</v>
      </c>
      <c r="C413">
        <v>100</v>
      </c>
      <c r="D413">
        <v>0</v>
      </c>
      <c r="E413" s="29"/>
      <c r="F413" s="29" t="s">
        <v>1352</v>
      </c>
      <c r="G413">
        <v>14</v>
      </c>
    </row>
    <row r="414" spans="1:11">
      <c r="A414" s="2">
        <v>399</v>
      </c>
      <c r="B414">
        <v>39</v>
      </c>
      <c r="C414">
        <v>100</v>
      </c>
      <c r="D414">
        <v>0</v>
      </c>
      <c r="E414" s="29"/>
      <c r="F414" s="29" t="s">
        <v>1345</v>
      </c>
      <c r="G414">
        <v>14</v>
      </c>
    </row>
    <row r="415" spans="1:11">
      <c r="A415" s="2">
        <v>400</v>
      </c>
      <c r="B415">
        <v>40</v>
      </c>
      <c r="C415">
        <v>100</v>
      </c>
      <c r="D415">
        <v>0</v>
      </c>
      <c r="E415" s="29"/>
      <c r="F415" s="29" t="s">
        <v>1364</v>
      </c>
      <c r="G415">
        <v>14</v>
      </c>
    </row>
    <row r="416" spans="1:11">
      <c r="A416" s="2">
        <v>401</v>
      </c>
      <c r="B416">
        <v>41</v>
      </c>
      <c r="C416">
        <v>100</v>
      </c>
      <c r="D416">
        <v>0</v>
      </c>
      <c r="E416" s="29"/>
      <c r="F416" s="29" t="s">
        <v>1366</v>
      </c>
      <c r="G416">
        <v>14</v>
      </c>
    </row>
    <row r="417" spans="1:7">
      <c r="A417" s="2">
        <v>402</v>
      </c>
      <c r="B417">
        <v>42</v>
      </c>
      <c r="C417">
        <v>100</v>
      </c>
      <c r="D417">
        <v>0</v>
      </c>
      <c r="E417" s="29"/>
      <c r="F417" s="29" t="s">
        <v>1367</v>
      </c>
      <c r="G417">
        <v>14</v>
      </c>
    </row>
    <row r="418" spans="1:7">
      <c r="A418">
        <v>403</v>
      </c>
      <c r="B418">
        <v>1</v>
      </c>
      <c r="C418">
        <v>100</v>
      </c>
      <c r="D418">
        <v>0</v>
      </c>
      <c r="E418" s="16" t="s">
        <v>1419</v>
      </c>
      <c r="F418" s="16" t="s">
        <v>1420</v>
      </c>
      <c r="G418">
        <v>15</v>
      </c>
    </row>
    <row r="419" spans="1:7">
      <c r="A419">
        <v>404</v>
      </c>
      <c r="B419">
        <v>2</v>
      </c>
      <c r="C419">
        <v>100</v>
      </c>
      <c r="D419">
        <v>0</v>
      </c>
      <c r="E419" s="16" t="s">
        <v>1421</v>
      </c>
      <c r="F419" s="16" t="s">
        <v>1422</v>
      </c>
      <c r="G419">
        <v>15</v>
      </c>
    </row>
    <row r="420" spans="1:7">
      <c r="A420">
        <v>405</v>
      </c>
      <c r="B420">
        <v>3</v>
      </c>
      <c r="C420">
        <v>100</v>
      </c>
      <c r="D420">
        <v>0</v>
      </c>
      <c r="E420" s="16" t="s">
        <v>1423</v>
      </c>
      <c r="F420" s="16" t="s">
        <v>1424</v>
      </c>
      <c r="G420">
        <v>15</v>
      </c>
    </row>
    <row r="421" spans="1:7">
      <c r="A421">
        <v>406</v>
      </c>
      <c r="B421">
        <v>4</v>
      </c>
      <c r="C421">
        <v>100</v>
      </c>
      <c r="D421">
        <v>0</v>
      </c>
      <c r="E421" s="16" t="s">
        <v>1425</v>
      </c>
      <c r="F421" s="16" t="s">
        <v>1426</v>
      </c>
      <c r="G421">
        <v>15</v>
      </c>
    </row>
    <row r="422" spans="1:7">
      <c r="A422">
        <v>407</v>
      </c>
      <c r="B422">
        <v>5</v>
      </c>
      <c r="C422">
        <v>100</v>
      </c>
      <c r="D422">
        <v>0</v>
      </c>
      <c r="E422" s="16" t="s">
        <v>1427</v>
      </c>
      <c r="F422" s="16" t="s">
        <v>1428</v>
      </c>
      <c r="G422">
        <v>15</v>
      </c>
    </row>
    <row r="423" spans="1:7">
      <c r="A423">
        <v>408</v>
      </c>
      <c r="B423">
        <v>6</v>
      </c>
      <c r="C423">
        <v>100</v>
      </c>
      <c r="D423">
        <v>0</v>
      </c>
      <c r="E423" s="16" t="s">
        <v>1419</v>
      </c>
      <c r="F423" s="16" t="s">
        <v>1362</v>
      </c>
      <c r="G423">
        <v>15</v>
      </c>
    </row>
    <row r="424" spans="1:7">
      <c r="A424">
        <v>409</v>
      </c>
      <c r="B424">
        <v>7</v>
      </c>
      <c r="C424">
        <v>100</v>
      </c>
      <c r="D424">
        <v>0</v>
      </c>
      <c r="E424" s="16" t="s">
        <v>1429</v>
      </c>
      <c r="F424" s="16" t="s">
        <v>1430</v>
      </c>
      <c r="G424">
        <v>15</v>
      </c>
    </row>
    <row r="425" spans="1:7">
      <c r="A425">
        <v>410</v>
      </c>
      <c r="B425">
        <v>8</v>
      </c>
      <c r="C425">
        <v>100</v>
      </c>
      <c r="D425">
        <v>0</v>
      </c>
      <c r="E425" s="16" t="s">
        <v>1431</v>
      </c>
      <c r="F425" s="16" t="s">
        <v>1422</v>
      </c>
      <c r="G425">
        <v>15</v>
      </c>
    </row>
    <row r="426" spans="1:7">
      <c r="A426">
        <v>411</v>
      </c>
      <c r="B426">
        <v>9</v>
      </c>
      <c r="C426">
        <v>100</v>
      </c>
      <c r="D426">
        <v>0</v>
      </c>
      <c r="E426" s="16" t="s">
        <v>1432</v>
      </c>
      <c r="F426" s="16" t="s">
        <v>1424</v>
      </c>
      <c r="G426">
        <v>15</v>
      </c>
    </row>
    <row r="427" spans="1:7">
      <c r="A427">
        <v>412</v>
      </c>
      <c r="B427">
        <v>10</v>
      </c>
      <c r="C427">
        <v>100</v>
      </c>
      <c r="D427">
        <v>0</v>
      </c>
      <c r="E427" s="16" t="s">
        <v>1427</v>
      </c>
      <c r="F427" s="16" t="s">
        <v>1426</v>
      </c>
      <c r="G427">
        <v>15</v>
      </c>
    </row>
    <row r="428" spans="1:7">
      <c r="A428">
        <v>413</v>
      </c>
      <c r="B428">
        <v>11</v>
      </c>
      <c r="C428">
        <v>100</v>
      </c>
      <c r="D428">
        <v>0</v>
      </c>
      <c r="E428" s="16" t="s">
        <v>1419</v>
      </c>
      <c r="F428" s="16" t="s">
        <v>1428</v>
      </c>
      <c r="G428">
        <v>15</v>
      </c>
    </row>
    <row r="429" spans="1:7">
      <c r="A429">
        <v>414</v>
      </c>
      <c r="B429">
        <v>12</v>
      </c>
      <c r="C429">
        <v>100</v>
      </c>
      <c r="D429">
        <v>0</v>
      </c>
      <c r="E429" s="16" t="s">
        <v>1433</v>
      </c>
      <c r="F429" s="16" t="s">
        <v>1362</v>
      </c>
      <c r="G429">
        <v>15</v>
      </c>
    </row>
    <row r="430" spans="1:7">
      <c r="A430">
        <v>415</v>
      </c>
      <c r="B430">
        <v>13</v>
      </c>
      <c r="C430">
        <v>100</v>
      </c>
      <c r="D430">
        <v>0</v>
      </c>
      <c r="E430" s="16" t="s">
        <v>1434</v>
      </c>
      <c r="F430" s="16" t="s">
        <v>1435</v>
      </c>
      <c r="G430">
        <v>15</v>
      </c>
    </row>
    <row r="431" spans="1:7">
      <c r="A431">
        <v>416</v>
      </c>
      <c r="B431">
        <v>14</v>
      </c>
      <c r="C431">
        <v>100</v>
      </c>
      <c r="D431">
        <v>0</v>
      </c>
      <c r="E431" s="16" t="s">
        <v>1436</v>
      </c>
      <c r="F431" s="16" t="s">
        <v>1422</v>
      </c>
      <c r="G431">
        <v>15</v>
      </c>
    </row>
    <row r="432" spans="1:7">
      <c r="A432">
        <v>417</v>
      </c>
      <c r="B432">
        <v>15</v>
      </c>
      <c r="C432">
        <v>100</v>
      </c>
      <c r="D432">
        <v>0</v>
      </c>
      <c r="E432" s="16" t="s">
        <v>1437</v>
      </c>
      <c r="F432" s="16" t="s">
        <v>1424</v>
      </c>
      <c r="G432">
        <v>15</v>
      </c>
    </row>
    <row r="433" spans="1:7">
      <c r="A433">
        <v>418</v>
      </c>
      <c r="B433">
        <v>16</v>
      </c>
      <c r="C433">
        <v>100</v>
      </c>
      <c r="D433">
        <v>0</v>
      </c>
      <c r="E433" s="16" t="s">
        <v>1419</v>
      </c>
      <c r="F433" s="16" t="s">
        <v>1426</v>
      </c>
      <c r="G433">
        <v>15</v>
      </c>
    </row>
    <row r="434" spans="1:7">
      <c r="A434">
        <v>419</v>
      </c>
      <c r="B434">
        <v>17</v>
      </c>
      <c r="C434">
        <v>100</v>
      </c>
      <c r="D434">
        <v>0</v>
      </c>
      <c r="E434" s="16" t="s">
        <v>1429</v>
      </c>
      <c r="F434" s="16" t="s">
        <v>1428</v>
      </c>
      <c r="G434">
        <v>15</v>
      </c>
    </row>
    <row r="435" spans="1:7">
      <c r="A435">
        <v>420</v>
      </c>
      <c r="B435">
        <v>18</v>
      </c>
      <c r="C435">
        <v>100</v>
      </c>
      <c r="D435">
        <v>0</v>
      </c>
      <c r="E435" s="16" t="s">
        <v>1438</v>
      </c>
      <c r="F435" s="16" t="s">
        <v>1439</v>
      </c>
      <c r="G435">
        <v>15</v>
      </c>
    </row>
    <row r="436" spans="1:7">
      <c r="A436">
        <v>421</v>
      </c>
      <c r="B436">
        <v>19</v>
      </c>
      <c r="C436">
        <v>100</v>
      </c>
      <c r="D436">
        <v>0</v>
      </c>
      <c r="E436" s="16" t="s">
        <v>1425</v>
      </c>
      <c r="F436" s="16" t="s">
        <v>1440</v>
      </c>
      <c r="G436">
        <v>15</v>
      </c>
    </row>
    <row r="437" spans="1:7">
      <c r="A437">
        <v>422</v>
      </c>
      <c r="B437">
        <v>20</v>
      </c>
      <c r="C437">
        <v>100</v>
      </c>
      <c r="D437">
        <v>0</v>
      </c>
      <c r="E437" s="16" t="s">
        <v>1437</v>
      </c>
      <c r="F437" s="16" t="s">
        <v>1422</v>
      </c>
      <c r="G437">
        <v>15</v>
      </c>
    </row>
    <row r="438" spans="1:7">
      <c r="A438">
        <v>423</v>
      </c>
      <c r="B438">
        <v>21</v>
      </c>
      <c r="C438">
        <v>100</v>
      </c>
      <c r="D438">
        <v>0</v>
      </c>
      <c r="E438" s="16" t="s">
        <v>1419</v>
      </c>
      <c r="F438" s="16" t="s">
        <v>1424</v>
      </c>
      <c r="G438">
        <v>15</v>
      </c>
    </row>
    <row r="439" spans="1:7">
      <c r="A439">
        <v>424</v>
      </c>
      <c r="B439">
        <v>22</v>
      </c>
      <c r="C439">
        <v>100</v>
      </c>
      <c r="D439">
        <v>0</v>
      </c>
      <c r="E439" s="16" t="s">
        <v>1441</v>
      </c>
      <c r="F439" s="16" t="s">
        <v>1426</v>
      </c>
      <c r="G439">
        <v>15</v>
      </c>
    </row>
    <row r="440" spans="1:7">
      <c r="A440">
        <v>425</v>
      </c>
      <c r="B440">
        <v>23</v>
      </c>
      <c r="C440">
        <v>100</v>
      </c>
      <c r="D440">
        <v>0</v>
      </c>
      <c r="E440" s="16" t="s">
        <v>1442</v>
      </c>
      <c r="F440" s="16" t="s">
        <v>1428</v>
      </c>
      <c r="G440">
        <v>15</v>
      </c>
    </row>
    <row r="441" spans="1:7">
      <c r="A441">
        <v>426</v>
      </c>
      <c r="B441">
        <v>24</v>
      </c>
      <c r="C441">
        <v>100</v>
      </c>
      <c r="D441">
        <v>0</v>
      </c>
      <c r="E441" s="16" t="s">
        <v>1432</v>
      </c>
      <c r="F441" s="16" t="s">
        <v>1441</v>
      </c>
      <c r="G441">
        <v>15</v>
      </c>
    </row>
    <row r="442" spans="1:7">
      <c r="A442">
        <v>427</v>
      </c>
      <c r="B442">
        <v>25</v>
      </c>
      <c r="C442">
        <v>100</v>
      </c>
      <c r="D442">
        <v>0</v>
      </c>
      <c r="E442" s="16" t="s">
        <v>1443</v>
      </c>
      <c r="F442" s="16" t="s">
        <v>1444</v>
      </c>
      <c r="G442">
        <v>15</v>
      </c>
    </row>
    <row r="443" spans="1:7">
      <c r="A443">
        <v>428</v>
      </c>
      <c r="B443">
        <v>26</v>
      </c>
      <c r="C443">
        <v>100</v>
      </c>
      <c r="D443">
        <v>0</v>
      </c>
      <c r="E443" s="16" t="s">
        <v>1419</v>
      </c>
      <c r="F443" s="16" t="s">
        <v>1422</v>
      </c>
      <c r="G443">
        <v>15</v>
      </c>
    </row>
    <row r="444" spans="1:7">
      <c r="A444">
        <v>429</v>
      </c>
      <c r="B444">
        <v>27</v>
      </c>
      <c r="C444">
        <v>100</v>
      </c>
      <c r="D444">
        <v>0</v>
      </c>
      <c r="E444" s="16" t="s">
        <v>1433</v>
      </c>
      <c r="F444" s="16" t="s">
        <v>1424</v>
      </c>
      <c r="G444">
        <v>15</v>
      </c>
    </row>
    <row r="445" spans="1:7">
      <c r="A445">
        <v>430</v>
      </c>
      <c r="B445">
        <v>28</v>
      </c>
      <c r="C445">
        <v>100</v>
      </c>
      <c r="D445">
        <v>0</v>
      </c>
      <c r="E445" s="16" t="s">
        <v>1445</v>
      </c>
      <c r="F445" s="16" t="s">
        <v>1426</v>
      </c>
      <c r="G445">
        <v>15</v>
      </c>
    </row>
    <row r="446" spans="1:7">
      <c r="A446">
        <v>431</v>
      </c>
      <c r="B446">
        <v>29</v>
      </c>
      <c r="C446">
        <v>100</v>
      </c>
      <c r="D446">
        <v>0</v>
      </c>
      <c r="E446" s="16" t="s">
        <v>1436</v>
      </c>
      <c r="F446" s="16" t="s">
        <v>1428</v>
      </c>
      <c r="G446">
        <v>15</v>
      </c>
    </row>
    <row r="447" spans="1:7">
      <c r="A447">
        <v>432</v>
      </c>
      <c r="B447">
        <v>30</v>
      </c>
      <c r="C447">
        <v>100</v>
      </c>
      <c r="D447">
        <v>1</v>
      </c>
      <c r="E447" s="16" t="s">
        <v>1446</v>
      </c>
      <c r="F447" s="16" t="s">
        <v>1447</v>
      </c>
      <c r="G447">
        <v>15</v>
      </c>
    </row>
    <row r="448" spans="1:7">
      <c r="A448">
        <v>433</v>
      </c>
      <c r="B448">
        <v>31</v>
      </c>
      <c r="C448">
        <v>100</v>
      </c>
      <c r="D448">
        <v>0</v>
      </c>
      <c r="F448" s="16" t="s">
        <v>1338</v>
      </c>
      <c r="G448">
        <v>15</v>
      </c>
    </row>
    <row r="449" spans="1:7">
      <c r="A449">
        <v>434</v>
      </c>
      <c r="B449">
        <v>32</v>
      </c>
      <c r="C449">
        <v>100</v>
      </c>
      <c r="D449">
        <v>0</v>
      </c>
      <c r="F449" s="16" t="s">
        <v>1338</v>
      </c>
      <c r="G449">
        <v>15</v>
      </c>
    </row>
    <row r="450" spans="1:7">
      <c r="A450">
        <v>435</v>
      </c>
      <c r="B450">
        <v>33</v>
      </c>
      <c r="C450">
        <v>100</v>
      </c>
      <c r="D450">
        <v>0</v>
      </c>
      <c r="F450" s="16" t="s">
        <v>1338</v>
      </c>
      <c r="G450">
        <v>15</v>
      </c>
    </row>
    <row r="451" spans="1:7">
      <c r="A451">
        <v>436</v>
      </c>
      <c r="B451">
        <v>34</v>
      </c>
      <c r="C451">
        <v>100</v>
      </c>
      <c r="D451">
        <v>0</v>
      </c>
      <c r="F451" s="16" t="s">
        <v>1338</v>
      </c>
      <c r="G451">
        <v>15</v>
      </c>
    </row>
    <row r="452" spans="1:7">
      <c r="A452">
        <v>437</v>
      </c>
      <c r="B452">
        <v>35</v>
      </c>
      <c r="C452">
        <v>100</v>
      </c>
      <c r="D452">
        <v>0</v>
      </c>
      <c r="F452" s="16" t="s">
        <v>1338</v>
      </c>
      <c r="G452">
        <v>15</v>
      </c>
    </row>
    <row r="453" spans="1:7">
      <c r="A453">
        <v>438</v>
      </c>
      <c r="B453">
        <v>36</v>
      </c>
      <c r="C453">
        <v>100</v>
      </c>
      <c r="D453">
        <v>0</v>
      </c>
      <c r="F453" s="16" t="s">
        <v>1338</v>
      </c>
      <c r="G453">
        <v>15</v>
      </c>
    </row>
    <row r="454" spans="1:7">
      <c r="A454">
        <v>439</v>
      </c>
      <c r="B454">
        <v>37</v>
      </c>
      <c r="C454">
        <v>100</v>
      </c>
      <c r="D454">
        <v>0</v>
      </c>
      <c r="F454" s="16" t="s">
        <v>1338</v>
      </c>
      <c r="G454">
        <v>15</v>
      </c>
    </row>
    <row r="455" spans="1:7">
      <c r="A455">
        <v>440</v>
      </c>
      <c r="B455">
        <v>38</v>
      </c>
      <c r="C455">
        <v>100</v>
      </c>
      <c r="D455">
        <v>0</v>
      </c>
      <c r="F455" s="16" t="s">
        <v>1338</v>
      </c>
      <c r="G455">
        <v>15</v>
      </c>
    </row>
    <row r="456" spans="1:7">
      <c r="A456">
        <v>441</v>
      </c>
      <c r="B456">
        <v>39</v>
      </c>
      <c r="C456">
        <v>100</v>
      </c>
      <c r="D456">
        <v>0</v>
      </c>
      <c r="F456" s="16" t="s">
        <v>1338</v>
      </c>
      <c r="G456">
        <v>15</v>
      </c>
    </row>
    <row r="457" spans="1:7">
      <c r="A457">
        <v>442</v>
      </c>
      <c r="B457">
        <v>40</v>
      </c>
      <c r="C457">
        <v>100</v>
      </c>
      <c r="D457">
        <v>0</v>
      </c>
      <c r="F457" s="16" t="s">
        <v>1338</v>
      </c>
      <c r="G457">
        <v>15</v>
      </c>
    </row>
    <row r="458" spans="1:7">
      <c r="A458">
        <v>443</v>
      </c>
      <c r="B458">
        <v>41</v>
      </c>
      <c r="C458">
        <v>100</v>
      </c>
      <c r="D458">
        <v>0</v>
      </c>
      <c r="F458" s="16" t="s">
        <v>1338</v>
      </c>
      <c r="G458">
        <v>15</v>
      </c>
    </row>
    <row r="459" spans="1:7">
      <c r="A459">
        <v>444</v>
      </c>
      <c r="B459">
        <v>42</v>
      </c>
      <c r="C459">
        <v>100</v>
      </c>
      <c r="D459">
        <v>0</v>
      </c>
      <c r="F459" s="16" t="s">
        <v>1338</v>
      </c>
      <c r="G459">
        <v>15</v>
      </c>
    </row>
    <row r="460" spans="1:7">
      <c r="A460">
        <v>445</v>
      </c>
      <c r="B460">
        <v>43</v>
      </c>
      <c r="C460">
        <v>100</v>
      </c>
      <c r="D460">
        <v>0</v>
      </c>
      <c r="F460" s="16" t="s">
        <v>1338</v>
      </c>
      <c r="G460">
        <v>15</v>
      </c>
    </row>
    <row r="461" spans="1:7">
      <c r="A461">
        <v>446</v>
      </c>
      <c r="B461">
        <v>44</v>
      </c>
      <c r="C461">
        <v>100</v>
      </c>
      <c r="D461">
        <v>0</v>
      </c>
      <c r="F461" s="16" t="s">
        <v>1338</v>
      </c>
      <c r="G461">
        <v>15</v>
      </c>
    </row>
    <row r="462" spans="1:7">
      <c r="A462">
        <v>447</v>
      </c>
      <c r="B462">
        <v>45</v>
      </c>
      <c r="C462">
        <v>100</v>
      </c>
      <c r="D462">
        <v>0</v>
      </c>
      <c r="F462" s="16" t="s">
        <v>1338</v>
      </c>
      <c r="G462">
        <v>15</v>
      </c>
    </row>
    <row r="463" spans="1:7">
      <c r="A463">
        <v>448</v>
      </c>
      <c r="B463">
        <v>46</v>
      </c>
      <c r="C463">
        <v>100</v>
      </c>
      <c r="D463">
        <v>0</v>
      </c>
      <c r="F463" s="16" t="s">
        <v>1338</v>
      </c>
      <c r="G463">
        <v>15</v>
      </c>
    </row>
    <row r="464" spans="1:7">
      <c r="A464">
        <v>449</v>
      </c>
      <c r="B464">
        <v>47</v>
      </c>
      <c r="C464">
        <v>100</v>
      </c>
      <c r="D464">
        <v>0</v>
      </c>
      <c r="F464" s="16" t="s">
        <v>1338</v>
      </c>
      <c r="G464">
        <v>15</v>
      </c>
    </row>
    <row r="465" spans="1:7">
      <c r="A465">
        <v>450</v>
      </c>
      <c r="B465">
        <v>48</v>
      </c>
      <c r="C465">
        <v>100</v>
      </c>
      <c r="D465">
        <v>0</v>
      </c>
      <c r="F465" s="16" t="s">
        <v>1338</v>
      </c>
      <c r="G465">
        <v>15</v>
      </c>
    </row>
    <row r="466" spans="1:7">
      <c r="A466">
        <v>451</v>
      </c>
      <c r="B466">
        <v>49</v>
      </c>
      <c r="C466">
        <v>100</v>
      </c>
      <c r="D466">
        <v>0</v>
      </c>
      <c r="F466" s="16" t="s">
        <v>1338</v>
      </c>
      <c r="G466">
        <v>15</v>
      </c>
    </row>
    <row r="467" spans="1:7">
      <c r="A467">
        <v>452</v>
      </c>
      <c r="B467">
        <v>50</v>
      </c>
      <c r="C467">
        <v>100</v>
      </c>
      <c r="D467">
        <v>1</v>
      </c>
      <c r="F467" s="16" t="s">
        <v>1338</v>
      </c>
      <c r="G467">
        <v>15</v>
      </c>
    </row>
    <row r="468" spans="1:7">
      <c r="A468" s="37">
        <v>453</v>
      </c>
      <c r="B468" s="37">
        <v>1</v>
      </c>
      <c r="C468" s="37">
        <v>100</v>
      </c>
      <c r="D468" s="37">
        <v>0</v>
      </c>
      <c r="E468" s="38" t="s">
        <v>1419</v>
      </c>
      <c r="F468" s="38" t="s">
        <v>1420</v>
      </c>
      <c r="G468" s="37">
        <v>16</v>
      </c>
    </row>
    <row r="469" spans="1:7">
      <c r="A469" s="37">
        <v>454</v>
      </c>
      <c r="B469" s="37">
        <v>2</v>
      </c>
      <c r="C469" s="37">
        <v>100</v>
      </c>
      <c r="D469" s="37">
        <v>0</v>
      </c>
      <c r="E469" s="38" t="s">
        <v>1421</v>
      </c>
      <c r="F469" s="38" t="s">
        <v>1422</v>
      </c>
      <c r="G469" s="37">
        <v>16</v>
      </c>
    </row>
    <row r="470" spans="1:7">
      <c r="A470" s="37">
        <v>455</v>
      </c>
      <c r="B470" s="37">
        <v>3</v>
      </c>
      <c r="C470" s="37">
        <v>100</v>
      </c>
      <c r="D470" s="37">
        <v>0</v>
      </c>
      <c r="E470" s="38" t="s">
        <v>1423</v>
      </c>
      <c r="F470" s="38" t="s">
        <v>1424</v>
      </c>
      <c r="G470" s="37">
        <v>16</v>
      </c>
    </row>
    <row r="471" spans="1:7">
      <c r="A471" s="37">
        <v>456</v>
      </c>
      <c r="B471" s="37">
        <v>4</v>
      </c>
      <c r="C471" s="37">
        <v>100</v>
      </c>
      <c r="D471" s="37">
        <v>0</v>
      </c>
      <c r="E471" s="38" t="s">
        <v>1425</v>
      </c>
      <c r="F471" s="38" t="s">
        <v>1426</v>
      </c>
      <c r="G471" s="37">
        <v>16</v>
      </c>
    </row>
    <row r="472" spans="1:7">
      <c r="A472" s="37">
        <v>457</v>
      </c>
      <c r="B472" s="37">
        <v>5</v>
      </c>
      <c r="C472" s="37">
        <v>100</v>
      </c>
      <c r="D472" s="37">
        <v>0</v>
      </c>
      <c r="E472" s="38" t="s">
        <v>1427</v>
      </c>
      <c r="F472" s="38" t="s">
        <v>1428</v>
      </c>
      <c r="G472" s="37">
        <v>16</v>
      </c>
    </row>
    <row r="473" spans="1:7">
      <c r="A473" s="37">
        <v>458</v>
      </c>
      <c r="B473" s="37">
        <v>6</v>
      </c>
      <c r="C473" s="37">
        <v>100</v>
      </c>
      <c r="D473" s="37">
        <v>0</v>
      </c>
      <c r="E473" s="38" t="s">
        <v>1419</v>
      </c>
      <c r="F473" s="38" t="s">
        <v>1362</v>
      </c>
      <c r="G473" s="37">
        <v>16</v>
      </c>
    </row>
    <row r="474" spans="1:7">
      <c r="A474" s="37">
        <v>459</v>
      </c>
      <c r="B474" s="37">
        <v>7</v>
      </c>
      <c r="C474" s="37">
        <v>100</v>
      </c>
      <c r="D474" s="37">
        <v>0</v>
      </c>
      <c r="E474" s="38" t="s">
        <v>1429</v>
      </c>
      <c r="F474" s="38" t="s">
        <v>1430</v>
      </c>
      <c r="G474" s="37">
        <v>16</v>
      </c>
    </row>
    <row r="475" spans="1:7">
      <c r="A475" s="37">
        <v>460</v>
      </c>
      <c r="B475" s="37">
        <v>8</v>
      </c>
      <c r="C475" s="37">
        <v>100</v>
      </c>
      <c r="D475" s="37">
        <v>0</v>
      </c>
      <c r="E475" s="38" t="s">
        <v>1431</v>
      </c>
      <c r="F475" s="38" t="s">
        <v>1422</v>
      </c>
      <c r="G475" s="37">
        <v>16</v>
      </c>
    </row>
    <row r="476" spans="1:7">
      <c r="A476" s="37">
        <v>461</v>
      </c>
      <c r="B476" s="37">
        <v>9</v>
      </c>
      <c r="C476" s="37">
        <v>100</v>
      </c>
      <c r="D476" s="37">
        <v>0</v>
      </c>
      <c r="E476" s="38" t="s">
        <v>1432</v>
      </c>
      <c r="F476" s="38" t="s">
        <v>1424</v>
      </c>
      <c r="G476" s="37">
        <v>16</v>
      </c>
    </row>
    <row r="477" spans="1:7">
      <c r="A477" s="37">
        <v>462</v>
      </c>
      <c r="B477" s="37">
        <v>10</v>
      </c>
      <c r="C477" s="37">
        <v>100</v>
      </c>
      <c r="D477" s="37">
        <v>0</v>
      </c>
      <c r="E477" s="38" t="s">
        <v>1427</v>
      </c>
      <c r="F477" s="38" t="s">
        <v>1426</v>
      </c>
      <c r="G477" s="37">
        <v>16</v>
      </c>
    </row>
    <row r="478" spans="1:7">
      <c r="A478" s="37">
        <v>463</v>
      </c>
      <c r="B478" s="37">
        <v>11</v>
      </c>
      <c r="C478" s="37">
        <v>100</v>
      </c>
      <c r="D478" s="37">
        <v>0</v>
      </c>
      <c r="E478" s="38" t="s">
        <v>1419</v>
      </c>
      <c r="F478" s="38" t="s">
        <v>1428</v>
      </c>
      <c r="G478" s="37">
        <v>16</v>
      </c>
    </row>
    <row r="479" spans="1:7">
      <c r="A479" s="37">
        <v>464</v>
      </c>
      <c r="B479" s="37">
        <v>12</v>
      </c>
      <c r="C479" s="37">
        <v>100</v>
      </c>
      <c r="D479" s="37">
        <v>0</v>
      </c>
      <c r="E479" s="38" t="s">
        <v>1433</v>
      </c>
      <c r="F479" s="38" t="s">
        <v>1362</v>
      </c>
      <c r="G479" s="37">
        <v>16</v>
      </c>
    </row>
    <row r="480" spans="1:7">
      <c r="A480" s="37">
        <v>465</v>
      </c>
      <c r="B480" s="37">
        <v>13</v>
      </c>
      <c r="C480" s="37">
        <v>100</v>
      </c>
      <c r="D480" s="37">
        <v>0</v>
      </c>
      <c r="E480" s="38" t="s">
        <v>1434</v>
      </c>
      <c r="F480" s="38" t="s">
        <v>1435</v>
      </c>
      <c r="G480" s="37">
        <v>16</v>
      </c>
    </row>
    <row r="481" spans="1:7">
      <c r="A481" s="37">
        <v>466</v>
      </c>
      <c r="B481" s="37">
        <v>14</v>
      </c>
      <c r="C481" s="37">
        <v>100</v>
      </c>
      <c r="D481" s="37">
        <v>0</v>
      </c>
      <c r="E481" s="38" t="s">
        <v>1436</v>
      </c>
      <c r="F481" s="38" t="s">
        <v>1422</v>
      </c>
      <c r="G481" s="37">
        <v>16</v>
      </c>
    </row>
    <row r="482" spans="1:7">
      <c r="A482" s="37">
        <v>467</v>
      </c>
      <c r="B482" s="37">
        <v>15</v>
      </c>
      <c r="C482" s="37">
        <v>100</v>
      </c>
      <c r="D482" s="37">
        <v>0</v>
      </c>
      <c r="E482" s="38" t="s">
        <v>1437</v>
      </c>
      <c r="F482" s="38" t="s">
        <v>1424</v>
      </c>
      <c r="G482" s="37">
        <v>16</v>
      </c>
    </row>
    <row r="483" spans="1:7">
      <c r="A483" s="37">
        <v>468</v>
      </c>
      <c r="B483" s="37">
        <v>16</v>
      </c>
      <c r="C483" s="37">
        <v>100</v>
      </c>
      <c r="D483" s="37">
        <v>0</v>
      </c>
      <c r="E483" s="38" t="s">
        <v>1419</v>
      </c>
      <c r="F483" s="38" t="s">
        <v>1426</v>
      </c>
      <c r="G483" s="37">
        <v>16</v>
      </c>
    </row>
    <row r="484" spans="1:7">
      <c r="A484" s="37">
        <v>469</v>
      </c>
      <c r="B484" s="37">
        <v>17</v>
      </c>
      <c r="C484" s="37">
        <v>100</v>
      </c>
      <c r="D484" s="37">
        <v>0</v>
      </c>
      <c r="E484" s="38" t="s">
        <v>1429</v>
      </c>
      <c r="F484" s="38" t="s">
        <v>1428</v>
      </c>
      <c r="G484" s="37">
        <v>16</v>
      </c>
    </row>
    <row r="485" spans="1:7">
      <c r="A485" s="37">
        <v>470</v>
      </c>
      <c r="B485" s="37">
        <v>18</v>
      </c>
      <c r="C485" s="37">
        <v>100</v>
      </c>
      <c r="D485" s="37">
        <v>0</v>
      </c>
      <c r="E485" s="38" t="s">
        <v>1438</v>
      </c>
      <c r="F485" s="38" t="s">
        <v>1439</v>
      </c>
      <c r="G485" s="37">
        <v>16</v>
      </c>
    </row>
    <row r="486" spans="1:7">
      <c r="A486" s="37">
        <v>471</v>
      </c>
      <c r="B486" s="37">
        <v>19</v>
      </c>
      <c r="C486" s="37">
        <v>100</v>
      </c>
      <c r="D486" s="37">
        <v>0</v>
      </c>
      <c r="E486" s="38" t="s">
        <v>1425</v>
      </c>
      <c r="F486" s="38" t="s">
        <v>1440</v>
      </c>
      <c r="G486" s="37">
        <v>16</v>
      </c>
    </row>
    <row r="487" spans="1:7">
      <c r="A487" s="37">
        <v>472</v>
      </c>
      <c r="B487" s="37">
        <v>20</v>
      </c>
      <c r="C487" s="37">
        <v>100</v>
      </c>
      <c r="D487" s="37">
        <v>0</v>
      </c>
      <c r="E487" s="38" t="s">
        <v>1437</v>
      </c>
      <c r="F487" s="38" t="s">
        <v>1422</v>
      </c>
      <c r="G487" s="37">
        <v>16</v>
      </c>
    </row>
    <row r="488" spans="1:7">
      <c r="A488" s="37">
        <v>473</v>
      </c>
      <c r="B488" s="37">
        <v>21</v>
      </c>
      <c r="C488" s="37">
        <v>100</v>
      </c>
      <c r="D488" s="37">
        <v>0</v>
      </c>
      <c r="E488" s="38" t="s">
        <v>1419</v>
      </c>
      <c r="F488" s="38" t="s">
        <v>1424</v>
      </c>
      <c r="G488" s="37">
        <v>16</v>
      </c>
    </row>
    <row r="489" spans="1:7">
      <c r="A489" s="37">
        <v>474</v>
      </c>
      <c r="B489" s="37">
        <v>22</v>
      </c>
      <c r="C489" s="37">
        <v>100</v>
      </c>
      <c r="D489" s="37">
        <v>0</v>
      </c>
      <c r="E489" s="38" t="s">
        <v>1441</v>
      </c>
      <c r="F489" s="38" t="s">
        <v>1426</v>
      </c>
      <c r="G489" s="37">
        <v>16</v>
      </c>
    </row>
    <row r="490" spans="1:7">
      <c r="A490" s="37">
        <v>475</v>
      </c>
      <c r="B490" s="37">
        <v>23</v>
      </c>
      <c r="C490" s="37">
        <v>100</v>
      </c>
      <c r="D490" s="37">
        <v>0</v>
      </c>
      <c r="E490" s="38" t="s">
        <v>1442</v>
      </c>
      <c r="F490" s="38" t="s">
        <v>1428</v>
      </c>
      <c r="G490" s="37">
        <v>16</v>
      </c>
    </row>
    <row r="491" spans="1:7">
      <c r="A491" s="37">
        <v>476</v>
      </c>
      <c r="B491" s="37">
        <v>24</v>
      </c>
      <c r="C491" s="37">
        <v>100</v>
      </c>
      <c r="D491" s="37">
        <v>0</v>
      </c>
      <c r="E491" s="38" t="s">
        <v>1432</v>
      </c>
      <c r="F491" s="38" t="s">
        <v>1441</v>
      </c>
      <c r="G491" s="37">
        <v>16</v>
      </c>
    </row>
    <row r="492" spans="1:7">
      <c r="A492" s="37">
        <v>477</v>
      </c>
      <c r="B492" s="37">
        <v>25</v>
      </c>
      <c r="C492" s="37">
        <v>100</v>
      </c>
      <c r="D492" s="37">
        <v>0</v>
      </c>
      <c r="E492" s="38" t="s">
        <v>1443</v>
      </c>
      <c r="F492" s="38" t="s">
        <v>1444</v>
      </c>
      <c r="G492" s="37">
        <v>16</v>
      </c>
    </row>
    <row r="493" spans="1:7">
      <c r="A493" s="37">
        <v>478</v>
      </c>
      <c r="B493" s="37">
        <v>26</v>
      </c>
      <c r="C493" s="37">
        <v>100</v>
      </c>
      <c r="D493" s="37">
        <v>0</v>
      </c>
      <c r="E493" s="38" t="s">
        <v>1419</v>
      </c>
      <c r="F493" s="38" t="s">
        <v>1422</v>
      </c>
      <c r="G493" s="37">
        <v>16</v>
      </c>
    </row>
    <row r="494" spans="1:7">
      <c r="A494" s="37">
        <v>479</v>
      </c>
      <c r="B494" s="37">
        <v>27</v>
      </c>
      <c r="C494" s="37">
        <v>100</v>
      </c>
      <c r="D494" s="37">
        <v>0</v>
      </c>
      <c r="E494" s="38" t="s">
        <v>1433</v>
      </c>
      <c r="F494" s="38" t="s">
        <v>1424</v>
      </c>
      <c r="G494" s="37">
        <v>16</v>
      </c>
    </row>
    <row r="495" spans="1:7">
      <c r="A495" s="37">
        <v>480</v>
      </c>
      <c r="B495" s="37">
        <v>28</v>
      </c>
      <c r="C495" s="37">
        <v>100</v>
      </c>
      <c r="D495" s="37">
        <v>0</v>
      </c>
      <c r="E495" s="38" t="s">
        <v>1445</v>
      </c>
      <c r="F495" s="38" t="s">
        <v>1426</v>
      </c>
      <c r="G495" s="37">
        <v>16</v>
      </c>
    </row>
    <row r="496" spans="1:7">
      <c r="A496" s="37">
        <v>481</v>
      </c>
      <c r="B496" s="37">
        <v>29</v>
      </c>
      <c r="C496" s="37">
        <v>100</v>
      </c>
      <c r="D496" s="37">
        <v>0</v>
      </c>
      <c r="E496" s="38" t="s">
        <v>1436</v>
      </c>
      <c r="F496" s="38" t="s">
        <v>1428</v>
      </c>
      <c r="G496" s="37">
        <v>16</v>
      </c>
    </row>
    <row r="497" spans="1:7">
      <c r="A497" s="37">
        <v>482</v>
      </c>
      <c r="B497" s="37">
        <v>30</v>
      </c>
      <c r="C497" s="37">
        <v>100</v>
      </c>
      <c r="D497" s="37">
        <v>1</v>
      </c>
      <c r="E497" s="38" t="s">
        <v>1446</v>
      </c>
      <c r="F497" s="38" t="s">
        <v>1447</v>
      </c>
      <c r="G497" s="37">
        <v>16</v>
      </c>
    </row>
    <row r="498" spans="1:7">
      <c r="A498" s="37">
        <v>483</v>
      </c>
      <c r="B498" s="37">
        <v>31</v>
      </c>
      <c r="C498" s="37">
        <v>100</v>
      </c>
      <c r="D498" s="37">
        <v>0</v>
      </c>
      <c r="E498" s="38"/>
      <c r="F498" s="38" t="s">
        <v>1338</v>
      </c>
      <c r="G498" s="37">
        <v>16</v>
      </c>
    </row>
    <row r="499" spans="1:7">
      <c r="A499" s="37">
        <v>484</v>
      </c>
      <c r="B499" s="37">
        <v>32</v>
      </c>
      <c r="C499" s="37">
        <v>100</v>
      </c>
      <c r="D499" s="37">
        <v>0</v>
      </c>
      <c r="E499" s="38"/>
      <c r="F499" s="38" t="s">
        <v>1338</v>
      </c>
      <c r="G499" s="37">
        <v>16</v>
      </c>
    </row>
    <row r="500" spans="1:7">
      <c r="A500" s="37">
        <v>485</v>
      </c>
      <c r="B500" s="37">
        <v>33</v>
      </c>
      <c r="C500" s="37">
        <v>100</v>
      </c>
      <c r="D500" s="37">
        <v>0</v>
      </c>
      <c r="E500" s="38"/>
      <c r="F500" s="38" t="s">
        <v>1338</v>
      </c>
      <c r="G500" s="37">
        <v>16</v>
      </c>
    </row>
    <row r="501" spans="1:7">
      <c r="A501" s="37">
        <v>486</v>
      </c>
      <c r="B501" s="37">
        <v>34</v>
      </c>
      <c r="C501" s="37">
        <v>100</v>
      </c>
      <c r="D501" s="37">
        <v>0</v>
      </c>
      <c r="E501" s="38"/>
      <c r="F501" s="38" t="s">
        <v>1338</v>
      </c>
      <c r="G501" s="37">
        <v>16</v>
      </c>
    </row>
    <row r="502" spans="1:7">
      <c r="A502" s="37">
        <v>487</v>
      </c>
      <c r="B502" s="37">
        <v>35</v>
      </c>
      <c r="C502" s="37">
        <v>100</v>
      </c>
      <c r="D502" s="37">
        <v>0</v>
      </c>
      <c r="E502" s="38"/>
      <c r="F502" s="38" t="s">
        <v>1338</v>
      </c>
      <c r="G502" s="37">
        <v>16</v>
      </c>
    </row>
    <row r="503" spans="1:7">
      <c r="A503" s="37">
        <v>488</v>
      </c>
      <c r="B503" s="37">
        <v>36</v>
      </c>
      <c r="C503" s="37">
        <v>100</v>
      </c>
      <c r="D503" s="37">
        <v>0</v>
      </c>
      <c r="E503" s="38"/>
      <c r="F503" s="38" t="s">
        <v>1338</v>
      </c>
      <c r="G503" s="37">
        <v>16</v>
      </c>
    </row>
    <row r="504" spans="1:7">
      <c r="A504" s="37">
        <v>489</v>
      </c>
      <c r="B504" s="37">
        <v>37</v>
      </c>
      <c r="C504" s="37">
        <v>100</v>
      </c>
      <c r="D504" s="37">
        <v>0</v>
      </c>
      <c r="E504" s="38"/>
      <c r="F504" s="38" t="s">
        <v>1338</v>
      </c>
      <c r="G504" s="37">
        <v>16</v>
      </c>
    </row>
    <row r="505" spans="1:7">
      <c r="A505" s="37">
        <v>490</v>
      </c>
      <c r="B505" s="37">
        <v>38</v>
      </c>
      <c r="C505" s="37">
        <v>100</v>
      </c>
      <c r="D505" s="37">
        <v>0</v>
      </c>
      <c r="E505" s="38"/>
      <c r="F505" s="38" t="s">
        <v>1338</v>
      </c>
      <c r="G505" s="37">
        <v>16</v>
      </c>
    </row>
    <row r="506" spans="1:7">
      <c r="A506" s="37">
        <v>491</v>
      </c>
      <c r="B506" s="37">
        <v>39</v>
      </c>
      <c r="C506" s="37">
        <v>100</v>
      </c>
      <c r="D506" s="37">
        <v>0</v>
      </c>
      <c r="E506" s="38"/>
      <c r="F506" s="38" t="s">
        <v>1338</v>
      </c>
      <c r="G506" s="37">
        <v>16</v>
      </c>
    </row>
    <row r="507" spans="1:7">
      <c r="A507" s="37">
        <v>492</v>
      </c>
      <c r="B507" s="37">
        <v>40</v>
      </c>
      <c r="C507" s="37">
        <v>100</v>
      </c>
      <c r="D507" s="37">
        <v>0</v>
      </c>
      <c r="E507" s="38"/>
      <c r="F507" s="38" t="s">
        <v>1338</v>
      </c>
      <c r="G507" s="37">
        <v>16</v>
      </c>
    </row>
    <row r="508" spans="1:7">
      <c r="A508" s="37">
        <v>493</v>
      </c>
      <c r="B508" s="37">
        <v>41</v>
      </c>
      <c r="C508" s="37">
        <v>100</v>
      </c>
      <c r="D508" s="37">
        <v>0</v>
      </c>
      <c r="E508" s="38"/>
      <c r="F508" s="38" t="s">
        <v>1338</v>
      </c>
      <c r="G508" s="37">
        <v>16</v>
      </c>
    </row>
    <row r="509" spans="1:7">
      <c r="A509" s="37">
        <v>494</v>
      </c>
      <c r="B509" s="37">
        <v>42</v>
      </c>
      <c r="C509" s="37">
        <v>100</v>
      </c>
      <c r="D509" s="37">
        <v>0</v>
      </c>
      <c r="E509" s="38"/>
      <c r="F509" s="38" t="s">
        <v>1338</v>
      </c>
      <c r="G509" s="37">
        <v>16</v>
      </c>
    </row>
    <row r="510" spans="1:7">
      <c r="A510" s="37">
        <v>495</v>
      </c>
      <c r="B510" s="37">
        <v>43</v>
      </c>
      <c r="C510" s="37">
        <v>100</v>
      </c>
      <c r="D510" s="37">
        <v>0</v>
      </c>
      <c r="E510" s="38"/>
      <c r="F510" s="38" t="s">
        <v>1338</v>
      </c>
      <c r="G510" s="37">
        <v>16</v>
      </c>
    </row>
    <row r="511" spans="1:7">
      <c r="A511" s="37">
        <v>496</v>
      </c>
      <c r="B511" s="37">
        <v>44</v>
      </c>
      <c r="C511" s="37">
        <v>100</v>
      </c>
      <c r="D511" s="37">
        <v>0</v>
      </c>
      <c r="E511" s="38"/>
      <c r="F511" s="38" t="s">
        <v>1338</v>
      </c>
      <c r="G511" s="37">
        <v>16</v>
      </c>
    </row>
    <row r="512" spans="1:7">
      <c r="A512" s="37">
        <v>497</v>
      </c>
      <c r="B512" s="37">
        <v>45</v>
      </c>
      <c r="C512" s="37">
        <v>100</v>
      </c>
      <c r="D512" s="37">
        <v>0</v>
      </c>
      <c r="E512" s="38"/>
      <c r="F512" s="38" t="s">
        <v>1338</v>
      </c>
      <c r="G512" s="37">
        <v>16</v>
      </c>
    </row>
    <row r="513" spans="1:7">
      <c r="A513" s="37">
        <v>498</v>
      </c>
      <c r="B513" s="37">
        <v>46</v>
      </c>
      <c r="C513" s="37">
        <v>100</v>
      </c>
      <c r="D513" s="37">
        <v>0</v>
      </c>
      <c r="E513" s="38"/>
      <c r="F513" s="38" t="s">
        <v>1338</v>
      </c>
      <c r="G513" s="37">
        <v>16</v>
      </c>
    </row>
    <row r="514" spans="1:7">
      <c r="A514" s="37">
        <v>499</v>
      </c>
      <c r="B514" s="37">
        <v>47</v>
      </c>
      <c r="C514" s="37">
        <v>100</v>
      </c>
      <c r="D514" s="37">
        <v>0</v>
      </c>
      <c r="E514" s="38"/>
      <c r="F514" s="38" t="s">
        <v>1338</v>
      </c>
      <c r="G514" s="37">
        <v>16</v>
      </c>
    </row>
    <row r="515" spans="1:7">
      <c r="A515" s="37">
        <v>500</v>
      </c>
      <c r="B515" s="37">
        <v>48</v>
      </c>
      <c r="C515" s="37">
        <v>100</v>
      </c>
      <c r="D515" s="37">
        <v>0</v>
      </c>
      <c r="E515" s="38"/>
      <c r="F515" s="38" t="s">
        <v>1338</v>
      </c>
      <c r="G515" s="37">
        <v>16</v>
      </c>
    </row>
    <row r="516" spans="1:7">
      <c r="A516" s="37">
        <v>501</v>
      </c>
      <c r="B516" s="37">
        <v>49</v>
      </c>
      <c r="C516" s="37">
        <v>100</v>
      </c>
      <c r="D516" s="37">
        <v>0</v>
      </c>
      <c r="E516" s="38"/>
      <c r="F516" s="38" t="s">
        <v>1338</v>
      </c>
      <c r="G516" s="37">
        <v>16</v>
      </c>
    </row>
    <row r="517" spans="1:7">
      <c r="A517" s="37">
        <v>502</v>
      </c>
      <c r="B517" s="37">
        <v>50</v>
      </c>
      <c r="C517" s="37">
        <v>100</v>
      </c>
      <c r="D517" s="37">
        <v>1</v>
      </c>
      <c r="E517" s="38"/>
      <c r="F517" s="38" t="s">
        <v>1338</v>
      </c>
      <c r="G517" s="37">
        <v>16</v>
      </c>
    </row>
  </sheetData>
  <phoneticPr fontId="23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H58"/>
  <sheetViews>
    <sheetView topLeftCell="A16" workbookViewId="0">
      <selection activeCell="I37" sqref="I37"/>
    </sheetView>
  </sheetViews>
  <sheetFormatPr defaultColWidth="9" defaultRowHeight="13.8"/>
  <cols>
    <col min="1" max="1" width="25.77734375" customWidth="1"/>
    <col min="3" max="3" width="45.109375" customWidth="1"/>
    <col min="4" max="4" width="13" customWidth="1"/>
    <col min="5" max="5" width="13.109375" customWidth="1"/>
    <col min="6" max="6" width="11" customWidth="1"/>
    <col min="7" max="7" width="14.109375" customWidth="1"/>
  </cols>
  <sheetData>
    <row r="1" spans="1:8">
      <c r="A1" s="1" t="s">
        <v>0</v>
      </c>
      <c r="B1" s="2" t="s">
        <v>1448</v>
      </c>
      <c r="C1" s="2" t="s">
        <v>2</v>
      </c>
      <c r="D1" s="2"/>
    </row>
    <row r="2" spans="1:8">
      <c r="A2" s="1" t="s">
        <v>3</v>
      </c>
      <c r="B2" s="2" t="s">
        <v>1449</v>
      </c>
      <c r="C2" s="2" t="s">
        <v>5</v>
      </c>
      <c r="D2" s="2"/>
    </row>
    <row r="3" spans="1:8">
      <c r="A3" s="1" t="s">
        <v>6</v>
      </c>
      <c r="B3" s="3" t="s">
        <v>7</v>
      </c>
      <c r="C3" s="2" t="s">
        <v>8</v>
      </c>
      <c r="D3" s="2"/>
    </row>
    <row r="4" spans="1:8">
      <c r="A4" s="1" t="s">
        <v>9</v>
      </c>
      <c r="B4" s="4" t="s">
        <v>10</v>
      </c>
      <c r="C4" s="2"/>
      <c r="D4" s="2"/>
    </row>
    <row r="5" spans="1:8">
      <c r="A5" s="1" t="s">
        <v>11</v>
      </c>
      <c r="B5" s="2"/>
      <c r="C5" s="2" t="s">
        <v>12</v>
      </c>
      <c r="D5" s="2"/>
    </row>
    <row r="6" spans="1:8">
      <c r="A6" s="1" t="s">
        <v>13</v>
      </c>
      <c r="B6" s="2">
        <v>4</v>
      </c>
      <c r="C6" s="2" t="s">
        <v>14</v>
      </c>
      <c r="D6" s="2"/>
    </row>
    <row r="7" spans="1:8">
      <c r="A7" s="1" t="s">
        <v>15</v>
      </c>
      <c r="B7" s="2"/>
      <c r="C7" s="2"/>
      <c r="D7" s="2"/>
    </row>
    <row r="8" spans="1:8">
      <c r="A8" s="1" t="s">
        <v>16</v>
      </c>
      <c r="B8" s="2"/>
      <c r="C8" s="2"/>
      <c r="D8" s="2"/>
    </row>
    <row r="9" spans="1:8">
      <c r="A9" s="2"/>
      <c r="B9" s="2"/>
      <c r="C9" s="2"/>
    </row>
    <row r="10" spans="1:8">
      <c r="A10" s="2"/>
      <c r="B10" s="2"/>
      <c r="C10" s="2"/>
    </row>
    <row r="11" spans="1:8">
      <c r="A11" s="10" t="s">
        <v>1450</v>
      </c>
      <c r="B11" s="10" t="s">
        <v>1451</v>
      </c>
      <c r="C11" s="10" t="s">
        <v>1452</v>
      </c>
      <c r="D11" s="10" t="s">
        <v>1453</v>
      </c>
      <c r="E11" s="10" t="s">
        <v>1454</v>
      </c>
      <c r="F11" s="10" t="s">
        <v>1455</v>
      </c>
      <c r="G11" s="10" t="s">
        <v>1456</v>
      </c>
      <c r="H11" s="10" t="s">
        <v>1457</v>
      </c>
    </row>
    <row r="12" spans="1:8">
      <c r="A12" s="11" t="s">
        <v>23</v>
      </c>
      <c r="B12" s="11" t="s">
        <v>1458</v>
      </c>
      <c r="C12" s="11" t="s">
        <v>1459</v>
      </c>
      <c r="D12" s="11" t="s">
        <v>1460</v>
      </c>
      <c r="E12" s="11" t="s">
        <v>1461</v>
      </c>
      <c r="F12" s="11" t="s">
        <v>1462</v>
      </c>
      <c r="G12" s="15" t="s">
        <v>1463</v>
      </c>
      <c r="H12" s="11" t="s">
        <v>309</v>
      </c>
    </row>
    <row r="13" spans="1:8">
      <c r="A13" s="11" t="s">
        <v>29</v>
      </c>
      <c r="B13" s="11" t="s">
        <v>29</v>
      </c>
      <c r="C13" s="11" t="s">
        <v>29</v>
      </c>
      <c r="D13" s="11" t="s">
        <v>30</v>
      </c>
      <c r="E13" s="11" t="s">
        <v>29</v>
      </c>
      <c r="F13" s="11" t="s">
        <v>29</v>
      </c>
      <c r="G13" s="15" t="s">
        <v>30</v>
      </c>
      <c r="H13" s="11" t="s">
        <v>29</v>
      </c>
    </row>
    <row r="14" spans="1:8">
      <c r="A14" s="11" t="s">
        <v>31</v>
      </c>
      <c r="B14" s="11" t="s">
        <v>32</v>
      </c>
      <c r="C14" s="11" t="s">
        <v>32</v>
      </c>
      <c r="D14" s="11" t="s">
        <v>32</v>
      </c>
      <c r="E14" s="11" t="s">
        <v>32</v>
      </c>
      <c r="F14" s="11" t="s">
        <v>442</v>
      </c>
      <c r="G14" s="15" t="s">
        <v>505</v>
      </c>
      <c r="H14" s="11" t="s">
        <v>442</v>
      </c>
    </row>
    <row r="15" spans="1:8">
      <c r="A15" s="11"/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5"/>
      <c r="H15" s="11">
        <v>0</v>
      </c>
    </row>
    <row r="16" spans="1:8">
      <c r="A16" s="10">
        <v>101</v>
      </c>
      <c r="B16" s="10">
        <v>1</v>
      </c>
      <c r="C16" s="10">
        <v>2</v>
      </c>
      <c r="D16" s="10">
        <v>1</v>
      </c>
      <c r="E16" s="10">
        <v>500</v>
      </c>
      <c r="F16" s="10">
        <v>489001</v>
      </c>
      <c r="G16" s="10" t="s">
        <v>1464</v>
      </c>
      <c r="H16" s="10">
        <v>2</v>
      </c>
    </row>
    <row r="17" spans="1:8">
      <c r="A17" s="10">
        <v>102</v>
      </c>
      <c r="B17" s="10">
        <v>1</v>
      </c>
      <c r="C17" s="10">
        <v>1</v>
      </c>
      <c r="D17" s="10">
        <v>3</v>
      </c>
      <c r="E17" s="10">
        <v>500</v>
      </c>
      <c r="F17" s="10">
        <v>489011</v>
      </c>
      <c r="G17" s="10" t="s">
        <v>1465</v>
      </c>
      <c r="H17" s="10">
        <v>2</v>
      </c>
    </row>
    <row r="18" spans="1:8">
      <c r="A18" s="10">
        <v>103</v>
      </c>
      <c r="B18" s="10">
        <v>1</v>
      </c>
      <c r="C18" s="10">
        <v>18</v>
      </c>
      <c r="D18" s="10">
        <v>2</v>
      </c>
      <c r="E18" s="10">
        <v>500</v>
      </c>
      <c r="F18" s="10">
        <v>489021</v>
      </c>
      <c r="G18" s="10" t="s">
        <v>1466</v>
      </c>
      <c r="H18" s="10">
        <v>2</v>
      </c>
    </row>
    <row r="19" spans="1:8">
      <c r="A19" s="10">
        <v>201</v>
      </c>
      <c r="B19" s="10">
        <v>2</v>
      </c>
      <c r="C19" s="10">
        <v>2</v>
      </c>
      <c r="D19" s="10">
        <v>2</v>
      </c>
      <c r="E19" s="10">
        <v>500</v>
      </c>
      <c r="F19" s="10">
        <v>489031</v>
      </c>
      <c r="G19" s="10" t="s">
        <v>1467</v>
      </c>
      <c r="H19" s="10">
        <v>2</v>
      </c>
    </row>
    <row r="20" spans="1:8">
      <c r="A20" s="10">
        <v>202</v>
      </c>
      <c r="B20" s="10">
        <v>2</v>
      </c>
      <c r="C20" s="10">
        <v>1</v>
      </c>
      <c r="D20" s="10">
        <v>6</v>
      </c>
      <c r="E20" s="10">
        <v>500</v>
      </c>
      <c r="F20" s="10">
        <v>489041</v>
      </c>
      <c r="G20" s="10" t="s">
        <v>1468</v>
      </c>
      <c r="H20" s="10">
        <v>2</v>
      </c>
    </row>
    <row r="21" spans="1:8">
      <c r="A21" s="10">
        <v>203</v>
      </c>
      <c r="B21" s="10">
        <v>2</v>
      </c>
      <c r="C21" s="10">
        <v>18</v>
      </c>
      <c r="D21" s="10">
        <v>4</v>
      </c>
      <c r="E21" s="10">
        <v>500</v>
      </c>
      <c r="F21" s="10">
        <v>489051</v>
      </c>
      <c r="G21" s="10" t="s">
        <v>1469</v>
      </c>
      <c r="H21" s="10">
        <v>2</v>
      </c>
    </row>
    <row r="22" spans="1:8">
      <c r="A22" s="10">
        <v>301</v>
      </c>
      <c r="B22" s="10">
        <v>3</v>
      </c>
      <c r="C22" s="10">
        <v>2</v>
      </c>
      <c r="D22" s="10">
        <v>3</v>
      </c>
      <c r="E22" s="10">
        <v>500</v>
      </c>
      <c r="F22" s="10">
        <v>489061</v>
      </c>
      <c r="G22" s="10" t="s">
        <v>1470</v>
      </c>
      <c r="H22" s="10">
        <v>2</v>
      </c>
    </row>
    <row r="23" spans="1:8">
      <c r="A23" s="10">
        <v>302</v>
      </c>
      <c r="B23" s="10">
        <v>3</v>
      </c>
      <c r="C23" s="10">
        <v>1</v>
      </c>
      <c r="D23" s="10">
        <v>9</v>
      </c>
      <c r="E23" s="10">
        <v>500</v>
      </c>
      <c r="F23" s="10">
        <v>489071</v>
      </c>
      <c r="G23" s="10" t="s">
        <v>1471</v>
      </c>
      <c r="H23" s="10">
        <v>2</v>
      </c>
    </row>
    <row r="24" spans="1:8">
      <c r="A24" s="10">
        <v>303</v>
      </c>
      <c r="B24" s="10">
        <v>3</v>
      </c>
      <c r="C24" s="10">
        <v>18</v>
      </c>
      <c r="D24" s="10">
        <v>6</v>
      </c>
      <c r="E24" s="10">
        <v>500</v>
      </c>
      <c r="F24" s="10">
        <v>489081</v>
      </c>
      <c r="G24" s="10" t="s">
        <v>1472</v>
      </c>
      <c r="H24" s="10">
        <v>2</v>
      </c>
    </row>
    <row r="25" spans="1:8">
      <c r="A25" s="15">
        <v>304</v>
      </c>
      <c r="B25" s="10">
        <v>3</v>
      </c>
      <c r="C25" s="10">
        <v>21</v>
      </c>
      <c r="D25" s="10" t="s">
        <v>289</v>
      </c>
      <c r="E25" s="10">
        <v>500</v>
      </c>
      <c r="F25" s="10">
        <v>489091</v>
      </c>
      <c r="G25" s="10" t="s">
        <v>1473</v>
      </c>
      <c r="H25" s="10">
        <v>2</v>
      </c>
    </row>
    <row r="26" spans="1:8">
      <c r="A26" s="10">
        <v>401</v>
      </c>
      <c r="B26" s="10">
        <v>4</v>
      </c>
      <c r="C26" s="10">
        <v>2</v>
      </c>
      <c r="D26" s="10">
        <v>4</v>
      </c>
      <c r="E26" s="10">
        <v>500</v>
      </c>
      <c r="F26" s="10">
        <v>489101</v>
      </c>
      <c r="G26" s="10" t="s">
        <v>1474</v>
      </c>
      <c r="H26" s="10">
        <v>2</v>
      </c>
    </row>
    <row r="27" spans="1:8">
      <c r="A27" s="10">
        <v>402</v>
      </c>
      <c r="B27" s="10">
        <v>4</v>
      </c>
      <c r="C27" s="10">
        <v>1</v>
      </c>
      <c r="D27" s="10">
        <v>12</v>
      </c>
      <c r="E27" s="10">
        <v>500</v>
      </c>
      <c r="F27" s="10">
        <v>489111</v>
      </c>
      <c r="G27" s="10" t="s">
        <v>1475</v>
      </c>
      <c r="H27" s="10">
        <v>2</v>
      </c>
    </row>
    <row r="28" spans="1:8">
      <c r="A28" s="10">
        <v>403</v>
      </c>
      <c r="B28" s="10">
        <v>4</v>
      </c>
      <c r="C28" s="10">
        <v>18</v>
      </c>
      <c r="D28" s="10">
        <v>8</v>
      </c>
      <c r="E28" s="10">
        <v>500</v>
      </c>
      <c r="F28" s="10">
        <v>489121</v>
      </c>
      <c r="G28" s="10" t="s">
        <v>1476</v>
      </c>
      <c r="H28" s="10">
        <v>2</v>
      </c>
    </row>
    <row r="29" spans="1:8">
      <c r="A29" s="10">
        <v>501</v>
      </c>
      <c r="B29" s="10">
        <v>5</v>
      </c>
      <c r="C29" s="10">
        <v>2</v>
      </c>
      <c r="D29" s="10">
        <v>5</v>
      </c>
      <c r="E29" s="12">
        <v>500</v>
      </c>
      <c r="F29" s="12">
        <v>489131</v>
      </c>
      <c r="G29" s="10" t="s">
        <v>1477</v>
      </c>
      <c r="H29" s="10">
        <v>2</v>
      </c>
    </row>
    <row r="30" spans="1:8">
      <c r="A30" s="10">
        <v>502</v>
      </c>
      <c r="B30" s="10">
        <v>5</v>
      </c>
      <c r="C30" s="10">
        <v>1</v>
      </c>
      <c r="D30" s="10">
        <v>15</v>
      </c>
      <c r="E30" s="12">
        <v>500</v>
      </c>
      <c r="F30" s="12">
        <v>489141</v>
      </c>
      <c r="G30" s="10" t="s">
        <v>1478</v>
      </c>
      <c r="H30" s="10">
        <v>2</v>
      </c>
    </row>
    <row r="31" spans="1:8">
      <c r="A31" s="10">
        <v>503</v>
      </c>
      <c r="B31" s="10">
        <v>5</v>
      </c>
      <c r="C31" s="10">
        <v>18</v>
      </c>
      <c r="D31" s="10">
        <v>10</v>
      </c>
      <c r="E31" s="12">
        <v>500</v>
      </c>
      <c r="F31" s="12">
        <v>489151</v>
      </c>
      <c r="G31" s="10" t="s">
        <v>1479</v>
      </c>
      <c r="H31" s="10">
        <v>2</v>
      </c>
    </row>
    <row r="32" spans="1:8">
      <c r="A32" s="10">
        <v>601</v>
      </c>
      <c r="B32" s="12">
        <v>6</v>
      </c>
      <c r="C32" s="10">
        <v>2</v>
      </c>
      <c r="D32" s="10">
        <v>6</v>
      </c>
      <c r="E32" s="12">
        <v>500</v>
      </c>
      <c r="F32" s="12">
        <v>489161</v>
      </c>
      <c r="G32" s="10" t="s">
        <v>1480</v>
      </c>
      <c r="H32" s="10">
        <v>2</v>
      </c>
    </row>
    <row r="33" spans="1:8">
      <c r="A33" s="10">
        <v>602</v>
      </c>
      <c r="B33" s="12">
        <v>6</v>
      </c>
      <c r="C33" s="10">
        <v>1</v>
      </c>
      <c r="D33" s="10">
        <v>18</v>
      </c>
      <c r="E33" s="12">
        <v>500</v>
      </c>
      <c r="F33" s="12">
        <v>489171</v>
      </c>
      <c r="G33" s="10" t="s">
        <v>1481</v>
      </c>
      <c r="H33" s="10">
        <v>2</v>
      </c>
    </row>
    <row r="34" spans="1:8">
      <c r="A34" s="10">
        <v>603</v>
      </c>
      <c r="B34" s="12">
        <v>6</v>
      </c>
      <c r="C34" s="10">
        <v>18</v>
      </c>
      <c r="D34" s="10">
        <v>12</v>
      </c>
      <c r="E34" s="12">
        <v>500</v>
      </c>
      <c r="F34" s="12">
        <v>489181</v>
      </c>
      <c r="G34" s="10" t="s">
        <v>1482</v>
      </c>
      <c r="H34" s="10">
        <v>2</v>
      </c>
    </row>
    <row r="35" spans="1:8">
      <c r="A35" s="10">
        <v>701</v>
      </c>
      <c r="B35" s="12">
        <v>7</v>
      </c>
      <c r="C35" s="10">
        <v>2</v>
      </c>
      <c r="D35" s="12">
        <v>7</v>
      </c>
      <c r="E35" s="12">
        <v>500</v>
      </c>
      <c r="F35" s="12">
        <v>489191</v>
      </c>
      <c r="G35" s="10" t="s">
        <v>1483</v>
      </c>
      <c r="H35" s="10">
        <v>2</v>
      </c>
    </row>
    <row r="36" spans="1:8">
      <c r="A36" s="10">
        <v>702</v>
      </c>
      <c r="B36" s="12">
        <v>7</v>
      </c>
      <c r="C36" s="10">
        <v>1</v>
      </c>
      <c r="D36" s="12">
        <v>21</v>
      </c>
      <c r="E36" s="12">
        <v>500</v>
      </c>
      <c r="F36" s="12">
        <v>489201</v>
      </c>
      <c r="G36" s="10" t="s">
        <v>1484</v>
      </c>
      <c r="H36" s="10">
        <v>2</v>
      </c>
    </row>
    <row r="37" spans="1:8">
      <c r="A37" s="10">
        <v>703</v>
      </c>
      <c r="B37" s="12">
        <v>7</v>
      </c>
      <c r="C37" s="10">
        <v>18</v>
      </c>
      <c r="D37" s="12">
        <v>14</v>
      </c>
      <c r="E37" s="12">
        <v>500</v>
      </c>
      <c r="F37" s="12">
        <v>489211</v>
      </c>
      <c r="G37" s="10" t="s">
        <v>1485</v>
      </c>
      <c r="H37" s="10">
        <v>2</v>
      </c>
    </row>
    <row r="38" spans="1:8">
      <c r="A38" s="10">
        <v>801</v>
      </c>
      <c r="B38" s="12">
        <v>8</v>
      </c>
      <c r="C38" s="10">
        <v>2</v>
      </c>
      <c r="D38" s="12">
        <v>8</v>
      </c>
      <c r="E38" s="12">
        <v>500</v>
      </c>
      <c r="F38" s="12">
        <v>489221</v>
      </c>
      <c r="G38" s="10" t="s">
        <v>1486</v>
      </c>
      <c r="H38" s="10">
        <v>2</v>
      </c>
    </row>
    <row r="39" spans="1:8">
      <c r="A39" s="10">
        <v>802</v>
      </c>
      <c r="B39" s="12">
        <v>8</v>
      </c>
      <c r="C39" s="10">
        <v>1</v>
      </c>
      <c r="D39" s="12">
        <v>24</v>
      </c>
      <c r="E39" s="12">
        <v>500</v>
      </c>
      <c r="F39" s="12">
        <v>489231</v>
      </c>
      <c r="G39" s="10" t="s">
        <v>1487</v>
      </c>
      <c r="H39" s="10">
        <v>2</v>
      </c>
    </row>
    <row r="40" spans="1:8">
      <c r="A40" s="10">
        <v>803</v>
      </c>
      <c r="B40" s="12">
        <v>8</v>
      </c>
      <c r="C40" s="10">
        <v>18</v>
      </c>
      <c r="D40" s="12">
        <v>16</v>
      </c>
      <c r="E40" s="12">
        <v>500</v>
      </c>
      <c r="F40" s="12">
        <v>489241</v>
      </c>
      <c r="G40" s="10" t="s">
        <v>1488</v>
      </c>
      <c r="H40" s="10">
        <v>2</v>
      </c>
    </row>
    <row r="41" spans="1:8">
      <c r="A41" s="10">
        <v>901</v>
      </c>
      <c r="B41" s="12">
        <v>9</v>
      </c>
      <c r="C41" s="10">
        <v>2</v>
      </c>
      <c r="D41" s="12">
        <v>9</v>
      </c>
      <c r="E41" s="12">
        <v>500</v>
      </c>
      <c r="F41" s="12">
        <v>489251</v>
      </c>
      <c r="G41" s="10" t="s">
        <v>1489</v>
      </c>
      <c r="H41" s="10">
        <v>2</v>
      </c>
    </row>
    <row r="42" spans="1:8">
      <c r="A42" s="10">
        <v>902</v>
      </c>
      <c r="B42" s="12">
        <v>9</v>
      </c>
      <c r="C42" s="10">
        <v>1</v>
      </c>
      <c r="D42" s="12">
        <v>27</v>
      </c>
      <c r="E42" s="12">
        <v>500</v>
      </c>
      <c r="F42" s="12">
        <v>489261</v>
      </c>
      <c r="G42" s="10" t="s">
        <v>1490</v>
      </c>
      <c r="H42" s="10">
        <v>2</v>
      </c>
    </row>
    <row r="43" spans="1:8">
      <c r="A43" s="10">
        <v>903</v>
      </c>
      <c r="B43" s="12">
        <v>9</v>
      </c>
      <c r="C43" s="10">
        <v>18</v>
      </c>
      <c r="D43" s="12">
        <v>18</v>
      </c>
      <c r="E43" s="12">
        <v>500</v>
      </c>
      <c r="F43" s="12">
        <v>489271</v>
      </c>
      <c r="G43" s="10" t="s">
        <v>1491</v>
      </c>
      <c r="H43" s="10">
        <v>2</v>
      </c>
    </row>
    <row r="44" spans="1:8">
      <c r="A44" s="10">
        <v>1001</v>
      </c>
      <c r="B44" s="12">
        <v>10</v>
      </c>
      <c r="C44" s="10">
        <v>2</v>
      </c>
      <c r="D44" s="12">
        <v>10</v>
      </c>
      <c r="E44" s="12">
        <v>500</v>
      </c>
      <c r="F44" s="12">
        <v>489281</v>
      </c>
      <c r="G44" s="10" t="s">
        <v>1492</v>
      </c>
      <c r="H44" s="10">
        <v>2</v>
      </c>
    </row>
    <row r="45" spans="1:8">
      <c r="A45" s="10">
        <v>1002</v>
      </c>
      <c r="B45" s="12">
        <v>10</v>
      </c>
      <c r="C45" s="10">
        <v>1</v>
      </c>
      <c r="D45" s="12">
        <v>30</v>
      </c>
      <c r="E45" s="12">
        <v>500</v>
      </c>
      <c r="F45" s="12">
        <v>489291</v>
      </c>
      <c r="G45" s="10" t="s">
        <v>1493</v>
      </c>
      <c r="H45" s="10">
        <v>2</v>
      </c>
    </row>
    <row r="46" spans="1:8">
      <c r="A46" s="10">
        <v>1003</v>
      </c>
      <c r="B46" s="12">
        <v>10</v>
      </c>
      <c r="C46" s="10">
        <v>18</v>
      </c>
      <c r="D46" s="12">
        <v>20</v>
      </c>
      <c r="E46" s="12">
        <v>500</v>
      </c>
      <c r="F46" s="12">
        <v>489301</v>
      </c>
      <c r="G46" s="10" t="s">
        <v>1494</v>
      </c>
      <c r="H46" s="10">
        <v>2</v>
      </c>
    </row>
    <row r="47" spans="1:8">
      <c r="A47" s="10">
        <v>1101</v>
      </c>
      <c r="B47" s="12">
        <v>11</v>
      </c>
      <c r="C47" s="10">
        <v>2</v>
      </c>
      <c r="D47" s="12">
        <v>11</v>
      </c>
      <c r="E47" s="12">
        <v>500</v>
      </c>
      <c r="F47" s="12">
        <v>489311</v>
      </c>
      <c r="G47" s="10" t="s">
        <v>1495</v>
      </c>
      <c r="H47" s="10">
        <v>2</v>
      </c>
    </row>
    <row r="48" spans="1:8">
      <c r="A48" s="10">
        <v>1102</v>
      </c>
      <c r="B48" s="12">
        <v>11</v>
      </c>
      <c r="C48" s="10">
        <v>1</v>
      </c>
      <c r="D48" s="12">
        <v>33</v>
      </c>
      <c r="E48" s="12">
        <v>500</v>
      </c>
      <c r="F48" s="12">
        <v>489321</v>
      </c>
      <c r="G48" s="10" t="s">
        <v>1496</v>
      </c>
      <c r="H48" s="10">
        <v>2</v>
      </c>
    </row>
    <row r="49" spans="1:8">
      <c r="A49" s="10">
        <v>1103</v>
      </c>
      <c r="B49" s="12">
        <v>11</v>
      </c>
      <c r="C49" s="10">
        <v>18</v>
      </c>
      <c r="D49" s="12">
        <v>22</v>
      </c>
      <c r="E49" s="12">
        <v>500</v>
      </c>
      <c r="F49" s="12">
        <v>489331</v>
      </c>
      <c r="G49" s="10" t="s">
        <v>1497</v>
      </c>
      <c r="H49" s="10">
        <v>2</v>
      </c>
    </row>
    <row r="50" spans="1:8">
      <c r="A50" s="10">
        <v>1201</v>
      </c>
      <c r="B50" s="12">
        <v>12</v>
      </c>
      <c r="C50" s="10">
        <v>2</v>
      </c>
      <c r="D50" s="12">
        <v>12</v>
      </c>
      <c r="E50" s="12">
        <v>500</v>
      </c>
      <c r="F50" s="12">
        <v>489341</v>
      </c>
      <c r="G50" s="10" t="s">
        <v>1498</v>
      </c>
      <c r="H50" s="10">
        <v>2</v>
      </c>
    </row>
    <row r="51" spans="1:8">
      <c r="A51" s="10">
        <v>1202</v>
      </c>
      <c r="B51" s="12">
        <v>12</v>
      </c>
      <c r="C51" s="10">
        <v>1</v>
      </c>
      <c r="D51" s="12">
        <v>36</v>
      </c>
      <c r="E51" s="12">
        <v>500</v>
      </c>
      <c r="F51" s="12">
        <v>489351</v>
      </c>
      <c r="G51" s="10" t="s">
        <v>1499</v>
      </c>
      <c r="H51" s="10">
        <v>2</v>
      </c>
    </row>
    <row r="52" spans="1:8">
      <c r="A52" s="10">
        <v>1203</v>
      </c>
      <c r="B52" s="12">
        <v>12</v>
      </c>
      <c r="C52" s="10">
        <v>18</v>
      </c>
      <c r="D52" s="12">
        <v>24</v>
      </c>
      <c r="E52" s="12">
        <v>500</v>
      </c>
      <c r="F52" s="12">
        <v>489361</v>
      </c>
      <c r="G52" s="10" t="s">
        <v>1500</v>
      </c>
      <c r="H52" s="10">
        <v>2</v>
      </c>
    </row>
    <row r="53" spans="1:8">
      <c r="A53" s="10">
        <v>1301</v>
      </c>
      <c r="B53" s="12">
        <v>13</v>
      </c>
      <c r="C53" s="10">
        <v>2</v>
      </c>
      <c r="D53" s="12">
        <v>13</v>
      </c>
      <c r="E53" s="12">
        <v>500</v>
      </c>
      <c r="F53" s="12">
        <v>489371</v>
      </c>
      <c r="G53" s="10" t="s">
        <v>1501</v>
      </c>
      <c r="H53" s="10">
        <v>2</v>
      </c>
    </row>
    <row r="54" spans="1:8">
      <c r="A54" s="10">
        <v>1302</v>
      </c>
      <c r="B54" s="12">
        <v>13</v>
      </c>
      <c r="C54" s="10">
        <v>1</v>
      </c>
      <c r="D54" s="12">
        <v>39</v>
      </c>
      <c r="E54" s="12">
        <v>500</v>
      </c>
      <c r="F54" s="12">
        <v>489381</v>
      </c>
      <c r="G54" s="10" t="s">
        <v>1502</v>
      </c>
      <c r="H54" s="10">
        <v>2</v>
      </c>
    </row>
    <row r="55" spans="1:8">
      <c r="A55" s="10">
        <v>1303</v>
      </c>
      <c r="B55" s="12">
        <v>13</v>
      </c>
      <c r="C55" s="10">
        <v>18</v>
      </c>
      <c r="D55" s="12">
        <v>26</v>
      </c>
      <c r="E55" s="12">
        <v>500</v>
      </c>
      <c r="F55" s="12">
        <v>489391</v>
      </c>
      <c r="G55" s="10" t="s">
        <v>1503</v>
      </c>
      <c r="H55" s="10">
        <v>2</v>
      </c>
    </row>
    <row r="56" spans="1:8">
      <c r="A56" s="10">
        <v>1401</v>
      </c>
      <c r="B56" s="12">
        <v>14</v>
      </c>
      <c r="C56" s="10">
        <v>2</v>
      </c>
      <c r="D56" s="12">
        <v>14</v>
      </c>
      <c r="E56" s="12">
        <v>500</v>
      </c>
      <c r="F56" s="12">
        <v>489401</v>
      </c>
      <c r="G56" s="10" t="s">
        <v>1504</v>
      </c>
      <c r="H56" s="10">
        <v>2</v>
      </c>
    </row>
    <row r="57" spans="1:8">
      <c r="A57" s="10">
        <v>1402</v>
      </c>
      <c r="B57" s="12">
        <v>14</v>
      </c>
      <c r="C57" s="10">
        <v>1</v>
      </c>
      <c r="D57" s="12">
        <v>42</v>
      </c>
      <c r="E57" s="12">
        <v>500</v>
      </c>
      <c r="F57" s="12">
        <v>489411</v>
      </c>
      <c r="G57" s="10" t="s">
        <v>1505</v>
      </c>
      <c r="H57" s="10">
        <v>2</v>
      </c>
    </row>
    <row r="58" spans="1:8">
      <c r="A58" s="10">
        <v>1403</v>
      </c>
      <c r="B58" s="12">
        <v>14</v>
      </c>
      <c r="C58" s="10">
        <v>18</v>
      </c>
      <c r="D58" s="12">
        <v>28</v>
      </c>
      <c r="E58" s="12">
        <v>500</v>
      </c>
      <c r="F58" s="12">
        <v>489421</v>
      </c>
      <c r="G58" s="10" t="s">
        <v>1506</v>
      </c>
      <c r="H58" s="10">
        <v>2</v>
      </c>
    </row>
  </sheetData>
  <phoneticPr fontId="2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3"/>
  <sheetViews>
    <sheetView workbookViewId="0">
      <selection activeCell="E27" sqref="E27"/>
    </sheetView>
  </sheetViews>
  <sheetFormatPr defaultColWidth="11" defaultRowHeight="13.8"/>
  <cols>
    <col min="1" max="1" width="34.6640625" style="2" customWidth="1"/>
    <col min="2" max="2" width="20.109375" style="2" customWidth="1"/>
    <col min="3" max="3" width="27.44140625" style="2" customWidth="1"/>
    <col min="4" max="16384" width="11" style="2"/>
  </cols>
  <sheetData>
    <row r="1" spans="1:3">
      <c r="A1" s="1" t="s">
        <v>0</v>
      </c>
      <c r="B1" s="2" t="s">
        <v>1507</v>
      </c>
      <c r="C1" s="2" t="s">
        <v>2</v>
      </c>
    </row>
    <row r="2" spans="1:3">
      <c r="A2" s="1" t="s">
        <v>3</v>
      </c>
      <c r="B2" s="2" t="s">
        <v>1508</v>
      </c>
      <c r="C2" s="2" t="s">
        <v>5</v>
      </c>
    </row>
    <row r="3" spans="1:3">
      <c r="A3" s="1" t="s">
        <v>6</v>
      </c>
      <c r="B3" s="3" t="s">
        <v>7</v>
      </c>
      <c r="C3" s="2" t="s">
        <v>8</v>
      </c>
    </row>
    <row r="4" spans="1:3">
      <c r="A4" s="1" t="s">
        <v>9</v>
      </c>
      <c r="B4" s="4" t="s">
        <v>10</v>
      </c>
    </row>
    <row r="5" spans="1:3">
      <c r="A5" s="1" t="s">
        <v>11</v>
      </c>
      <c r="C5" s="2" t="s">
        <v>12</v>
      </c>
    </row>
    <row r="6" spans="1:3">
      <c r="A6" s="1" t="s">
        <v>13</v>
      </c>
      <c r="B6" s="2">
        <v>4</v>
      </c>
      <c r="C6" s="2" t="s">
        <v>14</v>
      </c>
    </row>
    <row r="7" spans="1:3">
      <c r="A7" s="1" t="s">
        <v>15</v>
      </c>
    </row>
    <row r="8" spans="1:3">
      <c r="A8" s="1" t="s">
        <v>16</v>
      </c>
    </row>
    <row r="11" spans="1:3">
      <c r="A11" s="2" t="s">
        <v>17</v>
      </c>
      <c r="B11" s="2" t="s">
        <v>1509</v>
      </c>
      <c r="C11" s="2" t="s">
        <v>1510</v>
      </c>
    </row>
    <row r="12" spans="1:3">
      <c r="A12" s="4" t="s">
        <v>23</v>
      </c>
      <c r="B12" s="3"/>
      <c r="C12" s="4" t="s">
        <v>1460</v>
      </c>
    </row>
    <row r="13" spans="1:3">
      <c r="A13" s="4" t="s">
        <v>29</v>
      </c>
      <c r="B13" s="3"/>
      <c r="C13" s="4" t="s">
        <v>243</v>
      </c>
    </row>
    <row r="14" spans="1:3">
      <c r="A14" s="4" t="s">
        <v>31</v>
      </c>
      <c r="B14" s="3"/>
      <c r="C14" s="4" t="s">
        <v>32</v>
      </c>
    </row>
    <row r="15" spans="1:3">
      <c r="A15" s="4"/>
      <c r="B15" s="3"/>
      <c r="C15" s="4">
        <v>0</v>
      </c>
    </row>
    <row r="16" spans="1:3">
      <c r="A16" s="2">
        <v>1</v>
      </c>
      <c r="B16" s="2" t="s">
        <v>1511</v>
      </c>
      <c r="C16" s="2" t="s">
        <v>1512</v>
      </c>
    </row>
    <row r="17" spans="1:3">
      <c r="A17" s="2">
        <v>2</v>
      </c>
      <c r="B17" s="2" t="s">
        <v>1513</v>
      </c>
      <c r="C17" s="2" t="s">
        <v>1514</v>
      </c>
    </row>
    <row r="18" spans="1:3">
      <c r="A18" s="2">
        <v>3</v>
      </c>
      <c r="B18" s="2" t="s">
        <v>1515</v>
      </c>
      <c r="C18" s="2" t="s">
        <v>1516</v>
      </c>
    </row>
    <row r="19" spans="1:3">
      <c r="A19" s="3">
        <v>3</v>
      </c>
      <c r="B19" s="2" t="s">
        <v>1517</v>
      </c>
      <c r="C19" s="2" t="s">
        <v>1518</v>
      </c>
    </row>
    <row r="20" spans="1:3">
      <c r="A20" s="3">
        <v>4</v>
      </c>
      <c r="B20" s="2" t="s">
        <v>1519</v>
      </c>
      <c r="C20" s="2" t="s">
        <v>1520</v>
      </c>
    </row>
    <row r="21" spans="1:3">
      <c r="A21" s="3">
        <v>5</v>
      </c>
      <c r="B21" s="2" t="s">
        <v>1521</v>
      </c>
      <c r="C21" s="2" t="s">
        <v>1522</v>
      </c>
    </row>
    <row r="22" spans="1:3">
      <c r="A22" s="2">
        <v>6</v>
      </c>
      <c r="B22" s="2" t="s">
        <v>1523</v>
      </c>
      <c r="C22" s="2" t="s">
        <v>1524</v>
      </c>
    </row>
    <row r="23" spans="1:3">
      <c r="A23" s="2">
        <v>7</v>
      </c>
      <c r="B23" s="2" t="s">
        <v>1525</v>
      </c>
      <c r="C23" s="2" t="s">
        <v>1526</v>
      </c>
    </row>
  </sheetData>
  <phoneticPr fontId="23" type="noConversion"/>
  <pageMargins left="0.7" right="0.7" top="0.75" bottom="0.75" header="0.3" footer="0.3"/>
  <pageSetup paperSize="9"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3"/>
  <sheetViews>
    <sheetView workbookViewId="0">
      <selection activeCell="I14" sqref="I14"/>
    </sheetView>
  </sheetViews>
  <sheetFormatPr defaultColWidth="11" defaultRowHeight="13.8"/>
  <cols>
    <col min="1" max="1" width="34.6640625" style="2" customWidth="1"/>
    <col min="2" max="2" width="21.21875" style="2" customWidth="1"/>
    <col min="3" max="3" width="12.33203125" style="2" customWidth="1"/>
    <col min="4" max="4" width="13" style="2" customWidth="1"/>
    <col min="5" max="5" width="26.88671875" style="2" customWidth="1"/>
    <col min="6" max="16384" width="11" style="2"/>
  </cols>
  <sheetData>
    <row r="1" spans="1:6">
      <c r="A1" s="1" t="s">
        <v>0</v>
      </c>
      <c r="B1" s="2" t="s">
        <v>1527</v>
      </c>
      <c r="C1" s="2" t="s">
        <v>2</v>
      </c>
    </row>
    <row r="2" spans="1:6">
      <c r="A2" s="1" t="s">
        <v>3</v>
      </c>
      <c r="B2" s="2" t="s">
        <v>1528</v>
      </c>
      <c r="C2" s="2" t="s">
        <v>5</v>
      </c>
    </row>
    <row r="3" spans="1:6">
      <c r="A3" s="1" t="s">
        <v>6</v>
      </c>
      <c r="B3" s="3" t="s">
        <v>7</v>
      </c>
      <c r="C3" s="2" t="s">
        <v>8</v>
      </c>
    </row>
    <row r="4" spans="1:6">
      <c r="A4" s="1" t="s">
        <v>9</v>
      </c>
      <c r="B4" s="4" t="s">
        <v>10</v>
      </c>
    </row>
    <row r="5" spans="1:6">
      <c r="A5" s="1" t="s">
        <v>11</v>
      </c>
      <c r="C5" s="2" t="s">
        <v>12</v>
      </c>
    </row>
    <row r="6" spans="1:6">
      <c r="A6" s="1" t="s">
        <v>13</v>
      </c>
      <c r="B6" s="2">
        <v>4</v>
      </c>
      <c r="C6" s="2" t="s">
        <v>14</v>
      </c>
    </row>
    <row r="7" spans="1:6">
      <c r="A7" s="1" t="s">
        <v>15</v>
      </c>
    </row>
    <row r="8" spans="1:6">
      <c r="A8" s="1" t="s">
        <v>16</v>
      </c>
    </row>
    <row r="11" spans="1:6">
      <c r="A11" s="2" t="s">
        <v>17</v>
      </c>
      <c r="B11" s="2" t="s">
        <v>1529</v>
      </c>
      <c r="C11" s="2" t="s">
        <v>1530</v>
      </c>
      <c r="D11" s="2" t="s">
        <v>1531</v>
      </c>
      <c r="E11" s="2" t="s">
        <v>1532</v>
      </c>
    </row>
    <row r="12" spans="1:6">
      <c r="A12" s="4" t="s">
        <v>23</v>
      </c>
      <c r="B12" s="3" t="s">
        <v>1461</v>
      </c>
      <c r="C12" s="3" t="s">
        <v>307</v>
      </c>
      <c r="D12" s="4" t="s">
        <v>1533</v>
      </c>
      <c r="E12" s="4" t="s">
        <v>1534</v>
      </c>
    </row>
    <row r="13" spans="1:6">
      <c r="A13" s="4" t="s">
        <v>29</v>
      </c>
      <c r="B13" s="3" t="s">
        <v>30</v>
      </c>
      <c r="C13" s="3" t="s">
        <v>29</v>
      </c>
      <c r="D13" s="4" t="s">
        <v>29</v>
      </c>
      <c r="E13" s="4" t="s">
        <v>243</v>
      </c>
    </row>
    <row r="14" spans="1:6">
      <c r="A14" s="4" t="s">
        <v>31</v>
      </c>
      <c r="B14" s="3" t="s">
        <v>32</v>
      </c>
      <c r="C14" s="3" t="s">
        <v>442</v>
      </c>
      <c r="D14" s="4" t="s">
        <v>32</v>
      </c>
      <c r="E14" s="4" t="s">
        <v>32</v>
      </c>
    </row>
    <row r="15" spans="1:6">
      <c r="A15" s="4"/>
      <c r="B15" s="3">
        <v>0</v>
      </c>
      <c r="C15" s="3">
        <v>0</v>
      </c>
      <c r="D15" s="4">
        <v>0</v>
      </c>
      <c r="E15" s="4" t="s">
        <v>1535</v>
      </c>
    </row>
    <row r="16" spans="1:6">
      <c r="A16" s="2">
        <v>1</v>
      </c>
      <c r="B16" s="2">
        <v>440051</v>
      </c>
      <c r="C16" s="2">
        <v>1</v>
      </c>
      <c r="D16" s="2">
        <v>0</v>
      </c>
      <c r="E16" s="2" t="s">
        <v>1536</v>
      </c>
      <c r="F16"/>
    </row>
    <row r="17" spans="1:6">
      <c r="A17" s="2">
        <v>2</v>
      </c>
      <c r="B17" s="2">
        <v>300006</v>
      </c>
      <c r="C17" s="2">
        <v>10</v>
      </c>
      <c r="D17" s="2">
        <v>1</v>
      </c>
      <c r="E17" s="2" t="s">
        <v>1537</v>
      </c>
      <c r="F17"/>
    </row>
    <row r="18" spans="1:6">
      <c r="A18" s="2">
        <v>3</v>
      </c>
      <c r="B18" s="2">
        <v>480011</v>
      </c>
      <c r="C18" s="2">
        <v>20</v>
      </c>
      <c r="D18" s="2">
        <v>0</v>
      </c>
      <c r="E18" s="2" t="s">
        <v>1538</v>
      </c>
    </row>
    <row r="19" spans="1:6">
      <c r="A19" s="2">
        <v>4</v>
      </c>
      <c r="B19" s="2">
        <v>100253</v>
      </c>
      <c r="C19" s="2">
        <v>30</v>
      </c>
      <c r="D19" s="2">
        <v>1</v>
      </c>
      <c r="E19" s="2" t="s">
        <v>1539</v>
      </c>
    </row>
    <row r="20" spans="1:6">
      <c r="A20" s="2">
        <v>5</v>
      </c>
      <c r="B20" s="2">
        <v>440061</v>
      </c>
      <c r="C20" s="2">
        <v>1</v>
      </c>
      <c r="D20" s="2">
        <v>0</v>
      </c>
      <c r="E20" s="2" t="s">
        <v>1540</v>
      </c>
    </row>
    <row r="21" spans="1:6">
      <c r="A21" s="2">
        <v>6</v>
      </c>
      <c r="B21" s="2">
        <v>300008</v>
      </c>
      <c r="C21" s="2">
        <v>10</v>
      </c>
      <c r="D21" s="2">
        <v>1</v>
      </c>
      <c r="E21" s="2" t="s">
        <v>1541</v>
      </c>
    </row>
    <row r="22" spans="1:6">
      <c r="A22" s="2">
        <v>7</v>
      </c>
      <c r="B22" s="2">
        <v>460074</v>
      </c>
      <c r="C22" s="2">
        <v>20</v>
      </c>
      <c r="D22" s="2">
        <v>0</v>
      </c>
    </row>
    <row r="23" spans="1:6">
      <c r="A23" s="2">
        <v>8</v>
      </c>
      <c r="B23" s="2">
        <v>100411</v>
      </c>
      <c r="C23" s="2">
        <v>30</v>
      </c>
      <c r="D23" s="2">
        <v>0</v>
      </c>
    </row>
    <row r="24" spans="1:6">
      <c r="A24" s="2">
        <v>9</v>
      </c>
      <c r="B24" s="2">
        <v>440061</v>
      </c>
      <c r="C24" s="2">
        <v>1</v>
      </c>
      <c r="D24" s="2">
        <v>0</v>
      </c>
    </row>
    <row r="25" spans="1:6">
      <c r="A25" s="2">
        <v>10</v>
      </c>
      <c r="B25" s="2">
        <v>300008</v>
      </c>
      <c r="C25" s="2">
        <v>10</v>
      </c>
      <c r="D25" s="2">
        <v>0</v>
      </c>
    </row>
    <row r="26" spans="1:6">
      <c r="A26" s="2">
        <v>11</v>
      </c>
      <c r="B26" s="2">
        <v>460084</v>
      </c>
      <c r="C26" s="2">
        <v>20</v>
      </c>
      <c r="D26" s="2">
        <v>0</v>
      </c>
    </row>
    <row r="27" spans="1:6">
      <c r="A27" s="2">
        <v>12</v>
      </c>
      <c r="B27" s="2">
        <v>100431</v>
      </c>
      <c r="C27" s="2">
        <v>30</v>
      </c>
      <c r="D27" s="2">
        <v>0</v>
      </c>
    </row>
    <row r="28" spans="1:6">
      <c r="A28" s="21">
        <v>13</v>
      </c>
      <c r="B28" s="21">
        <v>440051</v>
      </c>
      <c r="C28" s="21">
        <v>1</v>
      </c>
      <c r="D28" s="2">
        <v>0</v>
      </c>
    </row>
    <row r="29" spans="1:6">
      <c r="A29" s="21">
        <v>14</v>
      </c>
      <c r="B29" s="21">
        <v>300010</v>
      </c>
      <c r="C29" s="21">
        <v>10</v>
      </c>
      <c r="D29" s="2">
        <v>0</v>
      </c>
    </row>
    <row r="30" spans="1:6">
      <c r="A30" s="21">
        <v>15</v>
      </c>
      <c r="B30" s="21">
        <v>460064</v>
      </c>
      <c r="C30" s="21">
        <v>20</v>
      </c>
      <c r="D30" s="2">
        <v>0</v>
      </c>
    </row>
    <row r="31" spans="1:6">
      <c r="A31" s="21">
        <v>16</v>
      </c>
      <c r="B31" s="21">
        <v>100341</v>
      </c>
      <c r="C31" s="21">
        <v>30</v>
      </c>
      <c r="D31" s="2">
        <v>0</v>
      </c>
    </row>
    <row r="32" spans="1:6">
      <c r="A32" s="21">
        <v>17</v>
      </c>
      <c r="B32" s="21">
        <v>440061</v>
      </c>
      <c r="C32" s="21">
        <v>1</v>
      </c>
      <c r="D32" s="2">
        <v>0</v>
      </c>
    </row>
    <row r="33" spans="1:9">
      <c r="A33" s="21">
        <v>18</v>
      </c>
      <c r="B33" s="21">
        <v>300011</v>
      </c>
      <c r="C33" s="21">
        <v>10</v>
      </c>
      <c r="D33" s="2">
        <v>0</v>
      </c>
    </row>
    <row r="34" spans="1:9">
      <c r="A34" s="21">
        <v>19</v>
      </c>
      <c r="B34" s="21">
        <v>460074</v>
      </c>
      <c r="C34" s="21">
        <v>20</v>
      </c>
      <c r="D34" s="2">
        <v>0</v>
      </c>
    </row>
    <row r="35" spans="1:9">
      <c r="A35" s="21">
        <v>20</v>
      </c>
      <c r="B35" s="21">
        <v>100091</v>
      </c>
      <c r="C35" s="21">
        <v>30</v>
      </c>
      <c r="D35" s="2">
        <v>0</v>
      </c>
    </row>
    <row r="36" spans="1:9">
      <c r="A36" s="21">
        <v>21</v>
      </c>
      <c r="D36" s="2">
        <v>0</v>
      </c>
      <c r="E36" s="2" t="s">
        <v>1542</v>
      </c>
      <c r="H36" s="21"/>
    </row>
    <row r="37" spans="1:9">
      <c r="A37" s="21">
        <v>22</v>
      </c>
      <c r="D37" s="2">
        <v>1</v>
      </c>
      <c r="E37" s="2" t="s">
        <v>1543</v>
      </c>
      <c r="H37" s="21"/>
      <c r="I37" s="21"/>
    </row>
    <row r="38" spans="1:9">
      <c r="H38" s="21"/>
      <c r="I38" s="21"/>
    </row>
    <row r="39" spans="1:9">
      <c r="H39" s="21"/>
      <c r="I39" s="21"/>
    </row>
    <row r="40" spans="1:9">
      <c r="H40" s="21"/>
    </row>
    <row r="41" spans="1:9">
      <c r="H41" s="21"/>
      <c r="I41" s="22"/>
    </row>
    <row r="42" spans="1:9">
      <c r="H42" s="21"/>
      <c r="I42" s="21"/>
    </row>
    <row r="43" spans="1:9">
      <c r="H43" s="21"/>
      <c r="I43" s="21"/>
    </row>
  </sheetData>
  <phoneticPr fontId="23" type="noConversion"/>
  <pageMargins left="0.7" right="0.7" top="0.75" bottom="0.75" header="0.3" footer="0.3"/>
  <pageSetup paperSize="9"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5"/>
  <sheetViews>
    <sheetView workbookViewId="0">
      <selection activeCell="I38" sqref="I38"/>
    </sheetView>
  </sheetViews>
  <sheetFormatPr defaultColWidth="9" defaultRowHeight="13.8"/>
  <cols>
    <col min="1" max="1" width="22.6640625" customWidth="1"/>
    <col min="2" max="2" width="23.33203125" customWidth="1"/>
    <col min="3" max="3" width="15.33203125" customWidth="1"/>
    <col min="4" max="4" width="14" customWidth="1"/>
    <col min="5" max="5" width="18.33203125" customWidth="1"/>
    <col min="6" max="6" width="12.21875" customWidth="1"/>
    <col min="7" max="7" width="32.77734375" customWidth="1"/>
    <col min="9" max="9" width="14.109375" customWidth="1"/>
    <col min="10" max="10" width="11.88671875" customWidth="1"/>
  </cols>
  <sheetData>
    <row r="1" spans="1:11">
      <c r="A1" s="1" t="s">
        <v>0</v>
      </c>
      <c r="B1" s="2" t="s">
        <v>1544</v>
      </c>
      <c r="C1" s="2" t="s">
        <v>2</v>
      </c>
    </row>
    <row r="2" spans="1:11">
      <c r="A2" s="1" t="s">
        <v>3</v>
      </c>
      <c r="B2" s="2" t="s">
        <v>1545</v>
      </c>
      <c r="C2" s="2" t="s">
        <v>5</v>
      </c>
    </row>
    <row r="3" spans="1:11">
      <c r="A3" s="1" t="s">
        <v>6</v>
      </c>
      <c r="B3" s="3" t="s">
        <v>7</v>
      </c>
      <c r="C3" s="2" t="s">
        <v>8</v>
      </c>
    </row>
    <row r="4" spans="1:11">
      <c r="A4" s="1" t="s">
        <v>9</v>
      </c>
      <c r="B4" s="4" t="s">
        <v>10</v>
      </c>
      <c r="C4" s="2"/>
    </row>
    <row r="5" spans="1:11">
      <c r="A5" s="1" t="s">
        <v>11</v>
      </c>
      <c r="B5" s="2"/>
      <c r="C5" s="2" t="s">
        <v>12</v>
      </c>
    </row>
    <row r="6" spans="1:11">
      <c r="A6" s="1" t="s">
        <v>13</v>
      </c>
      <c r="B6" s="2">
        <v>4</v>
      </c>
      <c r="C6" s="2" t="s">
        <v>14</v>
      </c>
    </row>
    <row r="7" spans="1:11">
      <c r="A7" s="1" t="s">
        <v>15</v>
      </c>
      <c r="B7" s="2"/>
      <c r="C7" s="2"/>
    </row>
    <row r="8" spans="1:11">
      <c r="A8" s="1" t="s">
        <v>16</v>
      </c>
      <c r="B8" s="2"/>
      <c r="C8" s="2"/>
    </row>
    <row r="11" spans="1:11">
      <c r="A11" s="10" t="s">
        <v>1450</v>
      </c>
      <c r="B11" s="10" t="s">
        <v>1452</v>
      </c>
      <c r="C11" s="10" t="s">
        <v>1453</v>
      </c>
      <c r="D11" s="10" t="s">
        <v>1546</v>
      </c>
      <c r="E11" s="10" t="s">
        <v>1269</v>
      </c>
      <c r="F11" s="10" t="s">
        <v>1455</v>
      </c>
      <c r="G11" s="10" t="s">
        <v>1456</v>
      </c>
      <c r="H11" s="10" t="s">
        <v>1457</v>
      </c>
      <c r="I11" s="18" t="s">
        <v>1547</v>
      </c>
      <c r="J11" s="19" t="s">
        <v>1548</v>
      </c>
    </row>
    <row r="12" spans="1:11">
      <c r="A12" s="11" t="s">
        <v>23</v>
      </c>
      <c r="B12" s="11" t="s">
        <v>1459</v>
      </c>
      <c r="C12" s="11" t="s">
        <v>1460</v>
      </c>
      <c r="D12" s="11" t="s">
        <v>479</v>
      </c>
      <c r="E12" s="11" t="s">
        <v>480</v>
      </c>
      <c r="F12" s="11" t="s">
        <v>1462</v>
      </c>
      <c r="G12" s="15" t="s">
        <v>1463</v>
      </c>
      <c r="H12" s="11" t="s">
        <v>309</v>
      </c>
      <c r="I12" s="11" t="s">
        <v>1549</v>
      </c>
      <c r="J12" s="11" t="s">
        <v>1550</v>
      </c>
    </row>
    <row r="13" spans="1:11">
      <c r="A13" s="11" t="s">
        <v>29</v>
      </c>
      <c r="B13" s="11" t="s">
        <v>29</v>
      </c>
      <c r="C13" s="11" t="s">
        <v>30</v>
      </c>
      <c r="D13" s="11" t="s">
        <v>29</v>
      </c>
      <c r="E13" s="11" t="s">
        <v>29</v>
      </c>
      <c r="F13" s="11" t="s">
        <v>29</v>
      </c>
      <c r="G13" s="15" t="s">
        <v>30</v>
      </c>
      <c r="H13" s="11" t="s">
        <v>29</v>
      </c>
      <c r="I13" s="11" t="s">
        <v>29</v>
      </c>
      <c r="J13" s="11" t="s">
        <v>29</v>
      </c>
    </row>
    <row r="14" spans="1:11">
      <c r="A14" s="11" t="s">
        <v>31</v>
      </c>
      <c r="B14" s="11" t="s">
        <v>32</v>
      </c>
      <c r="C14" s="11" t="s">
        <v>32</v>
      </c>
      <c r="D14" s="11" t="s">
        <v>32</v>
      </c>
      <c r="E14" s="11" t="s">
        <v>32</v>
      </c>
      <c r="F14" s="11" t="s">
        <v>442</v>
      </c>
      <c r="G14" s="15" t="s">
        <v>505</v>
      </c>
      <c r="H14" s="11" t="s">
        <v>442</v>
      </c>
      <c r="I14" s="11" t="s">
        <v>32</v>
      </c>
      <c r="J14" s="11" t="s">
        <v>32</v>
      </c>
    </row>
    <row r="15" spans="1:11">
      <c r="A15" s="11"/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5"/>
      <c r="H15" s="11">
        <v>0</v>
      </c>
      <c r="I15" s="11">
        <v>0</v>
      </c>
      <c r="J15" s="11">
        <v>0</v>
      </c>
    </row>
    <row r="16" spans="1:11">
      <c r="A16">
        <v>1001</v>
      </c>
      <c r="B16">
        <v>28</v>
      </c>
      <c r="C16" s="16" t="s">
        <v>1551</v>
      </c>
      <c r="D16">
        <v>0</v>
      </c>
      <c r="E16">
        <v>15</v>
      </c>
      <c r="F16">
        <v>489501</v>
      </c>
      <c r="G16" t="s">
        <v>1552</v>
      </c>
      <c r="H16">
        <v>67</v>
      </c>
      <c r="I16">
        <v>1</v>
      </c>
      <c r="J16" s="20">
        <v>0</v>
      </c>
      <c r="K16">
        <v>2</v>
      </c>
    </row>
    <row r="17" spans="1:11">
      <c r="A17">
        <v>1002</v>
      </c>
      <c r="B17">
        <v>29</v>
      </c>
      <c r="C17" s="16" t="s">
        <v>1553</v>
      </c>
      <c r="D17">
        <v>0</v>
      </c>
      <c r="E17">
        <v>90</v>
      </c>
      <c r="F17">
        <v>489502</v>
      </c>
      <c r="G17" t="s">
        <v>1554</v>
      </c>
      <c r="H17">
        <v>67</v>
      </c>
      <c r="I17">
        <v>2</v>
      </c>
      <c r="J17" s="20">
        <v>0</v>
      </c>
      <c r="K17">
        <v>2</v>
      </c>
    </row>
    <row r="18" spans="1:11">
      <c r="A18" s="3">
        <v>1003</v>
      </c>
      <c r="B18">
        <v>30</v>
      </c>
      <c r="C18" s="16" t="s">
        <v>1555</v>
      </c>
      <c r="D18">
        <v>0</v>
      </c>
      <c r="E18">
        <v>0</v>
      </c>
      <c r="F18">
        <v>489503</v>
      </c>
      <c r="G18" t="s">
        <v>1556</v>
      </c>
      <c r="H18">
        <v>2</v>
      </c>
      <c r="I18">
        <v>1</v>
      </c>
      <c r="J18" s="20">
        <v>0</v>
      </c>
    </row>
    <row r="19" spans="1:11">
      <c r="A19" s="3">
        <v>1004</v>
      </c>
      <c r="B19">
        <v>28</v>
      </c>
      <c r="C19" s="16" t="s">
        <v>1557</v>
      </c>
      <c r="D19">
        <v>0</v>
      </c>
      <c r="E19">
        <v>0</v>
      </c>
      <c r="F19">
        <v>489504</v>
      </c>
      <c r="G19" t="s">
        <v>1558</v>
      </c>
      <c r="H19">
        <v>2</v>
      </c>
      <c r="I19">
        <v>1</v>
      </c>
      <c r="J19" s="20">
        <v>0</v>
      </c>
    </row>
    <row r="20" spans="1:11">
      <c r="A20" s="3">
        <v>1005</v>
      </c>
      <c r="B20">
        <v>29</v>
      </c>
      <c r="C20" s="16" t="s">
        <v>1559</v>
      </c>
      <c r="D20">
        <v>0</v>
      </c>
      <c r="E20">
        <v>0</v>
      </c>
      <c r="F20">
        <v>489505</v>
      </c>
      <c r="G20" t="s">
        <v>1560</v>
      </c>
      <c r="H20">
        <v>2</v>
      </c>
      <c r="I20">
        <v>1</v>
      </c>
      <c r="J20" s="20">
        <v>0</v>
      </c>
    </row>
    <row r="21" spans="1:11">
      <c r="A21" s="3">
        <v>1006</v>
      </c>
      <c r="B21">
        <v>30</v>
      </c>
      <c r="C21" s="16" t="s">
        <v>1561</v>
      </c>
      <c r="D21">
        <v>0</v>
      </c>
      <c r="E21">
        <v>0</v>
      </c>
      <c r="F21">
        <v>489506</v>
      </c>
      <c r="G21" t="s">
        <v>1562</v>
      </c>
      <c r="H21">
        <v>2</v>
      </c>
      <c r="I21">
        <v>1</v>
      </c>
      <c r="J21" s="20">
        <v>0</v>
      </c>
    </row>
    <row r="22" spans="1:11">
      <c r="A22" s="3">
        <v>1007</v>
      </c>
      <c r="B22">
        <v>6</v>
      </c>
      <c r="C22" s="16">
        <v>3</v>
      </c>
      <c r="D22">
        <v>0</v>
      </c>
      <c r="E22">
        <v>0</v>
      </c>
      <c r="F22">
        <v>489507</v>
      </c>
      <c r="G22" t="s">
        <v>1563</v>
      </c>
      <c r="H22">
        <v>6</v>
      </c>
      <c r="I22">
        <v>1</v>
      </c>
      <c r="J22" s="20">
        <v>0</v>
      </c>
    </row>
    <row r="23" spans="1:11">
      <c r="A23" s="3">
        <v>1008</v>
      </c>
      <c r="B23">
        <v>25</v>
      </c>
      <c r="C23" s="16">
        <v>2</v>
      </c>
      <c r="D23">
        <v>0</v>
      </c>
      <c r="E23">
        <v>0</v>
      </c>
      <c r="F23">
        <v>489508</v>
      </c>
      <c r="G23" t="s">
        <v>1564</v>
      </c>
      <c r="H23">
        <v>58</v>
      </c>
      <c r="I23">
        <v>1</v>
      </c>
      <c r="J23" s="20">
        <v>0</v>
      </c>
    </row>
    <row r="24" spans="1:11">
      <c r="A24">
        <v>1009</v>
      </c>
      <c r="B24">
        <v>24</v>
      </c>
      <c r="C24" s="16">
        <v>1</v>
      </c>
      <c r="D24">
        <v>0</v>
      </c>
      <c r="E24">
        <v>10</v>
      </c>
      <c r="F24">
        <v>489509</v>
      </c>
      <c r="G24" t="s">
        <v>1565</v>
      </c>
      <c r="H24">
        <v>7</v>
      </c>
      <c r="I24">
        <v>1</v>
      </c>
      <c r="J24" s="20">
        <v>0</v>
      </c>
    </row>
    <row r="25" spans="1:11">
      <c r="A25" s="3">
        <v>1010</v>
      </c>
      <c r="B25">
        <v>10</v>
      </c>
      <c r="C25" s="16" t="s">
        <v>1566</v>
      </c>
      <c r="D25">
        <v>0</v>
      </c>
      <c r="E25">
        <v>0</v>
      </c>
      <c r="F25">
        <v>489510</v>
      </c>
      <c r="G25" t="s">
        <v>1567</v>
      </c>
      <c r="H25">
        <v>2</v>
      </c>
      <c r="I25">
        <v>1</v>
      </c>
      <c r="J25" s="20">
        <v>0</v>
      </c>
    </row>
    <row r="26" spans="1:11">
      <c r="A26">
        <v>1011</v>
      </c>
      <c r="B26">
        <v>18</v>
      </c>
      <c r="C26" s="16">
        <v>1</v>
      </c>
      <c r="D26">
        <v>0</v>
      </c>
      <c r="E26">
        <v>10</v>
      </c>
      <c r="F26">
        <v>489511</v>
      </c>
      <c r="G26" t="s">
        <v>1568</v>
      </c>
      <c r="H26">
        <v>125</v>
      </c>
      <c r="I26">
        <v>1</v>
      </c>
      <c r="J26" s="20">
        <v>0</v>
      </c>
    </row>
    <row r="27" spans="1:11">
      <c r="A27">
        <v>1012</v>
      </c>
      <c r="B27">
        <v>2</v>
      </c>
      <c r="C27" s="16">
        <v>1</v>
      </c>
      <c r="D27">
        <v>0</v>
      </c>
      <c r="E27">
        <v>10</v>
      </c>
      <c r="F27">
        <v>489512</v>
      </c>
      <c r="G27" t="s">
        <v>1569</v>
      </c>
      <c r="I27">
        <v>1</v>
      </c>
      <c r="J27" s="20">
        <v>0</v>
      </c>
    </row>
    <row r="28" spans="1:11">
      <c r="A28" s="2">
        <v>1013</v>
      </c>
      <c r="B28">
        <v>36</v>
      </c>
      <c r="C28" s="16">
        <v>1</v>
      </c>
      <c r="D28">
        <v>0</v>
      </c>
      <c r="E28">
        <v>15</v>
      </c>
      <c r="F28">
        <v>489513</v>
      </c>
      <c r="G28" t="s">
        <v>1570</v>
      </c>
      <c r="H28">
        <v>67</v>
      </c>
      <c r="I28">
        <v>1</v>
      </c>
      <c r="J28" s="20">
        <v>0</v>
      </c>
      <c r="K28">
        <v>2</v>
      </c>
    </row>
    <row r="29" spans="1:11">
      <c r="A29">
        <v>1014</v>
      </c>
      <c r="B29">
        <v>16</v>
      </c>
      <c r="C29" s="16">
        <v>1</v>
      </c>
      <c r="D29">
        <v>0</v>
      </c>
      <c r="E29">
        <v>15</v>
      </c>
      <c r="F29">
        <v>489514</v>
      </c>
      <c r="G29" t="s">
        <v>1571</v>
      </c>
      <c r="H29">
        <v>27</v>
      </c>
      <c r="I29">
        <v>1</v>
      </c>
      <c r="J29" s="20">
        <v>0</v>
      </c>
    </row>
    <row r="30" spans="1:11">
      <c r="A30">
        <v>1015</v>
      </c>
      <c r="B30" s="17">
        <v>5</v>
      </c>
      <c r="C30" s="16">
        <v>1</v>
      </c>
      <c r="D30">
        <v>0</v>
      </c>
      <c r="E30">
        <v>15</v>
      </c>
      <c r="F30">
        <v>489515</v>
      </c>
      <c r="G30" t="s">
        <v>1572</v>
      </c>
      <c r="H30">
        <v>126</v>
      </c>
      <c r="I30">
        <v>1</v>
      </c>
      <c r="J30" s="20">
        <v>0</v>
      </c>
    </row>
    <row r="31" spans="1:11">
      <c r="A31" s="2">
        <v>1016</v>
      </c>
      <c r="B31">
        <v>2</v>
      </c>
      <c r="C31" s="16">
        <v>3</v>
      </c>
      <c r="D31">
        <v>0</v>
      </c>
      <c r="E31">
        <v>75</v>
      </c>
      <c r="F31">
        <v>489516</v>
      </c>
      <c r="G31" t="s">
        <v>1573</v>
      </c>
      <c r="I31">
        <v>2</v>
      </c>
      <c r="J31" s="20">
        <v>0</v>
      </c>
    </row>
    <row r="32" spans="1:11">
      <c r="A32">
        <v>1017</v>
      </c>
      <c r="B32">
        <v>36</v>
      </c>
      <c r="C32" s="16">
        <v>3</v>
      </c>
      <c r="D32">
        <v>0</v>
      </c>
      <c r="E32">
        <v>75</v>
      </c>
      <c r="F32">
        <v>489517</v>
      </c>
      <c r="G32" t="s">
        <v>1574</v>
      </c>
      <c r="H32">
        <v>67</v>
      </c>
      <c r="I32">
        <v>2</v>
      </c>
      <c r="J32" s="20">
        <v>0</v>
      </c>
      <c r="K32">
        <v>2</v>
      </c>
    </row>
    <row r="33" spans="1:11">
      <c r="A33">
        <v>1018</v>
      </c>
      <c r="B33">
        <v>28</v>
      </c>
      <c r="C33" s="16" t="s">
        <v>1555</v>
      </c>
      <c r="D33">
        <v>0</v>
      </c>
      <c r="E33">
        <v>90</v>
      </c>
      <c r="F33">
        <v>489518</v>
      </c>
      <c r="G33" t="s">
        <v>1575</v>
      </c>
      <c r="H33">
        <v>67</v>
      </c>
      <c r="I33">
        <v>2</v>
      </c>
      <c r="J33" s="20">
        <v>0</v>
      </c>
      <c r="K33">
        <v>2</v>
      </c>
    </row>
    <row r="34" spans="1:11">
      <c r="A34" s="2">
        <v>1019</v>
      </c>
      <c r="B34">
        <v>24</v>
      </c>
      <c r="C34" s="16">
        <v>4</v>
      </c>
      <c r="D34">
        <v>0</v>
      </c>
      <c r="E34">
        <v>60</v>
      </c>
      <c r="F34">
        <v>489519</v>
      </c>
      <c r="G34" t="s">
        <v>1576</v>
      </c>
      <c r="H34">
        <v>7</v>
      </c>
      <c r="I34">
        <v>2</v>
      </c>
      <c r="J34" s="20">
        <v>0</v>
      </c>
    </row>
    <row r="35" spans="1:11">
      <c r="C35" s="16"/>
    </row>
  </sheetData>
  <phoneticPr fontId="23" type="noConversion"/>
  <pageMargins left="0.75" right="0.75" top="1" bottom="1" header="0.5" footer="0.5"/>
  <pageSetup paperSize="9"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0"/>
  <sheetViews>
    <sheetView workbookViewId="0">
      <selection activeCell="C17" sqref="C17:C18"/>
    </sheetView>
  </sheetViews>
  <sheetFormatPr defaultColWidth="9" defaultRowHeight="13.8"/>
  <cols>
    <col min="1" max="1" width="16.109375" style="2" customWidth="1"/>
    <col min="2" max="2" width="20.109375" style="2" customWidth="1"/>
    <col min="3" max="3" width="45.109375" style="2" customWidth="1"/>
    <col min="4" max="6" width="10.6640625" style="2" customWidth="1"/>
    <col min="7" max="16384" width="9" style="2"/>
  </cols>
  <sheetData>
    <row r="1" spans="1:5">
      <c r="A1" s="1" t="s">
        <v>0</v>
      </c>
      <c r="B1" s="2" t="s">
        <v>1577</v>
      </c>
      <c r="C1" s="2" t="s">
        <v>2</v>
      </c>
    </row>
    <row r="2" spans="1:5">
      <c r="A2" s="1" t="s">
        <v>3</v>
      </c>
      <c r="B2" s="2" t="s">
        <v>391</v>
      </c>
      <c r="C2" s="2" t="s">
        <v>5</v>
      </c>
    </row>
    <row r="3" spans="1:5">
      <c r="A3" s="1" t="s">
        <v>6</v>
      </c>
      <c r="B3" s="3" t="s">
        <v>7</v>
      </c>
      <c r="C3" s="2" t="s">
        <v>8</v>
      </c>
    </row>
    <row r="4" spans="1:5">
      <c r="A4" s="1" t="s">
        <v>9</v>
      </c>
      <c r="B4" s="4" t="s">
        <v>10</v>
      </c>
    </row>
    <row r="5" spans="1:5">
      <c r="A5" s="1" t="s">
        <v>11</v>
      </c>
      <c r="C5" s="2" t="s">
        <v>12</v>
      </c>
    </row>
    <row r="6" spans="1:5">
      <c r="A6" s="1" t="s">
        <v>13</v>
      </c>
      <c r="B6" s="2">
        <v>4</v>
      </c>
      <c r="C6" s="2" t="s">
        <v>14</v>
      </c>
    </row>
    <row r="7" spans="1:5">
      <c r="A7" s="1" t="s">
        <v>15</v>
      </c>
    </row>
    <row r="8" spans="1:5">
      <c r="A8" s="1" t="s">
        <v>16</v>
      </c>
    </row>
    <row r="11" spans="1:5">
      <c r="A11" s="2" t="s">
        <v>1578</v>
      </c>
      <c r="B11" s="2" t="s">
        <v>1579</v>
      </c>
      <c r="C11" s="2" t="s">
        <v>1456</v>
      </c>
      <c r="D11" s="2" t="s">
        <v>1457</v>
      </c>
      <c r="E11" s="2" t="s">
        <v>1580</v>
      </c>
    </row>
    <row r="12" spans="1:5">
      <c r="A12" s="4" t="s">
        <v>23</v>
      </c>
      <c r="B12" s="4" t="s">
        <v>1581</v>
      </c>
      <c r="C12" s="3" t="s">
        <v>1582</v>
      </c>
      <c r="D12" s="4" t="s">
        <v>309</v>
      </c>
      <c r="E12" s="4" t="s">
        <v>1583</v>
      </c>
    </row>
    <row r="13" spans="1:5">
      <c r="A13" s="4" t="s">
        <v>29</v>
      </c>
      <c r="B13" s="4" t="s">
        <v>29</v>
      </c>
      <c r="C13" s="3" t="s">
        <v>30</v>
      </c>
      <c r="D13" s="4" t="s">
        <v>29</v>
      </c>
      <c r="E13" s="4" t="s">
        <v>29</v>
      </c>
    </row>
    <row r="14" spans="1:5">
      <c r="A14" s="4" t="s">
        <v>31</v>
      </c>
      <c r="B14" s="4" t="s">
        <v>32</v>
      </c>
      <c r="C14" s="3" t="s">
        <v>505</v>
      </c>
      <c r="D14" s="4" t="s">
        <v>32</v>
      </c>
      <c r="E14" s="4" t="s">
        <v>32</v>
      </c>
    </row>
    <row r="15" spans="1:5">
      <c r="A15" s="4"/>
      <c r="B15" s="4">
        <v>0</v>
      </c>
      <c r="C15" s="3"/>
      <c r="D15" s="4">
        <v>0</v>
      </c>
      <c r="E15" s="4">
        <v>0</v>
      </c>
    </row>
    <row r="16" spans="1:5">
      <c r="A16" s="2">
        <v>1</v>
      </c>
      <c r="B16" s="2">
        <v>494001</v>
      </c>
      <c r="C16" s="13" t="s">
        <v>1584</v>
      </c>
      <c r="D16" s="2">
        <v>39</v>
      </c>
      <c r="E16" s="2">
        <v>801</v>
      </c>
    </row>
    <row r="17" spans="1:5">
      <c r="A17" s="2">
        <v>2</v>
      </c>
      <c r="B17" s="2">
        <v>494002</v>
      </c>
      <c r="C17" s="13" t="s">
        <v>1585</v>
      </c>
      <c r="D17" s="2">
        <v>39</v>
      </c>
      <c r="E17" s="2">
        <v>802</v>
      </c>
    </row>
    <row r="18" spans="1:5">
      <c r="A18" s="2">
        <v>3</v>
      </c>
      <c r="B18" s="2">
        <v>494003</v>
      </c>
      <c r="C18" s="13" t="s">
        <v>1586</v>
      </c>
      <c r="D18" s="2">
        <v>39</v>
      </c>
      <c r="E18" s="2">
        <v>803</v>
      </c>
    </row>
    <row r="19" spans="1:5">
      <c r="C19" s="13"/>
      <c r="D19" s="14"/>
    </row>
    <row r="20" spans="1:5">
      <c r="C20" s="13"/>
    </row>
  </sheetData>
  <phoneticPr fontId="23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8"/>
  <sheetViews>
    <sheetView workbookViewId="0">
      <selection activeCell="C24" sqref="C24"/>
    </sheetView>
  </sheetViews>
  <sheetFormatPr defaultColWidth="9" defaultRowHeight="13.8"/>
  <cols>
    <col min="1" max="1" width="25.77734375" customWidth="1"/>
    <col min="2" max="2" width="13" customWidth="1"/>
    <col min="3" max="3" width="45.109375" customWidth="1"/>
    <col min="4" max="4" width="15" customWidth="1"/>
    <col min="5" max="5" width="14.33203125" customWidth="1"/>
    <col min="6" max="6" width="11" customWidth="1"/>
    <col min="7" max="7" width="13.109375" customWidth="1"/>
    <col min="8" max="9" width="15.33203125" customWidth="1"/>
  </cols>
  <sheetData>
    <row r="1" spans="1:7">
      <c r="A1" s="1" t="s">
        <v>0</v>
      </c>
      <c r="B1" s="2" t="s">
        <v>1587</v>
      </c>
      <c r="C1" s="2" t="s">
        <v>2</v>
      </c>
      <c r="D1" s="2"/>
      <c r="E1" s="2"/>
      <c r="F1" s="2"/>
      <c r="G1" s="2"/>
    </row>
    <row r="2" spans="1:7">
      <c r="A2" s="1" t="s">
        <v>3</v>
      </c>
      <c r="B2" s="2" t="s">
        <v>692</v>
      </c>
      <c r="C2" s="2" t="s">
        <v>5</v>
      </c>
      <c r="D2" s="2"/>
      <c r="E2" s="2"/>
      <c r="F2" s="2"/>
      <c r="G2" s="2"/>
    </row>
    <row r="3" spans="1:7">
      <c r="A3" s="1" t="s">
        <v>6</v>
      </c>
      <c r="B3" s="3" t="s">
        <v>7</v>
      </c>
      <c r="C3" s="2" t="s">
        <v>8</v>
      </c>
      <c r="D3" s="2"/>
      <c r="E3" s="2"/>
      <c r="F3" s="2"/>
      <c r="G3" s="2"/>
    </row>
    <row r="4" spans="1:7">
      <c r="A4" s="1" t="s">
        <v>9</v>
      </c>
      <c r="B4" s="4" t="s">
        <v>10</v>
      </c>
      <c r="C4" s="2"/>
      <c r="D4" s="2"/>
      <c r="E4" s="2"/>
      <c r="F4" s="2"/>
      <c r="G4" s="2"/>
    </row>
    <row r="5" spans="1:7">
      <c r="A5" s="1" t="s">
        <v>11</v>
      </c>
      <c r="B5" s="2"/>
      <c r="C5" s="2" t="s">
        <v>12</v>
      </c>
      <c r="D5" s="2"/>
      <c r="E5" s="2"/>
      <c r="F5" s="2"/>
      <c r="G5" s="2"/>
    </row>
    <row r="6" spans="1:7">
      <c r="A6" s="1" t="s">
        <v>13</v>
      </c>
      <c r="B6" s="2">
        <v>4</v>
      </c>
      <c r="C6" s="2" t="s">
        <v>14</v>
      </c>
      <c r="D6" s="2"/>
      <c r="E6" s="2"/>
      <c r="F6" s="2"/>
      <c r="G6" s="2"/>
    </row>
    <row r="7" spans="1:7">
      <c r="A7" s="1" t="s">
        <v>15</v>
      </c>
      <c r="B7" s="2"/>
      <c r="C7" s="2"/>
      <c r="D7" s="2"/>
      <c r="E7" s="2"/>
      <c r="F7" s="2"/>
      <c r="G7" s="2"/>
    </row>
    <row r="8" spans="1:7">
      <c r="A8" s="1" t="s">
        <v>16</v>
      </c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10" t="s">
        <v>17</v>
      </c>
      <c r="B11" s="10" t="s">
        <v>693</v>
      </c>
      <c r="C11" s="10" t="s">
        <v>695</v>
      </c>
      <c r="D11" s="10" t="s">
        <v>1201</v>
      </c>
      <c r="E11" s="10" t="s">
        <v>1578</v>
      </c>
    </row>
    <row r="12" spans="1:7">
      <c r="A12" s="11" t="s">
        <v>23</v>
      </c>
      <c r="B12" s="11" t="s">
        <v>285</v>
      </c>
      <c r="C12" s="11" t="s">
        <v>698</v>
      </c>
      <c r="D12" s="11" t="s">
        <v>1203</v>
      </c>
      <c r="E12" s="11" t="s">
        <v>1588</v>
      </c>
    </row>
    <row r="13" spans="1:7">
      <c r="A13" s="11" t="s">
        <v>29</v>
      </c>
      <c r="B13" s="11" t="s">
        <v>29</v>
      </c>
      <c r="C13" s="11" t="s">
        <v>29</v>
      </c>
      <c r="D13" s="11" t="s">
        <v>29</v>
      </c>
      <c r="E13" s="11" t="s">
        <v>243</v>
      </c>
    </row>
    <row r="14" spans="1:7">
      <c r="A14" s="11" t="s">
        <v>31</v>
      </c>
      <c r="B14" s="11" t="s">
        <v>32</v>
      </c>
      <c r="C14" s="11" t="s">
        <v>32</v>
      </c>
      <c r="D14" s="11" t="s">
        <v>32</v>
      </c>
      <c r="E14" s="11" t="s">
        <v>32</v>
      </c>
    </row>
    <row r="15" spans="1:7">
      <c r="A15" s="11"/>
      <c r="B15" s="11">
        <v>1</v>
      </c>
      <c r="C15" s="11">
        <v>1</v>
      </c>
      <c r="D15" s="11">
        <v>101</v>
      </c>
      <c r="E15" s="11" t="s">
        <v>1535</v>
      </c>
    </row>
    <row r="16" spans="1:7">
      <c r="A16" s="10">
        <v>1</v>
      </c>
      <c r="B16" s="10">
        <v>510051</v>
      </c>
      <c r="C16" s="10">
        <v>5</v>
      </c>
      <c r="D16" s="10">
        <v>100055</v>
      </c>
      <c r="E16" s="10" t="s">
        <v>1589</v>
      </c>
    </row>
    <row r="17" spans="1:5">
      <c r="A17" s="10">
        <v>2</v>
      </c>
      <c r="B17" s="12">
        <v>510221</v>
      </c>
      <c r="C17" s="12">
        <v>5</v>
      </c>
      <c r="D17" s="12">
        <v>100221</v>
      </c>
      <c r="E17" s="12" t="s">
        <v>1590</v>
      </c>
    </row>
    <row r="18" spans="1:5">
      <c r="A18" s="10">
        <v>3</v>
      </c>
      <c r="B18" s="12">
        <v>510041</v>
      </c>
      <c r="C18" s="12">
        <v>5</v>
      </c>
      <c r="D18" s="12">
        <v>100041</v>
      </c>
      <c r="E18" s="12" t="s">
        <v>1591</v>
      </c>
    </row>
  </sheetData>
  <phoneticPr fontId="23" type="noConversion"/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0"/>
  <sheetViews>
    <sheetView topLeftCell="A10" workbookViewId="0">
      <selection activeCell="L30" sqref="L30"/>
    </sheetView>
  </sheetViews>
  <sheetFormatPr defaultColWidth="9" defaultRowHeight="13.8"/>
  <cols>
    <col min="1" max="1" width="23.77734375" customWidth="1"/>
    <col min="2" max="2" width="13.77734375" customWidth="1"/>
    <col min="3" max="3" width="25.88671875" customWidth="1"/>
    <col min="4" max="4" width="32" customWidth="1"/>
    <col min="5" max="5" width="18.88671875" customWidth="1"/>
  </cols>
  <sheetData>
    <row r="1" spans="1:5">
      <c r="A1" s="1" t="s">
        <v>0</v>
      </c>
      <c r="B1" s="2" t="s">
        <v>1592</v>
      </c>
      <c r="C1" s="2" t="s">
        <v>2</v>
      </c>
      <c r="D1" s="2"/>
      <c r="E1" s="2"/>
    </row>
    <row r="2" spans="1:5">
      <c r="A2" s="1" t="s">
        <v>3</v>
      </c>
      <c r="B2" s="2" t="s">
        <v>1593</v>
      </c>
      <c r="C2" s="2" t="s">
        <v>5</v>
      </c>
      <c r="D2" s="2"/>
      <c r="E2" s="2"/>
    </row>
    <row r="3" spans="1:5">
      <c r="A3" s="1" t="s">
        <v>6</v>
      </c>
      <c r="B3" s="3" t="s">
        <v>7</v>
      </c>
      <c r="C3" s="2" t="s">
        <v>8</v>
      </c>
      <c r="D3" s="2"/>
      <c r="E3" s="2"/>
    </row>
    <row r="4" spans="1:5">
      <c r="A4" s="1" t="s">
        <v>9</v>
      </c>
      <c r="B4" s="4" t="s">
        <v>10</v>
      </c>
      <c r="C4" s="2"/>
      <c r="D4" s="2"/>
      <c r="E4" s="2"/>
    </row>
    <row r="5" spans="1:5">
      <c r="A5" s="1" t="s">
        <v>11</v>
      </c>
      <c r="B5" s="2"/>
      <c r="C5" s="2" t="s">
        <v>12</v>
      </c>
      <c r="D5" s="2"/>
      <c r="E5" s="2"/>
    </row>
    <row r="6" spans="1:5">
      <c r="A6" s="1" t="s">
        <v>13</v>
      </c>
      <c r="B6" s="2">
        <v>4</v>
      </c>
      <c r="C6" s="2" t="s">
        <v>14</v>
      </c>
      <c r="D6" s="2"/>
      <c r="E6" s="2"/>
    </row>
    <row r="7" spans="1:5">
      <c r="A7" s="1" t="s">
        <v>15</v>
      </c>
      <c r="B7" s="2"/>
      <c r="C7" s="2"/>
      <c r="D7" s="2"/>
      <c r="E7" s="2"/>
    </row>
    <row r="8" spans="1:5">
      <c r="A8" s="1" t="s">
        <v>16</v>
      </c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 t="s">
        <v>1578</v>
      </c>
      <c r="B11" t="s">
        <v>1594</v>
      </c>
      <c r="C11" s="2" t="s">
        <v>1579</v>
      </c>
      <c r="D11" s="2" t="s">
        <v>1456</v>
      </c>
      <c r="E11" s="2" t="s">
        <v>1580</v>
      </c>
    </row>
    <row r="12" spans="1:5">
      <c r="A12" s="4" t="s">
        <v>23</v>
      </c>
      <c r="B12" s="4" t="s">
        <v>1595</v>
      </c>
      <c r="C12" s="4" t="s">
        <v>1581</v>
      </c>
      <c r="D12" s="3" t="s">
        <v>1582</v>
      </c>
      <c r="E12" s="4" t="s">
        <v>1583</v>
      </c>
    </row>
    <row r="13" spans="1:5">
      <c r="A13" s="4" t="s">
        <v>29</v>
      </c>
      <c r="B13" s="4" t="s">
        <v>29</v>
      </c>
      <c r="C13" s="4" t="s">
        <v>29</v>
      </c>
      <c r="D13" s="3" t="s">
        <v>30</v>
      </c>
      <c r="E13" s="7" t="s">
        <v>243</v>
      </c>
    </row>
    <row r="14" spans="1:5">
      <c r="A14" s="4" t="s">
        <v>31</v>
      </c>
      <c r="B14" s="4" t="s">
        <v>32</v>
      </c>
      <c r="C14" s="4" t="s">
        <v>32</v>
      </c>
      <c r="D14" s="3" t="s">
        <v>505</v>
      </c>
      <c r="E14" s="4" t="s">
        <v>32</v>
      </c>
    </row>
    <row r="15" spans="1:5">
      <c r="A15" s="4"/>
      <c r="B15" s="4">
        <v>0</v>
      </c>
      <c r="C15" s="4">
        <v>0</v>
      </c>
      <c r="D15" s="3"/>
      <c r="E15" s="4" t="s">
        <v>1535</v>
      </c>
    </row>
    <row r="16" spans="1:5">
      <c r="A16">
        <v>1</v>
      </c>
      <c r="B16">
        <v>1</v>
      </c>
      <c r="C16">
        <v>495001</v>
      </c>
      <c r="D16" s="5" t="s">
        <v>1596</v>
      </c>
      <c r="E16" s="6" t="s">
        <v>1597</v>
      </c>
    </row>
    <row r="17" spans="1:5">
      <c r="A17">
        <v>2</v>
      </c>
      <c r="B17">
        <v>2</v>
      </c>
      <c r="C17">
        <v>495002</v>
      </c>
      <c r="D17" s="5" t="s">
        <v>1598</v>
      </c>
      <c r="E17" s="6" t="s">
        <v>1599</v>
      </c>
    </row>
    <row r="18" spans="1:5">
      <c r="A18">
        <v>3</v>
      </c>
      <c r="B18">
        <v>3</v>
      </c>
      <c r="C18">
        <v>495003</v>
      </c>
      <c r="D18" s="5" t="s">
        <v>1600</v>
      </c>
      <c r="E18" s="6" t="s">
        <v>1601</v>
      </c>
    </row>
    <row r="19" spans="1:5">
      <c r="A19">
        <v>4</v>
      </c>
      <c r="B19">
        <v>4</v>
      </c>
      <c r="C19">
        <v>495004</v>
      </c>
      <c r="D19" s="5" t="s">
        <v>1602</v>
      </c>
      <c r="E19" s="6" t="s">
        <v>1603</v>
      </c>
    </row>
    <row r="20" spans="1:5">
      <c r="A20">
        <v>5</v>
      </c>
      <c r="B20">
        <v>5</v>
      </c>
      <c r="C20">
        <v>495005</v>
      </c>
      <c r="D20" s="5" t="s">
        <v>1604</v>
      </c>
      <c r="E20" s="6" t="s">
        <v>1605</v>
      </c>
    </row>
    <row r="21" spans="1:5" ht="15.6">
      <c r="A21" s="8">
        <v>6</v>
      </c>
      <c r="B21" s="8">
        <v>1</v>
      </c>
      <c r="C21" s="8">
        <v>495001</v>
      </c>
      <c r="D21" s="9" t="s">
        <v>1596</v>
      </c>
      <c r="E21" s="6" t="s">
        <v>1606</v>
      </c>
    </row>
    <row r="22" spans="1:5" ht="15.6">
      <c r="A22" s="8">
        <v>7</v>
      </c>
      <c r="B22" s="8">
        <v>2</v>
      </c>
      <c r="C22" s="8">
        <v>495002</v>
      </c>
      <c r="D22" s="9" t="s">
        <v>1598</v>
      </c>
      <c r="E22" s="6" t="s">
        <v>1607</v>
      </c>
    </row>
    <row r="23" spans="1:5" ht="15.6">
      <c r="A23" s="8">
        <v>8</v>
      </c>
      <c r="B23" s="8">
        <v>3</v>
      </c>
      <c r="C23" s="8">
        <v>495003</v>
      </c>
      <c r="D23" s="9" t="s">
        <v>1600</v>
      </c>
      <c r="E23" s="6" t="s">
        <v>1608</v>
      </c>
    </row>
    <row r="24" spans="1:5" ht="15.6">
      <c r="A24" s="8">
        <v>9</v>
      </c>
      <c r="B24" s="8">
        <v>4</v>
      </c>
      <c r="C24" s="8">
        <v>495004</v>
      </c>
      <c r="D24" s="9" t="s">
        <v>1602</v>
      </c>
      <c r="E24" s="6" t="s">
        <v>1609</v>
      </c>
    </row>
    <row r="25" spans="1:5" ht="15.6">
      <c r="A25" s="8">
        <v>10</v>
      </c>
      <c r="B25" s="8">
        <v>5</v>
      </c>
      <c r="C25" s="8">
        <v>495005</v>
      </c>
      <c r="D25" s="9" t="s">
        <v>1604</v>
      </c>
      <c r="E25" s="6" t="s">
        <v>1610</v>
      </c>
    </row>
    <row r="26" spans="1:5" ht="15.6">
      <c r="A26" s="8">
        <v>11</v>
      </c>
      <c r="B26" s="8">
        <v>1</v>
      </c>
      <c r="C26" s="8">
        <v>495001</v>
      </c>
      <c r="D26" s="9" t="s">
        <v>1596</v>
      </c>
      <c r="E26" s="6" t="s">
        <v>1611</v>
      </c>
    </row>
    <row r="27" spans="1:5" ht="15.6">
      <c r="A27" s="8">
        <v>12</v>
      </c>
      <c r="B27" s="8">
        <v>2</v>
      </c>
      <c r="C27" s="8">
        <v>495002</v>
      </c>
      <c r="D27" s="9" t="s">
        <v>1598</v>
      </c>
      <c r="E27" s="6" t="s">
        <v>1612</v>
      </c>
    </row>
    <row r="28" spans="1:5" ht="15.6">
      <c r="A28" s="8">
        <v>13</v>
      </c>
      <c r="B28" s="8">
        <v>3</v>
      </c>
      <c r="C28" s="8">
        <v>495003</v>
      </c>
      <c r="D28" s="9" t="s">
        <v>1600</v>
      </c>
      <c r="E28" s="6" t="s">
        <v>1613</v>
      </c>
    </row>
    <row r="29" spans="1:5" ht="15.6">
      <c r="A29" s="8">
        <v>14</v>
      </c>
      <c r="B29" s="8">
        <v>4</v>
      </c>
      <c r="C29" s="8">
        <v>495004</v>
      </c>
      <c r="D29" s="9" t="s">
        <v>1602</v>
      </c>
      <c r="E29" s="6" t="s">
        <v>1614</v>
      </c>
    </row>
    <row r="30" spans="1:5" ht="15.6">
      <c r="A30" s="8">
        <v>15</v>
      </c>
      <c r="B30" s="8">
        <v>5</v>
      </c>
      <c r="C30" s="8">
        <v>495005</v>
      </c>
      <c r="D30" s="9" t="s">
        <v>1604</v>
      </c>
      <c r="E30" s="6" t="s">
        <v>1615</v>
      </c>
    </row>
  </sheetData>
  <phoneticPr fontId="23" type="noConversion"/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0"/>
  <sheetViews>
    <sheetView workbookViewId="0">
      <selection activeCell="I37" sqref="I37"/>
    </sheetView>
  </sheetViews>
  <sheetFormatPr defaultColWidth="9" defaultRowHeight="13.8"/>
  <cols>
    <col min="1" max="1" width="19.33203125" customWidth="1"/>
    <col min="2" max="2" width="23.88671875" customWidth="1"/>
    <col min="3" max="3" width="24" customWidth="1"/>
    <col min="4" max="4" width="23.77734375" customWidth="1"/>
    <col min="5" max="5" width="23.33203125" customWidth="1"/>
  </cols>
  <sheetData>
    <row r="1" spans="1:5">
      <c r="A1" s="1" t="s">
        <v>0</v>
      </c>
      <c r="B1" s="2" t="s">
        <v>1616</v>
      </c>
      <c r="C1" s="2" t="s">
        <v>2</v>
      </c>
      <c r="D1" s="2"/>
      <c r="E1" s="2"/>
    </row>
    <row r="2" spans="1:5">
      <c r="A2" s="1" t="s">
        <v>3</v>
      </c>
      <c r="B2" s="2" t="s">
        <v>1617</v>
      </c>
      <c r="C2" s="2" t="s">
        <v>5</v>
      </c>
      <c r="D2" s="2"/>
      <c r="E2" s="2"/>
    </row>
    <row r="3" spans="1:5">
      <c r="A3" s="1" t="s">
        <v>6</v>
      </c>
      <c r="B3" s="3" t="s">
        <v>7</v>
      </c>
      <c r="C3" s="2" t="s">
        <v>8</v>
      </c>
      <c r="D3" s="2"/>
      <c r="E3" s="2"/>
    </row>
    <row r="4" spans="1:5">
      <c r="A4" s="1" t="s">
        <v>9</v>
      </c>
      <c r="B4" s="4" t="s">
        <v>10</v>
      </c>
      <c r="C4" s="2"/>
      <c r="D4" s="2"/>
      <c r="E4" s="2"/>
    </row>
    <row r="5" spans="1:5">
      <c r="A5" s="1" t="s">
        <v>11</v>
      </c>
      <c r="B5" s="2"/>
      <c r="C5" s="2" t="s">
        <v>12</v>
      </c>
      <c r="D5" s="2"/>
      <c r="E5" s="2"/>
    </row>
    <row r="6" spans="1:5">
      <c r="A6" s="1" t="s">
        <v>13</v>
      </c>
      <c r="B6" s="2">
        <v>4</v>
      </c>
      <c r="C6" s="2" t="s">
        <v>14</v>
      </c>
      <c r="D6" s="2"/>
      <c r="E6" s="2"/>
    </row>
    <row r="7" spans="1:5">
      <c r="A7" s="1" t="s">
        <v>15</v>
      </c>
      <c r="B7" s="2"/>
      <c r="C7" s="2"/>
      <c r="D7" s="2"/>
      <c r="E7" s="2"/>
    </row>
    <row r="8" spans="1:5">
      <c r="A8" s="1" t="s">
        <v>16</v>
      </c>
      <c r="B8" s="2"/>
      <c r="C8" s="2"/>
      <c r="D8" s="2"/>
      <c r="E8" s="2"/>
    </row>
    <row r="9" spans="1:5">
      <c r="A9" s="2"/>
      <c r="B9" s="2"/>
      <c r="C9" s="2"/>
      <c r="D9" s="2"/>
      <c r="E9" s="2"/>
    </row>
    <row r="10" spans="1:5">
      <c r="A10" s="2"/>
      <c r="B10" s="2"/>
      <c r="C10" s="2"/>
      <c r="D10" s="2"/>
      <c r="E10" s="2"/>
    </row>
    <row r="11" spans="1:5">
      <c r="A11" s="2" t="s">
        <v>1578</v>
      </c>
      <c r="B11" t="s">
        <v>1594</v>
      </c>
      <c r="C11" s="2" t="s">
        <v>1579</v>
      </c>
      <c r="D11" s="2" t="s">
        <v>1456</v>
      </c>
      <c r="E11" s="2" t="s">
        <v>1580</v>
      </c>
    </row>
    <row r="12" spans="1:5">
      <c r="A12" s="4" t="s">
        <v>23</v>
      </c>
      <c r="B12" s="4" t="s">
        <v>1595</v>
      </c>
      <c r="C12" s="4" t="s">
        <v>1581</v>
      </c>
      <c r="D12" s="3" t="s">
        <v>1582</v>
      </c>
      <c r="E12" s="4" t="s">
        <v>1583</v>
      </c>
    </row>
    <row r="13" spans="1:5">
      <c r="A13" s="4" t="s">
        <v>29</v>
      </c>
      <c r="B13" s="4" t="s">
        <v>29</v>
      </c>
      <c r="C13" s="4" t="s">
        <v>29</v>
      </c>
      <c r="D13" s="3" t="s">
        <v>30</v>
      </c>
      <c r="E13" s="4" t="s">
        <v>243</v>
      </c>
    </row>
    <row r="14" spans="1:5">
      <c r="A14" s="4" t="s">
        <v>31</v>
      </c>
      <c r="B14" s="4" t="s">
        <v>32</v>
      </c>
      <c r="C14" s="4" t="s">
        <v>32</v>
      </c>
      <c r="D14" s="3" t="s">
        <v>505</v>
      </c>
      <c r="E14" s="4" t="s">
        <v>32</v>
      </c>
    </row>
    <row r="15" spans="1:5">
      <c r="A15" s="4"/>
      <c r="B15" s="4">
        <v>0</v>
      </c>
      <c r="C15" s="4">
        <v>0</v>
      </c>
      <c r="D15" s="3"/>
      <c r="E15" s="4" t="s">
        <v>1535</v>
      </c>
    </row>
    <row r="16" spans="1:5">
      <c r="A16">
        <v>1</v>
      </c>
      <c r="B16">
        <v>1</v>
      </c>
      <c r="C16">
        <v>496001</v>
      </c>
      <c r="D16" s="5" t="s">
        <v>1618</v>
      </c>
      <c r="E16" s="6" t="s">
        <v>1278</v>
      </c>
    </row>
    <row r="17" spans="1:5">
      <c r="A17">
        <v>2</v>
      </c>
      <c r="B17">
        <v>3</v>
      </c>
      <c r="C17">
        <v>496002</v>
      </c>
      <c r="D17" s="5" t="s">
        <v>1619</v>
      </c>
      <c r="E17" s="6" t="s">
        <v>1313</v>
      </c>
    </row>
    <row r="18" spans="1:5">
      <c r="A18">
        <v>3</v>
      </c>
      <c r="B18">
        <v>5</v>
      </c>
      <c r="C18">
        <v>496003</v>
      </c>
      <c r="D18" s="5" t="s">
        <v>1620</v>
      </c>
      <c r="E18" s="6" t="s">
        <v>1284</v>
      </c>
    </row>
    <row r="19" spans="1:5">
      <c r="D19" s="5"/>
      <c r="E19" s="6"/>
    </row>
    <row r="20" spans="1:5">
      <c r="D20" s="5"/>
      <c r="E20" s="6"/>
    </row>
  </sheetData>
  <phoneticPr fontId="23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>
      <selection activeCell="R15" sqref="R15"/>
    </sheetView>
  </sheetViews>
  <sheetFormatPr defaultColWidth="9" defaultRowHeight="13.8"/>
  <sheetData/>
  <phoneticPr fontId="2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tryout</vt:lpstr>
      <vt:lpstr>tryout2</vt:lpstr>
      <vt:lpstr>tryout_z</vt:lpstr>
      <vt:lpstr>tryout_table</vt:lpstr>
      <vt:lpstr>red</vt:lpstr>
      <vt:lpstr>push</vt:lpstr>
      <vt:lpstr>activity_push</vt:lpstr>
      <vt:lpstr>free_cue</vt:lpstr>
      <vt:lpstr>common_share</vt:lpstr>
      <vt:lpstr>invited_coin</vt:lpstr>
      <vt:lpstr>egg</vt:lpstr>
      <vt:lpstr>share</vt:lpstr>
      <vt:lpstr>ad_point</vt:lpstr>
      <vt:lpstr>flight_cue</vt:lpstr>
      <vt:lpstr>no_banner</vt:lpstr>
      <vt:lpstr>battle_cue</vt:lpstr>
      <vt:lpstr>bargin</vt:lpstr>
      <vt:lpstr>bargin_prize</vt:lpstr>
      <vt:lpstr>weeklypay</vt:lpstr>
      <vt:lpstr>battle_pass_times</vt:lpstr>
      <vt:lpstr>battle_pass_reward</vt:lpstr>
      <vt:lpstr>battle_pass_task</vt:lpstr>
      <vt:lpstr>battle_pass_other</vt:lpstr>
      <vt:lpstr>battle_pass_show</vt:lpstr>
      <vt:lpstr>battle_pass_task2</vt:lpstr>
      <vt:lpstr>share_gift</vt:lpstr>
      <vt:lpstr>invited_cue</vt:lpstr>
      <vt:lpstr>share_new</vt:lpstr>
      <vt:lpstr>daily_invite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zhen zhou</cp:lastModifiedBy>
  <dcterms:created xsi:type="dcterms:W3CDTF">2021-03-02T08:08:00Z</dcterms:created>
  <dcterms:modified xsi:type="dcterms:W3CDTF">2024-04-24T16:11:55Z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5496073c</vt:lpwstr>
  </property>
  <property fmtid="{D5CDD505-2E9C-101B-9397-08002B2CF9AE}" pid="3" name="ICV">
    <vt:lpwstr>48C1CA7E6BE245209F365D5C6CA0B159</vt:lpwstr>
  </property>
  <property fmtid="{D5CDD505-2E9C-101B-9397-08002B2CF9AE}" pid="4" name="KSOProductBuildVer">
    <vt:lpwstr>2052-12.1.0.16388</vt:lpwstr>
  </property>
</Properties>
</file>