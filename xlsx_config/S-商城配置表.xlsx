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F:\gitproject\Pool_gs\xlsx_config\"/>
    </mc:Choice>
  </mc:AlternateContent>
  <xr:revisionPtr revIDLastSave="0" documentId="13_ncr:1_{493E788C-41B8-4F52-B6C8-0008471EA7C8}" xr6:coauthVersionLast="47" xr6:coauthVersionMax="47" xr10:uidLastSave="{00000000-0000-0000-0000-000000000000}"/>
  <bookViews>
    <workbookView xWindow="-28920" yWindow="-120" windowWidth="29040" windowHeight="15720" tabRatio="681" xr2:uid="{00000000-000D-0000-FFFF-FFFF00000000}"/>
  </bookViews>
  <sheets>
    <sheet name="shop" sheetId="1" r:id="rId1"/>
    <sheet name="shop_id" sheetId="2" r:id="rId2"/>
    <sheet name="renew" sheetId="3" r:id="rId3"/>
    <sheet name="change_shop" sheetId="4" r:id="rId4"/>
    <sheet name="exchange_shop" sheetId="5" r:id="rId5"/>
    <sheet name="shop_rabate_cue" sheetId="6" r:id="rId6"/>
    <sheet name="shop_recommend" sheetId="7" r:id="rId7"/>
    <sheet name="recommend_banner" sheetId="8" r:id="rId8"/>
    <sheet name="recommend_item" sheetId="9" r:id="rId9"/>
  </sheets>
  <definedNames>
    <definedName name="_xlnm._FilterDatabase" localSheetId="0" hidden="1">shop!$F$14:$G$280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2" l="1"/>
  <c r="B17" i="2"/>
  <c r="B16" i="2"/>
  <c r="E160" i="1"/>
  <c r="D160" i="1"/>
  <c r="E157" i="1"/>
  <c r="D157" i="1"/>
  <c r="E153" i="1"/>
  <c r="D153" i="1"/>
  <c r="E151" i="1"/>
  <c r="D151" i="1"/>
  <c r="E145" i="1"/>
  <c r="D1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Aki</author>
  </authors>
  <commentList>
    <comment ref="A1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商品唯一标识</t>
        </r>
      </text>
    </comment>
    <comment ref="B1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item表中物品id，可以存在多个，但数量价格不一
</t>
        </r>
      </text>
    </comment>
    <comment ref="C12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E12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F12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商品分页类型，表示道具显示在哪个商店分页
暂定，另有配置表可更改
1：球杆
3. 服装
4：对局
5：道具
6：推荐
7：礼物
8.聊天气泡</t>
        </r>
      </text>
    </comment>
    <comment ref="G12" authorId="1" shapeId="0" xr:uid="{00000000-0006-0000-0000-000006000000}">
      <text>
        <r>
          <rPr>
            <sz val="9"/>
            <rFont val="宋体"/>
            <family val="3"/>
            <charset val="134"/>
          </rPr>
          <t>对应shop_id分页下的子分页，为0则没有子页签
对局分页：
1.球桌
2.巧克拖尾
3.进球特效
4.母球
礼物分页：
1.永久球杆
2.永久服装
3.永久球台
4.拖尾
5.进洞
6.母球</t>
        </r>
      </text>
    </comment>
    <comment ref="H12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[货币类型,限时,单价]，[货币类型,限时,单价]，[货币类型,限时,单价]
根据item物品类型，有不同格式说明
1、3、4、5及以后：可缺省，最多3个
其中限时为整数，表示得到物品的使用限时，0表示永久
2：只填一个，限时0表示充能永久球杆</t>
        </r>
      </text>
    </comment>
    <comment ref="I12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默认为1，预留活动特卖时可能有多数量折扣投放</t>
        </r>
      </text>
    </comment>
    <comment ref="J12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折扣价，
与商品单价一一对应，
需保证&lt;=单价</t>
        </r>
      </text>
    </comment>
    <comment ref="K12" authorId="0" shapeId="0" xr:uid="{00000000-0006-0000-0000-00000A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根据折扣价，策划配置折扣0~9
默认0不打折
角标根据折扣拼接特殊字体
一折~九折</t>
        </r>
      </text>
    </comment>
    <comment ref="L12" authorId="0" shapeId="0" xr:uid="{00000000-0006-0000-0000-00000B000000}">
      <text>
        <r>
          <rPr>
            <b/>
            <sz val="10"/>
            <rFont val="宋体"/>
            <family val="3"/>
            <charset val="134"/>
          </rPr>
          <t>杨宗水:</t>
        </r>
        <r>
          <rPr>
            <sz val="10"/>
            <rFont val="宋体"/>
            <family val="3"/>
            <charset val="134"/>
          </rPr>
          <t xml:space="preserve">
从上到下按优先级展示，仅配置标签字段的商品生效
XX:XX后下架：下架时间-当前时间&lt;60分钟
最后X小时：下架时间-当前时间&lt;24小时
热销：购买次数&gt;1000时
新品：当前时间-上架时间&lt;2天
限时X天：下架时间-当前时间&lt;7天
</t>
        </r>
      </text>
    </comment>
    <comment ref="M12" authorId="0" shapeId="0" xr:uid="{00000000-0006-0000-0000-00000C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购买弹框类型，需与价格档位保持一致
0：充能
1：碎片合成
2：限时 服装球桌
3：道具 购买多个</t>
        </r>
      </text>
    </comment>
    <comment ref="N12" authorId="0" shapeId="0" xr:uid="{00000000-0006-0000-0000-00000D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默认0不限购，填整数表示每日限购次数</t>
        </r>
      </text>
    </comment>
    <comment ref="O12" authorId="0" shapeId="0" xr:uid="{00000000-0006-0000-0000-00000E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同商店分页中，各自独立，按排序序号，由小到大排序
若相同，则按商品序号由小到大排序</t>
        </r>
      </text>
    </comment>
    <comment ref="P12" authorId="0" shapeId="0" xr:uid="{00000000-0006-0000-0000-00000F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配置时间格式，转为时间戳
当前时间&gt;=上架时间时，商品出现在商城</t>
        </r>
      </text>
    </comment>
    <comment ref="Q12" authorId="0" shapeId="0" xr:uid="{00000000-0006-0000-0000-000010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配置时间格式，转为时间戳
当前时间&gt;=下架时间时，商品从商城下架消失</t>
        </r>
      </text>
    </comment>
    <comment ref="R12" authorId="0" shapeId="0" xr:uid="{00000000-0006-0000-0000-00001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不同性别的玩家可见该商品
0：都可见
1：仅男性可见
2：仅女性可见</t>
        </r>
      </text>
    </comment>
    <comment ref="S12" authorId="0" shapeId="0" xr:uid="{00000000-0006-0000-0000-00001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配置时间格式，转为时间戳
当前时间&gt;=该时间时，商品可以购买，否则有限制购买提醒</t>
        </r>
      </text>
    </comment>
    <comment ref="T12" authorId="0" shapeId="0" xr:uid="{00000000-0006-0000-0000-00001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配置时间格式，转为时间戳
当前时间&lt;=该时间时，商品可以购买，否则有限制购买提醒</t>
        </r>
      </text>
    </comment>
    <comment ref="U12" authorId="0" shapeId="0" xr:uid="{00000000-0006-0000-0000-000014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默认为1：走订阅折扣通道
0：不走订阅折扣通道</t>
        </r>
      </text>
    </comment>
    <comment ref="V12" authorId="1" shapeId="0" xr:uid="{00000000-0006-0000-0000-000015000000}">
      <text>
        <r>
          <rPr>
            <sz val="9"/>
            <rFont val="宋体"/>
            <family val="3"/>
            <charset val="134"/>
          </rPr>
          <t>商城推荐的商品
默认为0  
用1标记为hot商品
被标记为hot商品的
拖尾、进洞、母球
会在背包和对局内被推荐售卖。</t>
        </r>
      </text>
    </comment>
    <comment ref="W12" authorId="1" shapeId="0" xr:uid="{00000000-0006-0000-0000-000016000000}">
      <text>
        <r>
          <rPr>
            <sz val="9"/>
            <rFont val="宋体"/>
            <family val="3"/>
            <charset val="134"/>
          </rPr>
          <t>商城演示特效的ID
默认为0  
0表示没有特效演示
填写需要演示的特效资源ID即可
仅支持 拖尾、进球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A1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商店分页唯一标识</t>
        </r>
      </text>
    </comment>
    <comment ref="B12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活动标签语言包指定id
</t>
        </r>
      </text>
    </comment>
    <comment ref="C12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D12" authorId="0" shapeId="0" xr:uid="{00000000-0006-0000-01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配置实现特殊标签图，可以若上面已有文字，可以不用配置标签名</t>
        </r>
      </text>
    </comment>
    <comment ref="E12" authorId="0" shapeId="0" xr:uid="{00000000-0006-0000-0100-000005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商店分页从左到右排序，根据order由小到大排序
order相同时根据模式id由小到大排序</t>
        </r>
      </text>
    </comment>
    <comment ref="F12" authorId="0" shapeId="0" xr:uid="{00000000-0006-0000-0100-000006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当前时间&gt;=出现时间时，该商店分页出现</t>
        </r>
      </text>
    </comment>
    <comment ref="G12" authorId="0" shapeId="0" xr:uid="{00000000-0006-0000-0100-000007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当前时间&gt;=消失时间时，商店分页消失</t>
        </r>
      </text>
    </comment>
    <comment ref="H12" authorId="0" shapeId="0" xr:uid="{00000000-0006-0000-0100-000008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首次打开时是否该分页标签按钮有小红点
0：默认无
1：有</t>
        </r>
      </text>
    </comment>
    <comment ref="I12" authorId="0" shapeId="0" xr:uid="{00000000-0006-0000-0100-000009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右下商店的UI排版
0：默认格子商城模板
1：球杆长条商城模板
2以后：待拓展</t>
        </r>
      </text>
    </comment>
    <comment ref="M12" authorId="0" shapeId="0" xr:uid="{00000000-0006-0000-0100-00000A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0：无
1：球杆
2：服装
3：球桌
4：道具
5:礼物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Aki</author>
  </authors>
  <commentList>
    <comment ref="A12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item表中物品id，可以存在多个，但数量价格不一
</t>
        </r>
      </text>
    </comment>
    <comment ref="B12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C12" authorId="0" shapeId="0" xr:uid="{00000000-0006-0000-02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[货币类型,限时,单价]，[货币类型,限时,单价]，[货币类型,限时,单价]
根据item物品类型，有不同格式说明
1、3、4、5及以后：可缺省，最多3个
其中限时为整数，表示得到物品的使用限时，0表示永久
2：只填一个，限时0表示充能永久球杆</t>
        </r>
      </text>
    </comment>
    <comment ref="D12" authorId="0" shapeId="0" xr:uid="{00000000-0006-0000-02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不同性别的玩家合成物品不同
0：都可合成
1：仅男性可合成
2：仅女性可合成</t>
        </r>
      </text>
    </comment>
    <comment ref="E12" authorId="1" shapeId="0" xr:uid="{00000000-0006-0000-0200-000005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球杆过期之后可分享续费次数</t>
        </r>
      </text>
    </comment>
    <comment ref="A98" authorId="0" shapeId="0" xr:uid="{00000000-0006-0000-0200-000006000000}">
      <text>
        <r>
          <rPr>
            <b/>
            <sz val="9"/>
            <rFont val="宋体"/>
            <family val="3"/>
            <charset val="134"/>
          </rPr>
          <t xml:space="preserve">杨宗水:男女ID一致，但icon和模型不一致
</t>
        </r>
      </text>
    </comment>
    <comment ref="H117" authorId="0" shapeId="0" xr:uid="{00000000-0006-0000-0200-000007000000}">
      <text>
        <r>
          <rPr>
            <b/>
            <sz val="9"/>
            <rFont val="宋体"/>
            <family val="3"/>
            <charset val="134"/>
          </rPr>
          <t xml:space="preserve">杨宗水:男女ID一致，但icon和模型不一致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2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对应item_id</t>
        </r>
      </text>
    </comment>
    <comment ref="C12" authorId="0" shapeId="0" xr:uid="{00000000-0006-0000-03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1：扭蛋商店
2：14-1兑换商店</t>
        </r>
      </text>
    </comment>
    <comment ref="E12" authorId="0" shapeId="0" xr:uid="{00000000-0006-0000-03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0：不刷新
1：刷新</t>
        </r>
      </text>
    </comment>
    <comment ref="F12" authorId="0" shapeId="0" xr:uid="{00000000-0006-0000-0300-000004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对应item_id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Aki</author>
  </authors>
  <commentList>
    <comment ref="B12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1、球杆页签
2、材料页签</t>
        </r>
      </text>
    </comment>
    <comment ref="C12" authorId="0" shapeId="0" xr:uid="{00000000-0006-0000-04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0：常规兑换
1：每日首次免费</t>
        </r>
      </text>
    </comment>
    <comment ref="F12" authorId="1" shapeId="0" xr:uid="{00000000-0006-0000-0400-000003000000}">
      <text>
        <r>
          <rPr>
            <b/>
            <sz val="9"/>
            <rFont val="等线"/>
            <family val="3"/>
            <charset val="134"/>
            <scheme val="minor"/>
          </rPr>
          <t>Aki:</t>
        </r>
        <r>
          <rPr>
            <sz val="9"/>
            <rFont val="等线"/>
            <family val="3"/>
            <charset val="134"/>
            <scheme val="minor"/>
          </rPr>
          <t xml:space="preserve">
1.兑换券
2.礼物积分</t>
        </r>
      </text>
    </comment>
    <comment ref="G12" authorId="1" shapeId="0" xr:uid="{00000000-0006-0000-0400-000004000000}">
      <text>
        <r>
          <rPr>
            <sz val="9"/>
            <rFont val="等线"/>
            <family val="3"/>
            <charset val="134"/>
            <scheme val="minor"/>
          </rPr>
          <t>0.不限次
1.限定次数
2.已拥有，无法重复购买</t>
        </r>
      </text>
    </comment>
    <comment ref="H12" authorId="1" shapeId="0" xr:uid="{00000000-0006-0000-0400-000005000000}">
      <text>
        <r>
          <rPr>
            <sz val="9"/>
            <rFont val="等线"/>
            <family val="3"/>
            <charset val="134"/>
            <scheme val="minor"/>
          </rPr>
          <t xml:space="preserve">0.不限次
数字代表每月限制的购买的数量，每月1号刷新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B13" authorId="0" shapeId="0" xr:uid="{00000000-0006-0000-05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球杆id,球杆id,球杆id,…只能添加shop表格中的球杆id，可以配置多个球杆id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B13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读recommend_banner表banner_id</t>
        </r>
      </text>
    </comment>
    <comment ref="C13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[shop表id,...]</t>
        </r>
      </text>
    </comment>
    <comment ref="E13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当前推荐页的展示时间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  <author>杨宗水</author>
  </authors>
  <commentList>
    <comment ref="B13" authorId="0" shapeId="0" xr:uid="{00000000-0006-0000-07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banner图片名称</t>
        </r>
      </text>
    </comment>
    <comment ref="C13" authorId="1" shapeId="0" xr:uid="{00000000-0006-0000-07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D13" authorId="0" shapeId="0" xr:uid="{00000000-0006-0000-0700-000003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1.跳转，点击跳转对应场景
2.直购，点击拉起商城通用购买弹窗</t>
        </r>
      </text>
    </comment>
    <comment ref="E13" authorId="0" shapeId="0" xr:uid="{00000000-0006-0000-0700-000004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shop表id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B13" authorId="0" shapeId="0" xr:uid="{00000000-0006-0000-08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购买类型1：charge_new表id
购买类型2：shop表id</t>
        </r>
      </text>
    </comment>
    <comment ref="C13" authorId="0" shapeId="0" xr:uid="{00000000-0006-0000-0800-000002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1.人民币购买
2.道具购买</t>
        </r>
      </text>
    </comment>
    <comment ref="D13" authorId="0" shapeId="0" xr:uid="{00000000-0006-0000-0800-000003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每日限购次数
0：不限购</t>
        </r>
      </text>
    </comment>
    <comment ref="E13" authorId="0" shapeId="0" xr:uid="{00000000-0006-0000-0800-000004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左上角图标
0：不显示
1：显示</t>
        </r>
      </text>
    </comment>
    <comment ref="F13" authorId="0" shapeId="0" xr:uid="{00000000-0006-0000-0800-000005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从左到右,1,2,3,4</t>
        </r>
      </text>
    </comment>
  </commentList>
</comments>
</file>

<file path=xl/sharedStrings.xml><?xml version="1.0" encoding="utf-8"?>
<sst xmlns="http://schemas.openxmlformats.org/spreadsheetml/2006/main" count="2239" uniqueCount="812">
  <si>
    <t>CONFIG_NAME</t>
  </si>
  <si>
    <t>shop</t>
  </si>
  <si>
    <t>配置名, 如果没有这个字段, 则这个Sheet不会导出</t>
  </si>
  <si>
    <t>CONFIG_DESCRIPTION</t>
  </si>
  <si>
    <t>商店商品配置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</si>
  <si>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</si>
  <si>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</si>
  <si>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</si>
  <si>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</si>
  <si>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</si>
  <si>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</si>
  <si>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</si>
  <si>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</si>
  <si>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</si>
  <si>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</si>
  <si>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</si>
  <si>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</si>
  <si>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商品序号</t>
  </si>
  <si>
    <t>物品序号</t>
  </si>
  <si>
    <t>参考中文名</t>
  </si>
  <si>
    <t>描述语言包序号</t>
  </si>
  <si>
    <t>参考商品描述</t>
  </si>
  <si>
    <t>商店分页序号</t>
  </si>
  <si>
    <t>商店分页的子分页</t>
  </si>
  <si>
    <t>商品单价</t>
  </si>
  <si>
    <t>售卖数量</t>
  </si>
  <si>
    <t>折扣价</t>
  </si>
  <si>
    <t>折扣角标</t>
  </si>
  <si>
    <t>是否有商品标签</t>
  </si>
  <si>
    <t>购买弹框类型</t>
  </si>
  <si>
    <t>每日限购</t>
  </si>
  <si>
    <t>商品排序</t>
  </si>
  <si>
    <t>上架时间</t>
  </si>
  <si>
    <t>下架时间</t>
  </si>
  <si>
    <t>玩家可见性别</t>
  </si>
  <si>
    <t>可购买开始时间</t>
  </si>
  <si>
    <t>可购买结束时间</t>
  </si>
  <si>
    <t>是否可订阅折扣</t>
  </si>
  <si>
    <t>火热推荐</t>
  </si>
  <si>
    <t>id</t>
  </si>
  <si>
    <t>item_id</t>
  </si>
  <si>
    <t>name_ch</t>
  </si>
  <si>
    <t>des</t>
  </si>
  <si>
    <t>des_ch</t>
  </si>
  <si>
    <t>shop_id</t>
  </si>
  <si>
    <t>sub_shop_id</t>
  </si>
  <si>
    <t>price</t>
  </si>
  <si>
    <t>count</t>
  </si>
  <si>
    <t>discount</t>
  </si>
  <si>
    <t>discount_tag</t>
  </si>
  <si>
    <t>label</t>
  </si>
  <si>
    <t>type_ui</t>
  </si>
  <si>
    <t>limit_day</t>
  </si>
  <si>
    <t>order</t>
  </si>
  <si>
    <t>time_up</t>
  </si>
  <si>
    <t>time_down</t>
  </si>
  <si>
    <t>sex_see</t>
  </si>
  <si>
    <t>time_buy_start</t>
  </si>
  <si>
    <t>time_buy_end</t>
  </si>
  <si>
    <t>discount_if</t>
  </si>
  <si>
    <t>hot_recommend</t>
  </si>
  <si>
    <t>int32</t>
  </si>
  <si>
    <t>string</t>
  </si>
  <si>
    <t>key,lua,pb,json</t>
  </si>
  <si>
    <t>lua,pb,json</t>
  </si>
  <si>
    <t>vb</t>
  </si>
  <si>
    <t>[]</t>
  </si>
  <si>
    <t>夏日海滩</t>
  </si>
  <si>
    <t>成就大师</t>
  </si>
  <si>
    <t>成就大师主题球杆，品质等级为SS。</t>
  </si>
  <si>
    <t>[[1,7,588],[1,30,1088],[1,0,1988]]</t>
  </si>
  <si>
    <t>紫金葫芦</t>
  </si>
  <si>
    <t>紫金葫芦主题球杆，品质等级为S。</t>
  </si>
  <si>
    <t>[[1,7,318],[1,30,588],[1,0,988]]</t>
  </si>
  <si>
    <t>黑色琴键</t>
  </si>
  <si>
    <t>黑色琴键主题球杆，品质等级为S。</t>
  </si>
  <si>
    <t>电音吉他</t>
  </si>
  <si>
    <t>电音吉他主题球杆，品质等级为S。</t>
  </si>
  <si>
    <t>如鱼得水</t>
  </si>
  <si>
    <t>如鱼得水主题球杆，品质等级为S。</t>
  </si>
  <si>
    <t>雄鹰权杖</t>
  </si>
  <si>
    <t>地狱火焰</t>
  </si>
  <si>
    <t>[[2,7,150000],[1,30,288],[1,0,488]]</t>
  </si>
  <si>
    <t>骑士长枪</t>
  </si>
  <si>
    <t>骑士长枪球杆，品质等级为A。最高可升SSS</t>
  </si>
  <si>
    <t>龙回头</t>
  </si>
  <si>
    <t>白银球杆</t>
  </si>
  <si>
    <t>黄铜球杆</t>
  </si>
  <si>
    <t>夏日派对</t>
  </si>
  <si>
    <t>夏日泳装主题服装。品质为S</t>
  </si>
  <si>
    <t>[[1,7,108],[1,30,288],[1,0,888]]</t>
  </si>
  <si>
    <t>牛仔很忙</t>
  </si>
  <si>
    <t>[[2,1,28888],[2,7,156000],[1,0,688]]</t>
  </si>
  <si>
    <t>超级巨星</t>
  </si>
  <si>
    <t>SuperStar主题服装。品质为S</t>
  </si>
  <si>
    <t>暗红球桌</t>
  </si>
  <si>
    <t>暗红色桌布，白边的球桌</t>
  </si>
  <si>
    <t>[[2,1,5888],[2,7,36000],[1,0,168]]</t>
  </si>
  <si>
    <t>鹅黄球桌</t>
  </si>
  <si>
    <t>鹅黄色桌布，淡蓝边的球桌</t>
  </si>
  <si>
    <t>炫紫球桌</t>
  </si>
  <si>
    <t>炫紫色桌布，暗红边的球桌</t>
  </si>
  <si>
    <t>西瓜球桌</t>
  </si>
  <si>
    <t>瓜红色桌布，绿边的球桌</t>
  </si>
  <si>
    <t>[[2,1,8888],[2,7,56000],[1,0,258]]</t>
  </si>
  <si>
    <t>黑金科技</t>
  </si>
  <si>
    <t>黑金科技桌布，暗黑色桌边，真皮材质的球桌</t>
  </si>
  <si>
    <t>[[2,1,14888],[2,7,96000],[1,0,388]]</t>
  </si>
  <si>
    <t>水晶之恋</t>
  </si>
  <si>
    <t>蓝紫色桌布，水晶边的球桌</t>
  </si>
  <si>
    <t>动力驱动</t>
  </si>
  <si>
    <t>淡紫色桌布，机械边的球桌</t>
  </si>
  <si>
    <t>繁星点点</t>
  </si>
  <si>
    <t>星空壮桌布，白云边的球桌</t>
  </si>
  <si>
    <t>机械齿轮</t>
  </si>
  <si>
    <t>机械齿轮主题球桌</t>
  </si>
  <si>
    <t>喵星物语</t>
  </si>
  <si>
    <t>萌宠猫爪主题限定球桌</t>
  </si>
  <si>
    <t>玛雅文明</t>
  </si>
  <si>
    <t>玛雅文明主题球桌</t>
  </si>
  <si>
    <t>棒棒糖</t>
  </si>
  <si>
    <t>棒棒糖主题球桌</t>
  </si>
  <si>
    <t>青花瓷</t>
  </si>
  <si>
    <t>青花瓷主题球桌</t>
  </si>
  <si>
    <t>骑士之誓</t>
  </si>
  <si>
    <t>骑士主题球桌</t>
  </si>
  <si>
    <t>每日幸运礼盒</t>
  </si>
  <si>
    <t>打开可获得以下奖励之一：金币 x2088、金币 x3888、升星木 x1、三胜经验卡 x1、三胜金币卡 x1、S球杆-如鱼得水(1天)。</t>
  </si>
  <si>
    <t>[[1,0,2]]</t>
  </si>
  <si>
    <t>升星木</t>
  </si>
  <si>
    <t>可用于球杆升星。</t>
  </si>
  <si>
    <t>[[2,0,10000]]</t>
  </si>
  <si>
    <t>A级升阶木</t>
  </si>
  <si>
    <t>可用于A级球杆进阶为S级球杆。</t>
  </si>
  <si>
    <t>S级升阶木</t>
  </si>
  <si>
    <t>可用于S级球杆进阶为SS级球杆。</t>
  </si>
  <si>
    <t>[[1,0,20]]</t>
  </si>
  <si>
    <t>SS级升阶木</t>
  </si>
  <si>
    <t>可用于SS级球杆进阶为SSS级球杆。</t>
  </si>
  <si>
    <t>[[1,0,40]]</t>
  </si>
  <si>
    <t>强化币</t>
  </si>
  <si>
    <t>可用于球杆升星、升阶。</t>
  </si>
  <si>
    <t>强化币礼包(中）</t>
  </si>
  <si>
    <t>打开后获得&lt;color=#ff5656&gt;10&lt;/color&gt;个强化币。</t>
  </si>
  <si>
    <t>[[1,0,10]]</t>
  </si>
  <si>
    <t>强化币礼包(大）</t>
  </si>
  <si>
    <t>打开后获得&lt;color=#ff5656&gt;50&lt;/color&gt;个强化币。</t>
  </si>
  <si>
    <t>[[1,0,50]]</t>
  </si>
  <si>
    <t>[[1,0,45]]</t>
  </si>
  <si>
    <t>超级瞄准</t>
  </si>
  <si>
    <t>闯关道具：使用后可使球杆瞄准线无限延长。</t>
  </si>
  <si>
    <t>自由球</t>
  </si>
  <si>
    <t>闯关道具：使用后获得母球自由球。</t>
  </si>
  <si>
    <t>清除障碍</t>
  </si>
  <si>
    <t>闯关道具：使用后可清除任意一颗非目标球。</t>
  </si>
  <si>
    <t>回转</t>
  </si>
  <si>
    <t>闯关道具：使用后可回退到上一杆击球。</t>
  </si>
  <si>
    <t>性别切换卡</t>
  </si>
  <si>
    <t>可用于切换角色性别</t>
  </si>
  <si>
    <t>[[1,0,100]]</t>
  </si>
  <si>
    <t>[[1,0,80]]</t>
  </si>
  <si>
    <t>改名卡</t>
  </si>
  <si>
    <t>可用于修改游戏昵称。</t>
  </si>
  <si>
    <t>喵星物语主题球杆，品质等级为SS。</t>
  </si>
  <si>
    <t>[[1,7,900],[1,30,2000],[1,0,2888]]</t>
  </si>
  <si>
    <t>[[1,7,540],[1,30,1200],[1,0,1733]]</t>
  </si>
  <si>
    <t>[[1,7,240],[1,30,480],[1,0,1088]]</t>
  </si>
  <si>
    <t>黑色礼服</t>
  </si>
  <si>
    <t>虎啸风生</t>
  </si>
  <si>
    <t>虎啸风生主题服装，品质为S。</t>
  </si>
  <si>
    <t>虎虎生威</t>
  </si>
  <si>
    <t>虎虎生威主题球桌</t>
  </si>
  <si>
    <t>大喇叭</t>
  </si>
  <si>
    <t>可用于世界聊天置顶发言</t>
  </si>
  <si>
    <t>[[0,0,0]]</t>
  </si>
  <si>
    <t>兑换券</t>
  </si>
  <si>
    <t>可用于兑换商店购买道具。</t>
  </si>
  <si>
    <t>[[1,0,120]]</t>
  </si>
  <si>
    <t>[[1,0,125]]</t>
  </si>
  <si>
    <t>[[1,0,160]]</t>
  </si>
  <si>
    <t>[[1,0,200]]</t>
  </si>
  <si>
    <t>[[1,0,300]]</t>
  </si>
  <si>
    <t>龙回头（1天）</t>
  </si>
  <si>
    <t>使用后可体验&lt;color=#fff442&gt;1天&lt;/color&gt;S级满星球杆-龙回头。</t>
  </si>
  <si>
    <t>[[1,0,30]]</t>
  </si>
  <si>
    <t>龙回头（3天）</t>
  </si>
  <si>
    <t>使用后可体验&lt;color=#fff442&gt;3天&lt;/color&gt;S级满星球杆-龙回头。</t>
  </si>
  <si>
    <t>[[1,0,150]]</t>
  </si>
  <si>
    <t>雄鹰权杖(1天)</t>
  </si>
  <si>
    <t>使用后可体验&lt;color=#fff442&gt;1天&lt;/color&gt;SS级满星球杆-雄鹰权杖。</t>
  </si>
  <si>
    <t>雄鹰权杖(3天)</t>
  </si>
  <si>
    <t>使用后可体验&lt;color=#fff442&gt;3天&lt;/color&gt;SS级满星球杆-雄鹰权杖。</t>
  </si>
  <si>
    <t>[[1,0,270]]</t>
  </si>
  <si>
    <t>[[1,7,192],[1,30,384],[1,0,870]]</t>
  </si>
  <si>
    <t>[[1,7,86],[1,30,230],[1,0,710]]</t>
  </si>
  <si>
    <t>[[1,0,60]]</t>
  </si>
  <si>
    <t>甜心宝贝</t>
  </si>
  <si>
    <t>[[1,0,1988]]</t>
  </si>
  <si>
    <t>国色天香</t>
  </si>
  <si>
    <t>南瓜头</t>
  </si>
  <si>
    <t>南瓜头主题球杆，品质等级SS</t>
  </si>
  <si>
    <t>虎头虎脑</t>
  </si>
  <si>
    <t>虎头虎脑主题球杆，品质等级SS</t>
  </si>
  <si>
    <t>台球麦霸</t>
  </si>
  <si>
    <t>[[1,0,988]]</t>
  </si>
  <si>
    <t>圣诞糖果</t>
  </si>
  <si>
    <t>圣诞树</t>
  </si>
  <si>
    <t>[[1,0,888]]</t>
  </si>
  <si>
    <t>夏日派对主题服装。</t>
  </si>
  <si>
    <t>黑色礼服主题服装。</t>
  </si>
  <si>
    <t>[[1,0,688]]</t>
  </si>
  <si>
    <t>牛仔很忙主题服装。</t>
  </si>
  <si>
    <t>[[1,0,388]]</t>
  </si>
  <si>
    <t>星空壮桌布，白云边的球桌，品质等级S</t>
  </si>
  <si>
    <t>[[1,0,258]]</t>
  </si>
  <si>
    <t>连环闪电</t>
  </si>
  <si>
    <t>音律</t>
  </si>
  <si>
    <t>足球</t>
  </si>
  <si>
    <t>轻盈之风</t>
  </si>
  <si>
    <t>可在背包、对局内替换使用【轻盈之风】拖尾效果</t>
  </si>
  <si>
    <t>浪潮</t>
  </si>
  <si>
    <t>可在背包、对局内替换使用【浪潮】拖尾效果</t>
  </si>
  <si>
    <t>心心相印</t>
  </si>
  <si>
    <t>燎原烈火</t>
  </si>
  <si>
    <t>火龙吟</t>
  </si>
  <si>
    <t>辉光</t>
  </si>
  <si>
    <t>捣蛋瓜</t>
  </si>
  <si>
    <t>清莲绽放</t>
  </si>
  <si>
    <t>幻蝶</t>
  </si>
  <si>
    <t>幽冥火</t>
  </si>
  <si>
    <t>爆竹</t>
  </si>
  <si>
    <t>楠木球杆</t>
  </si>
  <si>
    <t>智慧权杖</t>
  </si>
  <si>
    <t>权力之杖</t>
  </si>
  <si>
    <t>橡木球杆</t>
  </si>
  <si>
    <t>[[2,7,150000],[1,30,288],[1,0,588]]</t>
  </si>
  <si>
    <t>古老图腾</t>
  </si>
  <si>
    <t>凛冽冰川</t>
  </si>
  <si>
    <t>炽热火焰</t>
  </si>
  <si>
    <t>碧绿翡翠</t>
  </si>
  <si>
    <t>科技球杆</t>
  </si>
  <si>
    <t>绚丽多彩</t>
  </si>
  <si>
    <t>枫叶团扇</t>
  </si>
  <si>
    <t>部落图腾</t>
  </si>
  <si>
    <t>[[1,7,588],[1,30,1088],[1,0,1588]]</t>
  </si>
  <si>
    <t>玉如意</t>
  </si>
  <si>
    <t>[[1,7,1088],[1,30,1688],[1,0,3288]]</t>
  </si>
  <si>
    <t>蓝梦月泪</t>
  </si>
  <si>
    <t>[[1,7,1088],[1,30,1688],[1,0,2888]]</t>
  </si>
  <si>
    <t>弧电枪</t>
  </si>
  <si>
    <t>愿者上钩</t>
  </si>
  <si>
    <t>澄心定意</t>
  </si>
  <si>
    <t>惩戒之刃</t>
  </si>
  <si>
    <t>时光秩序</t>
  </si>
  <si>
    <t>A</t>
  </si>
  <si>
    <t>[[2,7,156000],[1,30,288],[1,0,688]]</t>
  </si>
  <si>
    <t>街头潮牌</t>
  </si>
  <si>
    <t>S</t>
  </si>
  <si>
    <t>活力运动装</t>
  </si>
  <si>
    <t>[[1,7,130],[1,30,388],[1,0,1088]]</t>
  </si>
  <si>
    <t>运动卫衣</t>
  </si>
  <si>
    <t>田径运动服</t>
  </si>
  <si>
    <t>瑞兔锦衣</t>
  </si>
  <si>
    <t>SS</t>
  </si>
  <si>
    <t>[[1,7,208],[1,30,648],[1,0,1988]]</t>
  </si>
  <si>
    <t>纯白爱恋</t>
  </si>
  <si>
    <t>半夏时光</t>
  </si>
  <si>
    <t>蒸汽朋克</t>
  </si>
  <si>
    <t>靛蓝球桌</t>
  </si>
  <si>
    <t>黛绿球桌</t>
  </si>
  <si>
    <t>DBA星耀</t>
  </si>
  <si>
    <t>真爱至上</t>
  </si>
  <si>
    <t>校园生活</t>
  </si>
  <si>
    <t>纵横四方</t>
  </si>
  <si>
    <t>疾驰绿茵</t>
  </si>
  <si>
    <t>霹雳闪光</t>
  </si>
  <si>
    <t>雪花飘飘</t>
  </si>
  <si>
    <t>龙凤飞掠</t>
  </si>
  <si>
    <t>吉兔送福</t>
  </si>
  <si>
    <t>红玫瑰</t>
  </si>
  <si>
    <t>皇龙之炎</t>
  </si>
  <si>
    <t>欢庆劳动</t>
  </si>
  <si>
    <t>青葱岁月</t>
  </si>
  <si>
    <t>蒸汽齿轮</t>
  </si>
  <si>
    <t>穿云竞渡</t>
  </si>
  <si>
    <t>绝尘破势</t>
  </si>
  <si>
    <t>凯旋球杯</t>
  </si>
  <si>
    <t>叮铃铛</t>
  </si>
  <si>
    <t>凤舞龙翔</t>
  </si>
  <si>
    <t>玉兔迎春</t>
  </si>
  <si>
    <t>玫瑰之恋</t>
  </si>
  <si>
    <t>皇龙啸</t>
  </si>
  <si>
    <t>荣光绽放</t>
  </si>
  <si>
    <t>纸上航线</t>
  </si>
  <si>
    <t>逆转时光</t>
  </si>
  <si>
    <t>燕环角粽</t>
  </si>
  <si>
    <t>闪耀足球</t>
  </si>
  <si>
    <t>圣诞彩球</t>
  </si>
  <si>
    <t>绣球</t>
  </si>
  <si>
    <t>劳动荣誉</t>
  </si>
  <si>
    <t>端阳安康</t>
  </si>
  <si>
    <t>服饰幸运币</t>
  </si>
  <si>
    <t>球杆幸运币</t>
  </si>
  <si>
    <t>超级瞄准低级</t>
  </si>
  <si>
    <t>球杆神铸礼包</t>
  </si>
  <si>
    <t>球杆幸运礼包</t>
  </si>
  <si>
    <t>服饰幸运礼包</t>
  </si>
  <si>
    <t>超级瞄准中级</t>
  </si>
  <si>
    <t>[[1,0,3]]</t>
  </si>
  <si>
    <t>超级瞄准高级</t>
  </si>
  <si>
    <t>[[1,0,4]]</t>
  </si>
  <si>
    <t>超级瞄准大师</t>
  </si>
  <si>
    <t>[[1,0,5]]</t>
  </si>
  <si>
    <t>超级瞄准allin</t>
  </si>
  <si>
    <t>[[1,0,1590]]</t>
  </si>
  <si>
    <t>[[1,0,710]]</t>
  </si>
  <si>
    <t>[[1,0,310]]</t>
  </si>
  <si>
    <t>国色天香主题球杆，品质为SSS。</t>
  </si>
  <si>
    <t>[[1,0,3288]]</t>
  </si>
  <si>
    <t>[[1,0,2630]]</t>
  </si>
  <si>
    <t>[[1,0,1088]]</t>
  </si>
  <si>
    <t>[[1,0,870]]</t>
  </si>
  <si>
    <t>[[1,0,588]]</t>
  </si>
  <si>
    <t>[[1,0,168]]</t>
  </si>
  <si>
    <t>[[1,0,288]]</t>
  </si>
  <si>
    <t>商店分页类型配置</t>
  </si>
  <si>
    <t>商店标签名</t>
  </si>
  <si>
    <t>标签背景图</t>
  </si>
  <si>
    <t>商店排序</t>
  </si>
  <si>
    <t>出现时间</t>
  </si>
  <si>
    <t>消失时间</t>
  </si>
  <si>
    <t>小红点</t>
  </si>
  <si>
    <t>排版类型</t>
  </si>
  <si>
    <t>点击背景图</t>
  </si>
  <si>
    <t>字体大小</t>
  </si>
  <si>
    <t>小图标</t>
  </si>
  <si>
    <t>包裹跳转映射</t>
  </si>
  <si>
    <t>name</t>
  </si>
  <si>
    <t>tabImg</t>
  </si>
  <si>
    <t>point_red</t>
  </si>
  <si>
    <t>clickImg</t>
  </si>
  <si>
    <t>fontSize</t>
  </si>
  <si>
    <t>iconImg</t>
  </si>
  <si>
    <t>link_back</t>
  </si>
  <si>
    <t>tab_xsqg</t>
  </si>
  <si>
    <t>球杆</t>
  </si>
  <si>
    <t>ui_tab_page_n_1</t>
  </si>
  <si>
    <t>ui_tab_page_s_1</t>
  </si>
  <si>
    <t>ui_icon_xsqg</t>
  </si>
  <si>
    <t>充能球杆</t>
  </si>
  <si>
    <t>ui_tab_page_n_2</t>
  </si>
  <si>
    <t>ui_tab_page_s_2</t>
  </si>
  <si>
    <t>ui_icon_cnqg</t>
  </si>
  <si>
    <t>服装</t>
  </si>
  <si>
    <t>ui_icon_fz</t>
  </si>
  <si>
    <t>效果</t>
  </si>
  <si>
    <t>ui_icon_qz</t>
  </si>
  <si>
    <t>道具</t>
  </si>
  <si>
    <t>ui_icon_dj</t>
  </si>
  <si>
    <t>推荐</t>
  </si>
  <si>
    <t>ui_tab_page_n_3</t>
  </si>
  <si>
    <t>ui_tab_page_s_3</t>
  </si>
  <si>
    <t>ui_icon_tj</t>
  </si>
  <si>
    <t>礼物</t>
  </si>
  <si>
    <t>renew</t>
  </si>
  <si>
    <t>续费配置</t>
  </si>
  <si>
    <t>可续费性别</t>
  </si>
  <si>
    <t>过期可分享次数</t>
  </si>
  <si>
    <t>sex_can</t>
  </si>
  <si>
    <t>expire_share</t>
  </si>
  <si>
    <t>原木球杆</t>
  </si>
  <si>
    <t>[[2,1,12888],[2,7,75000],[1,0,200]]</t>
  </si>
  <si>
    <t>C</t>
  </si>
  <si>
    <t>[[2,1,28888],[2,7,150000],[1,0,300]]</t>
  </si>
  <si>
    <t>B</t>
  </si>
  <si>
    <t>[[2,1,75000],[1,7,150],[1,30,300]]</t>
  </si>
  <si>
    <t>[[1,1,80],[1,7,240],[1,30,480]]</t>
  </si>
  <si>
    <t>[[1,1,168],[1,7,588],[1,30,1688]]</t>
  </si>
  <si>
    <t>[[1,1,328],[1,7,988],[1,30,3288]]</t>
  </si>
  <si>
    <t>SSS</t>
  </si>
  <si>
    <t>梅花三弄</t>
  </si>
  <si>
    <t>[[1,1,300],[1,7,900],[1,30,1800]]</t>
  </si>
  <si>
    <t>[[1,1,900],[1,7,2800],[1,30,5500]]</t>
  </si>
  <si>
    <t>闯关达人</t>
  </si>
  <si>
    <t>劳动光荣</t>
  </si>
  <si>
    <t>绿茵驰骋</t>
  </si>
  <si>
    <t>龙凤呈祥</t>
  </si>
  <si>
    <t>鸿运萝卜</t>
  </si>
  <si>
    <t>上上签</t>
  </si>
  <si>
    <t>吉运锦鲤</t>
  </si>
  <si>
    <t>经典衬衫</t>
  </si>
  <si>
    <t>关羽</t>
  </si>
  <si>
    <t>关银屏</t>
  </si>
  <si>
    <t>[[1,7,108],[1,30,288],[1,30,888]]</t>
  </si>
  <si>
    <t>绿茵足场</t>
  </si>
  <si>
    <t>[[2,1,14888],[2,7,96000],[1,30,388]]</t>
  </si>
  <si>
    <t>缤纷圣诞</t>
  </si>
  <si>
    <t>兔步青云</t>
  </si>
  <si>
    <t>劳动先锋</t>
  </si>
  <si>
    <t>change_shop</t>
  </si>
  <si>
    <t>兑换商店配置</t>
  </si>
  <si>
    <t>商品id</t>
  </si>
  <si>
    <t>商店类型</t>
  </si>
  <si>
    <t>限购数量</t>
  </si>
  <si>
    <t>是否刷新</t>
  </si>
  <si>
    <t>兑换消耗物品</t>
  </si>
  <si>
    <t>兑换单价</t>
  </si>
  <si>
    <t>item1_id</t>
  </si>
  <si>
    <t>shop_type</t>
  </si>
  <si>
    <t>refresh</t>
  </si>
  <si>
    <t>item2_id</t>
  </si>
  <si>
    <t>exchange_shop</t>
  </si>
  <si>
    <t>兑换商店配置表</t>
  </si>
  <si>
    <t>页签类型</t>
  </si>
  <si>
    <t>购买类型</t>
  </si>
  <si>
    <t>物品id</t>
  </si>
  <si>
    <t>兑换价格</t>
  </si>
  <si>
    <t>货币id</t>
  </si>
  <si>
    <t>购买次数</t>
  </si>
  <si>
    <t>type</t>
  </si>
  <si>
    <t>type_exchange</t>
  </si>
  <si>
    <t>currency_id</t>
  </si>
  <si>
    <t>if_buy</t>
  </si>
  <si>
    <t>buy_times</t>
  </si>
  <si>
    <t>shop_rabate_cue</t>
  </si>
  <si>
    <t>商城折扣球杆配置</t>
  </si>
  <si>
    <t>期数</t>
  </si>
  <si>
    <t>商城折扣球杆</t>
  </si>
  <si>
    <t>折扣开始时间</t>
  </si>
  <si>
    <t>折扣结束时间</t>
  </si>
  <si>
    <t>折扣</t>
  </si>
  <si>
    <t>periods</t>
  </si>
  <si>
    <t>shop_cue</t>
  </si>
  <si>
    <t>start_time</t>
  </si>
  <si>
    <t>end_time</t>
  </si>
  <si>
    <t>rebate</t>
  </si>
  <si>
    <t>100111,100051</t>
  </si>
  <si>
    <t>100181,100071</t>
  </si>
  <si>
    <t>shop_recommend</t>
  </si>
  <si>
    <t>商城推荐页配置</t>
  </si>
  <si>
    <t>推荐页序号</t>
  </si>
  <si>
    <t>展示banner</t>
  </si>
  <si>
    <t>直售道具</t>
  </si>
  <si>
    <t>开放时间</t>
  </si>
  <si>
    <t>关闭时间</t>
  </si>
  <si>
    <t>show_banner</t>
  </si>
  <si>
    <t>show_gift</t>
  </si>
  <si>
    <t>time_open</t>
  </si>
  <si>
    <t>time_close</t>
  </si>
  <si>
    <t>list</t>
  </si>
  <si>
    <t>[1001]</t>
  </si>
  <si>
    <t>[73,74,75]</t>
  </si>
  <si>
    <t>2022-07-01 00:00:00</t>
  </si>
  <si>
    <t>2022-07-15 23:59:59</t>
  </si>
  <si>
    <t>测试</t>
  </si>
  <si>
    <t>[1001,1002,1003]</t>
  </si>
  <si>
    <t>[78,79,80]</t>
  </si>
  <si>
    <t>2022-07-01 00:00:01</t>
  </si>
  <si>
    <t>2022-07-15 23:59:60</t>
  </si>
  <si>
    <t>[81,82,83]</t>
  </si>
  <si>
    <t>2022-07-01 00:00:02</t>
  </si>
  <si>
    <t>2022-07-15 23:59:61</t>
  </si>
  <si>
    <t>[1001,1002]</t>
  </si>
  <si>
    <t>2022-07-01 00:00:03</t>
  </si>
  <si>
    <t>2022-07-15 23:59:62</t>
  </si>
  <si>
    <t>2022-07-01 00:00:04</t>
  </si>
  <si>
    <t>2022-07-15 23:59:63</t>
  </si>
  <si>
    <t>2022-07-01 00:00:05</t>
  </si>
  <si>
    <t>2022-07-15 23:59:64</t>
  </si>
  <si>
    <t>2022-07-01 00:00:06</t>
  </si>
  <si>
    <t>2022-07-15 23:59:65</t>
  </si>
  <si>
    <t>[1001,1002,1003,1004]</t>
  </si>
  <si>
    <t>2022-07-01 00:00:07</t>
  </si>
  <si>
    <t>2022-07-15 23:59:66</t>
  </si>
  <si>
    <t>[1004,1001,1005,1006]</t>
  </si>
  <si>
    <t>2022-07-01 00:00:08</t>
  </si>
  <si>
    <t>2022-07-15 23:59:67</t>
  </si>
  <si>
    <t>[1001,1005,1006]</t>
  </si>
  <si>
    <t>2022-07-01 00:00:09</t>
  </si>
  <si>
    <t>2022-07-15 23:59:68</t>
  </si>
  <si>
    <t>2022-07-16 00:00:00</t>
  </si>
  <si>
    <t>2022-07-31 23:59:59</t>
  </si>
  <si>
    <t>2022-08-01 00:00:00</t>
  </si>
  <si>
    <t>2022-08-15 23:59:59</t>
  </si>
  <si>
    <t>2022-08-16 00:00:00</t>
  </si>
  <si>
    <t>2022-08-31 23:59:59</t>
  </si>
  <si>
    <t>2022-09-01 00:00:00</t>
  </si>
  <si>
    <t>2022-09-15 23:59:59</t>
  </si>
  <si>
    <t>2022-09-16 00:00:00</t>
  </si>
  <si>
    <t>2022-09-30 23:59:59</t>
  </si>
  <si>
    <t>2022-10-01 00:00:00</t>
  </si>
  <si>
    <t>2022-10-15 23:59:59</t>
  </si>
  <si>
    <t>2022-10-16 00:00:00</t>
  </si>
  <si>
    <t>2022-10-31 23:59:59</t>
  </si>
  <si>
    <t>2022-11-01 00:00:00</t>
  </si>
  <si>
    <t>2022-11-15 23:59:59</t>
  </si>
  <si>
    <t>2022-11-16 00:00:00</t>
  </si>
  <si>
    <t>2022-11-30 23:59:59</t>
  </si>
  <si>
    <t>2022-12-01 00:00:00</t>
  </si>
  <si>
    <t>2022-12-11 23:59:59</t>
  </si>
  <si>
    <t>[1004,1008,1001,1005,1006]</t>
  </si>
  <si>
    <t>2022-12-12 00:00:00</t>
  </si>
  <si>
    <t>2022-12-31 23:59:59</t>
  </si>
  <si>
    <t>2023-01-01 00:00:00</t>
  </si>
  <si>
    <t>2023-01-10 23:59:59</t>
  </si>
  <si>
    <t>[1001,1005,1006,1009]</t>
  </si>
  <si>
    <t>2023-01-11 00:00:00</t>
  </si>
  <si>
    <t>2023-01-20 23:59:59</t>
  </si>
  <si>
    <t>[1009,1004,1001,1005,1006]</t>
  </si>
  <si>
    <t>2023-01-21 00:00:00</t>
  </si>
  <si>
    <t>2023-02-03 23:59:59</t>
  </si>
  <si>
    <t>2023-02-04 00:00:00</t>
  </si>
  <si>
    <t>2023-02-12 23:59:59</t>
  </si>
  <si>
    <t>[1004,1001,1006,1010,1011]</t>
  </si>
  <si>
    <t>2023-02-13 00:00:00</t>
  </si>
  <si>
    <t>2023-02-26 23:59:59</t>
  </si>
  <si>
    <t>2023-02-27 00:00:00</t>
  </si>
  <si>
    <t>2023-02-28 23:59:59</t>
  </si>
  <si>
    <t>2023-03-01 00:00:00</t>
  </si>
  <si>
    <t>2023-03-15 23:59:59</t>
  </si>
  <si>
    <t>2023-03-16 00:00:00</t>
  </si>
  <si>
    <t>2023-03-31 23:59:59</t>
  </si>
  <si>
    <t>2023-04-01 00:00:00</t>
  </si>
  <si>
    <t>2023-04-15 23:59:59</t>
  </si>
  <si>
    <t>2023-04-16 00:00:00</t>
  </si>
  <si>
    <t>2023-04-30 23:59:59</t>
  </si>
  <si>
    <t>[1004,1001,1012,1013,1005]</t>
  </si>
  <si>
    <t>[153,155,154]</t>
  </si>
  <si>
    <t>2023-05-01 00:00:00</t>
  </si>
  <si>
    <t>2023-05-14 23:59:59</t>
  </si>
  <si>
    <t>[1004,1001,1013]</t>
  </si>
  <si>
    <t>[156,157,158]</t>
  </si>
  <si>
    <t>2023-05-12 00:00:00</t>
  </si>
  <si>
    <t>2023-05-21 23:59:59</t>
  </si>
  <si>
    <t>[159,160,161]</t>
  </si>
  <si>
    <t>骑士长枪、黑色礼服、繁星点点</t>
  </si>
  <si>
    <t>2023-05-22 00:00:00</t>
  </si>
  <si>
    <t>2023-05-28 23:59:59</t>
  </si>
  <si>
    <t>[1014,1004]</t>
  </si>
  <si>
    <t>成就大师、牛仔很忙、辉光</t>
  </si>
  <si>
    <t>2023-05-29 00:00:00</t>
  </si>
  <si>
    <t>2023-06-04 23:59:59</t>
  </si>
  <si>
    <t>[79,80,81]</t>
  </si>
  <si>
    <t>超级巨星、动力驱动、紫金葫芦</t>
  </si>
  <si>
    <t>2023-06-05 00:00:00</t>
  </si>
  <si>
    <t>2023-06-11 23:59:59</t>
  </si>
  <si>
    <t>如鱼得水、夏日派对、浪潮</t>
  </si>
  <si>
    <t>2023-06-12 00:00:00</t>
  </si>
  <si>
    <t>2023-06-18 23:59:59</t>
  </si>
  <si>
    <t>2023-06-19 00:00:00</t>
  </si>
  <si>
    <t>2023-06-25 23:59:59</t>
  </si>
  <si>
    <t>2023-06-26 00:00:00</t>
  </si>
  <si>
    <t>2023-07-02 23:59:59</t>
  </si>
  <si>
    <t>[1008,1004]</t>
  </si>
  <si>
    <t>2023-07-3 00:00:00</t>
  </si>
  <si>
    <t>2023-07-09 23:59:59</t>
  </si>
  <si>
    <t>[1004]</t>
  </si>
  <si>
    <t>[8030,8031,8032]</t>
  </si>
  <si>
    <t>2023-07-10 00:00:00</t>
  </si>
  <si>
    <t>2023-07-16 23:59:59</t>
  </si>
  <si>
    <t>[8036,8037,8038]</t>
  </si>
  <si>
    <t>2023-07-17 00:00:00</t>
  </si>
  <si>
    <t>2023-07-23 23:59:59</t>
  </si>
  <si>
    <t>[8033,8034,8035]</t>
  </si>
  <si>
    <t xml:space="preserve">成就大师SS、牛仔很忙、辉光				</t>
  </si>
  <si>
    <t>2023-07-24 00:00:00</t>
  </si>
  <si>
    <t>2023-07-30 23:59:59</t>
  </si>
  <si>
    <t>[8025,8026,8027]</t>
  </si>
  <si>
    <t xml:space="preserve">紫金葫芦S、超级巨星、动力驱动			</t>
  </si>
  <si>
    <t>2023-07-31 00:00:00</t>
  </si>
  <si>
    <t>2023-08-6 23:59:59</t>
  </si>
  <si>
    <t xml:space="preserve">如鱼得水S、夏日派对、浪潮						</t>
  </si>
  <si>
    <t>2023-08-7 00:00:00</t>
  </si>
  <si>
    <t>2023-08-13 23:59:59</t>
  </si>
  <si>
    <t>[1004,1016,1017]</t>
  </si>
  <si>
    <t xml:space="preserve">骑士长枪A、黑色礼服、繁星点点					</t>
  </si>
  <si>
    <t>2023-08-14 00:00:00</t>
  </si>
  <si>
    <t>2023-08-20 23:59:59</t>
  </si>
  <si>
    <t>2023-08-21 00:00:00</t>
  </si>
  <si>
    <t>2023-08-27 23:59:59</t>
  </si>
  <si>
    <t>[8039,8040,8041]</t>
  </si>
  <si>
    <t>虎头虎脑SS、虎啸风生、火龙吟</t>
  </si>
  <si>
    <t>2023-08-28 00:00:00</t>
  </si>
  <si>
    <t>2023-09-3 23:59:59</t>
  </si>
  <si>
    <t>[8042,8043,8044]</t>
  </si>
  <si>
    <t>南瓜头SS、捣蛋瓜、动力驱动</t>
  </si>
  <si>
    <t>2023-09-4 00:00:00</t>
  </si>
  <si>
    <t>2023-09-10 23:59:59</t>
  </si>
  <si>
    <t>[8045,8046,8047]</t>
  </si>
  <si>
    <t>国色天香SSS、轻盈之风、清莲绽放</t>
  </si>
  <si>
    <t>2023-09-11 00:00:00</t>
  </si>
  <si>
    <t>2023-09-17 23:59:59</t>
  </si>
  <si>
    <t>[8048,8049,8050]</t>
  </si>
  <si>
    <t>蓝梦月泪SSS、活力运动装、幽冥火</t>
  </si>
  <si>
    <t>2023-09-18 00:00:00</t>
  </si>
  <si>
    <t>2023-09-24 23:59:59</t>
  </si>
  <si>
    <t>成就大师SS、牛仔很忙、光辉</t>
  </si>
  <si>
    <t>2023-09-25 00:00:00</t>
  </si>
  <si>
    <t>2023-10-1 23:59:59</t>
  </si>
  <si>
    <t>[1018,1004,1019]</t>
  </si>
  <si>
    <t>2023-10-2 00:00:00</t>
  </si>
  <si>
    <t>2023-10-8 23:59:59</t>
  </si>
  <si>
    <t>2023-10-9 00:00:00</t>
  </si>
  <si>
    <t>2023-10-15 23:59:59</t>
  </si>
  <si>
    <t>2023-10-16 00:00:00</t>
  </si>
  <si>
    <t>2023-10-22 23:59:59</t>
  </si>
  <si>
    <t>2023-10-23 00:00:00</t>
  </si>
  <si>
    <t>2023-10-29 23:59:59</t>
  </si>
  <si>
    <t>2023-10-30 00:00:00</t>
  </si>
  <si>
    <t>2023-11-5 23:59:59</t>
  </si>
  <si>
    <t>2023-11-6 00:00:00</t>
  </si>
  <si>
    <t>2023-11-12 23:59:59</t>
  </si>
  <si>
    <t>2023-11-13 00:00:00</t>
  </si>
  <si>
    <t>2023-11-19 23:59:59</t>
  </si>
  <si>
    <t>2023-11-20 00:00:00</t>
  </si>
  <si>
    <t>2023-11-26 23:59:59</t>
  </si>
  <si>
    <t>2023-11-27 00:00:00</t>
  </si>
  <si>
    <t>2023-12-3 23:59:59</t>
  </si>
  <si>
    <t>[1004,1020,1021]</t>
  </si>
  <si>
    <t>2023-12-4 00:00:00</t>
  </si>
  <si>
    <t>2023-12-10 23:59:59</t>
  </si>
  <si>
    <t>2023-12-11 00:00:00</t>
  </si>
  <si>
    <t>2023-12-17 23:59:59</t>
  </si>
  <si>
    <t>2023-12-18 00:00:00</t>
  </si>
  <si>
    <t>2023-12-24 23:59:59</t>
  </si>
  <si>
    <t>2023-12-25 00:00:00</t>
  </si>
  <si>
    <t>2023-12-31 23:59:59</t>
  </si>
  <si>
    <t>2024-01-01 00:00:00</t>
  </si>
  <si>
    <t>2024-01-07 23:59:59</t>
  </si>
  <si>
    <t>2024-01-08 00:00:00</t>
  </si>
  <si>
    <t>2024-01-14 23:59:59</t>
  </si>
  <si>
    <t>2024-01-15 00:00:00</t>
  </si>
  <si>
    <t>2024-01-21 23:59:59</t>
  </si>
  <si>
    <t>2024-01-21 00:00:00</t>
  </si>
  <si>
    <t>2024-01-28 23:59:59</t>
  </si>
  <si>
    <t>recommend_banner</t>
  </si>
  <si>
    <t>推荐页banner配置</t>
  </si>
  <si>
    <t>banner_id</t>
  </si>
  <si>
    <t>活动banner</t>
  </si>
  <si>
    <t>获取方式</t>
  </si>
  <si>
    <t>跳转id</t>
  </si>
  <si>
    <t>banner_name</t>
  </si>
  <si>
    <t>access_type</t>
  </si>
  <si>
    <t>commodity_id</t>
  </si>
  <si>
    <t>link_id</t>
  </si>
  <si>
    <t>ui_tjsc_banner_1</t>
  </si>
  <si>
    <t>ui_tjsc_banner_2</t>
  </si>
  <si>
    <t>ui_tjsc_banner_3</t>
  </si>
  <si>
    <t>ui_tjsc_banner_4</t>
  </si>
  <si>
    <t>青龙偃月</t>
  </si>
  <si>
    <t>ui_tjsc_banner_5</t>
  </si>
  <si>
    <t>ui_tjsc_banner_6</t>
  </si>
  <si>
    <t>ui_tjsc_banner_7</t>
  </si>
  <si>
    <t>龙胆亮银</t>
  </si>
  <si>
    <t>ui_tjsc_banner_8</t>
  </si>
  <si>
    <t>玲珑夺宝</t>
  </si>
  <si>
    <t>ui_xcdb_banner_5</t>
  </si>
  <si>
    <t>新春夺宝</t>
  </si>
  <si>
    <t>充值得钻石</t>
  </si>
  <si>
    <t>ui_qgczg_banner_6</t>
  </si>
  <si>
    <t>球杆超值购</t>
  </si>
  <si>
    <t>ui_ldj_banner_5</t>
  </si>
  <si>
    <t>劳动闪耀季</t>
  </si>
  <si>
    <t>ui_qshy_banner_5</t>
  </si>
  <si>
    <t>青涩回忆</t>
  </si>
  <si>
    <t>ui_tjsc_banner_9</t>
  </si>
  <si>
    <t>寻金探宝</t>
  </si>
  <si>
    <t>ui_tjsc_banner_10</t>
  </si>
  <si>
    <t>古风探宝</t>
  </si>
  <si>
    <t>ui_tjsc_banner_xymb</t>
  </si>
  <si>
    <t>仙缘秘宝</t>
  </si>
  <si>
    <t>ui_tjsc_banner_ldly</t>
  </si>
  <si>
    <t>ui_tjsc_banner_ryjgb</t>
  </si>
  <si>
    <t>如意金箍棒</t>
  </si>
  <si>
    <t>ui_tjsc_banner_xmxy</t>
  </si>
  <si>
    <t>寻梦西游</t>
  </si>
  <si>
    <t>ui_tjsc_banner_zqbj</t>
  </si>
  <si>
    <t>紫青宝剑</t>
  </si>
  <si>
    <t>ui_tjsc_banner_xmqy</t>
  </si>
  <si>
    <t>寻梦奇缘</t>
  </si>
  <si>
    <t>recommend_item</t>
  </si>
  <si>
    <t>推荐页下方道具展示</t>
  </si>
  <si>
    <t>序号</t>
  </si>
  <si>
    <t>标签图标</t>
  </si>
  <si>
    <t>摆放位置</t>
  </si>
  <si>
    <t>price_type</t>
  </si>
  <si>
    <t>daily_limit</t>
  </si>
  <si>
    <t>label_img</t>
  </si>
  <si>
    <t>locating_place</t>
  </si>
  <si>
    <t>ui_tjsc_banner_hlml</t>
    <phoneticPr fontId="21" type="noConversion"/>
  </si>
  <si>
    <t>黑龙魔镰</t>
    <phoneticPr fontId="21" type="noConversion"/>
  </si>
  <si>
    <t>[1004]</t>
    <phoneticPr fontId="21" type="noConversion"/>
  </si>
  <si>
    <t>2024-01-29 00:00:00</t>
    <phoneticPr fontId="21" type="noConversion"/>
  </si>
  <si>
    <t>2024-02-4 23:59:59</t>
    <phoneticPr fontId="21" type="noConversion"/>
  </si>
  <si>
    <t>2024-02-5 00:00:00</t>
    <phoneticPr fontId="21" type="noConversion"/>
  </si>
  <si>
    <t>2024-02-18 23:59:59</t>
    <phoneticPr fontId="21" type="noConversion"/>
  </si>
  <si>
    <t>2024-02-19 00:00:00</t>
    <phoneticPr fontId="21" type="noConversion"/>
  </si>
  <si>
    <t>2024-02-25 23:59:59</t>
    <phoneticPr fontId="21" type="noConversion"/>
  </si>
  <si>
    <t>2024-02-26 00:00:00</t>
    <phoneticPr fontId="21" type="noConversion"/>
  </si>
  <si>
    <t>2024-03-3 23:59:59</t>
    <phoneticPr fontId="21" type="noConversion"/>
  </si>
  <si>
    <t>龙腾盛世</t>
    <phoneticPr fontId="21" type="noConversion"/>
  </si>
  <si>
    <t>ui_tjsc_banner_lndj</t>
    <phoneticPr fontId="21" type="noConversion"/>
  </si>
  <si>
    <t>[1022,1023,1004]</t>
    <phoneticPr fontId="21" type="noConversion"/>
  </si>
  <si>
    <t>2024-03-04 00:00:00</t>
    <phoneticPr fontId="21" type="noConversion"/>
  </si>
  <si>
    <t>2024-03-10 23:59:59</t>
    <phoneticPr fontId="21" type="noConversion"/>
  </si>
  <si>
    <t>2024-03-11 00:00:00</t>
    <phoneticPr fontId="21" type="noConversion"/>
  </si>
  <si>
    <t>2024-03-17 23:59:59</t>
    <phoneticPr fontId="21" type="noConversion"/>
  </si>
  <si>
    <t>2024-03-18 00:00:00</t>
    <phoneticPr fontId="21" type="noConversion"/>
  </si>
  <si>
    <t>2024-03-24 23:59:59</t>
    <phoneticPr fontId="21" type="noConversion"/>
  </si>
  <si>
    <t>2024-03-25 00:00:00</t>
    <phoneticPr fontId="21" type="noConversion"/>
  </si>
  <si>
    <t>2024-03-31 23:59:59</t>
    <phoneticPr fontId="21" type="noConversion"/>
  </si>
  <si>
    <t>逃跑清除卡</t>
    <phoneticPr fontId="21" type="noConversion"/>
  </si>
  <si>
    <t>[[1,0,199]]</t>
    <phoneticPr fontId="21" type="noConversion"/>
  </si>
  <si>
    <t>2024-04-01 00:00:00</t>
    <phoneticPr fontId="21" type="noConversion"/>
  </si>
  <si>
    <t>2024-04-07 23:59:59</t>
    <phoneticPr fontId="21" type="noConversion"/>
  </si>
  <si>
    <t>2024-04-08 00:00:00</t>
    <phoneticPr fontId="21" type="noConversion"/>
  </si>
  <si>
    <t>2024-04-14 23:59:59</t>
    <phoneticPr fontId="21" type="noConversion"/>
  </si>
  <si>
    <t>2024-04-15 00:00:00</t>
    <phoneticPr fontId="21" type="noConversion"/>
  </si>
  <si>
    <t>2024-04-21 23:59:59</t>
    <phoneticPr fontId="21" type="noConversion"/>
  </si>
  <si>
    <t>2024-04-28 23:59:59</t>
    <phoneticPr fontId="21" type="noConversion"/>
  </si>
  <si>
    <t>2024-04-22 00:00:00</t>
    <phoneticPr fontId="21" type="noConversion"/>
  </si>
  <si>
    <t>[1016,1017,1004]</t>
    <phoneticPr fontId="21" type="noConversion"/>
  </si>
  <si>
    <t>[[2,7,138888],[1,0,588]]</t>
    <phoneticPr fontId="21" type="noConversion"/>
  </si>
  <si>
    <t>[[1,0,168]]</t>
    <phoneticPr fontId="21" type="noConversion"/>
  </si>
  <si>
    <t>[[2,15,118888],[1,0,258]]</t>
    <phoneticPr fontId="21" type="noConversion"/>
  </si>
  <si>
    <t>[[1,7,48],[1,0,388]]</t>
    <phoneticPr fontId="21" type="noConversion"/>
  </si>
  <si>
    <t>[[1,7,28],[1,30,98]]</t>
    <phoneticPr fontId="21" type="noConversion"/>
  </si>
  <si>
    <t>[[1,7,48],[1,30,148]]</t>
    <phoneticPr fontId="21" type="noConversion"/>
  </si>
  <si>
    <t>[[2,30,95000],[1,0,258]]</t>
    <phoneticPr fontId="21" type="noConversion"/>
  </si>
  <si>
    <t>[[2,30,75000],[1,0,208]]</t>
    <phoneticPr fontId="21" type="noConversion"/>
  </si>
  <si>
    <t>[[2,0,120000]]</t>
    <phoneticPr fontId="21" type="noConversion"/>
  </si>
  <si>
    <t>[[1,0,2]]</t>
    <phoneticPr fontId="21" type="noConversion"/>
  </si>
  <si>
    <t>[[2,0,160000]]</t>
    <phoneticPr fontId="21" type="noConversion"/>
  </si>
  <si>
    <t>[[2,0,128000]]</t>
    <phoneticPr fontId="21" type="noConversion"/>
  </si>
  <si>
    <t>[[2,0,80000]]</t>
    <phoneticPr fontId="21" type="noConversion"/>
  </si>
  <si>
    <t>升星木礼包(小)</t>
    <phoneticPr fontId="21" type="noConversion"/>
  </si>
  <si>
    <t>[[2,0,150000]]</t>
    <phoneticPr fontId="21" type="noConversion"/>
  </si>
  <si>
    <t>[[2,0,2000]]</t>
    <phoneticPr fontId="21" type="noConversion"/>
  </si>
  <si>
    <t>强化币礼包</t>
    <phoneticPr fontId="21" type="noConversion"/>
  </si>
  <si>
    <t>[[2,0,100000]]</t>
    <phoneticPr fontId="21" type="noConversion"/>
  </si>
  <si>
    <t>[[2,7,96000],[1,0,388]]</t>
    <phoneticPr fontId="21" type="noConversion"/>
  </si>
  <si>
    <t>[[2,7,76800],[1,0,310]]</t>
    <phoneticPr fontId="21" type="noConversion"/>
  </si>
  <si>
    <t>[[1,7,38],[1,30,118]]</t>
    <phoneticPr fontId="21" type="noConversion"/>
  </si>
  <si>
    <t>[[1,7,23],[1,30,78]]</t>
    <phoneticPr fontId="21" type="noConversion"/>
  </si>
  <si>
    <t>[[1,0,208]]</t>
    <phoneticPr fontId="21" type="noConversion"/>
  </si>
  <si>
    <t>量子脉冲枪</t>
    <phoneticPr fontId="21" type="noConversion"/>
  </si>
  <si>
    <t>银辉机甲</t>
    <phoneticPr fontId="21" type="noConversion"/>
  </si>
  <si>
    <t>ui_tjsc_banner_yhjj</t>
    <phoneticPr fontId="21" type="noConversion"/>
  </si>
  <si>
    <t>ui_tjsc_banner_lzmc</t>
    <phoneticPr fontId="21" type="noConversion"/>
  </si>
  <si>
    <t>[1024,1025,1004]</t>
    <phoneticPr fontId="21" type="noConversion"/>
  </si>
  <si>
    <t>2024-04-29 00:00:00</t>
    <phoneticPr fontId="21" type="noConversion"/>
  </si>
  <si>
    <t>2024-04-30 23:59:59</t>
    <phoneticPr fontId="21" type="noConversion"/>
  </si>
  <si>
    <t>2024-05-01 00:00:00</t>
    <phoneticPr fontId="21" type="noConversion"/>
  </si>
  <si>
    <t>2024-05-05 23:59:59</t>
    <phoneticPr fontId="21" type="noConversion"/>
  </si>
  <si>
    <t>2024-05-06 00:00:00</t>
    <phoneticPr fontId="21" type="noConversion"/>
  </si>
  <si>
    <t>2024-05-12 23:59:59</t>
    <phoneticPr fontId="21" type="noConversion"/>
  </si>
  <si>
    <t>2024-05-13 00:00:00</t>
    <phoneticPr fontId="21" type="noConversion"/>
  </si>
  <si>
    <t>2024-05-19 23:59:59</t>
    <phoneticPr fontId="21" type="noConversion"/>
  </si>
  <si>
    <t>2024-05-20 00:00:00</t>
    <phoneticPr fontId="21" type="noConversion"/>
  </si>
  <si>
    <t>2024-05-26 23:59:59</t>
    <phoneticPr fontId="21" type="noConversion"/>
  </si>
  <si>
    <t>2024-05-27 00:00:00</t>
    <phoneticPr fontId="21" type="noConversion"/>
  </si>
  <si>
    <t>2024-05-31 23:59:59</t>
    <phoneticPr fontId="21" type="noConversion"/>
  </si>
  <si>
    <t>[1022,1023,1004]</t>
  </si>
  <si>
    <t>2024-06-01 00:00:00</t>
  </si>
  <si>
    <t>2024-06-02 23:59:59</t>
  </si>
  <si>
    <t>2024-06-03 00:00:00</t>
  </si>
  <si>
    <t>2024-06-09 23:59:59</t>
  </si>
  <si>
    <t>2024-06-10 00:00:00</t>
  </si>
  <si>
    <t>2024-06-16 23:59:59</t>
  </si>
  <si>
    <t>2024-06-17 00:00:00</t>
  </si>
  <si>
    <t>2024-06-23 23:59:59</t>
  </si>
  <si>
    <t>[1026,1027,1004]</t>
  </si>
  <si>
    <t>2024-06-24 00:00:00</t>
  </si>
  <si>
    <t>2024-06-30 23:59:59</t>
  </si>
  <si>
    <t>2024-07-01 00:00:00</t>
  </si>
  <si>
    <t>2024-07-07 23:59:59</t>
  </si>
  <si>
    <t>2024-07-08 00:00:00</t>
  </si>
  <si>
    <t>2024-07-14 23:59:59</t>
  </si>
  <si>
    <t>2024-07-15 00:00:00</t>
  </si>
  <si>
    <t>2024-07-21 23:59:59</t>
  </si>
  <si>
    <t>2024-07-22 00:00:00</t>
  </si>
  <si>
    <t>2024-07-28 23:59:59</t>
  </si>
  <si>
    <t>2024-07-29 00:00:00</t>
  </si>
  <si>
    <t>2024-07-31 23:59:59</t>
  </si>
  <si>
    <t>[1028,1029,1004]</t>
  </si>
  <si>
    <t>2024-08-01 00:00:00</t>
  </si>
  <si>
    <t>2024-08-04 23:59:59</t>
  </si>
  <si>
    <t>2024-08-05 00:00:00</t>
  </si>
  <si>
    <t>2024-08-11 23:59:59</t>
  </si>
  <si>
    <t>[8051,8037,8038]</t>
  </si>
  <si>
    <t xml:space="preserve">地狱火焰、黑色礼服、繁星点点					</t>
  </si>
  <si>
    <t>2024-08-12 00:00:00</t>
  </si>
  <si>
    <t>2024-08-18 23:59:59</t>
  </si>
  <si>
    <t>[8024,8025,8026]</t>
  </si>
  <si>
    <t>电音吉他、超级巨星、动力驱动</t>
  </si>
  <si>
    <t>2024-08-19 00:00:00</t>
  </si>
  <si>
    <t>2024-08-25 23:59:59</t>
  </si>
  <si>
    <t>2024-08-26 00:00:00</t>
  </si>
  <si>
    <t>2024-08-31 23:59:59</t>
  </si>
  <si>
    <t>[1030,1031,1004]</t>
  </si>
  <si>
    <t>2024-09-01 00:00:00</t>
  </si>
  <si>
    <t>2024-09-01 23:59:59</t>
  </si>
  <si>
    <t>2024-09-02 00:00:00</t>
  </si>
  <si>
    <t>2024-09-08 23:59:59</t>
  </si>
  <si>
    <t>[8042,8043,8050]</t>
  </si>
  <si>
    <t>南瓜头SS、捣蛋瓜、幽冥火</t>
  </si>
  <si>
    <t>2024-09-09 00:00:00</t>
  </si>
  <si>
    <t>2024-09-15 23:59:59</t>
  </si>
  <si>
    <t>[8052,8049,8041]</t>
  </si>
  <si>
    <t>部落图腾、活力运动装、火龙吟</t>
  </si>
  <si>
    <t>2024-09-16 00:00:00</t>
  </si>
  <si>
    <t>2024-09-22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</si>
</sst>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26" x14ac:knownFonts="1">
    <font>
      <sz val="12"/>
      <color theme="1"/>
      <name val="等线"/>
      <charset val="134"/>
      <scheme val="minor"/>
    </font>
    <font>
      <sz val="12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color theme="5"/>
      <name val="等线"/>
      <family val="3"/>
      <charset val="134"/>
      <scheme val="minor"/>
    </font>
    <font>
      <sz val="12"/>
      <color indexed="8"/>
      <name val="等线"/>
      <family val="3"/>
      <charset val="134"/>
    </font>
    <font>
      <sz val="11"/>
      <color indexed="8"/>
      <name val="等线"/>
      <family val="3"/>
      <charset val="134"/>
    </font>
    <font>
      <sz val="11"/>
      <color rgb="FFFF0000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2"/>
      <color theme="9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等线"/>
      <family val="3"/>
      <charset val="134"/>
      <scheme val="minor"/>
    </font>
    <font>
      <sz val="10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theme="5"/>
      <name val="等线"/>
      <family val="3"/>
      <charset val="134"/>
      <scheme val="minor"/>
    </font>
    <font>
      <sz val="12"/>
      <color theme="5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color rgb="FF7030A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</cellStyleXfs>
  <cellXfs count="93">
    <xf numFmtId="0" fontId="0" fillId="0" borderId="0" xfId="0">
      <alignment vertical="center"/>
    </xf>
    <xf numFmtId="0" fontId="0" fillId="2" borderId="0" xfId="0" applyFill="1" applyAlignment="1"/>
    <xf numFmtId="0" fontId="0" fillId="0" borderId="0" xfId="0" applyAlignment="1"/>
    <xf numFmtId="0" fontId="0" fillId="3" borderId="0" xfId="0" applyFill="1" applyAlignment="1"/>
    <xf numFmtId="0" fontId="1" fillId="4" borderId="0" xfId="0" applyFont="1" applyFill="1" applyAlignment="1"/>
    <xf numFmtId="49" fontId="0" fillId="0" borderId="0" xfId="0" applyNumberFormat="1">
      <alignment vertical="center"/>
    </xf>
    <xf numFmtId="0" fontId="3" fillId="0" borderId="0" xfId="0" applyFont="1">
      <alignment vertical="center"/>
    </xf>
    <xf numFmtId="0" fontId="1" fillId="0" borderId="0" xfId="2" applyFont="1" applyAlignment="1"/>
    <xf numFmtId="0" fontId="1" fillId="3" borderId="0" xfId="2" applyFont="1" applyFill="1" applyAlignment="1"/>
    <xf numFmtId="0" fontId="1" fillId="0" borderId="0" xfId="0" applyFont="1">
      <alignment vertical="center"/>
    </xf>
    <xf numFmtId="49" fontId="0" fillId="0" borderId="0" xfId="0" applyNumberFormat="1" applyAlignment="1">
      <alignment horizontal="right"/>
    </xf>
    <xf numFmtId="49" fontId="18" fillId="0" borderId="0" xfId="3" applyNumberFormat="1">
      <alignment vertical="center"/>
    </xf>
    <xf numFmtId="49" fontId="18" fillId="0" borderId="0" xfId="2" applyNumberFormat="1" applyAlignment="1">
      <alignment horizontal="right"/>
    </xf>
    <xf numFmtId="0" fontId="18" fillId="0" borderId="0" xfId="3">
      <alignment vertical="center"/>
    </xf>
    <xf numFmtId="0" fontId="1" fillId="0" borderId="0" xfId="3" applyFont="1">
      <alignment vertical="center"/>
    </xf>
    <xf numFmtId="49" fontId="1" fillId="0" borderId="0" xfId="3" applyNumberFormat="1" applyFont="1">
      <alignment vertical="center"/>
    </xf>
    <xf numFmtId="49" fontId="1" fillId="0" borderId="0" xfId="2" applyNumberFormat="1" applyFont="1" applyAlignment="1">
      <alignment horizontal="right"/>
    </xf>
    <xf numFmtId="49" fontId="0" fillId="0" borderId="0" xfId="0" applyNumberFormat="1" applyAlignment="1"/>
    <xf numFmtId="22" fontId="18" fillId="0" borderId="0" xfId="3" applyNumberFormat="1">
      <alignment vertical="center"/>
    </xf>
    <xf numFmtId="0" fontId="3" fillId="0" borderId="0" xfId="3" applyFont="1">
      <alignment vertical="center"/>
    </xf>
    <xf numFmtId="49" fontId="3" fillId="0" borderId="0" xfId="3" applyNumberFormat="1" applyFont="1">
      <alignment vertical="center"/>
    </xf>
    <xf numFmtId="49" fontId="3" fillId="0" borderId="0" xfId="2" applyNumberFormat="1" applyFont="1" applyAlignment="1">
      <alignment horizontal="right"/>
    </xf>
    <xf numFmtId="22" fontId="0" fillId="0" borderId="0" xfId="0" applyNumberFormat="1">
      <alignment vertical="center"/>
    </xf>
    <xf numFmtId="0" fontId="0" fillId="4" borderId="0" xfId="0" applyFill="1" applyAlignment="1"/>
    <xf numFmtId="0" fontId="4" fillId="5" borderId="0" xfId="0" applyFont="1" applyFill="1" applyAlignment="1"/>
    <xf numFmtId="0" fontId="4" fillId="0" borderId="0" xfId="0" applyFont="1" applyAlignment="1"/>
    <xf numFmtId="0" fontId="5" fillId="0" borderId="0" xfId="0" applyFont="1" applyAlignment="1"/>
    <xf numFmtId="0" fontId="18" fillId="0" borderId="0" xfId="2">
      <alignment vertical="center"/>
    </xf>
    <xf numFmtId="0" fontId="18" fillId="2" borderId="0" xfId="2" applyFill="1" applyAlignment="1"/>
    <xf numFmtId="0" fontId="18" fillId="0" borderId="0" xfId="2" applyAlignment="1"/>
    <xf numFmtId="0" fontId="18" fillId="3" borderId="0" xfId="2" applyFill="1" applyAlignment="1"/>
    <xf numFmtId="0" fontId="18" fillId="4" borderId="0" xfId="2" applyFill="1" applyAlignment="1"/>
    <xf numFmtId="0" fontId="6" fillId="0" borderId="0" xfId="0" applyFont="1" applyAlignment="1"/>
    <xf numFmtId="49" fontId="18" fillId="0" borderId="0" xfId="2" applyNumberFormat="1">
      <alignment vertical="center"/>
    </xf>
    <xf numFmtId="0" fontId="7" fillId="0" borderId="0" xfId="2" applyFont="1">
      <alignment vertical="center"/>
    </xf>
    <xf numFmtId="0" fontId="1" fillId="2" borderId="0" xfId="2" applyFont="1" applyFill="1" applyAlignment="1"/>
    <xf numFmtId="0" fontId="1" fillId="0" borderId="0" xfId="2" applyFont="1">
      <alignment vertical="center"/>
    </xf>
    <xf numFmtId="0" fontId="1" fillId="4" borderId="0" xfId="2" applyFont="1" applyFill="1" applyAlignment="1"/>
    <xf numFmtId="0" fontId="1" fillId="0" borderId="0" xfId="0" applyFont="1" applyAlignment="1"/>
    <xf numFmtId="0" fontId="1" fillId="0" borderId="0" xfId="0" applyFont="1" applyAlignment="1">
      <alignment horizontal="left" vertical="center"/>
    </xf>
    <xf numFmtId="49" fontId="1" fillId="0" borderId="0" xfId="0" applyNumberFormat="1" applyFont="1">
      <alignment vertical="center"/>
    </xf>
    <xf numFmtId="0" fontId="0" fillId="0" borderId="0" xfId="0" applyAlignment="1">
      <alignment horizontal="left"/>
    </xf>
    <xf numFmtId="176" fontId="0" fillId="0" borderId="0" xfId="0" applyNumberFormat="1">
      <alignment vertical="center"/>
    </xf>
    <xf numFmtId="0" fontId="18" fillId="0" borderId="0" xfId="1"/>
    <xf numFmtId="176" fontId="0" fillId="0" borderId="0" xfId="0" applyNumberFormat="1" applyAlignment="1"/>
    <xf numFmtId="0" fontId="18" fillId="4" borderId="0" xfId="1" applyFill="1"/>
    <xf numFmtId="176" fontId="0" fillId="4" borderId="0" xfId="0" applyNumberFormat="1" applyFill="1" applyAlignment="1"/>
    <xf numFmtId="0" fontId="8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0" fontId="11" fillId="2" borderId="0" xfId="0" applyFont="1" applyFill="1" applyAlignment="1"/>
    <xf numFmtId="0" fontId="11" fillId="0" borderId="0" xfId="0" applyFont="1" applyAlignment="1"/>
    <xf numFmtId="0" fontId="11" fillId="3" borderId="0" xfId="0" applyFont="1" applyFill="1" applyAlignment="1"/>
    <xf numFmtId="0" fontId="11" fillId="4" borderId="0" xfId="0" applyFont="1" applyFill="1" applyAlignment="1"/>
    <xf numFmtId="0" fontId="8" fillId="0" borderId="0" xfId="0" applyFont="1" applyAlignment="1"/>
    <xf numFmtId="0" fontId="8" fillId="4" borderId="0" xfId="0" applyFont="1" applyFill="1" applyAlignment="1"/>
    <xf numFmtId="0" fontId="8" fillId="3" borderId="0" xfId="0" applyFont="1" applyFill="1" applyAlignment="1"/>
    <xf numFmtId="49" fontId="6" fillId="0" borderId="0" xfId="0" applyNumberFormat="1" applyFont="1">
      <alignment vertical="center"/>
    </xf>
    <xf numFmtId="176" fontId="11" fillId="0" borderId="0" xfId="0" applyNumberFormat="1" applyFont="1" applyAlignment="1"/>
    <xf numFmtId="176" fontId="11" fillId="4" borderId="0" xfId="0" applyNumberFormat="1" applyFont="1" applyFill="1" applyAlignment="1"/>
    <xf numFmtId="176" fontId="8" fillId="4" borderId="0" xfId="0" applyNumberFormat="1" applyFont="1" applyFill="1" applyAlignment="1"/>
    <xf numFmtId="0" fontId="6" fillId="0" borderId="0" xfId="0" applyFont="1" applyAlignment="1">
      <alignment horizontal="left" vertical="center"/>
    </xf>
    <xf numFmtId="49" fontId="6" fillId="0" borderId="0" xfId="3" applyNumberFormat="1" applyFont="1">
      <alignment vertical="center"/>
    </xf>
    <xf numFmtId="0" fontId="10" fillId="0" borderId="0" xfId="0" applyFont="1" applyAlignment="1"/>
    <xf numFmtId="176" fontId="10" fillId="0" borderId="0" xfId="0" applyNumberFormat="1" applyFo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176" fontId="8" fillId="0" borderId="0" xfId="0" applyNumberFormat="1" applyFont="1">
      <alignment vertical="center"/>
    </xf>
    <xf numFmtId="0" fontId="1" fillId="4" borderId="0" xfId="0" applyFont="1" applyFill="1" applyAlignment="1">
      <alignment horizontal="right"/>
    </xf>
    <xf numFmtId="0" fontId="2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20" fillId="0" borderId="0" xfId="0" applyFont="1">
      <alignment vertical="center"/>
    </xf>
    <xf numFmtId="0" fontId="22" fillId="0" borderId="0" xfId="3" applyFont="1">
      <alignment vertical="center"/>
    </xf>
    <xf numFmtId="49" fontId="22" fillId="0" borderId="0" xfId="3" applyNumberFormat="1" applyFont="1">
      <alignment vertical="center"/>
    </xf>
    <xf numFmtId="49" fontId="22" fillId="0" borderId="0" xfId="2" applyNumberFormat="1" applyFont="1" applyAlignment="1">
      <alignment horizontal="right"/>
    </xf>
    <xf numFmtId="0" fontId="18" fillId="0" borderId="0" xfId="0" applyFont="1">
      <alignment vertical="center"/>
    </xf>
    <xf numFmtId="0" fontId="23" fillId="0" borderId="0" xfId="3" applyFont="1">
      <alignment vertical="center"/>
    </xf>
    <xf numFmtId="49" fontId="23" fillId="0" borderId="0" xfId="3" applyNumberFormat="1" applyFont="1">
      <alignment vertical="center"/>
    </xf>
    <xf numFmtId="49" fontId="23" fillId="0" borderId="0" xfId="2" applyNumberFormat="1" applyFont="1" applyAlignment="1">
      <alignment horizontal="right"/>
    </xf>
    <xf numFmtId="49" fontId="24" fillId="0" borderId="0" xfId="2" applyNumberFormat="1" applyFont="1" applyAlignment="1">
      <alignment horizontal="right"/>
    </xf>
    <xf numFmtId="49" fontId="25" fillId="0" borderId="0" xfId="3" applyNumberFormat="1" applyFont="1">
      <alignment vertical="center"/>
    </xf>
    <xf numFmtId="0" fontId="25" fillId="0" borderId="0" xfId="0" applyFont="1">
      <alignment vertical="center"/>
    </xf>
    <xf numFmtId="49" fontId="25" fillId="0" borderId="0" xfId="2" applyNumberFormat="1" applyFont="1" applyAlignment="1">
      <alignment horizontal="right"/>
    </xf>
    <xf numFmtId="0" fontId="24" fillId="0" borderId="0" xfId="3" applyFont="1">
      <alignment vertical="center"/>
    </xf>
    <xf numFmtId="49" fontId="24" fillId="0" borderId="0" xfId="3" applyNumberFormat="1" applyFont="1">
      <alignment vertical="center"/>
    </xf>
    <xf numFmtId="0" fontId="24" fillId="0" borderId="0" xfId="0" applyFont="1">
      <alignment vertical="center"/>
    </xf>
    <xf numFmtId="0" fontId="18" fillId="0" borderId="0" xfId="0" applyFont="1" applyAlignment="1"/>
    <xf numFmtId="176" fontId="18" fillId="0" borderId="0" xfId="0" applyNumberFormat="1" applyFont="1">
      <alignment vertical="center"/>
    </xf>
  </cellXfs>
  <cellStyles count="4">
    <cellStyle name="常规" xfId="0" builtinId="0"/>
    <cellStyle name="常规 2" xfId="1" xr:uid="{00000000-0005-0000-0000-000001000000}"/>
    <cellStyle name="常规 3" xfId="2" xr:uid="{00000000-0005-0000-0000-000002000000}"/>
    <cellStyle name="常规 4" xfId="3" xr:uid="{00000000-0005-0000-0000-000003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280"/>
  <sheetViews>
    <sheetView tabSelected="1" topLeftCell="A10" workbookViewId="0">
      <pane ySplit="5" topLeftCell="A15" activePane="bottomLeft" state="frozen"/>
      <selection pane="bottomLeft" activeCell="A205" sqref="A205"/>
    </sheetView>
  </sheetViews>
  <sheetFormatPr defaultColWidth="11" defaultRowHeight="13.8" x14ac:dyDescent="0.3"/>
  <cols>
    <col min="1" max="1" width="26.90625" style="51" customWidth="1"/>
    <col min="2" max="2" width="12.36328125" style="51" customWidth="1"/>
    <col min="3" max="3" width="15" style="51" customWidth="1"/>
    <col min="4" max="4" width="13.7265625" style="51" bestFit="1" customWidth="1"/>
    <col min="5" max="5" width="11.7265625" style="51" customWidth="1"/>
    <col min="6" max="6" width="11.453125" style="51" customWidth="1"/>
    <col min="7" max="7" width="15.26953125" style="51" customWidth="1"/>
    <col min="8" max="8" width="26.7265625" style="51" bestFit="1" customWidth="1"/>
    <col min="9" max="9" width="10.90625" style="51" customWidth="1"/>
    <col min="10" max="10" width="26.7265625" style="51" bestFit="1" customWidth="1"/>
    <col min="11" max="11" width="11" style="51" bestFit="1" customWidth="1"/>
    <col min="12" max="12" width="13.7265625" style="51" bestFit="1" customWidth="1"/>
    <col min="13" max="13" width="11.81640625" style="51" bestFit="1" customWidth="1"/>
    <col min="14" max="14" width="11" style="51" customWidth="1"/>
    <col min="15" max="15" width="11" style="51"/>
    <col min="16" max="17" width="16.36328125" style="52" customWidth="1"/>
    <col min="18" max="18" width="14.453125" style="51" customWidth="1"/>
    <col min="19" max="19" width="16.36328125" style="52" customWidth="1"/>
    <col min="20" max="20" width="23.6328125" style="52" customWidth="1"/>
    <col min="21" max="21" width="18.36328125" style="51" customWidth="1"/>
    <col min="22" max="22" width="22.453125" style="51" customWidth="1"/>
    <col min="23" max="23" width="18.26953125" style="51" customWidth="1"/>
    <col min="24" max="16384" width="11" style="51"/>
  </cols>
  <sheetData>
    <row r="1" spans="1:23" x14ac:dyDescent="0.25">
      <c r="A1" s="53" t="s">
        <v>0</v>
      </c>
      <c r="B1" s="54" t="s">
        <v>1</v>
      </c>
      <c r="C1" s="54" t="s">
        <v>2</v>
      </c>
      <c r="D1" s="54"/>
    </row>
    <row r="2" spans="1:23" x14ac:dyDescent="0.25">
      <c r="A2" s="53" t="s">
        <v>3</v>
      </c>
      <c r="B2" s="54" t="s">
        <v>4</v>
      </c>
      <c r="C2" s="54" t="s">
        <v>5</v>
      </c>
      <c r="D2" s="54"/>
    </row>
    <row r="3" spans="1:23" x14ac:dyDescent="0.25">
      <c r="A3" s="53" t="s">
        <v>6</v>
      </c>
      <c r="B3" s="55" t="s">
        <v>7</v>
      </c>
      <c r="C3" s="54" t="s">
        <v>8</v>
      </c>
      <c r="D3" s="54"/>
    </row>
    <row r="4" spans="1:23" x14ac:dyDescent="0.25">
      <c r="A4" s="53" t="s">
        <v>9</v>
      </c>
      <c r="B4" s="56" t="s">
        <v>10</v>
      </c>
      <c r="C4" s="54"/>
      <c r="D4" s="54"/>
    </row>
    <row r="5" spans="1:23" x14ac:dyDescent="0.25">
      <c r="A5" s="53" t="s">
        <v>11</v>
      </c>
      <c r="B5" s="54"/>
      <c r="C5" s="54" t="s">
        <v>12</v>
      </c>
      <c r="D5" s="54"/>
      <c r="E5" s="54"/>
      <c r="F5" s="54"/>
      <c r="G5" s="54"/>
    </row>
    <row r="6" spans="1:23" x14ac:dyDescent="0.25">
      <c r="A6" s="53" t="s">
        <v>13</v>
      </c>
      <c r="B6" s="54">
        <v>4</v>
      </c>
      <c r="C6" s="54" t="s">
        <v>14</v>
      </c>
      <c r="D6" s="54"/>
      <c r="E6" s="54"/>
      <c r="F6" s="54"/>
      <c r="G6" s="54"/>
    </row>
    <row r="7" spans="1:23" x14ac:dyDescent="0.25">
      <c r="A7" s="53" t="s">
        <v>15</v>
      </c>
      <c r="B7" s="54"/>
      <c r="C7" s="54"/>
      <c r="D7" s="54"/>
      <c r="E7" s="54"/>
      <c r="F7" s="54"/>
      <c r="G7" s="54"/>
    </row>
    <row r="8" spans="1:23" x14ac:dyDescent="0.25">
      <c r="A8" s="53" t="s">
        <v>16</v>
      </c>
      <c r="B8" s="54"/>
      <c r="C8" s="54"/>
      <c r="D8" s="54"/>
      <c r="E8" s="54"/>
      <c r="F8" s="54"/>
      <c r="G8" s="54"/>
    </row>
    <row r="9" spans="1:23" x14ac:dyDescent="0.25">
      <c r="A9" s="54"/>
      <c r="B9" s="54"/>
      <c r="C9" s="54"/>
      <c r="D9" s="54"/>
      <c r="E9" s="54"/>
      <c r="F9" s="54"/>
      <c r="G9" s="54"/>
    </row>
    <row r="10" spans="1:23" x14ac:dyDescent="0.25">
      <c r="A10" s="54"/>
      <c r="B10" s="54"/>
      <c r="C10" s="54"/>
      <c r="D10" s="54"/>
      <c r="E10" s="54"/>
      <c r="F10" s="54"/>
      <c r="G10" s="54"/>
    </row>
    <row r="11" spans="1:23" x14ac:dyDescent="0.25">
      <c r="A11" s="54" t="s">
        <v>17</v>
      </c>
      <c r="B11" s="54" t="s">
        <v>18</v>
      </c>
      <c r="C11" s="54" t="s">
        <v>19</v>
      </c>
      <c r="D11" s="57" t="s">
        <v>20</v>
      </c>
      <c r="E11" s="57" t="s">
        <v>21</v>
      </c>
      <c r="F11" s="54" t="s">
        <v>22</v>
      </c>
      <c r="G11" s="54" t="s">
        <v>23</v>
      </c>
      <c r="H11" s="54" t="s">
        <v>24</v>
      </c>
      <c r="I11" s="54" t="s">
        <v>25</v>
      </c>
      <c r="J11" s="54" t="s">
        <v>26</v>
      </c>
      <c r="K11" s="54" t="s">
        <v>27</v>
      </c>
      <c r="L11" s="54" t="s">
        <v>28</v>
      </c>
      <c r="M11" s="54" t="s">
        <v>29</v>
      </c>
      <c r="N11" s="54" t="s">
        <v>30</v>
      </c>
      <c r="O11" s="54" t="s">
        <v>31</v>
      </c>
      <c r="P11" s="61" t="s">
        <v>32</v>
      </c>
      <c r="Q11" s="61" t="s">
        <v>33</v>
      </c>
      <c r="R11" s="54" t="s">
        <v>34</v>
      </c>
      <c r="S11" s="61" t="s">
        <v>35</v>
      </c>
      <c r="T11" s="61" t="s">
        <v>36</v>
      </c>
      <c r="U11" s="54" t="s">
        <v>37</v>
      </c>
      <c r="V11" s="51" t="s">
        <v>38</v>
      </c>
    </row>
    <row r="12" spans="1:23" x14ac:dyDescent="0.25">
      <c r="A12" s="56" t="s">
        <v>39</v>
      </c>
      <c r="B12" s="56" t="s">
        <v>40</v>
      </c>
      <c r="C12" s="55" t="s">
        <v>41</v>
      </c>
      <c r="D12" s="58" t="s">
        <v>42</v>
      </c>
      <c r="E12" s="59" t="s">
        <v>43</v>
      </c>
      <c r="F12" s="56" t="s">
        <v>44</v>
      </c>
      <c r="G12" s="56" t="s">
        <v>45</v>
      </c>
      <c r="H12" s="56" t="s">
        <v>46</v>
      </c>
      <c r="I12" s="56" t="s">
        <v>47</v>
      </c>
      <c r="J12" s="56" t="s">
        <v>48</v>
      </c>
      <c r="K12" s="56" t="s">
        <v>49</v>
      </c>
      <c r="L12" s="56" t="s">
        <v>50</v>
      </c>
      <c r="M12" s="56" t="s">
        <v>51</v>
      </c>
      <c r="N12" s="56" t="s">
        <v>52</v>
      </c>
      <c r="O12" s="56" t="s">
        <v>53</v>
      </c>
      <c r="P12" s="62" t="s">
        <v>54</v>
      </c>
      <c r="Q12" s="62" t="s">
        <v>55</v>
      </c>
      <c r="R12" s="56" t="s">
        <v>56</v>
      </c>
      <c r="S12" s="62" t="s">
        <v>57</v>
      </c>
      <c r="T12" s="62" t="s">
        <v>58</v>
      </c>
      <c r="U12" s="56" t="s">
        <v>59</v>
      </c>
      <c r="V12" s="56" t="s">
        <v>60</v>
      </c>
      <c r="W12" s="56"/>
    </row>
    <row r="13" spans="1:23" x14ac:dyDescent="0.25">
      <c r="A13" s="56" t="s">
        <v>61</v>
      </c>
      <c r="B13" s="56" t="s">
        <v>61</v>
      </c>
      <c r="C13" s="55" t="s">
        <v>62</v>
      </c>
      <c r="D13" s="58" t="s">
        <v>61</v>
      </c>
      <c r="E13" s="59" t="s">
        <v>62</v>
      </c>
      <c r="F13" s="56" t="s">
        <v>61</v>
      </c>
      <c r="G13" s="56" t="s">
        <v>61</v>
      </c>
      <c r="H13" s="56" t="s">
        <v>62</v>
      </c>
      <c r="I13" s="56" t="s">
        <v>61</v>
      </c>
      <c r="J13" s="56" t="s">
        <v>62</v>
      </c>
      <c r="K13" s="56" t="s">
        <v>62</v>
      </c>
      <c r="L13" s="56" t="s">
        <v>61</v>
      </c>
      <c r="M13" s="56" t="s">
        <v>61</v>
      </c>
      <c r="N13" s="56" t="s">
        <v>61</v>
      </c>
      <c r="O13" s="56" t="s">
        <v>61</v>
      </c>
      <c r="P13" s="62" t="s">
        <v>62</v>
      </c>
      <c r="Q13" s="62" t="s">
        <v>62</v>
      </c>
      <c r="R13" s="56" t="s">
        <v>61</v>
      </c>
      <c r="S13" s="62" t="s">
        <v>62</v>
      </c>
      <c r="T13" s="62" t="s">
        <v>62</v>
      </c>
      <c r="U13" s="56" t="s">
        <v>61</v>
      </c>
      <c r="V13" s="56" t="s">
        <v>61</v>
      </c>
      <c r="W13" s="56"/>
    </row>
    <row r="14" spans="1:23" x14ac:dyDescent="0.25">
      <c r="A14" s="56" t="s">
        <v>63</v>
      </c>
      <c r="B14" s="56" t="s">
        <v>64</v>
      </c>
      <c r="C14" s="55"/>
      <c r="D14" s="58" t="s">
        <v>64</v>
      </c>
      <c r="E14" s="59" t="s">
        <v>65</v>
      </c>
      <c r="F14" s="56" t="s">
        <v>64</v>
      </c>
      <c r="G14" s="56" t="s">
        <v>64</v>
      </c>
      <c r="H14" s="56" t="s">
        <v>64</v>
      </c>
      <c r="I14" s="56" t="s">
        <v>64</v>
      </c>
      <c r="J14" s="56" t="s">
        <v>64</v>
      </c>
      <c r="K14" s="56" t="s">
        <v>64</v>
      </c>
      <c r="L14" s="56" t="s">
        <v>64</v>
      </c>
      <c r="M14" s="56" t="s">
        <v>64</v>
      </c>
      <c r="N14" s="56" t="s">
        <v>64</v>
      </c>
      <c r="O14" s="56" t="s">
        <v>64</v>
      </c>
      <c r="P14" s="62" t="s">
        <v>64</v>
      </c>
      <c r="Q14" s="62" t="s">
        <v>64</v>
      </c>
      <c r="R14" s="56" t="s">
        <v>64</v>
      </c>
      <c r="S14" s="62" t="s">
        <v>64</v>
      </c>
      <c r="T14" s="62" t="s">
        <v>64</v>
      </c>
      <c r="U14" s="56" t="s">
        <v>64</v>
      </c>
      <c r="V14" s="56" t="s">
        <v>64</v>
      </c>
      <c r="W14" s="56"/>
    </row>
    <row r="15" spans="1:23" s="47" customFormat="1" x14ac:dyDescent="0.25">
      <c r="A15" s="58"/>
      <c r="B15" s="58">
        <v>0</v>
      </c>
      <c r="C15" s="59">
        <v>0</v>
      </c>
      <c r="D15" s="58">
        <v>0</v>
      </c>
      <c r="E15" s="59">
        <v>0</v>
      </c>
      <c r="F15" s="58">
        <v>0</v>
      </c>
      <c r="G15" s="58">
        <v>0</v>
      </c>
      <c r="H15" s="58" t="s">
        <v>66</v>
      </c>
      <c r="I15" s="58">
        <v>1</v>
      </c>
      <c r="J15" s="58" t="s">
        <v>66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63">
        <v>36526</v>
      </c>
      <c r="Q15" s="63">
        <v>72686</v>
      </c>
      <c r="R15" s="58">
        <v>0</v>
      </c>
      <c r="S15" s="63">
        <v>36526</v>
      </c>
      <c r="T15" s="63">
        <v>72686</v>
      </c>
      <c r="U15" s="58">
        <v>1</v>
      </c>
      <c r="V15" s="58">
        <v>0</v>
      </c>
      <c r="W15" s="58"/>
    </row>
    <row r="16" spans="1:23" x14ac:dyDescent="0.3">
      <c r="A16" s="51">
        <v>1001</v>
      </c>
      <c r="B16" s="51">
        <v>100031</v>
      </c>
      <c r="C16" s="51" t="s">
        <v>86</v>
      </c>
      <c r="D16" s="51">
        <v>1000312</v>
      </c>
      <c r="F16" s="51">
        <v>1</v>
      </c>
      <c r="H16" s="51" t="s">
        <v>729</v>
      </c>
      <c r="I16" s="51">
        <v>1</v>
      </c>
      <c r="J16" s="51" t="s">
        <v>729</v>
      </c>
      <c r="K16" s="51">
        <v>0</v>
      </c>
      <c r="L16" s="51">
        <v>0</v>
      </c>
      <c r="M16" s="51">
        <v>2</v>
      </c>
      <c r="N16" s="51">
        <v>0</v>
      </c>
      <c r="O16" s="51">
        <v>38</v>
      </c>
      <c r="P16" s="52">
        <v>45121</v>
      </c>
      <c r="Q16" s="52">
        <v>72687.999988425901</v>
      </c>
      <c r="R16" s="51">
        <v>0</v>
      </c>
      <c r="S16" s="52">
        <v>45121</v>
      </c>
      <c r="T16" s="52">
        <v>72687.999988425901</v>
      </c>
      <c r="U16" s="51">
        <v>1</v>
      </c>
      <c r="V16" s="51">
        <v>0</v>
      </c>
    </row>
    <row r="17" spans="1:22" x14ac:dyDescent="0.3">
      <c r="A17" s="51">
        <v>1002</v>
      </c>
      <c r="B17" s="51">
        <v>100151</v>
      </c>
      <c r="C17" s="51" t="s">
        <v>87</v>
      </c>
      <c r="D17" s="51">
        <v>1001512</v>
      </c>
      <c r="F17" s="51">
        <v>1</v>
      </c>
      <c r="H17" s="51" t="s">
        <v>729</v>
      </c>
      <c r="I17" s="51">
        <v>1</v>
      </c>
      <c r="J17" s="51" t="s">
        <v>729</v>
      </c>
      <c r="K17" s="51">
        <v>0</v>
      </c>
      <c r="L17" s="51">
        <v>0</v>
      </c>
      <c r="M17" s="51">
        <v>2</v>
      </c>
      <c r="N17" s="51">
        <v>0</v>
      </c>
      <c r="O17" s="51">
        <v>37</v>
      </c>
      <c r="P17" s="52">
        <v>45121</v>
      </c>
      <c r="Q17" s="52">
        <v>72687.999988425901</v>
      </c>
      <c r="R17" s="51">
        <v>0</v>
      </c>
      <c r="S17" s="52">
        <v>45121</v>
      </c>
      <c r="T17" s="52">
        <v>72687.999988425901</v>
      </c>
      <c r="U17" s="51">
        <v>1</v>
      </c>
      <c r="V17" s="51">
        <v>0</v>
      </c>
    </row>
    <row r="18" spans="1:22" x14ac:dyDescent="0.3">
      <c r="A18" s="51">
        <v>1003</v>
      </c>
      <c r="B18" s="51">
        <v>100171</v>
      </c>
      <c r="C18" s="51" t="s">
        <v>85</v>
      </c>
      <c r="D18" s="51">
        <v>1001712</v>
      </c>
      <c r="F18" s="51">
        <v>1</v>
      </c>
      <c r="H18" s="51" t="s">
        <v>728</v>
      </c>
      <c r="I18" s="51">
        <v>1</v>
      </c>
      <c r="J18" s="51" t="s">
        <v>728</v>
      </c>
      <c r="K18" s="51">
        <v>0</v>
      </c>
      <c r="L18" s="51">
        <v>0</v>
      </c>
      <c r="M18" s="51">
        <v>2</v>
      </c>
      <c r="N18" s="51">
        <v>0</v>
      </c>
      <c r="O18" s="51">
        <v>36</v>
      </c>
      <c r="P18" s="52">
        <v>45121</v>
      </c>
      <c r="Q18" s="52">
        <v>72687.999988425901</v>
      </c>
      <c r="R18" s="51">
        <v>0</v>
      </c>
      <c r="S18" s="52">
        <v>45121</v>
      </c>
      <c r="T18" s="52">
        <v>72687.999988425901</v>
      </c>
      <c r="U18" s="51">
        <v>1</v>
      </c>
      <c r="V18" s="51">
        <v>0</v>
      </c>
    </row>
    <row r="19" spans="1:22" x14ac:dyDescent="0.3">
      <c r="A19" s="51">
        <v>1004</v>
      </c>
      <c r="B19" s="51">
        <v>100262</v>
      </c>
      <c r="C19" s="51" t="s">
        <v>231</v>
      </c>
      <c r="D19" s="51">
        <v>1002622</v>
      </c>
      <c r="F19" s="51">
        <v>1</v>
      </c>
      <c r="H19" s="51" t="s">
        <v>728</v>
      </c>
      <c r="I19" s="51">
        <v>1</v>
      </c>
      <c r="J19" s="51" t="s">
        <v>728</v>
      </c>
      <c r="K19" s="51">
        <v>0</v>
      </c>
      <c r="L19" s="51">
        <v>0</v>
      </c>
      <c r="M19" s="51">
        <v>2</v>
      </c>
      <c r="N19" s="51">
        <v>0</v>
      </c>
      <c r="O19" s="51">
        <v>35</v>
      </c>
      <c r="P19" s="52">
        <v>45121</v>
      </c>
      <c r="Q19" s="52">
        <v>72687.999988425901</v>
      </c>
      <c r="R19" s="51">
        <v>0</v>
      </c>
      <c r="S19" s="52">
        <v>45121</v>
      </c>
      <c r="T19" s="52">
        <v>72687.999988425901</v>
      </c>
      <c r="U19" s="51">
        <v>1</v>
      </c>
      <c r="V19" s="51">
        <v>0</v>
      </c>
    </row>
    <row r="20" spans="1:22" x14ac:dyDescent="0.3">
      <c r="A20" s="51">
        <v>1005</v>
      </c>
      <c r="B20" s="51">
        <v>100272</v>
      </c>
      <c r="C20" s="51" t="s">
        <v>232</v>
      </c>
      <c r="D20" s="51">
        <v>1002722</v>
      </c>
      <c r="F20" s="51">
        <v>1</v>
      </c>
      <c r="H20" s="51" t="s">
        <v>728</v>
      </c>
      <c r="I20" s="51">
        <v>1</v>
      </c>
      <c r="J20" s="51" t="s">
        <v>728</v>
      </c>
      <c r="K20" s="51">
        <v>0</v>
      </c>
      <c r="L20" s="51">
        <v>0</v>
      </c>
      <c r="M20" s="51">
        <v>2</v>
      </c>
      <c r="N20" s="51">
        <v>0</v>
      </c>
      <c r="O20" s="51">
        <v>34</v>
      </c>
      <c r="P20" s="52">
        <v>45121</v>
      </c>
      <c r="Q20" s="52">
        <v>72687.999988425901</v>
      </c>
      <c r="R20" s="51">
        <v>0</v>
      </c>
      <c r="S20" s="52">
        <v>45121</v>
      </c>
      <c r="T20" s="52">
        <v>72687.999988425901</v>
      </c>
      <c r="U20" s="51">
        <v>1</v>
      </c>
      <c r="V20" s="51">
        <v>0</v>
      </c>
    </row>
    <row r="21" spans="1:22" x14ac:dyDescent="0.3">
      <c r="A21" s="51">
        <v>1006</v>
      </c>
      <c r="B21" s="51">
        <v>100282</v>
      </c>
      <c r="C21" s="51" t="s">
        <v>233</v>
      </c>
      <c r="D21" s="51">
        <v>1002822</v>
      </c>
      <c r="F21" s="51">
        <v>1</v>
      </c>
      <c r="H21" s="51" t="s">
        <v>728</v>
      </c>
      <c r="I21" s="51">
        <v>1</v>
      </c>
      <c r="J21" s="51" t="s">
        <v>728</v>
      </c>
      <c r="K21" s="51">
        <v>0</v>
      </c>
      <c r="L21" s="51">
        <v>0</v>
      </c>
      <c r="M21" s="51">
        <v>2</v>
      </c>
      <c r="N21" s="51">
        <v>0</v>
      </c>
      <c r="O21" s="51">
        <v>33</v>
      </c>
      <c r="P21" s="52">
        <v>45121</v>
      </c>
      <c r="Q21" s="52">
        <v>72687.999988425901</v>
      </c>
      <c r="R21" s="51">
        <v>0</v>
      </c>
      <c r="S21" s="52">
        <v>45121</v>
      </c>
      <c r="T21" s="52">
        <v>72687.999988425901</v>
      </c>
      <c r="U21" s="51">
        <v>1</v>
      </c>
      <c r="V21" s="51">
        <v>0</v>
      </c>
    </row>
    <row r="22" spans="1:22" x14ac:dyDescent="0.3">
      <c r="A22" s="51">
        <v>1007</v>
      </c>
      <c r="B22" s="51">
        <v>100292</v>
      </c>
      <c r="C22" s="51" t="s">
        <v>234</v>
      </c>
      <c r="D22" s="51">
        <v>1002922</v>
      </c>
      <c r="F22" s="51">
        <v>1</v>
      </c>
      <c r="H22" s="51" t="s">
        <v>728</v>
      </c>
      <c r="I22" s="51">
        <v>1</v>
      </c>
      <c r="J22" s="51" t="s">
        <v>728</v>
      </c>
      <c r="K22" s="51">
        <v>0</v>
      </c>
      <c r="L22" s="51">
        <v>0</v>
      </c>
      <c r="M22" s="51">
        <v>2</v>
      </c>
      <c r="N22" s="51">
        <v>0</v>
      </c>
      <c r="O22" s="51">
        <v>32</v>
      </c>
      <c r="P22" s="52">
        <v>45121</v>
      </c>
      <c r="Q22" s="52">
        <v>72687.999988425901</v>
      </c>
      <c r="R22" s="51">
        <v>0</v>
      </c>
      <c r="S22" s="52">
        <v>45121</v>
      </c>
      <c r="T22" s="52">
        <v>72687.999988425901</v>
      </c>
      <c r="U22" s="51">
        <v>1</v>
      </c>
      <c r="V22" s="51">
        <v>0</v>
      </c>
    </row>
    <row r="23" spans="1:22" x14ac:dyDescent="0.3">
      <c r="A23" s="51">
        <v>1008</v>
      </c>
      <c r="B23" s="51">
        <v>100011</v>
      </c>
      <c r="C23" s="51" t="s">
        <v>81</v>
      </c>
      <c r="D23" s="51">
        <v>1000112</v>
      </c>
      <c r="F23" s="51">
        <v>1</v>
      </c>
      <c r="H23" s="51" t="s">
        <v>235</v>
      </c>
      <c r="I23" s="51">
        <v>1</v>
      </c>
      <c r="J23" s="51" t="s">
        <v>235</v>
      </c>
      <c r="K23" s="51">
        <v>0</v>
      </c>
      <c r="L23" s="51">
        <v>0</v>
      </c>
      <c r="M23" s="51">
        <v>2</v>
      </c>
      <c r="N23" s="51">
        <v>0</v>
      </c>
      <c r="O23" s="51">
        <v>31</v>
      </c>
      <c r="P23" s="52">
        <v>45121</v>
      </c>
      <c r="Q23" s="52">
        <v>72687.999988425901</v>
      </c>
      <c r="R23" s="51">
        <v>0</v>
      </c>
      <c r="S23" s="52">
        <v>45121</v>
      </c>
      <c r="T23" s="52">
        <v>72687.999988425901</v>
      </c>
      <c r="U23" s="51">
        <v>1</v>
      </c>
      <c r="V23" s="51">
        <v>0</v>
      </c>
    </row>
    <row r="24" spans="1:22" x14ac:dyDescent="0.3">
      <c r="A24" s="51">
        <v>1009</v>
      </c>
      <c r="B24" s="51">
        <v>100041</v>
      </c>
      <c r="C24" s="51" t="s">
        <v>83</v>
      </c>
      <c r="D24" s="51">
        <v>1000412</v>
      </c>
      <c r="F24" s="51">
        <v>1</v>
      </c>
      <c r="H24" s="51" t="s">
        <v>235</v>
      </c>
      <c r="I24" s="51">
        <v>1</v>
      </c>
      <c r="J24" s="51" t="s">
        <v>235</v>
      </c>
      <c r="K24" s="51">
        <v>0</v>
      </c>
      <c r="L24" s="51">
        <v>0</v>
      </c>
      <c r="M24" s="51">
        <v>2</v>
      </c>
      <c r="N24" s="51">
        <v>0</v>
      </c>
      <c r="O24" s="51">
        <v>30</v>
      </c>
      <c r="P24" s="52">
        <v>45121</v>
      </c>
      <c r="Q24" s="52">
        <v>72687.999988425901</v>
      </c>
      <c r="R24" s="51">
        <v>0</v>
      </c>
      <c r="S24" s="52">
        <v>45121</v>
      </c>
      <c r="T24" s="52">
        <v>72687.999988425901</v>
      </c>
      <c r="U24" s="51">
        <v>1</v>
      </c>
      <c r="V24" s="51">
        <v>0</v>
      </c>
    </row>
    <row r="25" spans="1:22" x14ac:dyDescent="0.3">
      <c r="A25" s="51">
        <v>1010</v>
      </c>
      <c r="B25" s="51">
        <v>100621</v>
      </c>
      <c r="C25" s="51" t="s">
        <v>236</v>
      </c>
      <c r="D25" s="51">
        <v>1006212</v>
      </c>
      <c r="F25" s="51">
        <v>1</v>
      </c>
      <c r="H25" s="51" t="s">
        <v>235</v>
      </c>
      <c r="I25" s="51">
        <v>1</v>
      </c>
      <c r="J25" s="51" t="s">
        <v>235</v>
      </c>
      <c r="K25" s="51">
        <v>0</v>
      </c>
      <c r="L25" s="51">
        <v>0</v>
      </c>
      <c r="M25" s="51">
        <v>2</v>
      </c>
      <c r="N25" s="51">
        <v>0</v>
      </c>
      <c r="O25" s="51">
        <v>29</v>
      </c>
      <c r="P25" s="52">
        <v>45121</v>
      </c>
      <c r="Q25" s="52">
        <v>72687.999988425901</v>
      </c>
      <c r="R25" s="51">
        <v>0</v>
      </c>
      <c r="S25" s="52">
        <v>45121</v>
      </c>
      <c r="T25" s="52">
        <v>72687.999988425901</v>
      </c>
      <c r="U25" s="51">
        <v>1</v>
      </c>
      <c r="V25" s="51">
        <v>0</v>
      </c>
    </row>
    <row r="26" spans="1:22" x14ac:dyDescent="0.3">
      <c r="A26" s="51">
        <v>1011</v>
      </c>
      <c r="B26" s="51">
        <v>100661</v>
      </c>
      <c r="C26" s="51" t="s">
        <v>237</v>
      </c>
      <c r="D26" s="51">
        <v>1006612</v>
      </c>
      <c r="F26" s="51">
        <v>1</v>
      </c>
      <c r="H26" s="51" t="s">
        <v>235</v>
      </c>
      <c r="I26" s="51">
        <v>1</v>
      </c>
      <c r="J26" s="51" t="s">
        <v>235</v>
      </c>
      <c r="K26" s="51">
        <v>0</v>
      </c>
      <c r="L26" s="51">
        <v>0</v>
      </c>
      <c r="M26" s="51">
        <v>2</v>
      </c>
      <c r="N26" s="51">
        <v>0</v>
      </c>
      <c r="O26" s="51">
        <v>28</v>
      </c>
      <c r="P26" s="52">
        <v>45121</v>
      </c>
      <c r="Q26" s="52">
        <v>72687.999988425901</v>
      </c>
      <c r="R26" s="51">
        <v>0</v>
      </c>
      <c r="S26" s="52">
        <v>45121</v>
      </c>
      <c r="T26" s="52">
        <v>72687.999988425901</v>
      </c>
      <c r="U26" s="51">
        <v>1</v>
      </c>
      <c r="V26" s="51">
        <v>0</v>
      </c>
    </row>
    <row r="27" spans="1:22" x14ac:dyDescent="0.3">
      <c r="A27" s="51">
        <v>1012</v>
      </c>
      <c r="B27" s="51">
        <v>100671</v>
      </c>
      <c r="C27" s="51" t="s">
        <v>238</v>
      </c>
      <c r="D27" s="51">
        <v>1006712</v>
      </c>
      <c r="F27" s="51">
        <v>1</v>
      </c>
      <c r="H27" s="51" t="s">
        <v>235</v>
      </c>
      <c r="I27" s="51">
        <v>1</v>
      </c>
      <c r="J27" s="51" t="s">
        <v>235</v>
      </c>
      <c r="K27" s="51">
        <v>0</v>
      </c>
      <c r="L27" s="51">
        <v>0</v>
      </c>
      <c r="M27" s="51">
        <v>2</v>
      </c>
      <c r="N27" s="51">
        <v>0</v>
      </c>
      <c r="O27" s="51">
        <v>27</v>
      </c>
      <c r="P27" s="52">
        <v>45121</v>
      </c>
      <c r="Q27" s="52">
        <v>72687.999988425901</v>
      </c>
      <c r="R27" s="51">
        <v>0</v>
      </c>
      <c r="S27" s="52">
        <v>45121</v>
      </c>
      <c r="T27" s="52">
        <v>72687.999988425901</v>
      </c>
      <c r="U27" s="51">
        <v>1</v>
      </c>
      <c r="V27" s="51">
        <v>0</v>
      </c>
    </row>
    <row r="28" spans="1:22" x14ac:dyDescent="0.3">
      <c r="A28" s="51">
        <v>1013</v>
      </c>
      <c r="B28" s="51">
        <v>100711</v>
      </c>
      <c r="C28" s="51" t="s">
        <v>239</v>
      </c>
      <c r="D28" s="51">
        <v>1007112</v>
      </c>
      <c r="F28" s="51">
        <v>1</v>
      </c>
      <c r="H28" s="51" t="s">
        <v>235</v>
      </c>
      <c r="I28" s="51">
        <v>1</v>
      </c>
      <c r="J28" s="51" t="s">
        <v>235</v>
      </c>
      <c r="K28" s="51">
        <v>0</v>
      </c>
      <c r="L28" s="51">
        <v>0</v>
      </c>
      <c r="M28" s="51">
        <v>2</v>
      </c>
      <c r="N28" s="51">
        <v>0</v>
      </c>
      <c r="O28" s="51">
        <v>26</v>
      </c>
      <c r="P28" s="52">
        <v>45121</v>
      </c>
      <c r="Q28" s="52">
        <v>72687.999988425901</v>
      </c>
      <c r="R28" s="51">
        <v>0</v>
      </c>
      <c r="S28" s="52">
        <v>45121</v>
      </c>
      <c r="T28" s="52">
        <v>72687.999988425901</v>
      </c>
      <c r="U28" s="51">
        <v>1</v>
      </c>
      <c r="V28" s="51">
        <v>0</v>
      </c>
    </row>
    <row r="29" spans="1:22" x14ac:dyDescent="0.3">
      <c r="A29" s="51">
        <v>1014</v>
      </c>
      <c r="B29" s="51">
        <v>100731</v>
      </c>
      <c r="C29" s="51" t="s">
        <v>240</v>
      </c>
      <c r="D29" s="51">
        <v>1007312</v>
      </c>
      <c r="F29" s="51">
        <v>1</v>
      </c>
      <c r="H29" s="51" t="s">
        <v>235</v>
      </c>
      <c r="I29" s="51">
        <v>1</v>
      </c>
      <c r="J29" s="51" t="s">
        <v>235</v>
      </c>
      <c r="K29" s="51">
        <v>0</v>
      </c>
      <c r="L29" s="51">
        <v>1</v>
      </c>
      <c r="M29" s="51">
        <v>2</v>
      </c>
      <c r="N29" s="51">
        <v>0</v>
      </c>
      <c r="O29" s="51">
        <v>25</v>
      </c>
      <c r="P29" s="52">
        <v>45121</v>
      </c>
      <c r="Q29" s="52">
        <v>72687.999988425901</v>
      </c>
      <c r="R29" s="51">
        <v>0</v>
      </c>
      <c r="S29" s="52">
        <v>45121</v>
      </c>
      <c r="T29" s="52">
        <v>72687.999988425901</v>
      </c>
      <c r="U29" s="51">
        <v>1</v>
      </c>
      <c r="V29" s="51">
        <v>0</v>
      </c>
    </row>
    <row r="30" spans="1:22" x14ac:dyDescent="0.3">
      <c r="A30" s="51">
        <v>1015</v>
      </c>
      <c r="B30" s="51">
        <v>100751</v>
      </c>
      <c r="C30" s="51" t="s">
        <v>241</v>
      </c>
      <c r="D30" s="51">
        <v>1007512</v>
      </c>
      <c r="F30" s="51">
        <v>1</v>
      </c>
      <c r="H30" s="51" t="s">
        <v>235</v>
      </c>
      <c r="I30" s="51">
        <v>1</v>
      </c>
      <c r="J30" s="51" t="s">
        <v>235</v>
      </c>
      <c r="K30" s="51">
        <v>0</v>
      </c>
      <c r="L30" s="51">
        <v>1</v>
      </c>
      <c r="M30" s="51">
        <v>2</v>
      </c>
      <c r="N30" s="51">
        <v>0</v>
      </c>
      <c r="O30" s="51">
        <v>24</v>
      </c>
      <c r="P30" s="52">
        <v>45121</v>
      </c>
      <c r="Q30" s="52">
        <v>72687.999988425901</v>
      </c>
      <c r="R30" s="51">
        <v>0</v>
      </c>
      <c r="S30" s="52">
        <v>45121</v>
      </c>
      <c r="T30" s="52">
        <v>72687.999988425901</v>
      </c>
      <c r="U30" s="51">
        <v>1</v>
      </c>
      <c r="V30" s="51">
        <v>0</v>
      </c>
    </row>
    <row r="31" spans="1:22" x14ac:dyDescent="0.3">
      <c r="A31" s="51">
        <v>1016</v>
      </c>
      <c r="B31" s="51">
        <v>100071</v>
      </c>
      <c r="C31" s="51" t="s">
        <v>71</v>
      </c>
      <c r="D31" s="51">
        <v>1000712</v>
      </c>
      <c r="F31" s="51">
        <v>1</v>
      </c>
      <c r="H31" s="51" t="s">
        <v>73</v>
      </c>
      <c r="I31" s="51">
        <v>1</v>
      </c>
      <c r="J31" s="51" t="s">
        <v>73</v>
      </c>
      <c r="K31" s="51">
        <v>0</v>
      </c>
      <c r="L31" s="51">
        <v>1</v>
      </c>
      <c r="M31" s="51">
        <v>2</v>
      </c>
      <c r="N31" s="51">
        <v>0</v>
      </c>
      <c r="O31" s="51">
        <v>23</v>
      </c>
      <c r="P31" s="52">
        <v>45121</v>
      </c>
      <c r="Q31" s="52">
        <v>72687.999988425901</v>
      </c>
      <c r="R31" s="51">
        <v>0</v>
      </c>
      <c r="S31" s="52">
        <v>45121</v>
      </c>
      <c r="T31" s="52">
        <v>72687.999988425901</v>
      </c>
      <c r="U31" s="51">
        <v>1</v>
      </c>
      <c r="V31" s="51">
        <v>0</v>
      </c>
    </row>
    <row r="32" spans="1:22" x14ac:dyDescent="0.3">
      <c r="A32" s="51">
        <v>1017</v>
      </c>
      <c r="B32" s="51">
        <v>100081</v>
      </c>
      <c r="C32" s="51" t="s">
        <v>74</v>
      </c>
      <c r="D32" s="51">
        <v>1000812</v>
      </c>
      <c r="F32" s="51">
        <v>1</v>
      </c>
      <c r="H32" s="51" t="s">
        <v>73</v>
      </c>
      <c r="I32" s="51">
        <v>1</v>
      </c>
      <c r="J32" s="51" t="s">
        <v>73</v>
      </c>
      <c r="K32" s="51">
        <v>0</v>
      </c>
      <c r="L32" s="51">
        <v>1</v>
      </c>
      <c r="M32" s="51">
        <v>2</v>
      </c>
      <c r="N32" s="51">
        <v>0</v>
      </c>
      <c r="O32" s="51">
        <v>22</v>
      </c>
      <c r="P32" s="52">
        <v>45121</v>
      </c>
      <c r="Q32" s="52">
        <v>72687.999988425901</v>
      </c>
      <c r="R32" s="51">
        <v>0</v>
      </c>
      <c r="S32" s="52">
        <v>45121</v>
      </c>
      <c r="T32" s="52">
        <v>72687.999988425901</v>
      </c>
      <c r="U32" s="51">
        <v>1</v>
      </c>
      <c r="V32" s="51">
        <v>0</v>
      </c>
    </row>
    <row r="33" spans="1:22" x14ac:dyDescent="0.3">
      <c r="A33" s="51">
        <v>1018</v>
      </c>
      <c r="B33" s="51">
        <v>100051</v>
      </c>
      <c r="C33" s="51" t="s">
        <v>78</v>
      </c>
      <c r="D33" s="51">
        <v>1000512</v>
      </c>
      <c r="F33" s="51">
        <v>1</v>
      </c>
      <c r="H33" s="51" t="s">
        <v>73</v>
      </c>
      <c r="I33" s="51">
        <v>1</v>
      </c>
      <c r="J33" s="51" t="s">
        <v>73</v>
      </c>
      <c r="K33" s="51">
        <v>0</v>
      </c>
      <c r="L33" s="51">
        <v>0</v>
      </c>
      <c r="M33" s="51">
        <v>2</v>
      </c>
      <c r="N33" s="51">
        <v>0</v>
      </c>
      <c r="O33" s="51">
        <v>21</v>
      </c>
      <c r="P33" s="52">
        <v>45121</v>
      </c>
      <c r="Q33" s="52">
        <v>72687.999988425901</v>
      </c>
      <c r="R33" s="51">
        <v>0</v>
      </c>
      <c r="S33" s="52">
        <v>45121</v>
      </c>
      <c r="T33" s="52">
        <v>72687.999988425901</v>
      </c>
      <c r="U33" s="51">
        <v>1</v>
      </c>
      <c r="V33" s="51">
        <v>0</v>
      </c>
    </row>
    <row r="34" spans="1:22" x14ac:dyDescent="0.3">
      <c r="A34" s="51">
        <v>1019</v>
      </c>
      <c r="B34" s="51">
        <v>100091</v>
      </c>
      <c r="C34" s="51" t="s">
        <v>76</v>
      </c>
      <c r="D34" s="51">
        <v>1000912</v>
      </c>
      <c r="F34" s="51">
        <v>1</v>
      </c>
      <c r="H34" s="51" t="s">
        <v>73</v>
      </c>
      <c r="I34" s="51">
        <v>1</v>
      </c>
      <c r="J34" s="51" t="s">
        <v>73</v>
      </c>
      <c r="K34" s="51">
        <v>0</v>
      </c>
      <c r="L34" s="51">
        <v>0</v>
      </c>
      <c r="M34" s="51">
        <v>2</v>
      </c>
      <c r="N34" s="51">
        <v>0</v>
      </c>
      <c r="O34" s="51">
        <v>20</v>
      </c>
      <c r="P34" s="52">
        <v>45121</v>
      </c>
      <c r="Q34" s="52">
        <v>72687.999988425901</v>
      </c>
      <c r="R34" s="51">
        <v>0</v>
      </c>
      <c r="S34" s="52">
        <v>45121</v>
      </c>
      <c r="T34" s="52">
        <v>72687.999988425901</v>
      </c>
      <c r="U34" s="51">
        <v>1</v>
      </c>
      <c r="V34" s="51">
        <v>0</v>
      </c>
    </row>
    <row r="35" spans="1:22" x14ac:dyDescent="0.3">
      <c r="A35" s="51">
        <v>1020</v>
      </c>
      <c r="B35" s="51">
        <v>100201</v>
      </c>
      <c r="C35" s="51" t="s">
        <v>80</v>
      </c>
      <c r="D35" s="51">
        <v>1002012</v>
      </c>
      <c r="F35" s="51">
        <v>1</v>
      </c>
      <c r="H35" s="51" t="s">
        <v>73</v>
      </c>
      <c r="I35" s="51">
        <v>1</v>
      </c>
      <c r="J35" s="51" t="s">
        <v>73</v>
      </c>
      <c r="K35" s="51">
        <v>0</v>
      </c>
      <c r="L35" s="51">
        <v>0</v>
      </c>
      <c r="M35" s="51">
        <v>2</v>
      </c>
      <c r="N35" s="51">
        <v>0</v>
      </c>
      <c r="O35" s="51">
        <v>19</v>
      </c>
      <c r="P35" s="52">
        <v>45121</v>
      </c>
      <c r="Q35" s="52">
        <v>72687.999988425901</v>
      </c>
      <c r="R35" s="51">
        <v>0</v>
      </c>
      <c r="S35" s="52">
        <v>45121</v>
      </c>
      <c r="T35" s="52">
        <v>72687.999988425901</v>
      </c>
      <c r="U35" s="51">
        <v>1</v>
      </c>
      <c r="V35" s="51">
        <v>0</v>
      </c>
    </row>
    <row r="36" spans="1:22" x14ac:dyDescent="0.3">
      <c r="A36" s="51">
        <v>1021</v>
      </c>
      <c r="B36" s="51">
        <v>100111</v>
      </c>
      <c r="C36" s="51" t="s">
        <v>116</v>
      </c>
      <c r="D36" s="51">
        <v>1001112</v>
      </c>
      <c r="F36" s="51">
        <v>1</v>
      </c>
      <c r="H36" s="51" t="s">
        <v>70</v>
      </c>
      <c r="I36" s="51">
        <v>1</v>
      </c>
      <c r="J36" s="51" t="s">
        <v>70</v>
      </c>
      <c r="K36" s="51">
        <v>0</v>
      </c>
      <c r="L36" s="51">
        <v>0</v>
      </c>
      <c r="M36" s="51">
        <v>2</v>
      </c>
      <c r="N36" s="51">
        <v>0</v>
      </c>
      <c r="O36" s="51">
        <v>18</v>
      </c>
      <c r="P36" s="52">
        <v>45121</v>
      </c>
      <c r="Q36" s="52">
        <v>72687.999988425901</v>
      </c>
      <c r="R36" s="51">
        <v>0</v>
      </c>
      <c r="S36" s="52">
        <v>45121</v>
      </c>
      <c r="T36" s="52">
        <v>72687.999988425901</v>
      </c>
      <c r="U36" s="51">
        <v>1</v>
      </c>
      <c r="V36" s="51">
        <v>0</v>
      </c>
    </row>
    <row r="37" spans="1:22" x14ac:dyDescent="0.3">
      <c r="A37" s="51">
        <v>1022</v>
      </c>
      <c r="B37" s="51">
        <v>100181</v>
      </c>
      <c r="C37" s="51" t="s">
        <v>68</v>
      </c>
      <c r="D37" s="51">
        <v>1001812</v>
      </c>
      <c r="F37" s="51">
        <v>1</v>
      </c>
      <c r="H37" s="51" t="s">
        <v>70</v>
      </c>
      <c r="I37" s="51">
        <v>1</v>
      </c>
      <c r="J37" s="51" t="s">
        <v>70</v>
      </c>
      <c r="K37" s="51">
        <v>0</v>
      </c>
      <c r="L37" s="51">
        <v>0</v>
      </c>
      <c r="M37" s="51">
        <v>2</v>
      </c>
      <c r="N37" s="51">
        <v>0</v>
      </c>
      <c r="O37" s="51">
        <v>17</v>
      </c>
      <c r="P37" s="52">
        <v>45121</v>
      </c>
      <c r="Q37" s="52">
        <v>72687.999988425901</v>
      </c>
      <c r="R37" s="51">
        <v>0</v>
      </c>
      <c r="S37" s="52">
        <v>45121</v>
      </c>
      <c r="T37" s="52">
        <v>72687.999988425901</v>
      </c>
      <c r="U37" s="51">
        <v>1</v>
      </c>
      <c r="V37" s="51">
        <v>0</v>
      </c>
    </row>
    <row r="38" spans="1:22" x14ac:dyDescent="0.3">
      <c r="A38" s="51">
        <v>1023</v>
      </c>
      <c r="B38" s="51">
        <v>100442</v>
      </c>
      <c r="C38" s="51" t="s">
        <v>242</v>
      </c>
      <c r="D38" s="51">
        <v>1004422</v>
      </c>
      <c r="F38" s="51">
        <v>1</v>
      </c>
      <c r="H38" s="51" t="s">
        <v>70</v>
      </c>
      <c r="I38" s="51">
        <v>1</v>
      </c>
      <c r="J38" s="51" t="s">
        <v>70</v>
      </c>
      <c r="K38" s="51">
        <v>0</v>
      </c>
      <c r="L38" s="51">
        <v>0</v>
      </c>
      <c r="M38" s="51">
        <v>2</v>
      </c>
      <c r="N38" s="51">
        <v>0</v>
      </c>
      <c r="O38" s="51">
        <v>16</v>
      </c>
      <c r="P38" s="52">
        <v>45121</v>
      </c>
      <c r="Q38" s="52">
        <v>72687.999988425901</v>
      </c>
      <c r="R38" s="51">
        <v>0</v>
      </c>
      <c r="S38" s="52">
        <v>45121</v>
      </c>
      <c r="T38" s="52">
        <v>72687.999988425901</v>
      </c>
      <c r="U38" s="51">
        <v>1</v>
      </c>
      <c r="V38" s="51">
        <v>0</v>
      </c>
    </row>
    <row r="39" spans="1:22" x14ac:dyDescent="0.3">
      <c r="A39" s="51">
        <v>1024</v>
      </c>
      <c r="B39" s="51">
        <v>101123</v>
      </c>
      <c r="C39" s="51" t="s">
        <v>243</v>
      </c>
      <c r="D39" s="51">
        <v>1011232</v>
      </c>
      <c r="F39" s="51">
        <v>1</v>
      </c>
      <c r="H39" s="51" t="s">
        <v>70</v>
      </c>
      <c r="I39" s="51">
        <v>1</v>
      </c>
      <c r="J39" s="51" t="s">
        <v>244</v>
      </c>
      <c r="K39" s="51">
        <v>9</v>
      </c>
      <c r="L39" s="51">
        <v>0</v>
      </c>
      <c r="M39" s="51">
        <v>2</v>
      </c>
      <c r="N39" s="51">
        <v>0</v>
      </c>
      <c r="O39" s="51">
        <v>15</v>
      </c>
      <c r="P39" s="52">
        <v>45121</v>
      </c>
      <c r="Q39" s="52">
        <v>72687.999988425901</v>
      </c>
      <c r="R39" s="51">
        <v>0</v>
      </c>
      <c r="S39" s="52">
        <v>45121</v>
      </c>
      <c r="T39" s="52">
        <v>72687.999988425901</v>
      </c>
      <c r="U39" s="51">
        <v>1</v>
      </c>
      <c r="V39" s="51">
        <v>1</v>
      </c>
    </row>
    <row r="40" spans="1:22" x14ac:dyDescent="0.3">
      <c r="A40" s="51">
        <v>1025</v>
      </c>
      <c r="B40" s="51">
        <v>100402</v>
      </c>
      <c r="C40" s="51" t="s">
        <v>199</v>
      </c>
      <c r="D40" s="51">
        <v>1004022</v>
      </c>
      <c r="F40" s="51">
        <v>1</v>
      </c>
      <c r="H40" s="51" t="s">
        <v>70</v>
      </c>
      <c r="I40" s="51">
        <v>1</v>
      </c>
      <c r="J40" s="51" t="s">
        <v>70</v>
      </c>
      <c r="K40" s="51">
        <v>0</v>
      </c>
      <c r="L40" s="51">
        <v>0</v>
      </c>
      <c r="M40" s="51">
        <v>2</v>
      </c>
      <c r="N40" s="51">
        <v>0</v>
      </c>
      <c r="O40" s="51">
        <v>14</v>
      </c>
      <c r="P40" s="52">
        <v>45121</v>
      </c>
      <c r="Q40" s="52">
        <v>72687.999988425901</v>
      </c>
      <c r="R40" s="51">
        <v>0</v>
      </c>
      <c r="S40" s="52">
        <v>45121</v>
      </c>
      <c r="T40" s="52">
        <v>72687.999988425901</v>
      </c>
      <c r="U40" s="51">
        <v>1</v>
      </c>
      <c r="V40" s="51">
        <v>0</v>
      </c>
    </row>
    <row r="41" spans="1:22" x14ac:dyDescent="0.3">
      <c r="A41" s="51">
        <v>1026</v>
      </c>
      <c r="B41" s="51">
        <v>100412</v>
      </c>
      <c r="C41" s="51" t="s">
        <v>196</v>
      </c>
      <c r="D41" s="51">
        <v>1004122</v>
      </c>
      <c r="F41" s="51">
        <v>1</v>
      </c>
      <c r="H41" s="51" t="s">
        <v>70</v>
      </c>
      <c r="I41" s="51">
        <v>1</v>
      </c>
      <c r="J41" s="51" t="s">
        <v>70</v>
      </c>
      <c r="K41" s="51">
        <v>0</v>
      </c>
      <c r="L41" s="51">
        <v>0</v>
      </c>
      <c r="M41" s="51">
        <v>2</v>
      </c>
      <c r="N41" s="51">
        <v>0</v>
      </c>
      <c r="O41" s="51">
        <v>13</v>
      </c>
      <c r="P41" s="52">
        <v>45121</v>
      </c>
      <c r="Q41" s="52">
        <v>72687.999988425901</v>
      </c>
      <c r="R41" s="51">
        <v>0</v>
      </c>
      <c r="S41" s="52">
        <v>45121</v>
      </c>
      <c r="T41" s="52">
        <v>72687.999988425901</v>
      </c>
      <c r="U41" s="51">
        <v>1</v>
      </c>
      <c r="V41" s="51">
        <v>0</v>
      </c>
    </row>
    <row r="42" spans="1:22" x14ac:dyDescent="0.3">
      <c r="A42" s="51">
        <v>1027</v>
      </c>
      <c r="B42" s="51">
        <v>100432</v>
      </c>
      <c r="C42" s="51" t="s">
        <v>245</v>
      </c>
      <c r="D42" s="51">
        <v>1004322</v>
      </c>
      <c r="F42" s="51">
        <v>1</v>
      </c>
      <c r="H42" s="51" t="s">
        <v>70</v>
      </c>
      <c r="I42" s="51">
        <v>1</v>
      </c>
      <c r="J42" s="51" t="s">
        <v>70</v>
      </c>
      <c r="K42" s="51">
        <v>0</v>
      </c>
      <c r="L42" s="51">
        <v>0</v>
      </c>
      <c r="M42" s="51">
        <v>2</v>
      </c>
      <c r="N42" s="51">
        <v>0</v>
      </c>
      <c r="O42" s="51">
        <v>12</v>
      </c>
      <c r="P42" s="52">
        <v>45121</v>
      </c>
      <c r="Q42" s="52">
        <v>72687.999988425901</v>
      </c>
      <c r="R42" s="51">
        <v>0</v>
      </c>
      <c r="S42" s="52">
        <v>45121</v>
      </c>
      <c r="T42" s="52">
        <v>72687.999988425901</v>
      </c>
      <c r="U42" s="51">
        <v>1</v>
      </c>
      <c r="V42" s="51">
        <v>0</v>
      </c>
    </row>
    <row r="43" spans="1:22" x14ac:dyDescent="0.3">
      <c r="A43" s="51">
        <v>1028</v>
      </c>
      <c r="B43" s="51">
        <v>100462</v>
      </c>
      <c r="C43" s="51" t="s">
        <v>201</v>
      </c>
      <c r="D43" s="51">
        <v>1004622</v>
      </c>
      <c r="F43" s="51">
        <v>1</v>
      </c>
      <c r="H43" s="51" t="s">
        <v>70</v>
      </c>
      <c r="I43" s="51">
        <v>1</v>
      </c>
      <c r="J43" s="51" t="s">
        <v>244</v>
      </c>
      <c r="K43" s="51">
        <v>9</v>
      </c>
      <c r="L43" s="51">
        <v>0</v>
      </c>
      <c r="M43" s="51">
        <v>2</v>
      </c>
      <c r="N43" s="51">
        <v>0</v>
      </c>
      <c r="O43" s="51">
        <v>11</v>
      </c>
      <c r="P43" s="52">
        <v>45121</v>
      </c>
      <c r="Q43" s="52">
        <v>72687.999988425901</v>
      </c>
      <c r="R43" s="51">
        <v>0</v>
      </c>
      <c r="S43" s="52">
        <v>45121</v>
      </c>
      <c r="T43" s="52">
        <v>72687.999988425901</v>
      </c>
      <c r="U43" s="51">
        <v>1</v>
      </c>
      <c r="V43" s="51">
        <v>1</v>
      </c>
    </row>
    <row r="44" spans="1:22" x14ac:dyDescent="0.3">
      <c r="A44" s="51">
        <v>1029</v>
      </c>
      <c r="B44" s="51">
        <v>100023</v>
      </c>
      <c r="C44" s="51" t="s">
        <v>198</v>
      </c>
      <c r="D44" s="51">
        <v>1000232</v>
      </c>
      <c r="F44" s="51">
        <v>1</v>
      </c>
      <c r="H44" s="51" t="s">
        <v>246</v>
      </c>
      <c r="I44" s="51">
        <v>1</v>
      </c>
      <c r="J44" s="51" t="s">
        <v>246</v>
      </c>
      <c r="K44" s="51">
        <v>0</v>
      </c>
      <c r="L44" s="51">
        <v>0</v>
      </c>
      <c r="M44" s="51">
        <v>2</v>
      </c>
      <c r="N44" s="51">
        <v>0</v>
      </c>
      <c r="O44" s="51">
        <v>10</v>
      </c>
      <c r="P44" s="52">
        <v>45121</v>
      </c>
      <c r="Q44" s="52">
        <v>72687.999988425901</v>
      </c>
      <c r="R44" s="51">
        <v>0</v>
      </c>
      <c r="S44" s="52">
        <v>45121</v>
      </c>
      <c r="T44" s="52">
        <v>72687.999988425901</v>
      </c>
      <c r="U44" s="51">
        <v>1</v>
      </c>
      <c r="V44" s="51">
        <v>0</v>
      </c>
    </row>
    <row r="45" spans="1:22" x14ac:dyDescent="0.3">
      <c r="A45" s="51">
        <v>1030</v>
      </c>
      <c r="B45" s="51">
        <v>100093</v>
      </c>
      <c r="C45" s="51" t="s">
        <v>76</v>
      </c>
      <c r="D45" s="51">
        <v>1000932</v>
      </c>
      <c r="F45" s="51">
        <v>1</v>
      </c>
      <c r="H45" s="51" t="s">
        <v>246</v>
      </c>
      <c r="I45" s="51">
        <v>1</v>
      </c>
      <c r="J45" s="51" t="s">
        <v>246</v>
      </c>
      <c r="K45" s="51">
        <v>0</v>
      </c>
      <c r="L45" s="51">
        <v>0</v>
      </c>
      <c r="M45" s="51">
        <v>2</v>
      </c>
      <c r="N45" s="51">
        <v>0</v>
      </c>
      <c r="O45" s="51">
        <v>9</v>
      </c>
      <c r="P45" s="52">
        <v>45121</v>
      </c>
      <c r="Q45" s="52">
        <v>72687.999988425901</v>
      </c>
      <c r="R45" s="51">
        <v>0</v>
      </c>
      <c r="S45" s="52">
        <v>45121</v>
      </c>
      <c r="T45" s="52">
        <v>72687.999988425901</v>
      </c>
      <c r="U45" s="51">
        <v>1</v>
      </c>
      <c r="V45" s="51">
        <v>0</v>
      </c>
    </row>
    <row r="46" spans="1:22" x14ac:dyDescent="0.3">
      <c r="A46" s="51">
        <v>1031</v>
      </c>
      <c r="B46" s="51">
        <v>100964</v>
      </c>
      <c r="C46" s="51" t="s">
        <v>247</v>
      </c>
      <c r="D46" s="51">
        <v>1009642</v>
      </c>
      <c r="F46" s="51">
        <v>1</v>
      </c>
      <c r="H46" s="51" t="s">
        <v>246</v>
      </c>
      <c r="I46" s="51">
        <v>1</v>
      </c>
      <c r="J46" s="51" t="s">
        <v>248</v>
      </c>
      <c r="K46" s="51">
        <v>9</v>
      </c>
      <c r="L46" s="51">
        <v>0</v>
      </c>
      <c r="M46" s="51">
        <v>2</v>
      </c>
      <c r="N46" s="51">
        <v>0</v>
      </c>
      <c r="O46" s="51">
        <v>7</v>
      </c>
      <c r="P46" s="52">
        <v>45121</v>
      </c>
      <c r="Q46" s="52">
        <v>72687.999988425901</v>
      </c>
      <c r="R46" s="51">
        <v>0</v>
      </c>
      <c r="S46" s="52">
        <v>45121</v>
      </c>
      <c r="T46" s="52">
        <v>72687.999988425901</v>
      </c>
      <c r="U46" s="51">
        <v>1</v>
      </c>
      <c r="V46" s="51">
        <v>1</v>
      </c>
    </row>
    <row r="47" spans="1:22" x14ac:dyDescent="0.3">
      <c r="A47" s="51">
        <v>1032</v>
      </c>
      <c r="B47" s="51">
        <v>100914</v>
      </c>
      <c r="C47" s="51" t="s">
        <v>249</v>
      </c>
      <c r="D47" s="51">
        <v>1009142</v>
      </c>
      <c r="F47" s="51">
        <v>1</v>
      </c>
      <c r="H47" s="51" t="s">
        <v>246</v>
      </c>
      <c r="I47" s="51">
        <v>1</v>
      </c>
      <c r="J47" s="51" t="s">
        <v>248</v>
      </c>
      <c r="K47" s="51">
        <v>9</v>
      </c>
      <c r="L47" s="51">
        <v>0</v>
      </c>
      <c r="M47" s="51">
        <v>2</v>
      </c>
      <c r="N47" s="51">
        <v>0</v>
      </c>
      <c r="O47" s="51">
        <v>5</v>
      </c>
      <c r="P47" s="52">
        <v>45121</v>
      </c>
      <c r="Q47" s="52">
        <v>72687.999988425901</v>
      </c>
      <c r="R47" s="51">
        <v>0</v>
      </c>
      <c r="S47" s="52">
        <v>45121</v>
      </c>
      <c r="T47" s="52">
        <v>72687.999988425901</v>
      </c>
      <c r="U47" s="51">
        <v>1</v>
      </c>
      <c r="V47" s="51">
        <v>1</v>
      </c>
    </row>
    <row r="48" spans="1:22" x14ac:dyDescent="0.3">
      <c r="A48" s="51">
        <v>1033</v>
      </c>
      <c r="B48" s="51">
        <v>100934</v>
      </c>
      <c r="C48" s="51" t="s">
        <v>250</v>
      </c>
      <c r="D48" s="51">
        <v>1009342</v>
      </c>
      <c r="F48" s="51">
        <v>1</v>
      </c>
      <c r="H48" s="51" t="s">
        <v>246</v>
      </c>
      <c r="I48" s="51">
        <v>1</v>
      </c>
      <c r="J48" s="51" t="s">
        <v>246</v>
      </c>
      <c r="K48" s="51">
        <v>0</v>
      </c>
      <c r="L48" s="51">
        <v>0</v>
      </c>
      <c r="M48" s="51">
        <v>2</v>
      </c>
      <c r="N48" s="51">
        <v>0</v>
      </c>
      <c r="O48" s="51">
        <v>4</v>
      </c>
      <c r="P48" s="52">
        <v>45121</v>
      </c>
      <c r="Q48" s="52">
        <v>72687.999988425901</v>
      </c>
      <c r="R48" s="51">
        <v>0</v>
      </c>
      <c r="S48" s="52">
        <v>45121</v>
      </c>
      <c r="T48" s="52">
        <v>72687.999988425901</v>
      </c>
      <c r="U48" s="51">
        <v>1</v>
      </c>
      <c r="V48" s="51">
        <v>0</v>
      </c>
    </row>
    <row r="49" spans="1:22" x14ac:dyDescent="0.3">
      <c r="A49" s="51">
        <v>1034</v>
      </c>
      <c r="B49" s="51">
        <v>101074</v>
      </c>
      <c r="C49" s="51" t="s">
        <v>251</v>
      </c>
      <c r="D49" s="51">
        <v>1010742</v>
      </c>
      <c r="F49" s="51">
        <v>1</v>
      </c>
      <c r="H49" s="51" t="s">
        <v>246</v>
      </c>
      <c r="I49" s="51">
        <v>1</v>
      </c>
      <c r="J49" s="51" t="s">
        <v>246</v>
      </c>
      <c r="K49" s="51">
        <v>0</v>
      </c>
      <c r="L49" s="51">
        <v>0</v>
      </c>
      <c r="M49" s="51">
        <v>2</v>
      </c>
      <c r="N49" s="51">
        <v>0</v>
      </c>
      <c r="O49" s="51">
        <v>3</v>
      </c>
      <c r="P49" s="52">
        <v>45121</v>
      </c>
      <c r="Q49" s="52">
        <v>72687.999988425901</v>
      </c>
      <c r="R49" s="51">
        <v>0</v>
      </c>
      <c r="S49" s="52">
        <v>45121</v>
      </c>
      <c r="T49" s="52">
        <v>72687.999988425901</v>
      </c>
      <c r="U49" s="51">
        <v>1</v>
      </c>
      <c r="V49" s="51">
        <v>0</v>
      </c>
    </row>
    <row r="50" spans="1:22" x14ac:dyDescent="0.3">
      <c r="A50" s="51">
        <v>2001</v>
      </c>
      <c r="B50" s="51">
        <v>200004</v>
      </c>
      <c r="C50" s="51" t="s">
        <v>91</v>
      </c>
      <c r="D50" s="51">
        <v>2000042</v>
      </c>
      <c r="E50" s="51" t="s">
        <v>254</v>
      </c>
      <c r="F50" s="51">
        <v>3</v>
      </c>
      <c r="H50" s="51" t="s">
        <v>255</v>
      </c>
      <c r="I50" s="51">
        <v>1</v>
      </c>
      <c r="J50" s="51" t="s">
        <v>255</v>
      </c>
      <c r="K50" s="51">
        <v>0</v>
      </c>
      <c r="L50" s="51">
        <v>0</v>
      </c>
      <c r="M50" s="51">
        <v>2</v>
      </c>
      <c r="N50" s="51">
        <v>0</v>
      </c>
      <c r="O50" s="51">
        <v>13</v>
      </c>
      <c r="P50" s="52">
        <v>45121</v>
      </c>
      <c r="Q50" s="52">
        <v>72687.999988425901</v>
      </c>
      <c r="R50" s="51">
        <v>0</v>
      </c>
      <c r="S50" s="52">
        <v>45121</v>
      </c>
      <c r="T50" s="52">
        <v>72687.999988425901</v>
      </c>
      <c r="U50" s="51">
        <v>1</v>
      </c>
    </row>
    <row r="51" spans="1:22" x14ac:dyDescent="0.3">
      <c r="A51" s="51">
        <v>2002</v>
      </c>
      <c r="B51" s="51">
        <v>200006</v>
      </c>
      <c r="C51" s="51" t="s">
        <v>167</v>
      </c>
      <c r="D51" s="51">
        <v>2000062</v>
      </c>
      <c r="E51" s="51" t="s">
        <v>254</v>
      </c>
      <c r="F51" s="51">
        <v>3</v>
      </c>
      <c r="H51" s="51" t="s">
        <v>255</v>
      </c>
      <c r="I51" s="51">
        <v>1</v>
      </c>
      <c r="J51" s="51" t="s">
        <v>255</v>
      </c>
      <c r="K51" s="51">
        <v>0</v>
      </c>
      <c r="L51" s="51">
        <v>0</v>
      </c>
      <c r="M51" s="51">
        <v>2</v>
      </c>
      <c r="N51" s="51">
        <v>0</v>
      </c>
      <c r="O51" s="51">
        <v>12</v>
      </c>
      <c r="P51" s="52">
        <v>45121</v>
      </c>
      <c r="Q51" s="52">
        <v>72687.999988425901</v>
      </c>
      <c r="R51" s="51">
        <v>0</v>
      </c>
      <c r="S51" s="52">
        <v>45121</v>
      </c>
      <c r="T51" s="52">
        <v>72687.999988425901</v>
      </c>
      <c r="U51" s="51">
        <v>1</v>
      </c>
    </row>
    <row r="52" spans="1:22" x14ac:dyDescent="0.3">
      <c r="A52" s="51">
        <v>2003</v>
      </c>
      <c r="B52" s="51">
        <v>200002</v>
      </c>
      <c r="C52" s="51" t="s">
        <v>256</v>
      </c>
      <c r="D52" s="51">
        <v>2000022</v>
      </c>
      <c r="E52" s="51" t="s">
        <v>257</v>
      </c>
      <c r="F52" s="51">
        <v>3</v>
      </c>
      <c r="H52" s="51" t="s">
        <v>90</v>
      </c>
      <c r="I52" s="51">
        <v>1</v>
      </c>
      <c r="J52" s="51" t="s">
        <v>90</v>
      </c>
      <c r="K52" s="51">
        <v>0</v>
      </c>
      <c r="L52" s="51">
        <v>0</v>
      </c>
      <c r="M52" s="51">
        <v>2</v>
      </c>
      <c r="N52" s="51">
        <v>0</v>
      </c>
      <c r="O52" s="51">
        <v>11</v>
      </c>
      <c r="P52" s="52">
        <v>45121</v>
      </c>
      <c r="Q52" s="52">
        <v>72687.999988425901</v>
      </c>
      <c r="R52" s="51">
        <v>0</v>
      </c>
      <c r="S52" s="52">
        <v>45121</v>
      </c>
      <c r="T52" s="52">
        <v>72687.999988425901</v>
      </c>
      <c r="U52" s="51">
        <v>1</v>
      </c>
    </row>
    <row r="53" spans="1:22" x14ac:dyDescent="0.3">
      <c r="A53" s="51">
        <v>2004</v>
      </c>
      <c r="B53" s="51">
        <v>200003</v>
      </c>
      <c r="C53" s="51" t="s">
        <v>88</v>
      </c>
      <c r="D53" s="51">
        <v>2000032</v>
      </c>
      <c r="E53" s="51" t="s">
        <v>257</v>
      </c>
      <c r="F53" s="51">
        <v>3</v>
      </c>
      <c r="H53" s="51" t="s">
        <v>90</v>
      </c>
      <c r="I53" s="51">
        <v>1</v>
      </c>
      <c r="J53" s="51" t="s">
        <v>90</v>
      </c>
      <c r="K53" s="51">
        <v>0</v>
      </c>
      <c r="L53" s="51">
        <v>0</v>
      </c>
      <c r="M53" s="51">
        <v>2</v>
      </c>
      <c r="N53" s="51">
        <v>0</v>
      </c>
      <c r="O53" s="51">
        <v>10</v>
      </c>
      <c r="P53" s="52">
        <v>45121</v>
      </c>
      <c r="Q53" s="52">
        <v>72687.999988425901</v>
      </c>
      <c r="R53" s="51">
        <v>0</v>
      </c>
      <c r="S53" s="52">
        <v>45121</v>
      </c>
      <c r="T53" s="52">
        <v>72687.999988425901</v>
      </c>
      <c r="U53" s="51">
        <v>1</v>
      </c>
    </row>
    <row r="54" spans="1:22" x14ac:dyDescent="0.3">
      <c r="A54" s="51">
        <v>2005</v>
      </c>
      <c r="B54" s="51">
        <v>200005</v>
      </c>
      <c r="C54" s="51" t="s">
        <v>93</v>
      </c>
      <c r="D54" s="51">
        <v>2000052</v>
      </c>
      <c r="E54" s="51" t="s">
        <v>257</v>
      </c>
      <c r="F54" s="51">
        <v>3</v>
      </c>
      <c r="H54" s="51" t="s">
        <v>90</v>
      </c>
      <c r="I54" s="51">
        <v>1</v>
      </c>
      <c r="J54" s="51" t="s">
        <v>90</v>
      </c>
      <c r="K54" s="51">
        <v>0</v>
      </c>
      <c r="L54" s="51">
        <v>0</v>
      </c>
      <c r="M54" s="51">
        <v>2</v>
      </c>
      <c r="N54" s="51">
        <v>0</v>
      </c>
      <c r="O54" s="51">
        <v>9</v>
      </c>
      <c r="P54" s="52">
        <v>45121</v>
      </c>
      <c r="Q54" s="52">
        <v>72687.999988425901</v>
      </c>
      <c r="R54" s="51">
        <v>0</v>
      </c>
      <c r="S54" s="52">
        <v>45121</v>
      </c>
      <c r="T54" s="52">
        <v>72687.999988425901</v>
      </c>
      <c r="U54" s="51">
        <v>1</v>
      </c>
    </row>
    <row r="55" spans="1:22" x14ac:dyDescent="0.3">
      <c r="A55" s="51">
        <v>2006</v>
      </c>
      <c r="B55" s="51">
        <v>200013</v>
      </c>
      <c r="C55" s="51" t="s">
        <v>258</v>
      </c>
      <c r="D55" s="51">
        <v>2000132</v>
      </c>
      <c r="E55" s="51" t="s">
        <v>257</v>
      </c>
      <c r="F55" s="51">
        <v>3</v>
      </c>
      <c r="H55" s="51" t="s">
        <v>259</v>
      </c>
      <c r="I55" s="51">
        <v>1</v>
      </c>
      <c r="J55" s="51" t="s">
        <v>259</v>
      </c>
      <c r="K55" s="51">
        <v>0</v>
      </c>
      <c r="L55" s="51">
        <v>0</v>
      </c>
      <c r="M55" s="51">
        <v>2</v>
      </c>
      <c r="N55" s="51">
        <v>0</v>
      </c>
      <c r="O55" s="51">
        <v>8</v>
      </c>
      <c r="P55" s="52">
        <v>45121</v>
      </c>
      <c r="Q55" s="52">
        <v>72687.999988425901</v>
      </c>
      <c r="R55" s="51">
        <v>0</v>
      </c>
      <c r="S55" s="52">
        <v>45121</v>
      </c>
      <c r="T55" s="52">
        <v>72687.999988425901</v>
      </c>
      <c r="U55" s="51">
        <v>1</v>
      </c>
    </row>
    <row r="56" spans="1:22" x14ac:dyDescent="0.3">
      <c r="A56" s="51">
        <v>2007</v>
      </c>
      <c r="B56" s="51">
        <v>200014</v>
      </c>
      <c r="C56" s="51" t="s">
        <v>260</v>
      </c>
      <c r="D56" s="51">
        <v>2000142</v>
      </c>
      <c r="E56" s="51" t="s">
        <v>257</v>
      </c>
      <c r="F56" s="51">
        <v>3</v>
      </c>
      <c r="H56" s="51" t="s">
        <v>259</v>
      </c>
      <c r="I56" s="51">
        <v>1</v>
      </c>
      <c r="J56" s="51" t="s">
        <v>259</v>
      </c>
      <c r="K56" s="51">
        <v>0</v>
      </c>
      <c r="L56" s="51">
        <v>0</v>
      </c>
      <c r="M56" s="51">
        <v>2</v>
      </c>
      <c r="N56" s="51">
        <v>0</v>
      </c>
      <c r="O56" s="51">
        <v>7</v>
      </c>
      <c r="P56" s="52">
        <v>45121</v>
      </c>
      <c r="Q56" s="52">
        <v>72687.999988425901</v>
      </c>
      <c r="R56" s="51">
        <v>0</v>
      </c>
      <c r="S56" s="52">
        <v>45121</v>
      </c>
      <c r="T56" s="52">
        <v>72687.999988425901</v>
      </c>
      <c r="U56" s="51">
        <v>1</v>
      </c>
    </row>
    <row r="57" spans="1:22" x14ac:dyDescent="0.3">
      <c r="A57" s="51">
        <v>2008</v>
      </c>
      <c r="B57" s="51">
        <v>200015</v>
      </c>
      <c r="C57" s="51" t="s">
        <v>261</v>
      </c>
      <c r="D57" s="51">
        <v>2000152</v>
      </c>
      <c r="E57" s="51" t="s">
        <v>257</v>
      </c>
      <c r="F57" s="51">
        <v>3</v>
      </c>
      <c r="H57" s="51" t="s">
        <v>259</v>
      </c>
      <c r="I57" s="51">
        <v>1</v>
      </c>
      <c r="J57" s="51" t="s">
        <v>259</v>
      </c>
      <c r="K57" s="51">
        <v>0</v>
      </c>
      <c r="L57" s="51">
        <v>0</v>
      </c>
      <c r="M57" s="51">
        <v>2</v>
      </c>
      <c r="N57" s="51">
        <v>0</v>
      </c>
      <c r="O57" s="51">
        <v>6</v>
      </c>
      <c r="P57" s="52">
        <v>45121</v>
      </c>
      <c r="Q57" s="52">
        <v>72687.999988425901</v>
      </c>
      <c r="R57" s="51">
        <v>0</v>
      </c>
      <c r="S57" s="52">
        <v>45121</v>
      </c>
      <c r="T57" s="52">
        <v>72687.999988425901</v>
      </c>
      <c r="U57" s="51">
        <v>1</v>
      </c>
    </row>
    <row r="58" spans="1:22" x14ac:dyDescent="0.3">
      <c r="A58" s="51">
        <v>2009</v>
      </c>
      <c r="B58" s="51">
        <v>200007</v>
      </c>
      <c r="C58" s="51" t="s">
        <v>168</v>
      </c>
      <c r="D58" s="51">
        <v>2000072</v>
      </c>
      <c r="E58" s="51" t="s">
        <v>257</v>
      </c>
      <c r="F58" s="51">
        <v>3</v>
      </c>
      <c r="H58" s="51" t="s">
        <v>259</v>
      </c>
      <c r="I58" s="51">
        <v>1</v>
      </c>
      <c r="J58" s="51" t="s">
        <v>259</v>
      </c>
      <c r="K58" s="51">
        <v>0</v>
      </c>
      <c r="L58" s="51">
        <v>0</v>
      </c>
      <c r="M58" s="51">
        <v>2</v>
      </c>
      <c r="N58" s="51">
        <v>0</v>
      </c>
      <c r="O58" s="51">
        <v>5</v>
      </c>
      <c r="P58" s="52">
        <v>45121</v>
      </c>
      <c r="Q58" s="52">
        <v>72687.999988425901</v>
      </c>
      <c r="R58" s="51">
        <v>0</v>
      </c>
      <c r="S58" s="52">
        <v>45121</v>
      </c>
      <c r="T58" s="52">
        <v>72687.999988425901</v>
      </c>
      <c r="U58" s="51">
        <v>1</v>
      </c>
      <c r="V58" s="51">
        <v>1</v>
      </c>
    </row>
    <row r="59" spans="1:22" x14ac:dyDescent="0.3">
      <c r="A59" s="51">
        <v>2010</v>
      </c>
      <c r="B59" s="51">
        <v>200010</v>
      </c>
      <c r="C59" s="51" t="s">
        <v>262</v>
      </c>
      <c r="D59" s="51">
        <v>2000102</v>
      </c>
      <c r="E59" s="51" t="s">
        <v>263</v>
      </c>
      <c r="F59" s="51">
        <v>3</v>
      </c>
      <c r="H59" s="51" t="s">
        <v>264</v>
      </c>
      <c r="I59" s="51">
        <v>1</v>
      </c>
      <c r="J59" s="51" t="s">
        <v>264</v>
      </c>
      <c r="K59" s="51">
        <v>0</v>
      </c>
      <c r="L59" s="51">
        <v>0</v>
      </c>
      <c r="M59" s="51">
        <v>2</v>
      </c>
      <c r="N59" s="51">
        <v>0</v>
      </c>
      <c r="O59" s="51">
        <v>4</v>
      </c>
      <c r="P59" s="52">
        <v>45121</v>
      </c>
      <c r="Q59" s="52">
        <v>72687.999988425901</v>
      </c>
      <c r="R59" s="51">
        <v>0</v>
      </c>
      <c r="S59" s="52">
        <v>45121</v>
      </c>
      <c r="T59" s="52">
        <v>72687.999988425901</v>
      </c>
      <c r="U59" s="51">
        <v>1</v>
      </c>
      <c r="V59" s="51">
        <v>1</v>
      </c>
    </row>
    <row r="60" spans="1:22" x14ac:dyDescent="0.3">
      <c r="A60" s="51">
        <v>2011</v>
      </c>
      <c r="B60" s="51">
        <v>200011</v>
      </c>
      <c r="C60" s="51" t="s">
        <v>265</v>
      </c>
      <c r="D60" s="51">
        <v>2000112</v>
      </c>
      <c r="E60" s="51" t="s">
        <v>263</v>
      </c>
      <c r="F60" s="51">
        <v>3</v>
      </c>
      <c r="H60" s="51" t="s">
        <v>264</v>
      </c>
      <c r="I60" s="51">
        <v>1</v>
      </c>
      <c r="J60" s="51" t="s">
        <v>264</v>
      </c>
      <c r="K60" s="51">
        <v>0</v>
      </c>
      <c r="L60" s="51">
        <v>0</v>
      </c>
      <c r="M60" s="51">
        <v>2</v>
      </c>
      <c r="N60" s="51">
        <v>0</v>
      </c>
      <c r="O60" s="51">
        <v>3</v>
      </c>
      <c r="P60" s="52">
        <v>45121</v>
      </c>
      <c r="Q60" s="52">
        <v>72687.999988425901</v>
      </c>
      <c r="R60" s="51">
        <v>0</v>
      </c>
      <c r="S60" s="52">
        <v>45121</v>
      </c>
      <c r="T60" s="52">
        <v>72687.999988425901</v>
      </c>
      <c r="U60" s="51">
        <v>1</v>
      </c>
      <c r="V60" s="51">
        <v>1</v>
      </c>
    </row>
    <row r="61" spans="1:22" x14ac:dyDescent="0.3">
      <c r="A61" s="51">
        <v>2012</v>
      </c>
      <c r="B61" s="51">
        <v>200012</v>
      </c>
      <c r="C61" s="51" t="s">
        <v>266</v>
      </c>
      <c r="D61" s="51">
        <v>2000122</v>
      </c>
      <c r="E61" s="51" t="s">
        <v>263</v>
      </c>
      <c r="F61" s="51">
        <v>3</v>
      </c>
      <c r="H61" s="51" t="s">
        <v>264</v>
      </c>
      <c r="I61" s="51">
        <v>1</v>
      </c>
      <c r="J61" s="51" t="s">
        <v>264</v>
      </c>
      <c r="K61" s="51">
        <v>0</v>
      </c>
      <c r="L61" s="51">
        <v>0</v>
      </c>
      <c r="M61" s="51">
        <v>2</v>
      </c>
      <c r="N61" s="51">
        <v>0</v>
      </c>
      <c r="O61" s="51">
        <v>2</v>
      </c>
      <c r="P61" s="52">
        <v>45121</v>
      </c>
      <c r="Q61" s="52">
        <v>72687.999988425901</v>
      </c>
      <c r="R61" s="51">
        <v>0</v>
      </c>
      <c r="S61" s="52">
        <v>45121</v>
      </c>
      <c r="T61" s="52">
        <v>72687.999988425901</v>
      </c>
      <c r="U61" s="51">
        <v>1</v>
      </c>
      <c r="V61" s="51">
        <v>1</v>
      </c>
    </row>
    <row r="62" spans="1:22" x14ac:dyDescent="0.3">
      <c r="A62" s="51">
        <v>2013</v>
      </c>
      <c r="B62" s="51">
        <v>200017</v>
      </c>
      <c r="C62" s="51" t="s">
        <v>267</v>
      </c>
      <c r="D62" s="51">
        <v>2000172</v>
      </c>
      <c r="E62" s="51" t="s">
        <v>263</v>
      </c>
      <c r="F62" s="51">
        <v>3</v>
      </c>
      <c r="H62" s="51" t="s">
        <v>264</v>
      </c>
      <c r="I62" s="51">
        <v>1</v>
      </c>
      <c r="J62" s="51" t="s">
        <v>264</v>
      </c>
      <c r="K62" s="51">
        <v>0</v>
      </c>
      <c r="L62" s="51">
        <v>0</v>
      </c>
      <c r="M62" s="51">
        <v>2</v>
      </c>
      <c r="N62" s="51">
        <v>0</v>
      </c>
      <c r="O62" s="51">
        <v>1</v>
      </c>
      <c r="P62" s="52">
        <v>45261</v>
      </c>
      <c r="Q62" s="52">
        <v>72687.999988425901</v>
      </c>
      <c r="R62" s="51">
        <v>0</v>
      </c>
      <c r="S62" s="52">
        <v>45261</v>
      </c>
      <c r="T62" s="52">
        <v>72687.999988425901</v>
      </c>
      <c r="U62" s="51">
        <v>1</v>
      </c>
      <c r="V62" s="51">
        <v>1</v>
      </c>
    </row>
    <row r="63" spans="1:22" x14ac:dyDescent="0.3">
      <c r="A63" s="51">
        <v>3001</v>
      </c>
      <c r="B63" s="51">
        <v>300003</v>
      </c>
      <c r="C63" s="51" t="s">
        <v>95</v>
      </c>
      <c r="D63" s="51">
        <v>200016</v>
      </c>
      <c r="E63" s="51" t="s">
        <v>96</v>
      </c>
      <c r="F63" s="51">
        <v>4</v>
      </c>
      <c r="G63" s="51">
        <v>1</v>
      </c>
      <c r="H63" s="51" t="s">
        <v>723</v>
      </c>
      <c r="I63" s="51">
        <v>1</v>
      </c>
      <c r="J63" s="51" t="s">
        <v>723</v>
      </c>
      <c r="K63" s="51">
        <v>0</v>
      </c>
      <c r="L63" s="51">
        <v>0</v>
      </c>
      <c r="M63" s="51">
        <v>2</v>
      </c>
      <c r="N63" s="51">
        <v>0</v>
      </c>
      <c r="O63" s="51">
        <v>16</v>
      </c>
      <c r="P63" s="52">
        <v>45121</v>
      </c>
      <c r="Q63" s="52">
        <v>72687.999988425901</v>
      </c>
      <c r="R63" s="51">
        <v>0</v>
      </c>
      <c r="S63" s="52">
        <v>45121</v>
      </c>
      <c r="T63" s="52">
        <v>72687.999988425901</v>
      </c>
      <c r="U63" s="51">
        <v>1</v>
      </c>
    </row>
    <row r="64" spans="1:22" x14ac:dyDescent="0.3">
      <c r="A64" s="51">
        <v>3002</v>
      </c>
      <c r="B64" s="51">
        <v>300004</v>
      </c>
      <c r="C64" s="51" t="s">
        <v>98</v>
      </c>
      <c r="D64" s="51">
        <v>200017</v>
      </c>
      <c r="E64" s="51" t="s">
        <v>99</v>
      </c>
      <c r="F64" s="51">
        <v>4</v>
      </c>
      <c r="G64" s="51">
        <v>1</v>
      </c>
      <c r="H64" s="51" t="s">
        <v>723</v>
      </c>
      <c r="I64" s="51">
        <v>1</v>
      </c>
      <c r="J64" s="51" t="s">
        <v>723</v>
      </c>
      <c r="K64" s="51">
        <v>0</v>
      </c>
      <c r="L64" s="51">
        <v>0</v>
      </c>
      <c r="M64" s="51">
        <v>2</v>
      </c>
      <c r="N64" s="51">
        <v>0</v>
      </c>
      <c r="O64" s="51">
        <v>17</v>
      </c>
      <c r="P64" s="52">
        <v>45121</v>
      </c>
      <c r="Q64" s="52">
        <v>72687.999988425901</v>
      </c>
      <c r="R64" s="51">
        <v>0</v>
      </c>
      <c r="S64" s="52">
        <v>45121</v>
      </c>
      <c r="T64" s="52">
        <v>72687.999988425901</v>
      </c>
      <c r="U64" s="51">
        <v>1</v>
      </c>
    </row>
    <row r="65" spans="1:21" x14ac:dyDescent="0.3">
      <c r="A65" s="51">
        <v>3003</v>
      </c>
      <c r="B65" s="51">
        <v>300005</v>
      </c>
      <c r="C65" s="51" t="s">
        <v>100</v>
      </c>
      <c r="D65" s="51">
        <v>200018</v>
      </c>
      <c r="E65" s="51" t="s">
        <v>101</v>
      </c>
      <c r="F65" s="51">
        <v>4</v>
      </c>
      <c r="G65" s="51">
        <v>1</v>
      </c>
      <c r="H65" s="51" t="s">
        <v>723</v>
      </c>
      <c r="I65" s="51">
        <v>1</v>
      </c>
      <c r="J65" s="51" t="s">
        <v>723</v>
      </c>
      <c r="K65" s="51">
        <v>0</v>
      </c>
      <c r="L65" s="51">
        <v>0</v>
      </c>
      <c r="M65" s="51">
        <v>2</v>
      </c>
      <c r="N65" s="51">
        <v>0</v>
      </c>
      <c r="O65" s="51">
        <v>18</v>
      </c>
      <c r="P65" s="52">
        <v>45121</v>
      </c>
      <c r="Q65" s="52">
        <v>72687.999988425901</v>
      </c>
      <c r="R65" s="51">
        <v>0</v>
      </c>
      <c r="S65" s="52">
        <v>45121</v>
      </c>
      <c r="T65" s="52">
        <v>72687.999988425901</v>
      </c>
      <c r="U65" s="51">
        <v>1</v>
      </c>
    </row>
    <row r="66" spans="1:21" x14ac:dyDescent="0.3">
      <c r="A66" s="51">
        <v>3004</v>
      </c>
      <c r="B66" s="51">
        <v>300006</v>
      </c>
      <c r="C66" s="51" t="s">
        <v>102</v>
      </c>
      <c r="D66" s="51">
        <v>200019</v>
      </c>
      <c r="E66" s="51" t="s">
        <v>103</v>
      </c>
      <c r="F66" s="51">
        <v>4</v>
      </c>
      <c r="G66" s="51">
        <v>1</v>
      </c>
      <c r="H66" s="51" t="s">
        <v>724</v>
      </c>
      <c r="I66" s="51">
        <v>1</v>
      </c>
      <c r="J66" s="51" t="s">
        <v>724</v>
      </c>
      <c r="K66" s="51">
        <v>0</v>
      </c>
      <c r="L66" s="51">
        <v>0</v>
      </c>
      <c r="M66" s="51">
        <v>2</v>
      </c>
      <c r="N66" s="51">
        <v>0</v>
      </c>
      <c r="O66" s="51">
        <v>14</v>
      </c>
      <c r="P66" s="52">
        <v>45121</v>
      </c>
      <c r="Q66" s="52">
        <v>72687.999988425901</v>
      </c>
      <c r="R66" s="51">
        <v>0</v>
      </c>
      <c r="S66" s="52">
        <v>45121</v>
      </c>
      <c r="T66" s="52">
        <v>72687.999988425901</v>
      </c>
      <c r="U66" s="51">
        <v>1</v>
      </c>
    </row>
    <row r="67" spans="1:21" x14ac:dyDescent="0.3">
      <c r="A67" s="51">
        <v>3005</v>
      </c>
      <c r="B67" s="51">
        <v>300007</v>
      </c>
      <c r="C67" s="51" t="s">
        <v>105</v>
      </c>
      <c r="D67" s="51">
        <v>200020</v>
      </c>
      <c r="E67" s="51" t="s">
        <v>106</v>
      </c>
      <c r="F67" s="51">
        <v>4</v>
      </c>
      <c r="G67" s="51">
        <v>1</v>
      </c>
      <c r="H67" s="51" t="s">
        <v>725</v>
      </c>
      <c r="I67" s="51">
        <v>1</v>
      </c>
      <c r="J67" s="51" t="s">
        <v>725</v>
      </c>
      <c r="K67" s="51">
        <v>0</v>
      </c>
      <c r="L67" s="51">
        <v>0</v>
      </c>
      <c r="M67" s="51">
        <v>2</v>
      </c>
      <c r="N67" s="51">
        <v>0</v>
      </c>
      <c r="O67" s="51">
        <v>13</v>
      </c>
      <c r="P67" s="52">
        <v>45121</v>
      </c>
      <c r="Q67" s="52">
        <v>72687.999988425901</v>
      </c>
      <c r="R67" s="51">
        <v>0</v>
      </c>
      <c r="S67" s="52">
        <v>45121</v>
      </c>
      <c r="T67" s="52">
        <v>72687.999988425901</v>
      </c>
      <c r="U67" s="51">
        <v>1</v>
      </c>
    </row>
    <row r="68" spans="1:21" x14ac:dyDescent="0.3">
      <c r="A68" s="51">
        <v>3006</v>
      </c>
      <c r="B68" s="51">
        <v>300008</v>
      </c>
      <c r="C68" s="51" t="s">
        <v>108</v>
      </c>
      <c r="D68" s="51">
        <v>200021</v>
      </c>
      <c r="E68" s="51" t="s">
        <v>109</v>
      </c>
      <c r="F68" s="51">
        <v>4</v>
      </c>
      <c r="G68" s="51">
        <v>1</v>
      </c>
      <c r="H68" s="51" t="s">
        <v>724</v>
      </c>
      <c r="I68" s="51">
        <v>1</v>
      </c>
      <c r="J68" s="51" t="s">
        <v>724</v>
      </c>
      <c r="K68" s="51">
        <v>0</v>
      </c>
      <c r="L68" s="51">
        <v>0</v>
      </c>
      <c r="M68" s="51">
        <v>2</v>
      </c>
      <c r="N68" s="51">
        <v>0</v>
      </c>
      <c r="O68" s="51">
        <v>15</v>
      </c>
      <c r="P68" s="52">
        <v>45121</v>
      </c>
      <c r="Q68" s="52">
        <v>72687.999988425901</v>
      </c>
      <c r="R68" s="51">
        <v>0</v>
      </c>
      <c r="S68" s="52">
        <v>45121</v>
      </c>
      <c r="T68" s="52">
        <v>72687.999988425901</v>
      </c>
      <c r="U68" s="51">
        <v>1</v>
      </c>
    </row>
    <row r="69" spans="1:21" x14ac:dyDescent="0.3">
      <c r="A69" s="51">
        <v>3007</v>
      </c>
      <c r="B69" s="51">
        <v>300009</v>
      </c>
      <c r="C69" s="51" t="s">
        <v>110</v>
      </c>
      <c r="D69" s="51">
        <v>200022</v>
      </c>
      <c r="E69" s="51" t="s">
        <v>111</v>
      </c>
      <c r="F69" s="51">
        <v>4</v>
      </c>
      <c r="G69" s="51">
        <v>1</v>
      </c>
      <c r="H69" s="51" t="s">
        <v>725</v>
      </c>
      <c r="I69" s="51">
        <v>1</v>
      </c>
      <c r="J69" s="51" t="s">
        <v>725</v>
      </c>
      <c r="K69" s="51">
        <v>0</v>
      </c>
      <c r="L69" s="51">
        <v>0</v>
      </c>
      <c r="M69" s="51">
        <v>2</v>
      </c>
      <c r="N69" s="51">
        <v>0</v>
      </c>
      <c r="O69" s="51">
        <v>5</v>
      </c>
      <c r="P69" s="52">
        <v>45121</v>
      </c>
      <c r="Q69" s="52">
        <v>72687.999988425901</v>
      </c>
      <c r="R69" s="51">
        <v>0</v>
      </c>
      <c r="S69" s="52">
        <v>45121</v>
      </c>
      <c r="T69" s="52">
        <v>72687.999988425901</v>
      </c>
      <c r="U69" s="51">
        <v>1</v>
      </c>
    </row>
    <row r="70" spans="1:21" x14ac:dyDescent="0.3">
      <c r="A70" s="51">
        <v>3008</v>
      </c>
      <c r="B70" s="51">
        <v>300010</v>
      </c>
      <c r="C70" s="51" t="s">
        <v>112</v>
      </c>
      <c r="D70" s="51">
        <v>200023</v>
      </c>
      <c r="E70" s="51" t="s">
        <v>113</v>
      </c>
      <c r="F70" s="51">
        <v>4</v>
      </c>
      <c r="G70" s="51">
        <v>1</v>
      </c>
      <c r="H70" s="51" t="s">
        <v>725</v>
      </c>
      <c r="I70" s="51">
        <v>1</v>
      </c>
      <c r="J70" s="51" t="s">
        <v>725</v>
      </c>
      <c r="K70" s="51">
        <v>0</v>
      </c>
      <c r="L70" s="51">
        <v>0</v>
      </c>
      <c r="M70" s="51">
        <v>2</v>
      </c>
      <c r="N70" s="51">
        <v>0</v>
      </c>
      <c r="O70" s="51">
        <v>6</v>
      </c>
      <c r="P70" s="52">
        <v>45121</v>
      </c>
      <c r="Q70" s="52">
        <v>72687.999988425901</v>
      </c>
      <c r="R70" s="51">
        <v>0</v>
      </c>
      <c r="S70" s="52">
        <v>45121</v>
      </c>
      <c r="T70" s="52">
        <v>72687.999988425901</v>
      </c>
      <c r="U70" s="51">
        <v>1</v>
      </c>
    </row>
    <row r="71" spans="1:21" x14ac:dyDescent="0.3">
      <c r="A71" s="51">
        <v>3009</v>
      </c>
      <c r="B71" s="51">
        <v>300011</v>
      </c>
      <c r="C71" s="51" t="s">
        <v>114</v>
      </c>
      <c r="D71" s="51">
        <v>200024</v>
      </c>
      <c r="E71" s="51" t="s">
        <v>115</v>
      </c>
      <c r="F71" s="51">
        <v>4</v>
      </c>
      <c r="G71" s="51">
        <v>1</v>
      </c>
      <c r="H71" s="51" t="s">
        <v>725</v>
      </c>
      <c r="I71" s="51">
        <v>1</v>
      </c>
      <c r="J71" s="51" t="s">
        <v>725</v>
      </c>
      <c r="K71" s="51">
        <v>0</v>
      </c>
      <c r="L71" s="51">
        <v>0</v>
      </c>
      <c r="M71" s="51">
        <v>2</v>
      </c>
      <c r="N71" s="51">
        <v>0</v>
      </c>
      <c r="O71" s="51">
        <v>7</v>
      </c>
      <c r="P71" s="52">
        <v>45121</v>
      </c>
      <c r="Q71" s="52">
        <v>72687.999988425901</v>
      </c>
      <c r="R71" s="51">
        <v>0</v>
      </c>
      <c r="S71" s="52">
        <v>45121</v>
      </c>
      <c r="T71" s="52">
        <v>72687.999988425901</v>
      </c>
      <c r="U71" s="51">
        <v>1</v>
      </c>
    </row>
    <row r="72" spans="1:21" x14ac:dyDescent="0.3">
      <c r="A72" s="51">
        <v>3010</v>
      </c>
      <c r="B72" s="51">
        <v>300012</v>
      </c>
      <c r="C72" s="51" t="s">
        <v>116</v>
      </c>
      <c r="D72" s="51">
        <v>200025</v>
      </c>
      <c r="E72" s="51" t="s">
        <v>117</v>
      </c>
      <c r="F72" s="51">
        <v>4</v>
      </c>
      <c r="G72" s="51">
        <v>1</v>
      </c>
      <c r="H72" s="51" t="s">
        <v>725</v>
      </c>
      <c r="I72" s="51">
        <v>1</v>
      </c>
      <c r="J72" s="51" t="s">
        <v>725</v>
      </c>
      <c r="K72" s="51">
        <v>0</v>
      </c>
      <c r="L72" s="51">
        <v>0</v>
      </c>
      <c r="M72" s="51">
        <v>2</v>
      </c>
      <c r="N72" s="51">
        <v>0</v>
      </c>
      <c r="O72" s="51">
        <v>8</v>
      </c>
      <c r="P72" s="52">
        <v>45121</v>
      </c>
      <c r="Q72" s="52">
        <v>72687.999988425901</v>
      </c>
      <c r="R72" s="51">
        <v>0</v>
      </c>
      <c r="S72" s="52">
        <v>45121</v>
      </c>
      <c r="T72" s="52">
        <v>72687.999988425901</v>
      </c>
      <c r="U72" s="51">
        <v>1</v>
      </c>
    </row>
    <row r="73" spans="1:21" x14ac:dyDescent="0.3">
      <c r="A73" s="51">
        <v>3011</v>
      </c>
      <c r="B73" s="51">
        <v>300013</v>
      </c>
      <c r="C73" s="51" t="s">
        <v>118</v>
      </c>
      <c r="D73" s="51">
        <v>200026</v>
      </c>
      <c r="E73" s="51" t="s">
        <v>119</v>
      </c>
      <c r="F73" s="51">
        <v>4</v>
      </c>
      <c r="G73" s="51">
        <v>1</v>
      </c>
      <c r="H73" s="51" t="s">
        <v>725</v>
      </c>
      <c r="I73" s="51">
        <v>1</v>
      </c>
      <c r="J73" s="51" t="s">
        <v>725</v>
      </c>
      <c r="K73" s="51">
        <v>0</v>
      </c>
      <c r="L73" s="51">
        <v>0</v>
      </c>
      <c r="M73" s="51">
        <v>2</v>
      </c>
      <c r="N73" s="51">
        <v>0</v>
      </c>
      <c r="O73" s="51">
        <v>9</v>
      </c>
      <c r="P73" s="52">
        <v>45121</v>
      </c>
      <c r="Q73" s="52">
        <v>72687.999988425901</v>
      </c>
      <c r="R73" s="51">
        <v>0</v>
      </c>
      <c r="S73" s="52">
        <v>45121</v>
      </c>
      <c r="T73" s="52">
        <v>72687.999988425901</v>
      </c>
      <c r="U73" s="51">
        <v>1</v>
      </c>
    </row>
    <row r="74" spans="1:21" x14ac:dyDescent="0.3">
      <c r="A74" s="51">
        <v>3012</v>
      </c>
      <c r="B74" s="51">
        <v>300015</v>
      </c>
      <c r="C74" s="51" t="s">
        <v>120</v>
      </c>
      <c r="D74" s="51">
        <v>200027</v>
      </c>
      <c r="E74" s="51" t="s">
        <v>121</v>
      </c>
      <c r="F74" s="51">
        <v>4</v>
      </c>
      <c r="G74" s="51">
        <v>1</v>
      </c>
      <c r="H74" s="51" t="s">
        <v>725</v>
      </c>
      <c r="I74" s="51">
        <v>1</v>
      </c>
      <c r="J74" s="51" t="s">
        <v>725</v>
      </c>
      <c r="K74" s="51">
        <v>0</v>
      </c>
      <c r="L74" s="51">
        <v>0</v>
      </c>
      <c r="M74" s="51">
        <v>2</v>
      </c>
      <c r="N74" s="51">
        <v>0</v>
      </c>
      <c r="O74" s="51">
        <v>10</v>
      </c>
      <c r="P74" s="52">
        <v>45121</v>
      </c>
      <c r="Q74" s="52">
        <v>72687.999988425901</v>
      </c>
      <c r="R74" s="51">
        <v>0</v>
      </c>
      <c r="S74" s="52">
        <v>45121</v>
      </c>
      <c r="T74" s="52">
        <v>72687.999988425901</v>
      </c>
      <c r="U74" s="51">
        <v>1</v>
      </c>
    </row>
    <row r="75" spans="1:21" x14ac:dyDescent="0.3">
      <c r="A75" s="51">
        <v>3013</v>
      </c>
      <c r="B75" s="51">
        <v>300016</v>
      </c>
      <c r="C75" s="51" t="s">
        <v>122</v>
      </c>
      <c r="D75" s="51">
        <v>200028</v>
      </c>
      <c r="E75" s="51" t="s">
        <v>123</v>
      </c>
      <c r="F75" s="51">
        <v>4</v>
      </c>
      <c r="G75" s="51">
        <v>1</v>
      </c>
      <c r="H75" s="51" t="s">
        <v>725</v>
      </c>
      <c r="I75" s="51">
        <v>1</v>
      </c>
      <c r="J75" s="51" t="s">
        <v>725</v>
      </c>
      <c r="K75" s="51">
        <v>0</v>
      </c>
      <c r="L75" s="51">
        <v>0</v>
      </c>
      <c r="M75" s="51">
        <v>2</v>
      </c>
      <c r="N75" s="51">
        <v>0</v>
      </c>
      <c r="O75" s="51">
        <v>11</v>
      </c>
      <c r="P75" s="52">
        <v>45121</v>
      </c>
      <c r="Q75" s="52">
        <v>72687.999988425901</v>
      </c>
      <c r="R75" s="51">
        <v>0</v>
      </c>
      <c r="S75" s="52">
        <v>45121</v>
      </c>
      <c r="T75" s="52">
        <v>72687.999988425901</v>
      </c>
      <c r="U75" s="51">
        <v>1</v>
      </c>
    </row>
    <row r="76" spans="1:21" x14ac:dyDescent="0.3">
      <c r="A76" s="51">
        <v>3014</v>
      </c>
      <c r="B76" s="51">
        <v>300017</v>
      </c>
      <c r="C76" s="51" t="s">
        <v>124</v>
      </c>
      <c r="D76" s="51">
        <v>200029</v>
      </c>
      <c r="E76" s="51" t="s">
        <v>125</v>
      </c>
      <c r="F76" s="51">
        <v>4</v>
      </c>
      <c r="G76" s="51">
        <v>1</v>
      </c>
      <c r="H76" s="51" t="s">
        <v>725</v>
      </c>
      <c r="I76" s="51">
        <v>1</v>
      </c>
      <c r="J76" s="51" t="s">
        <v>725</v>
      </c>
      <c r="K76" s="51">
        <v>0</v>
      </c>
      <c r="L76" s="51">
        <v>0</v>
      </c>
      <c r="M76" s="51">
        <v>2</v>
      </c>
      <c r="N76" s="51">
        <v>0</v>
      </c>
      <c r="O76" s="51">
        <v>12</v>
      </c>
      <c r="P76" s="52">
        <v>45121</v>
      </c>
      <c r="Q76" s="52">
        <v>72687.999988425901</v>
      </c>
      <c r="R76" s="51">
        <v>0</v>
      </c>
      <c r="S76" s="52">
        <v>45121</v>
      </c>
      <c r="T76" s="52">
        <v>72687.999988425901</v>
      </c>
      <c r="U76" s="51">
        <v>1</v>
      </c>
    </row>
    <row r="77" spans="1:21" x14ac:dyDescent="0.3">
      <c r="A77" s="51">
        <v>3015</v>
      </c>
      <c r="B77" s="51">
        <v>300019</v>
      </c>
      <c r="C77" s="51" t="s">
        <v>170</v>
      </c>
      <c r="D77" s="51">
        <v>3000192</v>
      </c>
      <c r="E77" s="51" t="s">
        <v>171</v>
      </c>
      <c r="F77" s="51">
        <v>4</v>
      </c>
      <c r="G77" s="51">
        <v>1</v>
      </c>
      <c r="H77" s="51" t="s">
        <v>725</v>
      </c>
      <c r="I77" s="51">
        <v>1</v>
      </c>
      <c r="J77" s="51" t="s">
        <v>725</v>
      </c>
      <c r="K77" s="51">
        <v>0</v>
      </c>
      <c r="L77" s="51">
        <v>0</v>
      </c>
      <c r="M77" s="51">
        <v>2</v>
      </c>
      <c r="N77" s="51">
        <v>0</v>
      </c>
      <c r="O77" s="51">
        <v>4</v>
      </c>
      <c r="P77" s="52">
        <v>45121</v>
      </c>
      <c r="Q77" s="52">
        <v>72687.999988425901</v>
      </c>
      <c r="R77" s="51">
        <v>0</v>
      </c>
      <c r="S77" s="52">
        <v>45121</v>
      </c>
      <c r="T77" s="52">
        <v>72687.999988425901</v>
      </c>
      <c r="U77" s="51">
        <v>1</v>
      </c>
    </row>
    <row r="78" spans="1:21" x14ac:dyDescent="0.3">
      <c r="A78" s="51">
        <v>3016</v>
      </c>
      <c r="B78" s="51">
        <v>300001</v>
      </c>
      <c r="C78" s="51" t="s">
        <v>268</v>
      </c>
      <c r="D78" s="51">
        <v>3000012</v>
      </c>
      <c r="F78" s="51">
        <v>4</v>
      </c>
      <c r="G78" s="51">
        <v>1</v>
      </c>
      <c r="H78" s="51" t="s">
        <v>723</v>
      </c>
      <c r="I78" s="51">
        <v>1</v>
      </c>
      <c r="J78" s="51" t="s">
        <v>723</v>
      </c>
      <c r="K78" s="51">
        <v>0</v>
      </c>
      <c r="L78" s="51">
        <v>0</v>
      </c>
      <c r="M78" s="51">
        <v>2</v>
      </c>
      <c r="N78" s="51">
        <v>0</v>
      </c>
      <c r="O78" s="51">
        <v>19</v>
      </c>
      <c r="P78" s="52">
        <v>45121</v>
      </c>
      <c r="Q78" s="52">
        <v>72687.999988425901</v>
      </c>
      <c r="R78" s="51">
        <v>0</v>
      </c>
      <c r="S78" s="52">
        <v>45121</v>
      </c>
      <c r="T78" s="52">
        <v>72687.999988425901</v>
      </c>
      <c r="U78" s="51">
        <v>1</v>
      </c>
    </row>
    <row r="79" spans="1:21" x14ac:dyDescent="0.3">
      <c r="A79" s="51">
        <v>3017</v>
      </c>
      <c r="B79" s="51">
        <v>300002</v>
      </c>
      <c r="C79" s="51" t="s">
        <v>269</v>
      </c>
      <c r="D79" s="51">
        <v>3000022</v>
      </c>
      <c r="F79" s="51">
        <v>4</v>
      </c>
      <c r="G79" s="51">
        <v>1</v>
      </c>
      <c r="H79" s="51" t="s">
        <v>723</v>
      </c>
      <c r="I79" s="51">
        <v>1</v>
      </c>
      <c r="J79" s="51" t="s">
        <v>723</v>
      </c>
      <c r="K79" s="51">
        <v>0</v>
      </c>
      <c r="L79" s="51">
        <v>0</v>
      </c>
      <c r="M79" s="51">
        <v>2</v>
      </c>
      <c r="N79" s="51">
        <v>0</v>
      </c>
      <c r="O79" s="51">
        <v>20</v>
      </c>
      <c r="P79" s="52">
        <v>45121</v>
      </c>
      <c r="Q79" s="52">
        <v>72687.999988425901</v>
      </c>
      <c r="R79" s="51">
        <v>0</v>
      </c>
      <c r="S79" s="52">
        <v>45121</v>
      </c>
      <c r="T79" s="52">
        <v>72687.999988425901</v>
      </c>
      <c r="U79" s="51">
        <v>1</v>
      </c>
    </row>
    <row r="80" spans="1:21" x14ac:dyDescent="0.3">
      <c r="A80" s="51">
        <v>3018</v>
      </c>
      <c r="B80" s="51">
        <v>300018</v>
      </c>
      <c r="C80" s="51" t="s">
        <v>270</v>
      </c>
      <c r="D80" s="51">
        <v>3000182</v>
      </c>
      <c r="F80" s="51">
        <v>4</v>
      </c>
      <c r="G80" s="51">
        <v>1</v>
      </c>
      <c r="H80" s="51" t="s">
        <v>725</v>
      </c>
      <c r="I80" s="51">
        <v>1</v>
      </c>
      <c r="J80" s="51" t="s">
        <v>725</v>
      </c>
      <c r="K80" s="51">
        <v>0</v>
      </c>
      <c r="L80" s="51">
        <v>0</v>
      </c>
      <c r="M80" s="51">
        <v>2</v>
      </c>
      <c r="N80" s="51">
        <v>0</v>
      </c>
      <c r="O80" s="51">
        <v>3</v>
      </c>
      <c r="P80" s="52">
        <v>45121</v>
      </c>
      <c r="Q80" s="52">
        <v>72687.999988425901</v>
      </c>
      <c r="R80" s="51">
        <v>0</v>
      </c>
      <c r="S80" s="52">
        <v>45121</v>
      </c>
      <c r="T80" s="52">
        <v>72687.999988425901</v>
      </c>
      <c r="U80" s="51">
        <v>1</v>
      </c>
    </row>
    <row r="81" spans="1:21" x14ac:dyDescent="0.3">
      <c r="A81" s="51">
        <v>3019</v>
      </c>
      <c r="B81" s="51">
        <v>300024</v>
      </c>
      <c r="C81" s="51" t="s">
        <v>271</v>
      </c>
      <c r="D81" s="51">
        <v>3000242</v>
      </c>
      <c r="F81" s="51">
        <v>4</v>
      </c>
      <c r="G81" s="51">
        <v>1</v>
      </c>
      <c r="H81" s="51" t="s">
        <v>722</v>
      </c>
      <c r="I81" s="51">
        <v>1</v>
      </c>
      <c r="J81" s="51" t="s">
        <v>722</v>
      </c>
      <c r="K81" s="51">
        <v>0</v>
      </c>
      <c r="L81" s="51">
        <v>0</v>
      </c>
      <c r="M81" s="51">
        <v>2</v>
      </c>
      <c r="N81" s="51">
        <v>0</v>
      </c>
      <c r="O81" s="51">
        <v>1</v>
      </c>
      <c r="P81" s="52">
        <v>45121</v>
      </c>
      <c r="Q81" s="52">
        <v>72687.999988425901</v>
      </c>
      <c r="R81" s="51">
        <v>0</v>
      </c>
      <c r="S81" s="52">
        <v>45121</v>
      </c>
      <c r="T81" s="52">
        <v>72687.999988425901</v>
      </c>
      <c r="U81" s="51">
        <v>1</v>
      </c>
    </row>
    <row r="82" spans="1:21" x14ac:dyDescent="0.3">
      <c r="A82" s="51">
        <v>3020</v>
      </c>
      <c r="B82" s="51">
        <v>300025</v>
      </c>
      <c r="C82" s="51" t="s">
        <v>272</v>
      </c>
      <c r="D82" s="51">
        <v>3000252</v>
      </c>
      <c r="F82" s="51">
        <v>4</v>
      </c>
      <c r="G82" s="51">
        <v>1</v>
      </c>
      <c r="H82" s="51" t="s">
        <v>722</v>
      </c>
      <c r="I82" s="51">
        <v>1</v>
      </c>
      <c r="J82" s="51" t="s">
        <v>722</v>
      </c>
      <c r="K82" s="51">
        <v>0</v>
      </c>
      <c r="L82" s="51">
        <v>0</v>
      </c>
      <c r="M82" s="51">
        <v>2</v>
      </c>
      <c r="N82" s="51">
        <v>0</v>
      </c>
      <c r="O82" s="51">
        <v>2</v>
      </c>
      <c r="P82" s="52">
        <v>45121</v>
      </c>
      <c r="Q82" s="52">
        <v>72687.999988425901</v>
      </c>
      <c r="R82" s="51">
        <v>0</v>
      </c>
      <c r="S82" s="52">
        <v>45121</v>
      </c>
      <c r="T82" s="52">
        <v>72687.999988425901</v>
      </c>
      <c r="U82" s="51">
        <v>1</v>
      </c>
    </row>
    <row r="83" spans="1:21" x14ac:dyDescent="0.3">
      <c r="A83" s="51">
        <v>7001</v>
      </c>
      <c r="B83" s="51">
        <v>910001</v>
      </c>
      <c r="C83" s="51" t="s">
        <v>126</v>
      </c>
      <c r="D83" s="51">
        <v>200030</v>
      </c>
      <c r="E83" s="51" t="s">
        <v>127</v>
      </c>
      <c r="F83" s="51">
        <v>5</v>
      </c>
      <c r="H83" s="51" t="s">
        <v>128</v>
      </c>
      <c r="I83" s="51">
        <v>1</v>
      </c>
      <c r="J83" s="51" t="s">
        <v>128</v>
      </c>
      <c r="K83" s="51">
        <v>0</v>
      </c>
      <c r="L83" s="51">
        <v>0</v>
      </c>
      <c r="M83" s="51">
        <v>3</v>
      </c>
      <c r="N83" s="51">
        <v>10</v>
      </c>
      <c r="O83" s="51">
        <v>1</v>
      </c>
      <c r="P83" s="52">
        <v>45121</v>
      </c>
      <c r="Q83" s="52">
        <v>72687.999988425901</v>
      </c>
      <c r="R83" s="51">
        <v>0</v>
      </c>
      <c r="S83" s="52">
        <v>45121</v>
      </c>
      <c r="T83" s="52">
        <v>72687.999988425901</v>
      </c>
      <c r="U83" s="51">
        <v>1</v>
      </c>
    </row>
    <row r="84" spans="1:21" x14ac:dyDescent="0.3">
      <c r="A84" s="51">
        <v>7002</v>
      </c>
      <c r="B84" s="51">
        <v>600001</v>
      </c>
      <c r="C84" s="51" t="s">
        <v>129</v>
      </c>
      <c r="D84" s="51">
        <v>200031</v>
      </c>
      <c r="E84" s="51" t="s">
        <v>130</v>
      </c>
      <c r="F84" s="51">
        <v>5</v>
      </c>
      <c r="H84" s="51" t="s">
        <v>131</v>
      </c>
      <c r="I84" s="51">
        <v>1</v>
      </c>
      <c r="J84" s="51" t="s">
        <v>131</v>
      </c>
      <c r="K84" s="51">
        <v>0</v>
      </c>
      <c r="L84" s="51">
        <v>0</v>
      </c>
      <c r="M84" s="51">
        <v>3</v>
      </c>
      <c r="N84" s="51">
        <v>0</v>
      </c>
      <c r="O84" s="51">
        <v>3</v>
      </c>
      <c r="P84" s="52">
        <v>45121</v>
      </c>
      <c r="Q84" s="52">
        <v>45398.166655092595</v>
      </c>
      <c r="R84" s="51">
        <v>0</v>
      </c>
      <c r="S84" s="52">
        <v>45121</v>
      </c>
      <c r="T84" s="52">
        <v>45398.166655092595</v>
      </c>
      <c r="U84" s="51">
        <v>1</v>
      </c>
    </row>
    <row r="85" spans="1:21" x14ac:dyDescent="0.3">
      <c r="A85" s="51">
        <v>7005</v>
      </c>
      <c r="B85" s="51">
        <v>600005</v>
      </c>
      <c r="C85" s="51" t="s">
        <v>132</v>
      </c>
      <c r="D85" s="51">
        <v>200034</v>
      </c>
      <c r="E85" s="51" t="s">
        <v>133</v>
      </c>
      <c r="F85" s="51">
        <v>5</v>
      </c>
      <c r="H85" s="51" t="s">
        <v>731</v>
      </c>
      <c r="I85" s="51">
        <v>1</v>
      </c>
      <c r="J85" s="51" t="s">
        <v>731</v>
      </c>
      <c r="K85" s="51">
        <v>0</v>
      </c>
      <c r="L85" s="51">
        <v>0</v>
      </c>
      <c r="M85" s="51">
        <v>3</v>
      </c>
      <c r="N85" s="51">
        <v>0</v>
      </c>
      <c r="O85" s="51">
        <v>6</v>
      </c>
      <c r="P85" s="52">
        <v>45121</v>
      </c>
      <c r="Q85" s="52">
        <v>72687.999988425901</v>
      </c>
      <c r="R85" s="51">
        <v>0</v>
      </c>
      <c r="S85" s="52">
        <v>45121</v>
      </c>
      <c r="T85" s="52">
        <v>72687.999988425901</v>
      </c>
      <c r="U85" s="51">
        <v>1</v>
      </c>
    </row>
    <row r="86" spans="1:21" x14ac:dyDescent="0.3">
      <c r="A86" s="51">
        <v>7006</v>
      </c>
      <c r="B86" s="51">
        <v>600006</v>
      </c>
      <c r="C86" s="51" t="s">
        <v>134</v>
      </c>
      <c r="D86" s="51">
        <v>200035</v>
      </c>
      <c r="E86" s="51" t="s">
        <v>135</v>
      </c>
      <c r="F86" s="51">
        <v>5</v>
      </c>
      <c r="H86" s="51" t="s">
        <v>136</v>
      </c>
      <c r="I86" s="51">
        <v>1</v>
      </c>
      <c r="J86" s="51" t="s">
        <v>136</v>
      </c>
      <c r="K86" s="51">
        <v>0</v>
      </c>
      <c r="L86" s="51">
        <v>0</v>
      </c>
      <c r="M86" s="51">
        <v>3</v>
      </c>
      <c r="N86" s="51">
        <v>0</v>
      </c>
      <c r="O86" s="51">
        <v>7</v>
      </c>
      <c r="P86" s="52">
        <v>45121</v>
      </c>
      <c r="Q86" s="52">
        <v>72687.999988425901</v>
      </c>
      <c r="R86" s="51">
        <v>0</v>
      </c>
      <c r="S86" s="52">
        <v>45121</v>
      </c>
      <c r="T86" s="52">
        <v>72687.999988425901</v>
      </c>
      <c r="U86" s="51">
        <v>1</v>
      </c>
    </row>
    <row r="87" spans="1:21" x14ac:dyDescent="0.3">
      <c r="A87" s="51">
        <v>7007</v>
      </c>
      <c r="B87" s="51">
        <v>600007</v>
      </c>
      <c r="C87" s="51" t="s">
        <v>137</v>
      </c>
      <c r="D87" s="51">
        <v>200036</v>
      </c>
      <c r="E87" s="51" t="s">
        <v>138</v>
      </c>
      <c r="F87" s="51">
        <v>5</v>
      </c>
      <c r="H87" s="51" t="s">
        <v>139</v>
      </c>
      <c r="I87" s="51">
        <v>1</v>
      </c>
      <c r="J87" s="51" t="s">
        <v>139</v>
      </c>
      <c r="K87" s="51">
        <v>0</v>
      </c>
      <c r="L87" s="51">
        <v>0</v>
      </c>
      <c r="M87" s="51">
        <v>3</v>
      </c>
      <c r="N87" s="51">
        <v>0</v>
      </c>
      <c r="O87" s="51">
        <v>8</v>
      </c>
      <c r="P87" s="52">
        <v>45121</v>
      </c>
      <c r="Q87" s="52">
        <v>72687.999988425901</v>
      </c>
      <c r="R87" s="51">
        <v>0</v>
      </c>
      <c r="S87" s="52">
        <v>45121</v>
      </c>
      <c r="T87" s="52">
        <v>72687.999988425901</v>
      </c>
      <c r="U87" s="51">
        <v>1</v>
      </c>
    </row>
    <row r="88" spans="1:21" x14ac:dyDescent="0.3">
      <c r="A88" s="51">
        <v>7008</v>
      </c>
      <c r="B88" s="51">
        <v>13</v>
      </c>
      <c r="C88" s="51" t="s">
        <v>140</v>
      </c>
      <c r="D88" s="51">
        <v>200037</v>
      </c>
      <c r="E88" s="51" t="s">
        <v>141</v>
      </c>
      <c r="F88" s="51">
        <v>5</v>
      </c>
      <c r="H88" s="51" t="s">
        <v>737</v>
      </c>
      <c r="I88" s="51">
        <v>1</v>
      </c>
      <c r="J88" s="51" t="s">
        <v>737</v>
      </c>
      <c r="K88" s="51">
        <v>0</v>
      </c>
      <c r="L88" s="51">
        <v>0</v>
      </c>
      <c r="M88" s="51">
        <v>3</v>
      </c>
      <c r="N88" s="51">
        <v>0</v>
      </c>
      <c r="O88" s="51">
        <v>2</v>
      </c>
      <c r="P88" s="52">
        <v>45121</v>
      </c>
      <c r="Q88" s="52">
        <v>45398.166655092595</v>
      </c>
      <c r="R88" s="51">
        <v>0</v>
      </c>
      <c r="S88" s="52">
        <v>45121</v>
      </c>
      <c r="T88" s="52">
        <v>45398.166655092595</v>
      </c>
      <c r="U88" s="51">
        <v>1</v>
      </c>
    </row>
    <row r="89" spans="1:21" x14ac:dyDescent="0.3">
      <c r="A89" s="51">
        <v>7009</v>
      </c>
      <c r="B89" s="51">
        <v>700002</v>
      </c>
      <c r="C89" s="51" t="s">
        <v>142</v>
      </c>
      <c r="D89" s="51">
        <v>200038</v>
      </c>
      <c r="E89" s="51" t="s">
        <v>143</v>
      </c>
      <c r="F89" s="51">
        <v>5</v>
      </c>
      <c r="H89" s="51" t="s">
        <v>144</v>
      </c>
      <c r="I89" s="51">
        <v>1</v>
      </c>
      <c r="J89" s="51" t="s">
        <v>144</v>
      </c>
      <c r="K89" s="51">
        <v>0</v>
      </c>
      <c r="L89" s="51">
        <v>0</v>
      </c>
      <c r="M89" s="51">
        <v>3</v>
      </c>
      <c r="N89" s="51">
        <v>0</v>
      </c>
      <c r="O89" s="51">
        <v>10</v>
      </c>
      <c r="P89" s="52">
        <v>45121</v>
      </c>
      <c r="Q89" s="52">
        <v>45398.166655092595</v>
      </c>
      <c r="R89" s="51">
        <v>0</v>
      </c>
      <c r="S89" s="52">
        <v>45121</v>
      </c>
      <c r="T89" s="52">
        <v>45398.166655092595</v>
      </c>
      <c r="U89" s="51">
        <v>1</v>
      </c>
    </row>
    <row r="90" spans="1:21" x14ac:dyDescent="0.3">
      <c r="A90" s="51">
        <v>7010</v>
      </c>
      <c r="B90" s="51">
        <v>700003</v>
      </c>
      <c r="C90" s="51" t="s">
        <v>145</v>
      </c>
      <c r="D90" s="51">
        <v>200039</v>
      </c>
      <c r="E90" s="51" t="s">
        <v>146</v>
      </c>
      <c r="F90" s="51">
        <v>5</v>
      </c>
      <c r="H90" s="51" t="s">
        <v>147</v>
      </c>
      <c r="I90" s="51">
        <v>1</v>
      </c>
      <c r="J90" s="51" t="s">
        <v>148</v>
      </c>
      <c r="K90" s="51">
        <v>0</v>
      </c>
      <c r="L90" s="51">
        <v>0</v>
      </c>
      <c r="M90" s="51">
        <v>3</v>
      </c>
      <c r="N90" s="51">
        <v>10</v>
      </c>
      <c r="O90" s="51">
        <v>11</v>
      </c>
      <c r="P90" s="52">
        <v>45121</v>
      </c>
      <c r="Q90" s="52">
        <v>45398.166655092595</v>
      </c>
      <c r="R90" s="51">
        <v>0</v>
      </c>
      <c r="S90" s="52">
        <v>45121</v>
      </c>
      <c r="T90" s="52">
        <v>45398.166655092595</v>
      </c>
      <c r="U90" s="51">
        <v>1</v>
      </c>
    </row>
    <row r="91" spans="1:21" x14ac:dyDescent="0.3">
      <c r="A91" s="51">
        <v>7011</v>
      </c>
      <c r="B91" s="51">
        <v>700007</v>
      </c>
      <c r="C91" s="51" t="s">
        <v>149</v>
      </c>
      <c r="D91" s="51">
        <v>200040</v>
      </c>
      <c r="E91" s="51" t="s">
        <v>150</v>
      </c>
      <c r="F91" s="51">
        <v>5</v>
      </c>
      <c r="H91" s="51" t="s">
        <v>128</v>
      </c>
      <c r="I91" s="51">
        <v>1</v>
      </c>
      <c r="J91" s="51" t="s">
        <v>128</v>
      </c>
      <c r="K91" s="51">
        <v>0</v>
      </c>
      <c r="L91" s="51">
        <v>0</v>
      </c>
      <c r="M91" s="51">
        <v>3</v>
      </c>
      <c r="N91" s="51">
        <v>9999</v>
      </c>
      <c r="O91" s="51">
        <v>12</v>
      </c>
      <c r="P91" s="52">
        <v>45121</v>
      </c>
      <c r="Q91" s="52">
        <v>72687.999988425901</v>
      </c>
      <c r="R91" s="51">
        <v>0</v>
      </c>
      <c r="S91" s="52">
        <v>45121</v>
      </c>
      <c r="T91" s="52">
        <v>72687.999988425901</v>
      </c>
      <c r="U91" s="51">
        <v>1</v>
      </c>
    </row>
    <row r="92" spans="1:21" x14ac:dyDescent="0.3">
      <c r="A92" s="51">
        <v>7012</v>
      </c>
      <c r="B92" s="51">
        <v>700008</v>
      </c>
      <c r="C92" s="51" t="s">
        <v>151</v>
      </c>
      <c r="D92" s="51">
        <v>200041</v>
      </c>
      <c r="E92" s="51" t="s">
        <v>152</v>
      </c>
      <c r="F92" s="51">
        <v>5</v>
      </c>
      <c r="H92" s="51" t="s">
        <v>128</v>
      </c>
      <c r="I92" s="51">
        <v>1</v>
      </c>
      <c r="J92" s="51" t="s">
        <v>128</v>
      </c>
      <c r="K92" s="51">
        <v>0</v>
      </c>
      <c r="L92" s="51">
        <v>0</v>
      </c>
      <c r="M92" s="51">
        <v>3</v>
      </c>
      <c r="N92" s="51">
        <v>9999</v>
      </c>
      <c r="O92" s="51">
        <v>13</v>
      </c>
      <c r="P92" s="52">
        <v>45121</v>
      </c>
      <c r="Q92" s="52">
        <v>72687.999988425901</v>
      </c>
      <c r="R92" s="51">
        <v>0</v>
      </c>
      <c r="S92" s="52">
        <v>45121</v>
      </c>
      <c r="T92" s="52">
        <v>72687.999988425901</v>
      </c>
      <c r="U92" s="51">
        <v>1</v>
      </c>
    </row>
    <row r="93" spans="1:21" x14ac:dyDescent="0.3">
      <c r="A93" s="51">
        <v>7013</v>
      </c>
      <c r="B93" s="51">
        <v>700009</v>
      </c>
      <c r="C93" s="51" t="s">
        <v>153</v>
      </c>
      <c r="D93" s="51">
        <v>200042</v>
      </c>
      <c r="E93" s="51" t="s">
        <v>154</v>
      </c>
      <c r="F93" s="51">
        <v>5</v>
      </c>
      <c r="H93" s="51" t="s">
        <v>128</v>
      </c>
      <c r="I93" s="51">
        <v>1</v>
      </c>
      <c r="J93" s="51" t="s">
        <v>128</v>
      </c>
      <c r="K93" s="51">
        <v>0</v>
      </c>
      <c r="L93" s="51">
        <v>0</v>
      </c>
      <c r="M93" s="51">
        <v>3</v>
      </c>
      <c r="N93" s="51">
        <v>9999</v>
      </c>
      <c r="O93" s="51">
        <v>14</v>
      </c>
      <c r="P93" s="52">
        <v>45121</v>
      </c>
      <c r="Q93" s="52">
        <v>72687.999988425901</v>
      </c>
      <c r="R93" s="51">
        <v>0</v>
      </c>
      <c r="S93" s="52">
        <v>45121</v>
      </c>
      <c r="T93" s="52">
        <v>72687.999988425901</v>
      </c>
      <c r="U93" s="51">
        <v>1</v>
      </c>
    </row>
    <row r="94" spans="1:21" x14ac:dyDescent="0.3">
      <c r="A94" s="51">
        <v>7014</v>
      </c>
      <c r="B94" s="51">
        <v>700010</v>
      </c>
      <c r="C94" s="51" t="s">
        <v>155</v>
      </c>
      <c r="D94" s="51">
        <v>200043</v>
      </c>
      <c r="E94" s="51" t="s">
        <v>156</v>
      </c>
      <c r="F94" s="51">
        <v>5</v>
      </c>
      <c r="H94" s="51" t="s">
        <v>128</v>
      </c>
      <c r="I94" s="51">
        <v>1</v>
      </c>
      <c r="J94" s="51" t="s">
        <v>128</v>
      </c>
      <c r="K94" s="51">
        <v>0</v>
      </c>
      <c r="L94" s="51">
        <v>0</v>
      </c>
      <c r="M94" s="51">
        <v>3</v>
      </c>
      <c r="N94" s="51">
        <v>9999</v>
      </c>
      <c r="O94" s="51">
        <v>15</v>
      </c>
      <c r="P94" s="52">
        <v>45121</v>
      </c>
      <c r="Q94" s="52">
        <v>72687.999988425901</v>
      </c>
      <c r="R94" s="51">
        <v>0</v>
      </c>
      <c r="S94" s="52">
        <v>45121</v>
      </c>
      <c r="T94" s="52">
        <v>72687.999988425901</v>
      </c>
      <c r="U94" s="51">
        <v>1</v>
      </c>
    </row>
    <row r="95" spans="1:21" x14ac:dyDescent="0.3">
      <c r="A95" s="51">
        <v>7015</v>
      </c>
      <c r="B95" s="51">
        <v>700014</v>
      </c>
      <c r="C95" s="51" t="s">
        <v>157</v>
      </c>
      <c r="D95" s="51">
        <v>200044</v>
      </c>
      <c r="E95" s="51" t="s">
        <v>158</v>
      </c>
      <c r="F95" s="51">
        <v>5</v>
      </c>
      <c r="H95" s="51" t="s">
        <v>159</v>
      </c>
      <c r="I95" s="51">
        <v>1</v>
      </c>
      <c r="J95" s="51" t="s">
        <v>160</v>
      </c>
      <c r="K95" s="51">
        <v>8</v>
      </c>
      <c r="L95" s="51">
        <v>0</v>
      </c>
      <c r="M95" s="51">
        <v>3</v>
      </c>
      <c r="N95" s="51">
        <v>0</v>
      </c>
      <c r="O95" s="51">
        <v>16</v>
      </c>
      <c r="P95" s="52">
        <v>45121</v>
      </c>
      <c r="Q95" s="52">
        <v>72687.999988425901</v>
      </c>
      <c r="R95" s="51">
        <v>0</v>
      </c>
      <c r="S95" s="52">
        <v>45121</v>
      </c>
      <c r="T95" s="52">
        <v>72687.999988425901</v>
      </c>
      <c r="U95" s="51">
        <v>1</v>
      </c>
    </row>
    <row r="96" spans="1:21" x14ac:dyDescent="0.3">
      <c r="A96" s="51">
        <v>7016</v>
      </c>
      <c r="B96" s="51">
        <v>700015</v>
      </c>
      <c r="C96" s="51" t="s">
        <v>161</v>
      </c>
      <c r="D96" s="51">
        <v>200045</v>
      </c>
      <c r="E96" s="51" t="s">
        <v>162</v>
      </c>
      <c r="F96" s="51">
        <v>5</v>
      </c>
      <c r="H96" s="51" t="s">
        <v>159</v>
      </c>
      <c r="I96" s="51">
        <v>1</v>
      </c>
      <c r="J96" s="51" t="s">
        <v>160</v>
      </c>
      <c r="K96" s="51">
        <v>8</v>
      </c>
      <c r="L96" s="51">
        <v>0</v>
      </c>
      <c r="M96" s="51">
        <v>3</v>
      </c>
      <c r="N96" s="51">
        <v>0</v>
      </c>
      <c r="O96" s="51">
        <v>18</v>
      </c>
      <c r="P96" s="52">
        <v>45121</v>
      </c>
      <c r="Q96" s="52">
        <v>72687.999988425901</v>
      </c>
      <c r="R96" s="51">
        <v>0</v>
      </c>
      <c r="S96" s="52">
        <v>45121</v>
      </c>
      <c r="T96" s="52">
        <v>72687.999988425901</v>
      </c>
      <c r="U96" s="51">
        <v>1</v>
      </c>
    </row>
    <row r="97" spans="1:23" x14ac:dyDescent="0.3">
      <c r="A97" s="51">
        <v>7017</v>
      </c>
      <c r="B97" s="51">
        <v>21</v>
      </c>
      <c r="C97" s="51" t="s">
        <v>172</v>
      </c>
      <c r="D97" s="51">
        <v>200049</v>
      </c>
      <c r="E97" s="51" t="s">
        <v>173</v>
      </c>
      <c r="F97" s="51">
        <v>5</v>
      </c>
      <c r="H97" s="51" t="s">
        <v>136</v>
      </c>
      <c r="I97" s="51">
        <v>1</v>
      </c>
      <c r="J97" s="51" t="s">
        <v>136</v>
      </c>
      <c r="K97" s="51">
        <v>0</v>
      </c>
      <c r="L97" s="51">
        <v>1</v>
      </c>
      <c r="M97" s="51">
        <v>3</v>
      </c>
      <c r="N97" s="51">
        <v>0</v>
      </c>
      <c r="O97" s="51">
        <v>17</v>
      </c>
      <c r="P97" s="52">
        <v>45121</v>
      </c>
      <c r="Q97" s="52">
        <v>72687.999988425901</v>
      </c>
      <c r="R97" s="51">
        <v>0</v>
      </c>
      <c r="S97" s="52">
        <v>45121</v>
      </c>
      <c r="T97" s="52">
        <v>72687.999988425901</v>
      </c>
      <c r="U97" s="51">
        <v>1</v>
      </c>
    </row>
    <row r="98" spans="1:23" x14ac:dyDescent="0.3">
      <c r="A98" s="51">
        <v>7021</v>
      </c>
      <c r="B98" s="51">
        <v>44</v>
      </c>
      <c r="C98" s="51" t="s">
        <v>301</v>
      </c>
      <c r="D98" s="51">
        <v>1200067</v>
      </c>
      <c r="F98" s="51">
        <v>5</v>
      </c>
      <c r="H98" s="51" t="s">
        <v>195</v>
      </c>
      <c r="I98" s="51">
        <v>1</v>
      </c>
      <c r="J98" s="51" t="s">
        <v>195</v>
      </c>
      <c r="K98" s="51">
        <v>0</v>
      </c>
      <c r="L98" s="51">
        <v>0</v>
      </c>
      <c r="M98" s="51">
        <v>3</v>
      </c>
      <c r="N98" s="51">
        <v>0</v>
      </c>
      <c r="O98" s="51">
        <v>22</v>
      </c>
      <c r="P98" s="52">
        <v>72686</v>
      </c>
      <c r="Q98" s="52">
        <v>72687.999988425901</v>
      </c>
      <c r="R98" s="51">
        <v>0</v>
      </c>
      <c r="S98" s="52">
        <v>45121</v>
      </c>
      <c r="T98" s="52">
        <v>72687.999988425901</v>
      </c>
      <c r="U98" s="51">
        <v>0</v>
      </c>
    </row>
    <row r="99" spans="1:23" x14ac:dyDescent="0.3">
      <c r="A99" s="51">
        <v>7022</v>
      </c>
      <c r="B99" s="51">
        <v>49</v>
      </c>
      <c r="C99" s="51" t="s">
        <v>302</v>
      </c>
      <c r="D99" s="51">
        <v>1200077</v>
      </c>
      <c r="F99" s="51">
        <v>5</v>
      </c>
      <c r="H99" s="51" t="s">
        <v>195</v>
      </c>
      <c r="I99" s="51">
        <v>1</v>
      </c>
      <c r="J99" s="51" t="s">
        <v>195</v>
      </c>
      <c r="K99" s="51">
        <v>0</v>
      </c>
      <c r="L99" s="51">
        <v>0</v>
      </c>
      <c r="M99" s="51">
        <v>3</v>
      </c>
      <c r="N99" s="51">
        <v>0</v>
      </c>
      <c r="O99" s="51">
        <v>23</v>
      </c>
      <c r="P99" s="52">
        <v>72686</v>
      </c>
      <c r="Q99" s="52">
        <v>72687.999988425901</v>
      </c>
      <c r="R99" s="51">
        <v>0</v>
      </c>
      <c r="S99" s="52">
        <v>45121</v>
      </c>
      <c r="T99" s="52">
        <v>72687.999988425901</v>
      </c>
      <c r="U99" s="51">
        <v>0</v>
      </c>
    </row>
    <row r="100" spans="1:23" x14ac:dyDescent="0.3">
      <c r="A100" s="51">
        <v>7023</v>
      </c>
      <c r="B100" s="51">
        <v>700022</v>
      </c>
      <c r="C100" s="51" t="s">
        <v>303</v>
      </c>
      <c r="D100" s="51">
        <v>7000222</v>
      </c>
      <c r="F100" s="51">
        <v>5</v>
      </c>
      <c r="H100" s="51" t="s">
        <v>128</v>
      </c>
      <c r="I100" s="51">
        <v>1</v>
      </c>
      <c r="J100" s="51" t="s">
        <v>128</v>
      </c>
      <c r="K100" s="51">
        <v>0</v>
      </c>
      <c r="L100" s="51">
        <v>0</v>
      </c>
      <c r="M100" s="51">
        <v>3</v>
      </c>
      <c r="N100" s="51">
        <v>9999</v>
      </c>
      <c r="O100" s="51">
        <v>9</v>
      </c>
      <c r="P100" s="52">
        <v>45121</v>
      </c>
      <c r="Q100" s="52">
        <v>72687.999988425901</v>
      </c>
      <c r="R100" s="51">
        <v>0</v>
      </c>
      <c r="S100" s="52">
        <v>45121</v>
      </c>
      <c r="T100" s="52">
        <v>72687.999988425901</v>
      </c>
      <c r="U100" s="51">
        <v>0</v>
      </c>
    </row>
    <row r="101" spans="1:23" s="80" customFormat="1" ht="15.6" x14ac:dyDescent="0.3">
      <c r="A101" s="80">
        <v>7024</v>
      </c>
      <c r="B101" s="80">
        <v>13003</v>
      </c>
      <c r="C101" s="91" t="s">
        <v>304</v>
      </c>
      <c r="D101" s="51">
        <v>1120208</v>
      </c>
      <c r="F101" s="80">
        <v>5</v>
      </c>
      <c r="H101" s="80" t="s">
        <v>212</v>
      </c>
      <c r="I101" s="80">
        <v>1</v>
      </c>
      <c r="J101" s="80" t="s">
        <v>212</v>
      </c>
      <c r="K101" s="80">
        <v>0</v>
      </c>
      <c r="L101" s="80">
        <v>0</v>
      </c>
      <c r="M101" s="80">
        <v>3</v>
      </c>
      <c r="N101" s="80">
        <v>0</v>
      </c>
      <c r="O101" s="80">
        <v>24</v>
      </c>
      <c r="P101" s="92">
        <v>45121</v>
      </c>
      <c r="Q101" s="92">
        <v>72687.999988425901</v>
      </c>
      <c r="R101" s="80">
        <v>0</v>
      </c>
      <c r="S101" s="92">
        <v>45121</v>
      </c>
      <c r="T101" s="92">
        <v>72687.999988425901</v>
      </c>
      <c r="U101" s="80">
        <v>0</v>
      </c>
    </row>
    <row r="102" spans="1:23" s="80" customFormat="1" ht="15.6" x14ac:dyDescent="0.3">
      <c r="A102" s="80">
        <v>7025</v>
      </c>
      <c r="B102" s="80">
        <v>13004</v>
      </c>
      <c r="C102" s="91" t="s">
        <v>305</v>
      </c>
      <c r="D102" s="51">
        <v>1120209</v>
      </c>
      <c r="F102" s="80">
        <v>5</v>
      </c>
      <c r="H102" s="80" t="s">
        <v>195</v>
      </c>
      <c r="I102" s="80">
        <v>1</v>
      </c>
      <c r="J102" s="80" t="s">
        <v>195</v>
      </c>
      <c r="K102" s="80">
        <v>0</v>
      </c>
      <c r="L102" s="80">
        <v>0</v>
      </c>
      <c r="M102" s="80">
        <v>3</v>
      </c>
      <c r="N102" s="80">
        <v>0</v>
      </c>
      <c r="O102" s="80">
        <v>25</v>
      </c>
      <c r="P102" s="92">
        <v>45121</v>
      </c>
      <c r="Q102" s="92">
        <v>72687.999988425901</v>
      </c>
      <c r="R102" s="80">
        <v>0</v>
      </c>
      <c r="S102" s="92">
        <v>45121</v>
      </c>
      <c r="T102" s="92">
        <v>72687.999988425901</v>
      </c>
      <c r="U102" s="80">
        <v>0</v>
      </c>
    </row>
    <row r="103" spans="1:23" s="80" customFormat="1" ht="15.6" x14ac:dyDescent="0.3">
      <c r="A103" s="80">
        <v>7026</v>
      </c>
      <c r="B103" s="80">
        <v>13005</v>
      </c>
      <c r="C103" s="91" t="s">
        <v>306</v>
      </c>
      <c r="D103" s="51">
        <v>1120210</v>
      </c>
      <c r="F103" s="80">
        <v>5</v>
      </c>
      <c r="H103" s="80" t="s">
        <v>195</v>
      </c>
      <c r="I103" s="80">
        <v>1</v>
      </c>
      <c r="J103" s="80" t="s">
        <v>195</v>
      </c>
      <c r="K103" s="80">
        <v>0</v>
      </c>
      <c r="L103" s="80">
        <v>0</v>
      </c>
      <c r="M103" s="80">
        <v>3</v>
      </c>
      <c r="N103" s="80">
        <v>0</v>
      </c>
      <c r="O103" s="80">
        <v>26</v>
      </c>
      <c r="P103" s="92">
        <v>45121</v>
      </c>
      <c r="Q103" s="92">
        <v>72687.999988425901</v>
      </c>
      <c r="R103" s="80">
        <v>0</v>
      </c>
      <c r="S103" s="92">
        <v>45121</v>
      </c>
      <c r="T103" s="92">
        <v>72687.999988425901</v>
      </c>
      <c r="U103" s="80">
        <v>0</v>
      </c>
    </row>
    <row r="104" spans="1:23" s="49" customFormat="1" ht="15.6" x14ac:dyDescent="0.3">
      <c r="A104" s="51">
        <v>7027</v>
      </c>
      <c r="B104" s="51">
        <v>700023</v>
      </c>
      <c r="C104" s="51" t="s">
        <v>307</v>
      </c>
      <c r="D104" s="51">
        <v>7000222</v>
      </c>
      <c r="E104" s="51"/>
      <c r="F104" s="51">
        <v>5</v>
      </c>
      <c r="G104" s="51"/>
      <c r="H104" s="51" t="s">
        <v>308</v>
      </c>
      <c r="I104" s="51">
        <v>1</v>
      </c>
      <c r="J104" s="51" t="s">
        <v>308</v>
      </c>
      <c r="K104" s="51">
        <v>0</v>
      </c>
      <c r="L104" s="51">
        <v>0</v>
      </c>
      <c r="M104" s="51">
        <v>3</v>
      </c>
      <c r="N104" s="51">
        <v>9999</v>
      </c>
      <c r="O104" s="51">
        <v>9</v>
      </c>
      <c r="P104" s="52">
        <v>45121</v>
      </c>
      <c r="Q104" s="52">
        <v>72687.999988425901</v>
      </c>
      <c r="R104" s="51">
        <v>0</v>
      </c>
      <c r="S104" s="52">
        <v>45121</v>
      </c>
      <c r="T104" s="52">
        <v>72687.999988425901</v>
      </c>
      <c r="U104" s="51">
        <v>0</v>
      </c>
      <c r="V104" s="51"/>
      <c r="W104" s="51"/>
    </row>
    <row r="105" spans="1:23" s="49" customFormat="1" ht="15.6" x14ac:dyDescent="0.3">
      <c r="A105" s="51">
        <v>7028</v>
      </c>
      <c r="B105" s="51">
        <v>700024</v>
      </c>
      <c r="C105" s="51" t="s">
        <v>309</v>
      </c>
      <c r="D105" s="51">
        <v>7000222</v>
      </c>
      <c r="E105" s="51"/>
      <c r="F105" s="51">
        <v>5</v>
      </c>
      <c r="G105" s="51"/>
      <c r="H105" s="51" t="s">
        <v>310</v>
      </c>
      <c r="I105" s="51">
        <v>1</v>
      </c>
      <c r="J105" s="51" t="s">
        <v>310</v>
      </c>
      <c r="K105" s="51">
        <v>0</v>
      </c>
      <c r="L105" s="51">
        <v>0</v>
      </c>
      <c r="M105" s="51">
        <v>3</v>
      </c>
      <c r="N105" s="51">
        <v>9999</v>
      </c>
      <c r="O105" s="51">
        <v>9</v>
      </c>
      <c r="P105" s="52">
        <v>45121</v>
      </c>
      <c r="Q105" s="52">
        <v>72687.999988425901</v>
      </c>
      <c r="R105" s="51">
        <v>0</v>
      </c>
      <c r="S105" s="52">
        <v>45121</v>
      </c>
      <c r="T105" s="52">
        <v>72687.999988425901</v>
      </c>
      <c r="U105" s="51">
        <v>0</v>
      </c>
      <c r="V105" s="51"/>
      <c r="W105" s="51"/>
    </row>
    <row r="106" spans="1:23" s="49" customFormat="1" ht="15.6" x14ac:dyDescent="0.3">
      <c r="A106" s="51">
        <v>7029</v>
      </c>
      <c r="B106" s="51">
        <v>700025</v>
      </c>
      <c r="C106" s="51" t="s">
        <v>311</v>
      </c>
      <c r="D106" s="51">
        <v>7000222</v>
      </c>
      <c r="E106" s="51"/>
      <c r="F106" s="51">
        <v>5</v>
      </c>
      <c r="G106" s="51"/>
      <c r="H106" s="51" t="s">
        <v>312</v>
      </c>
      <c r="I106" s="51">
        <v>1</v>
      </c>
      <c r="J106" s="51" t="s">
        <v>312</v>
      </c>
      <c r="K106" s="51">
        <v>0</v>
      </c>
      <c r="L106" s="51">
        <v>0</v>
      </c>
      <c r="M106" s="51">
        <v>3</v>
      </c>
      <c r="N106" s="51">
        <v>9999</v>
      </c>
      <c r="O106" s="51">
        <v>9</v>
      </c>
      <c r="P106" s="52">
        <v>45121</v>
      </c>
      <c r="Q106" s="52">
        <v>72687.999988425901</v>
      </c>
      <c r="R106" s="51">
        <v>0</v>
      </c>
      <c r="S106" s="52">
        <v>45121</v>
      </c>
      <c r="T106" s="52">
        <v>72687.999988425901</v>
      </c>
      <c r="U106" s="51">
        <v>0</v>
      </c>
      <c r="V106" s="51"/>
      <c r="W106" s="51"/>
    </row>
    <row r="107" spans="1:23" s="49" customFormat="1" ht="15.6" x14ac:dyDescent="0.3">
      <c r="A107" s="51">
        <v>7030</v>
      </c>
      <c r="B107" s="51">
        <v>700026</v>
      </c>
      <c r="C107" s="51" t="s">
        <v>313</v>
      </c>
      <c r="D107" s="51">
        <v>7000222</v>
      </c>
      <c r="E107" s="51"/>
      <c r="F107" s="51">
        <v>5</v>
      </c>
      <c r="G107" s="51"/>
      <c r="H107" s="51" t="s">
        <v>144</v>
      </c>
      <c r="I107" s="51">
        <v>1</v>
      </c>
      <c r="J107" s="51" t="s">
        <v>144</v>
      </c>
      <c r="K107" s="51">
        <v>0</v>
      </c>
      <c r="L107" s="51">
        <v>0</v>
      </c>
      <c r="M107" s="51">
        <v>3</v>
      </c>
      <c r="N107" s="51">
        <v>9999</v>
      </c>
      <c r="O107" s="51">
        <v>9</v>
      </c>
      <c r="P107" s="52">
        <v>45121</v>
      </c>
      <c r="Q107" s="52">
        <v>72687.999988425901</v>
      </c>
      <c r="R107" s="51">
        <v>0</v>
      </c>
      <c r="S107" s="52">
        <v>45121</v>
      </c>
      <c r="T107" s="52">
        <v>72687.999988425901</v>
      </c>
      <c r="U107" s="51">
        <v>0</v>
      </c>
      <c r="V107" s="51"/>
      <c r="W107" s="51"/>
    </row>
    <row r="108" spans="1:23" s="49" customFormat="1" ht="15.6" x14ac:dyDescent="0.25">
      <c r="A108" s="54">
        <v>7031</v>
      </c>
      <c r="B108" s="51">
        <v>700027</v>
      </c>
      <c r="C108" s="51" t="s">
        <v>711</v>
      </c>
      <c r="D108" s="51">
        <v>7000272</v>
      </c>
      <c r="E108" s="51"/>
      <c r="F108" s="51">
        <v>5</v>
      </c>
      <c r="G108" s="51"/>
      <c r="H108" s="51" t="s">
        <v>712</v>
      </c>
      <c r="I108" s="51">
        <v>1</v>
      </c>
      <c r="J108" s="51" t="s">
        <v>712</v>
      </c>
      <c r="K108" s="51">
        <v>0</v>
      </c>
      <c r="L108" s="51">
        <v>0</v>
      </c>
      <c r="M108" s="51">
        <v>3</v>
      </c>
      <c r="N108" s="51">
        <v>0</v>
      </c>
      <c r="O108" s="51">
        <v>27</v>
      </c>
      <c r="P108" s="52">
        <v>45121</v>
      </c>
      <c r="Q108" s="52">
        <v>72687.999988425901</v>
      </c>
      <c r="R108" s="51">
        <v>0</v>
      </c>
      <c r="S108" s="52">
        <v>45121</v>
      </c>
      <c r="T108" s="52">
        <v>72687.999988425901</v>
      </c>
      <c r="U108" s="51">
        <v>0</v>
      </c>
      <c r="V108" s="51"/>
      <c r="W108" s="51"/>
    </row>
    <row r="109" spans="1:23" s="49" customFormat="1" ht="15.6" x14ac:dyDescent="0.25">
      <c r="A109" s="54">
        <v>7032</v>
      </c>
      <c r="B109" s="51">
        <v>700028</v>
      </c>
      <c r="C109" s="51" t="s">
        <v>735</v>
      </c>
      <c r="D109" s="51">
        <v>7000282</v>
      </c>
      <c r="E109" s="51"/>
      <c r="F109" s="51">
        <v>5</v>
      </c>
      <c r="G109" s="51"/>
      <c r="H109" s="51" t="s">
        <v>736</v>
      </c>
      <c r="I109" s="51">
        <v>1</v>
      </c>
      <c r="J109" s="51" t="s">
        <v>736</v>
      </c>
      <c r="K109" s="51">
        <v>0</v>
      </c>
      <c r="L109" s="51">
        <v>0</v>
      </c>
      <c r="M109" s="51">
        <v>3</v>
      </c>
      <c r="N109" s="51">
        <v>0</v>
      </c>
      <c r="O109" s="51">
        <v>3</v>
      </c>
      <c r="P109" s="52">
        <v>45398.166655092595</v>
      </c>
      <c r="Q109" s="52">
        <v>72687.999988425901</v>
      </c>
      <c r="R109" s="51">
        <v>0</v>
      </c>
      <c r="S109" s="52">
        <v>45398.166655092595</v>
      </c>
      <c r="T109" s="52">
        <v>72687.999988425901</v>
      </c>
      <c r="U109" s="51">
        <v>1</v>
      </c>
      <c r="V109" s="51"/>
      <c r="W109" s="51"/>
    </row>
    <row r="110" spans="1:23" s="49" customFormat="1" ht="15.6" x14ac:dyDescent="0.25">
      <c r="A110" s="54">
        <v>7033</v>
      </c>
      <c r="B110" s="51">
        <v>700003</v>
      </c>
      <c r="C110" s="51" t="s">
        <v>738</v>
      </c>
      <c r="D110" s="51">
        <v>7000032</v>
      </c>
      <c r="E110" s="51"/>
      <c r="F110" s="51">
        <v>5</v>
      </c>
      <c r="G110" s="51"/>
      <c r="H110" s="51" t="s">
        <v>739</v>
      </c>
      <c r="I110" s="51">
        <v>1</v>
      </c>
      <c r="J110" s="51" t="s">
        <v>739</v>
      </c>
      <c r="K110" s="51">
        <v>0</v>
      </c>
      <c r="L110" s="51">
        <v>0</v>
      </c>
      <c r="M110" s="51">
        <v>3</v>
      </c>
      <c r="N110" s="51">
        <v>0</v>
      </c>
      <c r="O110" s="51">
        <v>2</v>
      </c>
      <c r="P110" s="52">
        <v>45398.166655092595</v>
      </c>
      <c r="Q110" s="52">
        <v>72687.999988425901</v>
      </c>
      <c r="R110" s="51">
        <v>0</v>
      </c>
      <c r="S110" s="52">
        <v>45398.166655092595</v>
      </c>
      <c r="T110" s="52">
        <v>72687.999988425901</v>
      </c>
      <c r="U110" s="51">
        <v>1</v>
      </c>
      <c r="V110" s="51"/>
      <c r="W110" s="51"/>
    </row>
    <row r="111" spans="1:23" x14ac:dyDescent="0.25">
      <c r="A111" s="51">
        <v>8001</v>
      </c>
      <c r="B111" s="48">
        <v>13</v>
      </c>
      <c r="C111" s="48" t="s">
        <v>140</v>
      </c>
      <c r="D111" s="48">
        <v>200050</v>
      </c>
      <c r="E111" s="48" t="s">
        <v>141</v>
      </c>
      <c r="F111" s="32">
        <v>6</v>
      </c>
      <c r="G111" s="32"/>
      <c r="H111" s="48" t="s">
        <v>174</v>
      </c>
      <c r="I111" s="48">
        <v>1</v>
      </c>
      <c r="J111" s="48" t="s">
        <v>174</v>
      </c>
      <c r="K111" s="48">
        <v>0</v>
      </c>
      <c r="L111" s="48">
        <v>1</v>
      </c>
      <c r="M111" s="48">
        <v>3</v>
      </c>
      <c r="N111" s="48">
        <v>1</v>
      </c>
      <c r="O111" s="48">
        <v>0</v>
      </c>
      <c r="P111" s="52">
        <v>45121</v>
      </c>
      <c r="Q111" s="52">
        <v>72687.999988425901</v>
      </c>
      <c r="R111" s="51">
        <v>0</v>
      </c>
      <c r="S111" s="52">
        <v>45121</v>
      </c>
      <c r="T111" s="52">
        <v>72687.999988425901</v>
      </c>
      <c r="U111" s="51">
        <v>1</v>
      </c>
    </row>
    <row r="112" spans="1:23" x14ac:dyDescent="0.25">
      <c r="A112" s="51">
        <v>8002</v>
      </c>
      <c r="B112" s="48">
        <v>600001</v>
      </c>
      <c r="C112" s="48" t="s">
        <v>129</v>
      </c>
      <c r="D112" s="48">
        <v>200051</v>
      </c>
      <c r="E112" s="48" t="s">
        <v>130</v>
      </c>
      <c r="F112" s="32">
        <v>6</v>
      </c>
      <c r="G112" s="32"/>
      <c r="H112" s="48" t="s">
        <v>174</v>
      </c>
      <c r="I112" s="48">
        <v>1</v>
      </c>
      <c r="J112" s="48" t="s">
        <v>174</v>
      </c>
      <c r="K112" s="48">
        <v>0</v>
      </c>
      <c r="L112" s="48">
        <v>1</v>
      </c>
      <c r="M112" s="48">
        <v>3</v>
      </c>
      <c r="N112" s="48">
        <v>1</v>
      </c>
      <c r="O112" s="48">
        <v>0</v>
      </c>
      <c r="P112" s="52">
        <v>45121</v>
      </c>
      <c r="Q112" s="52">
        <v>72687.999988425901</v>
      </c>
      <c r="R112" s="51">
        <v>0</v>
      </c>
      <c r="S112" s="52">
        <v>45121</v>
      </c>
      <c r="T112" s="52">
        <v>72687.999988425901</v>
      </c>
      <c r="U112" s="51">
        <v>1</v>
      </c>
    </row>
    <row r="113" spans="1:21" x14ac:dyDescent="0.25">
      <c r="A113" s="51">
        <v>8003</v>
      </c>
      <c r="B113" s="48">
        <v>12</v>
      </c>
      <c r="C113" s="48" t="s">
        <v>175</v>
      </c>
      <c r="D113" s="48">
        <v>200052</v>
      </c>
      <c r="E113" s="48" t="s">
        <v>176</v>
      </c>
      <c r="F113" s="32">
        <v>6</v>
      </c>
      <c r="G113" s="32"/>
      <c r="H113" s="48" t="s">
        <v>174</v>
      </c>
      <c r="I113" s="48">
        <v>50</v>
      </c>
      <c r="J113" s="48" t="s">
        <v>174</v>
      </c>
      <c r="K113" s="48">
        <v>0</v>
      </c>
      <c r="L113" s="48">
        <v>1</v>
      </c>
      <c r="M113" s="48">
        <v>3</v>
      </c>
      <c r="N113" s="48">
        <v>1</v>
      </c>
      <c r="O113" s="48">
        <v>0</v>
      </c>
      <c r="P113" s="52">
        <v>45121</v>
      </c>
      <c r="Q113" s="52">
        <v>72687.999988425901</v>
      </c>
      <c r="R113" s="51">
        <v>0</v>
      </c>
      <c r="S113" s="52">
        <v>45121</v>
      </c>
      <c r="T113" s="52">
        <v>72687.999988425901</v>
      </c>
      <c r="U113" s="51">
        <v>1</v>
      </c>
    </row>
    <row r="114" spans="1:21" x14ac:dyDescent="0.25">
      <c r="A114" s="51">
        <v>8004</v>
      </c>
      <c r="B114" s="48">
        <v>600005</v>
      </c>
      <c r="C114" s="48" t="s">
        <v>132</v>
      </c>
      <c r="D114" s="48">
        <v>200053</v>
      </c>
      <c r="E114" s="48" t="s">
        <v>133</v>
      </c>
      <c r="F114" s="32">
        <v>6</v>
      </c>
      <c r="G114" s="32"/>
      <c r="H114" s="48" t="s">
        <v>177</v>
      </c>
      <c r="I114" s="48">
        <v>20</v>
      </c>
      <c r="J114" s="48" t="s">
        <v>177</v>
      </c>
      <c r="K114" s="48">
        <v>0</v>
      </c>
      <c r="L114" s="48">
        <v>1</v>
      </c>
      <c r="M114" s="48">
        <v>3</v>
      </c>
      <c r="N114" s="48">
        <v>1</v>
      </c>
      <c r="O114" s="48">
        <v>0</v>
      </c>
      <c r="P114" s="52">
        <v>45121</v>
      </c>
      <c r="Q114" s="52">
        <v>72687.999988425901</v>
      </c>
      <c r="R114" s="51">
        <v>0</v>
      </c>
      <c r="S114" s="52">
        <v>45121</v>
      </c>
      <c r="T114" s="52">
        <v>72687.999988425901</v>
      </c>
      <c r="U114" s="51">
        <v>1</v>
      </c>
    </row>
    <row r="115" spans="1:21" x14ac:dyDescent="0.25">
      <c r="A115" s="51">
        <v>8005</v>
      </c>
      <c r="B115" s="48">
        <v>600005</v>
      </c>
      <c r="C115" s="48" t="s">
        <v>132</v>
      </c>
      <c r="D115" s="48">
        <v>200054</v>
      </c>
      <c r="E115" s="48" t="s">
        <v>133</v>
      </c>
      <c r="F115" s="32">
        <v>6</v>
      </c>
      <c r="G115" s="32"/>
      <c r="H115" s="48" t="s">
        <v>178</v>
      </c>
      <c r="I115" s="48">
        <v>25</v>
      </c>
      <c r="J115" s="48" t="s">
        <v>178</v>
      </c>
      <c r="K115" s="48">
        <v>0</v>
      </c>
      <c r="L115" s="48">
        <v>1</v>
      </c>
      <c r="M115" s="48">
        <v>3</v>
      </c>
      <c r="N115" s="48">
        <v>1</v>
      </c>
      <c r="O115" s="48">
        <v>0</v>
      </c>
      <c r="P115" s="52">
        <v>45121</v>
      </c>
      <c r="Q115" s="52">
        <v>72687.999988425901</v>
      </c>
      <c r="R115" s="51">
        <v>0</v>
      </c>
      <c r="S115" s="52">
        <v>45121</v>
      </c>
      <c r="T115" s="52">
        <v>72687.999988425901</v>
      </c>
      <c r="U115" s="51">
        <v>1</v>
      </c>
    </row>
    <row r="116" spans="1:21" x14ac:dyDescent="0.25">
      <c r="A116" s="51">
        <v>8006</v>
      </c>
      <c r="B116" s="48">
        <v>600006</v>
      </c>
      <c r="C116" s="48" t="s">
        <v>134</v>
      </c>
      <c r="D116" s="48">
        <v>200055</v>
      </c>
      <c r="E116" s="48" t="s">
        <v>135</v>
      </c>
      <c r="F116" s="32">
        <v>6</v>
      </c>
      <c r="G116" s="32"/>
      <c r="H116" s="48" t="s">
        <v>177</v>
      </c>
      <c r="I116" s="48">
        <v>10</v>
      </c>
      <c r="J116" s="48" t="s">
        <v>177</v>
      </c>
      <c r="K116" s="48">
        <v>0</v>
      </c>
      <c r="L116" s="48">
        <v>1</v>
      </c>
      <c r="M116" s="48">
        <v>3</v>
      </c>
      <c r="N116" s="48">
        <v>1</v>
      </c>
      <c r="O116" s="48">
        <v>0</v>
      </c>
      <c r="P116" s="52">
        <v>45121</v>
      </c>
      <c r="Q116" s="52">
        <v>72687.999988425901</v>
      </c>
      <c r="R116" s="51">
        <v>0</v>
      </c>
      <c r="S116" s="52">
        <v>45121</v>
      </c>
      <c r="T116" s="52">
        <v>72687.999988425901</v>
      </c>
      <c r="U116" s="51">
        <v>1</v>
      </c>
    </row>
    <row r="117" spans="1:21" x14ac:dyDescent="0.25">
      <c r="A117" s="51">
        <v>8007</v>
      </c>
      <c r="B117" s="48">
        <v>600006</v>
      </c>
      <c r="C117" s="48" t="s">
        <v>134</v>
      </c>
      <c r="D117" s="48">
        <v>200056</v>
      </c>
      <c r="E117" s="48" t="s">
        <v>135</v>
      </c>
      <c r="F117" s="32">
        <v>6</v>
      </c>
      <c r="G117" s="32"/>
      <c r="H117" s="48" t="s">
        <v>179</v>
      </c>
      <c r="I117" s="48">
        <v>20</v>
      </c>
      <c r="J117" s="48" t="s">
        <v>179</v>
      </c>
      <c r="K117" s="48">
        <v>0</v>
      </c>
      <c r="L117" s="48">
        <v>1</v>
      </c>
      <c r="M117" s="48">
        <v>3</v>
      </c>
      <c r="N117" s="48">
        <v>1</v>
      </c>
      <c r="O117" s="48">
        <v>0</v>
      </c>
      <c r="P117" s="52">
        <v>45121</v>
      </c>
      <c r="Q117" s="52">
        <v>72687.999988425901</v>
      </c>
      <c r="R117" s="51">
        <v>0</v>
      </c>
      <c r="S117" s="52">
        <v>45121</v>
      </c>
      <c r="T117" s="52">
        <v>72687.999988425901</v>
      </c>
      <c r="U117" s="51">
        <v>1</v>
      </c>
    </row>
    <row r="118" spans="1:21" x14ac:dyDescent="0.25">
      <c r="A118" s="51">
        <v>8008</v>
      </c>
      <c r="B118" s="48">
        <v>600006</v>
      </c>
      <c r="C118" s="48" t="s">
        <v>134</v>
      </c>
      <c r="D118" s="48">
        <v>200057</v>
      </c>
      <c r="E118" s="48" t="s">
        <v>135</v>
      </c>
      <c r="F118" s="32">
        <v>6</v>
      </c>
      <c r="G118" s="32"/>
      <c r="H118" s="48" t="s">
        <v>180</v>
      </c>
      <c r="I118" s="48">
        <v>20</v>
      </c>
      <c r="J118" s="48" t="s">
        <v>180</v>
      </c>
      <c r="K118" s="48">
        <v>0</v>
      </c>
      <c r="L118" s="48">
        <v>1</v>
      </c>
      <c r="M118" s="48">
        <v>3</v>
      </c>
      <c r="N118" s="48">
        <v>1</v>
      </c>
      <c r="O118" s="48">
        <v>0</v>
      </c>
      <c r="P118" s="52">
        <v>45121</v>
      </c>
      <c r="Q118" s="52">
        <v>72687.999988425901</v>
      </c>
      <c r="R118" s="51">
        <v>0</v>
      </c>
      <c r="S118" s="52">
        <v>45121</v>
      </c>
      <c r="T118" s="52">
        <v>72687.999988425901</v>
      </c>
      <c r="U118" s="51">
        <v>1</v>
      </c>
    </row>
    <row r="119" spans="1:21" x14ac:dyDescent="0.25">
      <c r="A119" s="51">
        <v>8009</v>
      </c>
      <c r="B119" s="48">
        <v>600006</v>
      </c>
      <c r="C119" s="48" t="s">
        <v>134</v>
      </c>
      <c r="D119" s="48">
        <v>200058</v>
      </c>
      <c r="E119" s="48" t="s">
        <v>135</v>
      </c>
      <c r="F119" s="32">
        <v>6</v>
      </c>
      <c r="G119" s="32"/>
      <c r="H119" s="48" t="s">
        <v>181</v>
      </c>
      <c r="I119" s="48">
        <v>25</v>
      </c>
      <c r="J119" s="48" t="s">
        <v>181</v>
      </c>
      <c r="K119" s="48">
        <v>0</v>
      </c>
      <c r="L119" s="48">
        <v>1</v>
      </c>
      <c r="M119" s="48">
        <v>3</v>
      </c>
      <c r="N119" s="48">
        <v>1</v>
      </c>
      <c r="O119" s="48">
        <v>0</v>
      </c>
      <c r="P119" s="52">
        <v>45121</v>
      </c>
      <c r="Q119" s="52">
        <v>72687.999988425901</v>
      </c>
      <c r="R119" s="51">
        <v>0</v>
      </c>
      <c r="S119" s="52">
        <v>45121</v>
      </c>
      <c r="T119" s="52">
        <v>72687.999988425901</v>
      </c>
      <c r="U119" s="51">
        <v>1</v>
      </c>
    </row>
    <row r="120" spans="1:21" x14ac:dyDescent="0.25">
      <c r="A120" s="51">
        <v>8010</v>
      </c>
      <c r="B120" s="48">
        <v>400171</v>
      </c>
      <c r="C120" s="48" t="s">
        <v>182</v>
      </c>
      <c r="D120" s="48">
        <v>200059</v>
      </c>
      <c r="E120" s="48" t="s">
        <v>183</v>
      </c>
      <c r="F120" s="32">
        <v>6</v>
      </c>
      <c r="G120" s="32"/>
      <c r="H120" s="48" t="s">
        <v>184</v>
      </c>
      <c r="I120" s="48">
        <v>1</v>
      </c>
      <c r="J120" s="48" t="s">
        <v>184</v>
      </c>
      <c r="K120" s="48">
        <v>0</v>
      </c>
      <c r="L120" s="48">
        <v>1</v>
      </c>
      <c r="M120" s="48">
        <v>3</v>
      </c>
      <c r="N120" s="48">
        <v>1</v>
      </c>
      <c r="O120" s="48">
        <v>0</v>
      </c>
      <c r="P120" s="52">
        <v>45121</v>
      </c>
      <c r="Q120" s="52">
        <v>72687.999988425901</v>
      </c>
      <c r="R120" s="51">
        <v>0</v>
      </c>
      <c r="S120" s="52">
        <v>45121</v>
      </c>
      <c r="T120" s="52">
        <v>72687.999988425901</v>
      </c>
      <c r="U120" s="51">
        <v>1</v>
      </c>
    </row>
    <row r="121" spans="1:21" x14ac:dyDescent="0.25">
      <c r="A121" s="51">
        <v>8011</v>
      </c>
      <c r="B121" s="48">
        <v>400172</v>
      </c>
      <c r="C121" s="48" t="s">
        <v>185</v>
      </c>
      <c r="D121" s="48">
        <v>200060</v>
      </c>
      <c r="E121" s="48" t="s">
        <v>186</v>
      </c>
      <c r="F121" s="32">
        <v>6</v>
      </c>
      <c r="G121" s="32"/>
      <c r="H121" s="48" t="s">
        <v>187</v>
      </c>
      <c r="I121" s="48">
        <v>1</v>
      </c>
      <c r="J121" s="48" t="s">
        <v>187</v>
      </c>
      <c r="K121" s="48">
        <v>0</v>
      </c>
      <c r="L121" s="48">
        <v>1</v>
      </c>
      <c r="M121" s="48">
        <v>3</v>
      </c>
      <c r="N121" s="48">
        <v>1</v>
      </c>
      <c r="O121" s="48">
        <v>0</v>
      </c>
      <c r="P121" s="52">
        <v>45121</v>
      </c>
      <c r="Q121" s="52">
        <v>72687.999988425901</v>
      </c>
      <c r="R121" s="51">
        <v>0</v>
      </c>
      <c r="S121" s="52">
        <v>45121</v>
      </c>
      <c r="T121" s="52">
        <v>72687.999988425901</v>
      </c>
      <c r="U121" s="51">
        <v>1</v>
      </c>
    </row>
    <row r="122" spans="1:21" x14ac:dyDescent="0.25">
      <c r="A122" s="51">
        <v>8012</v>
      </c>
      <c r="B122" s="48">
        <v>400204</v>
      </c>
      <c r="C122" s="48" t="s">
        <v>188</v>
      </c>
      <c r="D122" s="48">
        <v>200061</v>
      </c>
      <c r="E122" s="48" t="s">
        <v>189</v>
      </c>
      <c r="F122" s="32">
        <v>6</v>
      </c>
      <c r="G122" s="32"/>
      <c r="H122" s="48" t="s">
        <v>177</v>
      </c>
      <c r="I122" s="48">
        <v>1</v>
      </c>
      <c r="J122" s="48" t="s">
        <v>177</v>
      </c>
      <c r="K122" s="48">
        <v>0</v>
      </c>
      <c r="L122" s="48">
        <v>1</v>
      </c>
      <c r="M122" s="48">
        <v>3</v>
      </c>
      <c r="N122" s="48">
        <v>1</v>
      </c>
      <c r="O122" s="48">
        <v>0</v>
      </c>
      <c r="P122" s="52">
        <v>45121</v>
      </c>
      <c r="Q122" s="52">
        <v>72687.999988425901</v>
      </c>
      <c r="R122" s="51">
        <v>0</v>
      </c>
      <c r="S122" s="52">
        <v>45121</v>
      </c>
      <c r="T122" s="52">
        <v>72687.999988425901</v>
      </c>
      <c r="U122" s="51">
        <v>1</v>
      </c>
    </row>
    <row r="123" spans="1:21" x14ac:dyDescent="0.25">
      <c r="A123" s="51">
        <v>8013</v>
      </c>
      <c r="B123" s="48">
        <v>400205</v>
      </c>
      <c r="C123" s="48" t="s">
        <v>190</v>
      </c>
      <c r="D123" s="48">
        <v>200062</v>
      </c>
      <c r="E123" s="48" t="s">
        <v>191</v>
      </c>
      <c r="F123" s="32">
        <v>6</v>
      </c>
      <c r="G123" s="32"/>
      <c r="H123" s="48" t="s">
        <v>192</v>
      </c>
      <c r="I123" s="48">
        <v>1</v>
      </c>
      <c r="J123" s="48" t="s">
        <v>192</v>
      </c>
      <c r="K123" s="48">
        <v>0</v>
      </c>
      <c r="L123" s="48">
        <v>1</v>
      </c>
      <c r="M123" s="48">
        <v>3</v>
      </c>
      <c r="N123" s="48">
        <v>1</v>
      </c>
      <c r="O123" s="48">
        <v>0</v>
      </c>
      <c r="P123" s="52">
        <v>45121</v>
      </c>
      <c r="Q123" s="52">
        <v>72687.999988425901</v>
      </c>
      <c r="R123" s="51">
        <v>0</v>
      </c>
      <c r="S123" s="52">
        <v>45121</v>
      </c>
      <c r="T123" s="52">
        <v>72687.999988425901</v>
      </c>
      <c r="U123" s="51">
        <v>1</v>
      </c>
    </row>
    <row r="124" spans="1:21" x14ac:dyDescent="0.25">
      <c r="A124" s="51">
        <v>8014</v>
      </c>
      <c r="B124" s="48">
        <v>13</v>
      </c>
      <c r="C124" s="48" t="s">
        <v>140</v>
      </c>
      <c r="D124" s="48">
        <v>200063</v>
      </c>
      <c r="E124" s="48" t="s">
        <v>141</v>
      </c>
      <c r="F124" s="32">
        <v>6</v>
      </c>
      <c r="G124" s="32"/>
      <c r="H124" s="48" t="s">
        <v>732</v>
      </c>
      <c r="I124" s="48">
        <v>100</v>
      </c>
      <c r="J124" s="48" t="s">
        <v>732</v>
      </c>
      <c r="K124" s="48">
        <v>0</v>
      </c>
      <c r="L124" s="48">
        <v>1</v>
      </c>
      <c r="M124" s="48">
        <v>3</v>
      </c>
      <c r="N124" s="48">
        <v>1</v>
      </c>
      <c r="O124" s="48">
        <v>0</v>
      </c>
      <c r="P124" s="52">
        <v>45121</v>
      </c>
      <c r="Q124" s="52">
        <v>72687.999988425901</v>
      </c>
      <c r="R124" s="51">
        <v>0</v>
      </c>
      <c r="S124" s="52">
        <v>45121</v>
      </c>
      <c r="T124" s="52">
        <v>72687.999988425901</v>
      </c>
      <c r="U124" s="51">
        <v>1</v>
      </c>
    </row>
    <row r="125" spans="1:21" x14ac:dyDescent="0.25">
      <c r="A125" s="51">
        <v>8015</v>
      </c>
      <c r="B125" s="48">
        <v>12</v>
      </c>
      <c r="C125" s="48" t="s">
        <v>175</v>
      </c>
      <c r="D125" s="48">
        <v>200064</v>
      </c>
      <c r="E125" s="48" t="s">
        <v>176</v>
      </c>
      <c r="F125" s="32">
        <v>6</v>
      </c>
      <c r="G125" s="32"/>
      <c r="H125" s="48" t="s">
        <v>733</v>
      </c>
      <c r="I125" s="48">
        <v>800</v>
      </c>
      <c r="J125" s="48" t="s">
        <v>733</v>
      </c>
      <c r="K125" s="48">
        <v>0</v>
      </c>
      <c r="L125" s="48">
        <v>1</v>
      </c>
      <c r="M125" s="48">
        <v>3</v>
      </c>
      <c r="N125" s="48">
        <v>1</v>
      </c>
      <c r="O125" s="48">
        <v>0</v>
      </c>
      <c r="P125" s="52">
        <v>45121</v>
      </c>
      <c r="Q125" s="52">
        <v>72687.999988425901</v>
      </c>
      <c r="R125" s="51">
        <v>0</v>
      </c>
      <c r="S125" s="52">
        <v>45121</v>
      </c>
      <c r="T125" s="52">
        <v>72687.999988425901</v>
      </c>
      <c r="U125" s="51">
        <v>1</v>
      </c>
    </row>
    <row r="126" spans="1:21" x14ac:dyDescent="0.25">
      <c r="A126" s="51">
        <v>8016</v>
      </c>
      <c r="B126" s="48">
        <v>600005</v>
      </c>
      <c r="C126" s="48" t="s">
        <v>132</v>
      </c>
      <c r="D126" s="48">
        <v>200065</v>
      </c>
      <c r="E126" s="48" t="s">
        <v>133</v>
      </c>
      <c r="F126" s="32">
        <v>6</v>
      </c>
      <c r="G126" s="32"/>
      <c r="H126" s="48" t="s">
        <v>734</v>
      </c>
      <c r="I126" s="48">
        <v>10</v>
      </c>
      <c r="J126" s="48" t="s">
        <v>734</v>
      </c>
      <c r="K126" s="48">
        <v>0</v>
      </c>
      <c r="L126" s="48">
        <v>1</v>
      </c>
      <c r="M126" s="48">
        <v>3</v>
      </c>
      <c r="N126" s="48">
        <v>1</v>
      </c>
      <c r="O126" s="48">
        <v>0</v>
      </c>
      <c r="P126" s="52">
        <v>45121</v>
      </c>
      <c r="Q126" s="52">
        <v>72687.999988425901</v>
      </c>
      <c r="R126" s="51">
        <v>0</v>
      </c>
      <c r="S126" s="52">
        <v>45121</v>
      </c>
      <c r="T126" s="52">
        <v>72687.999988425901</v>
      </c>
      <c r="U126" s="51">
        <v>1</v>
      </c>
    </row>
    <row r="127" spans="1:21" x14ac:dyDescent="0.25">
      <c r="A127" s="51">
        <v>8017</v>
      </c>
      <c r="B127" s="48">
        <v>600005</v>
      </c>
      <c r="C127" s="48" t="s">
        <v>132</v>
      </c>
      <c r="D127" s="48">
        <v>200066</v>
      </c>
      <c r="E127" s="48" t="s">
        <v>133</v>
      </c>
      <c r="F127" s="32">
        <v>6</v>
      </c>
      <c r="G127" s="32"/>
      <c r="H127" s="48" t="s">
        <v>732</v>
      </c>
      <c r="I127" s="48">
        <v>20</v>
      </c>
      <c r="J127" s="48" t="s">
        <v>732</v>
      </c>
      <c r="K127" s="48">
        <v>0</v>
      </c>
      <c r="L127" s="48">
        <v>1</v>
      </c>
      <c r="M127" s="48">
        <v>3</v>
      </c>
      <c r="N127" s="48">
        <v>1</v>
      </c>
      <c r="O127" s="48">
        <v>0</v>
      </c>
      <c r="P127" s="52">
        <v>45121</v>
      </c>
      <c r="Q127" s="52">
        <v>72687.999988425901</v>
      </c>
      <c r="R127" s="51">
        <v>0</v>
      </c>
      <c r="S127" s="52">
        <v>45121</v>
      </c>
      <c r="T127" s="52">
        <v>72687.999988425901</v>
      </c>
      <c r="U127" s="51">
        <v>1</v>
      </c>
    </row>
    <row r="128" spans="1:21" x14ac:dyDescent="0.25">
      <c r="A128" s="51">
        <v>8018</v>
      </c>
      <c r="B128" s="48">
        <v>600006</v>
      </c>
      <c r="C128" s="48" t="s">
        <v>134</v>
      </c>
      <c r="D128" s="48">
        <v>200067</v>
      </c>
      <c r="E128" s="48" t="s">
        <v>135</v>
      </c>
      <c r="F128" s="32">
        <v>6</v>
      </c>
      <c r="G128" s="32"/>
      <c r="H128" s="48" t="s">
        <v>730</v>
      </c>
      <c r="I128" s="48">
        <v>10</v>
      </c>
      <c r="J128" s="48" t="s">
        <v>730</v>
      </c>
      <c r="K128" s="48">
        <v>0</v>
      </c>
      <c r="L128" s="48">
        <v>1</v>
      </c>
      <c r="M128" s="48">
        <v>3</v>
      </c>
      <c r="N128" s="48">
        <v>1</v>
      </c>
      <c r="O128" s="48">
        <v>0</v>
      </c>
      <c r="P128" s="52">
        <v>45121</v>
      </c>
      <c r="Q128" s="52">
        <v>72687.999988425901</v>
      </c>
      <c r="R128" s="51">
        <v>0</v>
      </c>
      <c r="S128" s="52">
        <v>45121</v>
      </c>
      <c r="T128" s="52">
        <v>72687.999988425901</v>
      </c>
      <c r="U128" s="51">
        <v>1</v>
      </c>
    </row>
    <row r="129" spans="1:21" x14ac:dyDescent="0.25">
      <c r="A129" s="51">
        <v>8019</v>
      </c>
      <c r="B129" s="48">
        <v>100081</v>
      </c>
      <c r="C129" s="48" t="s">
        <v>74</v>
      </c>
      <c r="D129" s="48">
        <v>200068</v>
      </c>
      <c r="E129" s="48" t="s">
        <v>75</v>
      </c>
      <c r="F129" s="32">
        <v>6</v>
      </c>
      <c r="G129" s="32"/>
      <c r="H129" s="48" t="s">
        <v>166</v>
      </c>
      <c r="I129" s="48">
        <v>1</v>
      </c>
      <c r="J129" s="48" t="s">
        <v>193</v>
      </c>
      <c r="K129" s="48">
        <v>8</v>
      </c>
      <c r="L129" s="48">
        <v>0</v>
      </c>
      <c r="M129" s="48">
        <v>2</v>
      </c>
      <c r="N129" s="48">
        <v>0</v>
      </c>
      <c r="O129" s="48">
        <v>1</v>
      </c>
      <c r="P129" s="52">
        <v>45121</v>
      </c>
      <c r="Q129" s="52">
        <v>72687.999988425901</v>
      </c>
      <c r="R129" s="51">
        <v>0</v>
      </c>
      <c r="S129" s="52">
        <v>45121</v>
      </c>
      <c r="T129" s="52">
        <v>72687.999988425901</v>
      </c>
      <c r="U129" s="51">
        <v>1</v>
      </c>
    </row>
    <row r="130" spans="1:21" x14ac:dyDescent="0.25">
      <c r="A130" s="51">
        <v>8020</v>
      </c>
      <c r="B130" s="48">
        <v>200007</v>
      </c>
      <c r="C130" s="48" t="s">
        <v>168</v>
      </c>
      <c r="D130" s="48">
        <v>200069</v>
      </c>
      <c r="E130" s="48" t="s">
        <v>169</v>
      </c>
      <c r="F130" s="32">
        <v>6</v>
      </c>
      <c r="G130" s="32"/>
      <c r="H130" s="48" t="s">
        <v>90</v>
      </c>
      <c r="I130" s="48">
        <v>1</v>
      </c>
      <c r="J130" s="48" t="s">
        <v>194</v>
      </c>
      <c r="K130" s="48">
        <v>8</v>
      </c>
      <c r="L130" s="48">
        <v>0</v>
      </c>
      <c r="M130" s="48">
        <v>2</v>
      </c>
      <c r="N130" s="48">
        <v>0</v>
      </c>
      <c r="O130" s="48">
        <v>2</v>
      </c>
      <c r="P130" s="52">
        <v>45121</v>
      </c>
      <c r="Q130" s="52">
        <v>72687.999988425901</v>
      </c>
      <c r="R130" s="51">
        <v>0</v>
      </c>
      <c r="S130" s="52">
        <v>45121</v>
      </c>
      <c r="T130" s="52">
        <v>72687.999988425901</v>
      </c>
      <c r="U130" s="51">
        <v>1</v>
      </c>
    </row>
    <row r="131" spans="1:21" x14ac:dyDescent="0.25">
      <c r="A131" s="51">
        <v>8021</v>
      </c>
      <c r="B131" s="48">
        <v>300019</v>
      </c>
      <c r="C131" s="48" t="s">
        <v>170</v>
      </c>
      <c r="D131" s="48">
        <v>200070</v>
      </c>
      <c r="E131" s="48" t="s">
        <v>171</v>
      </c>
      <c r="F131" s="32">
        <v>6</v>
      </c>
      <c r="G131" s="32"/>
      <c r="H131" s="48" t="s">
        <v>740</v>
      </c>
      <c r="I131" s="48">
        <v>1</v>
      </c>
      <c r="J131" s="48" t="s">
        <v>741</v>
      </c>
      <c r="K131" s="48">
        <v>8</v>
      </c>
      <c r="L131" s="48">
        <v>0</v>
      </c>
      <c r="M131" s="48">
        <v>2</v>
      </c>
      <c r="N131" s="48">
        <v>0</v>
      </c>
      <c r="O131" s="48">
        <v>3</v>
      </c>
      <c r="P131" s="52">
        <v>45121</v>
      </c>
      <c r="Q131" s="52">
        <v>72687.999988425901</v>
      </c>
      <c r="R131" s="51">
        <v>0</v>
      </c>
      <c r="S131" s="52">
        <v>45121</v>
      </c>
      <c r="T131" s="52">
        <v>72687.999988425901</v>
      </c>
      <c r="U131" s="51">
        <v>1</v>
      </c>
    </row>
    <row r="132" spans="1:21" x14ac:dyDescent="0.25">
      <c r="A132" s="51">
        <v>8022</v>
      </c>
      <c r="B132" s="48">
        <v>100111</v>
      </c>
      <c r="C132" s="48" t="s">
        <v>116</v>
      </c>
      <c r="D132" s="48">
        <v>200071</v>
      </c>
      <c r="E132" s="48" t="s">
        <v>163</v>
      </c>
      <c r="F132" s="32">
        <v>6</v>
      </c>
      <c r="G132" s="32"/>
      <c r="H132" s="48" t="s">
        <v>164</v>
      </c>
      <c r="I132" s="48">
        <v>1</v>
      </c>
      <c r="J132" s="48" t="s">
        <v>164</v>
      </c>
      <c r="K132" s="48">
        <v>0</v>
      </c>
      <c r="L132" s="48">
        <v>0</v>
      </c>
      <c r="M132" s="48">
        <v>2</v>
      </c>
      <c r="N132" s="48">
        <v>0</v>
      </c>
      <c r="O132" s="48">
        <v>0</v>
      </c>
      <c r="P132" s="52">
        <v>45121</v>
      </c>
      <c r="Q132" s="52">
        <v>72687.999988425901</v>
      </c>
      <c r="R132" s="51">
        <v>0</v>
      </c>
      <c r="S132" s="52">
        <v>45121</v>
      </c>
      <c r="T132" s="52">
        <v>72687.999988425901</v>
      </c>
      <c r="U132" s="51">
        <v>1</v>
      </c>
    </row>
    <row r="133" spans="1:21" x14ac:dyDescent="0.25">
      <c r="A133" s="51">
        <v>8023</v>
      </c>
      <c r="B133" s="48">
        <v>700003</v>
      </c>
      <c r="C133" s="48" t="s">
        <v>145</v>
      </c>
      <c r="D133" s="48">
        <v>200072</v>
      </c>
      <c r="E133" s="48" t="s">
        <v>146</v>
      </c>
      <c r="F133" s="32">
        <v>6</v>
      </c>
      <c r="G133" s="32"/>
      <c r="H133" s="48" t="s">
        <v>180</v>
      </c>
      <c r="I133" s="48">
        <v>5</v>
      </c>
      <c r="J133" s="48" t="s">
        <v>180</v>
      </c>
      <c r="K133" s="48">
        <v>0</v>
      </c>
      <c r="L133" s="48">
        <v>0</v>
      </c>
      <c r="M133" s="48">
        <v>3</v>
      </c>
      <c r="N133" s="48">
        <v>1</v>
      </c>
      <c r="O133" s="48">
        <v>0</v>
      </c>
      <c r="P133" s="52">
        <v>45121</v>
      </c>
      <c r="Q133" s="52">
        <v>72687.999988425901</v>
      </c>
      <c r="R133" s="51">
        <v>0</v>
      </c>
      <c r="S133" s="52">
        <v>45121</v>
      </c>
      <c r="T133" s="52">
        <v>72687.999988425901</v>
      </c>
      <c r="U133" s="51">
        <v>1</v>
      </c>
    </row>
    <row r="134" spans="1:21" x14ac:dyDescent="0.25">
      <c r="A134" s="51">
        <v>8024</v>
      </c>
      <c r="B134" s="48">
        <v>100091</v>
      </c>
      <c r="C134" s="48" t="s">
        <v>76</v>
      </c>
      <c r="D134" s="48">
        <v>200073</v>
      </c>
      <c r="E134" s="48" t="s">
        <v>77</v>
      </c>
      <c r="F134" s="32">
        <v>6</v>
      </c>
      <c r="G134" s="32"/>
      <c r="H134" s="48" t="s">
        <v>166</v>
      </c>
      <c r="I134" s="48">
        <v>1</v>
      </c>
      <c r="J134" s="48" t="s">
        <v>193</v>
      </c>
      <c r="K134" s="48">
        <v>8</v>
      </c>
      <c r="L134" s="48">
        <v>0</v>
      </c>
      <c r="M134" s="48">
        <v>2</v>
      </c>
      <c r="N134" s="48">
        <v>0</v>
      </c>
      <c r="O134" s="48">
        <v>1</v>
      </c>
      <c r="P134" s="52">
        <v>45121</v>
      </c>
      <c r="Q134" s="52">
        <v>72687.999988425901</v>
      </c>
      <c r="R134" s="51">
        <v>0</v>
      </c>
      <c r="S134" s="52">
        <v>45121</v>
      </c>
      <c r="T134" s="52">
        <v>72687.999988425901</v>
      </c>
      <c r="U134" s="51">
        <v>1</v>
      </c>
    </row>
    <row r="135" spans="1:21" x14ac:dyDescent="0.25">
      <c r="A135" s="51">
        <v>8025</v>
      </c>
      <c r="B135" s="48">
        <v>200005</v>
      </c>
      <c r="C135" s="48" t="s">
        <v>93</v>
      </c>
      <c r="D135" s="48">
        <v>200074</v>
      </c>
      <c r="E135" s="48" t="s">
        <v>94</v>
      </c>
      <c r="F135" s="32">
        <v>6</v>
      </c>
      <c r="G135" s="32"/>
      <c r="H135" s="48" t="s">
        <v>90</v>
      </c>
      <c r="I135" s="48">
        <v>1</v>
      </c>
      <c r="J135" s="48" t="s">
        <v>194</v>
      </c>
      <c r="K135" s="48">
        <v>8</v>
      </c>
      <c r="L135" s="48">
        <v>0</v>
      </c>
      <c r="M135" s="48">
        <v>2</v>
      </c>
      <c r="N135" s="48">
        <v>0</v>
      </c>
      <c r="O135" s="48">
        <v>3</v>
      </c>
      <c r="P135" s="52">
        <v>45121</v>
      </c>
      <c r="Q135" s="52">
        <v>72687.999988425901</v>
      </c>
      <c r="R135" s="51">
        <v>0</v>
      </c>
      <c r="S135" s="52">
        <v>45121</v>
      </c>
      <c r="T135" s="52">
        <v>72687.999988425901</v>
      </c>
      <c r="U135" s="51">
        <v>1</v>
      </c>
    </row>
    <row r="136" spans="1:21" x14ac:dyDescent="0.25">
      <c r="A136" s="51">
        <v>8026</v>
      </c>
      <c r="B136" s="48">
        <v>300009</v>
      </c>
      <c r="C136" s="48" t="s">
        <v>110</v>
      </c>
      <c r="D136" s="48">
        <v>200075</v>
      </c>
      <c r="E136" s="48" t="s">
        <v>111</v>
      </c>
      <c r="F136" s="32">
        <v>6</v>
      </c>
      <c r="G136" s="32"/>
      <c r="H136" s="48" t="s">
        <v>740</v>
      </c>
      <c r="I136" s="48">
        <v>1</v>
      </c>
      <c r="J136" s="48" t="s">
        <v>741</v>
      </c>
      <c r="K136" s="48">
        <v>8</v>
      </c>
      <c r="L136" s="48">
        <v>0</v>
      </c>
      <c r="M136" s="48">
        <v>2</v>
      </c>
      <c r="N136" s="48">
        <v>0</v>
      </c>
      <c r="O136" s="48">
        <v>3</v>
      </c>
      <c r="P136" s="52">
        <v>45121</v>
      </c>
      <c r="Q136" s="52">
        <v>72687.999988425901</v>
      </c>
      <c r="R136" s="51">
        <v>0</v>
      </c>
      <c r="S136" s="52">
        <v>45121</v>
      </c>
      <c r="T136" s="52">
        <v>72687.999988425901</v>
      </c>
      <c r="U136" s="51">
        <v>1</v>
      </c>
    </row>
    <row r="137" spans="1:21" x14ac:dyDescent="0.25">
      <c r="A137" s="51">
        <v>8027</v>
      </c>
      <c r="B137" s="48">
        <v>100071</v>
      </c>
      <c r="C137" s="48" t="s">
        <v>71</v>
      </c>
      <c r="D137" s="48">
        <v>200076</v>
      </c>
      <c r="E137" s="48" t="s">
        <v>72</v>
      </c>
      <c r="F137" s="32">
        <v>6</v>
      </c>
      <c r="G137" s="32"/>
      <c r="H137" s="48" t="s">
        <v>166</v>
      </c>
      <c r="I137" s="48">
        <v>1</v>
      </c>
      <c r="J137" s="48" t="s">
        <v>193</v>
      </c>
      <c r="K137" s="48">
        <v>8</v>
      </c>
      <c r="L137" s="48">
        <v>0</v>
      </c>
      <c r="M137" s="48">
        <v>2</v>
      </c>
      <c r="N137" s="48">
        <v>0</v>
      </c>
      <c r="O137" s="48">
        <v>4</v>
      </c>
      <c r="P137" s="52">
        <v>45121</v>
      </c>
      <c r="Q137" s="52">
        <v>72687.999988425901</v>
      </c>
      <c r="R137" s="51">
        <v>0</v>
      </c>
      <c r="S137" s="52">
        <v>45121</v>
      </c>
      <c r="T137" s="52">
        <v>72687.999988425901</v>
      </c>
      <c r="U137" s="51">
        <v>1</v>
      </c>
    </row>
    <row r="138" spans="1:21" x14ac:dyDescent="0.25">
      <c r="A138" s="51">
        <v>8028</v>
      </c>
      <c r="B138" s="48">
        <v>200003</v>
      </c>
      <c r="C138" s="48" t="s">
        <v>88</v>
      </c>
      <c r="D138" s="48">
        <v>200077</v>
      </c>
      <c r="E138" s="48" t="s">
        <v>89</v>
      </c>
      <c r="F138" s="32">
        <v>6</v>
      </c>
      <c r="G138" s="32"/>
      <c r="H138" s="48" t="s">
        <v>90</v>
      </c>
      <c r="I138" s="48">
        <v>1</v>
      </c>
      <c r="J138" s="48" t="s">
        <v>194</v>
      </c>
      <c r="K138" s="48">
        <v>8</v>
      </c>
      <c r="L138" s="48">
        <v>0</v>
      </c>
      <c r="M138" s="48">
        <v>2</v>
      </c>
      <c r="N138" s="48">
        <v>0</v>
      </c>
      <c r="O138" s="48">
        <v>2</v>
      </c>
      <c r="P138" s="52">
        <v>45121</v>
      </c>
      <c r="Q138" s="52">
        <v>72687.999988425901</v>
      </c>
      <c r="R138" s="51">
        <v>0</v>
      </c>
      <c r="S138" s="52">
        <v>45121</v>
      </c>
      <c r="T138" s="52">
        <v>72687.999988425901</v>
      </c>
      <c r="U138" s="51">
        <v>1</v>
      </c>
    </row>
    <row r="139" spans="1:21" x14ac:dyDescent="0.25">
      <c r="A139" s="51">
        <v>8029</v>
      </c>
      <c r="B139" s="48">
        <v>300016</v>
      </c>
      <c r="C139" s="48" t="s">
        <v>122</v>
      </c>
      <c r="D139" s="48">
        <v>200078</v>
      </c>
      <c r="E139" s="48" t="s">
        <v>123</v>
      </c>
      <c r="F139" s="32">
        <v>6</v>
      </c>
      <c r="G139" s="32"/>
      <c r="H139" s="48" t="s">
        <v>740</v>
      </c>
      <c r="I139" s="48">
        <v>1</v>
      </c>
      <c r="J139" s="48" t="s">
        <v>741</v>
      </c>
      <c r="K139" s="48">
        <v>8</v>
      </c>
      <c r="L139" s="48">
        <v>0</v>
      </c>
      <c r="M139" s="48">
        <v>2</v>
      </c>
      <c r="N139" s="48">
        <v>0</v>
      </c>
      <c r="O139" s="48">
        <v>3</v>
      </c>
      <c r="P139" s="52">
        <v>45121</v>
      </c>
      <c r="Q139" s="52">
        <v>72687.999988425901</v>
      </c>
      <c r="R139" s="51">
        <v>0</v>
      </c>
      <c r="S139" s="52">
        <v>45121</v>
      </c>
      <c r="T139" s="52">
        <v>72687.999988425901</v>
      </c>
      <c r="U139" s="51">
        <v>1</v>
      </c>
    </row>
    <row r="140" spans="1:21" x14ac:dyDescent="0.25">
      <c r="A140" s="51">
        <v>8030</v>
      </c>
      <c r="B140" s="32">
        <v>100051</v>
      </c>
      <c r="C140" s="32" t="s">
        <v>78</v>
      </c>
      <c r="D140" s="32">
        <v>200006</v>
      </c>
      <c r="E140" s="64" t="s">
        <v>79</v>
      </c>
      <c r="F140" s="32">
        <v>6</v>
      </c>
      <c r="G140" s="32"/>
      <c r="H140" s="48" t="s">
        <v>166</v>
      </c>
      <c r="I140" s="48">
        <v>1</v>
      </c>
      <c r="J140" s="48" t="s">
        <v>193</v>
      </c>
      <c r="K140" s="48">
        <v>8</v>
      </c>
      <c r="L140" s="48">
        <v>0</v>
      </c>
      <c r="M140" s="48">
        <v>2</v>
      </c>
      <c r="N140" s="48">
        <v>0</v>
      </c>
      <c r="O140" s="48">
        <v>1</v>
      </c>
      <c r="P140" s="52">
        <v>45121</v>
      </c>
      <c r="Q140" s="52">
        <v>72687.999988425901</v>
      </c>
      <c r="R140" s="51">
        <v>0</v>
      </c>
      <c r="S140" s="52">
        <v>45121</v>
      </c>
      <c r="T140" s="52">
        <v>72687.999988425901</v>
      </c>
      <c r="U140" s="51">
        <v>1</v>
      </c>
    </row>
    <row r="141" spans="1:21" x14ac:dyDescent="0.25">
      <c r="A141" s="51">
        <v>8031</v>
      </c>
      <c r="B141" s="48">
        <v>940002</v>
      </c>
      <c r="C141" s="48" t="s">
        <v>220</v>
      </c>
      <c r="D141" s="48">
        <v>9400022</v>
      </c>
      <c r="E141" s="48" t="s">
        <v>221</v>
      </c>
      <c r="F141" s="32">
        <v>6</v>
      </c>
      <c r="G141" s="32"/>
      <c r="H141" s="48" t="s">
        <v>727</v>
      </c>
      <c r="I141" s="48">
        <v>1</v>
      </c>
      <c r="J141" s="48" t="s">
        <v>742</v>
      </c>
      <c r="K141" s="48">
        <v>8</v>
      </c>
      <c r="L141" s="48">
        <v>0</v>
      </c>
      <c r="M141" s="48">
        <v>2</v>
      </c>
      <c r="N141" s="48">
        <v>0</v>
      </c>
      <c r="O141" s="48">
        <v>1</v>
      </c>
      <c r="P141" s="52">
        <v>45121</v>
      </c>
      <c r="Q141" s="52">
        <v>72687.999988425901</v>
      </c>
      <c r="R141" s="51">
        <v>0</v>
      </c>
      <c r="S141" s="52">
        <v>45121</v>
      </c>
      <c r="T141" s="52">
        <v>72687.999988425901</v>
      </c>
      <c r="U141" s="51">
        <v>1</v>
      </c>
    </row>
    <row r="142" spans="1:21" x14ac:dyDescent="0.25">
      <c r="A142" s="51">
        <v>8032</v>
      </c>
      <c r="B142" s="48">
        <v>200003</v>
      </c>
      <c r="C142" s="48" t="s">
        <v>88</v>
      </c>
      <c r="D142" s="48">
        <v>2000032</v>
      </c>
      <c r="E142" s="48" t="s">
        <v>208</v>
      </c>
      <c r="F142" s="32">
        <v>6</v>
      </c>
      <c r="G142" s="32"/>
      <c r="H142" s="48" t="s">
        <v>207</v>
      </c>
      <c r="I142" s="48">
        <v>1</v>
      </c>
      <c r="J142" s="48" t="s">
        <v>207</v>
      </c>
      <c r="K142" s="48">
        <v>0</v>
      </c>
      <c r="L142" s="48">
        <v>0</v>
      </c>
      <c r="M142" s="48">
        <v>2</v>
      </c>
      <c r="N142" s="48">
        <v>0</v>
      </c>
      <c r="O142" s="48">
        <v>2</v>
      </c>
      <c r="P142" s="52">
        <v>45121</v>
      </c>
      <c r="Q142" s="52">
        <v>72687.999988425901</v>
      </c>
      <c r="R142" s="51">
        <v>0</v>
      </c>
      <c r="S142" s="52">
        <v>45121</v>
      </c>
      <c r="T142" s="52">
        <v>72687.999988425901</v>
      </c>
      <c r="U142" s="51">
        <v>1</v>
      </c>
    </row>
    <row r="143" spans="1:21" x14ac:dyDescent="0.25">
      <c r="A143" s="51">
        <v>8033</v>
      </c>
      <c r="B143" s="32">
        <v>100181</v>
      </c>
      <c r="C143" s="32" t="s">
        <v>68</v>
      </c>
      <c r="D143" s="32">
        <v>200002</v>
      </c>
      <c r="E143" s="64" t="s">
        <v>69</v>
      </c>
      <c r="F143" s="32">
        <v>6</v>
      </c>
      <c r="G143" s="32"/>
      <c r="H143" s="60" t="s">
        <v>164</v>
      </c>
      <c r="I143" s="32">
        <v>1</v>
      </c>
      <c r="J143" s="60" t="s">
        <v>165</v>
      </c>
      <c r="K143" s="48">
        <v>6</v>
      </c>
      <c r="L143" s="48">
        <v>1</v>
      </c>
      <c r="M143" s="48">
        <v>2</v>
      </c>
      <c r="N143" s="48">
        <v>0</v>
      </c>
      <c r="O143" s="32">
        <v>3</v>
      </c>
      <c r="P143" s="52">
        <v>45121</v>
      </c>
      <c r="Q143" s="52">
        <v>72687.999988425901</v>
      </c>
      <c r="R143" s="51">
        <v>0</v>
      </c>
      <c r="S143" s="52">
        <v>45121</v>
      </c>
      <c r="T143" s="52">
        <v>72687.999988425901</v>
      </c>
      <c r="U143" s="51">
        <v>1</v>
      </c>
    </row>
    <row r="144" spans="1:21" x14ac:dyDescent="0.25">
      <c r="A144" s="51">
        <v>8034</v>
      </c>
      <c r="B144" s="48">
        <v>200004</v>
      </c>
      <c r="C144" s="48" t="s">
        <v>91</v>
      </c>
      <c r="D144" s="48">
        <v>2000042</v>
      </c>
      <c r="E144" s="48" t="s">
        <v>211</v>
      </c>
      <c r="F144" s="32">
        <v>6</v>
      </c>
      <c r="G144" s="32"/>
      <c r="H144" s="48" t="s">
        <v>210</v>
      </c>
      <c r="I144" s="48">
        <v>1</v>
      </c>
      <c r="J144" s="48" t="s">
        <v>210</v>
      </c>
      <c r="K144" s="48">
        <v>0</v>
      </c>
      <c r="L144" s="48">
        <v>0</v>
      </c>
      <c r="M144" s="48">
        <v>2</v>
      </c>
      <c r="N144" s="48">
        <v>0</v>
      </c>
      <c r="O144" s="48">
        <v>5</v>
      </c>
      <c r="P144" s="52">
        <v>45121</v>
      </c>
      <c r="Q144" s="52">
        <v>72687.999988425901</v>
      </c>
      <c r="R144" s="51">
        <v>0</v>
      </c>
      <c r="S144" s="52">
        <v>45121</v>
      </c>
      <c r="T144" s="52">
        <v>72687.999988425901</v>
      </c>
      <c r="U144" s="51">
        <v>1</v>
      </c>
    </row>
    <row r="145" spans="1:21" x14ac:dyDescent="0.25">
      <c r="A145" s="51">
        <v>8035</v>
      </c>
      <c r="B145" s="32">
        <v>952020</v>
      </c>
      <c r="C145" s="32" t="s">
        <v>225</v>
      </c>
      <c r="D145" s="32">
        <f t="shared" ref="D145" si="0">B145*10+2</f>
        <v>9520202</v>
      </c>
      <c r="E145" s="32" t="str">
        <f t="shared" ref="E145" si="1">"可在背包、对局内替换使用【"&amp;C145&amp;"】进洞效果"</f>
        <v>可在背包、对局内替换使用【辉光】进洞效果</v>
      </c>
      <c r="F145" s="32">
        <v>6</v>
      </c>
      <c r="G145" s="32"/>
      <c r="H145" s="48" t="s">
        <v>727</v>
      </c>
      <c r="I145" s="48">
        <v>1</v>
      </c>
      <c r="J145" s="48" t="s">
        <v>742</v>
      </c>
      <c r="K145" s="48">
        <v>0</v>
      </c>
      <c r="L145" s="48">
        <v>1</v>
      </c>
      <c r="M145" s="48">
        <v>2</v>
      </c>
      <c r="N145" s="48">
        <v>0</v>
      </c>
      <c r="O145" s="48">
        <v>1</v>
      </c>
      <c r="P145" s="52">
        <v>45121</v>
      </c>
      <c r="Q145" s="52">
        <v>72687.999988425901</v>
      </c>
      <c r="R145" s="51">
        <v>0</v>
      </c>
      <c r="S145" s="52">
        <v>45121</v>
      </c>
      <c r="T145" s="52">
        <v>72687.999988425901</v>
      </c>
      <c r="U145" s="51">
        <v>1</v>
      </c>
    </row>
    <row r="146" spans="1:21" x14ac:dyDescent="0.25">
      <c r="A146" s="51">
        <v>8036</v>
      </c>
      <c r="B146" s="32">
        <v>100041</v>
      </c>
      <c r="C146" s="65" t="s">
        <v>83</v>
      </c>
      <c r="D146" s="32">
        <v>200009</v>
      </c>
      <c r="E146" s="64" t="s">
        <v>84</v>
      </c>
      <c r="F146" s="32">
        <v>6</v>
      </c>
      <c r="G146" s="32"/>
      <c r="H146" s="60" t="s">
        <v>82</v>
      </c>
      <c r="I146" s="32">
        <v>1</v>
      </c>
      <c r="J146" s="60" t="s">
        <v>82</v>
      </c>
      <c r="K146" s="48">
        <v>0</v>
      </c>
      <c r="L146" s="48">
        <v>0</v>
      </c>
      <c r="M146" s="48">
        <v>2</v>
      </c>
      <c r="N146" s="48">
        <v>0</v>
      </c>
      <c r="O146" s="32">
        <v>10</v>
      </c>
      <c r="P146" s="52">
        <v>45121</v>
      </c>
      <c r="Q146" s="52">
        <v>72687.999988425901</v>
      </c>
      <c r="R146" s="51">
        <v>0</v>
      </c>
      <c r="S146" s="52">
        <v>45121</v>
      </c>
      <c r="T146" s="52">
        <v>72687.999988425901</v>
      </c>
      <c r="U146" s="51">
        <v>1</v>
      </c>
    </row>
    <row r="147" spans="1:21" x14ac:dyDescent="0.25">
      <c r="A147" s="51">
        <v>8037</v>
      </c>
      <c r="B147" s="48">
        <v>200006</v>
      </c>
      <c r="C147" s="65" t="s">
        <v>167</v>
      </c>
      <c r="D147" s="48">
        <v>2000062</v>
      </c>
      <c r="E147" s="48" t="s">
        <v>209</v>
      </c>
      <c r="F147" s="32">
        <v>6</v>
      </c>
      <c r="G147" s="32"/>
      <c r="H147" s="48" t="s">
        <v>210</v>
      </c>
      <c r="I147" s="48">
        <v>1</v>
      </c>
      <c r="J147" s="48" t="s">
        <v>210</v>
      </c>
      <c r="K147" s="48">
        <v>0</v>
      </c>
      <c r="L147" s="48">
        <v>0</v>
      </c>
      <c r="M147" s="48">
        <v>2</v>
      </c>
      <c r="N147" s="48">
        <v>0</v>
      </c>
      <c r="O147" s="48">
        <v>4</v>
      </c>
      <c r="P147" s="52">
        <v>45121</v>
      </c>
      <c r="Q147" s="52">
        <v>72687.999988425901</v>
      </c>
      <c r="R147" s="51">
        <v>0</v>
      </c>
      <c r="S147" s="52">
        <v>45121</v>
      </c>
      <c r="T147" s="52">
        <v>72687.999988425901</v>
      </c>
      <c r="U147" s="51">
        <v>1</v>
      </c>
    </row>
    <row r="148" spans="1:21" x14ac:dyDescent="0.25">
      <c r="A148" s="51">
        <v>8038</v>
      </c>
      <c r="B148" s="48">
        <v>300010</v>
      </c>
      <c r="C148" s="65" t="s">
        <v>112</v>
      </c>
      <c r="D148" s="48">
        <v>3000102</v>
      </c>
      <c r="E148" s="48" t="s">
        <v>213</v>
      </c>
      <c r="F148" s="32">
        <v>6</v>
      </c>
      <c r="G148" s="32"/>
      <c r="H148" s="48" t="s">
        <v>212</v>
      </c>
      <c r="I148" s="48">
        <v>1</v>
      </c>
      <c r="J148" s="48" t="s">
        <v>212</v>
      </c>
      <c r="K148" s="48">
        <v>0</v>
      </c>
      <c r="L148" s="48">
        <v>0</v>
      </c>
      <c r="M148" s="48">
        <v>2</v>
      </c>
      <c r="N148" s="48">
        <v>0</v>
      </c>
      <c r="O148" s="48">
        <v>4</v>
      </c>
      <c r="P148" s="52">
        <v>45121</v>
      </c>
      <c r="Q148" s="52">
        <v>72687.999988425901</v>
      </c>
      <c r="R148" s="51">
        <v>0</v>
      </c>
      <c r="S148" s="52">
        <v>45121</v>
      </c>
      <c r="T148" s="52">
        <v>72687.999988425901</v>
      </c>
      <c r="U148" s="51">
        <v>1</v>
      </c>
    </row>
    <row r="149" spans="1:21" s="50" customFormat="1" x14ac:dyDescent="0.25">
      <c r="A149" s="50">
        <v>8039</v>
      </c>
      <c r="B149" s="50">
        <v>100462</v>
      </c>
      <c r="C149" s="50" t="s">
        <v>201</v>
      </c>
      <c r="D149" s="50">
        <v>1004622</v>
      </c>
      <c r="E149" s="50" t="s">
        <v>202</v>
      </c>
      <c r="F149" s="66">
        <v>6</v>
      </c>
      <c r="G149" s="66"/>
      <c r="H149" s="50" t="s">
        <v>197</v>
      </c>
      <c r="I149" s="50">
        <v>1</v>
      </c>
      <c r="J149" s="50" t="s">
        <v>314</v>
      </c>
      <c r="K149" s="50">
        <v>8</v>
      </c>
      <c r="L149" s="50">
        <v>0</v>
      </c>
      <c r="M149" s="50">
        <v>2</v>
      </c>
      <c r="N149" s="50">
        <v>0</v>
      </c>
      <c r="O149" s="50">
        <v>1</v>
      </c>
      <c r="P149" s="67">
        <v>45121</v>
      </c>
      <c r="Q149" s="67">
        <v>72687.999988425901</v>
      </c>
      <c r="R149" s="50">
        <v>0</v>
      </c>
      <c r="S149" s="67">
        <v>45121</v>
      </c>
      <c r="T149" s="67">
        <v>72687.999988425901</v>
      </c>
      <c r="U149" s="50">
        <v>1</v>
      </c>
    </row>
    <row r="150" spans="1:21" s="50" customFormat="1" x14ac:dyDescent="0.25">
      <c r="A150" s="50">
        <v>8040</v>
      </c>
      <c r="B150" s="50">
        <v>200007</v>
      </c>
      <c r="C150" s="50" t="s">
        <v>168</v>
      </c>
      <c r="D150" s="50">
        <v>200069</v>
      </c>
      <c r="E150" s="50" t="s">
        <v>169</v>
      </c>
      <c r="F150" s="66">
        <v>6</v>
      </c>
      <c r="G150" s="66"/>
      <c r="H150" s="50" t="s">
        <v>207</v>
      </c>
      <c r="I150" s="50">
        <v>1</v>
      </c>
      <c r="J150" s="50" t="s">
        <v>315</v>
      </c>
      <c r="K150" s="50">
        <v>8</v>
      </c>
      <c r="L150" s="50">
        <v>0</v>
      </c>
      <c r="M150" s="50">
        <v>2</v>
      </c>
      <c r="N150" s="50">
        <v>0</v>
      </c>
      <c r="O150" s="50">
        <v>2</v>
      </c>
      <c r="P150" s="67">
        <v>45121</v>
      </c>
      <c r="Q150" s="67">
        <v>72687.999988425901</v>
      </c>
      <c r="R150" s="50">
        <v>0</v>
      </c>
      <c r="S150" s="67">
        <v>45121</v>
      </c>
      <c r="T150" s="67">
        <v>72687.999988425901</v>
      </c>
      <c r="U150" s="50">
        <v>1</v>
      </c>
    </row>
    <row r="151" spans="1:21" s="50" customFormat="1" x14ac:dyDescent="0.25">
      <c r="A151" s="50">
        <v>8041</v>
      </c>
      <c r="B151" s="66">
        <v>952014</v>
      </c>
      <c r="C151" s="66" t="s">
        <v>224</v>
      </c>
      <c r="D151" s="66">
        <f t="shared" ref="D151" si="2">B151*10+2</f>
        <v>9520142</v>
      </c>
      <c r="E151" s="66" t="str">
        <f t="shared" ref="E151" si="3">"可在背包、对局内替换使用【"&amp;C151&amp;"】进洞效果"</f>
        <v>可在背包、对局内替换使用【火龙吟】进洞效果</v>
      </c>
      <c r="F151" s="66">
        <v>6</v>
      </c>
      <c r="G151" s="66"/>
      <c r="H151" s="48" t="s">
        <v>727</v>
      </c>
      <c r="I151" s="48">
        <v>1</v>
      </c>
      <c r="J151" s="48" t="s">
        <v>742</v>
      </c>
      <c r="K151" s="50">
        <v>8</v>
      </c>
      <c r="L151" s="50">
        <v>0</v>
      </c>
      <c r="M151" s="50">
        <v>2</v>
      </c>
      <c r="N151" s="50">
        <v>0</v>
      </c>
      <c r="O151" s="50">
        <v>3</v>
      </c>
      <c r="P151" s="67">
        <v>45121</v>
      </c>
      <c r="Q151" s="67">
        <v>72687.999988425901</v>
      </c>
      <c r="R151" s="50">
        <v>0</v>
      </c>
      <c r="S151" s="67">
        <v>45121</v>
      </c>
      <c r="T151" s="67">
        <v>72687.999988425901</v>
      </c>
      <c r="U151" s="50">
        <v>1</v>
      </c>
    </row>
    <row r="152" spans="1:21" s="50" customFormat="1" x14ac:dyDescent="0.25">
      <c r="A152" s="50">
        <v>8042</v>
      </c>
      <c r="B152" s="50">
        <v>100402</v>
      </c>
      <c r="C152" s="50" t="s">
        <v>199</v>
      </c>
      <c r="D152" s="50">
        <v>1004022</v>
      </c>
      <c r="E152" s="50" t="s">
        <v>200</v>
      </c>
      <c r="F152" s="66">
        <v>6</v>
      </c>
      <c r="G152" s="66"/>
      <c r="H152" s="50" t="s">
        <v>197</v>
      </c>
      <c r="I152" s="50">
        <v>1</v>
      </c>
      <c r="J152" s="50" t="s">
        <v>314</v>
      </c>
      <c r="K152" s="50">
        <v>8</v>
      </c>
      <c r="L152" s="50">
        <v>0</v>
      </c>
      <c r="M152" s="50">
        <v>2</v>
      </c>
      <c r="N152" s="50">
        <v>0</v>
      </c>
      <c r="O152" s="50">
        <v>1</v>
      </c>
      <c r="P152" s="67">
        <v>45121</v>
      </c>
      <c r="Q152" s="67">
        <v>72687.999988425901</v>
      </c>
      <c r="R152" s="50">
        <v>0</v>
      </c>
      <c r="S152" s="67">
        <v>45121</v>
      </c>
      <c r="T152" s="67">
        <v>72687.999988425901</v>
      </c>
      <c r="U152" s="50">
        <v>1</v>
      </c>
    </row>
    <row r="153" spans="1:21" s="50" customFormat="1" x14ac:dyDescent="0.25">
      <c r="A153" s="50">
        <v>8043</v>
      </c>
      <c r="B153" s="66">
        <v>952024</v>
      </c>
      <c r="C153" s="66" t="s">
        <v>226</v>
      </c>
      <c r="D153" s="66">
        <f t="shared" ref="D153" si="4">B153*10+2</f>
        <v>9520242</v>
      </c>
      <c r="E153" s="66" t="str">
        <f t="shared" ref="E153" si="5">"可在背包、对局内替换使用【"&amp;C153&amp;"】进洞效果"</f>
        <v>可在背包、对局内替换使用【捣蛋瓜】进洞效果</v>
      </c>
      <c r="F153" s="66">
        <v>6</v>
      </c>
      <c r="G153" s="66"/>
      <c r="H153" s="48" t="s">
        <v>727</v>
      </c>
      <c r="I153" s="48">
        <v>1</v>
      </c>
      <c r="J153" s="48" t="s">
        <v>742</v>
      </c>
      <c r="K153" s="50">
        <v>8</v>
      </c>
      <c r="L153" s="50">
        <v>0</v>
      </c>
      <c r="M153" s="50">
        <v>2</v>
      </c>
      <c r="N153" s="50">
        <v>0</v>
      </c>
      <c r="O153" s="50">
        <v>2</v>
      </c>
      <c r="P153" s="67">
        <v>45121</v>
      </c>
      <c r="Q153" s="67">
        <v>72687.999988425901</v>
      </c>
      <c r="R153" s="50">
        <v>0</v>
      </c>
      <c r="S153" s="67">
        <v>45121</v>
      </c>
      <c r="T153" s="67">
        <v>72687.999988425901</v>
      </c>
      <c r="U153" s="50">
        <v>1</v>
      </c>
    </row>
    <row r="154" spans="1:21" s="50" customFormat="1" x14ac:dyDescent="0.25">
      <c r="A154" s="50">
        <v>8044</v>
      </c>
      <c r="B154" s="50">
        <v>300009</v>
      </c>
      <c r="C154" s="50" t="s">
        <v>110</v>
      </c>
      <c r="D154" s="50">
        <v>200075</v>
      </c>
      <c r="E154" s="50" t="s">
        <v>111</v>
      </c>
      <c r="F154" s="66">
        <v>6</v>
      </c>
      <c r="G154" s="66"/>
      <c r="H154" s="50" t="s">
        <v>212</v>
      </c>
      <c r="I154" s="50">
        <v>1</v>
      </c>
      <c r="J154" s="50" t="s">
        <v>316</v>
      </c>
      <c r="K154" s="50">
        <v>8</v>
      </c>
      <c r="L154" s="50">
        <v>0</v>
      </c>
      <c r="M154" s="50">
        <v>2</v>
      </c>
      <c r="N154" s="50">
        <v>0</v>
      </c>
      <c r="O154" s="50">
        <v>3</v>
      </c>
      <c r="P154" s="67">
        <v>45121</v>
      </c>
      <c r="Q154" s="67">
        <v>72687.999988425901</v>
      </c>
      <c r="R154" s="50">
        <v>0</v>
      </c>
      <c r="S154" s="67">
        <v>45121</v>
      </c>
      <c r="T154" s="67">
        <v>72687.999988425901</v>
      </c>
      <c r="U154" s="50">
        <v>1</v>
      </c>
    </row>
    <row r="155" spans="1:21" s="50" customFormat="1" x14ac:dyDescent="0.25">
      <c r="A155" s="50">
        <v>8045</v>
      </c>
      <c r="B155" s="50">
        <v>100023</v>
      </c>
      <c r="C155" s="50" t="s">
        <v>198</v>
      </c>
      <c r="D155" s="50">
        <v>1000232</v>
      </c>
      <c r="E155" s="68" t="s">
        <v>317</v>
      </c>
      <c r="F155" s="66">
        <v>6</v>
      </c>
      <c r="G155" s="66"/>
      <c r="H155" s="50" t="s">
        <v>318</v>
      </c>
      <c r="I155" s="50">
        <v>1</v>
      </c>
      <c r="J155" s="50" t="s">
        <v>319</v>
      </c>
      <c r="K155" s="50">
        <v>8</v>
      </c>
      <c r="L155" s="50">
        <v>0</v>
      </c>
      <c r="M155" s="50">
        <v>2</v>
      </c>
      <c r="N155" s="50">
        <v>0</v>
      </c>
      <c r="O155" s="50">
        <v>1</v>
      </c>
      <c r="P155" s="67">
        <v>45121</v>
      </c>
      <c r="Q155" s="67">
        <v>72687.999988425901</v>
      </c>
      <c r="R155" s="50">
        <v>0</v>
      </c>
      <c r="S155" s="67">
        <v>45121</v>
      </c>
      <c r="T155" s="67">
        <v>72687.999988425901</v>
      </c>
      <c r="U155" s="50">
        <v>1</v>
      </c>
    </row>
    <row r="156" spans="1:21" s="50" customFormat="1" x14ac:dyDescent="0.25">
      <c r="A156" s="50">
        <v>8046</v>
      </c>
      <c r="B156" s="69">
        <v>940006</v>
      </c>
      <c r="C156" s="68" t="s">
        <v>218</v>
      </c>
      <c r="D156" s="69">
        <v>9400062</v>
      </c>
      <c r="E156" s="50" t="s">
        <v>219</v>
      </c>
      <c r="F156" s="66">
        <v>6</v>
      </c>
      <c r="G156" s="66"/>
      <c r="H156" s="50" t="s">
        <v>726</v>
      </c>
      <c r="I156" s="50">
        <v>1</v>
      </c>
      <c r="J156" s="50" t="s">
        <v>743</v>
      </c>
      <c r="K156" s="50">
        <v>8</v>
      </c>
      <c r="L156" s="50">
        <v>0</v>
      </c>
      <c r="M156" s="50">
        <v>2</v>
      </c>
      <c r="N156" s="50">
        <v>0</v>
      </c>
      <c r="O156" s="50">
        <v>2</v>
      </c>
      <c r="P156" s="67">
        <v>45121</v>
      </c>
      <c r="Q156" s="67">
        <v>72687.999988425901</v>
      </c>
      <c r="R156" s="50">
        <v>0</v>
      </c>
      <c r="S156" s="67">
        <v>45121</v>
      </c>
      <c r="T156" s="67">
        <v>72687.999988425901</v>
      </c>
      <c r="U156" s="50">
        <v>1</v>
      </c>
    </row>
    <row r="157" spans="1:21" s="50" customFormat="1" x14ac:dyDescent="0.25">
      <c r="A157" s="50">
        <v>8047</v>
      </c>
      <c r="B157" s="66">
        <v>952027</v>
      </c>
      <c r="C157" s="66" t="s">
        <v>227</v>
      </c>
      <c r="D157" s="66">
        <f t="shared" ref="D157" si="6">B157*10+2</f>
        <v>9520272</v>
      </c>
      <c r="E157" s="66" t="str">
        <f t="shared" ref="E157" si="7">"可在背包、对局内替换使用【"&amp;C157&amp;"】进洞效果"</f>
        <v>可在背包、对局内替换使用【清莲绽放】进洞效果</v>
      </c>
      <c r="F157" s="66">
        <v>6</v>
      </c>
      <c r="G157" s="66"/>
      <c r="H157" s="50" t="s">
        <v>726</v>
      </c>
      <c r="I157" s="50">
        <v>1</v>
      </c>
      <c r="J157" s="50" t="s">
        <v>743</v>
      </c>
      <c r="K157" s="50">
        <v>8</v>
      </c>
      <c r="L157" s="50">
        <v>0</v>
      </c>
      <c r="M157" s="50">
        <v>2</v>
      </c>
      <c r="N157" s="50">
        <v>0</v>
      </c>
      <c r="O157" s="50">
        <v>3</v>
      </c>
      <c r="P157" s="67">
        <v>45121</v>
      </c>
      <c r="Q157" s="67">
        <v>72687.999988425901</v>
      </c>
      <c r="R157" s="50">
        <v>0</v>
      </c>
      <c r="S157" s="67">
        <v>45121</v>
      </c>
      <c r="T157" s="67">
        <v>72687.999988425901</v>
      </c>
      <c r="U157" s="50">
        <v>1</v>
      </c>
    </row>
    <row r="158" spans="1:21" s="50" customFormat="1" x14ac:dyDescent="0.25">
      <c r="A158" s="50">
        <v>8048</v>
      </c>
      <c r="B158" s="50">
        <v>100964</v>
      </c>
      <c r="C158" s="50" t="s">
        <v>247</v>
      </c>
      <c r="D158" s="50">
        <v>1009642</v>
      </c>
      <c r="F158" s="66">
        <v>6</v>
      </c>
      <c r="G158" s="66"/>
      <c r="H158" s="50" t="s">
        <v>318</v>
      </c>
      <c r="I158" s="50">
        <v>1</v>
      </c>
      <c r="J158" s="50" t="s">
        <v>319</v>
      </c>
      <c r="K158" s="50">
        <v>8</v>
      </c>
      <c r="L158" s="50">
        <v>0</v>
      </c>
      <c r="M158" s="50">
        <v>2</v>
      </c>
      <c r="N158" s="50">
        <v>0</v>
      </c>
      <c r="O158" s="50">
        <v>1</v>
      </c>
      <c r="P158" s="67">
        <v>45121</v>
      </c>
      <c r="Q158" s="67">
        <v>72687.999988425901</v>
      </c>
      <c r="R158" s="50">
        <v>0</v>
      </c>
      <c r="S158" s="67">
        <v>45121</v>
      </c>
      <c r="T158" s="67">
        <v>72687.999988425901</v>
      </c>
      <c r="U158" s="50">
        <v>1</v>
      </c>
    </row>
    <row r="159" spans="1:21" s="50" customFormat="1" x14ac:dyDescent="0.25">
      <c r="A159" s="50">
        <v>8049</v>
      </c>
      <c r="B159" s="50">
        <v>200013</v>
      </c>
      <c r="C159" s="50" t="s">
        <v>258</v>
      </c>
      <c r="D159" s="50">
        <v>2000132</v>
      </c>
      <c r="E159" s="50" t="s">
        <v>257</v>
      </c>
      <c r="F159" s="66">
        <v>6</v>
      </c>
      <c r="G159" s="66"/>
      <c r="H159" s="50" t="s">
        <v>320</v>
      </c>
      <c r="I159" s="50">
        <v>1</v>
      </c>
      <c r="J159" s="50" t="s">
        <v>321</v>
      </c>
      <c r="K159" s="50">
        <v>8</v>
      </c>
      <c r="L159" s="50">
        <v>0</v>
      </c>
      <c r="M159" s="50">
        <v>2</v>
      </c>
      <c r="N159" s="50">
        <v>0</v>
      </c>
      <c r="O159" s="50">
        <v>2</v>
      </c>
      <c r="P159" s="67">
        <v>45121</v>
      </c>
      <c r="Q159" s="67">
        <v>72687.999988425901</v>
      </c>
      <c r="R159" s="50">
        <v>0</v>
      </c>
      <c r="S159" s="67">
        <v>45121</v>
      </c>
      <c r="T159" s="67">
        <v>72687.999988425901</v>
      </c>
      <c r="U159" s="50">
        <v>1</v>
      </c>
    </row>
    <row r="160" spans="1:21" s="50" customFormat="1" x14ac:dyDescent="0.25">
      <c r="A160" s="50">
        <v>8050</v>
      </c>
      <c r="B160" s="66">
        <v>952029</v>
      </c>
      <c r="C160" s="66" t="s">
        <v>229</v>
      </c>
      <c r="D160" s="66">
        <f t="shared" ref="D160" si="8">B160*10+2</f>
        <v>9520292</v>
      </c>
      <c r="E160" s="66" t="str">
        <f t="shared" ref="E160" si="9">"可在背包、对局内替换使用【"&amp;C160&amp;"】进洞效果"</f>
        <v>可在背包、对局内替换使用【幽冥火】进洞效果</v>
      </c>
      <c r="F160" s="66">
        <v>6</v>
      </c>
      <c r="G160" s="66"/>
      <c r="H160" s="48" t="s">
        <v>727</v>
      </c>
      <c r="I160" s="48">
        <v>1</v>
      </c>
      <c r="J160" s="48" t="s">
        <v>742</v>
      </c>
      <c r="K160" s="50">
        <v>8</v>
      </c>
      <c r="L160" s="50">
        <v>0</v>
      </c>
      <c r="M160" s="50">
        <v>2</v>
      </c>
      <c r="N160" s="50">
        <v>0</v>
      </c>
      <c r="O160" s="50">
        <v>3</v>
      </c>
      <c r="P160" s="67">
        <v>45121</v>
      </c>
      <c r="Q160" s="67">
        <v>72687.999988425901</v>
      </c>
      <c r="R160" s="50">
        <v>0</v>
      </c>
      <c r="S160" s="67">
        <v>45121</v>
      </c>
      <c r="T160" s="67">
        <v>72687.999988425901</v>
      </c>
      <c r="U160" s="50">
        <v>1</v>
      </c>
    </row>
    <row r="161" spans="1:22" x14ac:dyDescent="0.3">
      <c r="A161" s="51">
        <v>11001</v>
      </c>
      <c r="B161" s="51">
        <v>100031</v>
      </c>
      <c r="C161" s="51" t="s">
        <v>86</v>
      </c>
      <c r="D161" s="51">
        <v>1000312</v>
      </c>
      <c r="F161" s="51">
        <v>7</v>
      </c>
      <c r="G161" s="51">
        <v>1</v>
      </c>
      <c r="H161" s="51" t="s">
        <v>744</v>
      </c>
      <c r="I161" s="51">
        <v>1</v>
      </c>
      <c r="J161" s="51" t="s">
        <v>744</v>
      </c>
      <c r="K161" s="51">
        <v>0</v>
      </c>
      <c r="L161" s="51">
        <v>0</v>
      </c>
      <c r="M161" s="51">
        <v>2</v>
      </c>
      <c r="N161" s="51">
        <v>0</v>
      </c>
      <c r="O161" s="51">
        <v>38</v>
      </c>
      <c r="P161" s="52">
        <v>45121</v>
      </c>
      <c r="Q161" s="52">
        <v>72687.999988425901</v>
      </c>
      <c r="R161" s="51">
        <v>0</v>
      </c>
      <c r="S161" s="52">
        <v>45121</v>
      </c>
      <c r="T161" s="52">
        <v>72687.999988425901</v>
      </c>
      <c r="U161" s="51">
        <v>1</v>
      </c>
      <c r="V161" s="51">
        <v>0</v>
      </c>
    </row>
    <row r="162" spans="1:22" x14ac:dyDescent="0.3">
      <c r="A162" s="51">
        <v>11002</v>
      </c>
      <c r="B162" s="51">
        <v>100151</v>
      </c>
      <c r="C162" s="51" t="s">
        <v>87</v>
      </c>
      <c r="D162" s="51">
        <v>1001512</v>
      </c>
      <c r="F162" s="51">
        <v>7</v>
      </c>
      <c r="G162" s="51">
        <v>1</v>
      </c>
      <c r="H162" s="51" t="s">
        <v>744</v>
      </c>
      <c r="I162" s="51">
        <v>1</v>
      </c>
      <c r="J162" s="51" t="s">
        <v>744</v>
      </c>
      <c r="K162" s="51">
        <v>0</v>
      </c>
      <c r="L162" s="51">
        <v>0</v>
      </c>
      <c r="M162" s="51">
        <v>2</v>
      </c>
      <c r="N162" s="51">
        <v>0</v>
      </c>
      <c r="O162" s="51">
        <v>37</v>
      </c>
      <c r="P162" s="52">
        <v>45121</v>
      </c>
      <c r="Q162" s="52">
        <v>72687.999988425901</v>
      </c>
      <c r="R162" s="51">
        <v>0</v>
      </c>
      <c r="S162" s="52">
        <v>45121</v>
      </c>
      <c r="T162" s="52">
        <v>72687.999988425901</v>
      </c>
      <c r="U162" s="51">
        <v>1</v>
      </c>
      <c r="V162" s="51">
        <v>0</v>
      </c>
    </row>
    <row r="163" spans="1:22" x14ac:dyDescent="0.3">
      <c r="A163" s="51">
        <v>11003</v>
      </c>
      <c r="B163" s="51">
        <v>100171</v>
      </c>
      <c r="C163" s="51" t="s">
        <v>85</v>
      </c>
      <c r="D163" s="51">
        <v>1001712</v>
      </c>
      <c r="F163" s="51">
        <v>7</v>
      </c>
      <c r="G163" s="51">
        <v>1</v>
      </c>
      <c r="H163" s="51" t="s">
        <v>214</v>
      </c>
      <c r="I163" s="51">
        <v>1</v>
      </c>
      <c r="J163" s="51" t="s">
        <v>214</v>
      </c>
      <c r="K163" s="51">
        <v>0</v>
      </c>
      <c r="L163" s="51">
        <v>0</v>
      </c>
      <c r="M163" s="51">
        <v>2</v>
      </c>
      <c r="N163" s="51">
        <v>0</v>
      </c>
      <c r="O163" s="51">
        <v>36</v>
      </c>
      <c r="P163" s="52">
        <v>45121</v>
      </c>
      <c r="Q163" s="52">
        <v>72687.999988425901</v>
      </c>
      <c r="R163" s="51">
        <v>0</v>
      </c>
      <c r="S163" s="52">
        <v>45121</v>
      </c>
      <c r="T163" s="52">
        <v>72687.999988425901</v>
      </c>
      <c r="U163" s="51">
        <v>1</v>
      </c>
      <c r="V163" s="51">
        <v>0</v>
      </c>
    </row>
    <row r="164" spans="1:22" x14ac:dyDescent="0.3">
      <c r="A164" s="51">
        <v>11004</v>
      </c>
      <c r="B164" s="51">
        <v>100262</v>
      </c>
      <c r="C164" s="51" t="s">
        <v>231</v>
      </c>
      <c r="D164" s="51">
        <v>1002622</v>
      </c>
      <c r="F164" s="51">
        <v>7</v>
      </c>
      <c r="G164" s="51">
        <v>1</v>
      </c>
      <c r="H164" s="51" t="s">
        <v>214</v>
      </c>
      <c r="I164" s="51">
        <v>1</v>
      </c>
      <c r="J164" s="51" t="s">
        <v>214</v>
      </c>
      <c r="K164" s="51">
        <v>0</v>
      </c>
      <c r="L164" s="51">
        <v>0</v>
      </c>
      <c r="M164" s="51">
        <v>2</v>
      </c>
      <c r="N164" s="51">
        <v>0</v>
      </c>
      <c r="O164" s="51">
        <v>35</v>
      </c>
      <c r="P164" s="52">
        <v>45121</v>
      </c>
      <c r="Q164" s="52">
        <v>72687.999988425901</v>
      </c>
      <c r="R164" s="51">
        <v>0</v>
      </c>
      <c r="S164" s="52">
        <v>45121</v>
      </c>
      <c r="T164" s="52">
        <v>72687.999988425901</v>
      </c>
      <c r="U164" s="51">
        <v>1</v>
      </c>
      <c r="V164" s="51">
        <v>0</v>
      </c>
    </row>
    <row r="165" spans="1:22" x14ac:dyDescent="0.3">
      <c r="A165" s="51">
        <v>11005</v>
      </c>
      <c r="B165" s="51">
        <v>100272</v>
      </c>
      <c r="C165" s="51" t="s">
        <v>232</v>
      </c>
      <c r="D165" s="51">
        <v>1002722</v>
      </c>
      <c r="F165" s="51">
        <v>7</v>
      </c>
      <c r="G165" s="51">
        <v>1</v>
      </c>
      <c r="H165" s="51" t="s">
        <v>214</v>
      </c>
      <c r="I165" s="51">
        <v>1</v>
      </c>
      <c r="J165" s="51" t="s">
        <v>214</v>
      </c>
      <c r="K165" s="51">
        <v>0</v>
      </c>
      <c r="L165" s="51">
        <v>0</v>
      </c>
      <c r="M165" s="51">
        <v>2</v>
      </c>
      <c r="N165" s="51">
        <v>0</v>
      </c>
      <c r="O165" s="51">
        <v>34</v>
      </c>
      <c r="P165" s="52">
        <v>45121</v>
      </c>
      <c r="Q165" s="52">
        <v>72687.999988425901</v>
      </c>
      <c r="R165" s="51">
        <v>0</v>
      </c>
      <c r="S165" s="52">
        <v>45121</v>
      </c>
      <c r="T165" s="52">
        <v>72687.999988425901</v>
      </c>
      <c r="U165" s="51">
        <v>1</v>
      </c>
      <c r="V165" s="51">
        <v>0</v>
      </c>
    </row>
    <row r="166" spans="1:22" x14ac:dyDescent="0.3">
      <c r="A166" s="51">
        <v>11006</v>
      </c>
      <c r="B166" s="51">
        <v>100282</v>
      </c>
      <c r="C166" s="51" t="s">
        <v>233</v>
      </c>
      <c r="D166" s="51">
        <v>1002822</v>
      </c>
      <c r="F166" s="51">
        <v>7</v>
      </c>
      <c r="G166" s="51">
        <v>1</v>
      </c>
      <c r="H166" s="51" t="s">
        <v>214</v>
      </c>
      <c r="I166" s="51">
        <v>1</v>
      </c>
      <c r="J166" s="51" t="s">
        <v>214</v>
      </c>
      <c r="K166" s="51">
        <v>0</v>
      </c>
      <c r="L166" s="51">
        <v>0</v>
      </c>
      <c r="M166" s="51">
        <v>2</v>
      </c>
      <c r="N166" s="51">
        <v>0</v>
      </c>
      <c r="O166" s="51">
        <v>33</v>
      </c>
      <c r="P166" s="52">
        <v>45121</v>
      </c>
      <c r="Q166" s="52">
        <v>72687.999988425901</v>
      </c>
      <c r="R166" s="51">
        <v>0</v>
      </c>
      <c r="S166" s="52">
        <v>45121</v>
      </c>
      <c r="T166" s="52">
        <v>72687.999988425901</v>
      </c>
      <c r="U166" s="51">
        <v>1</v>
      </c>
      <c r="V166" s="51">
        <v>0</v>
      </c>
    </row>
    <row r="167" spans="1:22" x14ac:dyDescent="0.3">
      <c r="A167" s="51">
        <v>11007</v>
      </c>
      <c r="B167" s="51">
        <v>100292</v>
      </c>
      <c r="C167" s="51" t="s">
        <v>234</v>
      </c>
      <c r="D167" s="51">
        <v>1002922</v>
      </c>
      <c r="F167" s="51">
        <v>7</v>
      </c>
      <c r="G167" s="51">
        <v>1</v>
      </c>
      <c r="H167" s="51" t="s">
        <v>214</v>
      </c>
      <c r="I167" s="51">
        <v>1</v>
      </c>
      <c r="J167" s="51" t="s">
        <v>214</v>
      </c>
      <c r="K167" s="51">
        <v>0</v>
      </c>
      <c r="L167" s="51">
        <v>0</v>
      </c>
      <c r="M167" s="51">
        <v>2</v>
      </c>
      <c r="N167" s="51">
        <v>0</v>
      </c>
      <c r="O167" s="51">
        <v>32</v>
      </c>
      <c r="P167" s="52">
        <v>45121</v>
      </c>
      <c r="Q167" s="52">
        <v>72687.999988425901</v>
      </c>
      <c r="R167" s="51">
        <v>0</v>
      </c>
      <c r="S167" s="52">
        <v>45121</v>
      </c>
      <c r="T167" s="52">
        <v>72687.999988425901</v>
      </c>
      <c r="U167" s="51">
        <v>1</v>
      </c>
      <c r="V167" s="51">
        <v>0</v>
      </c>
    </row>
    <row r="168" spans="1:22" x14ac:dyDescent="0.3">
      <c r="A168" s="51">
        <v>11008</v>
      </c>
      <c r="B168" s="51">
        <v>100011</v>
      </c>
      <c r="C168" s="51" t="s">
        <v>81</v>
      </c>
      <c r="D168" s="51">
        <v>1000112</v>
      </c>
      <c r="F168" s="51">
        <v>7</v>
      </c>
      <c r="G168" s="51">
        <v>1</v>
      </c>
      <c r="H168" s="51" t="s">
        <v>322</v>
      </c>
      <c r="I168" s="51">
        <v>1</v>
      </c>
      <c r="J168" s="51" t="s">
        <v>322</v>
      </c>
      <c r="K168" s="51">
        <v>0</v>
      </c>
      <c r="L168" s="51">
        <v>0</v>
      </c>
      <c r="M168" s="51">
        <v>2</v>
      </c>
      <c r="N168" s="51">
        <v>0</v>
      </c>
      <c r="O168" s="51">
        <v>31</v>
      </c>
      <c r="P168" s="52">
        <v>45121</v>
      </c>
      <c r="Q168" s="52">
        <v>72687.999988425901</v>
      </c>
      <c r="R168" s="51">
        <v>0</v>
      </c>
      <c r="S168" s="52">
        <v>45121</v>
      </c>
      <c r="T168" s="52">
        <v>72687.999988425901</v>
      </c>
      <c r="U168" s="51">
        <v>1</v>
      </c>
      <c r="V168" s="51">
        <v>0</v>
      </c>
    </row>
    <row r="169" spans="1:22" x14ac:dyDescent="0.3">
      <c r="A169" s="51">
        <v>11009</v>
      </c>
      <c r="B169" s="51">
        <v>100041</v>
      </c>
      <c r="C169" s="51" t="s">
        <v>83</v>
      </c>
      <c r="D169" s="51">
        <v>1000412</v>
      </c>
      <c r="F169" s="51">
        <v>7</v>
      </c>
      <c r="G169" s="51">
        <v>1</v>
      </c>
      <c r="H169" s="51" t="s">
        <v>322</v>
      </c>
      <c r="I169" s="51">
        <v>1</v>
      </c>
      <c r="J169" s="51" t="s">
        <v>322</v>
      </c>
      <c r="K169" s="51">
        <v>0</v>
      </c>
      <c r="L169" s="51">
        <v>0</v>
      </c>
      <c r="M169" s="51">
        <v>2</v>
      </c>
      <c r="N169" s="51">
        <v>0</v>
      </c>
      <c r="O169" s="51">
        <v>30</v>
      </c>
      <c r="P169" s="52">
        <v>45121</v>
      </c>
      <c r="Q169" s="52">
        <v>72687.999988425901</v>
      </c>
      <c r="R169" s="51">
        <v>0</v>
      </c>
      <c r="S169" s="52">
        <v>45121</v>
      </c>
      <c r="T169" s="52">
        <v>72687.999988425901</v>
      </c>
      <c r="U169" s="51">
        <v>1</v>
      </c>
      <c r="V169" s="51">
        <v>0</v>
      </c>
    </row>
    <row r="170" spans="1:22" x14ac:dyDescent="0.3">
      <c r="A170" s="51">
        <v>11010</v>
      </c>
      <c r="B170" s="51">
        <v>100621</v>
      </c>
      <c r="C170" s="51" t="s">
        <v>236</v>
      </c>
      <c r="D170" s="51">
        <v>1006212</v>
      </c>
      <c r="F170" s="51">
        <v>7</v>
      </c>
      <c r="G170" s="51">
        <v>1</v>
      </c>
      <c r="H170" s="51" t="s">
        <v>322</v>
      </c>
      <c r="I170" s="51">
        <v>1</v>
      </c>
      <c r="J170" s="51" t="s">
        <v>322</v>
      </c>
      <c r="K170" s="51">
        <v>0</v>
      </c>
      <c r="L170" s="51">
        <v>0</v>
      </c>
      <c r="M170" s="51">
        <v>2</v>
      </c>
      <c r="N170" s="51">
        <v>0</v>
      </c>
      <c r="O170" s="51">
        <v>29</v>
      </c>
      <c r="P170" s="52">
        <v>45121</v>
      </c>
      <c r="Q170" s="52">
        <v>72687.999988425901</v>
      </c>
      <c r="R170" s="51">
        <v>0</v>
      </c>
      <c r="S170" s="52">
        <v>45121</v>
      </c>
      <c r="T170" s="52">
        <v>72687.999988425901</v>
      </c>
      <c r="U170" s="51">
        <v>1</v>
      </c>
      <c r="V170" s="51">
        <v>0</v>
      </c>
    </row>
    <row r="171" spans="1:22" x14ac:dyDescent="0.3">
      <c r="A171" s="51">
        <v>11011</v>
      </c>
      <c r="B171" s="51">
        <v>100661</v>
      </c>
      <c r="C171" s="51" t="s">
        <v>237</v>
      </c>
      <c r="D171" s="51">
        <v>1006612</v>
      </c>
      <c r="F171" s="51">
        <v>7</v>
      </c>
      <c r="G171" s="51">
        <v>1</v>
      </c>
      <c r="H171" s="51" t="s">
        <v>322</v>
      </c>
      <c r="I171" s="51">
        <v>1</v>
      </c>
      <c r="J171" s="51" t="s">
        <v>322</v>
      </c>
      <c r="K171" s="51">
        <v>0</v>
      </c>
      <c r="L171" s="51">
        <v>0</v>
      </c>
      <c r="M171" s="51">
        <v>2</v>
      </c>
      <c r="N171" s="51">
        <v>0</v>
      </c>
      <c r="O171" s="51">
        <v>28</v>
      </c>
      <c r="P171" s="52">
        <v>45121</v>
      </c>
      <c r="Q171" s="52">
        <v>72687.999988425901</v>
      </c>
      <c r="R171" s="51">
        <v>0</v>
      </c>
      <c r="S171" s="52">
        <v>45121</v>
      </c>
      <c r="T171" s="52">
        <v>72687.999988425901</v>
      </c>
      <c r="U171" s="51">
        <v>1</v>
      </c>
      <c r="V171" s="51">
        <v>0</v>
      </c>
    </row>
    <row r="172" spans="1:22" x14ac:dyDescent="0.3">
      <c r="A172" s="51">
        <v>11012</v>
      </c>
      <c r="B172" s="51">
        <v>100671</v>
      </c>
      <c r="C172" s="51" t="s">
        <v>238</v>
      </c>
      <c r="D172" s="51">
        <v>1006712</v>
      </c>
      <c r="F172" s="51">
        <v>7</v>
      </c>
      <c r="G172" s="51">
        <v>1</v>
      </c>
      <c r="H172" s="51" t="s">
        <v>322</v>
      </c>
      <c r="I172" s="51">
        <v>1</v>
      </c>
      <c r="J172" s="51" t="s">
        <v>322</v>
      </c>
      <c r="K172" s="51">
        <v>0</v>
      </c>
      <c r="L172" s="51">
        <v>0</v>
      </c>
      <c r="M172" s="51">
        <v>2</v>
      </c>
      <c r="N172" s="51">
        <v>0</v>
      </c>
      <c r="O172" s="51">
        <v>27</v>
      </c>
      <c r="P172" s="52">
        <v>45121</v>
      </c>
      <c r="Q172" s="52">
        <v>72687.999988425901</v>
      </c>
      <c r="R172" s="51">
        <v>0</v>
      </c>
      <c r="S172" s="52">
        <v>45121</v>
      </c>
      <c r="T172" s="52">
        <v>72687.999988425901</v>
      </c>
      <c r="U172" s="51">
        <v>1</v>
      </c>
      <c r="V172" s="51">
        <v>0</v>
      </c>
    </row>
    <row r="173" spans="1:22" x14ac:dyDescent="0.3">
      <c r="A173" s="51">
        <v>11013</v>
      </c>
      <c r="B173" s="51">
        <v>100711</v>
      </c>
      <c r="C173" s="51" t="s">
        <v>239</v>
      </c>
      <c r="D173" s="51">
        <v>1007112</v>
      </c>
      <c r="F173" s="51">
        <v>7</v>
      </c>
      <c r="G173" s="51">
        <v>1</v>
      </c>
      <c r="H173" s="51" t="s">
        <v>322</v>
      </c>
      <c r="I173" s="51">
        <v>1</v>
      </c>
      <c r="J173" s="51" t="s">
        <v>322</v>
      </c>
      <c r="K173" s="51">
        <v>0</v>
      </c>
      <c r="L173" s="51">
        <v>0</v>
      </c>
      <c r="M173" s="51">
        <v>2</v>
      </c>
      <c r="N173" s="51">
        <v>0</v>
      </c>
      <c r="O173" s="51">
        <v>26</v>
      </c>
      <c r="P173" s="52">
        <v>45121</v>
      </c>
      <c r="Q173" s="52">
        <v>72687.999988425901</v>
      </c>
      <c r="R173" s="51">
        <v>0</v>
      </c>
      <c r="S173" s="52">
        <v>45121</v>
      </c>
      <c r="T173" s="52">
        <v>72687.999988425901</v>
      </c>
      <c r="U173" s="51">
        <v>1</v>
      </c>
      <c r="V173" s="51">
        <v>0</v>
      </c>
    </row>
    <row r="174" spans="1:22" x14ac:dyDescent="0.3">
      <c r="A174" s="51">
        <v>11014</v>
      </c>
      <c r="B174" s="51">
        <v>100731</v>
      </c>
      <c r="C174" s="51" t="s">
        <v>240</v>
      </c>
      <c r="D174" s="51">
        <v>1007312</v>
      </c>
      <c r="F174" s="51">
        <v>7</v>
      </c>
      <c r="G174" s="51">
        <v>1</v>
      </c>
      <c r="H174" s="51" t="s">
        <v>322</v>
      </c>
      <c r="I174" s="51">
        <v>1</v>
      </c>
      <c r="J174" s="51" t="s">
        <v>322</v>
      </c>
      <c r="K174" s="51">
        <v>6</v>
      </c>
      <c r="L174" s="51">
        <v>1</v>
      </c>
      <c r="M174" s="51">
        <v>2</v>
      </c>
      <c r="N174" s="51">
        <v>0</v>
      </c>
      <c r="O174" s="51">
        <v>25</v>
      </c>
      <c r="P174" s="52">
        <v>45121</v>
      </c>
      <c r="Q174" s="52">
        <v>72687.999988425901</v>
      </c>
      <c r="R174" s="51">
        <v>0</v>
      </c>
      <c r="S174" s="52">
        <v>45121</v>
      </c>
      <c r="T174" s="52">
        <v>72687.999988425901</v>
      </c>
      <c r="U174" s="51">
        <v>1</v>
      </c>
      <c r="V174" s="51">
        <v>0</v>
      </c>
    </row>
    <row r="175" spans="1:22" x14ac:dyDescent="0.3">
      <c r="A175" s="51">
        <v>11015</v>
      </c>
      <c r="B175" s="51">
        <v>100751</v>
      </c>
      <c r="C175" s="51" t="s">
        <v>241</v>
      </c>
      <c r="D175" s="51">
        <v>1007512</v>
      </c>
      <c r="F175" s="51">
        <v>7</v>
      </c>
      <c r="G175" s="51">
        <v>1</v>
      </c>
      <c r="H175" s="51" t="s">
        <v>322</v>
      </c>
      <c r="I175" s="51">
        <v>1</v>
      </c>
      <c r="J175" s="51" t="s">
        <v>322</v>
      </c>
      <c r="K175" s="51">
        <v>6</v>
      </c>
      <c r="L175" s="51">
        <v>1</v>
      </c>
      <c r="M175" s="51">
        <v>2</v>
      </c>
      <c r="N175" s="51">
        <v>0</v>
      </c>
      <c r="O175" s="51">
        <v>24</v>
      </c>
      <c r="P175" s="52">
        <v>45121</v>
      </c>
      <c r="Q175" s="52">
        <v>72687.999988425901</v>
      </c>
      <c r="R175" s="51">
        <v>0</v>
      </c>
      <c r="S175" s="52">
        <v>45121</v>
      </c>
      <c r="T175" s="52">
        <v>72687.999988425901</v>
      </c>
      <c r="U175" s="51">
        <v>1</v>
      </c>
      <c r="V175" s="51">
        <v>0</v>
      </c>
    </row>
    <row r="176" spans="1:22" x14ac:dyDescent="0.3">
      <c r="A176" s="51">
        <v>11016</v>
      </c>
      <c r="B176" s="51">
        <v>100071</v>
      </c>
      <c r="C176" s="51" t="s">
        <v>71</v>
      </c>
      <c r="D176" s="51">
        <v>1000712</v>
      </c>
      <c r="F176" s="51">
        <v>7</v>
      </c>
      <c r="G176" s="51">
        <v>1</v>
      </c>
      <c r="H176" s="51" t="s">
        <v>204</v>
      </c>
      <c r="I176" s="51">
        <v>1</v>
      </c>
      <c r="J176" s="51" t="s">
        <v>204</v>
      </c>
      <c r="K176" s="51">
        <v>6</v>
      </c>
      <c r="L176" s="51">
        <v>1</v>
      </c>
      <c r="M176" s="51">
        <v>2</v>
      </c>
      <c r="N176" s="51">
        <v>0</v>
      </c>
      <c r="O176" s="51">
        <v>23</v>
      </c>
      <c r="P176" s="52">
        <v>45121</v>
      </c>
      <c r="Q176" s="52">
        <v>72687.999988425901</v>
      </c>
      <c r="R176" s="51">
        <v>0</v>
      </c>
      <c r="S176" s="52">
        <v>45121</v>
      </c>
      <c r="T176" s="52">
        <v>72687.999988425901</v>
      </c>
      <c r="U176" s="51">
        <v>1</v>
      </c>
      <c r="V176" s="51">
        <v>0</v>
      </c>
    </row>
    <row r="177" spans="1:22" x14ac:dyDescent="0.3">
      <c r="A177" s="51">
        <v>11017</v>
      </c>
      <c r="B177" s="51">
        <v>100081</v>
      </c>
      <c r="C177" s="51" t="s">
        <v>74</v>
      </c>
      <c r="D177" s="51">
        <v>1000812</v>
      </c>
      <c r="F177" s="51">
        <v>7</v>
      </c>
      <c r="G177" s="51">
        <v>1</v>
      </c>
      <c r="H177" s="51" t="s">
        <v>204</v>
      </c>
      <c r="I177" s="51">
        <v>1</v>
      </c>
      <c r="J177" s="51" t="s">
        <v>204</v>
      </c>
      <c r="K177" s="51">
        <v>6</v>
      </c>
      <c r="L177" s="51">
        <v>1</v>
      </c>
      <c r="M177" s="51">
        <v>2</v>
      </c>
      <c r="N177" s="51">
        <v>0</v>
      </c>
      <c r="O177" s="51">
        <v>22</v>
      </c>
      <c r="P177" s="52">
        <v>45121</v>
      </c>
      <c r="Q177" s="52">
        <v>72687.999988425901</v>
      </c>
      <c r="R177" s="51">
        <v>0</v>
      </c>
      <c r="S177" s="52">
        <v>45121</v>
      </c>
      <c r="T177" s="52">
        <v>72687.999988425901</v>
      </c>
      <c r="U177" s="51">
        <v>1</v>
      </c>
      <c r="V177" s="51">
        <v>0</v>
      </c>
    </row>
    <row r="178" spans="1:22" x14ac:dyDescent="0.3">
      <c r="A178" s="51">
        <v>11018</v>
      </c>
      <c r="B178" s="51">
        <v>100051</v>
      </c>
      <c r="C178" s="51" t="s">
        <v>78</v>
      </c>
      <c r="D178" s="51">
        <v>1000512</v>
      </c>
      <c r="F178" s="51">
        <v>7</v>
      </c>
      <c r="G178" s="51">
        <v>1</v>
      </c>
      <c r="H178" s="51" t="s">
        <v>204</v>
      </c>
      <c r="I178" s="51">
        <v>1</v>
      </c>
      <c r="J178" s="51" t="s">
        <v>204</v>
      </c>
      <c r="K178" s="51">
        <v>0</v>
      </c>
      <c r="L178" s="51">
        <v>0</v>
      </c>
      <c r="M178" s="51">
        <v>2</v>
      </c>
      <c r="N178" s="51">
        <v>0</v>
      </c>
      <c r="O178" s="51">
        <v>21</v>
      </c>
      <c r="P178" s="52">
        <v>45121</v>
      </c>
      <c r="Q178" s="52">
        <v>72687.999988425901</v>
      </c>
      <c r="R178" s="51">
        <v>0</v>
      </c>
      <c r="S178" s="52">
        <v>45121</v>
      </c>
      <c r="T178" s="52">
        <v>72687.999988425901</v>
      </c>
      <c r="U178" s="51">
        <v>1</v>
      </c>
      <c r="V178" s="51">
        <v>0</v>
      </c>
    </row>
    <row r="179" spans="1:22" x14ac:dyDescent="0.3">
      <c r="A179" s="51">
        <v>11019</v>
      </c>
      <c r="B179" s="51">
        <v>100091</v>
      </c>
      <c r="C179" s="51" t="s">
        <v>76</v>
      </c>
      <c r="D179" s="51">
        <v>1000912</v>
      </c>
      <c r="F179" s="51">
        <v>7</v>
      </c>
      <c r="G179" s="51">
        <v>1</v>
      </c>
      <c r="H179" s="51" t="s">
        <v>204</v>
      </c>
      <c r="I179" s="51">
        <v>1</v>
      </c>
      <c r="J179" s="51" t="s">
        <v>204</v>
      </c>
      <c r="K179" s="51">
        <v>0</v>
      </c>
      <c r="L179" s="51">
        <v>0</v>
      </c>
      <c r="M179" s="51">
        <v>2</v>
      </c>
      <c r="N179" s="51">
        <v>0</v>
      </c>
      <c r="O179" s="51">
        <v>20</v>
      </c>
      <c r="P179" s="52">
        <v>45121</v>
      </c>
      <c r="Q179" s="52">
        <v>72687.999988425901</v>
      </c>
      <c r="R179" s="51">
        <v>0</v>
      </c>
      <c r="S179" s="52">
        <v>45121</v>
      </c>
      <c r="T179" s="52">
        <v>72687.999988425901</v>
      </c>
      <c r="U179" s="51">
        <v>1</v>
      </c>
      <c r="V179" s="51">
        <v>0</v>
      </c>
    </row>
    <row r="180" spans="1:22" x14ac:dyDescent="0.3">
      <c r="A180" s="51">
        <v>11020</v>
      </c>
      <c r="B180" s="51">
        <v>100201</v>
      </c>
      <c r="C180" s="51" t="s">
        <v>80</v>
      </c>
      <c r="D180" s="51">
        <v>1002012</v>
      </c>
      <c r="F180" s="51">
        <v>7</v>
      </c>
      <c r="G180" s="51">
        <v>1</v>
      </c>
      <c r="H180" s="51" t="s">
        <v>204</v>
      </c>
      <c r="I180" s="51">
        <v>1</v>
      </c>
      <c r="J180" s="51" t="s">
        <v>204</v>
      </c>
      <c r="K180" s="51">
        <v>0</v>
      </c>
      <c r="L180" s="51">
        <v>0</v>
      </c>
      <c r="M180" s="51">
        <v>2</v>
      </c>
      <c r="N180" s="51">
        <v>0</v>
      </c>
      <c r="O180" s="51">
        <v>19</v>
      </c>
      <c r="P180" s="52">
        <v>45121</v>
      </c>
      <c r="Q180" s="52">
        <v>72687.999988425901</v>
      </c>
      <c r="R180" s="51">
        <v>0</v>
      </c>
      <c r="S180" s="52">
        <v>45121</v>
      </c>
      <c r="T180" s="52">
        <v>72687.999988425901</v>
      </c>
      <c r="U180" s="51">
        <v>1</v>
      </c>
      <c r="V180" s="51">
        <v>0</v>
      </c>
    </row>
    <row r="181" spans="1:22" x14ac:dyDescent="0.3">
      <c r="A181" s="51">
        <v>11021</v>
      </c>
      <c r="B181" s="51">
        <v>100111</v>
      </c>
      <c r="C181" s="51" t="s">
        <v>116</v>
      </c>
      <c r="D181" s="51">
        <v>1001112</v>
      </c>
      <c r="F181" s="51">
        <v>7</v>
      </c>
      <c r="G181" s="51">
        <v>1</v>
      </c>
      <c r="H181" s="51" t="s">
        <v>197</v>
      </c>
      <c r="I181" s="51">
        <v>1</v>
      </c>
      <c r="J181" s="51" t="s">
        <v>197</v>
      </c>
      <c r="K181" s="51">
        <v>0</v>
      </c>
      <c r="L181" s="51">
        <v>0</v>
      </c>
      <c r="M181" s="51">
        <v>2</v>
      </c>
      <c r="N181" s="51">
        <v>0</v>
      </c>
      <c r="O181" s="51">
        <v>18</v>
      </c>
      <c r="P181" s="52">
        <v>45121</v>
      </c>
      <c r="Q181" s="52">
        <v>72687.999988425901</v>
      </c>
      <c r="R181" s="51">
        <v>0</v>
      </c>
      <c r="S181" s="52">
        <v>45121</v>
      </c>
      <c r="T181" s="52">
        <v>72687.999988425901</v>
      </c>
      <c r="U181" s="51">
        <v>1</v>
      </c>
      <c r="V181" s="51">
        <v>0</v>
      </c>
    </row>
    <row r="182" spans="1:22" x14ac:dyDescent="0.3">
      <c r="A182" s="51">
        <v>11022</v>
      </c>
      <c r="B182" s="51">
        <v>100181</v>
      </c>
      <c r="C182" s="51" t="s">
        <v>68</v>
      </c>
      <c r="D182" s="51">
        <v>1001812</v>
      </c>
      <c r="F182" s="51">
        <v>7</v>
      </c>
      <c r="G182" s="51">
        <v>1</v>
      </c>
      <c r="H182" s="51" t="s">
        <v>197</v>
      </c>
      <c r="I182" s="51">
        <v>1</v>
      </c>
      <c r="J182" s="51" t="s">
        <v>197</v>
      </c>
      <c r="K182" s="51">
        <v>0</v>
      </c>
      <c r="L182" s="51">
        <v>0</v>
      </c>
      <c r="M182" s="51">
        <v>2</v>
      </c>
      <c r="N182" s="51">
        <v>0</v>
      </c>
      <c r="O182" s="51">
        <v>17</v>
      </c>
      <c r="P182" s="52">
        <v>45121</v>
      </c>
      <c r="Q182" s="52">
        <v>72687.999988425901</v>
      </c>
      <c r="R182" s="51">
        <v>0</v>
      </c>
      <c r="S182" s="52">
        <v>45121</v>
      </c>
      <c r="T182" s="52">
        <v>72687.999988425901</v>
      </c>
      <c r="U182" s="51">
        <v>1</v>
      </c>
      <c r="V182" s="51">
        <v>0</v>
      </c>
    </row>
    <row r="183" spans="1:22" x14ac:dyDescent="0.3">
      <c r="A183" s="51">
        <v>11023</v>
      </c>
      <c r="B183" s="51">
        <v>100442</v>
      </c>
      <c r="C183" s="51" t="s">
        <v>242</v>
      </c>
      <c r="D183" s="51">
        <v>1004422</v>
      </c>
      <c r="F183" s="51">
        <v>7</v>
      </c>
      <c r="G183" s="51">
        <v>1</v>
      </c>
      <c r="H183" s="51" t="s">
        <v>197</v>
      </c>
      <c r="I183" s="51">
        <v>1</v>
      </c>
      <c r="J183" s="51" t="s">
        <v>197</v>
      </c>
      <c r="K183" s="51">
        <v>0</v>
      </c>
      <c r="L183" s="51">
        <v>0</v>
      </c>
      <c r="M183" s="51">
        <v>2</v>
      </c>
      <c r="N183" s="51">
        <v>0</v>
      </c>
      <c r="O183" s="51">
        <v>16</v>
      </c>
      <c r="P183" s="52">
        <v>45121</v>
      </c>
      <c r="Q183" s="52">
        <v>72687.999988425901</v>
      </c>
      <c r="R183" s="51">
        <v>0</v>
      </c>
      <c r="S183" s="52">
        <v>45121</v>
      </c>
      <c r="T183" s="52">
        <v>72687.999988425901</v>
      </c>
      <c r="U183" s="51">
        <v>1</v>
      </c>
      <c r="V183" s="51">
        <v>0</v>
      </c>
    </row>
    <row r="184" spans="1:22" x14ac:dyDescent="0.3">
      <c r="A184" s="51">
        <v>11024</v>
      </c>
      <c r="B184" s="51">
        <v>101123</v>
      </c>
      <c r="C184" s="51" t="s">
        <v>243</v>
      </c>
      <c r="D184" s="51">
        <v>1011232</v>
      </c>
      <c r="F184" s="51">
        <v>7</v>
      </c>
      <c r="G184" s="51">
        <v>1</v>
      </c>
      <c r="H184" s="51" t="s">
        <v>197</v>
      </c>
      <c r="I184" s="51">
        <v>1</v>
      </c>
      <c r="J184" s="51" t="s">
        <v>197</v>
      </c>
      <c r="K184" s="51">
        <v>9</v>
      </c>
      <c r="L184" s="51">
        <v>0</v>
      </c>
      <c r="M184" s="51">
        <v>2</v>
      </c>
      <c r="N184" s="51">
        <v>0</v>
      </c>
      <c r="O184" s="51">
        <v>15</v>
      </c>
      <c r="P184" s="52">
        <v>45121</v>
      </c>
      <c r="Q184" s="52">
        <v>72687.999988425901</v>
      </c>
      <c r="R184" s="51">
        <v>0</v>
      </c>
      <c r="S184" s="52">
        <v>45121</v>
      </c>
      <c r="T184" s="52">
        <v>72687.999988425901</v>
      </c>
      <c r="U184" s="51">
        <v>1</v>
      </c>
      <c r="V184" s="51">
        <v>1</v>
      </c>
    </row>
    <row r="185" spans="1:22" x14ac:dyDescent="0.3">
      <c r="A185" s="51">
        <v>11025</v>
      </c>
      <c r="B185" s="51">
        <v>100402</v>
      </c>
      <c r="C185" s="51" t="s">
        <v>199</v>
      </c>
      <c r="D185" s="51">
        <v>1004022</v>
      </c>
      <c r="F185" s="51">
        <v>7</v>
      </c>
      <c r="G185" s="51">
        <v>1</v>
      </c>
      <c r="H185" s="51" t="s">
        <v>197</v>
      </c>
      <c r="I185" s="51">
        <v>1</v>
      </c>
      <c r="J185" s="51" t="s">
        <v>197</v>
      </c>
      <c r="K185" s="51">
        <v>0</v>
      </c>
      <c r="L185" s="51">
        <v>0</v>
      </c>
      <c r="M185" s="51">
        <v>2</v>
      </c>
      <c r="N185" s="51">
        <v>0</v>
      </c>
      <c r="O185" s="51">
        <v>14</v>
      </c>
      <c r="P185" s="52">
        <v>45121</v>
      </c>
      <c r="Q185" s="52">
        <v>72687.999988425901</v>
      </c>
      <c r="R185" s="51">
        <v>0</v>
      </c>
      <c r="S185" s="52">
        <v>45121</v>
      </c>
      <c r="T185" s="52">
        <v>72687.999988425901</v>
      </c>
      <c r="U185" s="51">
        <v>1</v>
      </c>
      <c r="V185" s="51">
        <v>0</v>
      </c>
    </row>
    <row r="186" spans="1:22" x14ac:dyDescent="0.3">
      <c r="A186" s="51">
        <v>11026</v>
      </c>
      <c r="B186" s="51">
        <v>100412</v>
      </c>
      <c r="C186" s="51" t="s">
        <v>196</v>
      </c>
      <c r="D186" s="51">
        <v>1004122</v>
      </c>
      <c r="F186" s="51">
        <v>7</v>
      </c>
      <c r="G186" s="51">
        <v>1</v>
      </c>
      <c r="H186" s="51" t="s">
        <v>197</v>
      </c>
      <c r="I186" s="51">
        <v>1</v>
      </c>
      <c r="J186" s="51" t="s">
        <v>197</v>
      </c>
      <c r="K186" s="51">
        <v>0</v>
      </c>
      <c r="L186" s="51">
        <v>0</v>
      </c>
      <c r="M186" s="51">
        <v>2</v>
      </c>
      <c r="N186" s="51">
        <v>0</v>
      </c>
      <c r="O186" s="51">
        <v>13</v>
      </c>
      <c r="P186" s="52">
        <v>45121</v>
      </c>
      <c r="Q186" s="52">
        <v>72687.999988425901</v>
      </c>
      <c r="R186" s="51">
        <v>0</v>
      </c>
      <c r="S186" s="52">
        <v>45121</v>
      </c>
      <c r="T186" s="52">
        <v>72687.999988425901</v>
      </c>
      <c r="U186" s="51">
        <v>1</v>
      </c>
      <c r="V186" s="51">
        <v>0</v>
      </c>
    </row>
    <row r="187" spans="1:22" x14ac:dyDescent="0.3">
      <c r="A187" s="51">
        <v>11027</v>
      </c>
      <c r="B187" s="51">
        <v>100432</v>
      </c>
      <c r="C187" s="51" t="s">
        <v>245</v>
      </c>
      <c r="D187" s="51">
        <v>1004322</v>
      </c>
      <c r="F187" s="51">
        <v>7</v>
      </c>
      <c r="G187" s="51">
        <v>1</v>
      </c>
      <c r="H187" s="51" t="s">
        <v>197</v>
      </c>
      <c r="I187" s="51">
        <v>1</v>
      </c>
      <c r="J187" s="51" t="s">
        <v>197</v>
      </c>
      <c r="K187" s="51">
        <v>0</v>
      </c>
      <c r="L187" s="51">
        <v>0</v>
      </c>
      <c r="M187" s="51">
        <v>2</v>
      </c>
      <c r="N187" s="51">
        <v>0</v>
      </c>
      <c r="O187" s="51">
        <v>12</v>
      </c>
      <c r="P187" s="52">
        <v>45121</v>
      </c>
      <c r="Q187" s="52">
        <v>72687.999988425901</v>
      </c>
      <c r="R187" s="51">
        <v>0</v>
      </c>
      <c r="S187" s="52">
        <v>45121</v>
      </c>
      <c r="T187" s="52">
        <v>72687.999988425901</v>
      </c>
      <c r="U187" s="51">
        <v>1</v>
      </c>
      <c r="V187" s="51">
        <v>0</v>
      </c>
    </row>
    <row r="188" spans="1:22" s="47" customFormat="1" x14ac:dyDescent="0.3">
      <c r="A188" s="47">
        <v>11028</v>
      </c>
      <c r="B188" s="47">
        <v>100462</v>
      </c>
      <c r="C188" s="47" t="s">
        <v>201</v>
      </c>
      <c r="D188" s="47">
        <v>1004622</v>
      </c>
      <c r="F188" s="47">
        <v>7</v>
      </c>
      <c r="G188" s="47">
        <v>1</v>
      </c>
      <c r="H188" s="47" t="s">
        <v>197</v>
      </c>
      <c r="I188" s="47">
        <v>1</v>
      </c>
      <c r="J188" s="47" t="s">
        <v>197</v>
      </c>
      <c r="K188" s="47">
        <v>9</v>
      </c>
      <c r="L188" s="47">
        <v>0</v>
      </c>
      <c r="M188" s="47">
        <v>2</v>
      </c>
      <c r="N188" s="47">
        <v>0</v>
      </c>
      <c r="O188" s="47">
        <v>11</v>
      </c>
      <c r="P188" s="70">
        <v>45121</v>
      </c>
      <c r="Q188" s="70">
        <v>72687.999988425901</v>
      </c>
      <c r="R188" s="47">
        <v>0</v>
      </c>
      <c r="S188" s="70">
        <v>45121</v>
      </c>
      <c r="T188" s="70">
        <v>72687.999988425901</v>
      </c>
      <c r="U188" s="51">
        <v>1</v>
      </c>
      <c r="V188" s="47">
        <v>1</v>
      </c>
    </row>
    <row r="189" spans="1:22" x14ac:dyDescent="0.3">
      <c r="A189" s="51">
        <v>11029</v>
      </c>
      <c r="B189" s="51">
        <v>100023</v>
      </c>
      <c r="C189" s="51" t="s">
        <v>198</v>
      </c>
      <c r="D189" s="51">
        <v>1000232</v>
      </c>
      <c r="F189" s="51">
        <v>7</v>
      </c>
      <c r="G189" s="51">
        <v>1</v>
      </c>
      <c r="H189" s="51" t="s">
        <v>318</v>
      </c>
      <c r="I189" s="51">
        <v>1</v>
      </c>
      <c r="J189" s="51" t="s">
        <v>318</v>
      </c>
      <c r="K189" s="51">
        <v>0</v>
      </c>
      <c r="L189" s="51">
        <v>0</v>
      </c>
      <c r="M189" s="51">
        <v>2</v>
      </c>
      <c r="N189" s="51">
        <v>0</v>
      </c>
      <c r="O189" s="51">
        <v>10</v>
      </c>
      <c r="P189" s="52">
        <v>45121</v>
      </c>
      <c r="Q189" s="52">
        <v>72687.999988425901</v>
      </c>
      <c r="R189" s="51">
        <v>0</v>
      </c>
      <c r="S189" s="52">
        <v>45121</v>
      </c>
      <c r="T189" s="52">
        <v>72687.999988425901</v>
      </c>
      <c r="U189" s="51">
        <v>1</v>
      </c>
      <c r="V189" s="51">
        <v>0</v>
      </c>
    </row>
    <row r="190" spans="1:22" x14ac:dyDescent="0.3">
      <c r="A190" s="51">
        <v>11030</v>
      </c>
      <c r="B190" s="51">
        <v>100093</v>
      </c>
      <c r="C190" s="51" t="s">
        <v>76</v>
      </c>
      <c r="D190" s="51">
        <v>1000932</v>
      </c>
      <c r="F190" s="51">
        <v>7</v>
      </c>
      <c r="G190" s="51">
        <v>1</v>
      </c>
      <c r="H190" s="51" t="s">
        <v>318</v>
      </c>
      <c r="I190" s="51">
        <v>1</v>
      </c>
      <c r="J190" s="51" t="s">
        <v>318</v>
      </c>
      <c r="K190" s="51">
        <v>0</v>
      </c>
      <c r="L190" s="51">
        <v>0</v>
      </c>
      <c r="M190" s="51">
        <v>2</v>
      </c>
      <c r="N190" s="51">
        <v>0</v>
      </c>
      <c r="O190" s="51">
        <v>9</v>
      </c>
      <c r="P190" s="52">
        <v>45121</v>
      </c>
      <c r="Q190" s="52">
        <v>72687.999988425901</v>
      </c>
      <c r="R190" s="51">
        <v>0</v>
      </c>
      <c r="S190" s="52">
        <v>45121</v>
      </c>
      <c r="T190" s="52">
        <v>72687.999988425901</v>
      </c>
      <c r="U190" s="51">
        <v>1</v>
      </c>
      <c r="V190" s="51">
        <v>0</v>
      </c>
    </row>
    <row r="191" spans="1:22" x14ac:dyDescent="0.3">
      <c r="A191" s="51">
        <v>11031</v>
      </c>
      <c r="B191" s="51">
        <v>101074</v>
      </c>
      <c r="C191" s="51" t="s">
        <v>251</v>
      </c>
      <c r="D191" s="51">
        <v>1010742</v>
      </c>
      <c r="F191" s="51">
        <v>7</v>
      </c>
      <c r="G191" s="51">
        <v>1</v>
      </c>
      <c r="H191" s="51" t="s">
        <v>318</v>
      </c>
      <c r="I191" s="51">
        <v>1</v>
      </c>
      <c r="J191" s="51" t="s">
        <v>318</v>
      </c>
      <c r="K191" s="51">
        <v>0</v>
      </c>
      <c r="L191" s="51">
        <v>0</v>
      </c>
      <c r="M191" s="51">
        <v>2</v>
      </c>
      <c r="N191" s="51">
        <v>0</v>
      </c>
      <c r="O191" s="51">
        <v>8</v>
      </c>
      <c r="P191" s="52">
        <v>45121</v>
      </c>
      <c r="Q191" s="52">
        <v>72687.999988425901</v>
      </c>
      <c r="R191" s="51">
        <v>0</v>
      </c>
      <c r="S191" s="52">
        <v>45121</v>
      </c>
      <c r="T191" s="52">
        <v>72687.999988425901</v>
      </c>
      <c r="U191" s="51">
        <v>1</v>
      </c>
      <c r="V191" s="51">
        <v>0</v>
      </c>
    </row>
    <row r="192" spans="1:22" x14ac:dyDescent="0.3">
      <c r="A192" s="51">
        <v>11032</v>
      </c>
      <c r="B192" s="51">
        <v>100964</v>
      </c>
      <c r="C192" s="51" t="s">
        <v>247</v>
      </c>
      <c r="D192" s="51">
        <v>1009642</v>
      </c>
      <c r="F192" s="51">
        <v>7</v>
      </c>
      <c r="G192" s="51">
        <v>1</v>
      </c>
      <c r="H192" s="51" t="s">
        <v>318</v>
      </c>
      <c r="I192" s="51">
        <v>1</v>
      </c>
      <c r="J192" s="51" t="s">
        <v>318</v>
      </c>
      <c r="K192" s="51">
        <v>9</v>
      </c>
      <c r="L192" s="51">
        <v>0</v>
      </c>
      <c r="M192" s="51">
        <v>2</v>
      </c>
      <c r="N192" s="51">
        <v>0</v>
      </c>
      <c r="O192" s="51">
        <v>7</v>
      </c>
      <c r="P192" s="52">
        <v>45121</v>
      </c>
      <c r="Q192" s="52">
        <v>72687.999988425901</v>
      </c>
      <c r="R192" s="51">
        <v>0</v>
      </c>
      <c r="S192" s="52">
        <v>45121</v>
      </c>
      <c r="T192" s="52">
        <v>72687.999988425901</v>
      </c>
      <c r="U192" s="51">
        <v>1</v>
      </c>
      <c r="V192" s="51">
        <v>1</v>
      </c>
    </row>
    <row r="193" spans="1:22" x14ac:dyDescent="0.3">
      <c r="A193" s="51">
        <v>11033</v>
      </c>
      <c r="B193" s="51">
        <v>100914</v>
      </c>
      <c r="C193" s="51" t="s">
        <v>249</v>
      </c>
      <c r="D193" s="51">
        <v>1009142</v>
      </c>
      <c r="F193" s="51">
        <v>7</v>
      </c>
      <c r="G193" s="51">
        <v>1</v>
      </c>
      <c r="H193" s="51" t="s">
        <v>318</v>
      </c>
      <c r="I193" s="51">
        <v>1</v>
      </c>
      <c r="J193" s="51" t="s">
        <v>318</v>
      </c>
      <c r="K193" s="51">
        <v>9</v>
      </c>
      <c r="L193" s="51">
        <v>0</v>
      </c>
      <c r="M193" s="51">
        <v>2</v>
      </c>
      <c r="N193" s="51">
        <v>0</v>
      </c>
      <c r="O193" s="51">
        <v>5</v>
      </c>
      <c r="P193" s="52">
        <v>45121</v>
      </c>
      <c r="Q193" s="52">
        <v>72687.999988425901</v>
      </c>
      <c r="R193" s="51">
        <v>0</v>
      </c>
      <c r="S193" s="52">
        <v>45121</v>
      </c>
      <c r="T193" s="52">
        <v>72687.999988425901</v>
      </c>
      <c r="U193" s="51">
        <v>1</v>
      </c>
      <c r="V193" s="51">
        <v>1</v>
      </c>
    </row>
    <row r="194" spans="1:22" x14ac:dyDescent="0.3">
      <c r="A194" s="51">
        <v>11034</v>
      </c>
      <c r="B194" s="51">
        <v>100934</v>
      </c>
      <c r="C194" s="51" t="s">
        <v>250</v>
      </c>
      <c r="D194" s="51">
        <v>1009342</v>
      </c>
      <c r="F194" s="51">
        <v>7</v>
      </c>
      <c r="G194" s="51">
        <v>1</v>
      </c>
      <c r="H194" s="51" t="s">
        <v>318</v>
      </c>
      <c r="I194" s="51">
        <v>1</v>
      </c>
      <c r="J194" s="51" t="s">
        <v>318</v>
      </c>
      <c r="K194" s="51">
        <v>0</v>
      </c>
      <c r="L194" s="51">
        <v>0</v>
      </c>
      <c r="M194" s="51">
        <v>2</v>
      </c>
      <c r="N194" s="51">
        <v>0</v>
      </c>
      <c r="O194" s="51">
        <v>4</v>
      </c>
      <c r="P194" s="52">
        <v>45121</v>
      </c>
      <c r="Q194" s="52">
        <v>72687.999988425901</v>
      </c>
      <c r="R194" s="51">
        <v>0</v>
      </c>
      <c r="S194" s="52">
        <v>45121</v>
      </c>
      <c r="T194" s="52">
        <v>72687.999988425901</v>
      </c>
      <c r="U194" s="51">
        <v>1</v>
      </c>
      <c r="V194" s="51">
        <v>0</v>
      </c>
    </row>
    <row r="195" spans="1:22" x14ac:dyDescent="0.3">
      <c r="A195" s="51">
        <v>11035</v>
      </c>
      <c r="B195" s="51">
        <v>101074</v>
      </c>
      <c r="C195" s="51" t="s">
        <v>251</v>
      </c>
      <c r="D195" s="51">
        <v>1010742</v>
      </c>
      <c r="F195" s="51">
        <v>7</v>
      </c>
      <c r="G195" s="51">
        <v>1</v>
      </c>
      <c r="H195" s="51" t="s">
        <v>318</v>
      </c>
      <c r="I195" s="51">
        <v>1</v>
      </c>
      <c r="J195" s="51" t="s">
        <v>318</v>
      </c>
      <c r="K195" s="51">
        <v>0</v>
      </c>
      <c r="L195" s="51">
        <v>0</v>
      </c>
      <c r="M195" s="51">
        <v>2</v>
      </c>
      <c r="N195" s="51">
        <v>0</v>
      </c>
      <c r="O195" s="51">
        <v>3</v>
      </c>
      <c r="P195" s="52">
        <v>45121</v>
      </c>
      <c r="Q195" s="52">
        <v>72687.999988425901</v>
      </c>
      <c r="R195" s="51">
        <v>0</v>
      </c>
      <c r="S195" s="52">
        <v>45121</v>
      </c>
      <c r="T195" s="52">
        <v>72687.999988425901</v>
      </c>
      <c r="U195" s="51">
        <v>1</v>
      </c>
      <c r="V195" s="51">
        <v>0</v>
      </c>
    </row>
    <row r="196" spans="1:22" x14ac:dyDescent="0.25">
      <c r="A196" s="55">
        <v>11036</v>
      </c>
      <c r="B196" s="51">
        <v>101094</v>
      </c>
      <c r="C196" s="51" t="s">
        <v>252</v>
      </c>
      <c r="D196" s="51">
        <v>1010942</v>
      </c>
      <c r="F196" s="51">
        <v>7</v>
      </c>
      <c r="G196" s="51">
        <v>1</v>
      </c>
      <c r="H196" s="51" t="s">
        <v>318</v>
      </c>
      <c r="I196" s="51">
        <v>1</v>
      </c>
      <c r="J196" s="51" t="s">
        <v>318</v>
      </c>
      <c r="K196" s="51">
        <v>0</v>
      </c>
      <c r="L196" s="51">
        <v>0</v>
      </c>
      <c r="M196" s="51">
        <v>2</v>
      </c>
      <c r="N196" s="51">
        <v>0</v>
      </c>
      <c r="O196" s="51">
        <v>2</v>
      </c>
      <c r="P196" s="52">
        <v>45121</v>
      </c>
      <c r="Q196" s="52">
        <v>72687.999988425901</v>
      </c>
      <c r="R196" s="51">
        <v>0</v>
      </c>
      <c r="S196" s="52">
        <v>45121</v>
      </c>
      <c r="T196" s="52">
        <v>72687.999988425901</v>
      </c>
      <c r="U196" s="51">
        <v>1</v>
      </c>
      <c r="V196" s="51">
        <v>0</v>
      </c>
    </row>
    <row r="197" spans="1:22" x14ac:dyDescent="0.25">
      <c r="A197" s="55">
        <v>11037</v>
      </c>
      <c r="B197" s="51">
        <v>101114</v>
      </c>
      <c r="C197" s="51" t="s">
        <v>253</v>
      </c>
      <c r="D197" s="51">
        <v>1011142</v>
      </c>
      <c r="F197" s="51">
        <v>7</v>
      </c>
      <c r="G197" s="51">
        <v>1</v>
      </c>
      <c r="H197" s="51" t="s">
        <v>318</v>
      </c>
      <c r="I197" s="51">
        <v>1</v>
      </c>
      <c r="J197" s="51" t="s">
        <v>318</v>
      </c>
      <c r="K197" s="51">
        <v>0</v>
      </c>
      <c r="L197" s="51">
        <v>0</v>
      </c>
      <c r="M197" s="51">
        <v>2</v>
      </c>
      <c r="N197" s="51">
        <v>0</v>
      </c>
      <c r="O197" s="51">
        <v>1</v>
      </c>
      <c r="P197" s="52">
        <v>45121</v>
      </c>
      <c r="Q197" s="52">
        <v>72687.999988425901</v>
      </c>
      <c r="R197" s="51">
        <v>0</v>
      </c>
      <c r="S197" s="52">
        <v>45121</v>
      </c>
      <c r="T197" s="52">
        <v>72687.999988425901</v>
      </c>
      <c r="U197" s="51">
        <v>1</v>
      </c>
      <c r="V197" s="51">
        <v>0</v>
      </c>
    </row>
    <row r="198" spans="1:22" x14ac:dyDescent="0.3">
      <c r="A198" s="51">
        <v>12001</v>
      </c>
      <c r="B198" s="51">
        <v>200004</v>
      </c>
      <c r="C198" s="51" t="s">
        <v>91</v>
      </c>
      <c r="D198" s="51">
        <v>2000042</v>
      </c>
      <c r="E198" s="51" t="s">
        <v>254</v>
      </c>
      <c r="F198" s="51">
        <v>7</v>
      </c>
      <c r="G198" s="51">
        <v>2</v>
      </c>
      <c r="H198" s="51" t="s">
        <v>210</v>
      </c>
      <c r="I198" s="51">
        <v>1</v>
      </c>
      <c r="J198" s="51" t="s">
        <v>210</v>
      </c>
      <c r="K198" s="51">
        <v>0</v>
      </c>
      <c r="L198" s="51">
        <v>0</v>
      </c>
      <c r="M198" s="51">
        <v>2</v>
      </c>
      <c r="N198" s="51">
        <v>0</v>
      </c>
      <c r="O198" s="51">
        <v>13</v>
      </c>
      <c r="P198" s="52">
        <v>45121</v>
      </c>
      <c r="Q198" s="52">
        <v>72687.999988425901</v>
      </c>
      <c r="R198" s="51">
        <v>0</v>
      </c>
      <c r="S198" s="52">
        <v>45121</v>
      </c>
      <c r="T198" s="52">
        <v>72687.999988425901</v>
      </c>
      <c r="U198" s="51">
        <v>1</v>
      </c>
    </row>
    <row r="199" spans="1:22" x14ac:dyDescent="0.3">
      <c r="A199" s="51">
        <v>12002</v>
      </c>
      <c r="B199" s="51">
        <v>200006</v>
      </c>
      <c r="C199" s="51" t="s">
        <v>167</v>
      </c>
      <c r="D199" s="51">
        <v>2000062</v>
      </c>
      <c r="E199" s="51" t="s">
        <v>254</v>
      </c>
      <c r="F199" s="51">
        <v>7</v>
      </c>
      <c r="G199" s="51">
        <v>2</v>
      </c>
      <c r="H199" s="51" t="s">
        <v>210</v>
      </c>
      <c r="I199" s="51">
        <v>1</v>
      </c>
      <c r="J199" s="51" t="s">
        <v>210</v>
      </c>
      <c r="K199" s="51">
        <v>0</v>
      </c>
      <c r="L199" s="51">
        <v>0</v>
      </c>
      <c r="M199" s="51">
        <v>2</v>
      </c>
      <c r="N199" s="51">
        <v>0</v>
      </c>
      <c r="O199" s="51">
        <v>12</v>
      </c>
      <c r="P199" s="52">
        <v>45121</v>
      </c>
      <c r="Q199" s="52">
        <v>72687.999988425901</v>
      </c>
      <c r="R199" s="51">
        <v>0</v>
      </c>
      <c r="S199" s="52">
        <v>45121</v>
      </c>
      <c r="T199" s="52">
        <v>72687.999988425901</v>
      </c>
      <c r="U199" s="51">
        <v>1</v>
      </c>
    </row>
    <row r="200" spans="1:22" x14ac:dyDescent="0.3">
      <c r="A200" s="51">
        <v>12003</v>
      </c>
      <c r="B200" s="51">
        <v>200002</v>
      </c>
      <c r="C200" s="51" t="s">
        <v>256</v>
      </c>
      <c r="D200" s="51">
        <v>2000022</v>
      </c>
      <c r="E200" s="51" t="s">
        <v>257</v>
      </c>
      <c r="F200" s="51">
        <v>7</v>
      </c>
      <c r="G200" s="51">
        <v>2</v>
      </c>
      <c r="H200" s="51" t="s">
        <v>207</v>
      </c>
      <c r="I200" s="51">
        <v>1</v>
      </c>
      <c r="J200" s="51" t="s">
        <v>207</v>
      </c>
      <c r="K200" s="51">
        <v>0</v>
      </c>
      <c r="L200" s="51">
        <v>0</v>
      </c>
      <c r="M200" s="51">
        <v>2</v>
      </c>
      <c r="N200" s="51">
        <v>0</v>
      </c>
      <c r="O200" s="51">
        <v>11</v>
      </c>
      <c r="P200" s="52">
        <v>45121</v>
      </c>
      <c r="Q200" s="52">
        <v>72687.999988425901</v>
      </c>
      <c r="R200" s="51">
        <v>0</v>
      </c>
      <c r="S200" s="52">
        <v>45121</v>
      </c>
      <c r="T200" s="52">
        <v>72687.999988425901</v>
      </c>
      <c r="U200" s="51">
        <v>1</v>
      </c>
    </row>
    <row r="201" spans="1:22" x14ac:dyDescent="0.3">
      <c r="A201" s="51">
        <v>12004</v>
      </c>
      <c r="B201" s="51">
        <v>200003</v>
      </c>
      <c r="C201" s="51" t="s">
        <v>88</v>
      </c>
      <c r="D201" s="51">
        <v>2000032</v>
      </c>
      <c r="E201" s="51" t="s">
        <v>257</v>
      </c>
      <c r="F201" s="51">
        <v>7</v>
      </c>
      <c r="G201" s="51">
        <v>2</v>
      </c>
      <c r="H201" s="51" t="s">
        <v>207</v>
      </c>
      <c r="I201" s="51">
        <v>1</v>
      </c>
      <c r="J201" s="51" t="s">
        <v>207</v>
      </c>
      <c r="K201" s="51">
        <v>0</v>
      </c>
      <c r="L201" s="51">
        <v>0</v>
      </c>
      <c r="M201" s="51">
        <v>2</v>
      </c>
      <c r="N201" s="51">
        <v>0</v>
      </c>
      <c r="O201" s="51">
        <v>10</v>
      </c>
      <c r="P201" s="52">
        <v>45121</v>
      </c>
      <c r="Q201" s="52">
        <v>72687.999988425901</v>
      </c>
      <c r="R201" s="51">
        <v>0</v>
      </c>
      <c r="S201" s="52">
        <v>45121</v>
      </c>
      <c r="T201" s="52">
        <v>72687.999988425901</v>
      </c>
      <c r="U201" s="51">
        <v>1</v>
      </c>
    </row>
    <row r="202" spans="1:22" x14ac:dyDescent="0.3">
      <c r="A202" s="51">
        <v>12005</v>
      </c>
      <c r="B202" s="51">
        <v>200005</v>
      </c>
      <c r="C202" s="51" t="s">
        <v>93</v>
      </c>
      <c r="D202" s="51">
        <v>2000052</v>
      </c>
      <c r="E202" s="51" t="s">
        <v>257</v>
      </c>
      <c r="F202" s="51">
        <v>7</v>
      </c>
      <c r="G202" s="51">
        <v>2</v>
      </c>
      <c r="H202" s="51" t="s">
        <v>207</v>
      </c>
      <c r="I202" s="51">
        <v>1</v>
      </c>
      <c r="J202" s="51" t="s">
        <v>207</v>
      </c>
      <c r="K202" s="51">
        <v>0</v>
      </c>
      <c r="L202" s="51">
        <v>0</v>
      </c>
      <c r="M202" s="51">
        <v>2</v>
      </c>
      <c r="N202" s="51">
        <v>0</v>
      </c>
      <c r="O202" s="51">
        <v>9</v>
      </c>
      <c r="P202" s="52">
        <v>45121</v>
      </c>
      <c r="Q202" s="52">
        <v>72687.999988425901</v>
      </c>
      <c r="R202" s="51">
        <v>0</v>
      </c>
      <c r="S202" s="52">
        <v>45121</v>
      </c>
      <c r="T202" s="52">
        <v>72687.999988425901</v>
      </c>
      <c r="U202" s="51">
        <v>1</v>
      </c>
    </row>
    <row r="203" spans="1:22" x14ac:dyDescent="0.3">
      <c r="A203" s="51">
        <v>12006</v>
      </c>
      <c r="B203" s="51">
        <v>200013</v>
      </c>
      <c r="C203" s="51" t="s">
        <v>258</v>
      </c>
      <c r="D203" s="51">
        <v>2000132</v>
      </c>
      <c r="E203" s="51" t="s">
        <v>257</v>
      </c>
      <c r="F203" s="51">
        <v>7</v>
      </c>
      <c r="G203" s="51">
        <v>2</v>
      </c>
      <c r="H203" s="51" t="s">
        <v>320</v>
      </c>
      <c r="I203" s="51">
        <v>1</v>
      </c>
      <c r="J203" s="51" t="s">
        <v>320</v>
      </c>
      <c r="K203" s="51">
        <v>0</v>
      </c>
      <c r="L203" s="51">
        <v>0</v>
      </c>
      <c r="M203" s="51">
        <v>2</v>
      </c>
      <c r="N203" s="51">
        <v>0</v>
      </c>
      <c r="O203" s="51">
        <v>8</v>
      </c>
      <c r="P203" s="52">
        <v>45121</v>
      </c>
      <c r="Q203" s="52">
        <v>72687.999988425901</v>
      </c>
      <c r="R203" s="51">
        <v>0</v>
      </c>
      <c r="S203" s="52">
        <v>45121</v>
      </c>
      <c r="T203" s="52">
        <v>72687.999988425901</v>
      </c>
      <c r="U203" s="51">
        <v>1</v>
      </c>
    </row>
    <row r="204" spans="1:22" x14ac:dyDescent="0.3">
      <c r="A204" s="51">
        <v>12007</v>
      </c>
      <c r="B204" s="51">
        <v>200014</v>
      </c>
      <c r="C204" s="51" t="s">
        <v>260</v>
      </c>
      <c r="D204" s="51">
        <v>2000142</v>
      </c>
      <c r="E204" s="51" t="s">
        <v>257</v>
      </c>
      <c r="F204" s="51">
        <v>7</v>
      </c>
      <c r="G204" s="51">
        <v>2</v>
      </c>
      <c r="H204" s="51" t="s">
        <v>320</v>
      </c>
      <c r="I204" s="51">
        <v>1</v>
      </c>
      <c r="J204" s="51" t="s">
        <v>320</v>
      </c>
      <c r="K204" s="51">
        <v>0</v>
      </c>
      <c r="L204" s="51">
        <v>0</v>
      </c>
      <c r="M204" s="51">
        <v>2</v>
      </c>
      <c r="N204" s="51">
        <v>0</v>
      </c>
      <c r="O204" s="51">
        <v>7</v>
      </c>
      <c r="P204" s="52">
        <v>45121</v>
      </c>
      <c r="Q204" s="52">
        <v>72687.999988425901</v>
      </c>
      <c r="R204" s="51">
        <v>0</v>
      </c>
      <c r="S204" s="52">
        <v>45121</v>
      </c>
      <c r="T204" s="52">
        <v>72687.999988425901</v>
      </c>
      <c r="U204" s="51">
        <v>1</v>
      </c>
    </row>
    <row r="205" spans="1:22" x14ac:dyDescent="0.3">
      <c r="A205" s="51">
        <v>12008</v>
      </c>
      <c r="B205" s="51">
        <v>200015</v>
      </c>
      <c r="C205" s="51" t="s">
        <v>261</v>
      </c>
      <c r="D205" s="51">
        <v>2000152</v>
      </c>
      <c r="E205" s="51" t="s">
        <v>257</v>
      </c>
      <c r="F205" s="51">
        <v>7</v>
      </c>
      <c r="G205" s="51">
        <v>2</v>
      </c>
      <c r="H205" s="51" t="s">
        <v>320</v>
      </c>
      <c r="I205" s="51">
        <v>1</v>
      </c>
      <c r="J205" s="51" t="s">
        <v>320</v>
      </c>
      <c r="K205" s="51">
        <v>0</v>
      </c>
      <c r="L205" s="51">
        <v>0</v>
      </c>
      <c r="M205" s="51">
        <v>2</v>
      </c>
      <c r="N205" s="51">
        <v>0</v>
      </c>
      <c r="O205" s="51">
        <v>6</v>
      </c>
      <c r="P205" s="52">
        <v>45121</v>
      </c>
      <c r="Q205" s="52">
        <v>72687.999988425901</v>
      </c>
      <c r="R205" s="51">
        <v>0</v>
      </c>
      <c r="S205" s="52">
        <v>45121</v>
      </c>
      <c r="T205" s="52">
        <v>72687.999988425901</v>
      </c>
      <c r="U205" s="51">
        <v>1</v>
      </c>
    </row>
    <row r="206" spans="1:22" x14ac:dyDescent="0.3">
      <c r="A206" s="51">
        <v>12009</v>
      </c>
      <c r="B206" s="51">
        <v>200007</v>
      </c>
      <c r="C206" s="51" t="s">
        <v>168</v>
      </c>
      <c r="D206" s="51">
        <v>2000072</v>
      </c>
      <c r="E206" s="51" t="s">
        <v>257</v>
      </c>
      <c r="F206" s="51">
        <v>7</v>
      </c>
      <c r="G206" s="51">
        <v>2</v>
      </c>
      <c r="H206" s="51" t="s">
        <v>320</v>
      </c>
      <c r="I206" s="51">
        <v>1</v>
      </c>
      <c r="J206" s="51" t="s">
        <v>320</v>
      </c>
      <c r="K206" s="51">
        <v>0</v>
      </c>
      <c r="L206" s="51">
        <v>0</v>
      </c>
      <c r="M206" s="51">
        <v>2</v>
      </c>
      <c r="N206" s="51">
        <v>0</v>
      </c>
      <c r="O206" s="51">
        <v>5</v>
      </c>
      <c r="P206" s="52">
        <v>45121</v>
      </c>
      <c r="Q206" s="52">
        <v>72687.999988425901</v>
      </c>
      <c r="R206" s="51">
        <v>0</v>
      </c>
      <c r="S206" s="52">
        <v>45121</v>
      </c>
      <c r="T206" s="52">
        <v>72687.999988425901</v>
      </c>
      <c r="U206" s="51">
        <v>1</v>
      </c>
      <c r="V206" s="51">
        <v>1</v>
      </c>
    </row>
    <row r="207" spans="1:22" x14ac:dyDescent="0.3">
      <c r="A207" s="51">
        <v>12010</v>
      </c>
      <c r="B207" s="51">
        <v>200010</v>
      </c>
      <c r="C207" s="51" t="s">
        <v>262</v>
      </c>
      <c r="D207" s="51">
        <v>2000102</v>
      </c>
      <c r="E207" s="51" t="s">
        <v>263</v>
      </c>
      <c r="F207" s="51">
        <v>7</v>
      </c>
      <c r="G207" s="51">
        <v>2</v>
      </c>
      <c r="H207" s="51" t="s">
        <v>197</v>
      </c>
      <c r="I207" s="51">
        <v>1</v>
      </c>
      <c r="J207" s="51" t="s">
        <v>197</v>
      </c>
      <c r="K207" s="51">
        <v>0</v>
      </c>
      <c r="L207" s="51">
        <v>0</v>
      </c>
      <c r="M207" s="51">
        <v>2</v>
      </c>
      <c r="N207" s="51">
        <v>0</v>
      </c>
      <c r="O207" s="51">
        <v>4</v>
      </c>
      <c r="P207" s="52">
        <v>45121</v>
      </c>
      <c r="Q207" s="52">
        <v>72687.999988425901</v>
      </c>
      <c r="R207" s="51">
        <v>0</v>
      </c>
      <c r="S207" s="52">
        <v>45121</v>
      </c>
      <c r="T207" s="52">
        <v>72687.999988425901</v>
      </c>
      <c r="U207" s="51">
        <v>1</v>
      </c>
      <c r="V207" s="51">
        <v>1</v>
      </c>
    </row>
    <row r="208" spans="1:22" x14ac:dyDescent="0.3">
      <c r="A208" s="51">
        <v>12011</v>
      </c>
      <c r="B208" s="51">
        <v>200011</v>
      </c>
      <c r="C208" s="51" t="s">
        <v>265</v>
      </c>
      <c r="D208" s="51">
        <v>2000112</v>
      </c>
      <c r="E208" s="51" t="s">
        <v>263</v>
      </c>
      <c r="F208" s="51">
        <v>7</v>
      </c>
      <c r="G208" s="51">
        <v>2</v>
      </c>
      <c r="H208" s="51" t="s">
        <v>197</v>
      </c>
      <c r="I208" s="51">
        <v>1</v>
      </c>
      <c r="J208" s="51" t="s">
        <v>197</v>
      </c>
      <c r="K208" s="51">
        <v>0</v>
      </c>
      <c r="L208" s="51">
        <v>0</v>
      </c>
      <c r="M208" s="51">
        <v>2</v>
      </c>
      <c r="N208" s="51">
        <v>0</v>
      </c>
      <c r="O208" s="51">
        <v>3</v>
      </c>
      <c r="P208" s="52">
        <v>45121</v>
      </c>
      <c r="Q208" s="52">
        <v>72687.999988425901</v>
      </c>
      <c r="R208" s="51">
        <v>0</v>
      </c>
      <c r="S208" s="52">
        <v>45121</v>
      </c>
      <c r="T208" s="52">
        <v>72687.999988425901</v>
      </c>
      <c r="U208" s="51">
        <v>1</v>
      </c>
      <c r="V208" s="51">
        <v>1</v>
      </c>
    </row>
    <row r="209" spans="1:22" x14ac:dyDescent="0.3">
      <c r="A209" s="51">
        <v>12012</v>
      </c>
      <c r="B209" s="51">
        <v>200012</v>
      </c>
      <c r="C209" s="51" t="s">
        <v>266</v>
      </c>
      <c r="D209" s="51">
        <v>2000122</v>
      </c>
      <c r="E209" s="51" t="s">
        <v>263</v>
      </c>
      <c r="F209" s="51">
        <v>7</v>
      </c>
      <c r="G209" s="51">
        <v>2</v>
      </c>
      <c r="H209" s="51" t="s">
        <v>197</v>
      </c>
      <c r="I209" s="51">
        <v>1</v>
      </c>
      <c r="J209" s="51" t="s">
        <v>197</v>
      </c>
      <c r="K209" s="51">
        <v>0</v>
      </c>
      <c r="L209" s="51">
        <v>0</v>
      </c>
      <c r="M209" s="51">
        <v>2</v>
      </c>
      <c r="N209" s="51">
        <v>0</v>
      </c>
      <c r="O209" s="51">
        <v>2</v>
      </c>
      <c r="P209" s="52">
        <v>45121</v>
      </c>
      <c r="Q209" s="52">
        <v>72687.999988425901</v>
      </c>
      <c r="R209" s="51">
        <v>0</v>
      </c>
      <c r="S209" s="52">
        <v>45121</v>
      </c>
      <c r="T209" s="52">
        <v>72687.999988425901</v>
      </c>
      <c r="U209" s="51">
        <v>1</v>
      </c>
      <c r="V209" s="51">
        <v>1</v>
      </c>
    </row>
    <row r="210" spans="1:22" x14ac:dyDescent="0.3">
      <c r="A210" s="51">
        <v>12013</v>
      </c>
      <c r="B210" s="51">
        <v>200017</v>
      </c>
      <c r="C210" s="51" t="s">
        <v>267</v>
      </c>
      <c r="D210" s="51">
        <v>2000172</v>
      </c>
      <c r="E210" s="51" t="s">
        <v>263</v>
      </c>
      <c r="F210" s="51">
        <v>7</v>
      </c>
      <c r="G210" s="51">
        <v>2</v>
      </c>
      <c r="H210" s="51" t="s">
        <v>197</v>
      </c>
      <c r="I210" s="51">
        <v>1</v>
      </c>
      <c r="J210" s="51" t="s">
        <v>197</v>
      </c>
      <c r="K210" s="51">
        <v>0</v>
      </c>
      <c r="L210" s="51">
        <v>0</v>
      </c>
      <c r="M210" s="51">
        <v>2</v>
      </c>
      <c r="N210" s="51">
        <v>0</v>
      </c>
      <c r="O210" s="51">
        <v>1</v>
      </c>
      <c r="P210" s="52">
        <v>45261</v>
      </c>
      <c r="Q210" s="52">
        <v>72687.999988425901</v>
      </c>
      <c r="R210" s="51">
        <v>0</v>
      </c>
      <c r="S210" s="52">
        <v>45261</v>
      </c>
      <c r="T210" s="52">
        <v>72687.999988425901</v>
      </c>
      <c r="U210" s="51">
        <v>1</v>
      </c>
      <c r="V210" s="51">
        <v>1</v>
      </c>
    </row>
    <row r="211" spans="1:22" x14ac:dyDescent="0.3">
      <c r="A211" s="51">
        <v>13001</v>
      </c>
      <c r="B211" s="51">
        <v>300003</v>
      </c>
      <c r="C211" s="51" t="s">
        <v>95</v>
      </c>
      <c r="D211" s="51">
        <v>200016</v>
      </c>
      <c r="E211" s="51" t="s">
        <v>96</v>
      </c>
      <c r="F211" s="51">
        <v>7</v>
      </c>
      <c r="G211" s="51">
        <v>3</v>
      </c>
      <c r="H211" s="51" t="s">
        <v>323</v>
      </c>
      <c r="I211" s="51">
        <v>1</v>
      </c>
      <c r="J211" s="51" t="s">
        <v>323</v>
      </c>
      <c r="K211" s="51">
        <v>0</v>
      </c>
      <c r="L211" s="51">
        <v>0</v>
      </c>
      <c r="M211" s="51">
        <v>2</v>
      </c>
      <c r="N211" s="51">
        <v>0</v>
      </c>
      <c r="O211" s="51">
        <v>16</v>
      </c>
      <c r="P211" s="52">
        <v>45121</v>
      </c>
      <c r="Q211" s="52">
        <v>72687.999988425901</v>
      </c>
      <c r="R211" s="51">
        <v>0</v>
      </c>
      <c r="S211" s="52">
        <v>45121</v>
      </c>
      <c r="T211" s="52">
        <v>72687.999988425901</v>
      </c>
      <c r="U211" s="51">
        <v>1</v>
      </c>
    </row>
    <row r="212" spans="1:22" x14ac:dyDescent="0.3">
      <c r="A212" s="51">
        <v>13002</v>
      </c>
      <c r="B212" s="51">
        <v>300004</v>
      </c>
      <c r="C212" s="51" t="s">
        <v>98</v>
      </c>
      <c r="D212" s="51">
        <v>200017</v>
      </c>
      <c r="E212" s="51" t="s">
        <v>99</v>
      </c>
      <c r="F212" s="51">
        <v>7</v>
      </c>
      <c r="G212" s="51">
        <v>3</v>
      </c>
      <c r="H212" s="51" t="s">
        <v>323</v>
      </c>
      <c r="I212" s="51">
        <v>1</v>
      </c>
      <c r="J212" s="51" t="s">
        <v>323</v>
      </c>
      <c r="K212" s="51">
        <v>0</v>
      </c>
      <c r="L212" s="51">
        <v>0</v>
      </c>
      <c r="M212" s="51">
        <v>2</v>
      </c>
      <c r="N212" s="51">
        <v>0</v>
      </c>
      <c r="O212" s="51">
        <v>17</v>
      </c>
      <c r="P212" s="52">
        <v>45121</v>
      </c>
      <c r="Q212" s="52">
        <v>72687.999988425901</v>
      </c>
      <c r="R212" s="51">
        <v>0</v>
      </c>
      <c r="S212" s="52">
        <v>45121</v>
      </c>
      <c r="T212" s="52">
        <v>72687.999988425901</v>
      </c>
      <c r="U212" s="51">
        <v>1</v>
      </c>
    </row>
    <row r="213" spans="1:22" x14ac:dyDescent="0.3">
      <c r="A213" s="51">
        <v>13003</v>
      </c>
      <c r="B213" s="51">
        <v>300005</v>
      </c>
      <c r="C213" s="51" t="s">
        <v>100</v>
      </c>
      <c r="D213" s="51">
        <v>200018</v>
      </c>
      <c r="E213" s="51" t="s">
        <v>101</v>
      </c>
      <c r="F213" s="51">
        <v>7</v>
      </c>
      <c r="G213" s="51">
        <v>3</v>
      </c>
      <c r="H213" s="51" t="s">
        <v>323</v>
      </c>
      <c r="I213" s="51">
        <v>1</v>
      </c>
      <c r="J213" s="51" t="s">
        <v>323</v>
      </c>
      <c r="K213" s="51">
        <v>0</v>
      </c>
      <c r="L213" s="51">
        <v>0</v>
      </c>
      <c r="M213" s="51">
        <v>2</v>
      </c>
      <c r="N213" s="51">
        <v>0</v>
      </c>
      <c r="O213" s="51">
        <v>18</v>
      </c>
      <c r="P213" s="52">
        <v>45121</v>
      </c>
      <c r="Q213" s="52">
        <v>72687.999988425901</v>
      </c>
      <c r="R213" s="51">
        <v>0</v>
      </c>
      <c r="S213" s="52">
        <v>45121</v>
      </c>
      <c r="T213" s="52">
        <v>72687.999988425901</v>
      </c>
      <c r="U213" s="51">
        <v>1</v>
      </c>
    </row>
    <row r="214" spans="1:22" x14ac:dyDescent="0.3">
      <c r="A214" s="51">
        <v>13004</v>
      </c>
      <c r="B214" s="51">
        <v>300006</v>
      </c>
      <c r="C214" s="51" t="s">
        <v>102</v>
      </c>
      <c r="D214" s="51">
        <v>200019</v>
      </c>
      <c r="E214" s="51" t="s">
        <v>103</v>
      </c>
      <c r="F214" s="51">
        <v>7</v>
      </c>
      <c r="G214" s="51">
        <v>3</v>
      </c>
      <c r="H214" s="51" t="s">
        <v>214</v>
      </c>
      <c r="I214" s="51">
        <v>1</v>
      </c>
      <c r="J214" s="51" t="s">
        <v>214</v>
      </c>
      <c r="K214" s="51">
        <v>0</v>
      </c>
      <c r="L214" s="51">
        <v>0</v>
      </c>
      <c r="M214" s="51">
        <v>2</v>
      </c>
      <c r="N214" s="51">
        <v>0</v>
      </c>
      <c r="O214" s="51">
        <v>14</v>
      </c>
      <c r="P214" s="52">
        <v>45121</v>
      </c>
      <c r="Q214" s="52">
        <v>72687.999988425901</v>
      </c>
      <c r="R214" s="51">
        <v>0</v>
      </c>
      <c r="S214" s="52">
        <v>45121</v>
      </c>
      <c r="T214" s="52">
        <v>72687.999988425901</v>
      </c>
      <c r="U214" s="51">
        <v>1</v>
      </c>
    </row>
    <row r="215" spans="1:22" x14ac:dyDescent="0.3">
      <c r="A215" s="51">
        <v>13005</v>
      </c>
      <c r="B215" s="51">
        <v>300007</v>
      </c>
      <c r="C215" s="51" t="s">
        <v>105</v>
      </c>
      <c r="D215" s="51">
        <v>200020</v>
      </c>
      <c r="E215" s="51" t="s">
        <v>106</v>
      </c>
      <c r="F215" s="51">
        <v>7</v>
      </c>
      <c r="G215" s="51">
        <v>3</v>
      </c>
      <c r="H215" s="51" t="s">
        <v>212</v>
      </c>
      <c r="I215" s="51">
        <v>1</v>
      </c>
      <c r="J215" s="51" t="s">
        <v>212</v>
      </c>
      <c r="K215" s="51">
        <v>0</v>
      </c>
      <c r="L215" s="51">
        <v>0</v>
      </c>
      <c r="M215" s="51">
        <v>2</v>
      </c>
      <c r="N215" s="51">
        <v>0</v>
      </c>
      <c r="O215" s="51">
        <v>13</v>
      </c>
      <c r="P215" s="52">
        <v>45121</v>
      </c>
      <c r="Q215" s="52">
        <v>72687.999988425901</v>
      </c>
      <c r="R215" s="51">
        <v>0</v>
      </c>
      <c r="S215" s="52">
        <v>45121</v>
      </c>
      <c r="T215" s="52">
        <v>72687.999988425901</v>
      </c>
      <c r="U215" s="51">
        <v>1</v>
      </c>
    </row>
    <row r="216" spans="1:22" x14ac:dyDescent="0.3">
      <c r="A216" s="51">
        <v>13006</v>
      </c>
      <c r="B216" s="51">
        <v>300008</v>
      </c>
      <c r="C216" s="51" t="s">
        <v>108</v>
      </c>
      <c r="D216" s="51">
        <v>200021</v>
      </c>
      <c r="E216" s="51" t="s">
        <v>109</v>
      </c>
      <c r="F216" s="51">
        <v>7</v>
      </c>
      <c r="G216" s="51">
        <v>3</v>
      </c>
      <c r="H216" s="51" t="s">
        <v>214</v>
      </c>
      <c r="I216" s="51">
        <v>1</v>
      </c>
      <c r="J216" s="51" t="s">
        <v>214</v>
      </c>
      <c r="K216" s="51">
        <v>0</v>
      </c>
      <c r="L216" s="51">
        <v>0</v>
      </c>
      <c r="M216" s="51">
        <v>2</v>
      </c>
      <c r="N216" s="51">
        <v>0</v>
      </c>
      <c r="O216" s="51">
        <v>15</v>
      </c>
      <c r="P216" s="52">
        <v>45121</v>
      </c>
      <c r="Q216" s="52">
        <v>72687.999988425901</v>
      </c>
      <c r="R216" s="51">
        <v>0</v>
      </c>
      <c r="S216" s="52">
        <v>45121</v>
      </c>
      <c r="T216" s="52">
        <v>72687.999988425901</v>
      </c>
      <c r="U216" s="51">
        <v>1</v>
      </c>
    </row>
    <row r="217" spans="1:22" x14ac:dyDescent="0.3">
      <c r="A217" s="51">
        <v>13007</v>
      </c>
      <c r="B217" s="51">
        <v>300009</v>
      </c>
      <c r="C217" s="51" t="s">
        <v>110</v>
      </c>
      <c r="D217" s="51">
        <v>200022</v>
      </c>
      <c r="E217" s="51" t="s">
        <v>111</v>
      </c>
      <c r="F217" s="51">
        <v>7</v>
      </c>
      <c r="G217" s="51">
        <v>3</v>
      </c>
      <c r="H217" s="51" t="s">
        <v>212</v>
      </c>
      <c r="I217" s="51">
        <v>1</v>
      </c>
      <c r="J217" s="51" t="s">
        <v>212</v>
      </c>
      <c r="K217" s="51">
        <v>0</v>
      </c>
      <c r="L217" s="51">
        <v>0</v>
      </c>
      <c r="M217" s="51">
        <v>2</v>
      </c>
      <c r="N217" s="51">
        <v>0</v>
      </c>
      <c r="O217" s="51">
        <v>5</v>
      </c>
      <c r="P217" s="52">
        <v>45121</v>
      </c>
      <c r="Q217" s="52">
        <v>72687.999988425901</v>
      </c>
      <c r="R217" s="51">
        <v>0</v>
      </c>
      <c r="S217" s="52">
        <v>45121</v>
      </c>
      <c r="T217" s="52">
        <v>72687.999988425901</v>
      </c>
      <c r="U217" s="51">
        <v>1</v>
      </c>
    </row>
    <row r="218" spans="1:22" x14ac:dyDescent="0.3">
      <c r="A218" s="51">
        <v>13008</v>
      </c>
      <c r="B218" s="51">
        <v>300010</v>
      </c>
      <c r="C218" s="51" t="s">
        <v>112</v>
      </c>
      <c r="D218" s="51">
        <v>200023</v>
      </c>
      <c r="E218" s="51" t="s">
        <v>113</v>
      </c>
      <c r="F218" s="51">
        <v>7</v>
      </c>
      <c r="G218" s="51">
        <v>3</v>
      </c>
      <c r="H218" s="51" t="s">
        <v>212</v>
      </c>
      <c r="I218" s="51">
        <v>1</v>
      </c>
      <c r="J218" s="51" t="s">
        <v>212</v>
      </c>
      <c r="K218" s="51">
        <v>0</v>
      </c>
      <c r="L218" s="51">
        <v>0</v>
      </c>
      <c r="M218" s="51">
        <v>2</v>
      </c>
      <c r="N218" s="51">
        <v>0</v>
      </c>
      <c r="O218" s="51">
        <v>6</v>
      </c>
      <c r="P218" s="52">
        <v>45121</v>
      </c>
      <c r="Q218" s="52">
        <v>72687.999988425901</v>
      </c>
      <c r="R218" s="51">
        <v>0</v>
      </c>
      <c r="S218" s="52">
        <v>45121</v>
      </c>
      <c r="T218" s="52">
        <v>72687.999988425901</v>
      </c>
      <c r="U218" s="51">
        <v>1</v>
      </c>
    </row>
    <row r="219" spans="1:22" x14ac:dyDescent="0.3">
      <c r="A219" s="51">
        <v>13009</v>
      </c>
      <c r="B219" s="51">
        <v>300011</v>
      </c>
      <c r="C219" s="51" t="s">
        <v>114</v>
      </c>
      <c r="D219" s="51">
        <v>200024</v>
      </c>
      <c r="E219" s="51" t="s">
        <v>115</v>
      </c>
      <c r="F219" s="51">
        <v>7</v>
      </c>
      <c r="G219" s="51">
        <v>3</v>
      </c>
      <c r="H219" s="51" t="s">
        <v>212</v>
      </c>
      <c r="I219" s="51">
        <v>1</v>
      </c>
      <c r="J219" s="51" t="s">
        <v>212</v>
      </c>
      <c r="K219" s="51">
        <v>0</v>
      </c>
      <c r="L219" s="51">
        <v>0</v>
      </c>
      <c r="M219" s="51">
        <v>2</v>
      </c>
      <c r="N219" s="51">
        <v>0</v>
      </c>
      <c r="O219" s="51">
        <v>7</v>
      </c>
      <c r="P219" s="52">
        <v>45121</v>
      </c>
      <c r="Q219" s="52">
        <v>72687.999988425901</v>
      </c>
      <c r="R219" s="51">
        <v>0</v>
      </c>
      <c r="S219" s="52">
        <v>45121</v>
      </c>
      <c r="T219" s="52">
        <v>72687.999988425901</v>
      </c>
      <c r="U219" s="51">
        <v>1</v>
      </c>
    </row>
    <row r="220" spans="1:22" x14ac:dyDescent="0.3">
      <c r="A220" s="51">
        <v>13010</v>
      </c>
      <c r="B220" s="51">
        <v>300012</v>
      </c>
      <c r="C220" s="51" t="s">
        <v>116</v>
      </c>
      <c r="D220" s="51">
        <v>200025</v>
      </c>
      <c r="E220" s="51" t="s">
        <v>117</v>
      </c>
      <c r="F220" s="51">
        <v>7</v>
      </c>
      <c r="G220" s="51">
        <v>3</v>
      </c>
      <c r="H220" s="51" t="s">
        <v>212</v>
      </c>
      <c r="I220" s="51">
        <v>1</v>
      </c>
      <c r="J220" s="51" t="s">
        <v>212</v>
      </c>
      <c r="K220" s="51">
        <v>0</v>
      </c>
      <c r="L220" s="51">
        <v>0</v>
      </c>
      <c r="M220" s="51">
        <v>2</v>
      </c>
      <c r="N220" s="51">
        <v>0</v>
      </c>
      <c r="O220" s="51">
        <v>8</v>
      </c>
      <c r="P220" s="52">
        <v>45121</v>
      </c>
      <c r="Q220" s="52">
        <v>72687.999988425901</v>
      </c>
      <c r="R220" s="51">
        <v>0</v>
      </c>
      <c r="S220" s="52">
        <v>45121</v>
      </c>
      <c r="T220" s="52">
        <v>72687.999988425901</v>
      </c>
      <c r="U220" s="51">
        <v>1</v>
      </c>
    </row>
    <row r="221" spans="1:22" x14ac:dyDescent="0.3">
      <c r="A221" s="51">
        <v>13011</v>
      </c>
      <c r="B221" s="51">
        <v>300013</v>
      </c>
      <c r="C221" s="51" t="s">
        <v>118</v>
      </c>
      <c r="D221" s="51">
        <v>200026</v>
      </c>
      <c r="E221" s="51" t="s">
        <v>119</v>
      </c>
      <c r="F221" s="51">
        <v>7</v>
      </c>
      <c r="G221" s="51">
        <v>3</v>
      </c>
      <c r="H221" s="51" t="s">
        <v>212</v>
      </c>
      <c r="I221" s="51">
        <v>1</v>
      </c>
      <c r="J221" s="51" t="s">
        <v>212</v>
      </c>
      <c r="K221" s="51">
        <v>0</v>
      </c>
      <c r="L221" s="51">
        <v>0</v>
      </c>
      <c r="M221" s="51">
        <v>2</v>
      </c>
      <c r="N221" s="51">
        <v>0</v>
      </c>
      <c r="O221" s="51">
        <v>9</v>
      </c>
      <c r="P221" s="52">
        <v>45121</v>
      </c>
      <c r="Q221" s="52">
        <v>72687.999988425901</v>
      </c>
      <c r="R221" s="51">
        <v>0</v>
      </c>
      <c r="S221" s="52">
        <v>45121</v>
      </c>
      <c r="T221" s="52">
        <v>72687.999988425901</v>
      </c>
      <c r="U221" s="51">
        <v>1</v>
      </c>
    </row>
    <row r="222" spans="1:22" x14ac:dyDescent="0.3">
      <c r="A222" s="51">
        <v>13012</v>
      </c>
      <c r="B222" s="51">
        <v>300015</v>
      </c>
      <c r="C222" s="51" t="s">
        <v>120</v>
      </c>
      <c r="D222" s="51">
        <v>200027</v>
      </c>
      <c r="E222" s="51" t="s">
        <v>121</v>
      </c>
      <c r="F222" s="51">
        <v>7</v>
      </c>
      <c r="G222" s="51">
        <v>3</v>
      </c>
      <c r="H222" s="51" t="s">
        <v>212</v>
      </c>
      <c r="I222" s="51">
        <v>1</v>
      </c>
      <c r="J222" s="51" t="s">
        <v>212</v>
      </c>
      <c r="K222" s="51">
        <v>0</v>
      </c>
      <c r="L222" s="51">
        <v>0</v>
      </c>
      <c r="M222" s="51">
        <v>2</v>
      </c>
      <c r="N222" s="51">
        <v>0</v>
      </c>
      <c r="O222" s="51">
        <v>10</v>
      </c>
      <c r="P222" s="52">
        <v>45121</v>
      </c>
      <c r="Q222" s="52">
        <v>72687.999988425901</v>
      </c>
      <c r="R222" s="51">
        <v>0</v>
      </c>
      <c r="S222" s="52">
        <v>45121</v>
      </c>
      <c r="T222" s="52">
        <v>72687.999988425901</v>
      </c>
      <c r="U222" s="51">
        <v>1</v>
      </c>
    </row>
    <row r="223" spans="1:22" x14ac:dyDescent="0.3">
      <c r="A223" s="51">
        <v>13013</v>
      </c>
      <c r="B223" s="51">
        <v>300016</v>
      </c>
      <c r="C223" s="51" t="s">
        <v>122</v>
      </c>
      <c r="D223" s="51">
        <v>200028</v>
      </c>
      <c r="E223" s="51" t="s">
        <v>123</v>
      </c>
      <c r="F223" s="51">
        <v>7</v>
      </c>
      <c r="G223" s="51">
        <v>3</v>
      </c>
      <c r="H223" s="51" t="s">
        <v>212</v>
      </c>
      <c r="I223" s="51">
        <v>1</v>
      </c>
      <c r="J223" s="51" t="s">
        <v>212</v>
      </c>
      <c r="K223" s="51">
        <v>0</v>
      </c>
      <c r="L223" s="51">
        <v>0</v>
      </c>
      <c r="M223" s="51">
        <v>2</v>
      </c>
      <c r="N223" s="51">
        <v>0</v>
      </c>
      <c r="O223" s="51">
        <v>11</v>
      </c>
      <c r="P223" s="52">
        <v>45121</v>
      </c>
      <c r="Q223" s="52">
        <v>72687.999988425901</v>
      </c>
      <c r="R223" s="51">
        <v>0</v>
      </c>
      <c r="S223" s="52">
        <v>45121</v>
      </c>
      <c r="T223" s="52">
        <v>72687.999988425901</v>
      </c>
      <c r="U223" s="51">
        <v>1</v>
      </c>
    </row>
    <row r="224" spans="1:22" x14ac:dyDescent="0.3">
      <c r="A224" s="51">
        <v>13014</v>
      </c>
      <c r="B224" s="51">
        <v>300017</v>
      </c>
      <c r="C224" s="51" t="s">
        <v>124</v>
      </c>
      <c r="D224" s="51">
        <v>200029</v>
      </c>
      <c r="E224" s="51" t="s">
        <v>125</v>
      </c>
      <c r="F224" s="51">
        <v>7</v>
      </c>
      <c r="G224" s="51">
        <v>3</v>
      </c>
      <c r="H224" s="51" t="s">
        <v>212</v>
      </c>
      <c r="I224" s="51">
        <v>1</v>
      </c>
      <c r="J224" s="51" t="s">
        <v>212</v>
      </c>
      <c r="K224" s="51">
        <v>0</v>
      </c>
      <c r="L224" s="51">
        <v>0</v>
      </c>
      <c r="M224" s="51">
        <v>2</v>
      </c>
      <c r="N224" s="51">
        <v>0</v>
      </c>
      <c r="O224" s="51">
        <v>12</v>
      </c>
      <c r="P224" s="52">
        <v>45121</v>
      </c>
      <c r="Q224" s="52">
        <v>72687.999988425901</v>
      </c>
      <c r="R224" s="51">
        <v>0</v>
      </c>
      <c r="S224" s="52">
        <v>45121</v>
      </c>
      <c r="T224" s="52">
        <v>72687.999988425901</v>
      </c>
      <c r="U224" s="51">
        <v>1</v>
      </c>
    </row>
    <row r="225" spans="1:22" x14ac:dyDescent="0.3">
      <c r="A225" s="51">
        <v>13015</v>
      </c>
      <c r="B225" s="51">
        <v>300019</v>
      </c>
      <c r="C225" s="51" t="s">
        <v>170</v>
      </c>
      <c r="D225" s="51">
        <v>3000192</v>
      </c>
      <c r="E225" s="51" t="s">
        <v>171</v>
      </c>
      <c r="F225" s="51">
        <v>7</v>
      </c>
      <c r="G225" s="51">
        <v>3</v>
      </c>
      <c r="H225" s="51" t="s">
        <v>212</v>
      </c>
      <c r="I225" s="51">
        <v>1</v>
      </c>
      <c r="J225" s="51" t="s">
        <v>212</v>
      </c>
      <c r="K225" s="51">
        <v>0</v>
      </c>
      <c r="L225" s="51">
        <v>0</v>
      </c>
      <c r="M225" s="51">
        <v>2</v>
      </c>
      <c r="N225" s="51">
        <v>0</v>
      </c>
      <c r="O225" s="51">
        <v>4</v>
      </c>
      <c r="P225" s="52">
        <v>45121</v>
      </c>
      <c r="Q225" s="52">
        <v>72687.999988425901</v>
      </c>
      <c r="R225" s="51">
        <v>0</v>
      </c>
      <c r="S225" s="52">
        <v>45121</v>
      </c>
      <c r="T225" s="52">
        <v>72687.999988425901</v>
      </c>
      <c r="U225" s="51">
        <v>1</v>
      </c>
    </row>
    <row r="226" spans="1:22" x14ac:dyDescent="0.25">
      <c r="A226" s="54">
        <v>14001</v>
      </c>
      <c r="B226" s="51">
        <v>940004</v>
      </c>
      <c r="C226" s="51" t="s">
        <v>215</v>
      </c>
      <c r="D226" s="51">
        <v>9400042</v>
      </c>
      <c r="F226" s="51">
        <v>7</v>
      </c>
      <c r="G226" s="51">
        <v>4</v>
      </c>
      <c r="H226" s="51" t="s">
        <v>324</v>
      </c>
      <c r="I226" s="51">
        <v>1</v>
      </c>
      <c r="J226" s="51" t="s">
        <v>324</v>
      </c>
      <c r="K226" s="51">
        <v>0</v>
      </c>
      <c r="L226" s="51">
        <v>1</v>
      </c>
      <c r="M226" s="51">
        <v>2</v>
      </c>
      <c r="N226" s="51">
        <v>0</v>
      </c>
      <c r="O226" s="51">
        <v>2</v>
      </c>
      <c r="P226" s="52">
        <v>45121</v>
      </c>
      <c r="Q226" s="52">
        <v>72687.999988425901</v>
      </c>
      <c r="R226" s="51">
        <v>0</v>
      </c>
      <c r="S226" s="52">
        <v>45121</v>
      </c>
      <c r="T226" s="52">
        <v>72687.999988425901</v>
      </c>
      <c r="U226" s="51">
        <v>1</v>
      </c>
      <c r="V226" s="51">
        <v>0</v>
      </c>
    </row>
    <row r="227" spans="1:22" x14ac:dyDescent="0.25">
      <c r="A227" s="54">
        <v>14002</v>
      </c>
      <c r="B227" s="51">
        <v>940005</v>
      </c>
      <c r="C227" s="51" t="s">
        <v>216</v>
      </c>
      <c r="D227" s="51">
        <v>9400052</v>
      </c>
      <c r="F227" s="51">
        <v>7</v>
      </c>
      <c r="G227" s="51">
        <v>4</v>
      </c>
      <c r="H227" s="51" t="s">
        <v>324</v>
      </c>
      <c r="I227" s="51">
        <v>1</v>
      </c>
      <c r="J227" s="51" t="s">
        <v>324</v>
      </c>
      <c r="K227" s="51">
        <v>0</v>
      </c>
      <c r="L227" s="51">
        <v>1</v>
      </c>
      <c r="M227" s="51">
        <v>2</v>
      </c>
      <c r="N227" s="51">
        <v>0</v>
      </c>
      <c r="O227" s="51">
        <v>2</v>
      </c>
      <c r="P227" s="52">
        <v>45121</v>
      </c>
      <c r="Q227" s="52">
        <v>72687.999988425901</v>
      </c>
      <c r="R227" s="51">
        <v>0</v>
      </c>
      <c r="S227" s="52">
        <v>45121</v>
      </c>
      <c r="T227" s="52">
        <v>72687.999988425901</v>
      </c>
      <c r="U227" s="51">
        <v>1</v>
      </c>
      <c r="V227" s="51">
        <v>0</v>
      </c>
    </row>
    <row r="228" spans="1:22" x14ac:dyDescent="0.25">
      <c r="A228" s="54">
        <v>14003</v>
      </c>
      <c r="B228" s="51">
        <v>940006</v>
      </c>
      <c r="C228" s="51" t="s">
        <v>218</v>
      </c>
      <c r="D228" s="51">
        <v>9400062</v>
      </c>
      <c r="F228" s="51">
        <v>7</v>
      </c>
      <c r="G228" s="51">
        <v>4</v>
      </c>
      <c r="H228" s="51" t="s">
        <v>324</v>
      </c>
      <c r="I228" s="51">
        <v>1</v>
      </c>
      <c r="J228" s="51" t="s">
        <v>324</v>
      </c>
      <c r="K228" s="51">
        <v>0</v>
      </c>
      <c r="L228" s="51">
        <v>1</v>
      </c>
      <c r="M228" s="51">
        <v>2</v>
      </c>
      <c r="N228" s="51">
        <v>0</v>
      </c>
      <c r="O228" s="51">
        <v>2</v>
      </c>
      <c r="P228" s="52">
        <v>45121</v>
      </c>
      <c r="Q228" s="52">
        <v>72687.999988425901</v>
      </c>
      <c r="R228" s="51">
        <v>0</v>
      </c>
      <c r="S228" s="52">
        <v>45121</v>
      </c>
      <c r="T228" s="52">
        <v>72687.999988425901</v>
      </c>
      <c r="U228" s="51">
        <v>1</v>
      </c>
      <c r="V228" s="51">
        <v>0</v>
      </c>
    </row>
    <row r="229" spans="1:22" x14ac:dyDescent="0.25">
      <c r="A229" s="54">
        <v>14004</v>
      </c>
      <c r="B229" s="51">
        <v>940002</v>
      </c>
      <c r="C229" s="51" t="s">
        <v>220</v>
      </c>
      <c r="D229" s="51">
        <v>9400022</v>
      </c>
      <c r="F229" s="51">
        <v>7</v>
      </c>
      <c r="G229" s="51">
        <v>4</v>
      </c>
      <c r="H229" s="51" t="s">
        <v>324</v>
      </c>
      <c r="I229" s="51">
        <v>1</v>
      </c>
      <c r="J229" s="51" t="s">
        <v>324</v>
      </c>
      <c r="K229" s="51">
        <v>0</v>
      </c>
      <c r="L229" s="51">
        <v>1</v>
      </c>
      <c r="M229" s="51">
        <v>2</v>
      </c>
      <c r="N229" s="51">
        <v>0</v>
      </c>
      <c r="O229" s="51">
        <v>1</v>
      </c>
      <c r="P229" s="52">
        <v>45121</v>
      </c>
      <c r="Q229" s="52">
        <v>72687.999988425901</v>
      </c>
      <c r="R229" s="51">
        <v>0</v>
      </c>
      <c r="S229" s="52">
        <v>45121</v>
      </c>
      <c r="T229" s="52">
        <v>72687.999988425901</v>
      </c>
      <c r="U229" s="51">
        <v>1</v>
      </c>
      <c r="V229" s="51">
        <v>0</v>
      </c>
    </row>
    <row r="230" spans="1:22" x14ac:dyDescent="0.25">
      <c r="A230" s="54">
        <v>14005</v>
      </c>
      <c r="B230" s="51">
        <v>940003</v>
      </c>
      <c r="C230" s="51" t="s">
        <v>222</v>
      </c>
      <c r="D230" s="51">
        <v>9400032</v>
      </c>
      <c r="F230" s="51">
        <v>7</v>
      </c>
      <c r="G230" s="51">
        <v>4</v>
      </c>
      <c r="H230" s="51" t="s">
        <v>324</v>
      </c>
      <c r="I230" s="51">
        <v>1</v>
      </c>
      <c r="J230" s="51" t="s">
        <v>324</v>
      </c>
      <c r="K230" s="51">
        <v>0</v>
      </c>
      <c r="L230" s="51">
        <v>1</v>
      </c>
      <c r="M230" s="51">
        <v>2</v>
      </c>
      <c r="N230" s="51">
        <v>0</v>
      </c>
      <c r="O230" s="51">
        <v>1</v>
      </c>
      <c r="P230" s="52">
        <v>45121</v>
      </c>
      <c r="Q230" s="52">
        <v>72687.999988425901</v>
      </c>
      <c r="R230" s="51">
        <v>0</v>
      </c>
      <c r="S230" s="52">
        <v>45121</v>
      </c>
      <c r="T230" s="52">
        <v>72687.999988425901</v>
      </c>
      <c r="U230" s="51">
        <v>1</v>
      </c>
      <c r="V230" s="51">
        <v>0</v>
      </c>
    </row>
    <row r="231" spans="1:22" x14ac:dyDescent="0.25">
      <c r="A231" s="54">
        <v>14006</v>
      </c>
      <c r="B231" s="51">
        <v>940001</v>
      </c>
      <c r="C231" s="51" t="s">
        <v>273</v>
      </c>
      <c r="D231" s="51">
        <v>9400012</v>
      </c>
      <c r="F231" s="51">
        <v>7</v>
      </c>
      <c r="G231" s="51">
        <v>4</v>
      </c>
      <c r="H231" s="51" t="s">
        <v>324</v>
      </c>
      <c r="I231" s="51">
        <v>1</v>
      </c>
      <c r="J231" s="51" t="s">
        <v>324</v>
      </c>
      <c r="K231" s="51">
        <v>0</v>
      </c>
      <c r="L231" s="51">
        <v>1</v>
      </c>
      <c r="M231" s="51">
        <v>2</v>
      </c>
      <c r="N231" s="51">
        <v>0</v>
      </c>
      <c r="O231" s="51">
        <v>1</v>
      </c>
      <c r="P231" s="52">
        <v>45121</v>
      </c>
      <c r="Q231" s="52">
        <v>72687.999988425901</v>
      </c>
      <c r="R231" s="51">
        <v>0</v>
      </c>
      <c r="S231" s="52">
        <v>45121</v>
      </c>
      <c r="T231" s="52">
        <v>72687.999988425901</v>
      </c>
      <c r="U231" s="51">
        <v>1</v>
      </c>
      <c r="V231" s="51">
        <v>0</v>
      </c>
    </row>
    <row r="232" spans="1:22" x14ac:dyDescent="0.25">
      <c r="A232" s="54">
        <v>14007</v>
      </c>
      <c r="B232" s="51">
        <v>940007</v>
      </c>
      <c r="C232" s="51" t="s">
        <v>274</v>
      </c>
      <c r="D232" s="51">
        <v>9400072</v>
      </c>
      <c r="F232" s="51">
        <v>7</v>
      </c>
      <c r="G232" s="51">
        <v>4</v>
      </c>
      <c r="H232" s="51" t="s">
        <v>324</v>
      </c>
      <c r="I232" s="51">
        <v>1</v>
      </c>
      <c r="J232" s="51" t="s">
        <v>324</v>
      </c>
      <c r="K232" s="51">
        <v>0</v>
      </c>
      <c r="L232" s="51">
        <v>1</v>
      </c>
      <c r="M232" s="51">
        <v>2</v>
      </c>
      <c r="N232" s="51">
        <v>0</v>
      </c>
      <c r="O232" s="51">
        <v>2</v>
      </c>
      <c r="P232" s="52">
        <v>45121</v>
      </c>
      <c r="Q232" s="52">
        <v>72687.999988425901</v>
      </c>
      <c r="R232" s="51">
        <v>0</v>
      </c>
      <c r="S232" s="52">
        <v>45121</v>
      </c>
      <c r="T232" s="52">
        <v>72687.999988425901</v>
      </c>
      <c r="U232" s="51">
        <v>1</v>
      </c>
      <c r="V232" s="51">
        <v>0</v>
      </c>
    </row>
    <row r="233" spans="1:22" x14ac:dyDescent="0.25">
      <c r="A233" s="54">
        <v>14008</v>
      </c>
      <c r="B233" s="51">
        <v>940008</v>
      </c>
      <c r="C233" s="51" t="s">
        <v>275</v>
      </c>
      <c r="D233" s="51">
        <v>9400082</v>
      </c>
      <c r="F233" s="51">
        <v>7</v>
      </c>
      <c r="G233" s="51">
        <v>4</v>
      </c>
      <c r="H233" s="51" t="s">
        <v>324</v>
      </c>
      <c r="I233" s="51">
        <v>1</v>
      </c>
      <c r="J233" s="51" t="s">
        <v>324</v>
      </c>
      <c r="K233" s="51">
        <v>0</v>
      </c>
      <c r="L233" s="51">
        <v>1</v>
      </c>
      <c r="M233" s="51">
        <v>2</v>
      </c>
      <c r="N233" s="51">
        <v>0</v>
      </c>
      <c r="O233" s="51">
        <v>1</v>
      </c>
      <c r="P233" s="52">
        <v>45121</v>
      </c>
      <c r="Q233" s="52">
        <v>72687.999988425901</v>
      </c>
      <c r="R233" s="51">
        <v>0</v>
      </c>
      <c r="S233" s="52">
        <v>45121</v>
      </c>
      <c r="T233" s="52">
        <v>72687.999988425901</v>
      </c>
      <c r="U233" s="51">
        <v>1</v>
      </c>
      <c r="V233" s="51">
        <v>0</v>
      </c>
    </row>
    <row r="234" spans="1:22" x14ac:dyDescent="0.25">
      <c r="A234" s="54">
        <v>14009</v>
      </c>
      <c r="B234" s="51">
        <v>940009</v>
      </c>
      <c r="C234" s="51" t="s">
        <v>276</v>
      </c>
      <c r="D234" s="51">
        <v>9400092</v>
      </c>
      <c r="F234" s="51">
        <v>7</v>
      </c>
      <c r="G234" s="51">
        <v>4</v>
      </c>
      <c r="H234" s="51" t="s">
        <v>324</v>
      </c>
      <c r="I234" s="51">
        <v>1</v>
      </c>
      <c r="J234" s="51" t="s">
        <v>324</v>
      </c>
      <c r="K234" s="51">
        <v>0</v>
      </c>
      <c r="L234" s="51">
        <v>1</v>
      </c>
      <c r="M234" s="51">
        <v>2</v>
      </c>
      <c r="N234" s="51">
        <v>0</v>
      </c>
      <c r="O234" s="51">
        <v>1</v>
      </c>
      <c r="P234" s="52">
        <v>45121</v>
      </c>
      <c r="Q234" s="52">
        <v>72687.999988425901</v>
      </c>
      <c r="R234" s="51">
        <v>0</v>
      </c>
      <c r="S234" s="52">
        <v>45121</v>
      </c>
      <c r="T234" s="52">
        <v>72687.999988425901</v>
      </c>
      <c r="U234" s="51">
        <v>1</v>
      </c>
      <c r="V234" s="51">
        <v>0</v>
      </c>
    </row>
    <row r="235" spans="1:22" x14ac:dyDescent="0.25">
      <c r="A235" s="54">
        <v>14010</v>
      </c>
      <c r="B235" s="51">
        <v>940010</v>
      </c>
      <c r="C235" s="51" t="s">
        <v>277</v>
      </c>
      <c r="D235" s="51">
        <v>9400102</v>
      </c>
      <c r="F235" s="51">
        <v>7</v>
      </c>
      <c r="G235" s="51">
        <v>4</v>
      </c>
      <c r="H235" s="51" t="s">
        <v>324</v>
      </c>
      <c r="I235" s="51">
        <v>1</v>
      </c>
      <c r="J235" s="51" t="s">
        <v>324</v>
      </c>
      <c r="K235" s="51">
        <v>0</v>
      </c>
      <c r="L235" s="51">
        <v>1</v>
      </c>
      <c r="M235" s="51">
        <v>2</v>
      </c>
      <c r="N235" s="51">
        <v>0</v>
      </c>
      <c r="O235" s="51">
        <v>1</v>
      </c>
      <c r="P235" s="52">
        <v>45121</v>
      </c>
      <c r="Q235" s="52">
        <v>72687.999988425901</v>
      </c>
      <c r="R235" s="51">
        <v>0</v>
      </c>
      <c r="S235" s="52">
        <v>45121</v>
      </c>
      <c r="T235" s="52">
        <v>72687.999988425901</v>
      </c>
      <c r="U235" s="51">
        <v>1</v>
      </c>
      <c r="V235" s="51">
        <v>0</v>
      </c>
    </row>
    <row r="236" spans="1:22" x14ac:dyDescent="0.25">
      <c r="A236" s="54">
        <v>14011</v>
      </c>
      <c r="B236" s="51">
        <v>940011</v>
      </c>
      <c r="C236" s="51" t="s">
        <v>278</v>
      </c>
      <c r="D236" s="51">
        <v>9400112</v>
      </c>
      <c r="F236" s="51">
        <v>7</v>
      </c>
      <c r="G236" s="51">
        <v>4</v>
      </c>
      <c r="H236" s="51" t="s">
        <v>324</v>
      </c>
      <c r="I236" s="51">
        <v>1</v>
      </c>
      <c r="J236" s="51" t="s">
        <v>324</v>
      </c>
      <c r="K236" s="51">
        <v>0</v>
      </c>
      <c r="L236" s="51">
        <v>1</v>
      </c>
      <c r="M236" s="51">
        <v>2</v>
      </c>
      <c r="N236" s="51">
        <v>0</v>
      </c>
      <c r="O236" s="51">
        <v>1</v>
      </c>
      <c r="P236" s="52">
        <v>45121</v>
      </c>
      <c r="Q236" s="52">
        <v>72687.999988425901</v>
      </c>
      <c r="R236" s="51">
        <v>0</v>
      </c>
      <c r="S236" s="52">
        <v>45121</v>
      </c>
      <c r="T236" s="52">
        <v>72687.999988425901</v>
      </c>
      <c r="U236" s="51">
        <v>1</v>
      </c>
      <c r="V236" s="51">
        <v>0</v>
      </c>
    </row>
    <row r="237" spans="1:22" x14ac:dyDescent="0.25">
      <c r="A237" s="54">
        <v>14012</v>
      </c>
      <c r="B237" s="51">
        <v>940012</v>
      </c>
      <c r="C237" s="51" t="s">
        <v>279</v>
      </c>
      <c r="D237" s="51">
        <v>9400122</v>
      </c>
      <c r="F237" s="51">
        <v>7</v>
      </c>
      <c r="G237" s="51">
        <v>4</v>
      </c>
      <c r="H237" s="51" t="s">
        <v>324</v>
      </c>
      <c r="I237" s="51">
        <v>1</v>
      </c>
      <c r="J237" s="51" t="s">
        <v>324</v>
      </c>
      <c r="K237" s="51">
        <v>0</v>
      </c>
      <c r="L237" s="51">
        <v>1</v>
      </c>
      <c r="M237" s="51">
        <v>2</v>
      </c>
      <c r="N237" s="51">
        <v>0</v>
      </c>
      <c r="O237" s="51">
        <v>1</v>
      </c>
      <c r="P237" s="52">
        <v>45121</v>
      </c>
      <c r="Q237" s="52">
        <v>72687.999988425901</v>
      </c>
      <c r="R237" s="51">
        <v>0</v>
      </c>
      <c r="S237" s="52">
        <v>45121</v>
      </c>
      <c r="T237" s="52">
        <v>72687.999988425901</v>
      </c>
      <c r="U237" s="51">
        <v>1</v>
      </c>
      <c r="V237" s="51">
        <v>0</v>
      </c>
    </row>
    <row r="238" spans="1:22" x14ac:dyDescent="0.25">
      <c r="A238" s="54">
        <v>14013</v>
      </c>
      <c r="B238" s="51">
        <v>940013</v>
      </c>
      <c r="C238" s="51" t="s">
        <v>280</v>
      </c>
      <c r="D238" s="51">
        <v>9400132</v>
      </c>
      <c r="F238" s="51">
        <v>7</v>
      </c>
      <c r="G238" s="51">
        <v>4</v>
      </c>
      <c r="H238" s="51" t="s">
        <v>324</v>
      </c>
      <c r="I238" s="51">
        <v>1</v>
      </c>
      <c r="J238" s="51" t="s">
        <v>324</v>
      </c>
      <c r="K238" s="51">
        <v>0</v>
      </c>
      <c r="L238" s="51">
        <v>1</v>
      </c>
      <c r="M238" s="51">
        <v>2</v>
      </c>
      <c r="N238" s="51">
        <v>0</v>
      </c>
      <c r="O238" s="51">
        <v>1</v>
      </c>
      <c r="P238" s="52">
        <v>45121</v>
      </c>
      <c r="Q238" s="52">
        <v>72687.999988425901</v>
      </c>
      <c r="R238" s="51">
        <v>0</v>
      </c>
      <c r="S238" s="52">
        <v>45121</v>
      </c>
      <c r="T238" s="52">
        <v>72687.999988425901</v>
      </c>
      <c r="U238" s="51">
        <v>1</v>
      </c>
      <c r="V238" s="51">
        <v>0</v>
      </c>
    </row>
    <row r="239" spans="1:22" x14ac:dyDescent="0.25">
      <c r="A239" s="54">
        <v>14014</v>
      </c>
      <c r="B239" s="51">
        <v>940014</v>
      </c>
      <c r="C239" s="51" t="s">
        <v>281</v>
      </c>
      <c r="D239" s="51">
        <v>9400142</v>
      </c>
      <c r="F239" s="51">
        <v>7</v>
      </c>
      <c r="G239" s="51">
        <v>4</v>
      </c>
      <c r="H239" s="51" t="s">
        <v>324</v>
      </c>
      <c r="I239" s="51">
        <v>1</v>
      </c>
      <c r="J239" s="51" t="s">
        <v>324</v>
      </c>
      <c r="K239" s="51">
        <v>0</v>
      </c>
      <c r="L239" s="51">
        <v>1</v>
      </c>
      <c r="M239" s="51">
        <v>2</v>
      </c>
      <c r="N239" s="51">
        <v>0</v>
      </c>
      <c r="O239" s="51">
        <v>1</v>
      </c>
      <c r="P239" s="52">
        <v>45121</v>
      </c>
      <c r="Q239" s="52">
        <v>72687.999988425901</v>
      </c>
      <c r="R239" s="51">
        <v>0</v>
      </c>
      <c r="S239" s="52">
        <v>45121</v>
      </c>
      <c r="T239" s="52">
        <v>72687.999988425901</v>
      </c>
      <c r="U239" s="51">
        <v>1</v>
      </c>
      <c r="V239" s="51">
        <v>1</v>
      </c>
    </row>
    <row r="240" spans="1:22" x14ac:dyDescent="0.25">
      <c r="A240" s="54">
        <v>14015</v>
      </c>
      <c r="B240" s="51">
        <v>940015</v>
      </c>
      <c r="C240" s="51" t="s">
        <v>282</v>
      </c>
      <c r="D240" s="51">
        <v>9400152</v>
      </c>
      <c r="F240" s="51">
        <v>7</v>
      </c>
      <c r="G240" s="51">
        <v>4</v>
      </c>
      <c r="H240" s="51" t="s">
        <v>324</v>
      </c>
      <c r="I240" s="51">
        <v>1</v>
      </c>
      <c r="J240" s="51" t="s">
        <v>324</v>
      </c>
      <c r="K240" s="51">
        <v>0</v>
      </c>
      <c r="L240" s="51">
        <v>1</v>
      </c>
      <c r="M240" s="51">
        <v>2</v>
      </c>
      <c r="N240" s="51">
        <v>0</v>
      </c>
      <c r="O240" s="51">
        <v>1</v>
      </c>
      <c r="P240" s="52">
        <v>45121</v>
      </c>
      <c r="Q240" s="52">
        <v>72687.999988425901</v>
      </c>
      <c r="R240" s="51">
        <v>0</v>
      </c>
      <c r="S240" s="52">
        <v>45121</v>
      </c>
      <c r="T240" s="52">
        <v>72687.999988425901</v>
      </c>
      <c r="U240" s="51">
        <v>1</v>
      </c>
      <c r="V240" s="51">
        <v>1</v>
      </c>
    </row>
    <row r="241" spans="1:22" x14ac:dyDescent="0.25">
      <c r="A241" s="54">
        <v>14016</v>
      </c>
      <c r="B241" s="51">
        <v>940016</v>
      </c>
      <c r="C241" s="51" t="s">
        <v>283</v>
      </c>
      <c r="D241" s="51">
        <v>9400162</v>
      </c>
      <c r="F241" s="51">
        <v>7</v>
      </c>
      <c r="G241" s="51">
        <v>4</v>
      </c>
      <c r="H241" s="51" t="s">
        <v>324</v>
      </c>
      <c r="I241" s="51">
        <v>1</v>
      </c>
      <c r="J241" s="51" t="s">
        <v>324</v>
      </c>
      <c r="K241" s="51">
        <v>0</v>
      </c>
      <c r="L241" s="51">
        <v>1</v>
      </c>
      <c r="M241" s="51">
        <v>2</v>
      </c>
      <c r="N241" s="51">
        <v>0</v>
      </c>
      <c r="O241" s="51">
        <v>1</v>
      </c>
      <c r="P241" s="52">
        <v>45121</v>
      </c>
      <c r="Q241" s="52">
        <v>72687.999988425901</v>
      </c>
      <c r="R241" s="51">
        <v>0</v>
      </c>
      <c r="S241" s="52">
        <v>45121</v>
      </c>
      <c r="T241" s="52">
        <v>72687.999988425901</v>
      </c>
      <c r="U241" s="51">
        <v>1</v>
      </c>
      <c r="V241" s="51">
        <v>1</v>
      </c>
    </row>
    <row r="242" spans="1:22" x14ac:dyDescent="0.25">
      <c r="A242" s="54">
        <v>14017</v>
      </c>
      <c r="B242" s="51">
        <v>940017</v>
      </c>
      <c r="C242" s="51" t="s">
        <v>284</v>
      </c>
      <c r="D242" s="51">
        <v>9400172</v>
      </c>
      <c r="F242" s="51">
        <v>7</v>
      </c>
      <c r="G242" s="51">
        <v>4</v>
      </c>
      <c r="H242" s="51" t="s">
        <v>324</v>
      </c>
      <c r="I242" s="51">
        <v>1</v>
      </c>
      <c r="J242" s="51" t="s">
        <v>324</v>
      </c>
      <c r="K242" s="51">
        <v>0</v>
      </c>
      <c r="L242" s="51">
        <v>1</v>
      </c>
      <c r="M242" s="51">
        <v>2</v>
      </c>
      <c r="N242" s="51">
        <v>0</v>
      </c>
      <c r="O242" s="51">
        <v>1</v>
      </c>
      <c r="P242" s="52">
        <v>45121</v>
      </c>
      <c r="Q242" s="52">
        <v>72687.999988425901</v>
      </c>
      <c r="R242" s="51">
        <v>0</v>
      </c>
      <c r="S242" s="52">
        <v>45121</v>
      </c>
      <c r="T242" s="52">
        <v>72687.999988425901</v>
      </c>
      <c r="U242" s="51">
        <v>1</v>
      </c>
      <c r="V242" s="51">
        <v>1</v>
      </c>
    </row>
    <row r="243" spans="1:22" x14ac:dyDescent="0.25">
      <c r="A243" s="54">
        <v>15001</v>
      </c>
      <c r="B243" s="51">
        <v>952027</v>
      </c>
      <c r="C243" s="51" t="s">
        <v>227</v>
      </c>
      <c r="D243" s="51">
        <v>9520272</v>
      </c>
      <c r="F243" s="51">
        <v>7</v>
      </c>
      <c r="G243" s="51">
        <v>5</v>
      </c>
      <c r="H243" s="51" t="s">
        <v>324</v>
      </c>
      <c r="I243" s="51">
        <v>1</v>
      </c>
      <c r="J243" s="51" t="s">
        <v>324</v>
      </c>
      <c r="K243" s="51">
        <v>0</v>
      </c>
      <c r="L243" s="51">
        <v>1</v>
      </c>
      <c r="M243" s="51">
        <v>2</v>
      </c>
      <c r="N243" s="51">
        <v>0</v>
      </c>
      <c r="O243" s="51">
        <v>2</v>
      </c>
      <c r="P243" s="52">
        <v>45121</v>
      </c>
      <c r="Q243" s="52">
        <v>72687.999988425901</v>
      </c>
      <c r="R243" s="51">
        <v>0</v>
      </c>
      <c r="S243" s="52">
        <v>45121</v>
      </c>
      <c r="T243" s="52">
        <v>72687.999988425901</v>
      </c>
      <c r="U243" s="51">
        <v>1</v>
      </c>
      <c r="V243" s="51">
        <v>0</v>
      </c>
    </row>
    <row r="244" spans="1:22" x14ac:dyDescent="0.25">
      <c r="A244" s="54">
        <v>15002</v>
      </c>
      <c r="B244" s="51">
        <v>952028</v>
      </c>
      <c r="C244" s="51" t="s">
        <v>228</v>
      </c>
      <c r="D244" s="51">
        <v>9520282</v>
      </c>
      <c r="F244" s="51">
        <v>7</v>
      </c>
      <c r="G244" s="51">
        <v>5</v>
      </c>
      <c r="H244" s="51" t="s">
        <v>324</v>
      </c>
      <c r="I244" s="51">
        <v>1</v>
      </c>
      <c r="J244" s="51" t="s">
        <v>324</v>
      </c>
      <c r="K244" s="51">
        <v>0</v>
      </c>
      <c r="L244" s="51">
        <v>1</v>
      </c>
      <c r="M244" s="51">
        <v>2</v>
      </c>
      <c r="N244" s="51">
        <v>0</v>
      </c>
      <c r="O244" s="51">
        <v>1</v>
      </c>
      <c r="P244" s="52">
        <v>45121</v>
      </c>
      <c r="Q244" s="52">
        <v>72687.999988425901</v>
      </c>
      <c r="R244" s="51">
        <v>0</v>
      </c>
      <c r="S244" s="52">
        <v>45121</v>
      </c>
      <c r="T244" s="52">
        <v>72687.999988425901</v>
      </c>
      <c r="U244" s="51">
        <v>1</v>
      </c>
      <c r="V244" s="51">
        <v>0</v>
      </c>
    </row>
    <row r="245" spans="1:22" x14ac:dyDescent="0.25">
      <c r="A245" s="54">
        <v>15003</v>
      </c>
      <c r="B245" s="51">
        <v>952029</v>
      </c>
      <c r="C245" s="51" t="s">
        <v>229</v>
      </c>
      <c r="D245" s="51">
        <v>9520292</v>
      </c>
      <c r="F245" s="51">
        <v>7</v>
      </c>
      <c r="G245" s="51">
        <v>5</v>
      </c>
      <c r="H245" s="51" t="s">
        <v>324</v>
      </c>
      <c r="I245" s="51">
        <v>1</v>
      </c>
      <c r="J245" s="51" t="s">
        <v>324</v>
      </c>
      <c r="K245" s="51">
        <v>0</v>
      </c>
      <c r="L245" s="51">
        <v>1</v>
      </c>
      <c r="M245" s="51">
        <v>2</v>
      </c>
      <c r="N245" s="51">
        <v>0</v>
      </c>
      <c r="O245" s="51">
        <v>1</v>
      </c>
      <c r="P245" s="52">
        <v>45121</v>
      </c>
      <c r="Q245" s="52">
        <v>72687.999988425901</v>
      </c>
      <c r="R245" s="51">
        <v>0</v>
      </c>
      <c r="S245" s="52">
        <v>45121</v>
      </c>
      <c r="T245" s="52">
        <v>72687.999988425901</v>
      </c>
      <c r="U245" s="51">
        <v>1</v>
      </c>
      <c r="V245" s="51">
        <v>0</v>
      </c>
    </row>
    <row r="246" spans="1:22" x14ac:dyDescent="0.25">
      <c r="A246" s="54">
        <v>15004</v>
      </c>
      <c r="B246" s="51">
        <v>952030</v>
      </c>
      <c r="C246" s="51" t="s">
        <v>230</v>
      </c>
      <c r="D246" s="51">
        <v>9520302</v>
      </c>
      <c r="F246" s="51">
        <v>7</v>
      </c>
      <c r="G246" s="51">
        <v>5</v>
      </c>
      <c r="H246" s="51" t="s">
        <v>324</v>
      </c>
      <c r="I246" s="51">
        <v>1</v>
      </c>
      <c r="J246" s="51" t="s">
        <v>324</v>
      </c>
      <c r="K246" s="51">
        <v>0</v>
      </c>
      <c r="L246" s="51">
        <v>1</v>
      </c>
      <c r="M246" s="51">
        <v>2</v>
      </c>
      <c r="N246" s="51">
        <v>0</v>
      </c>
      <c r="O246" s="51">
        <v>2</v>
      </c>
      <c r="P246" s="52">
        <v>45121</v>
      </c>
      <c r="Q246" s="52">
        <v>72687.999988425901</v>
      </c>
      <c r="R246" s="51">
        <v>0</v>
      </c>
      <c r="S246" s="52">
        <v>45121</v>
      </c>
      <c r="T246" s="52">
        <v>72687.999988425901</v>
      </c>
      <c r="U246" s="51">
        <v>1</v>
      </c>
      <c r="V246" s="51">
        <v>0</v>
      </c>
    </row>
    <row r="247" spans="1:22" x14ac:dyDescent="0.25">
      <c r="A247" s="54">
        <v>15005</v>
      </c>
      <c r="B247" s="51">
        <v>950001</v>
      </c>
      <c r="C247" s="51" t="s">
        <v>285</v>
      </c>
      <c r="D247" s="51">
        <v>9500012</v>
      </c>
      <c r="F247" s="51">
        <v>7</v>
      </c>
      <c r="G247" s="51">
        <v>5</v>
      </c>
      <c r="H247" s="51" t="s">
        <v>324</v>
      </c>
      <c r="I247" s="51">
        <v>1</v>
      </c>
      <c r="J247" s="51" t="s">
        <v>324</v>
      </c>
      <c r="K247" s="51">
        <v>0</v>
      </c>
      <c r="L247" s="51">
        <v>1</v>
      </c>
      <c r="M247" s="51">
        <v>2</v>
      </c>
      <c r="N247" s="51">
        <v>0</v>
      </c>
      <c r="O247" s="51">
        <v>1</v>
      </c>
      <c r="P247" s="52">
        <v>45121</v>
      </c>
      <c r="Q247" s="52">
        <v>72687.999988425901</v>
      </c>
      <c r="R247" s="51">
        <v>0</v>
      </c>
      <c r="S247" s="52">
        <v>45121</v>
      </c>
      <c r="T247" s="52">
        <v>72687.999988425901</v>
      </c>
      <c r="U247" s="51">
        <v>1</v>
      </c>
      <c r="V247" s="51">
        <v>0</v>
      </c>
    </row>
    <row r="248" spans="1:22" x14ac:dyDescent="0.25">
      <c r="A248" s="54">
        <v>15006</v>
      </c>
      <c r="B248" s="51">
        <v>950007</v>
      </c>
      <c r="C248" s="51" t="s">
        <v>286</v>
      </c>
      <c r="D248" s="51">
        <v>9500072</v>
      </c>
      <c r="F248" s="51">
        <v>7</v>
      </c>
      <c r="G248" s="51">
        <v>5</v>
      </c>
      <c r="H248" s="51" t="s">
        <v>324</v>
      </c>
      <c r="I248" s="51">
        <v>1</v>
      </c>
      <c r="J248" s="51" t="s">
        <v>324</v>
      </c>
      <c r="K248" s="51">
        <v>0</v>
      </c>
      <c r="L248" s="51">
        <v>1</v>
      </c>
      <c r="M248" s="51">
        <v>2</v>
      </c>
      <c r="N248" s="51">
        <v>0</v>
      </c>
      <c r="O248" s="51">
        <v>1</v>
      </c>
      <c r="P248" s="52">
        <v>45121</v>
      </c>
      <c r="Q248" s="52">
        <v>72687.999988425901</v>
      </c>
      <c r="R248" s="51">
        <v>0</v>
      </c>
      <c r="S248" s="52">
        <v>45121</v>
      </c>
      <c r="T248" s="52">
        <v>72687.999988425901</v>
      </c>
      <c r="U248" s="51">
        <v>1</v>
      </c>
      <c r="V248" s="51">
        <v>0</v>
      </c>
    </row>
    <row r="249" spans="1:22" x14ac:dyDescent="0.25">
      <c r="A249" s="54">
        <v>15007</v>
      </c>
      <c r="B249" s="51">
        <v>952009</v>
      </c>
      <c r="C249" s="51" t="s">
        <v>223</v>
      </c>
      <c r="D249" s="51">
        <v>9520092</v>
      </c>
      <c r="F249" s="51">
        <v>7</v>
      </c>
      <c r="G249" s="51">
        <v>5</v>
      </c>
      <c r="H249" s="51" t="s">
        <v>324</v>
      </c>
      <c r="I249" s="51">
        <v>1</v>
      </c>
      <c r="J249" s="51" t="s">
        <v>324</v>
      </c>
      <c r="K249" s="51">
        <v>0</v>
      </c>
      <c r="L249" s="51">
        <v>1</v>
      </c>
      <c r="M249" s="51">
        <v>2</v>
      </c>
      <c r="N249" s="51">
        <v>0</v>
      </c>
      <c r="O249" s="51">
        <v>1</v>
      </c>
      <c r="P249" s="52">
        <v>45121</v>
      </c>
      <c r="Q249" s="52">
        <v>72687.999988425901</v>
      </c>
      <c r="R249" s="51">
        <v>0</v>
      </c>
      <c r="S249" s="52">
        <v>45121</v>
      </c>
      <c r="T249" s="52">
        <v>72687.999988425901</v>
      </c>
      <c r="U249" s="51">
        <v>1</v>
      </c>
      <c r="V249" s="51">
        <v>0</v>
      </c>
    </row>
    <row r="250" spans="1:22" x14ac:dyDescent="0.25">
      <c r="A250" s="54">
        <v>15008</v>
      </c>
      <c r="B250" s="51">
        <v>952031</v>
      </c>
      <c r="C250" s="51" t="s">
        <v>287</v>
      </c>
      <c r="D250" s="51">
        <v>9520312</v>
      </c>
      <c r="F250" s="51">
        <v>7</v>
      </c>
      <c r="G250" s="51">
        <v>5</v>
      </c>
      <c r="H250" s="51" t="s">
        <v>324</v>
      </c>
      <c r="I250" s="51">
        <v>1</v>
      </c>
      <c r="J250" s="51" t="s">
        <v>324</v>
      </c>
      <c r="K250" s="51">
        <v>0</v>
      </c>
      <c r="L250" s="51">
        <v>1</v>
      </c>
      <c r="M250" s="51">
        <v>2</v>
      </c>
      <c r="N250" s="51">
        <v>0</v>
      </c>
      <c r="O250" s="51">
        <v>1</v>
      </c>
      <c r="P250" s="52">
        <v>45121</v>
      </c>
      <c r="Q250" s="52">
        <v>72687.999988425901</v>
      </c>
      <c r="R250" s="51">
        <v>0</v>
      </c>
      <c r="S250" s="52">
        <v>45121</v>
      </c>
      <c r="T250" s="52">
        <v>72687.999988425901</v>
      </c>
      <c r="U250" s="51">
        <v>1</v>
      </c>
      <c r="V250" s="51">
        <v>0</v>
      </c>
    </row>
    <row r="251" spans="1:22" x14ac:dyDescent="0.25">
      <c r="A251" s="54">
        <v>15009</v>
      </c>
      <c r="B251" s="51">
        <v>952032</v>
      </c>
      <c r="C251" s="51" t="s">
        <v>288</v>
      </c>
      <c r="D251" s="51">
        <v>9520322</v>
      </c>
      <c r="F251" s="51">
        <v>7</v>
      </c>
      <c r="G251" s="51">
        <v>5</v>
      </c>
      <c r="H251" s="51" t="s">
        <v>324</v>
      </c>
      <c r="I251" s="51">
        <v>1</v>
      </c>
      <c r="J251" s="51" t="s">
        <v>324</v>
      </c>
      <c r="K251" s="51">
        <v>0</v>
      </c>
      <c r="L251" s="51">
        <v>1</v>
      </c>
      <c r="M251" s="51">
        <v>2</v>
      </c>
      <c r="N251" s="51">
        <v>0</v>
      </c>
      <c r="O251" s="51">
        <v>1</v>
      </c>
      <c r="P251" s="52">
        <v>45121</v>
      </c>
      <c r="Q251" s="52">
        <v>72687.999988425901</v>
      </c>
      <c r="R251" s="51">
        <v>0</v>
      </c>
      <c r="S251" s="52">
        <v>45121</v>
      </c>
      <c r="T251" s="52">
        <v>72687.999988425901</v>
      </c>
      <c r="U251" s="51">
        <v>1</v>
      </c>
      <c r="V251" s="51">
        <v>0</v>
      </c>
    </row>
    <row r="252" spans="1:22" x14ac:dyDescent="0.25">
      <c r="A252" s="54">
        <v>15010</v>
      </c>
      <c r="B252" s="51">
        <v>952033</v>
      </c>
      <c r="C252" s="51" t="s">
        <v>289</v>
      </c>
      <c r="D252" s="51">
        <v>9520332</v>
      </c>
      <c r="F252" s="51">
        <v>7</v>
      </c>
      <c r="G252" s="51">
        <v>5</v>
      </c>
      <c r="H252" s="51" t="s">
        <v>324</v>
      </c>
      <c r="I252" s="51">
        <v>1</v>
      </c>
      <c r="J252" s="51" t="s">
        <v>324</v>
      </c>
      <c r="K252" s="51">
        <v>0</v>
      </c>
      <c r="L252" s="51">
        <v>1</v>
      </c>
      <c r="M252" s="51">
        <v>2</v>
      </c>
      <c r="N252" s="51">
        <v>0</v>
      </c>
      <c r="O252" s="51">
        <v>1</v>
      </c>
      <c r="P252" s="52">
        <v>45121</v>
      </c>
      <c r="Q252" s="52">
        <v>72687.999988425901</v>
      </c>
      <c r="R252" s="51">
        <v>0</v>
      </c>
      <c r="S252" s="52">
        <v>45121</v>
      </c>
      <c r="T252" s="52">
        <v>72687.999988425901</v>
      </c>
      <c r="U252" s="51">
        <v>1</v>
      </c>
      <c r="V252" s="51">
        <v>0</v>
      </c>
    </row>
    <row r="253" spans="1:22" x14ac:dyDescent="0.25">
      <c r="A253" s="54">
        <v>15011</v>
      </c>
      <c r="B253" s="51">
        <v>952034</v>
      </c>
      <c r="C253" s="51" t="s">
        <v>290</v>
      </c>
      <c r="D253" s="51">
        <v>9520342</v>
      </c>
      <c r="F253" s="51">
        <v>7</v>
      </c>
      <c r="G253" s="51">
        <v>5</v>
      </c>
      <c r="H253" s="51" t="s">
        <v>324</v>
      </c>
      <c r="I253" s="51">
        <v>1</v>
      </c>
      <c r="J253" s="51" t="s">
        <v>324</v>
      </c>
      <c r="K253" s="51">
        <v>0</v>
      </c>
      <c r="L253" s="51">
        <v>1</v>
      </c>
      <c r="M253" s="51">
        <v>2</v>
      </c>
      <c r="N253" s="51">
        <v>0</v>
      </c>
      <c r="O253" s="51">
        <v>1</v>
      </c>
      <c r="P253" s="52">
        <v>45121</v>
      </c>
      <c r="Q253" s="52">
        <v>72687.999988425901</v>
      </c>
      <c r="R253" s="51">
        <v>0</v>
      </c>
      <c r="S253" s="52">
        <v>45121</v>
      </c>
      <c r="T253" s="52">
        <v>72687.999988425901</v>
      </c>
      <c r="U253" s="51">
        <v>1</v>
      </c>
      <c r="V253" s="51">
        <v>0</v>
      </c>
    </row>
    <row r="254" spans="1:22" x14ac:dyDescent="0.25">
      <c r="A254" s="54">
        <v>15012</v>
      </c>
      <c r="B254" s="51">
        <v>952035</v>
      </c>
      <c r="C254" s="51" t="s">
        <v>291</v>
      </c>
      <c r="D254" s="51">
        <v>9520352</v>
      </c>
      <c r="F254" s="51">
        <v>7</v>
      </c>
      <c r="G254" s="51">
        <v>5</v>
      </c>
      <c r="H254" s="51" t="s">
        <v>324</v>
      </c>
      <c r="I254" s="51">
        <v>1</v>
      </c>
      <c r="J254" s="51" t="s">
        <v>324</v>
      </c>
      <c r="K254" s="51">
        <v>0</v>
      </c>
      <c r="L254" s="51">
        <v>1</v>
      </c>
      <c r="M254" s="51">
        <v>2</v>
      </c>
      <c r="N254" s="51">
        <v>0</v>
      </c>
      <c r="O254" s="51">
        <v>1</v>
      </c>
      <c r="P254" s="52">
        <v>45121</v>
      </c>
      <c r="Q254" s="52">
        <v>72687.999988425901</v>
      </c>
      <c r="R254" s="51">
        <v>0</v>
      </c>
      <c r="S254" s="52">
        <v>45121</v>
      </c>
      <c r="T254" s="52">
        <v>72687.999988425901</v>
      </c>
      <c r="U254" s="51">
        <v>1</v>
      </c>
      <c r="V254" s="51">
        <v>0</v>
      </c>
    </row>
    <row r="255" spans="1:22" x14ac:dyDescent="0.25">
      <c r="A255" s="54">
        <v>15013</v>
      </c>
      <c r="B255" s="51">
        <v>952036</v>
      </c>
      <c r="C255" s="51" t="s">
        <v>292</v>
      </c>
      <c r="D255" s="51">
        <v>9520362</v>
      </c>
      <c r="F255" s="51">
        <v>7</v>
      </c>
      <c r="G255" s="51">
        <v>5</v>
      </c>
      <c r="H255" s="51" t="s">
        <v>324</v>
      </c>
      <c r="I255" s="51">
        <v>1</v>
      </c>
      <c r="J255" s="51" t="s">
        <v>324</v>
      </c>
      <c r="K255" s="51">
        <v>0</v>
      </c>
      <c r="L255" s="51">
        <v>1</v>
      </c>
      <c r="M255" s="51">
        <v>2</v>
      </c>
      <c r="N255" s="51">
        <v>0</v>
      </c>
      <c r="O255" s="51">
        <v>1</v>
      </c>
      <c r="P255" s="52">
        <v>45121</v>
      </c>
      <c r="Q255" s="52">
        <v>72687.999988425901</v>
      </c>
      <c r="R255" s="51">
        <v>0</v>
      </c>
      <c r="S255" s="52">
        <v>45121</v>
      </c>
      <c r="T255" s="52">
        <v>72687.999988425901</v>
      </c>
      <c r="U255" s="51">
        <v>1</v>
      </c>
      <c r="V255" s="51">
        <v>1</v>
      </c>
    </row>
    <row r="256" spans="1:22" x14ac:dyDescent="0.25">
      <c r="A256" s="54">
        <v>15014</v>
      </c>
      <c r="B256" s="51">
        <v>952037</v>
      </c>
      <c r="C256" s="51" t="s">
        <v>293</v>
      </c>
      <c r="D256" s="51">
        <v>9520372</v>
      </c>
      <c r="F256" s="51">
        <v>7</v>
      </c>
      <c r="G256" s="51">
        <v>5</v>
      </c>
      <c r="H256" s="51" t="s">
        <v>324</v>
      </c>
      <c r="I256" s="51">
        <v>1</v>
      </c>
      <c r="J256" s="51" t="s">
        <v>324</v>
      </c>
      <c r="K256" s="51">
        <v>0</v>
      </c>
      <c r="L256" s="51">
        <v>1</v>
      </c>
      <c r="M256" s="51">
        <v>2</v>
      </c>
      <c r="N256" s="51">
        <v>0</v>
      </c>
      <c r="O256" s="51">
        <v>1</v>
      </c>
      <c r="P256" s="52">
        <v>45121</v>
      </c>
      <c r="Q256" s="52">
        <v>72687.999988425901</v>
      </c>
      <c r="R256" s="51">
        <v>0</v>
      </c>
      <c r="S256" s="52">
        <v>45121</v>
      </c>
      <c r="T256" s="52">
        <v>72687.999988425901</v>
      </c>
      <c r="U256" s="51">
        <v>1</v>
      </c>
      <c r="V256" s="51">
        <v>1</v>
      </c>
    </row>
    <row r="257" spans="1:22" x14ac:dyDescent="0.25">
      <c r="A257" s="54">
        <v>15015</v>
      </c>
      <c r="B257" s="51">
        <v>952038</v>
      </c>
      <c r="C257" s="51" t="s">
        <v>294</v>
      </c>
      <c r="D257" s="51">
        <v>9520382</v>
      </c>
      <c r="F257" s="51">
        <v>7</v>
      </c>
      <c r="G257" s="51">
        <v>5</v>
      </c>
      <c r="H257" s="51" t="s">
        <v>324</v>
      </c>
      <c r="I257" s="51">
        <v>1</v>
      </c>
      <c r="J257" s="51" t="s">
        <v>324</v>
      </c>
      <c r="K257" s="51">
        <v>0</v>
      </c>
      <c r="L257" s="51">
        <v>1</v>
      </c>
      <c r="M257" s="51">
        <v>2</v>
      </c>
      <c r="N257" s="51">
        <v>0</v>
      </c>
      <c r="O257" s="51">
        <v>1</v>
      </c>
      <c r="P257" s="52">
        <v>45121</v>
      </c>
      <c r="Q257" s="52">
        <v>72687.999988425901</v>
      </c>
      <c r="R257" s="51">
        <v>0</v>
      </c>
      <c r="S257" s="52">
        <v>45121</v>
      </c>
      <c r="T257" s="52">
        <v>72687.999988425901</v>
      </c>
      <c r="U257" s="51">
        <v>1</v>
      </c>
      <c r="V257" s="51">
        <v>1</v>
      </c>
    </row>
    <row r="258" spans="1:22" x14ac:dyDescent="0.25">
      <c r="A258" s="54">
        <v>15016</v>
      </c>
      <c r="B258" s="51">
        <v>952039</v>
      </c>
      <c r="C258" s="51" t="s">
        <v>295</v>
      </c>
      <c r="D258" s="51">
        <v>9520392</v>
      </c>
      <c r="F258" s="51">
        <v>7</v>
      </c>
      <c r="G258" s="51">
        <v>5</v>
      </c>
      <c r="H258" s="51" t="s">
        <v>324</v>
      </c>
      <c r="I258" s="51">
        <v>1</v>
      </c>
      <c r="J258" s="51" t="s">
        <v>324</v>
      </c>
      <c r="K258" s="51">
        <v>0</v>
      </c>
      <c r="L258" s="51">
        <v>1</v>
      </c>
      <c r="M258" s="51">
        <v>2</v>
      </c>
      <c r="N258" s="51">
        <v>0</v>
      </c>
      <c r="O258" s="51">
        <v>1</v>
      </c>
      <c r="P258" s="52">
        <v>45121</v>
      </c>
      <c r="Q258" s="52">
        <v>72687.999988425901</v>
      </c>
      <c r="R258" s="51">
        <v>0</v>
      </c>
      <c r="S258" s="52">
        <v>45121</v>
      </c>
      <c r="T258" s="52">
        <v>72687.999988425901</v>
      </c>
      <c r="U258" s="51">
        <v>1</v>
      </c>
      <c r="V258" s="51">
        <v>1</v>
      </c>
    </row>
    <row r="259" spans="1:22" x14ac:dyDescent="0.25">
      <c r="A259" s="54">
        <v>16001</v>
      </c>
      <c r="B259" s="51">
        <v>960002</v>
      </c>
      <c r="C259" s="51" t="s">
        <v>217</v>
      </c>
      <c r="D259" s="51">
        <v>9600022</v>
      </c>
      <c r="F259" s="51">
        <v>7</v>
      </c>
      <c r="G259" s="51">
        <v>6</v>
      </c>
      <c r="H259" s="51" t="s">
        <v>324</v>
      </c>
      <c r="I259" s="51">
        <v>1</v>
      </c>
      <c r="J259" s="51" t="s">
        <v>324</v>
      </c>
      <c r="K259" s="51">
        <v>0</v>
      </c>
      <c r="L259" s="51">
        <v>1</v>
      </c>
      <c r="M259" s="51">
        <v>2</v>
      </c>
      <c r="N259" s="51">
        <v>0</v>
      </c>
      <c r="O259" s="51">
        <v>1</v>
      </c>
      <c r="P259" s="52">
        <v>45121</v>
      </c>
      <c r="Q259" s="52">
        <v>72687.999988425901</v>
      </c>
      <c r="R259" s="51">
        <v>0</v>
      </c>
      <c r="S259" s="52">
        <v>45121</v>
      </c>
      <c r="T259" s="52">
        <v>72687.999988425901</v>
      </c>
      <c r="U259" s="51">
        <v>1</v>
      </c>
      <c r="V259" s="51">
        <v>0</v>
      </c>
    </row>
    <row r="260" spans="1:22" x14ac:dyDescent="0.25">
      <c r="A260" s="54">
        <v>16002</v>
      </c>
      <c r="B260" s="51">
        <v>960003</v>
      </c>
      <c r="C260" s="51" t="s">
        <v>296</v>
      </c>
      <c r="D260" s="51">
        <v>9600032</v>
      </c>
      <c r="F260" s="51">
        <v>7</v>
      </c>
      <c r="G260" s="51">
        <v>6</v>
      </c>
      <c r="H260" s="51" t="s">
        <v>324</v>
      </c>
      <c r="I260" s="51">
        <v>1</v>
      </c>
      <c r="J260" s="51" t="s">
        <v>324</v>
      </c>
      <c r="K260" s="51">
        <v>0</v>
      </c>
      <c r="L260" s="51">
        <v>1</v>
      </c>
      <c r="M260" s="51">
        <v>2</v>
      </c>
      <c r="N260" s="51">
        <v>0</v>
      </c>
      <c r="O260" s="51">
        <v>1</v>
      </c>
      <c r="P260" s="52">
        <v>45121</v>
      </c>
      <c r="Q260" s="52">
        <v>72687.999988425901</v>
      </c>
      <c r="R260" s="51">
        <v>0</v>
      </c>
      <c r="S260" s="52">
        <v>45121</v>
      </c>
      <c r="T260" s="52">
        <v>72687.999988425901</v>
      </c>
      <c r="U260" s="51">
        <v>1</v>
      </c>
      <c r="V260" s="51">
        <v>0</v>
      </c>
    </row>
    <row r="261" spans="1:22" x14ac:dyDescent="0.25">
      <c r="A261" s="54">
        <v>16003</v>
      </c>
      <c r="B261" s="51">
        <v>960004</v>
      </c>
      <c r="C261" s="51" t="s">
        <v>297</v>
      </c>
      <c r="D261" s="51">
        <v>9600042</v>
      </c>
      <c r="F261" s="51">
        <v>7</v>
      </c>
      <c r="G261" s="51">
        <v>6</v>
      </c>
      <c r="H261" s="51" t="s">
        <v>324</v>
      </c>
      <c r="I261" s="51">
        <v>1</v>
      </c>
      <c r="J261" s="51" t="s">
        <v>324</v>
      </c>
      <c r="K261" s="51">
        <v>0</v>
      </c>
      <c r="L261" s="51">
        <v>1</v>
      </c>
      <c r="M261" s="51">
        <v>2</v>
      </c>
      <c r="N261" s="51">
        <v>0</v>
      </c>
      <c r="O261" s="51">
        <v>1</v>
      </c>
      <c r="P261" s="52">
        <v>45121</v>
      </c>
      <c r="Q261" s="52">
        <v>72687.999988425901</v>
      </c>
      <c r="R261" s="51">
        <v>0</v>
      </c>
      <c r="S261" s="52">
        <v>45121</v>
      </c>
      <c r="T261" s="52">
        <v>72687.999988425901</v>
      </c>
      <c r="U261" s="51">
        <v>1</v>
      </c>
      <c r="V261" s="51">
        <v>0</v>
      </c>
    </row>
    <row r="262" spans="1:22" x14ac:dyDescent="0.25">
      <c r="A262" s="54">
        <v>16004</v>
      </c>
      <c r="B262" s="51">
        <v>960005</v>
      </c>
      <c r="C262" s="51" t="s">
        <v>298</v>
      </c>
      <c r="D262" s="51">
        <v>9600052</v>
      </c>
      <c r="F262" s="51">
        <v>7</v>
      </c>
      <c r="G262" s="51">
        <v>6</v>
      </c>
      <c r="H262" s="51" t="s">
        <v>324</v>
      </c>
      <c r="I262" s="51">
        <v>1</v>
      </c>
      <c r="J262" s="51" t="s">
        <v>324</v>
      </c>
      <c r="K262" s="51">
        <v>0</v>
      </c>
      <c r="L262" s="51">
        <v>1</v>
      </c>
      <c r="M262" s="51">
        <v>2</v>
      </c>
      <c r="N262" s="51">
        <v>0</v>
      </c>
      <c r="O262" s="51">
        <v>1</v>
      </c>
      <c r="P262" s="52">
        <v>45121</v>
      </c>
      <c r="Q262" s="52">
        <v>72687.999988425901</v>
      </c>
      <c r="R262" s="51">
        <v>0</v>
      </c>
      <c r="S262" s="52">
        <v>45121</v>
      </c>
      <c r="T262" s="52">
        <v>72687.999988425901</v>
      </c>
      <c r="U262" s="51">
        <v>1</v>
      </c>
      <c r="V262" s="51">
        <v>0</v>
      </c>
    </row>
    <row r="263" spans="1:22" x14ac:dyDescent="0.25">
      <c r="A263" s="54">
        <v>16005</v>
      </c>
      <c r="B263" s="51">
        <v>960006</v>
      </c>
      <c r="C263" s="51" t="s">
        <v>299</v>
      </c>
      <c r="D263" s="51">
        <v>9600062</v>
      </c>
      <c r="F263" s="51">
        <v>7</v>
      </c>
      <c r="G263" s="51">
        <v>6</v>
      </c>
      <c r="H263" s="51" t="s">
        <v>324</v>
      </c>
      <c r="I263" s="51">
        <v>1</v>
      </c>
      <c r="J263" s="51" t="s">
        <v>324</v>
      </c>
      <c r="K263" s="51">
        <v>0</v>
      </c>
      <c r="L263" s="51">
        <v>1</v>
      </c>
      <c r="M263" s="51">
        <v>2</v>
      </c>
      <c r="N263" s="51">
        <v>0</v>
      </c>
      <c r="O263" s="51">
        <v>1</v>
      </c>
      <c r="P263" s="52">
        <v>45121</v>
      </c>
      <c r="Q263" s="52">
        <v>72687.999988425901</v>
      </c>
      <c r="R263" s="51">
        <v>0</v>
      </c>
      <c r="S263" s="52">
        <v>45121</v>
      </c>
      <c r="T263" s="52">
        <v>72687.999988425901</v>
      </c>
      <c r="U263" s="51">
        <v>1</v>
      </c>
      <c r="V263" s="51">
        <v>1</v>
      </c>
    </row>
    <row r="264" spans="1:22" x14ac:dyDescent="0.25">
      <c r="A264" s="54">
        <v>16006</v>
      </c>
      <c r="B264" s="51">
        <v>960007</v>
      </c>
      <c r="C264" s="51" t="s">
        <v>300</v>
      </c>
      <c r="D264" s="51">
        <v>9600072</v>
      </c>
      <c r="F264" s="51">
        <v>7</v>
      </c>
      <c r="G264" s="51">
        <v>6</v>
      </c>
      <c r="H264" s="51" t="s">
        <v>324</v>
      </c>
      <c r="I264" s="51">
        <v>1</v>
      </c>
      <c r="J264" s="51" t="s">
        <v>324</v>
      </c>
      <c r="K264" s="51">
        <v>0</v>
      </c>
      <c r="L264" s="51">
        <v>1</v>
      </c>
      <c r="M264" s="51">
        <v>2</v>
      </c>
      <c r="N264" s="51">
        <v>0</v>
      </c>
      <c r="O264" s="51">
        <v>1</v>
      </c>
      <c r="P264" s="52">
        <v>45121</v>
      </c>
      <c r="Q264" s="52">
        <v>72687.999988425901</v>
      </c>
      <c r="R264" s="51">
        <v>0</v>
      </c>
      <c r="S264" s="52">
        <v>45121</v>
      </c>
      <c r="T264" s="52">
        <v>72687.999988425901</v>
      </c>
      <c r="U264" s="51">
        <v>1</v>
      </c>
      <c r="V264" s="51">
        <v>1</v>
      </c>
    </row>
    <row r="265" spans="1:22" x14ac:dyDescent="0.3">
      <c r="A265" s="51">
        <v>17001</v>
      </c>
      <c r="B265" s="51">
        <v>810030</v>
      </c>
      <c r="D265" s="51">
        <v>8100302</v>
      </c>
      <c r="F265" s="51">
        <v>7</v>
      </c>
      <c r="G265" s="51">
        <v>7</v>
      </c>
      <c r="H265" s="51" t="s">
        <v>212</v>
      </c>
      <c r="I265" s="51">
        <v>1</v>
      </c>
      <c r="J265" s="51" t="s">
        <v>212</v>
      </c>
      <c r="K265" s="51">
        <v>0</v>
      </c>
      <c r="L265" s="51">
        <v>1</v>
      </c>
      <c r="M265" s="51">
        <v>2</v>
      </c>
      <c r="N265" s="51">
        <v>0</v>
      </c>
      <c r="O265" s="51">
        <v>1</v>
      </c>
      <c r="P265" s="52">
        <v>45121</v>
      </c>
      <c r="Q265" s="52">
        <v>45121.999988425901</v>
      </c>
      <c r="R265" s="51">
        <v>0</v>
      </c>
      <c r="S265" s="52">
        <v>45121</v>
      </c>
      <c r="T265" s="52">
        <v>72687.999988425901</v>
      </c>
      <c r="U265" s="51">
        <v>0</v>
      </c>
      <c r="V265" s="51">
        <v>0</v>
      </c>
    </row>
    <row r="266" spans="1:22" x14ac:dyDescent="0.3">
      <c r="A266" s="51">
        <v>17002</v>
      </c>
      <c r="B266" s="51">
        <v>810031</v>
      </c>
      <c r="D266" s="51">
        <v>8100312</v>
      </c>
      <c r="F266" s="51">
        <v>7</v>
      </c>
      <c r="G266" s="51">
        <v>7</v>
      </c>
      <c r="H266" s="51" t="s">
        <v>212</v>
      </c>
      <c r="I266" s="51">
        <v>1</v>
      </c>
      <c r="J266" s="51" t="s">
        <v>212</v>
      </c>
      <c r="K266" s="51">
        <v>0</v>
      </c>
      <c r="L266" s="51">
        <v>1</v>
      </c>
      <c r="M266" s="51">
        <v>2</v>
      </c>
      <c r="N266" s="51">
        <v>0</v>
      </c>
      <c r="O266" s="51">
        <v>1</v>
      </c>
      <c r="P266" s="52">
        <v>45121</v>
      </c>
      <c r="Q266" s="52">
        <v>45121.999988425901</v>
      </c>
      <c r="R266" s="51">
        <v>0</v>
      </c>
      <c r="S266" s="52">
        <v>45121</v>
      </c>
      <c r="T266" s="52">
        <v>72687.999988425901</v>
      </c>
      <c r="U266" s="51">
        <v>0</v>
      </c>
      <c r="V266" s="51">
        <v>0</v>
      </c>
    </row>
    <row r="267" spans="1:22" x14ac:dyDescent="0.3">
      <c r="A267" s="51">
        <v>17003</v>
      </c>
      <c r="B267" s="51">
        <v>810063</v>
      </c>
      <c r="D267" s="51">
        <v>8100632</v>
      </c>
      <c r="F267" s="51">
        <v>7</v>
      </c>
      <c r="G267" s="51">
        <v>7</v>
      </c>
      <c r="H267" s="51" t="s">
        <v>212</v>
      </c>
      <c r="I267" s="51">
        <v>1</v>
      </c>
      <c r="J267" s="51" t="s">
        <v>212</v>
      </c>
      <c r="K267" s="51">
        <v>0</v>
      </c>
      <c r="L267" s="51">
        <v>1</v>
      </c>
      <c r="M267" s="51">
        <v>2</v>
      </c>
      <c r="N267" s="51">
        <v>0</v>
      </c>
      <c r="O267" s="51">
        <v>1</v>
      </c>
      <c r="P267" s="52">
        <v>45121</v>
      </c>
      <c r="Q267" s="52">
        <v>45121.999988425901</v>
      </c>
      <c r="R267" s="51">
        <v>0</v>
      </c>
      <c r="S267" s="52">
        <v>45121</v>
      </c>
      <c r="T267" s="52">
        <v>72687.999988425901</v>
      </c>
      <c r="U267" s="51">
        <v>0</v>
      </c>
      <c r="V267" s="51">
        <v>0</v>
      </c>
    </row>
    <row r="268" spans="1:22" x14ac:dyDescent="0.3">
      <c r="A268" s="51">
        <v>17004</v>
      </c>
      <c r="B268" s="51">
        <v>810064</v>
      </c>
      <c r="D268" s="51">
        <v>8100642</v>
      </c>
      <c r="F268" s="51">
        <v>7</v>
      </c>
      <c r="G268" s="51">
        <v>7</v>
      </c>
      <c r="H268" s="51" t="s">
        <v>212</v>
      </c>
      <c r="I268" s="51">
        <v>1</v>
      </c>
      <c r="J268" s="51" t="s">
        <v>212</v>
      </c>
      <c r="K268" s="51">
        <v>0</v>
      </c>
      <c r="L268" s="51">
        <v>1</v>
      </c>
      <c r="M268" s="51">
        <v>2</v>
      </c>
      <c r="N268" s="51">
        <v>0</v>
      </c>
      <c r="O268" s="51">
        <v>1</v>
      </c>
      <c r="P268" s="52">
        <v>45121</v>
      </c>
      <c r="Q268" s="52">
        <v>45121.999988425901</v>
      </c>
      <c r="R268" s="51">
        <v>0</v>
      </c>
      <c r="S268" s="52">
        <v>45121</v>
      </c>
      <c r="T268" s="52">
        <v>72687.999988425901</v>
      </c>
      <c r="U268" s="51">
        <v>0</v>
      </c>
      <c r="V268" s="51">
        <v>0</v>
      </c>
    </row>
    <row r="269" spans="1:22" x14ac:dyDescent="0.3">
      <c r="A269" s="51">
        <v>17005</v>
      </c>
      <c r="B269" s="51">
        <v>810065</v>
      </c>
      <c r="D269" s="51">
        <v>8100652</v>
      </c>
      <c r="F269" s="51">
        <v>7</v>
      </c>
      <c r="G269" s="51">
        <v>7</v>
      </c>
      <c r="H269" s="51" t="s">
        <v>212</v>
      </c>
      <c r="I269" s="51">
        <v>1</v>
      </c>
      <c r="J269" s="51" t="s">
        <v>212</v>
      </c>
      <c r="K269" s="51">
        <v>0</v>
      </c>
      <c r="L269" s="51">
        <v>1</v>
      </c>
      <c r="M269" s="51">
        <v>2</v>
      </c>
      <c r="N269" s="51">
        <v>0</v>
      </c>
      <c r="O269" s="51">
        <v>1</v>
      </c>
      <c r="P269" s="52">
        <v>45121</v>
      </c>
      <c r="Q269" s="52">
        <v>45121.999988425901</v>
      </c>
      <c r="R269" s="51">
        <v>0</v>
      </c>
      <c r="S269" s="52">
        <v>45121</v>
      </c>
      <c r="T269" s="52">
        <v>72687.999988425901</v>
      </c>
      <c r="U269" s="51">
        <v>0</v>
      </c>
      <c r="V269" s="51">
        <v>0</v>
      </c>
    </row>
    <row r="270" spans="1:22" x14ac:dyDescent="0.3">
      <c r="A270" s="51">
        <v>17006</v>
      </c>
      <c r="B270" s="51">
        <v>810069</v>
      </c>
      <c r="D270" s="51">
        <v>8100692</v>
      </c>
      <c r="F270" s="51">
        <v>7</v>
      </c>
      <c r="G270" s="51">
        <v>7</v>
      </c>
      <c r="H270" s="51" t="s">
        <v>212</v>
      </c>
      <c r="I270" s="51">
        <v>1</v>
      </c>
      <c r="J270" s="51" t="s">
        <v>212</v>
      </c>
      <c r="K270" s="51">
        <v>0</v>
      </c>
      <c r="L270" s="51">
        <v>1</v>
      </c>
      <c r="M270" s="51">
        <v>2</v>
      </c>
      <c r="N270" s="51">
        <v>0</v>
      </c>
      <c r="O270" s="51">
        <v>1</v>
      </c>
      <c r="P270" s="52">
        <v>45121</v>
      </c>
      <c r="Q270" s="52">
        <v>45121.999988425901</v>
      </c>
      <c r="R270" s="51">
        <v>0</v>
      </c>
      <c r="S270" s="52">
        <v>45121</v>
      </c>
      <c r="T270" s="52">
        <v>72687.999988425901</v>
      </c>
      <c r="U270" s="51">
        <v>0</v>
      </c>
      <c r="V270" s="51">
        <v>0</v>
      </c>
    </row>
    <row r="271" spans="1:22" x14ac:dyDescent="0.3">
      <c r="A271" s="51">
        <v>17007</v>
      </c>
      <c r="B271" s="51">
        <v>810070</v>
      </c>
      <c r="D271" s="51">
        <v>8100702</v>
      </c>
      <c r="F271" s="51">
        <v>7</v>
      </c>
      <c r="G271" s="51">
        <v>7</v>
      </c>
      <c r="H271" s="51" t="s">
        <v>212</v>
      </c>
      <c r="I271" s="51">
        <v>1</v>
      </c>
      <c r="J271" s="51" t="s">
        <v>212</v>
      </c>
      <c r="K271" s="51">
        <v>0</v>
      </c>
      <c r="L271" s="51">
        <v>1</v>
      </c>
      <c r="M271" s="51">
        <v>2</v>
      </c>
      <c r="N271" s="51">
        <v>0</v>
      </c>
      <c r="O271" s="51">
        <v>1</v>
      </c>
      <c r="P271" s="52">
        <v>45121</v>
      </c>
      <c r="Q271" s="52">
        <v>45121.999988425901</v>
      </c>
      <c r="R271" s="51">
        <v>0</v>
      </c>
      <c r="S271" s="52">
        <v>45121</v>
      </c>
      <c r="T271" s="52">
        <v>72687.999988425901</v>
      </c>
      <c r="U271" s="51">
        <v>0</v>
      </c>
      <c r="V271" s="51">
        <v>0</v>
      </c>
    </row>
    <row r="272" spans="1:22" x14ac:dyDescent="0.3">
      <c r="A272" s="51">
        <v>17008</v>
      </c>
      <c r="B272" s="51">
        <v>810071</v>
      </c>
      <c r="D272" s="51">
        <v>8100712</v>
      </c>
      <c r="F272" s="51">
        <v>7</v>
      </c>
      <c r="G272" s="51">
        <v>7</v>
      </c>
      <c r="H272" s="51" t="s">
        <v>212</v>
      </c>
      <c r="I272" s="51">
        <v>1</v>
      </c>
      <c r="J272" s="51" t="s">
        <v>212</v>
      </c>
      <c r="K272" s="51">
        <v>0</v>
      </c>
      <c r="L272" s="51">
        <v>1</v>
      </c>
      <c r="M272" s="51">
        <v>2</v>
      </c>
      <c r="N272" s="51">
        <v>0</v>
      </c>
      <c r="O272" s="51">
        <v>1</v>
      </c>
      <c r="P272" s="52">
        <v>45121</v>
      </c>
      <c r="Q272" s="52">
        <v>45121.999988425901</v>
      </c>
      <c r="R272" s="51">
        <v>0</v>
      </c>
      <c r="S272" s="52">
        <v>45121</v>
      </c>
      <c r="T272" s="52">
        <v>72687.999988425901</v>
      </c>
      <c r="U272" s="51">
        <v>0</v>
      </c>
      <c r="V272" s="51">
        <v>0</v>
      </c>
    </row>
    <row r="273" spans="1:22" x14ac:dyDescent="0.3">
      <c r="A273" s="51">
        <v>17009</v>
      </c>
      <c r="B273" s="51">
        <v>810072</v>
      </c>
      <c r="D273" s="51">
        <v>8100722</v>
      </c>
      <c r="F273" s="51">
        <v>7</v>
      </c>
      <c r="G273" s="51">
        <v>7</v>
      </c>
      <c r="H273" s="51" t="s">
        <v>212</v>
      </c>
      <c r="I273" s="51">
        <v>1</v>
      </c>
      <c r="J273" s="51" t="s">
        <v>212</v>
      </c>
      <c r="K273" s="51">
        <v>0</v>
      </c>
      <c r="L273" s="51">
        <v>1</v>
      </c>
      <c r="M273" s="51">
        <v>2</v>
      </c>
      <c r="N273" s="51">
        <v>0</v>
      </c>
      <c r="O273" s="51">
        <v>1</v>
      </c>
      <c r="P273" s="52">
        <v>45121</v>
      </c>
      <c r="Q273" s="52">
        <v>45121.999988425901</v>
      </c>
      <c r="R273" s="51">
        <v>0</v>
      </c>
      <c r="S273" s="52">
        <v>45121</v>
      </c>
      <c r="T273" s="52">
        <v>72687.999988425901</v>
      </c>
      <c r="U273" s="51">
        <v>0</v>
      </c>
      <c r="V273" s="51">
        <v>0</v>
      </c>
    </row>
    <row r="274" spans="1:22" x14ac:dyDescent="0.3">
      <c r="A274" s="51">
        <v>17010</v>
      </c>
      <c r="B274" s="51">
        <v>880002</v>
      </c>
      <c r="D274" s="51">
        <v>8800022</v>
      </c>
      <c r="F274" s="51">
        <v>7</v>
      </c>
      <c r="G274" s="51">
        <v>7</v>
      </c>
      <c r="H274" s="51" t="s">
        <v>210</v>
      </c>
      <c r="I274" s="51">
        <v>1</v>
      </c>
      <c r="J274" s="51" t="s">
        <v>210</v>
      </c>
      <c r="K274" s="51">
        <v>0</v>
      </c>
      <c r="L274" s="51">
        <v>1</v>
      </c>
      <c r="M274" s="51">
        <v>2</v>
      </c>
      <c r="N274" s="51">
        <v>0</v>
      </c>
      <c r="O274" s="51">
        <v>1</v>
      </c>
      <c r="P274" s="52">
        <v>45121</v>
      </c>
      <c r="Q274" s="52">
        <v>45121.999988425901</v>
      </c>
      <c r="R274" s="51">
        <v>0</v>
      </c>
      <c r="S274" s="52">
        <v>45121</v>
      </c>
      <c r="T274" s="52">
        <v>72687.999988425901</v>
      </c>
      <c r="U274" s="51">
        <v>0</v>
      </c>
      <c r="V274" s="51">
        <v>0</v>
      </c>
    </row>
    <row r="275" spans="1:22" x14ac:dyDescent="0.3">
      <c r="A275" s="51">
        <v>17011</v>
      </c>
      <c r="B275" s="51">
        <v>880003</v>
      </c>
      <c r="D275" s="51">
        <v>8800032</v>
      </c>
      <c r="F275" s="51">
        <v>7</v>
      </c>
      <c r="G275" s="51">
        <v>7</v>
      </c>
      <c r="H275" s="51" t="s">
        <v>210</v>
      </c>
      <c r="I275" s="51">
        <v>1</v>
      </c>
      <c r="J275" s="51" t="s">
        <v>210</v>
      </c>
      <c r="K275" s="51">
        <v>0</v>
      </c>
      <c r="L275" s="51">
        <v>1</v>
      </c>
      <c r="M275" s="51">
        <v>2</v>
      </c>
      <c r="N275" s="51">
        <v>0</v>
      </c>
      <c r="O275" s="51">
        <v>1</v>
      </c>
      <c r="P275" s="52">
        <v>45121</v>
      </c>
      <c r="Q275" s="52">
        <v>45121.999988425901</v>
      </c>
      <c r="R275" s="51">
        <v>0</v>
      </c>
      <c r="S275" s="52">
        <v>45121</v>
      </c>
      <c r="T275" s="52">
        <v>72687.999988425901</v>
      </c>
      <c r="U275" s="51">
        <v>0</v>
      </c>
      <c r="V275" s="51">
        <v>0</v>
      </c>
    </row>
    <row r="276" spans="1:22" x14ac:dyDescent="0.3">
      <c r="A276" s="51">
        <v>17012</v>
      </c>
      <c r="B276" s="51">
        <v>880008</v>
      </c>
      <c r="D276" s="51">
        <v>8800082</v>
      </c>
      <c r="F276" s="51">
        <v>7</v>
      </c>
      <c r="G276" s="51">
        <v>7</v>
      </c>
      <c r="H276" s="51" t="s">
        <v>320</v>
      </c>
      <c r="I276" s="51">
        <v>1</v>
      </c>
      <c r="J276" s="51" t="s">
        <v>320</v>
      </c>
      <c r="K276" s="51">
        <v>0</v>
      </c>
      <c r="L276" s="51">
        <v>1</v>
      </c>
      <c r="M276" s="51">
        <v>2</v>
      </c>
      <c r="N276" s="51">
        <v>0</v>
      </c>
      <c r="O276" s="51">
        <v>1</v>
      </c>
      <c r="P276" s="52">
        <v>45121</v>
      </c>
      <c r="Q276" s="52">
        <v>45121.999988425901</v>
      </c>
      <c r="R276" s="51">
        <v>0</v>
      </c>
      <c r="S276" s="52">
        <v>45121</v>
      </c>
      <c r="T276" s="52">
        <v>72687.999988425901</v>
      </c>
      <c r="U276" s="51">
        <v>0</v>
      </c>
      <c r="V276" s="51">
        <v>0</v>
      </c>
    </row>
    <row r="277" spans="1:22" x14ac:dyDescent="0.3">
      <c r="A277" s="51">
        <v>17013</v>
      </c>
      <c r="B277" s="51">
        <v>880009</v>
      </c>
      <c r="D277" s="51">
        <v>8800092</v>
      </c>
      <c r="F277" s="51">
        <v>7</v>
      </c>
      <c r="G277" s="51">
        <v>7</v>
      </c>
      <c r="H277" s="51" t="s">
        <v>320</v>
      </c>
      <c r="I277" s="51">
        <v>1</v>
      </c>
      <c r="J277" s="51" t="s">
        <v>320</v>
      </c>
      <c r="K277" s="51">
        <v>0</v>
      </c>
      <c r="L277" s="51">
        <v>1</v>
      </c>
      <c r="M277" s="51">
        <v>2</v>
      </c>
      <c r="N277" s="51">
        <v>0</v>
      </c>
      <c r="O277" s="51">
        <v>1</v>
      </c>
      <c r="P277" s="52">
        <v>45121</v>
      </c>
      <c r="Q277" s="52">
        <v>45121.999988425901</v>
      </c>
      <c r="R277" s="51">
        <v>0</v>
      </c>
      <c r="S277" s="52">
        <v>45121</v>
      </c>
      <c r="T277" s="52">
        <v>72687.999988425901</v>
      </c>
      <c r="U277" s="51">
        <v>0</v>
      </c>
      <c r="V277" s="51">
        <v>0</v>
      </c>
    </row>
    <row r="278" spans="1:22" x14ac:dyDescent="0.3">
      <c r="A278" s="51">
        <v>17014</v>
      </c>
      <c r="B278" s="51">
        <v>880010</v>
      </c>
      <c r="D278" s="51">
        <v>8800102</v>
      </c>
      <c r="F278" s="51">
        <v>7</v>
      </c>
      <c r="G278" s="51">
        <v>7</v>
      </c>
      <c r="H278" s="51" t="s">
        <v>320</v>
      </c>
      <c r="I278" s="51">
        <v>1</v>
      </c>
      <c r="J278" s="51" t="s">
        <v>320</v>
      </c>
      <c r="K278" s="51">
        <v>0</v>
      </c>
      <c r="L278" s="51">
        <v>1</v>
      </c>
      <c r="M278" s="51">
        <v>2</v>
      </c>
      <c r="N278" s="51">
        <v>0</v>
      </c>
      <c r="O278" s="51">
        <v>1</v>
      </c>
      <c r="P278" s="52">
        <v>45121</v>
      </c>
      <c r="Q278" s="52">
        <v>45121.999988425901</v>
      </c>
      <c r="R278" s="51">
        <v>0</v>
      </c>
      <c r="S278" s="52">
        <v>45121</v>
      </c>
      <c r="T278" s="52">
        <v>72687.999988425901</v>
      </c>
      <c r="U278" s="51">
        <v>0</v>
      </c>
      <c r="V278" s="51">
        <v>0</v>
      </c>
    </row>
    <row r="279" spans="1:22" x14ac:dyDescent="0.3">
      <c r="A279" s="51">
        <v>17015</v>
      </c>
      <c r="B279" s="51">
        <v>880011</v>
      </c>
      <c r="D279" s="51">
        <v>8800112</v>
      </c>
      <c r="F279" s="51">
        <v>7</v>
      </c>
      <c r="G279" s="51">
        <v>7</v>
      </c>
      <c r="H279" s="51" t="s">
        <v>320</v>
      </c>
      <c r="I279" s="51">
        <v>1</v>
      </c>
      <c r="J279" s="51" t="s">
        <v>320</v>
      </c>
      <c r="K279" s="51">
        <v>0</v>
      </c>
      <c r="L279" s="51">
        <v>1</v>
      </c>
      <c r="M279" s="51">
        <v>2</v>
      </c>
      <c r="N279" s="51">
        <v>0</v>
      </c>
      <c r="O279" s="51">
        <v>1</v>
      </c>
      <c r="P279" s="52">
        <v>45121</v>
      </c>
      <c r="Q279" s="52">
        <v>45121.999988425901</v>
      </c>
      <c r="R279" s="51">
        <v>0</v>
      </c>
      <c r="S279" s="52">
        <v>45121</v>
      </c>
      <c r="T279" s="52">
        <v>72687.999988425901</v>
      </c>
      <c r="U279" s="51">
        <v>0</v>
      </c>
      <c r="V279" s="51">
        <v>0</v>
      </c>
    </row>
    <row r="280" spans="1:22" x14ac:dyDescent="0.3">
      <c r="A280" s="51">
        <v>17016</v>
      </c>
      <c r="B280" s="51">
        <v>880012</v>
      </c>
      <c r="D280" s="51">
        <v>8800122</v>
      </c>
      <c r="F280" s="51">
        <v>7</v>
      </c>
      <c r="G280" s="51">
        <v>7</v>
      </c>
      <c r="H280" s="51" t="s">
        <v>320</v>
      </c>
      <c r="I280" s="51">
        <v>1</v>
      </c>
      <c r="J280" s="51" t="s">
        <v>320</v>
      </c>
      <c r="K280" s="51">
        <v>0</v>
      </c>
      <c r="L280" s="51">
        <v>1</v>
      </c>
      <c r="M280" s="51">
        <v>2</v>
      </c>
      <c r="N280" s="51">
        <v>0</v>
      </c>
      <c r="O280" s="51">
        <v>1</v>
      </c>
      <c r="P280" s="52">
        <v>45121</v>
      </c>
      <c r="Q280" s="52">
        <v>45121.999988425901</v>
      </c>
      <c r="R280" s="51">
        <v>0</v>
      </c>
      <c r="S280" s="52">
        <v>45121</v>
      </c>
      <c r="T280" s="52">
        <v>72687.999988425901</v>
      </c>
      <c r="U280" s="51">
        <v>0</v>
      </c>
      <c r="V280" s="51">
        <v>0</v>
      </c>
    </row>
  </sheetData>
  <autoFilter ref="F14:G280" xr:uid="{00000000-0009-0000-0000-000000000000}"/>
  <phoneticPr fontId="21" type="noConversion"/>
  <conditionalFormatting sqref="B158">
    <cfRule type="duplicateValues" dxfId="1" priority="1"/>
  </conditionalFormatting>
  <conditionalFormatting sqref="B16:B49">
    <cfRule type="duplicateValues" dxfId="0" priority="4"/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37"/>
  <sheetViews>
    <sheetView zoomScale="85" zoomScaleNormal="85" workbookViewId="0">
      <selection activeCell="G31" sqref="G31"/>
    </sheetView>
  </sheetViews>
  <sheetFormatPr defaultColWidth="11" defaultRowHeight="15.6" x14ac:dyDescent="0.3"/>
  <cols>
    <col min="1" max="1" width="26.90625" customWidth="1"/>
    <col min="2" max="2" width="12.36328125" customWidth="1"/>
    <col min="4" max="4" width="22.90625" customWidth="1"/>
    <col min="6" max="7" width="15.453125" style="42" customWidth="1"/>
    <col min="10" max="10" width="20.08984375" customWidth="1"/>
    <col min="11" max="11" width="26.90625" customWidth="1"/>
    <col min="12" max="12" width="14" customWidth="1"/>
    <col min="13" max="13" width="14.453125" customWidth="1"/>
  </cols>
  <sheetData>
    <row r="1" spans="1:13" x14ac:dyDescent="0.3">
      <c r="A1" s="1" t="s">
        <v>0</v>
      </c>
      <c r="B1" s="2" t="s">
        <v>44</v>
      </c>
      <c r="C1" s="2" t="s">
        <v>2</v>
      </c>
      <c r="D1" s="2"/>
    </row>
    <row r="2" spans="1:13" x14ac:dyDescent="0.3">
      <c r="A2" s="1" t="s">
        <v>3</v>
      </c>
      <c r="B2" s="2" t="s">
        <v>325</v>
      </c>
      <c r="C2" s="2" t="s">
        <v>5</v>
      </c>
      <c r="D2" s="2"/>
    </row>
    <row r="3" spans="1:13" x14ac:dyDescent="0.3">
      <c r="A3" s="1" t="s">
        <v>6</v>
      </c>
      <c r="B3" s="3" t="s">
        <v>7</v>
      </c>
      <c r="C3" s="2" t="s">
        <v>8</v>
      </c>
      <c r="D3" s="2"/>
    </row>
    <row r="4" spans="1:13" x14ac:dyDescent="0.3">
      <c r="A4" s="1" t="s">
        <v>9</v>
      </c>
      <c r="B4" s="23" t="s">
        <v>10</v>
      </c>
      <c r="C4" s="2"/>
      <c r="D4" s="2"/>
    </row>
    <row r="5" spans="1:13" x14ac:dyDescent="0.3">
      <c r="A5" s="1" t="s">
        <v>11</v>
      </c>
      <c r="B5" s="2"/>
      <c r="C5" s="2" t="s">
        <v>12</v>
      </c>
      <c r="D5" s="2"/>
    </row>
    <row r="6" spans="1:13" x14ac:dyDescent="0.3">
      <c r="A6" s="1" t="s">
        <v>13</v>
      </c>
      <c r="B6" s="2">
        <v>4</v>
      </c>
      <c r="C6" s="2" t="s">
        <v>14</v>
      </c>
      <c r="D6" s="2"/>
    </row>
    <row r="7" spans="1:13" x14ac:dyDescent="0.3">
      <c r="A7" s="1" t="s">
        <v>15</v>
      </c>
      <c r="B7" s="2"/>
      <c r="C7" s="2"/>
      <c r="D7" s="2"/>
    </row>
    <row r="8" spans="1:13" x14ac:dyDescent="0.3">
      <c r="A8" s="1" t="s">
        <v>16</v>
      </c>
      <c r="B8" s="2"/>
      <c r="C8" s="2"/>
      <c r="D8" s="2"/>
    </row>
    <row r="9" spans="1:13" x14ac:dyDescent="0.3">
      <c r="A9" s="2"/>
      <c r="B9" s="2"/>
      <c r="C9" s="2"/>
      <c r="D9" s="2"/>
    </row>
    <row r="10" spans="1:13" x14ac:dyDescent="0.3">
      <c r="A10" s="2"/>
      <c r="B10" s="2"/>
      <c r="C10" s="2"/>
      <c r="D10" s="2"/>
    </row>
    <row r="11" spans="1:13" x14ac:dyDescent="0.3">
      <c r="A11" s="2" t="s">
        <v>17</v>
      </c>
      <c r="B11" s="2" t="s">
        <v>326</v>
      </c>
      <c r="C11" s="2" t="s">
        <v>19</v>
      </c>
      <c r="D11" s="43" t="s">
        <v>327</v>
      </c>
      <c r="E11" s="2" t="s">
        <v>328</v>
      </c>
      <c r="F11" s="44" t="s">
        <v>329</v>
      </c>
      <c r="G11" s="44" t="s">
        <v>330</v>
      </c>
      <c r="H11" t="s">
        <v>331</v>
      </c>
      <c r="I11" t="s">
        <v>332</v>
      </c>
      <c r="J11" t="s">
        <v>333</v>
      </c>
      <c r="K11" t="s">
        <v>334</v>
      </c>
      <c r="L11" t="s">
        <v>335</v>
      </c>
      <c r="M11" t="s">
        <v>336</v>
      </c>
    </row>
    <row r="12" spans="1:13" x14ac:dyDescent="0.3">
      <c r="A12" s="23" t="s">
        <v>39</v>
      </c>
      <c r="B12" s="23" t="s">
        <v>337</v>
      </c>
      <c r="C12" s="3" t="s">
        <v>41</v>
      </c>
      <c r="D12" s="45" t="s">
        <v>338</v>
      </c>
      <c r="E12" s="23" t="s">
        <v>53</v>
      </c>
      <c r="F12" s="46" t="s">
        <v>54</v>
      </c>
      <c r="G12" s="46" t="s">
        <v>55</v>
      </c>
      <c r="H12" s="23" t="s">
        <v>339</v>
      </c>
      <c r="I12" s="23" t="s">
        <v>51</v>
      </c>
      <c r="J12" s="45" t="s">
        <v>340</v>
      </c>
      <c r="K12" s="23" t="s">
        <v>341</v>
      </c>
      <c r="L12" s="45" t="s">
        <v>342</v>
      </c>
      <c r="M12" s="45" t="s">
        <v>343</v>
      </c>
    </row>
    <row r="13" spans="1:13" x14ac:dyDescent="0.3">
      <c r="A13" s="23" t="s">
        <v>61</v>
      </c>
      <c r="B13" s="23" t="s">
        <v>61</v>
      </c>
      <c r="C13" s="3" t="s">
        <v>62</v>
      </c>
      <c r="D13" s="45" t="s">
        <v>62</v>
      </c>
      <c r="E13" s="23" t="s">
        <v>61</v>
      </c>
      <c r="F13" s="46" t="s">
        <v>62</v>
      </c>
      <c r="G13" s="46" t="s">
        <v>62</v>
      </c>
      <c r="H13" s="23" t="s">
        <v>61</v>
      </c>
      <c r="I13" s="23" t="s">
        <v>61</v>
      </c>
      <c r="J13" s="45" t="s">
        <v>62</v>
      </c>
      <c r="K13" s="23" t="s">
        <v>61</v>
      </c>
      <c r="L13" s="45" t="s">
        <v>62</v>
      </c>
      <c r="M13" s="23" t="s">
        <v>61</v>
      </c>
    </row>
    <row r="14" spans="1:13" x14ac:dyDescent="0.3">
      <c r="A14" s="23" t="s">
        <v>63</v>
      </c>
      <c r="B14" s="23" t="s">
        <v>64</v>
      </c>
      <c r="C14" s="3" t="s">
        <v>65</v>
      </c>
      <c r="D14" s="45" t="s">
        <v>64</v>
      </c>
      <c r="E14" s="23" t="s">
        <v>64</v>
      </c>
      <c r="F14" s="46" t="s">
        <v>64</v>
      </c>
      <c r="G14" s="46" t="s">
        <v>64</v>
      </c>
      <c r="H14" s="23" t="s">
        <v>64</v>
      </c>
      <c r="I14" s="23" t="s">
        <v>64</v>
      </c>
      <c r="J14" s="45" t="s">
        <v>64</v>
      </c>
      <c r="K14" s="23" t="s">
        <v>64</v>
      </c>
      <c r="L14" s="45" t="s">
        <v>64</v>
      </c>
      <c r="M14" s="23" t="s">
        <v>64</v>
      </c>
    </row>
    <row r="15" spans="1:13" x14ac:dyDescent="0.3">
      <c r="A15" s="23"/>
      <c r="B15" s="23">
        <v>0</v>
      </c>
      <c r="C15" s="3">
        <v>0</v>
      </c>
      <c r="D15" s="45" t="s">
        <v>344</v>
      </c>
      <c r="E15" s="23">
        <v>0</v>
      </c>
      <c r="F15" s="46">
        <v>36526</v>
      </c>
      <c r="G15" s="46">
        <v>72686</v>
      </c>
      <c r="H15" s="23">
        <v>0</v>
      </c>
      <c r="I15" s="23">
        <v>0</v>
      </c>
      <c r="J15" s="45" t="s">
        <v>344</v>
      </c>
      <c r="K15" s="23">
        <v>0</v>
      </c>
      <c r="L15" s="45" t="s">
        <v>344</v>
      </c>
      <c r="M15" s="23">
        <v>0</v>
      </c>
    </row>
    <row r="16" spans="1:13" x14ac:dyDescent="0.3">
      <c r="A16">
        <v>1</v>
      </c>
      <c r="B16">
        <f t="shared" ref="B16:B21" si="0">(2500*10+A16)*10+1</f>
        <v>250011</v>
      </c>
      <c r="C16" s="43" t="s">
        <v>345</v>
      </c>
      <c r="D16" t="s">
        <v>346</v>
      </c>
      <c r="E16">
        <v>1</v>
      </c>
      <c r="F16" s="42">
        <v>43922</v>
      </c>
      <c r="G16" s="42">
        <v>72686</v>
      </c>
      <c r="H16">
        <v>1</v>
      </c>
      <c r="I16" s="43">
        <v>1</v>
      </c>
      <c r="J16" t="s">
        <v>347</v>
      </c>
      <c r="K16">
        <v>21</v>
      </c>
      <c r="L16" t="s">
        <v>348</v>
      </c>
      <c r="M16">
        <v>1</v>
      </c>
    </row>
    <row r="17" spans="1:13" s="3" customFormat="1" x14ac:dyDescent="0.3">
      <c r="A17" s="3">
        <v>2</v>
      </c>
      <c r="B17" s="3">
        <f t="shared" si="0"/>
        <v>250021</v>
      </c>
      <c r="C17" s="3" t="s">
        <v>349</v>
      </c>
      <c r="D17" s="3" t="s">
        <v>350</v>
      </c>
      <c r="E17" s="3">
        <v>2</v>
      </c>
      <c r="F17" s="3">
        <v>43922</v>
      </c>
      <c r="G17" s="3">
        <v>72686</v>
      </c>
      <c r="H17" s="3">
        <v>0</v>
      </c>
      <c r="I17" s="3">
        <v>1</v>
      </c>
      <c r="J17" s="3" t="s">
        <v>351</v>
      </c>
      <c r="K17" s="3">
        <v>21</v>
      </c>
      <c r="L17" s="3" t="s">
        <v>352</v>
      </c>
      <c r="M17" s="3">
        <v>1</v>
      </c>
    </row>
    <row r="18" spans="1:13" s="2" customFormat="1" x14ac:dyDescent="0.3">
      <c r="A18" s="2">
        <v>3</v>
      </c>
      <c r="B18" s="2">
        <v>250031</v>
      </c>
      <c r="C18" s="2" t="s">
        <v>353</v>
      </c>
      <c r="D18" s="2" t="s">
        <v>350</v>
      </c>
      <c r="E18" s="2">
        <v>2</v>
      </c>
      <c r="F18" s="42">
        <v>43922</v>
      </c>
      <c r="G18" s="42">
        <v>72686</v>
      </c>
      <c r="H18" s="2">
        <v>0</v>
      </c>
      <c r="I18" s="2">
        <v>0</v>
      </c>
      <c r="J18" s="2" t="s">
        <v>351</v>
      </c>
      <c r="K18" s="2">
        <v>26</v>
      </c>
      <c r="L18" s="2" t="s">
        <v>354</v>
      </c>
      <c r="M18" s="2">
        <v>2</v>
      </c>
    </row>
    <row r="19" spans="1:13" x14ac:dyDescent="0.3">
      <c r="A19" s="2">
        <v>4</v>
      </c>
      <c r="B19" s="2">
        <v>250041</v>
      </c>
      <c r="C19" s="2" t="s">
        <v>355</v>
      </c>
      <c r="D19" s="2" t="s">
        <v>350</v>
      </c>
      <c r="E19" s="2">
        <v>3</v>
      </c>
      <c r="F19" s="42">
        <v>43922</v>
      </c>
      <c r="G19" s="42">
        <v>72686</v>
      </c>
      <c r="H19" s="2">
        <v>0</v>
      </c>
      <c r="I19" s="2">
        <v>0</v>
      </c>
      <c r="J19" s="2" t="s">
        <v>351</v>
      </c>
      <c r="K19" s="2">
        <v>26</v>
      </c>
      <c r="L19" s="2" t="s">
        <v>356</v>
      </c>
      <c r="M19" s="2">
        <v>3</v>
      </c>
    </row>
    <row r="20" spans="1:13" x14ac:dyDescent="0.3">
      <c r="A20">
        <v>5</v>
      </c>
      <c r="B20">
        <v>250051</v>
      </c>
      <c r="C20" s="43" t="s">
        <v>357</v>
      </c>
      <c r="D20" t="s">
        <v>350</v>
      </c>
      <c r="E20">
        <v>4</v>
      </c>
      <c r="F20" s="42">
        <v>43922</v>
      </c>
      <c r="G20" s="42">
        <v>72686</v>
      </c>
      <c r="H20">
        <v>0</v>
      </c>
      <c r="I20" s="43">
        <v>0</v>
      </c>
      <c r="J20" t="s">
        <v>351</v>
      </c>
      <c r="K20">
        <v>26</v>
      </c>
      <c r="L20" t="s">
        <v>358</v>
      </c>
      <c r="M20">
        <v>4</v>
      </c>
    </row>
    <row r="21" spans="1:13" x14ac:dyDescent="0.3">
      <c r="A21">
        <v>6</v>
      </c>
      <c r="B21">
        <f t="shared" si="0"/>
        <v>250061</v>
      </c>
      <c r="C21" s="43" t="s">
        <v>359</v>
      </c>
      <c r="D21" t="s">
        <v>360</v>
      </c>
      <c r="E21">
        <v>0</v>
      </c>
      <c r="F21" s="42">
        <v>43922</v>
      </c>
      <c r="G21" s="42">
        <v>72686</v>
      </c>
      <c r="H21">
        <v>1</v>
      </c>
      <c r="I21" s="43">
        <v>2</v>
      </c>
      <c r="J21" t="s">
        <v>361</v>
      </c>
      <c r="K21">
        <v>26</v>
      </c>
      <c r="L21" t="s">
        <v>362</v>
      </c>
      <c r="M21">
        <v>0</v>
      </c>
    </row>
    <row r="22" spans="1:13" x14ac:dyDescent="0.3">
      <c r="A22">
        <v>7</v>
      </c>
      <c r="B22">
        <v>250071</v>
      </c>
      <c r="C22" s="43" t="s">
        <v>363</v>
      </c>
      <c r="D22" t="s">
        <v>350</v>
      </c>
      <c r="E22">
        <v>5</v>
      </c>
      <c r="F22" s="42">
        <v>43922</v>
      </c>
      <c r="G22" s="42">
        <v>72686</v>
      </c>
      <c r="H22">
        <v>0</v>
      </c>
      <c r="I22" s="43">
        <v>2</v>
      </c>
      <c r="J22" t="s">
        <v>351</v>
      </c>
      <c r="K22">
        <v>26</v>
      </c>
      <c r="L22" t="s">
        <v>358</v>
      </c>
      <c r="M22">
        <v>5</v>
      </c>
    </row>
    <row r="23" spans="1:13" x14ac:dyDescent="0.3">
      <c r="B23" s="2"/>
      <c r="C23" s="2"/>
      <c r="D23" s="2"/>
    </row>
    <row r="24" spans="1:13" x14ac:dyDescent="0.3">
      <c r="B24" s="2"/>
      <c r="C24" s="2"/>
      <c r="D24" s="2"/>
    </row>
    <row r="25" spans="1:13" x14ac:dyDescent="0.3">
      <c r="B25" s="2"/>
      <c r="C25" s="2"/>
      <c r="D25" s="2"/>
    </row>
    <row r="26" spans="1:13" x14ac:dyDescent="0.3">
      <c r="B26" s="2"/>
      <c r="C26" s="2"/>
      <c r="D26" s="2"/>
    </row>
    <row r="27" spans="1:13" x14ac:dyDescent="0.3">
      <c r="B27" s="2"/>
      <c r="C27" s="2"/>
      <c r="D27" s="2"/>
    </row>
    <row r="28" spans="1:13" x14ac:dyDescent="0.3">
      <c r="B28" s="2"/>
      <c r="C28" s="2"/>
      <c r="D28" s="2"/>
    </row>
    <row r="29" spans="1:13" x14ac:dyDescent="0.3">
      <c r="B29" s="2"/>
      <c r="C29" s="2"/>
      <c r="D29" s="2"/>
    </row>
    <row r="30" spans="1:13" x14ac:dyDescent="0.3">
      <c r="B30" s="2"/>
      <c r="C30" s="2"/>
      <c r="D30" s="2"/>
    </row>
    <row r="31" spans="1:13" x14ac:dyDescent="0.3">
      <c r="B31" s="2"/>
      <c r="C31" s="2"/>
      <c r="D31" s="2"/>
    </row>
    <row r="32" spans="1:13" x14ac:dyDescent="0.3">
      <c r="B32" s="2"/>
      <c r="C32" s="2"/>
      <c r="D32" s="2"/>
    </row>
    <row r="33" spans="2:4" x14ac:dyDescent="0.3">
      <c r="B33" s="2"/>
      <c r="C33" s="2"/>
      <c r="D33" s="2"/>
    </row>
    <row r="34" spans="2:4" x14ac:dyDescent="0.3">
      <c r="B34" s="2"/>
      <c r="C34" s="2"/>
      <c r="D34" s="2"/>
    </row>
    <row r="35" spans="2:4" x14ac:dyDescent="0.3">
      <c r="B35" s="2"/>
      <c r="C35" s="2"/>
      <c r="D35" s="2"/>
    </row>
    <row r="36" spans="2:4" x14ac:dyDescent="0.3">
      <c r="B36" s="2"/>
      <c r="C36" s="2"/>
      <c r="D36" s="2"/>
    </row>
    <row r="37" spans="2:4" x14ac:dyDescent="0.3">
      <c r="B37" s="2"/>
      <c r="C37" s="2"/>
      <c r="D37" s="2"/>
    </row>
  </sheetData>
  <phoneticPr fontId="21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137"/>
  <sheetViews>
    <sheetView topLeftCell="A44" workbookViewId="0">
      <selection activeCell="E12" sqref="E12"/>
    </sheetView>
  </sheetViews>
  <sheetFormatPr defaultColWidth="11" defaultRowHeight="15.6" x14ac:dyDescent="0.3"/>
  <cols>
    <col min="1" max="1" width="29.90625" style="34" customWidth="1"/>
    <col min="2" max="2" width="13.453125" style="34" customWidth="1"/>
    <col min="3" max="3" width="50.36328125" style="34" customWidth="1"/>
    <col min="4" max="4" width="12.08984375" style="34" customWidth="1"/>
    <col min="5" max="5" width="16.08984375" style="34" customWidth="1"/>
    <col min="6" max="6" width="28.453125" style="34" customWidth="1"/>
    <col min="7" max="7" width="11" style="34" customWidth="1"/>
    <col min="8" max="16384" width="11" style="34"/>
  </cols>
  <sheetData>
    <row r="1" spans="1:10" x14ac:dyDescent="0.3">
      <c r="A1" s="35" t="s">
        <v>0</v>
      </c>
      <c r="B1" s="7" t="s">
        <v>364</v>
      </c>
      <c r="C1" s="7" t="s">
        <v>2</v>
      </c>
      <c r="D1" s="36"/>
      <c r="E1" s="36"/>
      <c r="F1" s="36"/>
    </row>
    <row r="2" spans="1:10" x14ac:dyDescent="0.3">
      <c r="A2" s="35" t="s">
        <v>3</v>
      </c>
      <c r="B2" s="7" t="s">
        <v>365</v>
      </c>
      <c r="C2" s="7" t="s">
        <v>5</v>
      </c>
      <c r="D2" s="36"/>
      <c r="E2" s="36"/>
      <c r="F2" s="36"/>
    </row>
    <row r="3" spans="1:10" x14ac:dyDescent="0.3">
      <c r="A3" s="35" t="s">
        <v>6</v>
      </c>
      <c r="B3" s="8" t="s">
        <v>7</v>
      </c>
      <c r="C3" s="7" t="s">
        <v>8</v>
      </c>
      <c r="D3" s="36"/>
      <c r="E3" s="36"/>
      <c r="F3" s="36"/>
    </row>
    <row r="4" spans="1:10" x14ac:dyDescent="0.3">
      <c r="A4" s="35" t="s">
        <v>9</v>
      </c>
      <c r="B4" s="37" t="s">
        <v>10</v>
      </c>
      <c r="C4" s="7"/>
      <c r="D4" s="36"/>
      <c r="E4" s="36"/>
      <c r="F4" s="36"/>
    </row>
    <row r="5" spans="1:10" x14ac:dyDescent="0.3">
      <c r="A5" s="35" t="s">
        <v>11</v>
      </c>
      <c r="B5" s="7"/>
      <c r="C5" s="7" t="s">
        <v>12</v>
      </c>
      <c r="D5" s="7"/>
      <c r="E5" s="36"/>
      <c r="F5" s="36"/>
    </row>
    <row r="6" spans="1:10" x14ac:dyDescent="0.3">
      <c r="A6" s="35" t="s">
        <v>13</v>
      </c>
      <c r="B6" s="7">
        <v>4</v>
      </c>
      <c r="C6" s="7" t="s">
        <v>14</v>
      </c>
      <c r="D6" s="7"/>
      <c r="E6" s="36"/>
      <c r="F6" s="36"/>
    </row>
    <row r="7" spans="1:10" x14ac:dyDescent="0.3">
      <c r="A7" s="35" t="s">
        <v>15</v>
      </c>
      <c r="B7" s="7"/>
      <c r="C7" s="7"/>
      <c r="D7" s="7"/>
      <c r="E7" s="36"/>
      <c r="F7" s="36"/>
    </row>
    <row r="8" spans="1:10" x14ac:dyDescent="0.3">
      <c r="A8" s="35" t="s">
        <v>16</v>
      </c>
      <c r="B8" s="7"/>
      <c r="C8" s="7"/>
      <c r="D8" s="7"/>
      <c r="E8" s="36"/>
      <c r="F8" s="36"/>
    </row>
    <row r="9" spans="1:10" x14ac:dyDescent="0.3">
      <c r="A9" s="7"/>
      <c r="B9" s="7"/>
      <c r="C9" s="7"/>
      <c r="D9" s="36"/>
      <c r="E9" s="36"/>
      <c r="F9" s="36"/>
    </row>
    <row r="10" spans="1:10" x14ac:dyDescent="0.3">
      <c r="A10" s="7"/>
      <c r="B10" s="7"/>
      <c r="C10" s="7"/>
      <c r="D10" s="36"/>
      <c r="E10" s="36"/>
      <c r="F10" s="36"/>
    </row>
    <row r="11" spans="1:10" x14ac:dyDescent="0.3">
      <c r="A11" s="7" t="s">
        <v>18</v>
      </c>
      <c r="B11" s="7" t="s">
        <v>19</v>
      </c>
      <c r="C11" s="7" t="s">
        <v>24</v>
      </c>
      <c r="D11" s="38" t="s">
        <v>366</v>
      </c>
      <c r="E11" s="9" t="s">
        <v>367</v>
      </c>
      <c r="F11" s="36"/>
    </row>
    <row r="12" spans="1:10" x14ac:dyDescent="0.3">
      <c r="A12" s="37" t="s">
        <v>40</v>
      </c>
      <c r="B12" s="8" t="s">
        <v>41</v>
      </c>
      <c r="C12" s="37" t="s">
        <v>46</v>
      </c>
      <c r="D12" s="4" t="s">
        <v>368</v>
      </c>
      <c r="E12" s="4" t="s">
        <v>369</v>
      </c>
      <c r="F12" s="36"/>
    </row>
    <row r="13" spans="1:10" x14ac:dyDescent="0.3">
      <c r="A13" s="37" t="s">
        <v>61</v>
      </c>
      <c r="B13" s="8" t="s">
        <v>62</v>
      </c>
      <c r="C13" s="37" t="s">
        <v>62</v>
      </c>
      <c r="D13" s="4" t="s">
        <v>61</v>
      </c>
      <c r="E13" s="4" t="s">
        <v>61</v>
      </c>
      <c r="F13" s="36"/>
    </row>
    <row r="14" spans="1:10" x14ac:dyDescent="0.3">
      <c r="A14" s="37" t="s">
        <v>63</v>
      </c>
      <c r="B14" s="8"/>
      <c r="C14" s="37" t="s">
        <v>64</v>
      </c>
      <c r="D14" s="4" t="s">
        <v>64</v>
      </c>
      <c r="E14" s="4" t="s">
        <v>64</v>
      </c>
      <c r="F14" s="36"/>
    </row>
    <row r="15" spans="1:10" x14ac:dyDescent="0.3">
      <c r="A15" s="37">
        <v>0</v>
      </c>
      <c r="B15" s="8">
        <v>0</v>
      </c>
      <c r="C15" s="37" t="s">
        <v>66</v>
      </c>
      <c r="D15" s="4">
        <v>0</v>
      </c>
      <c r="E15" s="4">
        <v>0</v>
      </c>
      <c r="F15" s="36"/>
    </row>
    <row r="16" spans="1:10" x14ac:dyDescent="0.3">
      <c r="A16" s="39">
        <v>100001</v>
      </c>
      <c r="B16" s="38" t="s">
        <v>370</v>
      </c>
      <c r="C16" s="40" t="s">
        <v>371</v>
      </c>
      <c r="D16" s="38">
        <v>0</v>
      </c>
      <c r="E16" s="38">
        <v>3</v>
      </c>
      <c r="F16" t="s">
        <v>372</v>
      </c>
      <c r="H16" s="39"/>
      <c r="I16" s="38"/>
      <c r="J16" s="40"/>
    </row>
    <row r="17" spans="1:10" x14ac:dyDescent="0.3">
      <c r="A17" s="39">
        <v>100002</v>
      </c>
      <c r="B17" s="38" t="s">
        <v>370</v>
      </c>
      <c r="C17" s="40" t="s">
        <v>373</v>
      </c>
      <c r="D17" s="38">
        <v>0</v>
      </c>
      <c r="E17" s="38">
        <v>3</v>
      </c>
      <c r="F17" t="s">
        <v>374</v>
      </c>
      <c r="H17" s="39"/>
      <c r="I17" s="38"/>
      <c r="J17" s="40"/>
    </row>
    <row r="18" spans="1:10" x14ac:dyDescent="0.3">
      <c r="A18" s="39">
        <v>100003</v>
      </c>
      <c r="B18" s="38" t="s">
        <v>370</v>
      </c>
      <c r="C18" s="40" t="s">
        <v>375</v>
      </c>
      <c r="D18" s="38">
        <v>0</v>
      </c>
      <c r="E18" s="38">
        <v>3</v>
      </c>
      <c r="F18" t="s">
        <v>254</v>
      </c>
      <c r="H18" s="39"/>
      <c r="I18" s="38"/>
      <c r="J18" s="40"/>
    </row>
    <row r="19" spans="1:10" x14ac:dyDescent="0.3">
      <c r="A19" s="39">
        <v>100011</v>
      </c>
      <c r="B19" s="38" t="s">
        <v>81</v>
      </c>
      <c r="C19" s="40" t="s">
        <v>375</v>
      </c>
      <c r="D19" s="38">
        <v>0</v>
      </c>
      <c r="E19" s="38">
        <v>3</v>
      </c>
      <c r="F19" t="s">
        <v>254</v>
      </c>
      <c r="H19" s="39"/>
      <c r="I19" s="38"/>
      <c r="J19" s="40"/>
    </row>
    <row r="20" spans="1:10" x14ac:dyDescent="0.3">
      <c r="A20" s="39">
        <v>100012</v>
      </c>
      <c r="B20" s="38" t="s">
        <v>81</v>
      </c>
      <c r="C20" s="40" t="s">
        <v>376</v>
      </c>
      <c r="D20" s="38">
        <v>0</v>
      </c>
      <c r="E20" s="38">
        <v>1</v>
      </c>
      <c r="F20" t="s">
        <v>257</v>
      </c>
      <c r="H20" s="39"/>
      <c r="I20" s="38"/>
      <c r="J20" s="40"/>
    </row>
    <row r="21" spans="1:10" x14ac:dyDescent="0.3">
      <c r="A21" s="39">
        <v>100013</v>
      </c>
      <c r="B21" s="38" t="s">
        <v>81</v>
      </c>
      <c r="C21" s="40" t="s">
        <v>377</v>
      </c>
      <c r="D21" s="38">
        <v>0</v>
      </c>
      <c r="E21" s="38">
        <v>1</v>
      </c>
      <c r="F21" t="s">
        <v>263</v>
      </c>
      <c r="H21" s="39"/>
      <c r="I21" s="38"/>
      <c r="J21" s="40"/>
    </row>
    <row r="22" spans="1:10" x14ac:dyDescent="0.3">
      <c r="A22" s="39">
        <v>100014</v>
      </c>
      <c r="B22" s="38" t="s">
        <v>81</v>
      </c>
      <c r="C22" s="40" t="s">
        <v>378</v>
      </c>
      <c r="D22" s="38">
        <v>0</v>
      </c>
      <c r="E22" s="38">
        <v>1</v>
      </c>
      <c r="F22" t="s">
        <v>379</v>
      </c>
      <c r="H22" s="39"/>
      <c r="I22" s="38"/>
      <c r="J22" s="40"/>
    </row>
    <row r="23" spans="1:10" x14ac:dyDescent="0.3">
      <c r="A23" s="39">
        <v>100021</v>
      </c>
      <c r="B23" s="38" t="s">
        <v>198</v>
      </c>
      <c r="C23" s="40" t="s">
        <v>376</v>
      </c>
      <c r="D23" s="38">
        <v>0</v>
      </c>
      <c r="E23" s="38">
        <v>1</v>
      </c>
      <c r="F23" t="s">
        <v>257</v>
      </c>
      <c r="H23" s="39"/>
      <c r="I23" s="38"/>
      <c r="J23" s="40"/>
    </row>
    <row r="24" spans="1:10" x14ac:dyDescent="0.3">
      <c r="A24" s="39">
        <v>100022</v>
      </c>
      <c r="B24" s="38" t="s">
        <v>198</v>
      </c>
      <c r="C24" s="40" t="s">
        <v>377</v>
      </c>
      <c r="D24" s="38">
        <v>0</v>
      </c>
      <c r="E24" s="38">
        <v>1</v>
      </c>
      <c r="F24" t="s">
        <v>263</v>
      </c>
      <c r="H24" s="39"/>
      <c r="I24" s="38"/>
      <c r="J24" s="40"/>
    </row>
    <row r="25" spans="1:10" x14ac:dyDescent="0.3">
      <c r="A25" s="39">
        <v>100023</v>
      </c>
      <c r="B25" s="38" t="s">
        <v>198</v>
      </c>
      <c r="C25" s="40" t="s">
        <v>378</v>
      </c>
      <c r="D25" s="38">
        <v>0</v>
      </c>
      <c r="E25" s="38">
        <v>1</v>
      </c>
      <c r="F25" t="s">
        <v>379</v>
      </c>
      <c r="H25" s="39"/>
      <c r="I25" s="38"/>
      <c r="J25" s="40"/>
    </row>
    <row r="26" spans="1:10" x14ac:dyDescent="0.3">
      <c r="A26" s="39">
        <v>100031</v>
      </c>
      <c r="B26" s="38" t="s">
        <v>86</v>
      </c>
      <c r="C26" s="40" t="s">
        <v>371</v>
      </c>
      <c r="D26" s="38">
        <v>0</v>
      </c>
      <c r="E26" s="38">
        <v>3</v>
      </c>
      <c r="F26" t="s">
        <v>372</v>
      </c>
      <c r="H26" s="39"/>
      <c r="I26" s="38"/>
      <c r="J26" s="40"/>
    </row>
    <row r="27" spans="1:10" x14ac:dyDescent="0.3">
      <c r="A27" s="39">
        <v>100032</v>
      </c>
      <c r="B27" s="38" t="s">
        <v>86</v>
      </c>
      <c r="C27" s="40" t="s">
        <v>373</v>
      </c>
      <c r="D27" s="38">
        <v>0</v>
      </c>
      <c r="E27" s="38">
        <v>3</v>
      </c>
      <c r="F27" t="s">
        <v>374</v>
      </c>
      <c r="H27" s="39"/>
      <c r="I27" s="38"/>
      <c r="J27" s="40"/>
    </row>
    <row r="28" spans="1:10" x14ac:dyDescent="0.3">
      <c r="A28" s="39">
        <v>100033</v>
      </c>
      <c r="B28" s="38" t="s">
        <v>86</v>
      </c>
      <c r="C28" s="40" t="s">
        <v>375</v>
      </c>
      <c r="D28" s="38">
        <v>0</v>
      </c>
      <c r="E28" s="38">
        <v>3</v>
      </c>
      <c r="F28" t="s">
        <v>254</v>
      </c>
      <c r="H28" s="39"/>
      <c r="I28" s="38"/>
      <c r="J28" s="40"/>
    </row>
    <row r="29" spans="1:10" x14ac:dyDescent="0.3">
      <c r="A29" s="39">
        <v>100041</v>
      </c>
      <c r="B29" s="38" t="s">
        <v>83</v>
      </c>
      <c r="C29" s="40" t="s">
        <v>375</v>
      </c>
      <c r="D29" s="38">
        <v>0</v>
      </c>
      <c r="E29" s="38">
        <v>3</v>
      </c>
      <c r="F29" t="s">
        <v>254</v>
      </c>
      <c r="H29" s="39"/>
      <c r="I29" s="38"/>
      <c r="J29" s="40"/>
    </row>
    <row r="30" spans="1:10" x14ac:dyDescent="0.3">
      <c r="A30" s="39">
        <v>100042</v>
      </c>
      <c r="B30" s="38" t="s">
        <v>83</v>
      </c>
      <c r="C30" s="40" t="s">
        <v>376</v>
      </c>
      <c r="D30" s="38">
        <v>0</v>
      </c>
      <c r="E30" s="38">
        <v>1</v>
      </c>
      <c r="F30" t="s">
        <v>257</v>
      </c>
      <c r="H30" s="39"/>
      <c r="I30" s="38"/>
      <c r="J30" s="40"/>
    </row>
    <row r="31" spans="1:10" x14ac:dyDescent="0.3">
      <c r="A31" s="39">
        <v>100043</v>
      </c>
      <c r="B31" s="38" t="s">
        <v>83</v>
      </c>
      <c r="C31" s="40" t="s">
        <v>377</v>
      </c>
      <c r="D31" s="38">
        <v>0</v>
      </c>
      <c r="E31" s="38">
        <v>1</v>
      </c>
      <c r="F31" t="s">
        <v>263</v>
      </c>
      <c r="H31" s="39"/>
      <c r="I31" s="38"/>
      <c r="J31" s="40"/>
    </row>
    <row r="32" spans="1:10" x14ac:dyDescent="0.3">
      <c r="A32" s="39">
        <v>100044</v>
      </c>
      <c r="B32" s="38" t="s">
        <v>83</v>
      </c>
      <c r="C32" s="40" t="s">
        <v>378</v>
      </c>
      <c r="D32" s="38">
        <v>0</v>
      </c>
      <c r="E32" s="38">
        <v>1</v>
      </c>
      <c r="F32" t="s">
        <v>379</v>
      </c>
      <c r="H32" s="39"/>
      <c r="I32" s="38"/>
      <c r="J32" s="40"/>
    </row>
    <row r="33" spans="1:10" x14ac:dyDescent="0.3">
      <c r="A33" s="39">
        <v>100051</v>
      </c>
      <c r="B33" s="38" t="s">
        <v>78</v>
      </c>
      <c r="C33" s="40" t="s">
        <v>376</v>
      </c>
      <c r="D33" s="38">
        <v>0</v>
      </c>
      <c r="E33" s="38">
        <v>1</v>
      </c>
      <c r="F33" t="s">
        <v>257</v>
      </c>
      <c r="H33" s="39"/>
      <c r="I33" s="38"/>
      <c r="J33" s="40"/>
    </row>
    <row r="34" spans="1:10" x14ac:dyDescent="0.3">
      <c r="A34" s="39">
        <v>100052</v>
      </c>
      <c r="B34" s="38" t="s">
        <v>78</v>
      </c>
      <c r="C34" s="40" t="s">
        <v>377</v>
      </c>
      <c r="D34" s="38">
        <v>0</v>
      </c>
      <c r="E34" s="38">
        <v>1</v>
      </c>
      <c r="F34" t="s">
        <v>263</v>
      </c>
      <c r="H34" s="39"/>
      <c r="I34" s="38"/>
      <c r="J34" s="40"/>
    </row>
    <row r="35" spans="1:10" x14ac:dyDescent="0.3">
      <c r="A35" s="39">
        <v>100053</v>
      </c>
      <c r="B35" s="38" t="s">
        <v>78</v>
      </c>
      <c r="C35" s="40" t="s">
        <v>378</v>
      </c>
      <c r="D35" s="38">
        <v>0</v>
      </c>
      <c r="E35" s="38">
        <v>1</v>
      </c>
      <c r="F35" t="s">
        <v>379</v>
      </c>
      <c r="H35" s="39"/>
      <c r="I35" s="38"/>
      <c r="J35" s="40"/>
    </row>
    <row r="36" spans="1:10" x14ac:dyDescent="0.3">
      <c r="A36" s="39">
        <v>100061</v>
      </c>
      <c r="B36" s="38" t="s">
        <v>256</v>
      </c>
      <c r="C36" s="40" t="s">
        <v>376</v>
      </c>
      <c r="D36" s="38">
        <v>0</v>
      </c>
      <c r="E36" s="38">
        <v>3</v>
      </c>
      <c r="F36" t="s">
        <v>254</v>
      </c>
      <c r="H36" s="39"/>
      <c r="I36" s="38"/>
      <c r="J36" s="40"/>
    </row>
    <row r="37" spans="1:10" x14ac:dyDescent="0.3">
      <c r="A37" s="39">
        <v>100062</v>
      </c>
      <c r="B37" s="38" t="s">
        <v>256</v>
      </c>
      <c r="C37" s="40" t="s">
        <v>377</v>
      </c>
      <c r="D37" s="38">
        <v>0</v>
      </c>
      <c r="E37" s="38">
        <v>1</v>
      </c>
      <c r="F37" t="s">
        <v>257</v>
      </c>
      <c r="H37" s="39"/>
      <c r="I37" s="38"/>
      <c r="J37" s="40"/>
    </row>
    <row r="38" spans="1:10" x14ac:dyDescent="0.3">
      <c r="A38" s="39">
        <v>100063</v>
      </c>
      <c r="B38" s="38" t="s">
        <v>256</v>
      </c>
      <c r="C38" s="40" t="s">
        <v>378</v>
      </c>
      <c r="D38" s="38">
        <v>0</v>
      </c>
      <c r="E38" s="38">
        <v>1</v>
      </c>
      <c r="F38" t="s">
        <v>263</v>
      </c>
      <c r="H38" s="39"/>
      <c r="I38" s="38"/>
      <c r="J38" s="40"/>
    </row>
    <row r="39" spans="1:10" x14ac:dyDescent="0.3">
      <c r="A39" s="39">
        <v>100071</v>
      </c>
      <c r="B39" s="38" t="s">
        <v>71</v>
      </c>
      <c r="C39" s="40" t="s">
        <v>376</v>
      </c>
      <c r="D39" s="38">
        <v>0</v>
      </c>
      <c r="E39" s="38">
        <v>1</v>
      </c>
      <c r="F39" t="s">
        <v>257</v>
      </c>
      <c r="H39" s="39"/>
      <c r="I39" s="38"/>
      <c r="J39" s="40"/>
    </row>
    <row r="40" spans="1:10" x14ac:dyDescent="0.3">
      <c r="A40" s="39">
        <v>100072</v>
      </c>
      <c r="B40" s="38" t="s">
        <v>71</v>
      </c>
      <c r="C40" s="40" t="s">
        <v>377</v>
      </c>
      <c r="D40" s="38">
        <v>0</v>
      </c>
      <c r="E40" s="38">
        <v>1</v>
      </c>
      <c r="F40" t="s">
        <v>263</v>
      </c>
      <c r="H40" s="39"/>
      <c r="I40" s="38"/>
      <c r="J40" s="40"/>
    </row>
    <row r="41" spans="1:10" x14ac:dyDescent="0.3">
      <c r="A41" s="39">
        <v>100073</v>
      </c>
      <c r="B41" s="38" t="s">
        <v>71</v>
      </c>
      <c r="C41" s="40" t="s">
        <v>378</v>
      </c>
      <c r="D41" s="38">
        <v>0</v>
      </c>
      <c r="E41" s="38">
        <v>1</v>
      </c>
      <c r="F41" t="s">
        <v>379</v>
      </c>
      <c r="H41" s="39"/>
      <c r="I41" s="38"/>
      <c r="J41" s="40"/>
    </row>
    <row r="42" spans="1:10" x14ac:dyDescent="0.3">
      <c r="A42" s="39">
        <v>100081</v>
      </c>
      <c r="B42" s="38" t="s">
        <v>74</v>
      </c>
      <c r="C42" s="40" t="s">
        <v>376</v>
      </c>
      <c r="D42" s="38">
        <v>0</v>
      </c>
      <c r="E42" s="38">
        <v>1</v>
      </c>
      <c r="F42" t="s">
        <v>257</v>
      </c>
      <c r="H42" s="39"/>
      <c r="I42" s="38"/>
      <c r="J42" s="40"/>
    </row>
    <row r="43" spans="1:10" x14ac:dyDescent="0.3">
      <c r="A43" s="39">
        <v>100082</v>
      </c>
      <c r="B43" s="38" t="s">
        <v>74</v>
      </c>
      <c r="C43" s="40" t="s">
        <v>377</v>
      </c>
      <c r="D43" s="38">
        <v>0</v>
      </c>
      <c r="E43" s="38">
        <v>1</v>
      </c>
      <c r="F43" t="s">
        <v>263</v>
      </c>
      <c r="H43" s="39"/>
      <c r="I43" s="38"/>
      <c r="J43" s="40"/>
    </row>
    <row r="44" spans="1:10" x14ac:dyDescent="0.3">
      <c r="A44" s="39">
        <v>100083</v>
      </c>
      <c r="B44" s="38" t="s">
        <v>74</v>
      </c>
      <c r="C44" s="40" t="s">
        <v>378</v>
      </c>
      <c r="D44" s="38">
        <v>0</v>
      </c>
      <c r="E44" s="38">
        <v>1</v>
      </c>
      <c r="F44" t="s">
        <v>379</v>
      </c>
      <c r="H44" s="39"/>
      <c r="I44" s="38"/>
      <c r="J44" s="40"/>
    </row>
    <row r="45" spans="1:10" x14ac:dyDescent="0.3">
      <c r="A45" s="39">
        <v>100091</v>
      </c>
      <c r="B45" s="38" t="s">
        <v>76</v>
      </c>
      <c r="C45" s="40" t="s">
        <v>376</v>
      </c>
      <c r="D45" s="38">
        <v>0</v>
      </c>
      <c r="E45" s="38">
        <v>1</v>
      </c>
      <c r="F45" t="s">
        <v>257</v>
      </c>
      <c r="H45" s="39"/>
      <c r="I45" s="38"/>
      <c r="J45" s="40"/>
    </row>
    <row r="46" spans="1:10" x14ac:dyDescent="0.3">
      <c r="A46" s="39">
        <v>100092</v>
      </c>
      <c r="B46" s="38" t="s">
        <v>76</v>
      </c>
      <c r="C46" s="40" t="s">
        <v>377</v>
      </c>
      <c r="D46" s="38">
        <v>0</v>
      </c>
      <c r="E46" s="38">
        <v>1</v>
      </c>
      <c r="F46" t="s">
        <v>263</v>
      </c>
      <c r="H46" s="39"/>
      <c r="I46" s="38"/>
      <c r="J46" s="40"/>
    </row>
    <row r="47" spans="1:10" x14ac:dyDescent="0.3">
      <c r="A47" s="39">
        <v>100093</v>
      </c>
      <c r="B47" s="38" t="s">
        <v>76</v>
      </c>
      <c r="C47" s="40" t="s">
        <v>378</v>
      </c>
      <c r="D47" s="38">
        <v>0</v>
      </c>
      <c r="E47" s="38">
        <v>1</v>
      </c>
      <c r="F47" t="s">
        <v>379</v>
      </c>
      <c r="H47" s="39"/>
      <c r="I47" s="38"/>
      <c r="J47" s="40"/>
    </row>
    <row r="48" spans="1:10" x14ac:dyDescent="0.3">
      <c r="A48" s="39">
        <v>100101</v>
      </c>
      <c r="B48" s="38" t="s">
        <v>203</v>
      </c>
      <c r="C48" s="40" t="s">
        <v>376</v>
      </c>
      <c r="D48" s="38">
        <v>0</v>
      </c>
      <c r="E48" s="38">
        <v>1</v>
      </c>
      <c r="F48" t="s">
        <v>257</v>
      </c>
      <c r="H48" s="39"/>
      <c r="I48" s="38"/>
      <c r="J48" s="40"/>
    </row>
    <row r="49" spans="1:10" x14ac:dyDescent="0.3">
      <c r="A49" s="39">
        <v>100102</v>
      </c>
      <c r="B49" s="38" t="s">
        <v>203</v>
      </c>
      <c r="C49" s="40" t="s">
        <v>377</v>
      </c>
      <c r="D49" s="38">
        <v>0</v>
      </c>
      <c r="E49" s="38">
        <v>1</v>
      </c>
      <c r="F49" t="s">
        <v>263</v>
      </c>
      <c r="H49" s="39"/>
      <c r="I49" s="38"/>
      <c r="J49" s="40"/>
    </row>
    <row r="50" spans="1:10" x14ac:dyDescent="0.3">
      <c r="A50" s="39">
        <v>100103</v>
      </c>
      <c r="B50" s="38" t="s">
        <v>203</v>
      </c>
      <c r="C50" s="40" t="s">
        <v>378</v>
      </c>
      <c r="D50" s="38">
        <v>0</v>
      </c>
      <c r="E50" s="38">
        <v>1</v>
      </c>
      <c r="F50" t="s">
        <v>379</v>
      </c>
      <c r="H50" s="39"/>
      <c r="I50" s="38"/>
      <c r="J50" s="40"/>
    </row>
    <row r="51" spans="1:10" x14ac:dyDescent="0.3">
      <c r="A51" s="39">
        <v>100111</v>
      </c>
      <c r="B51" s="38" t="s">
        <v>116</v>
      </c>
      <c r="C51" s="40" t="s">
        <v>377</v>
      </c>
      <c r="D51" s="38">
        <v>0</v>
      </c>
      <c r="E51" s="38">
        <v>1</v>
      </c>
      <c r="F51" t="s">
        <v>263</v>
      </c>
      <c r="H51" s="39"/>
      <c r="I51" s="38"/>
      <c r="J51" s="40"/>
    </row>
    <row r="52" spans="1:10" x14ac:dyDescent="0.3">
      <c r="A52" s="39">
        <v>100121</v>
      </c>
      <c r="B52" s="38" t="s">
        <v>67</v>
      </c>
      <c r="C52" s="40" t="s">
        <v>376</v>
      </c>
      <c r="D52" s="38">
        <v>0</v>
      </c>
      <c r="E52" s="38">
        <v>1</v>
      </c>
      <c r="F52" t="s">
        <v>257</v>
      </c>
      <c r="H52" s="39"/>
      <c r="I52" s="38"/>
      <c r="J52" s="40"/>
    </row>
    <row r="53" spans="1:10" x14ac:dyDescent="0.3">
      <c r="A53" s="39">
        <v>100122</v>
      </c>
      <c r="B53" s="38" t="s">
        <v>67</v>
      </c>
      <c r="C53" s="40" t="s">
        <v>377</v>
      </c>
      <c r="D53" s="38">
        <v>0</v>
      </c>
      <c r="E53" s="38">
        <v>1</v>
      </c>
      <c r="F53" t="s">
        <v>263</v>
      </c>
      <c r="H53" s="39"/>
      <c r="I53" s="38"/>
      <c r="J53" s="40"/>
    </row>
    <row r="54" spans="1:10" x14ac:dyDescent="0.3">
      <c r="A54" s="39">
        <v>100123</v>
      </c>
      <c r="B54" s="38" t="s">
        <v>67</v>
      </c>
      <c r="C54" s="40" t="s">
        <v>378</v>
      </c>
      <c r="D54" s="38">
        <v>0</v>
      </c>
      <c r="E54" s="38">
        <v>1</v>
      </c>
      <c r="F54" t="s">
        <v>379</v>
      </c>
      <c r="H54" s="39"/>
      <c r="I54" s="38"/>
      <c r="J54" s="40"/>
    </row>
    <row r="55" spans="1:10" x14ac:dyDescent="0.3">
      <c r="A55" s="39">
        <v>100131</v>
      </c>
      <c r="B55" s="38" t="s">
        <v>205</v>
      </c>
      <c r="C55" s="40" t="s">
        <v>376</v>
      </c>
      <c r="D55" s="38">
        <v>0</v>
      </c>
      <c r="E55" s="38">
        <v>1</v>
      </c>
      <c r="F55" t="s">
        <v>257</v>
      </c>
      <c r="H55" s="39"/>
      <c r="I55" s="38"/>
      <c r="J55" s="40"/>
    </row>
    <row r="56" spans="1:10" x14ac:dyDescent="0.3">
      <c r="A56" s="39">
        <v>100132</v>
      </c>
      <c r="B56" s="38" t="s">
        <v>205</v>
      </c>
      <c r="C56" s="40" t="s">
        <v>377</v>
      </c>
      <c r="D56" s="38">
        <v>0</v>
      </c>
      <c r="E56" s="38">
        <v>1</v>
      </c>
      <c r="F56" t="s">
        <v>263</v>
      </c>
      <c r="H56" s="39"/>
      <c r="I56" s="38"/>
      <c r="J56" s="40"/>
    </row>
    <row r="57" spans="1:10" x14ac:dyDescent="0.3">
      <c r="A57" s="39">
        <v>100133</v>
      </c>
      <c r="B57" s="38" t="s">
        <v>205</v>
      </c>
      <c r="C57" s="40" t="s">
        <v>378</v>
      </c>
      <c r="D57" s="38">
        <v>0</v>
      </c>
      <c r="E57" s="38">
        <v>1</v>
      </c>
      <c r="F57" t="s">
        <v>379</v>
      </c>
      <c r="H57" s="39"/>
      <c r="I57" s="38"/>
      <c r="J57" s="40"/>
    </row>
    <row r="58" spans="1:10" x14ac:dyDescent="0.3">
      <c r="A58" s="39">
        <v>100141</v>
      </c>
      <c r="B58" s="38" t="s">
        <v>206</v>
      </c>
      <c r="C58" s="40" t="s">
        <v>376</v>
      </c>
      <c r="D58" s="38">
        <v>0</v>
      </c>
      <c r="E58" s="38">
        <v>1</v>
      </c>
      <c r="F58" t="s">
        <v>257</v>
      </c>
      <c r="H58" s="39"/>
      <c r="I58" s="38"/>
      <c r="J58" s="40"/>
    </row>
    <row r="59" spans="1:10" x14ac:dyDescent="0.3">
      <c r="A59" s="39">
        <v>100142</v>
      </c>
      <c r="B59" s="38" t="s">
        <v>206</v>
      </c>
      <c r="C59" s="40" t="s">
        <v>377</v>
      </c>
      <c r="D59" s="38">
        <v>0</v>
      </c>
      <c r="E59" s="38">
        <v>1</v>
      </c>
      <c r="F59" t="s">
        <v>263</v>
      </c>
      <c r="H59" s="39"/>
      <c r="I59" s="38"/>
      <c r="J59" s="40"/>
    </row>
    <row r="60" spans="1:10" x14ac:dyDescent="0.3">
      <c r="A60" s="39">
        <v>100143</v>
      </c>
      <c r="B60" s="38" t="s">
        <v>206</v>
      </c>
      <c r="C60" s="40" t="s">
        <v>378</v>
      </c>
      <c r="D60" s="38">
        <v>0</v>
      </c>
      <c r="E60" s="38">
        <v>1</v>
      </c>
      <c r="F60" t="s">
        <v>379</v>
      </c>
      <c r="H60" s="39"/>
      <c r="I60" s="38"/>
      <c r="J60" s="40"/>
    </row>
    <row r="61" spans="1:10" x14ac:dyDescent="0.3">
      <c r="A61" s="39">
        <v>100151</v>
      </c>
      <c r="B61" s="38" t="s">
        <v>87</v>
      </c>
      <c r="C61" s="40" t="s">
        <v>371</v>
      </c>
      <c r="D61" s="38">
        <v>0</v>
      </c>
      <c r="E61" s="38">
        <v>3</v>
      </c>
      <c r="F61" t="s">
        <v>372</v>
      </c>
      <c r="H61" s="39"/>
      <c r="I61" s="38"/>
      <c r="J61" s="40"/>
    </row>
    <row r="62" spans="1:10" x14ac:dyDescent="0.3">
      <c r="A62" s="39">
        <v>100152</v>
      </c>
      <c r="B62" s="38" t="s">
        <v>87</v>
      </c>
      <c r="C62" s="40" t="s">
        <v>373</v>
      </c>
      <c r="D62" s="38">
        <v>0</v>
      </c>
      <c r="E62" s="38">
        <v>3</v>
      </c>
      <c r="F62" t="s">
        <v>374</v>
      </c>
      <c r="H62" s="39"/>
      <c r="I62" s="38"/>
      <c r="J62" s="40"/>
    </row>
    <row r="63" spans="1:10" x14ac:dyDescent="0.3">
      <c r="A63" s="39">
        <v>100153</v>
      </c>
      <c r="B63" s="38" t="s">
        <v>87</v>
      </c>
      <c r="C63" s="40" t="s">
        <v>375</v>
      </c>
      <c r="D63" s="38">
        <v>0</v>
      </c>
      <c r="E63" s="38">
        <v>3</v>
      </c>
      <c r="F63" t="s">
        <v>254</v>
      </c>
      <c r="H63" s="39"/>
      <c r="I63" s="38"/>
      <c r="J63" s="40"/>
    </row>
    <row r="64" spans="1:10" x14ac:dyDescent="0.3">
      <c r="A64" s="39">
        <v>100161</v>
      </c>
      <c r="B64" s="38" t="s">
        <v>380</v>
      </c>
      <c r="C64" s="40" t="s">
        <v>381</v>
      </c>
      <c r="D64" s="38">
        <v>0</v>
      </c>
      <c r="E64" s="38">
        <v>3</v>
      </c>
      <c r="F64" t="s">
        <v>254</v>
      </c>
      <c r="H64" s="39"/>
      <c r="I64" s="38"/>
      <c r="J64" s="40"/>
    </row>
    <row r="65" spans="1:10" x14ac:dyDescent="0.3">
      <c r="A65" s="39">
        <v>100162</v>
      </c>
      <c r="B65" s="38" t="s">
        <v>380</v>
      </c>
      <c r="C65" s="40" t="s">
        <v>382</v>
      </c>
      <c r="D65" s="38">
        <v>0</v>
      </c>
      <c r="E65" s="38">
        <v>1</v>
      </c>
      <c r="F65" t="s">
        <v>257</v>
      </c>
      <c r="H65" s="39"/>
      <c r="I65" s="38"/>
      <c r="J65" s="40"/>
    </row>
    <row r="66" spans="1:10" x14ac:dyDescent="0.3">
      <c r="A66" s="39">
        <v>100171</v>
      </c>
      <c r="B66" s="38" t="s">
        <v>85</v>
      </c>
      <c r="C66" s="40" t="s">
        <v>373</v>
      </c>
      <c r="D66" s="38">
        <v>0</v>
      </c>
      <c r="E66" s="38">
        <v>3</v>
      </c>
      <c r="F66" t="s">
        <v>374</v>
      </c>
      <c r="H66" s="39"/>
      <c r="I66" s="38"/>
      <c r="J66" s="40"/>
    </row>
    <row r="67" spans="1:10" x14ac:dyDescent="0.3">
      <c r="A67" s="39">
        <v>100172</v>
      </c>
      <c r="B67" s="38" t="s">
        <v>85</v>
      </c>
      <c r="C67" s="40" t="s">
        <v>375</v>
      </c>
      <c r="D67" s="38">
        <v>0</v>
      </c>
      <c r="E67" s="38">
        <v>3</v>
      </c>
      <c r="F67" t="s">
        <v>254</v>
      </c>
      <c r="H67" s="39"/>
      <c r="I67" s="38"/>
      <c r="J67" s="40"/>
    </row>
    <row r="68" spans="1:10" x14ac:dyDescent="0.3">
      <c r="A68" s="39">
        <v>100173</v>
      </c>
      <c r="B68" s="38" t="s">
        <v>85</v>
      </c>
      <c r="C68" s="40" t="s">
        <v>376</v>
      </c>
      <c r="D68" s="38">
        <v>0</v>
      </c>
      <c r="E68" s="38">
        <v>1</v>
      </c>
      <c r="F68" t="s">
        <v>257</v>
      </c>
      <c r="H68" s="39"/>
      <c r="I68" s="38"/>
      <c r="J68" s="40"/>
    </row>
    <row r="69" spans="1:10" x14ac:dyDescent="0.3">
      <c r="A69" s="39">
        <v>100174</v>
      </c>
      <c r="B69" s="38" t="s">
        <v>85</v>
      </c>
      <c r="C69" s="40" t="s">
        <v>377</v>
      </c>
      <c r="D69" s="38">
        <v>0</v>
      </c>
      <c r="E69" s="38">
        <v>1</v>
      </c>
      <c r="F69" t="s">
        <v>263</v>
      </c>
      <c r="H69" s="39"/>
      <c r="I69" s="38"/>
      <c r="J69" s="40"/>
    </row>
    <row r="70" spans="1:10" x14ac:dyDescent="0.3">
      <c r="A70" s="39">
        <v>100175</v>
      </c>
      <c r="B70" s="38" t="s">
        <v>85</v>
      </c>
      <c r="C70" s="40" t="s">
        <v>378</v>
      </c>
      <c r="D70" s="38">
        <v>0</v>
      </c>
      <c r="E70" s="38">
        <v>1</v>
      </c>
      <c r="F70" t="s">
        <v>379</v>
      </c>
      <c r="H70" s="39"/>
      <c r="I70" s="38"/>
      <c r="J70" s="40"/>
    </row>
    <row r="71" spans="1:10" x14ac:dyDescent="0.3">
      <c r="A71" s="39">
        <v>100181</v>
      </c>
      <c r="B71" s="38" t="s">
        <v>68</v>
      </c>
      <c r="C71" s="40" t="s">
        <v>377</v>
      </c>
      <c r="D71" s="38">
        <v>0</v>
      </c>
      <c r="E71" s="38">
        <v>1</v>
      </c>
      <c r="F71" t="s">
        <v>263</v>
      </c>
      <c r="H71" s="39"/>
      <c r="I71" s="38"/>
      <c r="J71" s="40"/>
    </row>
    <row r="72" spans="1:10" x14ac:dyDescent="0.3">
      <c r="A72" s="39">
        <v>100191</v>
      </c>
      <c r="B72" s="38" t="s">
        <v>383</v>
      </c>
      <c r="C72" s="40" t="s">
        <v>373</v>
      </c>
      <c r="D72" s="38">
        <v>0</v>
      </c>
      <c r="E72" s="38">
        <v>3</v>
      </c>
      <c r="F72" t="s">
        <v>374</v>
      </c>
      <c r="H72" s="39"/>
      <c r="I72" s="38"/>
      <c r="J72" s="40"/>
    </row>
    <row r="73" spans="1:10" x14ac:dyDescent="0.3">
      <c r="A73" s="39">
        <v>100192</v>
      </c>
      <c r="B73" s="38" t="s">
        <v>383</v>
      </c>
      <c r="C73" s="40" t="s">
        <v>375</v>
      </c>
      <c r="D73" s="38">
        <v>0</v>
      </c>
      <c r="E73" s="38">
        <v>3</v>
      </c>
      <c r="F73" t="s">
        <v>254</v>
      </c>
      <c r="H73" s="39"/>
      <c r="I73" s="38"/>
      <c r="J73" s="40"/>
    </row>
    <row r="74" spans="1:10" x14ac:dyDescent="0.3">
      <c r="A74" s="39">
        <v>100193</v>
      </c>
      <c r="B74" s="38" t="s">
        <v>383</v>
      </c>
      <c r="C74" s="40" t="s">
        <v>376</v>
      </c>
      <c r="D74" s="38">
        <v>0</v>
      </c>
      <c r="E74" s="38">
        <v>1</v>
      </c>
      <c r="F74" t="s">
        <v>257</v>
      </c>
      <c r="H74" s="39"/>
      <c r="I74" s="38"/>
      <c r="J74" s="40"/>
    </row>
    <row r="75" spans="1:10" x14ac:dyDescent="0.3">
      <c r="A75" s="39">
        <v>100194</v>
      </c>
      <c r="B75" s="38" t="s">
        <v>383</v>
      </c>
      <c r="C75" s="40" t="s">
        <v>377</v>
      </c>
      <c r="D75" s="38">
        <v>0</v>
      </c>
      <c r="E75" s="38">
        <v>1</v>
      </c>
      <c r="F75" t="s">
        <v>263</v>
      </c>
      <c r="H75" s="39"/>
      <c r="I75" s="38"/>
      <c r="J75" s="40"/>
    </row>
    <row r="76" spans="1:10" x14ac:dyDescent="0.3">
      <c r="A76" s="39">
        <v>100195</v>
      </c>
      <c r="B76" s="38" t="s">
        <v>383</v>
      </c>
      <c r="C76" s="40" t="s">
        <v>378</v>
      </c>
      <c r="D76" s="38">
        <v>0</v>
      </c>
      <c r="E76" s="38">
        <v>1</v>
      </c>
      <c r="F76" t="s">
        <v>379</v>
      </c>
      <c r="H76" s="39"/>
      <c r="I76" s="38"/>
      <c r="J76" s="40"/>
    </row>
    <row r="77" spans="1:10" x14ac:dyDescent="0.3">
      <c r="A77" s="39">
        <v>100201</v>
      </c>
      <c r="B77" s="38" t="s">
        <v>80</v>
      </c>
      <c r="C77" s="40" t="s">
        <v>376</v>
      </c>
      <c r="D77" s="38">
        <v>0</v>
      </c>
      <c r="E77" s="38">
        <v>1</v>
      </c>
      <c r="F77" t="s">
        <v>257</v>
      </c>
      <c r="H77" s="39"/>
      <c r="I77" s="38"/>
      <c r="J77" s="40"/>
    </row>
    <row r="78" spans="1:10" x14ac:dyDescent="0.3">
      <c r="A78" s="39">
        <v>100202</v>
      </c>
      <c r="B78" s="38" t="s">
        <v>80</v>
      </c>
      <c r="C78" s="40" t="s">
        <v>377</v>
      </c>
      <c r="D78" s="38">
        <v>0</v>
      </c>
      <c r="E78" s="38">
        <v>1</v>
      </c>
      <c r="F78" t="s">
        <v>263</v>
      </c>
      <c r="H78" s="39"/>
      <c r="I78" s="38"/>
      <c r="J78" s="40"/>
    </row>
    <row r="79" spans="1:10" x14ac:dyDescent="0.3">
      <c r="A79" s="39">
        <v>100203</v>
      </c>
      <c r="B79" s="38" t="s">
        <v>80</v>
      </c>
      <c r="C79" s="40" t="s">
        <v>378</v>
      </c>
      <c r="D79" s="38">
        <v>0</v>
      </c>
      <c r="E79" s="38">
        <v>1</v>
      </c>
      <c r="F79" t="s">
        <v>379</v>
      </c>
      <c r="H79" s="39"/>
      <c r="I79" s="38"/>
      <c r="J79" s="40"/>
    </row>
    <row r="80" spans="1:10" x14ac:dyDescent="0.3">
      <c r="A80" s="39">
        <v>100253</v>
      </c>
      <c r="B80" s="38" t="s">
        <v>384</v>
      </c>
      <c r="C80" s="40" t="s">
        <v>376</v>
      </c>
      <c r="D80" s="38">
        <v>0</v>
      </c>
      <c r="E80" s="38">
        <v>0</v>
      </c>
      <c r="F80" t="s">
        <v>257</v>
      </c>
      <c r="H80" s="39"/>
      <c r="I80" s="38"/>
      <c r="J80" s="40"/>
    </row>
    <row r="81" spans="1:10" x14ac:dyDescent="0.3">
      <c r="A81" s="39">
        <v>100254</v>
      </c>
      <c r="B81" s="38" t="s">
        <v>384</v>
      </c>
      <c r="C81" s="40" t="s">
        <v>377</v>
      </c>
      <c r="D81" s="38">
        <v>0</v>
      </c>
      <c r="E81" s="38">
        <v>0</v>
      </c>
      <c r="F81" t="s">
        <v>263</v>
      </c>
      <c r="H81" s="39"/>
      <c r="I81" s="38"/>
      <c r="J81" s="40"/>
    </row>
    <row r="82" spans="1:10" x14ac:dyDescent="0.3">
      <c r="A82" s="39">
        <v>100256</v>
      </c>
      <c r="B82" s="38" t="s">
        <v>384</v>
      </c>
      <c r="C82" s="40" t="s">
        <v>378</v>
      </c>
      <c r="D82" s="38">
        <v>0</v>
      </c>
      <c r="E82" s="38">
        <v>0</v>
      </c>
      <c r="F82" t="s">
        <v>379</v>
      </c>
      <c r="H82" s="39"/>
      <c r="I82" s="38"/>
      <c r="J82" s="40"/>
    </row>
    <row r="83" spans="1:10" x14ac:dyDescent="0.3">
      <c r="A83" s="39">
        <v>100811</v>
      </c>
      <c r="B83" s="38" t="s">
        <v>385</v>
      </c>
      <c r="C83" s="40" t="s">
        <v>376</v>
      </c>
      <c r="D83" s="38"/>
      <c r="E83" s="38"/>
      <c r="F83"/>
      <c r="H83" s="39"/>
      <c r="I83" s="38"/>
      <c r="J83" s="40"/>
    </row>
    <row r="84" spans="1:10" x14ac:dyDescent="0.3">
      <c r="A84" s="39">
        <v>100812</v>
      </c>
      <c r="B84" s="38" t="s">
        <v>385</v>
      </c>
      <c r="C84" s="40" t="s">
        <v>377</v>
      </c>
      <c r="D84" s="38"/>
      <c r="E84" s="38"/>
      <c r="F84"/>
      <c r="H84" s="39"/>
      <c r="I84" s="38"/>
      <c r="J84" s="40"/>
    </row>
    <row r="85" spans="1:10" x14ac:dyDescent="0.3">
      <c r="A85" s="39">
        <v>100813</v>
      </c>
      <c r="B85" s="38" t="s">
        <v>385</v>
      </c>
      <c r="C85" s="40" t="s">
        <v>378</v>
      </c>
      <c r="D85" s="38"/>
      <c r="E85" s="38"/>
      <c r="F85"/>
      <c r="H85" s="39"/>
      <c r="I85" s="38"/>
      <c r="J85" s="40"/>
    </row>
    <row r="86" spans="1:10" x14ac:dyDescent="0.3">
      <c r="A86" s="39">
        <v>100814</v>
      </c>
      <c r="B86" s="38" t="s">
        <v>385</v>
      </c>
      <c r="C86" s="40" t="s">
        <v>375</v>
      </c>
      <c r="D86" s="38"/>
      <c r="E86" s="38"/>
      <c r="F86" s="39"/>
      <c r="H86" s="39"/>
      <c r="I86" s="38"/>
      <c r="J86" s="40"/>
    </row>
    <row r="87" spans="1:10" x14ac:dyDescent="0.3">
      <c r="A87" s="39">
        <v>100824</v>
      </c>
      <c r="B87" s="38" t="s">
        <v>386</v>
      </c>
      <c r="C87" s="40" t="s">
        <v>378</v>
      </c>
      <c r="D87" s="38"/>
      <c r="E87" s="38"/>
      <c r="F87" s="39"/>
      <c r="H87" s="39"/>
      <c r="I87" s="38"/>
      <c r="J87" s="40"/>
    </row>
    <row r="88" spans="1:10" x14ac:dyDescent="0.3">
      <c r="A88" s="41">
        <v>100831</v>
      </c>
      <c r="B88" s="2" t="s">
        <v>387</v>
      </c>
      <c r="C88" s="40" t="s">
        <v>375</v>
      </c>
      <c r="D88" s="38"/>
      <c r="E88" s="38"/>
      <c r="F88"/>
      <c r="H88" s="39"/>
      <c r="I88" s="38"/>
      <c r="J88" s="40"/>
    </row>
    <row r="89" spans="1:10" x14ac:dyDescent="0.3">
      <c r="A89" s="41">
        <v>100832</v>
      </c>
      <c r="B89" s="2" t="s">
        <v>387</v>
      </c>
      <c r="C89" s="40" t="s">
        <v>376</v>
      </c>
      <c r="D89" s="38"/>
      <c r="E89" s="38"/>
      <c r="F89"/>
      <c r="H89" s="39"/>
      <c r="I89" s="38"/>
      <c r="J89" s="40"/>
    </row>
    <row r="90" spans="1:10" x14ac:dyDescent="0.3">
      <c r="A90" s="41">
        <v>100833</v>
      </c>
      <c r="B90" s="2" t="s">
        <v>387</v>
      </c>
      <c r="C90" s="40" t="s">
        <v>377</v>
      </c>
      <c r="D90" s="38"/>
      <c r="E90" s="38"/>
      <c r="F90"/>
      <c r="H90" s="39"/>
      <c r="I90" s="38"/>
      <c r="J90" s="40"/>
    </row>
    <row r="91" spans="1:10" x14ac:dyDescent="0.3">
      <c r="A91" s="41">
        <v>100834</v>
      </c>
      <c r="B91" s="2" t="s">
        <v>387</v>
      </c>
      <c r="C91" s="40" t="s">
        <v>378</v>
      </c>
      <c r="D91" s="38"/>
      <c r="E91" s="38"/>
      <c r="F91"/>
      <c r="H91" s="39"/>
      <c r="I91" s="38"/>
      <c r="J91" s="40"/>
    </row>
    <row r="92" spans="1:10" x14ac:dyDescent="0.3">
      <c r="A92" s="41">
        <v>100841</v>
      </c>
      <c r="B92" s="2" t="s">
        <v>388</v>
      </c>
      <c r="C92" s="40" t="s">
        <v>375</v>
      </c>
      <c r="D92" s="38"/>
      <c r="E92" s="38"/>
      <c r="F92"/>
      <c r="H92" s="39"/>
      <c r="I92" s="38"/>
      <c r="J92" s="40"/>
    </row>
    <row r="93" spans="1:10" x14ac:dyDescent="0.3">
      <c r="A93" s="41">
        <v>100842</v>
      </c>
      <c r="B93" s="2" t="s">
        <v>388</v>
      </c>
      <c r="C93" s="40" t="s">
        <v>376</v>
      </c>
      <c r="D93" s="38"/>
      <c r="E93" s="38"/>
      <c r="F93"/>
      <c r="H93" s="39"/>
      <c r="I93" s="38"/>
      <c r="J93" s="40"/>
    </row>
    <row r="94" spans="1:10" x14ac:dyDescent="0.3">
      <c r="A94" s="41">
        <v>100843</v>
      </c>
      <c r="B94" s="2" t="s">
        <v>388</v>
      </c>
      <c r="C94" s="40" t="s">
        <v>377</v>
      </c>
      <c r="D94" s="38"/>
      <c r="E94" s="38"/>
      <c r="F94"/>
      <c r="H94" s="39"/>
      <c r="I94" s="38"/>
      <c r="J94" s="40"/>
    </row>
    <row r="95" spans="1:10" x14ac:dyDescent="0.3">
      <c r="A95" s="41">
        <v>100844</v>
      </c>
      <c r="B95" s="2" t="s">
        <v>388</v>
      </c>
      <c r="C95" s="40" t="s">
        <v>378</v>
      </c>
      <c r="D95" s="38"/>
      <c r="E95" s="38"/>
      <c r="F95"/>
      <c r="H95" s="39"/>
      <c r="I95" s="38"/>
      <c r="J95" s="40"/>
    </row>
    <row r="96" spans="1:10" x14ac:dyDescent="0.3">
      <c r="A96" s="41">
        <v>100853</v>
      </c>
      <c r="B96" s="2" t="s">
        <v>389</v>
      </c>
      <c r="C96" s="40" t="s">
        <v>377</v>
      </c>
      <c r="D96" s="38"/>
      <c r="E96" s="38"/>
      <c r="F96"/>
      <c r="H96" s="39"/>
      <c r="I96" s="38"/>
      <c r="J96" s="40"/>
    </row>
    <row r="97" spans="1:10" x14ac:dyDescent="0.3">
      <c r="A97" s="41">
        <v>100854</v>
      </c>
      <c r="B97" s="2" t="s">
        <v>389</v>
      </c>
      <c r="C97" s="40" t="s">
        <v>378</v>
      </c>
      <c r="D97" s="38"/>
      <c r="E97" s="38"/>
      <c r="F97"/>
      <c r="H97" s="39"/>
      <c r="I97" s="38"/>
      <c r="J97" s="40"/>
    </row>
    <row r="98" spans="1:10" x14ac:dyDescent="0.3">
      <c r="A98" s="39">
        <v>200001</v>
      </c>
      <c r="B98" s="38" t="s">
        <v>390</v>
      </c>
      <c r="C98" s="40" t="s">
        <v>92</v>
      </c>
      <c r="D98" s="38">
        <v>0</v>
      </c>
      <c r="E98" s="38"/>
      <c r="F98"/>
      <c r="H98" s="39"/>
      <c r="I98" s="38"/>
      <c r="J98" s="40"/>
    </row>
    <row r="99" spans="1:10" x14ac:dyDescent="0.3">
      <c r="A99" s="39">
        <v>200002</v>
      </c>
      <c r="B99" s="38" t="s">
        <v>256</v>
      </c>
      <c r="C99" s="40" t="s">
        <v>92</v>
      </c>
      <c r="D99" s="38">
        <v>0</v>
      </c>
      <c r="E99" s="38"/>
      <c r="F99"/>
      <c r="H99" s="39"/>
      <c r="I99" s="38"/>
      <c r="J99" s="40"/>
    </row>
    <row r="100" spans="1:10" x14ac:dyDescent="0.3">
      <c r="A100" s="39">
        <v>200003</v>
      </c>
      <c r="B100" s="27" t="s">
        <v>88</v>
      </c>
      <c r="C100" s="40" t="s">
        <v>90</v>
      </c>
      <c r="D100" s="38">
        <v>0</v>
      </c>
      <c r="F100"/>
      <c r="H100" s="39"/>
      <c r="I100" s="38"/>
      <c r="J100" s="40"/>
    </row>
    <row r="101" spans="1:10" x14ac:dyDescent="0.3">
      <c r="A101" s="39">
        <v>200004</v>
      </c>
      <c r="B101" s="38" t="s">
        <v>91</v>
      </c>
      <c r="C101" s="40" t="s">
        <v>92</v>
      </c>
      <c r="D101" s="38">
        <v>0</v>
      </c>
      <c r="F101"/>
      <c r="H101" s="39"/>
      <c r="I101" s="38"/>
      <c r="J101" s="40"/>
    </row>
    <row r="102" spans="1:10" x14ac:dyDescent="0.3">
      <c r="A102" s="39">
        <v>200005</v>
      </c>
      <c r="B102" s="38" t="s">
        <v>93</v>
      </c>
      <c r="C102" s="40" t="s">
        <v>90</v>
      </c>
      <c r="D102" s="38">
        <v>0</v>
      </c>
      <c r="E102" s="38"/>
      <c r="F102"/>
      <c r="H102" s="39"/>
      <c r="I102" s="38"/>
      <c r="J102" s="40"/>
    </row>
    <row r="103" spans="1:10" x14ac:dyDescent="0.3">
      <c r="A103" s="39">
        <v>200006</v>
      </c>
      <c r="B103" s="38" t="s">
        <v>167</v>
      </c>
      <c r="C103" s="40" t="s">
        <v>92</v>
      </c>
      <c r="D103" s="38">
        <v>0</v>
      </c>
      <c r="E103" s="38"/>
      <c r="F103"/>
      <c r="H103" s="39"/>
      <c r="I103" s="38"/>
      <c r="J103" s="40"/>
    </row>
    <row r="104" spans="1:10" x14ac:dyDescent="0.3">
      <c r="A104" s="39">
        <v>200007</v>
      </c>
      <c r="B104" s="38" t="s">
        <v>168</v>
      </c>
      <c r="C104" s="40" t="s">
        <v>90</v>
      </c>
      <c r="D104" s="38">
        <v>0</v>
      </c>
      <c r="E104" s="38"/>
      <c r="F104"/>
      <c r="H104" s="39"/>
      <c r="I104" s="38"/>
      <c r="J104" s="40"/>
    </row>
    <row r="105" spans="1:10" x14ac:dyDescent="0.3">
      <c r="A105" s="39">
        <v>200008</v>
      </c>
      <c r="B105" s="38" t="s">
        <v>391</v>
      </c>
      <c r="C105" s="40" t="s">
        <v>377</v>
      </c>
      <c r="D105" s="38">
        <v>0</v>
      </c>
      <c r="E105" s="38"/>
      <c r="F105"/>
      <c r="H105" s="39"/>
      <c r="I105" s="38"/>
      <c r="J105" s="40"/>
    </row>
    <row r="106" spans="1:10" x14ac:dyDescent="0.3">
      <c r="A106" s="39">
        <v>200009</v>
      </c>
      <c r="B106" s="38" t="s">
        <v>392</v>
      </c>
      <c r="C106" s="40" t="s">
        <v>377</v>
      </c>
      <c r="D106" s="38">
        <v>0</v>
      </c>
      <c r="E106" s="38"/>
      <c r="F106"/>
      <c r="H106" s="39"/>
      <c r="I106" s="38"/>
      <c r="J106" s="40"/>
    </row>
    <row r="107" spans="1:10" x14ac:dyDescent="0.3">
      <c r="A107" s="39">
        <v>200010</v>
      </c>
      <c r="B107" s="38" t="s">
        <v>262</v>
      </c>
      <c r="C107" s="40" t="s">
        <v>393</v>
      </c>
      <c r="D107" s="38">
        <v>0</v>
      </c>
      <c r="E107" s="38"/>
      <c r="F107"/>
      <c r="H107" s="39"/>
      <c r="I107" s="38"/>
      <c r="J107" s="40"/>
    </row>
    <row r="108" spans="1:10" x14ac:dyDescent="0.3">
      <c r="A108" s="39">
        <v>300001</v>
      </c>
      <c r="B108" s="38" t="s">
        <v>268</v>
      </c>
      <c r="C108" s="40" t="s">
        <v>97</v>
      </c>
      <c r="D108" s="38">
        <v>0</v>
      </c>
      <c r="E108" s="38"/>
      <c r="F108"/>
      <c r="H108" s="39"/>
      <c r="I108" s="38"/>
      <c r="J108" s="40"/>
    </row>
    <row r="109" spans="1:10" x14ac:dyDescent="0.3">
      <c r="A109" s="39">
        <v>300002</v>
      </c>
      <c r="B109" s="38" t="s">
        <v>269</v>
      </c>
      <c r="C109" s="40" t="s">
        <v>97</v>
      </c>
      <c r="D109" s="38">
        <v>0</v>
      </c>
      <c r="E109" s="38"/>
      <c r="F109"/>
      <c r="H109" s="39"/>
      <c r="I109" s="38"/>
      <c r="J109" s="40"/>
    </row>
    <row r="110" spans="1:10" x14ac:dyDescent="0.3">
      <c r="A110" s="39">
        <v>300003</v>
      </c>
      <c r="B110" s="38" t="s">
        <v>95</v>
      </c>
      <c r="C110" s="40" t="s">
        <v>97</v>
      </c>
      <c r="D110" s="38">
        <v>0</v>
      </c>
      <c r="E110" s="38"/>
      <c r="F110"/>
      <c r="H110" s="39"/>
      <c r="I110" s="38"/>
      <c r="J110" s="40"/>
    </row>
    <row r="111" spans="1:10" x14ac:dyDescent="0.3">
      <c r="A111" s="39">
        <v>300004</v>
      </c>
      <c r="B111" s="38" t="s">
        <v>98</v>
      </c>
      <c r="C111" s="40" t="s">
        <v>97</v>
      </c>
      <c r="D111" s="38">
        <v>0</v>
      </c>
      <c r="E111" s="38"/>
      <c r="F111"/>
      <c r="H111" s="39"/>
      <c r="I111" s="38"/>
      <c r="J111" s="40"/>
    </row>
    <row r="112" spans="1:10" x14ac:dyDescent="0.3">
      <c r="A112" s="39">
        <v>300005</v>
      </c>
      <c r="B112" s="38" t="s">
        <v>100</v>
      </c>
      <c r="C112" s="40" t="s">
        <v>97</v>
      </c>
      <c r="D112" s="38">
        <v>0</v>
      </c>
      <c r="E112" s="38"/>
      <c r="F112"/>
      <c r="H112" s="39"/>
      <c r="I112" s="38"/>
      <c r="J112" s="40"/>
    </row>
    <row r="113" spans="1:10" x14ac:dyDescent="0.3">
      <c r="A113" s="39">
        <v>300006</v>
      </c>
      <c r="B113" s="38" t="s">
        <v>102</v>
      </c>
      <c r="C113" s="40" t="s">
        <v>104</v>
      </c>
      <c r="D113" s="38">
        <v>0</v>
      </c>
      <c r="E113" s="38"/>
      <c r="F113"/>
      <c r="H113" s="39"/>
      <c r="I113" s="38"/>
      <c r="J113" s="40"/>
    </row>
    <row r="114" spans="1:10" x14ac:dyDescent="0.3">
      <c r="A114" s="39">
        <v>300007</v>
      </c>
      <c r="B114" s="38" t="s">
        <v>105</v>
      </c>
      <c r="C114" s="40" t="s">
        <v>107</v>
      </c>
      <c r="D114" s="38">
        <v>0</v>
      </c>
      <c r="E114" s="38"/>
      <c r="F114"/>
      <c r="H114" s="39"/>
      <c r="I114" s="38"/>
      <c r="J114" s="40"/>
    </row>
    <row r="115" spans="1:10" x14ac:dyDescent="0.3">
      <c r="A115" s="39">
        <v>300008</v>
      </c>
      <c r="B115" s="38" t="s">
        <v>108</v>
      </c>
      <c r="C115" s="40" t="s">
        <v>104</v>
      </c>
      <c r="D115" s="38">
        <v>0</v>
      </c>
      <c r="E115" s="38"/>
      <c r="F115"/>
      <c r="H115" s="39"/>
      <c r="I115" s="38"/>
      <c r="J115" s="40"/>
    </row>
    <row r="116" spans="1:10" x14ac:dyDescent="0.3">
      <c r="A116" s="39">
        <v>300009</v>
      </c>
      <c r="B116" s="38" t="s">
        <v>110</v>
      </c>
      <c r="C116" s="40" t="s">
        <v>107</v>
      </c>
      <c r="D116" s="38">
        <v>0</v>
      </c>
      <c r="F116"/>
      <c r="H116" s="39"/>
      <c r="I116" s="38"/>
      <c r="J116" s="40"/>
    </row>
    <row r="117" spans="1:10" x14ac:dyDescent="0.3">
      <c r="A117" s="39">
        <v>300010</v>
      </c>
      <c r="B117" s="38" t="s">
        <v>112</v>
      </c>
      <c r="C117" s="40" t="s">
        <v>107</v>
      </c>
      <c r="D117" s="38">
        <v>0</v>
      </c>
      <c r="F117"/>
      <c r="H117" s="39"/>
      <c r="I117" s="38"/>
      <c r="J117" s="40"/>
    </row>
    <row r="118" spans="1:10" x14ac:dyDescent="0.3">
      <c r="A118" s="39">
        <v>300011</v>
      </c>
      <c r="B118" s="38" t="s">
        <v>114</v>
      </c>
      <c r="C118" s="40" t="s">
        <v>107</v>
      </c>
      <c r="D118" s="38">
        <v>0</v>
      </c>
      <c r="F118"/>
      <c r="H118" s="39"/>
      <c r="I118" s="38"/>
      <c r="J118" s="40"/>
    </row>
    <row r="119" spans="1:10" x14ac:dyDescent="0.3">
      <c r="A119" s="39">
        <v>300012</v>
      </c>
      <c r="B119" s="38" t="s">
        <v>116</v>
      </c>
      <c r="C119" s="40" t="s">
        <v>107</v>
      </c>
      <c r="D119" s="38">
        <v>0</v>
      </c>
      <c r="F119"/>
      <c r="H119" s="39"/>
      <c r="I119" s="27"/>
      <c r="J119" s="40"/>
    </row>
    <row r="120" spans="1:10" x14ac:dyDescent="0.3">
      <c r="A120" s="39">
        <v>300013</v>
      </c>
      <c r="B120" s="38" t="s">
        <v>118</v>
      </c>
      <c r="C120" s="40" t="s">
        <v>107</v>
      </c>
      <c r="D120" s="38">
        <v>0</v>
      </c>
      <c r="F120"/>
      <c r="H120" s="39"/>
      <c r="I120" s="38"/>
      <c r="J120" s="40"/>
    </row>
    <row r="121" spans="1:10" x14ac:dyDescent="0.3">
      <c r="A121" s="39">
        <v>300015</v>
      </c>
      <c r="B121" s="39" t="s">
        <v>120</v>
      </c>
      <c r="C121" s="40" t="s">
        <v>107</v>
      </c>
      <c r="D121" s="38">
        <v>0</v>
      </c>
      <c r="F121"/>
      <c r="H121" s="39"/>
      <c r="I121" s="38"/>
      <c r="J121" s="40"/>
    </row>
    <row r="122" spans="1:10" x14ac:dyDescent="0.3">
      <c r="A122" s="39">
        <v>300016</v>
      </c>
      <c r="B122" s="39" t="s">
        <v>122</v>
      </c>
      <c r="C122" s="40" t="s">
        <v>107</v>
      </c>
      <c r="D122" s="38">
        <v>0</v>
      </c>
      <c r="F122"/>
      <c r="H122" s="39"/>
      <c r="I122" s="38"/>
      <c r="J122" s="40"/>
    </row>
    <row r="123" spans="1:10" x14ac:dyDescent="0.3">
      <c r="A123" s="39">
        <v>300017</v>
      </c>
      <c r="B123" s="39" t="s">
        <v>124</v>
      </c>
      <c r="C123" s="40" t="s">
        <v>107</v>
      </c>
      <c r="D123" s="38">
        <v>0</v>
      </c>
      <c r="F123"/>
      <c r="H123" s="39"/>
      <c r="I123" s="38"/>
      <c r="J123" s="40"/>
    </row>
    <row r="124" spans="1:10" x14ac:dyDescent="0.3">
      <c r="A124" s="39">
        <v>300019</v>
      </c>
      <c r="B124" s="39" t="s">
        <v>170</v>
      </c>
      <c r="C124" s="40" t="s">
        <v>107</v>
      </c>
      <c r="D124" s="38">
        <v>0</v>
      </c>
      <c r="H124" s="39"/>
      <c r="I124" s="38"/>
      <c r="J124" s="40"/>
    </row>
    <row r="125" spans="1:10" x14ac:dyDescent="0.3">
      <c r="A125" s="39">
        <v>300021</v>
      </c>
      <c r="B125" s="39" t="s">
        <v>394</v>
      </c>
      <c r="C125" s="40" t="s">
        <v>395</v>
      </c>
      <c r="D125" s="38">
        <v>0</v>
      </c>
      <c r="H125" s="39"/>
      <c r="I125" s="38"/>
      <c r="J125" s="40"/>
    </row>
    <row r="126" spans="1:10" x14ac:dyDescent="0.3">
      <c r="A126" s="39">
        <v>300022</v>
      </c>
      <c r="B126" s="39" t="s">
        <v>396</v>
      </c>
      <c r="C126" s="40" t="s">
        <v>395</v>
      </c>
      <c r="D126" s="38">
        <v>0</v>
      </c>
      <c r="H126" s="39"/>
      <c r="I126" s="38"/>
      <c r="J126" s="40"/>
    </row>
    <row r="127" spans="1:10" x14ac:dyDescent="0.3">
      <c r="A127" s="39">
        <v>300023</v>
      </c>
      <c r="B127" s="39" t="s">
        <v>397</v>
      </c>
      <c r="C127" s="40" t="s">
        <v>395</v>
      </c>
      <c r="D127" s="38">
        <v>0</v>
      </c>
      <c r="H127" s="39"/>
      <c r="I127" s="38"/>
      <c r="J127" s="40"/>
    </row>
    <row r="128" spans="1:10" x14ac:dyDescent="0.3">
      <c r="A128" s="39">
        <v>300024</v>
      </c>
      <c r="B128" s="39" t="s">
        <v>271</v>
      </c>
      <c r="C128" s="40" t="s">
        <v>395</v>
      </c>
      <c r="D128" s="38">
        <v>0</v>
      </c>
      <c r="H128" s="39"/>
      <c r="I128" s="38"/>
      <c r="J128" s="40"/>
    </row>
    <row r="129" spans="1:10" x14ac:dyDescent="0.3">
      <c r="A129" s="39">
        <v>300025</v>
      </c>
      <c r="B129" s="39" t="s">
        <v>272</v>
      </c>
      <c r="C129" s="40" t="s">
        <v>395</v>
      </c>
      <c r="D129" s="38">
        <v>0</v>
      </c>
      <c r="H129" s="39"/>
      <c r="I129" s="38"/>
      <c r="J129" s="40"/>
    </row>
    <row r="130" spans="1:10" x14ac:dyDescent="0.3">
      <c r="A130" s="39">
        <v>300026</v>
      </c>
      <c r="B130" s="39" t="s">
        <v>398</v>
      </c>
      <c r="C130" s="40" t="s">
        <v>395</v>
      </c>
      <c r="D130" s="38">
        <v>0</v>
      </c>
      <c r="H130" s="39"/>
      <c r="I130" s="38"/>
      <c r="J130" s="40"/>
    </row>
    <row r="131" spans="1:10" x14ac:dyDescent="0.3">
      <c r="H131" s="39"/>
      <c r="I131" s="38"/>
      <c r="J131" s="40"/>
    </row>
    <row r="132" spans="1:10" x14ac:dyDescent="0.3">
      <c r="H132" s="39"/>
      <c r="I132" s="38"/>
      <c r="J132" s="40"/>
    </row>
    <row r="133" spans="1:10" x14ac:dyDescent="0.3">
      <c r="H133" s="39"/>
      <c r="I133" s="38"/>
      <c r="J133" s="40"/>
    </row>
    <row r="134" spans="1:10" x14ac:dyDescent="0.3">
      <c r="H134" s="39"/>
      <c r="I134" s="38"/>
      <c r="J134" s="40"/>
    </row>
    <row r="135" spans="1:10" x14ac:dyDescent="0.3">
      <c r="H135" s="39"/>
      <c r="I135" s="39"/>
      <c r="J135" s="40"/>
    </row>
    <row r="136" spans="1:10" x14ac:dyDescent="0.3">
      <c r="H136" s="39"/>
      <c r="I136" s="39"/>
      <c r="J136" s="40"/>
    </row>
    <row r="137" spans="1:10" x14ac:dyDescent="0.3">
      <c r="H137" s="39"/>
      <c r="I137" s="39"/>
      <c r="J137" s="40"/>
    </row>
  </sheetData>
  <phoneticPr fontId="21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5"/>
  <sheetViews>
    <sheetView workbookViewId="0">
      <selection activeCell="H11" sqref="H11"/>
    </sheetView>
  </sheetViews>
  <sheetFormatPr defaultColWidth="11" defaultRowHeight="15.6" x14ac:dyDescent="0.3"/>
  <cols>
    <col min="1" max="1" width="26.90625" style="27" customWidth="1"/>
    <col min="2" max="2" width="19.26953125" style="27" customWidth="1"/>
    <col min="3" max="3" width="11.90625" style="27" customWidth="1"/>
    <col min="4" max="4" width="12.08984375" style="27" customWidth="1"/>
    <col min="5" max="5" width="11" style="27" customWidth="1"/>
    <col min="6" max="6" width="13.90625" style="27" customWidth="1"/>
    <col min="7" max="7" width="9.453125" style="27" customWidth="1"/>
    <col min="8" max="8" width="28.453125" style="27" customWidth="1"/>
    <col min="9" max="9" width="11" style="27" customWidth="1"/>
    <col min="10" max="16384" width="11" style="27"/>
  </cols>
  <sheetData>
    <row r="1" spans="1:11" x14ac:dyDescent="0.3">
      <c r="A1" s="28" t="s">
        <v>0</v>
      </c>
      <c r="B1" s="29" t="s">
        <v>399</v>
      </c>
      <c r="C1" s="29" t="s">
        <v>2</v>
      </c>
    </row>
    <row r="2" spans="1:11" x14ac:dyDescent="0.3">
      <c r="A2" s="28" t="s">
        <v>3</v>
      </c>
      <c r="B2" s="29" t="s">
        <v>400</v>
      </c>
      <c r="C2" s="29" t="s">
        <v>5</v>
      </c>
    </row>
    <row r="3" spans="1:11" x14ac:dyDescent="0.3">
      <c r="A3" s="28" t="s">
        <v>6</v>
      </c>
      <c r="B3" s="30" t="s">
        <v>7</v>
      </c>
      <c r="C3" s="29" t="s">
        <v>8</v>
      </c>
    </row>
    <row r="4" spans="1:11" x14ac:dyDescent="0.3">
      <c r="A4" s="28" t="s">
        <v>9</v>
      </c>
      <c r="B4" s="31" t="s">
        <v>10</v>
      </c>
      <c r="C4" s="29"/>
    </row>
    <row r="5" spans="1:11" x14ac:dyDescent="0.3">
      <c r="A5" s="28" t="s">
        <v>11</v>
      </c>
      <c r="B5" s="29"/>
      <c r="C5" s="29" t="s">
        <v>12</v>
      </c>
      <c r="D5" s="29"/>
      <c r="E5" s="29"/>
      <c r="F5" s="29"/>
    </row>
    <row r="6" spans="1:11" x14ac:dyDescent="0.3">
      <c r="A6" s="28" t="s">
        <v>13</v>
      </c>
      <c r="B6" s="29">
        <v>4</v>
      </c>
      <c r="C6" s="29" t="s">
        <v>14</v>
      </c>
      <c r="D6" s="29"/>
      <c r="E6" s="29"/>
      <c r="F6" s="29"/>
    </row>
    <row r="7" spans="1:11" x14ac:dyDescent="0.3">
      <c r="A7" s="28" t="s">
        <v>15</v>
      </c>
      <c r="B7" s="29"/>
      <c r="C7" s="29"/>
      <c r="D7" s="29"/>
      <c r="E7" s="29"/>
      <c r="F7" s="29"/>
    </row>
    <row r="8" spans="1:11" x14ac:dyDescent="0.3">
      <c r="A8" s="28" t="s">
        <v>16</v>
      </c>
      <c r="B8" s="29"/>
      <c r="C8" s="29"/>
      <c r="D8" s="29"/>
      <c r="E8" s="29"/>
      <c r="F8" s="29"/>
    </row>
    <row r="9" spans="1:11" x14ac:dyDescent="0.3">
      <c r="A9" s="29"/>
      <c r="B9" s="29"/>
      <c r="C9" s="29"/>
    </row>
    <row r="10" spans="1:11" x14ac:dyDescent="0.3">
      <c r="A10" s="29"/>
      <c r="B10" s="29"/>
      <c r="C10" s="29"/>
    </row>
    <row r="11" spans="1:11" x14ac:dyDescent="0.3">
      <c r="A11" s="29" t="s">
        <v>17</v>
      </c>
      <c r="B11" s="29" t="s">
        <v>401</v>
      </c>
      <c r="C11" s="29" t="s">
        <v>402</v>
      </c>
      <c r="D11" s="29" t="s">
        <v>403</v>
      </c>
      <c r="E11" s="27" t="s">
        <v>404</v>
      </c>
      <c r="F11" s="27" t="s">
        <v>405</v>
      </c>
      <c r="G11" s="27" t="s">
        <v>406</v>
      </c>
    </row>
    <row r="12" spans="1:11" x14ac:dyDescent="0.3">
      <c r="A12" s="31" t="s">
        <v>39</v>
      </c>
      <c r="B12" s="31" t="s">
        <v>407</v>
      </c>
      <c r="C12" s="31" t="s">
        <v>408</v>
      </c>
      <c r="D12" s="23" t="s">
        <v>47</v>
      </c>
      <c r="E12" s="31" t="s">
        <v>409</v>
      </c>
      <c r="F12" s="31" t="s">
        <v>410</v>
      </c>
      <c r="G12" s="31" t="s">
        <v>46</v>
      </c>
    </row>
    <row r="13" spans="1:11" x14ac:dyDescent="0.3">
      <c r="A13" s="31" t="s">
        <v>61</v>
      </c>
      <c r="B13" s="31" t="s">
        <v>61</v>
      </c>
      <c r="C13" s="31" t="s">
        <v>61</v>
      </c>
      <c r="D13" s="23" t="s">
        <v>61</v>
      </c>
      <c r="E13" s="31" t="s">
        <v>61</v>
      </c>
      <c r="F13" s="31" t="s">
        <v>61</v>
      </c>
      <c r="G13" s="31" t="s">
        <v>61</v>
      </c>
    </row>
    <row r="14" spans="1:11" x14ac:dyDescent="0.3">
      <c r="A14" s="31" t="s">
        <v>63</v>
      </c>
      <c r="B14" s="31" t="s">
        <v>64</v>
      </c>
      <c r="C14" s="31" t="s">
        <v>64</v>
      </c>
      <c r="D14" s="23" t="s">
        <v>64</v>
      </c>
      <c r="E14" s="31" t="s">
        <v>64</v>
      </c>
      <c r="F14" s="31" t="s">
        <v>64</v>
      </c>
      <c r="G14" s="31" t="s">
        <v>64</v>
      </c>
    </row>
    <row r="15" spans="1:11" x14ac:dyDescent="0.3">
      <c r="A15" s="31"/>
      <c r="B15" s="31">
        <v>0</v>
      </c>
      <c r="C15" s="31">
        <v>0</v>
      </c>
      <c r="D15" s="23">
        <v>0</v>
      </c>
      <c r="E15" s="31">
        <v>0</v>
      </c>
      <c r="F15" s="31">
        <v>0</v>
      </c>
      <c r="G15" s="31">
        <v>0</v>
      </c>
    </row>
    <row r="16" spans="1:11" x14ac:dyDescent="0.3">
      <c r="A16" s="2">
        <v>101</v>
      </c>
      <c r="B16" s="2">
        <v>100122</v>
      </c>
      <c r="C16">
        <v>1</v>
      </c>
      <c r="D16" s="2">
        <v>1</v>
      </c>
      <c r="E16" s="27">
        <v>0</v>
      </c>
      <c r="F16" s="27">
        <v>10</v>
      </c>
      <c r="G16" s="27">
        <v>3000</v>
      </c>
      <c r="H16" s="32"/>
      <c r="I16" s="32"/>
      <c r="J16" s="32"/>
      <c r="K16" s="32"/>
    </row>
    <row r="17" spans="1:11" x14ac:dyDescent="0.3">
      <c r="A17" s="2">
        <v>102</v>
      </c>
      <c r="B17" s="2">
        <v>600001</v>
      </c>
      <c r="C17">
        <v>1</v>
      </c>
      <c r="D17" s="2">
        <v>99</v>
      </c>
      <c r="E17" s="27">
        <v>1</v>
      </c>
      <c r="F17" s="27">
        <v>10</v>
      </c>
      <c r="G17" s="27">
        <v>15</v>
      </c>
      <c r="H17" s="32"/>
      <c r="I17" s="32"/>
      <c r="J17" s="32"/>
      <c r="K17" s="32"/>
    </row>
    <row r="18" spans="1:11" x14ac:dyDescent="0.3">
      <c r="A18" s="2">
        <v>103</v>
      </c>
      <c r="B18" s="29">
        <v>600006</v>
      </c>
      <c r="C18">
        <v>1</v>
      </c>
      <c r="D18" s="2">
        <v>50</v>
      </c>
      <c r="E18" s="27">
        <v>1</v>
      </c>
      <c r="F18" s="27">
        <v>10</v>
      </c>
      <c r="G18" s="27">
        <v>60</v>
      </c>
      <c r="H18" s="32"/>
      <c r="I18" s="32"/>
      <c r="J18" s="32"/>
      <c r="K18" s="32"/>
    </row>
    <row r="19" spans="1:11" x14ac:dyDescent="0.3">
      <c r="A19" s="2">
        <v>104</v>
      </c>
      <c r="B19" s="29">
        <v>600007</v>
      </c>
      <c r="C19">
        <v>1</v>
      </c>
      <c r="D19" s="2">
        <v>30</v>
      </c>
      <c r="E19" s="27">
        <v>1</v>
      </c>
      <c r="F19" s="27">
        <v>10</v>
      </c>
      <c r="G19" s="27">
        <v>120</v>
      </c>
      <c r="H19" s="32"/>
      <c r="I19" s="32"/>
      <c r="J19" s="32"/>
      <c r="K19" s="32"/>
    </row>
    <row r="20" spans="1:11" x14ac:dyDescent="0.3">
      <c r="A20" s="2">
        <v>105</v>
      </c>
      <c r="B20" s="29">
        <v>13</v>
      </c>
      <c r="C20">
        <v>1</v>
      </c>
      <c r="D20" s="2">
        <v>1000</v>
      </c>
      <c r="E20" s="27">
        <v>1</v>
      </c>
      <c r="F20" s="27">
        <v>10</v>
      </c>
      <c r="G20" s="27">
        <v>10</v>
      </c>
      <c r="H20" s="32"/>
      <c r="I20" s="32"/>
      <c r="J20" s="32"/>
      <c r="K20" s="32"/>
    </row>
    <row r="21" spans="1:11" x14ac:dyDescent="0.3">
      <c r="A21" s="2">
        <v>201</v>
      </c>
      <c r="B21" s="32">
        <v>510201</v>
      </c>
      <c r="C21">
        <v>2</v>
      </c>
      <c r="D21" s="32">
        <v>100</v>
      </c>
      <c r="E21" s="32">
        <v>1</v>
      </c>
      <c r="F21" s="27">
        <v>9</v>
      </c>
      <c r="G21" s="32">
        <v>50</v>
      </c>
      <c r="H21" s="32"/>
      <c r="I21" s="32"/>
      <c r="J21" s="32"/>
      <c r="K21" s="32"/>
    </row>
    <row r="22" spans="1:11" x14ac:dyDescent="0.3">
      <c r="A22" s="2">
        <v>202</v>
      </c>
      <c r="B22" s="27">
        <v>600001</v>
      </c>
      <c r="C22">
        <v>2</v>
      </c>
      <c r="D22" s="32">
        <v>10</v>
      </c>
      <c r="E22" s="32">
        <v>1</v>
      </c>
      <c r="F22" s="27">
        <v>9</v>
      </c>
      <c r="G22" s="32">
        <v>100</v>
      </c>
    </row>
    <row r="23" spans="1:11" x14ac:dyDescent="0.3">
      <c r="A23" s="2">
        <v>203</v>
      </c>
      <c r="B23" s="32">
        <v>13</v>
      </c>
      <c r="C23">
        <v>2</v>
      </c>
      <c r="D23" s="32">
        <v>300</v>
      </c>
      <c r="E23" s="32">
        <v>1</v>
      </c>
      <c r="F23" s="27">
        <v>9</v>
      </c>
      <c r="G23" s="32">
        <v>20</v>
      </c>
    </row>
    <row r="24" spans="1:11" x14ac:dyDescent="0.3">
      <c r="A24" s="2">
        <v>204</v>
      </c>
      <c r="B24" s="32">
        <v>600007</v>
      </c>
      <c r="C24">
        <v>2</v>
      </c>
      <c r="D24" s="32">
        <v>2</v>
      </c>
      <c r="E24" s="32">
        <v>1</v>
      </c>
      <c r="F24" s="27">
        <v>9</v>
      </c>
      <c r="G24" s="32">
        <v>800</v>
      </c>
    </row>
    <row r="25" spans="1:11" x14ac:dyDescent="0.3">
      <c r="A25" s="2">
        <v>205</v>
      </c>
      <c r="B25" s="32">
        <v>600006</v>
      </c>
      <c r="C25">
        <v>2</v>
      </c>
      <c r="D25" s="32">
        <v>3</v>
      </c>
      <c r="E25" s="32">
        <v>1</v>
      </c>
      <c r="F25" s="27">
        <v>9</v>
      </c>
      <c r="G25" s="32">
        <v>400</v>
      </c>
    </row>
    <row r="26" spans="1:11" x14ac:dyDescent="0.3">
      <c r="A26" s="2">
        <v>206</v>
      </c>
      <c r="B26" s="32">
        <v>600005</v>
      </c>
      <c r="C26">
        <v>2</v>
      </c>
      <c r="D26" s="32">
        <v>10</v>
      </c>
      <c r="E26" s="32">
        <v>1</v>
      </c>
      <c r="F26" s="27">
        <v>9</v>
      </c>
      <c r="G26" s="32">
        <v>200</v>
      </c>
    </row>
    <row r="27" spans="1:11" x14ac:dyDescent="0.3">
      <c r="A27" s="2"/>
      <c r="C27"/>
      <c r="D27" s="32"/>
      <c r="E27" s="32"/>
      <c r="G27" s="32"/>
    </row>
    <row r="28" spans="1:11" x14ac:dyDescent="0.3">
      <c r="A28" s="2"/>
      <c r="B28" s="32"/>
      <c r="C28"/>
      <c r="D28" s="32"/>
      <c r="E28" s="32"/>
      <c r="G28" s="32"/>
    </row>
    <row r="29" spans="1:11" x14ac:dyDescent="0.3">
      <c r="A29" s="2"/>
      <c r="B29" s="32"/>
      <c r="C29"/>
      <c r="D29" s="32"/>
      <c r="E29" s="32"/>
      <c r="G29" s="32"/>
    </row>
    <row r="30" spans="1:11" x14ac:dyDescent="0.3">
      <c r="A30" s="2"/>
      <c r="B30" s="2"/>
      <c r="C30" s="5"/>
      <c r="D30" s="2"/>
    </row>
    <row r="31" spans="1:11" x14ac:dyDescent="0.3">
      <c r="A31" s="2"/>
      <c r="B31" s="2"/>
      <c r="C31" s="5"/>
      <c r="D31" s="2"/>
    </row>
    <row r="32" spans="1:11" x14ac:dyDescent="0.3">
      <c r="A32" s="2"/>
      <c r="B32" s="2"/>
      <c r="C32" s="5"/>
      <c r="D32" s="2"/>
    </row>
    <row r="33" spans="1:4" x14ac:dyDescent="0.3">
      <c r="A33" s="2"/>
      <c r="B33" s="2"/>
      <c r="C33" s="5"/>
      <c r="D33" s="2"/>
    </row>
    <row r="34" spans="1:4" x14ac:dyDescent="0.3">
      <c r="A34" s="2"/>
      <c r="B34" s="2"/>
      <c r="C34" s="5"/>
      <c r="D34" s="2"/>
    </row>
    <row r="35" spans="1:4" x14ac:dyDescent="0.3">
      <c r="A35" s="29"/>
      <c r="B35" s="29"/>
      <c r="C35" s="33"/>
    </row>
  </sheetData>
  <phoneticPr fontId="21" type="noConversion"/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0"/>
  <sheetViews>
    <sheetView workbookViewId="0">
      <selection activeCell="I8" sqref="I8"/>
    </sheetView>
  </sheetViews>
  <sheetFormatPr defaultColWidth="11" defaultRowHeight="15.6" x14ac:dyDescent="0.3"/>
  <cols>
    <col min="1" max="1" width="34.6328125" style="2" customWidth="1"/>
    <col min="2" max="2" width="16.6328125" style="2" customWidth="1"/>
    <col min="3" max="3" width="16.36328125" style="2" customWidth="1"/>
    <col min="4" max="4" width="14.26953125" style="2" customWidth="1"/>
    <col min="5" max="5" width="11" style="2" customWidth="1"/>
    <col min="6" max="16384" width="11" style="2"/>
  </cols>
  <sheetData>
    <row r="1" spans="1:8" x14ac:dyDescent="0.3">
      <c r="A1" s="1" t="s">
        <v>0</v>
      </c>
      <c r="B1" s="2" t="s">
        <v>411</v>
      </c>
      <c r="C1" s="2" t="s">
        <v>2</v>
      </c>
    </row>
    <row r="2" spans="1:8" x14ac:dyDescent="0.3">
      <c r="A2" s="1" t="s">
        <v>3</v>
      </c>
      <c r="B2" s="2" t="s">
        <v>412</v>
      </c>
      <c r="C2" s="2" t="s">
        <v>5</v>
      </c>
    </row>
    <row r="3" spans="1:8" x14ac:dyDescent="0.3">
      <c r="A3" s="1" t="s">
        <v>6</v>
      </c>
      <c r="B3" s="3" t="s">
        <v>7</v>
      </c>
      <c r="C3" s="2" t="s">
        <v>8</v>
      </c>
    </row>
    <row r="4" spans="1:8" x14ac:dyDescent="0.3">
      <c r="A4" s="1" t="s">
        <v>9</v>
      </c>
      <c r="B4" s="23" t="s">
        <v>10</v>
      </c>
    </row>
    <row r="5" spans="1:8" x14ac:dyDescent="0.3">
      <c r="A5" s="1" t="s">
        <v>11</v>
      </c>
      <c r="C5" s="2" t="s">
        <v>12</v>
      </c>
    </row>
    <row r="6" spans="1:8" x14ac:dyDescent="0.3">
      <c r="A6" s="1" t="s">
        <v>13</v>
      </c>
      <c r="B6" s="2">
        <v>4</v>
      </c>
      <c r="C6" s="2" t="s">
        <v>14</v>
      </c>
    </row>
    <row r="7" spans="1:8" x14ac:dyDescent="0.3">
      <c r="A7" s="1" t="s">
        <v>15</v>
      </c>
    </row>
    <row r="8" spans="1:8" x14ac:dyDescent="0.3">
      <c r="A8" s="1" t="s">
        <v>16</v>
      </c>
    </row>
    <row r="11" spans="1:8" x14ac:dyDescent="0.3">
      <c r="A11" s="2" t="s">
        <v>18</v>
      </c>
      <c r="B11" s="2" t="s">
        <v>413</v>
      </c>
      <c r="C11" s="2" t="s">
        <v>414</v>
      </c>
      <c r="D11" s="2" t="s">
        <v>415</v>
      </c>
      <c r="E11" s="2" t="s">
        <v>416</v>
      </c>
      <c r="F11" s="24" t="s">
        <v>417</v>
      </c>
      <c r="G11" s="25" t="s">
        <v>414</v>
      </c>
      <c r="H11" s="25" t="s">
        <v>418</v>
      </c>
    </row>
    <row r="12" spans="1:8" x14ac:dyDescent="0.3">
      <c r="A12" s="23" t="s">
        <v>39</v>
      </c>
      <c r="B12" s="23" t="s">
        <v>419</v>
      </c>
      <c r="C12" s="23" t="s">
        <v>420</v>
      </c>
      <c r="D12" s="23" t="s">
        <v>40</v>
      </c>
      <c r="E12" s="23" t="s">
        <v>46</v>
      </c>
      <c r="F12" s="23" t="s">
        <v>421</v>
      </c>
      <c r="G12" s="23" t="s">
        <v>422</v>
      </c>
      <c r="H12" s="23" t="s">
        <v>423</v>
      </c>
    </row>
    <row r="13" spans="1:8" x14ac:dyDescent="0.3">
      <c r="A13" s="23" t="s">
        <v>61</v>
      </c>
      <c r="B13" s="23" t="s">
        <v>61</v>
      </c>
      <c r="C13" s="23" t="s">
        <v>61</v>
      </c>
      <c r="D13" s="23" t="s">
        <v>61</v>
      </c>
      <c r="E13" s="23" t="s">
        <v>61</v>
      </c>
      <c r="F13" s="23" t="s">
        <v>61</v>
      </c>
      <c r="G13" s="23" t="s">
        <v>61</v>
      </c>
      <c r="H13" s="23" t="s">
        <v>61</v>
      </c>
    </row>
    <row r="14" spans="1:8" x14ac:dyDescent="0.3">
      <c r="A14" s="23" t="s">
        <v>63</v>
      </c>
      <c r="B14" s="23" t="s">
        <v>64</v>
      </c>
      <c r="C14" s="23" t="s">
        <v>64</v>
      </c>
      <c r="D14" s="23" t="s">
        <v>64</v>
      </c>
      <c r="E14" s="23" t="s">
        <v>64</v>
      </c>
      <c r="F14" s="23" t="s">
        <v>64</v>
      </c>
      <c r="G14" s="23" t="s">
        <v>64</v>
      </c>
      <c r="H14" s="23" t="s">
        <v>64</v>
      </c>
    </row>
    <row r="15" spans="1:8" x14ac:dyDescent="0.3">
      <c r="A15" s="23"/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</row>
    <row r="16" spans="1:8" x14ac:dyDescent="0.3">
      <c r="A16" s="2">
        <v>1</v>
      </c>
      <c r="B16" s="2">
        <v>1</v>
      </c>
      <c r="C16" s="2">
        <v>0</v>
      </c>
      <c r="D16" s="2">
        <v>100791</v>
      </c>
      <c r="E16" s="2">
        <v>100000</v>
      </c>
      <c r="F16" s="25">
        <v>12</v>
      </c>
      <c r="G16" s="25">
        <v>0</v>
      </c>
      <c r="H16" s="25">
        <v>0</v>
      </c>
    </row>
    <row r="17" spans="1:8" x14ac:dyDescent="0.3">
      <c r="A17" s="2">
        <v>2</v>
      </c>
      <c r="B17" s="2">
        <v>1</v>
      </c>
      <c r="C17" s="2">
        <v>0</v>
      </c>
      <c r="D17" s="2">
        <v>100801</v>
      </c>
      <c r="E17" s="2">
        <v>100000</v>
      </c>
      <c r="F17" s="25">
        <v>12</v>
      </c>
      <c r="G17" s="25">
        <v>0</v>
      </c>
      <c r="H17" s="25">
        <v>0</v>
      </c>
    </row>
    <row r="18" spans="1:8" x14ac:dyDescent="0.3">
      <c r="A18" s="2">
        <v>3</v>
      </c>
      <c r="B18" s="2">
        <v>1</v>
      </c>
      <c r="C18" s="2">
        <v>0</v>
      </c>
      <c r="D18" s="2">
        <v>100191</v>
      </c>
      <c r="E18" s="2">
        <v>30000</v>
      </c>
      <c r="F18" s="25">
        <v>12</v>
      </c>
      <c r="G18" s="25">
        <v>0</v>
      </c>
      <c r="H18" s="25">
        <v>0</v>
      </c>
    </row>
    <row r="19" spans="1:8" x14ac:dyDescent="0.3">
      <c r="A19" s="3">
        <v>4</v>
      </c>
      <c r="B19" s="2">
        <v>1</v>
      </c>
      <c r="C19" s="2">
        <v>0</v>
      </c>
      <c r="D19" s="2">
        <v>100171</v>
      </c>
      <c r="E19" s="2">
        <v>30000</v>
      </c>
      <c r="F19" s="25">
        <v>12</v>
      </c>
      <c r="G19" s="25">
        <v>0</v>
      </c>
      <c r="H19" s="25">
        <v>0</v>
      </c>
    </row>
    <row r="20" spans="1:8" x14ac:dyDescent="0.3">
      <c r="A20" s="2">
        <v>5</v>
      </c>
      <c r="B20" s="2">
        <v>1</v>
      </c>
      <c r="C20" s="2">
        <v>0</v>
      </c>
      <c r="D20" s="2">
        <v>100151</v>
      </c>
      <c r="E20" s="2">
        <v>12000</v>
      </c>
      <c r="F20" s="25">
        <v>12</v>
      </c>
      <c r="G20" s="25">
        <v>0</v>
      </c>
      <c r="H20" s="25">
        <v>0</v>
      </c>
    </row>
    <row r="21" spans="1:8" x14ac:dyDescent="0.3">
      <c r="A21" s="2">
        <v>6</v>
      </c>
      <c r="B21" s="2">
        <v>1</v>
      </c>
      <c r="C21" s="2">
        <v>0</v>
      </c>
      <c r="D21" s="2">
        <v>100031</v>
      </c>
      <c r="E21" s="2">
        <v>12000</v>
      </c>
      <c r="F21" s="25">
        <v>12</v>
      </c>
      <c r="G21" s="25">
        <v>0</v>
      </c>
      <c r="H21" s="25">
        <v>0</v>
      </c>
    </row>
    <row r="22" spans="1:8" x14ac:dyDescent="0.3">
      <c r="A22" s="2">
        <v>7</v>
      </c>
      <c r="B22" s="2">
        <v>2</v>
      </c>
      <c r="C22" s="2">
        <v>1</v>
      </c>
      <c r="D22" s="2">
        <v>13</v>
      </c>
      <c r="E22" s="2">
        <v>10</v>
      </c>
      <c r="F22" s="25">
        <v>12</v>
      </c>
      <c r="G22" s="25">
        <v>0</v>
      </c>
      <c r="H22" s="25">
        <v>0</v>
      </c>
    </row>
    <row r="23" spans="1:8" x14ac:dyDescent="0.3">
      <c r="A23" s="2">
        <v>8</v>
      </c>
      <c r="B23" s="2">
        <v>2</v>
      </c>
      <c r="C23" s="2">
        <v>0</v>
      </c>
      <c r="D23" s="2">
        <v>600001</v>
      </c>
      <c r="E23" s="2">
        <v>50</v>
      </c>
      <c r="F23" s="25">
        <v>12</v>
      </c>
      <c r="G23" s="25">
        <v>0</v>
      </c>
      <c r="H23" s="25">
        <v>0</v>
      </c>
    </row>
    <row r="24" spans="1:8" x14ac:dyDescent="0.3">
      <c r="A24" s="2">
        <v>9</v>
      </c>
      <c r="B24" s="2">
        <v>2</v>
      </c>
      <c r="C24" s="2">
        <v>0</v>
      </c>
      <c r="D24" s="2">
        <v>600003</v>
      </c>
      <c r="E24" s="2">
        <v>10</v>
      </c>
      <c r="F24" s="25">
        <v>12</v>
      </c>
      <c r="G24" s="25">
        <v>0</v>
      </c>
      <c r="H24" s="25">
        <v>0</v>
      </c>
    </row>
    <row r="25" spans="1:8" x14ac:dyDescent="0.3">
      <c r="A25" s="2">
        <v>10</v>
      </c>
      <c r="B25" s="2">
        <v>2</v>
      </c>
      <c r="C25" s="2">
        <v>0</v>
      </c>
      <c r="D25" s="2">
        <v>600004</v>
      </c>
      <c r="E25" s="2">
        <v>20</v>
      </c>
      <c r="F25" s="25">
        <v>12</v>
      </c>
      <c r="G25" s="25">
        <v>0</v>
      </c>
      <c r="H25" s="25">
        <v>0</v>
      </c>
    </row>
    <row r="26" spans="1:8" x14ac:dyDescent="0.3">
      <c r="A26" s="2">
        <v>11</v>
      </c>
      <c r="B26" s="2">
        <v>2</v>
      </c>
      <c r="C26" s="2">
        <v>0</v>
      </c>
      <c r="D26" s="2">
        <v>600005</v>
      </c>
      <c r="E26" s="2">
        <v>100</v>
      </c>
      <c r="F26" s="25">
        <v>12</v>
      </c>
      <c r="G26" s="25">
        <v>0</v>
      </c>
      <c r="H26" s="25">
        <v>0</v>
      </c>
    </row>
    <row r="27" spans="1:8" x14ac:dyDescent="0.3">
      <c r="A27" s="2">
        <v>12</v>
      </c>
      <c r="B27" s="2">
        <v>2</v>
      </c>
      <c r="C27" s="2">
        <v>0</v>
      </c>
      <c r="D27" s="2">
        <v>600006</v>
      </c>
      <c r="E27" s="2">
        <v>400</v>
      </c>
      <c r="F27" s="25">
        <v>12</v>
      </c>
      <c r="G27" s="25">
        <v>0</v>
      </c>
      <c r="H27" s="25">
        <v>0</v>
      </c>
    </row>
    <row r="28" spans="1:8" x14ac:dyDescent="0.3">
      <c r="A28" s="2">
        <v>13</v>
      </c>
      <c r="B28" s="2">
        <v>2</v>
      </c>
      <c r="C28" s="2">
        <v>0</v>
      </c>
      <c r="D28" s="2">
        <v>600007</v>
      </c>
      <c r="E28" s="2">
        <v>800</v>
      </c>
      <c r="F28" s="25">
        <v>12</v>
      </c>
      <c r="G28" s="25">
        <v>0</v>
      </c>
      <c r="H28" s="25">
        <v>0</v>
      </c>
    </row>
    <row r="29" spans="1:8" x14ac:dyDescent="0.3">
      <c r="A29" s="3">
        <v>14</v>
      </c>
      <c r="B29" s="25">
        <v>3</v>
      </c>
      <c r="C29" s="25">
        <v>0</v>
      </c>
      <c r="D29" s="25">
        <v>930027</v>
      </c>
      <c r="E29" s="26">
        <v>1500</v>
      </c>
      <c r="F29" s="25">
        <v>40</v>
      </c>
      <c r="G29" s="25">
        <v>1</v>
      </c>
      <c r="H29" s="25">
        <v>20</v>
      </c>
    </row>
    <row r="30" spans="1:8" x14ac:dyDescent="0.3">
      <c r="A30" s="3">
        <v>15</v>
      </c>
      <c r="B30" s="25">
        <v>3</v>
      </c>
      <c r="C30" s="25">
        <v>0</v>
      </c>
      <c r="D30" s="25">
        <v>940001</v>
      </c>
      <c r="E30" s="26">
        <v>16588800</v>
      </c>
      <c r="F30" s="25">
        <v>40</v>
      </c>
      <c r="G30" s="25">
        <v>2</v>
      </c>
      <c r="H30" s="25">
        <v>0</v>
      </c>
    </row>
    <row r="31" spans="1:8" x14ac:dyDescent="0.3">
      <c r="A31" s="25">
        <v>16</v>
      </c>
      <c r="B31" s="25">
        <v>3</v>
      </c>
      <c r="C31" s="25">
        <v>0</v>
      </c>
      <c r="D31" s="25">
        <v>950001</v>
      </c>
      <c r="E31" s="26">
        <v>16588800</v>
      </c>
      <c r="F31" s="25">
        <v>40</v>
      </c>
      <c r="G31" s="25">
        <v>2</v>
      </c>
      <c r="H31" s="25">
        <v>0</v>
      </c>
    </row>
    <row r="32" spans="1:8" x14ac:dyDescent="0.3">
      <c r="A32" s="25">
        <v>17</v>
      </c>
      <c r="B32" s="25">
        <v>3</v>
      </c>
      <c r="C32" s="25">
        <v>0</v>
      </c>
      <c r="D32" s="25">
        <v>960002</v>
      </c>
      <c r="E32" s="26">
        <v>16588800</v>
      </c>
      <c r="F32" s="25">
        <v>40</v>
      </c>
      <c r="G32" s="25">
        <v>2</v>
      </c>
      <c r="H32" s="25">
        <v>0</v>
      </c>
    </row>
    <row r="33" spans="1:8" x14ac:dyDescent="0.3">
      <c r="A33" s="25">
        <v>18</v>
      </c>
      <c r="B33" s="25">
        <v>3</v>
      </c>
      <c r="C33" s="25">
        <v>0</v>
      </c>
      <c r="D33" s="25">
        <v>13</v>
      </c>
      <c r="E33" s="26">
        <v>150</v>
      </c>
      <c r="F33" s="25">
        <v>40</v>
      </c>
      <c r="G33" s="25">
        <v>0</v>
      </c>
      <c r="H33" s="25">
        <v>0</v>
      </c>
    </row>
    <row r="34" spans="1:8" x14ac:dyDescent="0.3">
      <c r="A34" s="25">
        <v>19</v>
      </c>
      <c r="B34" s="25">
        <v>3</v>
      </c>
      <c r="C34" s="25">
        <v>0</v>
      </c>
      <c r="D34" s="25">
        <v>600001</v>
      </c>
      <c r="E34" s="26">
        <v>750</v>
      </c>
      <c r="F34" s="25">
        <v>40</v>
      </c>
      <c r="G34" s="25">
        <v>0</v>
      </c>
      <c r="H34" s="25">
        <v>0</v>
      </c>
    </row>
    <row r="35" spans="1:8" x14ac:dyDescent="0.3">
      <c r="A35" s="25">
        <v>20</v>
      </c>
      <c r="B35" s="25">
        <v>3</v>
      </c>
      <c r="C35" s="25">
        <v>0</v>
      </c>
      <c r="D35" s="25">
        <v>600003</v>
      </c>
      <c r="E35" s="26">
        <v>150</v>
      </c>
      <c r="F35" s="25">
        <v>40</v>
      </c>
      <c r="G35" s="25">
        <v>0</v>
      </c>
      <c r="H35" s="25">
        <v>0</v>
      </c>
    </row>
    <row r="36" spans="1:8" x14ac:dyDescent="0.3">
      <c r="A36" s="25">
        <v>21</v>
      </c>
      <c r="B36" s="25">
        <v>3</v>
      </c>
      <c r="C36" s="25">
        <v>0</v>
      </c>
      <c r="D36" s="25">
        <v>600004</v>
      </c>
      <c r="E36" s="26">
        <v>300</v>
      </c>
      <c r="F36" s="25">
        <v>40</v>
      </c>
      <c r="G36" s="25">
        <v>0</v>
      </c>
      <c r="H36" s="25">
        <v>0</v>
      </c>
    </row>
    <row r="37" spans="1:8" x14ac:dyDescent="0.3">
      <c r="A37" s="25">
        <v>22</v>
      </c>
      <c r="B37" s="25">
        <v>3</v>
      </c>
      <c r="C37" s="25">
        <v>0</v>
      </c>
      <c r="D37" s="25">
        <v>600005</v>
      </c>
      <c r="E37" s="26">
        <v>1500</v>
      </c>
      <c r="F37" s="25">
        <v>40</v>
      </c>
      <c r="G37" s="25">
        <v>0</v>
      </c>
      <c r="H37" s="25">
        <v>0</v>
      </c>
    </row>
    <row r="38" spans="1:8" x14ac:dyDescent="0.3">
      <c r="A38" s="25">
        <v>23</v>
      </c>
      <c r="B38" s="25">
        <v>3</v>
      </c>
      <c r="C38" s="25">
        <v>0</v>
      </c>
      <c r="D38" s="25">
        <v>600006</v>
      </c>
      <c r="E38" s="26">
        <v>10000</v>
      </c>
      <c r="F38" s="25">
        <v>40</v>
      </c>
      <c r="G38" s="25">
        <v>0</v>
      </c>
      <c r="H38" s="25">
        <v>0</v>
      </c>
    </row>
    <row r="39" spans="1:8" x14ac:dyDescent="0.3">
      <c r="A39" s="25">
        <v>24</v>
      </c>
      <c r="B39" s="25">
        <v>3</v>
      </c>
      <c r="C39" s="25">
        <v>0</v>
      </c>
      <c r="D39" s="25">
        <v>600007</v>
      </c>
      <c r="E39" s="26">
        <v>20000</v>
      </c>
      <c r="F39" s="25">
        <v>40</v>
      </c>
      <c r="G39" s="25">
        <v>0</v>
      </c>
      <c r="H39" s="25">
        <v>0</v>
      </c>
    </row>
    <row r="40" spans="1:8" x14ac:dyDescent="0.3">
      <c r="F40" s="25"/>
      <c r="G40" s="25"/>
      <c r="H40" s="25"/>
    </row>
  </sheetData>
  <phoneticPr fontId="21" type="noConversion"/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workbookViewId="0">
      <selection activeCell="C26" sqref="C26"/>
    </sheetView>
  </sheetViews>
  <sheetFormatPr defaultColWidth="9" defaultRowHeight="15.6" x14ac:dyDescent="0.3"/>
  <cols>
    <col min="1" max="1" width="24.08984375" customWidth="1"/>
    <col min="2" max="2" width="19.7265625" customWidth="1"/>
    <col min="3" max="3" width="15.7265625" customWidth="1"/>
    <col min="4" max="4" width="15" customWidth="1"/>
    <col min="5" max="5" width="13.7265625" customWidth="1"/>
  </cols>
  <sheetData>
    <row r="1" spans="1:5" x14ac:dyDescent="0.3">
      <c r="A1" s="1" t="s">
        <v>0</v>
      </c>
      <c r="B1" s="2" t="s">
        <v>424</v>
      </c>
      <c r="C1" s="2" t="s">
        <v>2</v>
      </c>
    </row>
    <row r="2" spans="1:5" x14ac:dyDescent="0.3">
      <c r="A2" s="1" t="s">
        <v>3</v>
      </c>
      <c r="B2" s="2" t="s">
        <v>425</v>
      </c>
      <c r="C2" s="2" t="s">
        <v>5</v>
      </c>
    </row>
    <row r="3" spans="1:5" x14ac:dyDescent="0.3">
      <c r="A3" s="1" t="s">
        <v>6</v>
      </c>
      <c r="B3" s="3" t="s">
        <v>7</v>
      </c>
      <c r="C3" s="2" t="s">
        <v>8</v>
      </c>
    </row>
    <row r="4" spans="1:5" x14ac:dyDescent="0.3">
      <c r="A4" s="1" t="s">
        <v>9</v>
      </c>
      <c r="B4" s="4" t="s">
        <v>10</v>
      </c>
      <c r="C4" s="2"/>
    </row>
    <row r="5" spans="1:5" x14ac:dyDescent="0.3">
      <c r="A5" s="1" t="s">
        <v>11</v>
      </c>
      <c r="B5" s="2"/>
      <c r="C5" s="2" t="s">
        <v>12</v>
      </c>
    </row>
    <row r="6" spans="1:5" x14ac:dyDescent="0.3">
      <c r="A6" s="1" t="s">
        <v>13</v>
      </c>
      <c r="B6" s="2">
        <v>4</v>
      </c>
      <c r="C6" s="2" t="s">
        <v>14</v>
      </c>
    </row>
    <row r="7" spans="1:5" x14ac:dyDescent="0.3">
      <c r="A7" s="1" t="s">
        <v>15</v>
      </c>
      <c r="B7" s="2"/>
      <c r="C7" s="2"/>
    </row>
    <row r="8" spans="1:5" x14ac:dyDescent="0.3">
      <c r="A8" s="1" t="s">
        <v>16</v>
      </c>
      <c r="B8" s="2"/>
      <c r="C8" s="2"/>
    </row>
    <row r="12" spans="1:5" x14ac:dyDescent="0.3">
      <c r="A12" t="s">
        <v>426</v>
      </c>
      <c r="B12" t="s">
        <v>427</v>
      </c>
      <c r="C12" t="s">
        <v>428</v>
      </c>
      <c r="D12" t="s">
        <v>429</v>
      </c>
      <c r="E12" t="s">
        <v>430</v>
      </c>
    </row>
    <row r="13" spans="1:5" x14ac:dyDescent="0.3">
      <c r="A13" s="4" t="s">
        <v>431</v>
      </c>
      <c r="B13" s="4" t="s">
        <v>432</v>
      </c>
      <c r="C13" s="4" t="s">
        <v>433</v>
      </c>
      <c r="D13" s="4" t="s">
        <v>434</v>
      </c>
      <c r="E13" s="4" t="s">
        <v>435</v>
      </c>
    </row>
    <row r="14" spans="1:5" x14ac:dyDescent="0.3">
      <c r="A14" s="4" t="s">
        <v>61</v>
      </c>
      <c r="B14" s="4" t="s">
        <v>62</v>
      </c>
      <c r="C14" s="4" t="s">
        <v>62</v>
      </c>
      <c r="D14" s="4" t="s">
        <v>62</v>
      </c>
      <c r="E14" s="4" t="s">
        <v>61</v>
      </c>
    </row>
    <row r="15" spans="1:5" x14ac:dyDescent="0.3">
      <c r="A15" s="4" t="s">
        <v>63</v>
      </c>
      <c r="B15" s="4" t="s">
        <v>64</v>
      </c>
      <c r="C15" s="4" t="s">
        <v>64</v>
      </c>
      <c r="D15" s="4" t="s">
        <v>64</v>
      </c>
      <c r="E15" s="4" t="s">
        <v>64</v>
      </c>
    </row>
    <row r="16" spans="1:5" x14ac:dyDescent="0.3">
      <c r="A16" s="4">
        <v>0</v>
      </c>
      <c r="B16" s="4"/>
      <c r="C16" s="4"/>
      <c r="D16" s="4"/>
      <c r="E16" s="4"/>
    </row>
    <row r="17" spans="1:5" x14ac:dyDescent="0.3">
      <c r="A17">
        <v>1</v>
      </c>
      <c r="B17" s="5" t="s">
        <v>436</v>
      </c>
      <c r="C17" s="22">
        <v>44543</v>
      </c>
      <c r="D17" s="22">
        <v>44550</v>
      </c>
      <c r="E17">
        <v>6</v>
      </c>
    </row>
    <row r="18" spans="1:5" x14ac:dyDescent="0.3">
      <c r="A18">
        <v>2</v>
      </c>
      <c r="B18" s="5" t="s">
        <v>437</v>
      </c>
      <c r="C18" s="22">
        <v>44550</v>
      </c>
      <c r="D18" s="22">
        <v>44557</v>
      </c>
      <c r="E18">
        <v>6</v>
      </c>
    </row>
  </sheetData>
  <phoneticPr fontId="2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23"/>
  <sheetViews>
    <sheetView topLeftCell="A97" workbookViewId="0">
      <selection activeCell="I115" sqref="I115"/>
    </sheetView>
  </sheetViews>
  <sheetFormatPr defaultColWidth="9" defaultRowHeight="15.6" x14ac:dyDescent="0.3"/>
  <cols>
    <col min="1" max="1" width="24.08984375" customWidth="1"/>
    <col min="2" max="2" width="26.36328125" customWidth="1"/>
    <col min="3" max="3" width="19.453125" customWidth="1"/>
    <col min="4" max="4" width="30.08984375" customWidth="1"/>
    <col min="5" max="5" width="21" customWidth="1"/>
    <col min="6" max="6" width="24" customWidth="1"/>
    <col min="7" max="7" width="6.36328125" customWidth="1"/>
    <col min="8" max="8" width="5.90625" customWidth="1"/>
    <col min="9" max="9" width="14.36328125" customWidth="1"/>
    <col min="10" max="10" width="15.90625" customWidth="1"/>
  </cols>
  <sheetData>
    <row r="1" spans="1:6" x14ac:dyDescent="0.3">
      <c r="A1" s="1" t="s">
        <v>0</v>
      </c>
      <c r="B1" s="2" t="s">
        <v>438</v>
      </c>
      <c r="C1" s="2" t="s">
        <v>2</v>
      </c>
      <c r="D1" s="2"/>
    </row>
    <row r="2" spans="1:6" x14ac:dyDescent="0.3">
      <c r="A2" s="1" t="s">
        <v>3</v>
      </c>
      <c r="B2" s="2" t="s">
        <v>439</v>
      </c>
      <c r="C2" s="2" t="s">
        <v>5</v>
      </c>
      <c r="D2" s="2"/>
    </row>
    <row r="3" spans="1:6" x14ac:dyDescent="0.3">
      <c r="A3" s="1" t="s">
        <v>6</v>
      </c>
      <c r="B3" s="3" t="s">
        <v>7</v>
      </c>
      <c r="C3" s="2" t="s">
        <v>8</v>
      </c>
      <c r="D3" s="2"/>
    </row>
    <row r="4" spans="1:6" x14ac:dyDescent="0.3">
      <c r="A4" s="1" t="s">
        <v>9</v>
      </c>
      <c r="B4" s="4" t="s">
        <v>10</v>
      </c>
      <c r="C4" s="2"/>
      <c r="D4" s="2"/>
    </row>
    <row r="5" spans="1:6" x14ac:dyDescent="0.3">
      <c r="A5" s="1" t="s">
        <v>11</v>
      </c>
      <c r="B5" s="2"/>
      <c r="C5" s="2" t="s">
        <v>12</v>
      </c>
      <c r="D5" s="2"/>
    </row>
    <row r="6" spans="1:6" x14ac:dyDescent="0.3">
      <c r="A6" s="1" t="s">
        <v>13</v>
      </c>
      <c r="B6" s="2">
        <v>4</v>
      </c>
      <c r="C6" s="2" t="s">
        <v>14</v>
      </c>
      <c r="D6" s="2"/>
    </row>
    <row r="7" spans="1:6" x14ac:dyDescent="0.3">
      <c r="A7" s="1" t="s">
        <v>15</v>
      </c>
      <c r="B7" s="2"/>
      <c r="C7" s="2"/>
      <c r="D7" s="2"/>
    </row>
    <row r="8" spans="1:6" x14ac:dyDescent="0.3">
      <c r="A8" s="1" t="s">
        <v>16</v>
      </c>
      <c r="B8" s="2"/>
      <c r="C8" s="2"/>
      <c r="D8" s="2"/>
    </row>
    <row r="12" spans="1:6" x14ac:dyDescent="0.3">
      <c r="A12" t="s">
        <v>440</v>
      </c>
      <c r="B12" t="s">
        <v>441</v>
      </c>
      <c r="C12" t="s">
        <v>442</v>
      </c>
      <c r="E12" t="s">
        <v>443</v>
      </c>
      <c r="F12" t="s">
        <v>444</v>
      </c>
    </row>
    <row r="13" spans="1:6" x14ac:dyDescent="0.3">
      <c r="A13" s="4" t="s">
        <v>39</v>
      </c>
      <c r="B13" s="4" t="s">
        <v>445</v>
      </c>
      <c r="C13" s="4" t="s">
        <v>446</v>
      </c>
      <c r="D13" s="3"/>
      <c r="E13" s="4" t="s">
        <v>447</v>
      </c>
      <c r="F13" s="4" t="s">
        <v>448</v>
      </c>
    </row>
    <row r="14" spans="1:6" x14ac:dyDescent="0.3">
      <c r="A14" s="4" t="s">
        <v>61</v>
      </c>
      <c r="B14" s="4" t="s">
        <v>449</v>
      </c>
      <c r="C14" s="4" t="s">
        <v>449</v>
      </c>
      <c r="D14" s="3"/>
      <c r="E14" s="4" t="s">
        <v>62</v>
      </c>
      <c r="F14" s="4" t="s">
        <v>62</v>
      </c>
    </row>
    <row r="15" spans="1:6" x14ac:dyDescent="0.3">
      <c r="A15" s="4" t="s">
        <v>63</v>
      </c>
      <c r="B15" s="4" t="s">
        <v>64</v>
      </c>
      <c r="C15" s="4" t="s">
        <v>64</v>
      </c>
      <c r="D15" s="3"/>
      <c r="E15" s="4" t="s">
        <v>64</v>
      </c>
      <c r="F15" s="4" t="s">
        <v>64</v>
      </c>
    </row>
    <row r="16" spans="1:6" x14ac:dyDescent="0.3">
      <c r="A16" s="4">
        <v>0</v>
      </c>
      <c r="B16" s="4"/>
      <c r="C16" s="4"/>
      <c r="D16" s="3"/>
      <c r="E16" s="4">
        <v>0</v>
      </c>
      <c r="F16" s="4">
        <v>0</v>
      </c>
    </row>
    <row r="17" spans="1:12" x14ac:dyDescent="0.3">
      <c r="A17" s="3">
        <v>101</v>
      </c>
      <c r="B17" s="5" t="s">
        <v>450</v>
      </c>
      <c r="C17" s="5" t="s">
        <v>451</v>
      </c>
      <c r="D17" s="5"/>
      <c r="E17" s="10" t="s">
        <v>452</v>
      </c>
      <c r="F17" s="10" t="s">
        <v>453</v>
      </c>
      <c r="H17" s="3" t="s">
        <v>454</v>
      </c>
    </row>
    <row r="18" spans="1:12" x14ac:dyDescent="0.3">
      <c r="A18" s="3">
        <v>102</v>
      </c>
      <c r="B18" s="5" t="s">
        <v>455</v>
      </c>
      <c r="C18" s="5" t="s">
        <v>456</v>
      </c>
      <c r="D18" s="5"/>
      <c r="E18" s="10" t="s">
        <v>457</v>
      </c>
      <c r="F18" s="10" t="s">
        <v>458</v>
      </c>
      <c r="H18" s="3" t="s">
        <v>454</v>
      </c>
    </row>
    <row r="19" spans="1:12" x14ac:dyDescent="0.3">
      <c r="A19" s="3">
        <v>103</v>
      </c>
      <c r="B19" s="5" t="s">
        <v>455</v>
      </c>
      <c r="C19" s="5" t="s">
        <v>459</v>
      </c>
      <c r="D19" s="5"/>
      <c r="E19" s="10" t="s">
        <v>460</v>
      </c>
      <c r="F19" s="10" t="s">
        <v>461</v>
      </c>
      <c r="H19" s="3" t="s">
        <v>454</v>
      </c>
    </row>
    <row r="20" spans="1:12" x14ac:dyDescent="0.3">
      <c r="A20" s="3">
        <v>104</v>
      </c>
      <c r="B20" s="5" t="s">
        <v>462</v>
      </c>
      <c r="C20" s="5" t="s">
        <v>451</v>
      </c>
      <c r="D20" s="5"/>
      <c r="E20" s="10" t="s">
        <v>463</v>
      </c>
      <c r="F20" s="10" t="s">
        <v>464</v>
      </c>
    </row>
    <row r="21" spans="1:12" x14ac:dyDescent="0.3">
      <c r="A21" s="3">
        <v>105</v>
      </c>
      <c r="B21" s="5" t="s">
        <v>455</v>
      </c>
      <c r="C21" s="5" t="s">
        <v>456</v>
      </c>
      <c r="D21" s="5"/>
      <c r="E21" s="10" t="s">
        <v>465</v>
      </c>
      <c r="F21" s="10" t="s">
        <v>466</v>
      </c>
    </row>
    <row r="22" spans="1:12" x14ac:dyDescent="0.3">
      <c r="A22" s="3">
        <v>106</v>
      </c>
      <c r="B22" s="5" t="s">
        <v>455</v>
      </c>
      <c r="C22" s="5" t="s">
        <v>459</v>
      </c>
      <c r="D22" s="5"/>
      <c r="E22" s="10" t="s">
        <v>467</v>
      </c>
      <c r="F22" s="10" t="s">
        <v>468</v>
      </c>
    </row>
    <row r="23" spans="1:12" x14ac:dyDescent="0.3">
      <c r="A23" s="3">
        <v>107</v>
      </c>
      <c r="B23" s="5" t="s">
        <v>455</v>
      </c>
      <c r="C23" s="5" t="s">
        <v>451</v>
      </c>
      <c r="D23" s="5"/>
      <c r="E23" s="10" t="s">
        <v>469</v>
      </c>
      <c r="F23" s="10" t="s">
        <v>470</v>
      </c>
      <c r="I23" s="17"/>
      <c r="J23" s="17"/>
    </row>
    <row r="24" spans="1:12" x14ac:dyDescent="0.3">
      <c r="A24" s="3">
        <v>108</v>
      </c>
      <c r="B24" s="5" t="s">
        <v>471</v>
      </c>
      <c r="C24" s="5" t="s">
        <v>456</v>
      </c>
      <c r="D24" s="5"/>
      <c r="E24" s="10" t="s">
        <v>472</v>
      </c>
      <c r="F24" s="10" t="s">
        <v>473</v>
      </c>
      <c r="I24" s="17"/>
      <c r="J24" s="17"/>
    </row>
    <row r="25" spans="1:12" x14ac:dyDescent="0.3">
      <c r="A25" s="3">
        <v>109</v>
      </c>
      <c r="B25" s="5" t="s">
        <v>474</v>
      </c>
      <c r="C25" s="5" t="s">
        <v>459</v>
      </c>
      <c r="D25" s="5"/>
      <c r="E25" s="10" t="s">
        <v>475</v>
      </c>
      <c r="F25" s="10" t="s">
        <v>476</v>
      </c>
      <c r="I25" s="17"/>
      <c r="J25" s="17"/>
    </row>
    <row r="26" spans="1:12" x14ac:dyDescent="0.3">
      <c r="A26" s="3">
        <v>110</v>
      </c>
      <c r="B26" s="5" t="s">
        <v>477</v>
      </c>
      <c r="C26" s="5" t="s">
        <v>451</v>
      </c>
      <c r="D26" s="5"/>
      <c r="E26" s="10" t="s">
        <v>478</v>
      </c>
      <c r="F26" s="10" t="s">
        <v>479</v>
      </c>
      <c r="I26" s="17"/>
      <c r="J26" s="17"/>
    </row>
    <row r="27" spans="1:12" x14ac:dyDescent="0.3">
      <c r="A27" s="3">
        <v>111</v>
      </c>
      <c r="B27" s="5" t="s">
        <v>474</v>
      </c>
      <c r="C27" s="5" t="s">
        <v>459</v>
      </c>
      <c r="D27" s="5"/>
      <c r="E27" s="10" t="s">
        <v>452</v>
      </c>
      <c r="F27" s="10" t="s">
        <v>453</v>
      </c>
      <c r="I27" s="17"/>
      <c r="J27" s="17"/>
    </row>
    <row r="28" spans="1:12" x14ac:dyDescent="0.3">
      <c r="A28" s="3">
        <v>112</v>
      </c>
      <c r="B28" s="5" t="s">
        <v>477</v>
      </c>
      <c r="C28" s="5" t="s">
        <v>451</v>
      </c>
      <c r="D28" s="5"/>
      <c r="E28" s="10" t="s">
        <v>480</v>
      </c>
      <c r="F28" s="10" t="s">
        <v>481</v>
      </c>
      <c r="I28" s="17"/>
      <c r="J28" s="17"/>
    </row>
    <row r="29" spans="1:12" x14ac:dyDescent="0.3">
      <c r="A29" s="3">
        <v>113</v>
      </c>
      <c r="B29" s="5" t="s">
        <v>474</v>
      </c>
      <c r="C29" s="5" t="s">
        <v>459</v>
      </c>
      <c r="D29" s="5"/>
      <c r="E29" s="10" t="s">
        <v>482</v>
      </c>
      <c r="F29" s="10" t="s">
        <v>483</v>
      </c>
      <c r="I29" s="17"/>
      <c r="J29" s="17"/>
    </row>
    <row r="30" spans="1:12" x14ac:dyDescent="0.3">
      <c r="A30" s="3">
        <v>114</v>
      </c>
      <c r="B30" s="5" t="s">
        <v>477</v>
      </c>
      <c r="C30" s="5" t="s">
        <v>451</v>
      </c>
      <c r="D30" s="5"/>
      <c r="E30" s="10" t="s">
        <v>484</v>
      </c>
      <c r="F30" s="10" t="s">
        <v>485</v>
      </c>
      <c r="I30" s="17"/>
      <c r="J30" s="17"/>
    </row>
    <row r="31" spans="1:12" x14ac:dyDescent="0.3">
      <c r="A31" s="3">
        <v>115</v>
      </c>
      <c r="B31" s="11" t="s">
        <v>474</v>
      </c>
      <c r="C31" s="11" t="s">
        <v>459</v>
      </c>
      <c r="D31" s="11"/>
      <c r="E31" s="10" t="s">
        <v>486</v>
      </c>
      <c r="F31" s="10" t="s">
        <v>487</v>
      </c>
      <c r="I31" s="17"/>
      <c r="J31" s="17"/>
    </row>
    <row r="32" spans="1:12" x14ac:dyDescent="0.3">
      <c r="A32" s="3">
        <v>116</v>
      </c>
      <c r="B32" s="11" t="s">
        <v>477</v>
      </c>
      <c r="C32" s="11" t="s">
        <v>451</v>
      </c>
      <c r="D32" s="11"/>
      <c r="E32" s="10" t="s">
        <v>488</v>
      </c>
      <c r="F32" s="10" t="s">
        <v>489</v>
      </c>
      <c r="I32" s="17"/>
      <c r="J32" s="17"/>
      <c r="K32" s="18">
        <v>44820</v>
      </c>
      <c r="L32" s="18">
        <v>44834.999988425901</v>
      </c>
    </row>
    <row r="33" spans="1:6" x14ac:dyDescent="0.3">
      <c r="A33" s="3">
        <v>117</v>
      </c>
      <c r="B33" s="11" t="s">
        <v>477</v>
      </c>
      <c r="C33" s="11" t="s">
        <v>459</v>
      </c>
      <c r="D33" s="11"/>
      <c r="E33" s="12" t="s">
        <v>490</v>
      </c>
      <c r="F33" s="12" t="s">
        <v>491</v>
      </c>
    </row>
    <row r="34" spans="1:6" x14ac:dyDescent="0.3">
      <c r="A34" s="3">
        <v>118</v>
      </c>
      <c r="B34" s="11" t="s">
        <v>477</v>
      </c>
      <c r="C34" s="11" t="s">
        <v>451</v>
      </c>
      <c r="D34" s="11"/>
      <c r="E34" s="12" t="s">
        <v>492</v>
      </c>
      <c r="F34" s="12" t="s">
        <v>493</v>
      </c>
    </row>
    <row r="35" spans="1:6" x14ac:dyDescent="0.3">
      <c r="A35" s="3">
        <v>119</v>
      </c>
      <c r="B35" s="11" t="s">
        <v>474</v>
      </c>
      <c r="C35" s="11" t="s">
        <v>459</v>
      </c>
      <c r="D35" s="11"/>
      <c r="E35" s="12" t="s">
        <v>494</v>
      </c>
      <c r="F35" s="12" t="s">
        <v>495</v>
      </c>
    </row>
    <row r="36" spans="1:6" x14ac:dyDescent="0.3">
      <c r="A36" s="3">
        <v>120</v>
      </c>
      <c r="B36" s="11" t="s">
        <v>474</v>
      </c>
      <c r="C36" s="11" t="s">
        <v>451</v>
      </c>
      <c r="D36" s="11"/>
      <c r="E36" s="12" t="s">
        <v>496</v>
      </c>
      <c r="F36" s="12" t="s">
        <v>497</v>
      </c>
    </row>
    <row r="37" spans="1:6" x14ac:dyDescent="0.3">
      <c r="A37" s="3">
        <v>121</v>
      </c>
      <c r="B37" s="11" t="s">
        <v>474</v>
      </c>
      <c r="C37" s="11" t="s">
        <v>459</v>
      </c>
      <c r="D37" s="11"/>
      <c r="E37" s="12" t="s">
        <v>498</v>
      </c>
      <c r="F37" s="12" t="s">
        <v>499</v>
      </c>
    </row>
    <row r="38" spans="1:6" x14ac:dyDescent="0.3">
      <c r="A38" s="3">
        <v>122</v>
      </c>
      <c r="B38" s="11" t="s">
        <v>500</v>
      </c>
      <c r="C38" s="11" t="s">
        <v>451</v>
      </c>
      <c r="D38" s="11"/>
      <c r="E38" s="12" t="s">
        <v>501</v>
      </c>
      <c r="F38" s="12" t="s">
        <v>502</v>
      </c>
    </row>
    <row r="39" spans="1:6" x14ac:dyDescent="0.3">
      <c r="A39" s="3">
        <v>123</v>
      </c>
      <c r="B39" s="11" t="s">
        <v>500</v>
      </c>
      <c r="C39" s="11" t="s">
        <v>459</v>
      </c>
      <c r="D39" s="11"/>
      <c r="E39" s="12" t="s">
        <v>503</v>
      </c>
      <c r="F39" s="12" t="s">
        <v>504</v>
      </c>
    </row>
    <row r="40" spans="1:6" x14ac:dyDescent="0.3">
      <c r="A40" s="3">
        <v>124</v>
      </c>
      <c r="B40" s="11" t="s">
        <v>505</v>
      </c>
      <c r="C40" s="11" t="s">
        <v>451</v>
      </c>
      <c r="D40" s="11"/>
      <c r="E40" s="12" t="s">
        <v>506</v>
      </c>
      <c r="F40" s="12" t="s">
        <v>507</v>
      </c>
    </row>
    <row r="41" spans="1:6" x14ac:dyDescent="0.3">
      <c r="A41" s="3">
        <v>125</v>
      </c>
      <c r="B41" s="11" t="s">
        <v>508</v>
      </c>
      <c r="C41" s="11" t="s">
        <v>459</v>
      </c>
      <c r="D41" s="11"/>
      <c r="E41" s="12" t="s">
        <v>509</v>
      </c>
      <c r="F41" s="12" t="s">
        <v>510</v>
      </c>
    </row>
    <row r="42" spans="1:6" x14ac:dyDescent="0.3">
      <c r="A42" s="3">
        <v>126</v>
      </c>
      <c r="B42" s="11" t="s">
        <v>474</v>
      </c>
      <c r="C42" s="11" t="s">
        <v>451</v>
      </c>
      <c r="D42" s="11"/>
      <c r="E42" s="12" t="s">
        <v>511</v>
      </c>
      <c r="F42" s="12" t="s">
        <v>512</v>
      </c>
    </row>
    <row r="43" spans="1:6" x14ac:dyDescent="0.3">
      <c r="A43" s="3">
        <v>127</v>
      </c>
      <c r="B43" s="11" t="s">
        <v>513</v>
      </c>
      <c r="C43" s="11" t="s">
        <v>459</v>
      </c>
      <c r="D43" s="11"/>
      <c r="E43" s="12" t="s">
        <v>514</v>
      </c>
      <c r="F43" s="12" t="s">
        <v>515</v>
      </c>
    </row>
    <row r="44" spans="1:6" x14ac:dyDescent="0.3">
      <c r="A44" s="3">
        <v>128</v>
      </c>
      <c r="B44" s="11" t="s">
        <v>477</v>
      </c>
      <c r="C44" s="11" t="s">
        <v>451</v>
      </c>
      <c r="D44" s="11"/>
      <c r="E44" s="12" t="s">
        <v>516</v>
      </c>
      <c r="F44" s="12" t="s">
        <v>517</v>
      </c>
    </row>
    <row r="45" spans="1:6" x14ac:dyDescent="0.3">
      <c r="A45" s="3">
        <v>129</v>
      </c>
      <c r="B45" s="11" t="s">
        <v>474</v>
      </c>
      <c r="C45" s="11" t="s">
        <v>459</v>
      </c>
      <c r="D45" s="11"/>
      <c r="E45" s="12" t="s">
        <v>518</v>
      </c>
      <c r="F45" s="12" t="s">
        <v>519</v>
      </c>
    </row>
    <row r="46" spans="1:6" x14ac:dyDescent="0.3">
      <c r="A46" s="3">
        <v>130</v>
      </c>
      <c r="B46" s="11" t="s">
        <v>477</v>
      </c>
      <c r="C46" s="11" t="s">
        <v>451</v>
      </c>
      <c r="D46" s="11"/>
      <c r="E46" s="12" t="s">
        <v>520</v>
      </c>
      <c r="F46" s="12" t="s">
        <v>521</v>
      </c>
    </row>
    <row r="47" spans="1:6" x14ac:dyDescent="0.3">
      <c r="A47" s="3">
        <v>131</v>
      </c>
      <c r="B47" s="11" t="s">
        <v>474</v>
      </c>
      <c r="C47" s="11" t="s">
        <v>459</v>
      </c>
      <c r="D47" s="11"/>
      <c r="E47" s="12" t="s">
        <v>522</v>
      </c>
      <c r="F47" s="12" t="s">
        <v>523</v>
      </c>
    </row>
    <row r="48" spans="1:6" x14ac:dyDescent="0.3">
      <c r="A48" s="3">
        <v>132</v>
      </c>
      <c r="B48" s="11" t="s">
        <v>477</v>
      </c>
      <c r="C48" s="11" t="s">
        <v>451</v>
      </c>
      <c r="D48" s="11"/>
      <c r="E48" s="12" t="s">
        <v>524</v>
      </c>
      <c r="F48" s="12" t="s">
        <v>525</v>
      </c>
    </row>
    <row r="49" spans="1:9" x14ac:dyDescent="0.3">
      <c r="A49" s="3">
        <v>133</v>
      </c>
      <c r="B49" s="11" t="s">
        <v>526</v>
      </c>
      <c r="C49" s="11" t="s">
        <v>527</v>
      </c>
      <c r="D49" s="11"/>
      <c r="E49" s="12" t="s">
        <v>528</v>
      </c>
      <c r="F49" s="12" t="s">
        <v>529</v>
      </c>
      <c r="I49" s="11"/>
    </row>
    <row r="50" spans="1:9" x14ac:dyDescent="0.3">
      <c r="A50" s="3">
        <v>134</v>
      </c>
      <c r="B50" s="11" t="s">
        <v>530</v>
      </c>
      <c r="C50" s="11" t="s">
        <v>531</v>
      </c>
      <c r="D50" s="11"/>
      <c r="E50" s="12" t="s">
        <v>532</v>
      </c>
      <c r="F50" s="12" t="s">
        <v>533</v>
      </c>
      <c r="I50" s="11"/>
    </row>
    <row r="51" spans="1:9" x14ac:dyDescent="0.3">
      <c r="A51" s="13">
        <v>135</v>
      </c>
      <c r="B51" s="11" t="s">
        <v>530</v>
      </c>
      <c r="C51" s="11" t="s">
        <v>534</v>
      </c>
      <c r="D51" s="11" t="s">
        <v>535</v>
      </c>
      <c r="E51" s="12" t="s">
        <v>536</v>
      </c>
      <c r="F51" s="12" t="s">
        <v>537</v>
      </c>
    </row>
    <row r="52" spans="1:9" x14ac:dyDescent="0.3">
      <c r="A52" s="13">
        <v>136</v>
      </c>
      <c r="B52" s="11" t="s">
        <v>538</v>
      </c>
      <c r="C52" s="11" t="s">
        <v>531</v>
      </c>
      <c r="D52" t="s">
        <v>539</v>
      </c>
      <c r="E52" s="12" t="s">
        <v>540</v>
      </c>
      <c r="F52" s="12" t="s">
        <v>541</v>
      </c>
    </row>
    <row r="53" spans="1:9" x14ac:dyDescent="0.3">
      <c r="A53" s="13">
        <v>137</v>
      </c>
      <c r="B53" s="11" t="s">
        <v>538</v>
      </c>
      <c r="C53" s="11" t="s">
        <v>542</v>
      </c>
      <c r="D53" s="11" t="s">
        <v>543</v>
      </c>
      <c r="E53" s="12" t="s">
        <v>544</v>
      </c>
      <c r="F53" s="12" t="s">
        <v>545</v>
      </c>
    </row>
    <row r="54" spans="1:9" x14ac:dyDescent="0.3">
      <c r="A54" s="13">
        <v>138</v>
      </c>
      <c r="B54" s="11" t="s">
        <v>538</v>
      </c>
      <c r="C54" s="11" t="s">
        <v>527</v>
      </c>
      <c r="D54" s="11" t="s">
        <v>546</v>
      </c>
      <c r="E54" s="12" t="s">
        <v>547</v>
      </c>
      <c r="F54" s="12" t="s">
        <v>548</v>
      </c>
    </row>
    <row r="55" spans="1:9" x14ac:dyDescent="0.3">
      <c r="A55" s="13">
        <v>139</v>
      </c>
      <c r="B55" s="11" t="s">
        <v>538</v>
      </c>
      <c r="C55" s="11" t="s">
        <v>534</v>
      </c>
      <c r="D55" s="11" t="s">
        <v>535</v>
      </c>
      <c r="E55" s="12" t="s">
        <v>549</v>
      </c>
      <c r="F55" s="12" t="s">
        <v>550</v>
      </c>
    </row>
    <row r="56" spans="1:9" s="6" customFormat="1" x14ac:dyDescent="0.3">
      <c r="A56" s="13">
        <v>140</v>
      </c>
      <c r="B56" s="11" t="s">
        <v>538</v>
      </c>
      <c r="C56" s="11" t="s">
        <v>531</v>
      </c>
      <c r="D56" t="s">
        <v>539</v>
      </c>
      <c r="E56" s="12" t="s">
        <v>551</v>
      </c>
      <c r="F56" s="12" t="s">
        <v>552</v>
      </c>
    </row>
    <row r="57" spans="1:9" x14ac:dyDescent="0.3">
      <c r="A57" s="13">
        <v>141</v>
      </c>
      <c r="B57" s="11" t="s">
        <v>553</v>
      </c>
      <c r="C57" s="11" t="s">
        <v>542</v>
      </c>
      <c r="D57" s="11" t="s">
        <v>543</v>
      </c>
      <c r="E57" s="12" t="s">
        <v>554</v>
      </c>
      <c r="F57" s="12" t="s">
        <v>555</v>
      </c>
    </row>
    <row r="58" spans="1:9" x14ac:dyDescent="0.3">
      <c r="A58" s="13">
        <v>142</v>
      </c>
      <c r="B58" s="11" t="s">
        <v>556</v>
      </c>
      <c r="C58" s="11" t="s">
        <v>557</v>
      </c>
      <c r="D58" s="11" t="s">
        <v>546</v>
      </c>
      <c r="E58" s="12" t="s">
        <v>558</v>
      </c>
      <c r="F58" s="12" t="s">
        <v>559</v>
      </c>
    </row>
    <row r="59" spans="1:9" s="9" customFormat="1" x14ac:dyDescent="0.3">
      <c r="A59" s="14">
        <v>143</v>
      </c>
      <c r="B59" s="15" t="s">
        <v>556</v>
      </c>
      <c r="C59" s="15" t="s">
        <v>560</v>
      </c>
      <c r="D59" s="15" t="s">
        <v>535</v>
      </c>
      <c r="E59" s="16" t="s">
        <v>561</v>
      </c>
      <c r="F59" s="16" t="s">
        <v>562</v>
      </c>
    </row>
    <row r="60" spans="1:9" s="9" customFormat="1" x14ac:dyDescent="0.3">
      <c r="A60" s="14">
        <v>144</v>
      </c>
      <c r="B60" s="15" t="s">
        <v>556</v>
      </c>
      <c r="C60" s="15" t="s">
        <v>563</v>
      </c>
      <c r="D60" s="15" t="s">
        <v>564</v>
      </c>
      <c r="E60" s="16" t="s">
        <v>565</v>
      </c>
      <c r="F60" s="16" t="s">
        <v>566</v>
      </c>
    </row>
    <row r="61" spans="1:9" s="9" customFormat="1" x14ac:dyDescent="0.3">
      <c r="A61" s="14">
        <v>145</v>
      </c>
      <c r="B61" s="15" t="s">
        <v>556</v>
      </c>
      <c r="C61" s="15" t="s">
        <v>567</v>
      </c>
      <c r="D61" s="9" t="s">
        <v>568</v>
      </c>
      <c r="E61" s="16" t="s">
        <v>569</v>
      </c>
      <c r="F61" s="16" t="s">
        <v>570</v>
      </c>
    </row>
    <row r="62" spans="1:9" s="9" customFormat="1" x14ac:dyDescent="0.3">
      <c r="A62" s="14">
        <v>146</v>
      </c>
      <c r="B62" s="15" t="s">
        <v>556</v>
      </c>
      <c r="C62" s="15" t="s">
        <v>557</v>
      </c>
      <c r="D62" s="9" t="s">
        <v>571</v>
      </c>
      <c r="E62" s="16" t="s">
        <v>572</v>
      </c>
      <c r="F62" s="16" t="s">
        <v>573</v>
      </c>
    </row>
    <row r="63" spans="1:9" s="9" customFormat="1" x14ac:dyDescent="0.3">
      <c r="A63" s="14">
        <v>147</v>
      </c>
      <c r="B63" s="15" t="s">
        <v>574</v>
      </c>
      <c r="C63" s="15" t="s">
        <v>560</v>
      </c>
      <c r="D63" s="9" t="s">
        <v>575</v>
      </c>
      <c r="E63" s="16" t="s">
        <v>576</v>
      </c>
      <c r="F63" s="16" t="s">
        <v>577</v>
      </c>
    </row>
    <row r="64" spans="1:9" s="9" customFormat="1" x14ac:dyDescent="0.3">
      <c r="A64" s="14">
        <v>148</v>
      </c>
      <c r="B64" s="15" t="s">
        <v>574</v>
      </c>
      <c r="C64" s="15" t="s">
        <v>563</v>
      </c>
      <c r="D64" s="15" t="s">
        <v>564</v>
      </c>
      <c r="E64" s="16" t="s">
        <v>578</v>
      </c>
      <c r="F64" s="16" t="s">
        <v>579</v>
      </c>
    </row>
    <row r="65" spans="1:6" s="9" customFormat="1" x14ac:dyDescent="0.3">
      <c r="A65" s="14">
        <v>149</v>
      </c>
      <c r="B65" s="15" t="s">
        <v>574</v>
      </c>
      <c r="C65" s="15" t="s">
        <v>580</v>
      </c>
      <c r="D65" s="9" t="s">
        <v>581</v>
      </c>
      <c r="E65" s="16" t="s">
        <v>582</v>
      </c>
      <c r="F65" s="16" t="s">
        <v>583</v>
      </c>
    </row>
    <row r="66" spans="1:6" s="9" customFormat="1" x14ac:dyDescent="0.3">
      <c r="A66" s="14">
        <v>150</v>
      </c>
      <c r="B66" s="15" t="s">
        <v>574</v>
      </c>
      <c r="C66" s="15" t="s">
        <v>584</v>
      </c>
      <c r="D66" s="9" t="s">
        <v>585</v>
      </c>
      <c r="E66" s="16" t="s">
        <v>586</v>
      </c>
      <c r="F66" s="16" t="s">
        <v>587</v>
      </c>
    </row>
    <row r="67" spans="1:6" s="9" customFormat="1" x14ac:dyDescent="0.3">
      <c r="A67" s="14">
        <v>151</v>
      </c>
      <c r="B67" s="15" t="s">
        <v>574</v>
      </c>
      <c r="C67" s="15" t="s">
        <v>588</v>
      </c>
      <c r="D67" s="9" t="s">
        <v>589</v>
      </c>
      <c r="E67" s="16" t="s">
        <v>590</v>
      </c>
      <c r="F67" s="16" t="s">
        <v>591</v>
      </c>
    </row>
    <row r="68" spans="1:6" s="9" customFormat="1" x14ac:dyDescent="0.3">
      <c r="A68" s="14">
        <v>152</v>
      </c>
      <c r="B68" s="15" t="s">
        <v>574</v>
      </c>
      <c r="C68" s="15" t="s">
        <v>592</v>
      </c>
      <c r="D68" s="9" t="s">
        <v>593</v>
      </c>
      <c r="E68" s="16" t="s">
        <v>594</v>
      </c>
      <c r="F68" s="16" t="s">
        <v>595</v>
      </c>
    </row>
    <row r="69" spans="1:6" s="9" customFormat="1" x14ac:dyDescent="0.3">
      <c r="A69" s="14">
        <v>153</v>
      </c>
      <c r="B69" s="15" t="s">
        <v>574</v>
      </c>
      <c r="C69" s="15" t="s">
        <v>563</v>
      </c>
      <c r="D69" s="9" t="s">
        <v>596</v>
      </c>
      <c r="E69" s="16" t="s">
        <v>597</v>
      </c>
      <c r="F69" s="16" t="s">
        <v>598</v>
      </c>
    </row>
    <row r="70" spans="1:6" s="9" customFormat="1" x14ac:dyDescent="0.3">
      <c r="A70" s="14">
        <v>154</v>
      </c>
      <c r="B70" s="15" t="s">
        <v>599</v>
      </c>
      <c r="C70" s="15" t="s">
        <v>580</v>
      </c>
      <c r="D70" s="9" t="s">
        <v>581</v>
      </c>
      <c r="E70" s="16" t="s">
        <v>600</v>
      </c>
      <c r="F70" s="16" t="s">
        <v>601</v>
      </c>
    </row>
    <row r="71" spans="1:6" s="9" customFormat="1" x14ac:dyDescent="0.3">
      <c r="A71" s="14">
        <v>155</v>
      </c>
      <c r="B71" s="15" t="s">
        <v>599</v>
      </c>
      <c r="C71" s="15" t="s">
        <v>584</v>
      </c>
      <c r="D71" s="9" t="s">
        <v>585</v>
      </c>
      <c r="E71" s="16" t="s">
        <v>602</v>
      </c>
      <c r="F71" s="16" t="s">
        <v>603</v>
      </c>
    </row>
    <row r="72" spans="1:6" s="9" customFormat="1" x14ac:dyDescent="0.3">
      <c r="A72" s="14">
        <v>156</v>
      </c>
      <c r="B72" s="15" t="s">
        <v>599</v>
      </c>
      <c r="C72" s="15" t="s">
        <v>588</v>
      </c>
      <c r="D72" s="9" t="s">
        <v>589</v>
      </c>
      <c r="E72" s="16" t="s">
        <v>604</v>
      </c>
      <c r="F72" s="16" t="s">
        <v>605</v>
      </c>
    </row>
    <row r="73" spans="1:6" s="9" customFormat="1" x14ac:dyDescent="0.3">
      <c r="A73" s="14">
        <v>157</v>
      </c>
      <c r="B73" s="15" t="s">
        <v>599</v>
      </c>
      <c r="C73" s="15" t="s">
        <v>592</v>
      </c>
      <c r="D73" s="9" t="s">
        <v>593</v>
      </c>
      <c r="E73" s="16" t="s">
        <v>606</v>
      </c>
      <c r="F73" s="16" t="s">
        <v>607</v>
      </c>
    </row>
    <row r="74" spans="1:6" s="9" customFormat="1" x14ac:dyDescent="0.3">
      <c r="A74" s="14">
        <v>158</v>
      </c>
      <c r="B74" s="15" t="s">
        <v>599</v>
      </c>
      <c r="C74" s="15" t="s">
        <v>563</v>
      </c>
      <c r="D74" s="9" t="s">
        <v>596</v>
      </c>
      <c r="E74" s="16" t="s">
        <v>608</v>
      </c>
      <c r="F74" s="16" t="s">
        <v>609</v>
      </c>
    </row>
    <row r="75" spans="1:6" s="9" customFormat="1" x14ac:dyDescent="0.3">
      <c r="A75" s="14">
        <v>159</v>
      </c>
      <c r="B75" s="15" t="s">
        <v>599</v>
      </c>
      <c r="C75" s="15" t="s">
        <v>584</v>
      </c>
      <c r="D75" s="9" t="s">
        <v>585</v>
      </c>
      <c r="E75" s="16" t="s">
        <v>610</v>
      </c>
      <c r="F75" s="16" t="s">
        <v>611</v>
      </c>
    </row>
    <row r="76" spans="1:6" s="9" customFormat="1" x14ac:dyDescent="0.3">
      <c r="A76" s="14">
        <v>160</v>
      </c>
      <c r="B76" s="15" t="s">
        <v>599</v>
      </c>
      <c r="C76" s="15" t="s">
        <v>567</v>
      </c>
      <c r="D76" s="9" t="s">
        <v>568</v>
      </c>
      <c r="E76" s="16" t="s">
        <v>612</v>
      </c>
      <c r="F76" s="16" t="s">
        <v>613</v>
      </c>
    </row>
    <row r="77" spans="1:6" s="9" customFormat="1" x14ac:dyDescent="0.3">
      <c r="A77" s="14">
        <v>161</v>
      </c>
      <c r="B77" s="15" t="s">
        <v>599</v>
      </c>
      <c r="C77" s="15" t="s">
        <v>588</v>
      </c>
      <c r="D77" s="9" t="s">
        <v>589</v>
      </c>
      <c r="E77" s="16" t="s">
        <v>614</v>
      </c>
      <c r="F77" s="16" t="s">
        <v>615</v>
      </c>
    </row>
    <row r="78" spans="1:6" s="9" customFormat="1" x14ac:dyDescent="0.3">
      <c r="A78" s="14">
        <v>162</v>
      </c>
      <c r="B78" s="15" t="s">
        <v>556</v>
      </c>
      <c r="C78" s="15" t="s">
        <v>592</v>
      </c>
      <c r="D78" s="9" t="s">
        <v>593</v>
      </c>
      <c r="E78" s="16" t="s">
        <v>616</v>
      </c>
      <c r="F78" s="16" t="s">
        <v>617</v>
      </c>
    </row>
    <row r="79" spans="1:6" s="9" customFormat="1" x14ac:dyDescent="0.3">
      <c r="A79" s="14">
        <v>163</v>
      </c>
      <c r="B79" s="15" t="s">
        <v>618</v>
      </c>
      <c r="C79" s="15" t="s">
        <v>584</v>
      </c>
      <c r="D79" s="9" t="s">
        <v>585</v>
      </c>
      <c r="E79" s="16" t="s">
        <v>619</v>
      </c>
      <c r="F79" s="16" t="s">
        <v>620</v>
      </c>
    </row>
    <row r="80" spans="1:6" s="9" customFormat="1" x14ac:dyDescent="0.3">
      <c r="A80" s="14">
        <v>164</v>
      </c>
      <c r="B80" s="15" t="s">
        <v>618</v>
      </c>
      <c r="C80" s="15" t="s">
        <v>567</v>
      </c>
      <c r="D80" s="9" t="s">
        <v>568</v>
      </c>
      <c r="E80" s="16" t="s">
        <v>621</v>
      </c>
      <c r="F80" s="16" t="s">
        <v>622</v>
      </c>
    </row>
    <row r="81" spans="1:6" s="9" customFormat="1" x14ac:dyDescent="0.3">
      <c r="A81" s="14">
        <v>165</v>
      </c>
      <c r="B81" s="15" t="s">
        <v>618</v>
      </c>
      <c r="C81" s="15" t="s">
        <v>588</v>
      </c>
      <c r="D81" s="9" t="s">
        <v>589</v>
      </c>
      <c r="E81" s="16" t="s">
        <v>623</v>
      </c>
      <c r="F81" s="16" t="s">
        <v>624</v>
      </c>
    </row>
    <row r="82" spans="1:6" s="9" customFormat="1" x14ac:dyDescent="0.3">
      <c r="A82" s="14">
        <v>166</v>
      </c>
      <c r="B82" s="15" t="s">
        <v>618</v>
      </c>
      <c r="C82" s="15" t="s">
        <v>592</v>
      </c>
      <c r="D82" s="9" t="s">
        <v>593</v>
      </c>
      <c r="E82" s="16" t="s">
        <v>625</v>
      </c>
      <c r="F82" s="16" t="s">
        <v>626</v>
      </c>
    </row>
    <row r="83" spans="1:6" s="6" customFormat="1" x14ac:dyDescent="0.3">
      <c r="A83" s="19">
        <v>167</v>
      </c>
      <c r="B83" s="20" t="s">
        <v>618</v>
      </c>
      <c r="C83" s="20" t="s">
        <v>567</v>
      </c>
      <c r="D83" s="6" t="s">
        <v>568</v>
      </c>
      <c r="E83" s="21" t="s">
        <v>627</v>
      </c>
      <c r="F83" s="21" t="s">
        <v>628</v>
      </c>
    </row>
    <row r="84" spans="1:6" s="6" customFormat="1" x14ac:dyDescent="0.3">
      <c r="A84" s="19">
        <v>168</v>
      </c>
      <c r="B84" s="20" t="s">
        <v>618</v>
      </c>
      <c r="C84" s="20" t="s">
        <v>557</v>
      </c>
      <c r="D84" s="6" t="s">
        <v>571</v>
      </c>
      <c r="E84" s="21" t="s">
        <v>629</v>
      </c>
      <c r="F84" s="21" t="s">
        <v>630</v>
      </c>
    </row>
    <row r="85" spans="1:6" s="6" customFormat="1" x14ac:dyDescent="0.3">
      <c r="A85" s="19">
        <v>169</v>
      </c>
      <c r="B85" s="20" t="s">
        <v>618</v>
      </c>
      <c r="C85" s="20" t="s">
        <v>560</v>
      </c>
      <c r="D85" s="6" t="s">
        <v>575</v>
      </c>
      <c r="E85" s="21" t="s">
        <v>631</v>
      </c>
      <c r="F85" s="21" t="s">
        <v>632</v>
      </c>
    </row>
    <row r="86" spans="1:6" s="6" customFormat="1" x14ac:dyDescent="0.3">
      <c r="A86" s="19">
        <v>170</v>
      </c>
      <c r="B86" s="20" t="s">
        <v>618</v>
      </c>
      <c r="C86" s="20" t="s">
        <v>563</v>
      </c>
      <c r="D86" s="20" t="s">
        <v>564</v>
      </c>
      <c r="E86" s="21" t="s">
        <v>633</v>
      </c>
      <c r="F86" s="21" t="s">
        <v>634</v>
      </c>
    </row>
    <row r="87" spans="1:6" x14ac:dyDescent="0.3">
      <c r="A87" s="77">
        <v>171</v>
      </c>
      <c r="B87" s="78" t="s">
        <v>691</v>
      </c>
      <c r="C87" t="s">
        <v>588</v>
      </c>
      <c r="D87" t="s">
        <v>589</v>
      </c>
      <c r="E87" s="79" t="s">
        <v>692</v>
      </c>
      <c r="F87" s="79" t="s">
        <v>693</v>
      </c>
    </row>
    <row r="88" spans="1:6" x14ac:dyDescent="0.3">
      <c r="A88" s="77">
        <v>172</v>
      </c>
      <c r="B88" s="20" t="s">
        <v>702</v>
      </c>
      <c r="C88" t="s">
        <v>563</v>
      </c>
      <c r="D88" t="s">
        <v>596</v>
      </c>
      <c r="E88" s="79" t="s">
        <v>694</v>
      </c>
      <c r="F88" s="21" t="s">
        <v>695</v>
      </c>
    </row>
    <row r="89" spans="1:6" x14ac:dyDescent="0.3">
      <c r="A89" s="77">
        <v>173</v>
      </c>
      <c r="B89" s="20" t="s">
        <v>702</v>
      </c>
      <c r="C89" t="s">
        <v>584</v>
      </c>
      <c r="D89" t="s">
        <v>585</v>
      </c>
      <c r="E89" s="79" t="s">
        <v>696</v>
      </c>
      <c r="F89" s="79" t="s">
        <v>697</v>
      </c>
    </row>
    <row r="90" spans="1:6" x14ac:dyDescent="0.3">
      <c r="A90" s="77">
        <v>174</v>
      </c>
      <c r="B90" s="20" t="s">
        <v>702</v>
      </c>
      <c r="C90" t="s">
        <v>588</v>
      </c>
      <c r="D90" t="s">
        <v>589</v>
      </c>
      <c r="E90" s="79" t="s">
        <v>698</v>
      </c>
      <c r="F90" s="79" t="s">
        <v>699</v>
      </c>
    </row>
    <row r="91" spans="1:6" x14ac:dyDescent="0.3">
      <c r="A91" s="77">
        <v>175</v>
      </c>
      <c r="B91" s="20" t="s">
        <v>702</v>
      </c>
      <c r="C91" s="11" t="s">
        <v>592</v>
      </c>
      <c r="D91" s="80" t="s">
        <v>593</v>
      </c>
      <c r="E91" s="21" t="s">
        <v>703</v>
      </c>
      <c r="F91" s="21" t="s">
        <v>704</v>
      </c>
    </row>
    <row r="92" spans="1:6" x14ac:dyDescent="0.3">
      <c r="A92" s="77">
        <v>176</v>
      </c>
      <c r="B92" s="20" t="s">
        <v>702</v>
      </c>
      <c r="C92" s="11" t="s">
        <v>567</v>
      </c>
      <c r="D92" s="80" t="s">
        <v>568</v>
      </c>
      <c r="E92" s="21" t="s">
        <v>705</v>
      </c>
      <c r="F92" s="21" t="s">
        <v>706</v>
      </c>
    </row>
    <row r="93" spans="1:6" x14ac:dyDescent="0.3">
      <c r="A93" s="77">
        <v>177</v>
      </c>
      <c r="B93" s="20" t="s">
        <v>702</v>
      </c>
      <c r="C93" s="11" t="s">
        <v>557</v>
      </c>
      <c r="D93" s="80" t="s">
        <v>571</v>
      </c>
      <c r="E93" s="21" t="s">
        <v>707</v>
      </c>
      <c r="F93" s="21" t="s">
        <v>708</v>
      </c>
    </row>
    <row r="94" spans="1:6" x14ac:dyDescent="0.3">
      <c r="A94" s="77">
        <v>178</v>
      </c>
      <c r="B94" s="20" t="s">
        <v>702</v>
      </c>
      <c r="C94" s="11" t="s">
        <v>560</v>
      </c>
      <c r="D94" s="80" t="s">
        <v>575</v>
      </c>
      <c r="E94" s="21" t="s">
        <v>709</v>
      </c>
      <c r="F94" s="21" t="s">
        <v>710</v>
      </c>
    </row>
    <row r="95" spans="1:6" x14ac:dyDescent="0.3">
      <c r="A95" s="77">
        <v>179</v>
      </c>
      <c r="B95" s="20" t="s">
        <v>721</v>
      </c>
      <c r="C95" t="s">
        <v>588</v>
      </c>
      <c r="D95" t="s">
        <v>589</v>
      </c>
      <c r="E95" s="21" t="s">
        <v>713</v>
      </c>
      <c r="F95" s="21" t="s">
        <v>714</v>
      </c>
    </row>
    <row r="96" spans="1:6" x14ac:dyDescent="0.3">
      <c r="A96" s="77">
        <v>180</v>
      </c>
      <c r="B96" s="20" t="s">
        <v>721</v>
      </c>
      <c r="C96" t="s">
        <v>563</v>
      </c>
      <c r="D96" t="s">
        <v>596</v>
      </c>
      <c r="E96" s="21" t="s">
        <v>715</v>
      </c>
      <c r="F96" s="21" t="s">
        <v>716</v>
      </c>
    </row>
    <row r="97" spans="1:6" x14ac:dyDescent="0.3">
      <c r="A97" s="77">
        <v>181</v>
      </c>
      <c r="B97" s="20" t="s">
        <v>721</v>
      </c>
      <c r="C97" t="s">
        <v>584</v>
      </c>
      <c r="D97" t="s">
        <v>585</v>
      </c>
      <c r="E97" s="21" t="s">
        <v>717</v>
      </c>
      <c r="F97" s="21" t="s">
        <v>718</v>
      </c>
    </row>
    <row r="98" spans="1:6" x14ac:dyDescent="0.3">
      <c r="A98" s="77">
        <v>182</v>
      </c>
      <c r="B98" s="20" t="s">
        <v>721</v>
      </c>
      <c r="C98" s="11" t="s">
        <v>592</v>
      </c>
      <c r="D98" s="80" t="s">
        <v>593</v>
      </c>
      <c r="E98" s="21" t="s">
        <v>720</v>
      </c>
      <c r="F98" s="21" t="s">
        <v>719</v>
      </c>
    </row>
    <row r="99" spans="1:6" x14ac:dyDescent="0.3">
      <c r="A99" s="77">
        <v>183</v>
      </c>
      <c r="B99" s="20" t="s">
        <v>721</v>
      </c>
      <c r="C99" s="11" t="s">
        <v>567</v>
      </c>
      <c r="D99" s="80" t="s">
        <v>568</v>
      </c>
      <c r="E99" s="21" t="s">
        <v>750</v>
      </c>
      <c r="F99" s="21" t="s">
        <v>751</v>
      </c>
    </row>
    <row r="100" spans="1:6" x14ac:dyDescent="0.3">
      <c r="A100" s="77">
        <v>184</v>
      </c>
      <c r="B100" s="20" t="s">
        <v>749</v>
      </c>
      <c r="C100" s="11" t="s">
        <v>567</v>
      </c>
      <c r="D100" s="80" t="s">
        <v>568</v>
      </c>
      <c r="E100" s="21" t="s">
        <v>752</v>
      </c>
      <c r="F100" s="21" t="s">
        <v>753</v>
      </c>
    </row>
    <row r="101" spans="1:6" x14ac:dyDescent="0.3">
      <c r="A101" s="77">
        <v>185</v>
      </c>
      <c r="B101" s="20" t="s">
        <v>749</v>
      </c>
      <c r="C101" s="11" t="s">
        <v>557</v>
      </c>
      <c r="D101" s="80" t="s">
        <v>571</v>
      </c>
      <c r="E101" s="21" t="s">
        <v>754</v>
      </c>
      <c r="F101" s="21" t="s">
        <v>755</v>
      </c>
    </row>
    <row r="102" spans="1:6" x14ac:dyDescent="0.3">
      <c r="A102" s="77">
        <v>186</v>
      </c>
      <c r="B102" s="20" t="s">
        <v>749</v>
      </c>
      <c r="C102" s="11" t="s">
        <v>560</v>
      </c>
      <c r="D102" s="80" t="s">
        <v>575</v>
      </c>
      <c r="E102" s="21" t="s">
        <v>756</v>
      </c>
      <c r="F102" s="21" t="s">
        <v>757</v>
      </c>
    </row>
    <row r="103" spans="1:6" x14ac:dyDescent="0.3">
      <c r="A103" s="77">
        <v>187</v>
      </c>
      <c r="B103" s="20" t="s">
        <v>749</v>
      </c>
      <c r="C103" t="s">
        <v>588</v>
      </c>
      <c r="D103" t="s">
        <v>589</v>
      </c>
      <c r="E103" s="21" t="s">
        <v>758</v>
      </c>
      <c r="F103" s="21" t="s">
        <v>759</v>
      </c>
    </row>
    <row r="104" spans="1:6" x14ac:dyDescent="0.3">
      <c r="A104" s="77">
        <v>188</v>
      </c>
      <c r="B104" s="20" t="s">
        <v>749</v>
      </c>
      <c r="C104" t="s">
        <v>563</v>
      </c>
      <c r="D104" t="s">
        <v>596</v>
      </c>
      <c r="E104" s="21" t="s">
        <v>760</v>
      </c>
      <c r="F104" s="21" t="s">
        <v>761</v>
      </c>
    </row>
    <row r="105" spans="1:6" x14ac:dyDescent="0.3">
      <c r="A105" s="81">
        <v>189</v>
      </c>
      <c r="B105" s="82" t="s">
        <v>762</v>
      </c>
      <c r="C105" t="s">
        <v>584</v>
      </c>
      <c r="D105" t="s">
        <v>585</v>
      </c>
      <c r="E105" s="83" t="s">
        <v>763</v>
      </c>
      <c r="F105" s="83" t="s">
        <v>764</v>
      </c>
    </row>
    <row r="106" spans="1:6" x14ac:dyDescent="0.3">
      <c r="A106" s="81">
        <v>190</v>
      </c>
      <c r="B106" s="82" t="s">
        <v>762</v>
      </c>
      <c r="C106" s="11" t="s">
        <v>592</v>
      </c>
      <c r="D106" t="s">
        <v>593</v>
      </c>
      <c r="E106" s="83" t="s">
        <v>765</v>
      </c>
      <c r="F106" s="83" t="s">
        <v>766</v>
      </c>
    </row>
    <row r="107" spans="1:6" x14ac:dyDescent="0.3">
      <c r="A107" s="81">
        <v>191</v>
      </c>
      <c r="B107" s="82" t="s">
        <v>762</v>
      </c>
      <c r="C107" s="11" t="s">
        <v>567</v>
      </c>
      <c r="D107" t="s">
        <v>568</v>
      </c>
      <c r="E107" s="83" t="s">
        <v>767</v>
      </c>
      <c r="F107" s="83" t="s">
        <v>768</v>
      </c>
    </row>
    <row r="108" spans="1:6" x14ac:dyDescent="0.3">
      <c r="A108" s="81">
        <v>192</v>
      </c>
      <c r="B108" s="82" t="s">
        <v>762</v>
      </c>
      <c r="C108" s="11" t="s">
        <v>557</v>
      </c>
      <c r="D108" t="s">
        <v>571</v>
      </c>
      <c r="E108" s="83" t="s">
        <v>769</v>
      </c>
      <c r="F108" s="83" t="s">
        <v>770</v>
      </c>
    </row>
    <row r="109" spans="1:6" x14ac:dyDescent="0.3">
      <c r="A109" s="81">
        <v>193</v>
      </c>
      <c r="B109" s="82" t="s">
        <v>771</v>
      </c>
      <c r="C109" s="11" t="s">
        <v>560</v>
      </c>
      <c r="D109" t="s">
        <v>575</v>
      </c>
      <c r="E109" s="83" t="s">
        <v>772</v>
      </c>
      <c r="F109" s="83" t="s">
        <v>773</v>
      </c>
    </row>
    <row r="110" spans="1:6" x14ac:dyDescent="0.3">
      <c r="A110" s="81">
        <v>194</v>
      </c>
      <c r="B110" s="82" t="s">
        <v>771</v>
      </c>
      <c r="C110" t="s">
        <v>588</v>
      </c>
      <c r="D110" t="s">
        <v>589</v>
      </c>
      <c r="E110" s="83" t="s">
        <v>774</v>
      </c>
      <c r="F110" s="83" t="s">
        <v>775</v>
      </c>
    </row>
    <row r="111" spans="1:6" x14ac:dyDescent="0.3">
      <c r="A111" s="81">
        <v>195</v>
      </c>
      <c r="B111" s="82" t="s">
        <v>771</v>
      </c>
      <c r="C111" t="s">
        <v>563</v>
      </c>
      <c r="D111" t="s">
        <v>596</v>
      </c>
      <c r="E111" s="83" t="s">
        <v>776</v>
      </c>
      <c r="F111" s="83" t="s">
        <v>777</v>
      </c>
    </row>
    <row r="112" spans="1:6" x14ac:dyDescent="0.3">
      <c r="A112" s="81">
        <v>196</v>
      </c>
      <c r="B112" s="82" t="s">
        <v>771</v>
      </c>
      <c r="C112" t="s">
        <v>584</v>
      </c>
      <c r="D112" t="s">
        <v>585</v>
      </c>
      <c r="E112" s="83" t="s">
        <v>778</v>
      </c>
      <c r="F112" s="83" t="s">
        <v>779</v>
      </c>
    </row>
    <row r="113" spans="1:7" x14ac:dyDescent="0.3">
      <c r="A113" s="81">
        <v>197</v>
      </c>
      <c r="B113" s="82" t="s">
        <v>771</v>
      </c>
      <c r="C113" s="11" t="s">
        <v>592</v>
      </c>
      <c r="D113" t="s">
        <v>593</v>
      </c>
      <c r="E113" s="83" t="s">
        <v>780</v>
      </c>
      <c r="F113" s="84" t="s">
        <v>781</v>
      </c>
    </row>
    <row r="114" spans="1:7" x14ac:dyDescent="0.3">
      <c r="A114" s="81">
        <v>198</v>
      </c>
      <c r="B114" s="82" t="s">
        <v>771</v>
      </c>
      <c r="C114" s="11" t="s">
        <v>567</v>
      </c>
      <c r="D114" t="s">
        <v>568</v>
      </c>
      <c r="E114" s="83" t="s">
        <v>782</v>
      </c>
      <c r="F114" s="83" t="s">
        <v>783</v>
      </c>
    </row>
    <row r="115" spans="1:7" x14ac:dyDescent="0.3">
      <c r="A115" s="81">
        <v>199</v>
      </c>
      <c r="B115" s="85" t="s">
        <v>784</v>
      </c>
      <c r="C115" s="85" t="s">
        <v>567</v>
      </c>
      <c r="D115" s="86" t="s">
        <v>568</v>
      </c>
      <c r="E115" s="84" t="s">
        <v>785</v>
      </c>
      <c r="F115" s="87" t="s">
        <v>786</v>
      </c>
    </row>
    <row r="116" spans="1:7" x14ac:dyDescent="0.3">
      <c r="A116" s="81">
        <v>200</v>
      </c>
      <c r="B116" s="82" t="s">
        <v>784</v>
      </c>
      <c r="C116" s="11" t="s">
        <v>557</v>
      </c>
      <c r="D116" t="s">
        <v>571</v>
      </c>
      <c r="E116" s="83" t="s">
        <v>787</v>
      </c>
      <c r="F116" s="83" t="s">
        <v>788</v>
      </c>
    </row>
    <row r="117" spans="1:7" x14ac:dyDescent="0.3">
      <c r="A117" s="81">
        <v>201</v>
      </c>
      <c r="B117" s="82" t="s">
        <v>784</v>
      </c>
      <c r="C117" s="11" t="s">
        <v>789</v>
      </c>
      <c r="D117" t="s">
        <v>790</v>
      </c>
      <c r="E117" s="83" t="s">
        <v>791</v>
      </c>
      <c r="F117" s="83" t="s">
        <v>792</v>
      </c>
    </row>
    <row r="118" spans="1:7" x14ac:dyDescent="0.3">
      <c r="A118" s="81">
        <v>202</v>
      </c>
      <c r="B118" s="82" t="s">
        <v>784</v>
      </c>
      <c r="C118" s="11" t="s">
        <v>793</v>
      </c>
      <c r="D118" t="s">
        <v>794</v>
      </c>
      <c r="E118" s="83" t="s">
        <v>795</v>
      </c>
      <c r="F118" s="83" t="s">
        <v>796</v>
      </c>
    </row>
    <row r="119" spans="1:7" x14ac:dyDescent="0.3">
      <c r="A119" s="81">
        <v>203</v>
      </c>
      <c r="B119" s="82" t="s">
        <v>784</v>
      </c>
      <c r="C119" t="s">
        <v>588</v>
      </c>
      <c r="D119" t="s">
        <v>589</v>
      </c>
      <c r="E119" s="83" t="s">
        <v>797</v>
      </c>
      <c r="F119" s="83" t="s">
        <v>798</v>
      </c>
    </row>
    <row r="120" spans="1:7" x14ac:dyDescent="0.3">
      <c r="A120" s="88">
        <v>204</v>
      </c>
      <c r="B120" s="89" t="s">
        <v>799</v>
      </c>
      <c r="C120" s="90" t="s">
        <v>588</v>
      </c>
      <c r="D120" s="90" t="s">
        <v>589</v>
      </c>
      <c r="E120" s="84" t="s">
        <v>800</v>
      </c>
      <c r="F120" s="84" t="s">
        <v>801</v>
      </c>
      <c r="G120" s="90"/>
    </row>
    <row r="121" spans="1:7" x14ac:dyDescent="0.3">
      <c r="A121" s="88">
        <v>205</v>
      </c>
      <c r="B121" s="89" t="s">
        <v>799</v>
      </c>
      <c r="C121" s="90" t="s">
        <v>563</v>
      </c>
      <c r="D121" s="90" t="s">
        <v>596</v>
      </c>
      <c r="E121" s="84" t="s">
        <v>802</v>
      </c>
      <c r="F121" s="84" t="s">
        <v>803</v>
      </c>
      <c r="G121" s="90"/>
    </row>
    <row r="122" spans="1:7" x14ac:dyDescent="0.3">
      <c r="A122" s="88">
        <v>206</v>
      </c>
      <c r="B122" s="89" t="s">
        <v>799</v>
      </c>
      <c r="C122" s="90" t="s">
        <v>804</v>
      </c>
      <c r="D122" s="90" t="s">
        <v>805</v>
      </c>
      <c r="E122" s="84" t="s">
        <v>806</v>
      </c>
      <c r="F122" s="84" t="s">
        <v>807</v>
      </c>
      <c r="G122" s="90"/>
    </row>
    <row r="123" spans="1:7" x14ac:dyDescent="0.3">
      <c r="A123" s="88">
        <v>207</v>
      </c>
      <c r="B123" s="89" t="s">
        <v>799</v>
      </c>
      <c r="C123" s="89" t="s">
        <v>808</v>
      </c>
      <c r="D123" s="90" t="s">
        <v>809</v>
      </c>
      <c r="E123" s="84" t="s">
        <v>810</v>
      </c>
      <c r="F123" s="84" t="s">
        <v>811</v>
      </c>
      <c r="G123" s="90"/>
    </row>
  </sheetData>
  <phoneticPr fontId="21" type="noConversion"/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1"/>
  <sheetViews>
    <sheetView topLeftCell="A10" workbookViewId="0">
      <selection activeCell="C35" sqref="C35"/>
    </sheetView>
  </sheetViews>
  <sheetFormatPr defaultColWidth="9" defaultRowHeight="15.6" x14ac:dyDescent="0.3"/>
  <cols>
    <col min="1" max="1" width="24.08984375" customWidth="1"/>
    <col min="2" max="2" width="19.7265625" customWidth="1"/>
    <col min="3" max="3" width="18.26953125" customWidth="1"/>
    <col min="4" max="4" width="30.453125" customWidth="1"/>
    <col min="5" max="5" width="13.7265625" customWidth="1"/>
    <col min="6" max="6" width="11.6328125" customWidth="1"/>
  </cols>
  <sheetData>
    <row r="1" spans="1:6" x14ac:dyDescent="0.3">
      <c r="A1" s="1" t="s">
        <v>0</v>
      </c>
      <c r="B1" s="2" t="s">
        <v>635</v>
      </c>
      <c r="C1" s="2" t="s">
        <v>2</v>
      </c>
    </row>
    <row r="2" spans="1:6" x14ac:dyDescent="0.3">
      <c r="A2" s="1" t="s">
        <v>3</v>
      </c>
      <c r="B2" s="2" t="s">
        <v>636</v>
      </c>
      <c r="C2" s="2" t="s">
        <v>5</v>
      </c>
    </row>
    <row r="3" spans="1:6" x14ac:dyDescent="0.3">
      <c r="A3" s="1" t="s">
        <v>6</v>
      </c>
      <c r="B3" s="3" t="s">
        <v>7</v>
      </c>
      <c r="C3" s="2" t="s">
        <v>8</v>
      </c>
    </row>
    <row r="4" spans="1:6" x14ac:dyDescent="0.3">
      <c r="A4" s="1" t="s">
        <v>9</v>
      </c>
      <c r="B4" s="4" t="s">
        <v>10</v>
      </c>
      <c r="C4" s="2"/>
    </row>
    <row r="5" spans="1:6" x14ac:dyDescent="0.3">
      <c r="A5" s="1" t="s">
        <v>11</v>
      </c>
      <c r="B5" s="2"/>
      <c r="C5" s="2" t="s">
        <v>12</v>
      </c>
    </row>
    <row r="6" spans="1:6" x14ac:dyDescent="0.3">
      <c r="A6" s="1" t="s">
        <v>13</v>
      </c>
      <c r="B6" s="2">
        <v>4</v>
      </c>
      <c r="C6" s="2" t="s">
        <v>14</v>
      </c>
    </row>
    <row r="7" spans="1:6" x14ac:dyDescent="0.3">
      <c r="A7" s="1" t="s">
        <v>15</v>
      </c>
      <c r="B7" s="2"/>
      <c r="C7" s="2"/>
    </row>
    <row r="8" spans="1:6" x14ac:dyDescent="0.3">
      <c r="A8" s="1" t="s">
        <v>16</v>
      </c>
      <c r="B8" s="2"/>
      <c r="C8" s="2"/>
    </row>
    <row r="12" spans="1:6" x14ac:dyDescent="0.3">
      <c r="A12" t="s">
        <v>637</v>
      </c>
      <c r="B12" t="s">
        <v>638</v>
      </c>
      <c r="C12" s="7" t="s">
        <v>19</v>
      </c>
      <c r="D12" t="s">
        <v>639</v>
      </c>
      <c r="E12" t="s">
        <v>401</v>
      </c>
      <c r="F12" t="s">
        <v>640</v>
      </c>
    </row>
    <row r="13" spans="1:6" x14ac:dyDescent="0.3">
      <c r="A13" s="4" t="s">
        <v>637</v>
      </c>
      <c r="B13" s="4" t="s">
        <v>641</v>
      </c>
      <c r="C13" s="8" t="s">
        <v>41</v>
      </c>
      <c r="D13" s="4" t="s">
        <v>642</v>
      </c>
      <c r="E13" s="4" t="s">
        <v>643</v>
      </c>
      <c r="F13" s="4" t="s">
        <v>644</v>
      </c>
    </row>
    <row r="14" spans="1:6" x14ac:dyDescent="0.3">
      <c r="A14" s="4" t="s">
        <v>61</v>
      </c>
      <c r="B14" s="4" t="s">
        <v>62</v>
      </c>
      <c r="C14" s="8" t="s">
        <v>62</v>
      </c>
      <c r="D14" s="4" t="s">
        <v>61</v>
      </c>
      <c r="E14" s="4" t="s">
        <v>61</v>
      </c>
      <c r="F14" s="4" t="s">
        <v>61</v>
      </c>
    </row>
    <row r="15" spans="1:6" x14ac:dyDescent="0.3">
      <c r="A15" s="4" t="s">
        <v>63</v>
      </c>
      <c r="B15" s="4" t="s">
        <v>64</v>
      </c>
      <c r="C15" s="8"/>
      <c r="D15" s="4" t="s">
        <v>64</v>
      </c>
      <c r="E15" s="4" t="s">
        <v>64</v>
      </c>
      <c r="F15" s="4" t="s">
        <v>64</v>
      </c>
    </row>
    <row r="16" spans="1:6" x14ac:dyDescent="0.3">
      <c r="A16" s="4">
        <v>0</v>
      </c>
      <c r="B16" s="4">
        <v>0</v>
      </c>
      <c r="C16" s="8">
        <v>0</v>
      </c>
      <c r="D16" s="4">
        <v>0</v>
      </c>
      <c r="E16" s="4">
        <v>0</v>
      </c>
      <c r="F16" s="4">
        <v>0</v>
      </c>
    </row>
    <row r="17" spans="1:7" x14ac:dyDescent="0.3">
      <c r="A17">
        <v>1001</v>
      </c>
      <c r="B17" t="s">
        <v>645</v>
      </c>
      <c r="C17" t="s">
        <v>116</v>
      </c>
      <c r="D17">
        <v>2</v>
      </c>
      <c r="E17">
        <v>76</v>
      </c>
      <c r="F17">
        <v>0</v>
      </c>
    </row>
    <row r="18" spans="1:7" x14ac:dyDescent="0.3">
      <c r="A18">
        <v>1002</v>
      </c>
      <c r="B18" t="s">
        <v>646</v>
      </c>
      <c r="C18" t="s">
        <v>80</v>
      </c>
      <c r="D18">
        <v>1</v>
      </c>
      <c r="E18" s="9">
        <v>0</v>
      </c>
      <c r="F18">
        <v>63</v>
      </c>
    </row>
    <row r="19" spans="1:7" x14ac:dyDescent="0.3">
      <c r="A19">
        <v>1003</v>
      </c>
      <c r="B19" t="s">
        <v>647</v>
      </c>
      <c r="C19" t="s">
        <v>384</v>
      </c>
      <c r="D19">
        <v>1</v>
      </c>
      <c r="E19">
        <v>0</v>
      </c>
      <c r="F19">
        <v>68</v>
      </c>
    </row>
    <row r="20" spans="1:7" x14ac:dyDescent="0.3">
      <c r="A20">
        <v>1004</v>
      </c>
      <c r="B20" t="s">
        <v>648</v>
      </c>
      <c r="C20" t="s">
        <v>649</v>
      </c>
      <c r="D20">
        <v>1</v>
      </c>
      <c r="E20" s="9">
        <v>0</v>
      </c>
      <c r="F20">
        <v>105</v>
      </c>
    </row>
    <row r="21" spans="1:7" x14ac:dyDescent="0.3">
      <c r="A21">
        <v>1005</v>
      </c>
      <c r="B21" t="s">
        <v>650</v>
      </c>
      <c r="C21" t="s">
        <v>199</v>
      </c>
      <c r="D21">
        <v>1</v>
      </c>
      <c r="E21">
        <v>0</v>
      </c>
      <c r="F21">
        <v>63</v>
      </c>
      <c r="G21">
        <v>68</v>
      </c>
    </row>
    <row r="22" spans="1:7" x14ac:dyDescent="0.3">
      <c r="A22">
        <v>1006</v>
      </c>
      <c r="B22" t="s">
        <v>651</v>
      </c>
      <c r="C22" t="s">
        <v>196</v>
      </c>
      <c r="D22">
        <v>1</v>
      </c>
      <c r="E22">
        <v>0</v>
      </c>
      <c r="F22">
        <v>77</v>
      </c>
      <c r="G22">
        <v>63</v>
      </c>
    </row>
    <row r="23" spans="1:7" x14ac:dyDescent="0.3">
      <c r="A23">
        <v>1007</v>
      </c>
      <c r="B23" t="s">
        <v>652</v>
      </c>
      <c r="C23" t="s">
        <v>653</v>
      </c>
      <c r="D23">
        <v>1</v>
      </c>
      <c r="E23" s="9">
        <v>0</v>
      </c>
      <c r="F23">
        <v>61</v>
      </c>
    </row>
    <row r="24" spans="1:7" x14ac:dyDescent="0.3">
      <c r="A24">
        <v>1008</v>
      </c>
      <c r="B24" t="s">
        <v>654</v>
      </c>
      <c r="C24" t="s">
        <v>655</v>
      </c>
      <c r="D24">
        <v>1</v>
      </c>
      <c r="E24">
        <v>0</v>
      </c>
      <c r="F24">
        <v>101</v>
      </c>
    </row>
    <row r="25" spans="1:7" x14ac:dyDescent="0.3">
      <c r="A25">
        <v>1009</v>
      </c>
      <c r="B25" t="s">
        <v>656</v>
      </c>
      <c r="C25" t="s">
        <v>657</v>
      </c>
      <c r="D25">
        <v>1</v>
      </c>
      <c r="E25">
        <v>0</v>
      </c>
      <c r="F25">
        <v>101</v>
      </c>
    </row>
    <row r="26" spans="1:7" x14ac:dyDescent="0.3">
      <c r="A26">
        <v>1010</v>
      </c>
      <c r="B26" t="s">
        <v>654</v>
      </c>
      <c r="C26" t="s">
        <v>658</v>
      </c>
      <c r="D26">
        <v>1</v>
      </c>
      <c r="E26">
        <v>0</v>
      </c>
      <c r="F26">
        <v>78</v>
      </c>
    </row>
    <row r="27" spans="1:7" x14ac:dyDescent="0.3">
      <c r="A27">
        <v>1011</v>
      </c>
      <c r="B27" t="s">
        <v>659</v>
      </c>
      <c r="C27" t="s">
        <v>660</v>
      </c>
      <c r="D27">
        <v>1</v>
      </c>
      <c r="E27">
        <v>0</v>
      </c>
      <c r="F27">
        <v>79</v>
      </c>
    </row>
    <row r="28" spans="1:7" x14ac:dyDescent="0.3">
      <c r="A28">
        <v>1012</v>
      </c>
      <c r="B28" t="s">
        <v>661</v>
      </c>
      <c r="C28" t="s">
        <v>662</v>
      </c>
      <c r="D28">
        <v>1</v>
      </c>
      <c r="E28">
        <v>0</v>
      </c>
      <c r="F28">
        <v>74</v>
      </c>
    </row>
    <row r="29" spans="1:7" x14ac:dyDescent="0.3">
      <c r="A29">
        <v>1013</v>
      </c>
      <c r="B29" t="s">
        <v>663</v>
      </c>
      <c r="C29" t="s">
        <v>664</v>
      </c>
      <c r="D29">
        <v>1</v>
      </c>
      <c r="E29">
        <v>0</v>
      </c>
      <c r="F29">
        <v>101</v>
      </c>
    </row>
    <row r="30" spans="1:7" x14ac:dyDescent="0.3">
      <c r="A30">
        <v>1014</v>
      </c>
      <c r="B30" t="s">
        <v>665</v>
      </c>
      <c r="C30" t="s">
        <v>666</v>
      </c>
      <c r="D30">
        <v>1</v>
      </c>
      <c r="E30">
        <v>0</v>
      </c>
      <c r="F30">
        <v>101</v>
      </c>
    </row>
    <row r="31" spans="1:7" s="6" customFormat="1" x14ac:dyDescent="0.3">
      <c r="A31" s="8">
        <v>1015</v>
      </c>
      <c r="B31" s="6" t="s">
        <v>667</v>
      </c>
      <c r="C31" s="6" t="s">
        <v>668</v>
      </c>
      <c r="D31" s="6">
        <v>1</v>
      </c>
      <c r="E31" s="6">
        <v>0</v>
      </c>
      <c r="F31" s="6">
        <v>75</v>
      </c>
    </row>
    <row r="32" spans="1:7" x14ac:dyDescent="0.3">
      <c r="A32">
        <v>1016</v>
      </c>
      <c r="B32" t="s">
        <v>669</v>
      </c>
      <c r="C32" t="s">
        <v>670</v>
      </c>
      <c r="D32">
        <v>1</v>
      </c>
      <c r="E32">
        <v>0</v>
      </c>
      <c r="F32">
        <v>101</v>
      </c>
    </row>
    <row r="33" spans="1:6" x14ac:dyDescent="0.3">
      <c r="A33">
        <v>1017</v>
      </c>
      <c r="B33" t="s">
        <v>671</v>
      </c>
      <c r="C33" t="s">
        <v>653</v>
      </c>
      <c r="D33">
        <v>1</v>
      </c>
      <c r="E33">
        <v>0</v>
      </c>
      <c r="F33">
        <v>106</v>
      </c>
    </row>
    <row r="34" spans="1:6" x14ac:dyDescent="0.3">
      <c r="A34">
        <v>1018</v>
      </c>
      <c r="B34" t="s">
        <v>672</v>
      </c>
      <c r="C34" t="s">
        <v>673</v>
      </c>
      <c r="D34">
        <v>1</v>
      </c>
      <c r="E34">
        <v>0</v>
      </c>
      <c r="F34">
        <v>106</v>
      </c>
    </row>
    <row r="35" spans="1:6" x14ac:dyDescent="0.3">
      <c r="A35">
        <v>1019</v>
      </c>
      <c r="B35" t="s">
        <v>674</v>
      </c>
      <c r="C35" t="s">
        <v>675</v>
      </c>
      <c r="D35">
        <v>1</v>
      </c>
      <c r="E35">
        <v>0</v>
      </c>
      <c r="F35">
        <v>101</v>
      </c>
    </row>
    <row r="36" spans="1:6" x14ac:dyDescent="0.3">
      <c r="A36">
        <v>1020</v>
      </c>
      <c r="B36" t="s">
        <v>676</v>
      </c>
      <c r="C36" t="s">
        <v>677</v>
      </c>
      <c r="D36">
        <v>1</v>
      </c>
      <c r="E36">
        <v>0</v>
      </c>
      <c r="F36">
        <v>106</v>
      </c>
    </row>
    <row r="37" spans="1:6" x14ac:dyDescent="0.3">
      <c r="A37">
        <v>1021</v>
      </c>
      <c r="B37" t="s">
        <v>678</v>
      </c>
      <c r="C37" t="s">
        <v>679</v>
      </c>
      <c r="D37">
        <v>1</v>
      </c>
      <c r="E37">
        <v>0</v>
      </c>
      <c r="F37">
        <v>101</v>
      </c>
    </row>
    <row r="38" spans="1:6" x14ac:dyDescent="0.3">
      <c r="A38">
        <v>1022</v>
      </c>
      <c r="B38" s="80" t="s">
        <v>689</v>
      </c>
      <c r="C38" s="76" t="s">
        <v>690</v>
      </c>
      <c r="D38">
        <v>1</v>
      </c>
      <c r="E38">
        <v>0</v>
      </c>
      <c r="F38">
        <v>106</v>
      </c>
    </row>
    <row r="39" spans="1:6" x14ac:dyDescent="0.3">
      <c r="A39">
        <v>1023</v>
      </c>
      <c r="B39" s="80" t="s">
        <v>701</v>
      </c>
      <c r="C39" s="80" t="s">
        <v>700</v>
      </c>
      <c r="D39">
        <v>1</v>
      </c>
      <c r="E39">
        <v>0</v>
      </c>
      <c r="F39">
        <v>101</v>
      </c>
    </row>
    <row r="40" spans="1:6" x14ac:dyDescent="0.3">
      <c r="A40">
        <v>1024</v>
      </c>
      <c r="B40" s="80" t="s">
        <v>748</v>
      </c>
      <c r="C40" s="80" t="s">
        <v>745</v>
      </c>
      <c r="D40">
        <v>1</v>
      </c>
      <c r="E40">
        <v>0</v>
      </c>
      <c r="F40">
        <v>106</v>
      </c>
    </row>
    <row r="41" spans="1:6" x14ac:dyDescent="0.3">
      <c r="A41">
        <v>1025</v>
      </c>
      <c r="B41" s="80" t="s">
        <v>747</v>
      </c>
      <c r="C41" s="80" t="s">
        <v>746</v>
      </c>
      <c r="D41">
        <v>1</v>
      </c>
      <c r="E41">
        <v>0</v>
      </c>
      <c r="F41">
        <v>101</v>
      </c>
    </row>
  </sheetData>
  <phoneticPr fontId="21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2"/>
  <sheetViews>
    <sheetView workbookViewId="0">
      <selection activeCell="F22" sqref="F22"/>
    </sheetView>
  </sheetViews>
  <sheetFormatPr defaultColWidth="9" defaultRowHeight="15.6" x14ac:dyDescent="0.3"/>
  <cols>
    <col min="1" max="1" width="24.08984375" customWidth="1"/>
    <col min="2" max="2" width="19.7265625" customWidth="1"/>
    <col min="3" max="5" width="18.26953125" customWidth="1"/>
    <col min="6" max="6" width="15" customWidth="1"/>
    <col min="7" max="7" width="13.7265625" customWidth="1"/>
    <col min="8" max="9" width="11.08984375" customWidth="1"/>
    <col min="10" max="10" width="14.08984375" customWidth="1"/>
  </cols>
  <sheetData>
    <row r="1" spans="1:6" x14ac:dyDescent="0.3">
      <c r="A1" s="1" t="s">
        <v>0</v>
      </c>
      <c r="B1" s="2" t="s">
        <v>680</v>
      </c>
      <c r="C1" s="2" t="s">
        <v>2</v>
      </c>
      <c r="D1" s="2"/>
      <c r="E1" s="2"/>
    </row>
    <row r="2" spans="1:6" x14ac:dyDescent="0.3">
      <c r="A2" s="1" t="s">
        <v>3</v>
      </c>
      <c r="B2" s="2" t="s">
        <v>681</v>
      </c>
      <c r="C2" s="2" t="s">
        <v>5</v>
      </c>
      <c r="D2" s="2"/>
      <c r="E2" s="2"/>
    </row>
    <row r="3" spans="1:6" x14ac:dyDescent="0.3">
      <c r="A3" s="1" t="s">
        <v>6</v>
      </c>
      <c r="B3" s="3" t="s">
        <v>7</v>
      </c>
      <c r="C3" s="2" t="s">
        <v>8</v>
      </c>
      <c r="D3" s="2"/>
      <c r="E3" s="2"/>
    </row>
    <row r="4" spans="1:6" x14ac:dyDescent="0.3">
      <c r="A4" s="1" t="s">
        <v>9</v>
      </c>
      <c r="B4" s="4" t="s">
        <v>10</v>
      </c>
      <c r="C4" s="2"/>
      <c r="D4" s="2"/>
      <c r="E4" s="2"/>
    </row>
    <row r="5" spans="1:6" x14ac:dyDescent="0.3">
      <c r="A5" s="1" t="s">
        <v>11</v>
      </c>
      <c r="B5" s="2"/>
      <c r="C5" s="2" t="s">
        <v>12</v>
      </c>
      <c r="D5" s="2"/>
      <c r="E5" s="2"/>
    </row>
    <row r="6" spans="1:6" x14ac:dyDescent="0.3">
      <c r="A6" s="1" t="s">
        <v>13</v>
      </c>
      <c r="B6" s="2">
        <v>4</v>
      </c>
      <c r="C6" s="2" t="s">
        <v>14</v>
      </c>
      <c r="D6" s="2"/>
      <c r="E6" s="2"/>
    </row>
    <row r="7" spans="1:6" x14ac:dyDescent="0.3">
      <c r="A7" s="1" t="s">
        <v>15</v>
      </c>
      <c r="B7" s="2"/>
      <c r="C7" s="2"/>
      <c r="D7" s="2"/>
      <c r="E7" s="2"/>
    </row>
    <row r="8" spans="1:6" x14ac:dyDescent="0.3">
      <c r="A8" s="1" t="s">
        <v>16</v>
      </c>
      <c r="B8" s="2"/>
      <c r="C8" s="2"/>
      <c r="D8" s="2"/>
      <c r="E8" s="2"/>
    </row>
    <row r="12" spans="1:6" x14ac:dyDescent="0.3">
      <c r="A12" t="s">
        <v>682</v>
      </c>
      <c r="B12" t="s">
        <v>401</v>
      </c>
      <c r="C12" t="s">
        <v>414</v>
      </c>
      <c r="D12" t="s">
        <v>30</v>
      </c>
      <c r="E12" t="s">
        <v>683</v>
      </c>
      <c r="F12" t="s">
        <v>684</v>
      </c>
    </row>
    <row r="13" spans="1:6" x14ac:dyDescent="0.3">
      <c r="A13" s="4" t="s">
        <v>39</v>
      </c>
      <c r="B13" s="4" t="s">
        <v>40</v>
      </c>
      <c r="C13" s="4" t="s">
        <v>685</v>
      </c>
      <c r="D13" s="4" t="s">
        <v>686</v>
      </c>
      <c r="E13" s="4" t="s">
        <v>687</v>
      </c>
      <c r="F13" s="4" t="s">
        <v>688</v>
      </c>
    </row>
    <row r="14" spans="1:6" x14ac:dyDescent="0.3">
      <c r="A14" s="4" t="s">
        <v>61</v>
      </c>
      <c r="B14" s="4" t="s">
        <v>61</v>
      </c>
      <c r="C14" s="4" t="s">
        <v>61</v>
      </c>
      <c r="D14" s="4" t="s">
        <v>61</v>
      </c>
      <c r="E14" s="4" t="s">
        <v>61</v>
      </c>
      <c r="F14" s="4" t="s">
        <v>61</v>
      </c>
    </row>
    <row r="15" spans="1:6" x14ac:dyDescent="0.3">
      <c r="A15" s="4" t="s">
        <v>63</v>
      </c>
      <c r="B15" s="4" t="s">
        <v>64</v>
      </c>
      <c r="C15" s="4" t="s">
        <v>64</v>
      </c>
      <c r="D15" s="4" t="s">
        <v>64</v>
      </c>
      <c r="E15" s="4" t="s">
        <v>64</v>
      </c>
      <c r="F15" s="4" t="s">
        <v>64</v>
      </c>
    </row>
    <row r="16" spans="1:6" x14ac:dyDescent="0.3">
      <c r="A16" s="4">
        <v>0</v>
      </c>
      <c r="B16" s="71">
        <v>0</v>
      </c>
      <c r="C16" s="4">
        <v>0</v>
      </c>
      <c r="D16" s="4">
        <v>0</v>
      </c>
      <c r="E16" s="4">
        <v>0</v>
      </c>
      <c r="F16" s="4">
        <v>0</v>
      </c>
    </row>
    <row r="17" spans="1:6" x14ac:dyDescent="0.3">
      <c r="A17">
        <v>2001</v>
      </c>
      <c r="B17" s="72">
        <v>8001</v>
      </c>
      <c r="C17">
        <v>2</v>
      </c>
      <c r="D17">
        <v>1</v>
      </c>
      <c r="E17">
        <v>1</v>
      </c>
      <c r="F17">
        <v>1</v>
      </c>
    </row>
    <row r="18" spans="1:6" x14ac:dyDescent="0.3">
      <c r="A18">
        <v>2002</v>
      </c>
      <c r="B18" s="72">
        <v>8002</v>
      </c>
      <c r="C18">
        <v>2</v>
      </c>
      <c r="D18">
        <v>1</v>
      </c>
      <c r="E18">
        <v>1</v>
      </c>
      <c r="F18">
        <v>1</v>
      </c>
    </row>
    <row r="19" spans="1:6" x14ac:dyDescent="0.3">
      <c r="A19">
        <v>2003</v>
      </c>
      <c r="B19" s="72">
        <v>8003</v>
      </c>
      <c r="C19">
        <v>2</v>
      </c>
      <c r="D19">
        <v>1</v>
      </c>
      <c r="E19">
        <v>1</v>
      </c>
      <c r="F19">
        <v>1</v>
      </c>
    </row>
    <row r="20" spans="1:6" x14ac:dyDescent="0.3">
      <c r="A20">
        <v>2004</v>
      </c>
      <c r="B20" s="73">
        <v>127</v>
      </c>
      <c r="C20">
        <v>1</v>
      </c>
      <c r="D20">
        <v>1</v>
      </c>
      <c r="E20">
        <v>1</v>
      </c>
      <c r="F20">
        <v>2</v>
      </c>
    </row>
    <row r="21" spans="1:6" x14ac:dyDescent="0.3">
      <c r="A21">
        <v>2005</v>
      </c>
      <c r="B21" s="74">
        <v>127</v>
      </c>
      <c r="C21">
        <v>1</v>
      </c>
      <c r="D21">
        <v>1</v>
      </c>
      <c r="E21">
        <v>1</v>
      </c>
      <c r="F21">
        <v>2</v>
      </c>
    </row>
    <row r="22" spans="1:6" x14ac:dyDescent="0.3">
      <c r="A22">
        <v>2006</v>
      </c>
      <c r="B22" s="74">
        <v>128</v>
      </c>
      <c r="C22">
        <v>1</v>
      </c>
      <c r="D22">
        <v>1</v>
      </c>
      <c r="E22">
        <v>1</v>
      </c>
      <c r="F22">
        <v>2</v>
      </c>
    </row>
    <row r="23" spans="1:6" x14ac:dyDescent="0.3">
      <c r="A23">
        <v>2007</v>
      </c>
      <c r="B23" s="74">
        <v>129</v>
      </c>
      <c r="C23">
        <v>1</v>
      </c>
      <c r="D23">
        <v>1</v>
      </c>
      <c r="E23">
        <v>1</v>
      </c>
      <c r="F23">
        <v>2</v>
      </c>
    </row>
    <row r="24" spans="1:6" x14ac:dyDescent="0.3">
      <c r="A24">
        <v>2008</v>
      </c>
      <c r="B24" s="72">
        <v>8023</v>
      </c>
      <c r="C24">
        <v>2</v>
      </c>
      <c r="D24">
        <v>1</v>
      </c>
      <c r="E24">
        <v>1</v>
      </c>
      <c r="F24">
        <v>3</v>
      </c>
    </row>
    <row r="25" spans="1:6" x14ac:dyDescent="0.3">
      <c r="A25">
        <v>2009</v>
      </c>
      <c r="B25" s="72">
        <v>8004</v>
      </c>
      <c r="C25">
        <v>2</v>
      </c>
      <c r="D25">
        <v>1</v>
      </c>
      <c r="E25">
        <v>0</v>
      </c>
      <c r="F25">
        <v>3</v>
      </c>
    </row>
    <row r="26" spans="1:6" x14ac:dyDescent="0.3">
      <c r="A26">
        <v>2010</v>
      </c>
      <c r="B26" s="72">
        <v>8005</v>
      </c>
      <c r="C26">
        <v>2</v>
      </c>
      <c r="D26">
        <v>1</v>
      </c>
      <c r="E26">
        <v>0</v>
      </c>
      <c r="F26">
        <v>3</v>
      </c>
    </row>
    <row r="27" spans="1:6" x14ac:dyDescent="0.3">
      <c r="A27">
        <v>2011</v>
      </c>
      <c r="B27" s="72">
        <v>8006</v>
      </c>
      <c r="C27">
        <v>2</v>
      </c>
      <c r="D27">
        <v>1</v>
      </c>
      <c r="E27">
        <v>0</v>
      </c>
      <c r="F27">
        <v>3</v>
      </c>
    </row>
    <row r="28" spans="1:6" x14ac:dyDescent="0.3">
      <c r="A28">
        <v>2012</v>
      </c>
      <c r="B28" s="72">
        <v>8007</v>
      </c>
      <c r="C28">
        <v>2</v>
      </c>
      <c r="D28">
        <v>1</v>
      </c>
      <c r="E28">
        <v>0</v>
      </c>
      <c r="F28">
        <v>3</v>
      </c>
    </row>
    <row r="29" spans="1:6" x14ac:dyDescent="0.3">
      <c r="A29">
        <v>2013</v>
      </c>
      <c r="B29" s="72">
        <v>8008</v>
      </c>
      <c r="C29">
        <v>2</v>
      </c>
      <c r="D29">
        <v>1</v>
      </c>
      <c r="E29">
        <v>0</v>
      </c>
      <c r="F29">
        <v>3</v>
      </c>
    </row>
    <row r="30" spans="1:6" x14ac:dyDescent="0.3">
      <c r="A30">
        <v>2014</v>
      </c>
      <c r="B30" s="72">
        <v>8009</v>
      </c>
      <c r="C30">
        <v>2</v>
      </c>
      <c r="D30">
        <v>1</v>
      </c>
      <c r="E30">
        <v>0</v>
      </c>
      <c r="F30">
        <v>3</v>
      </c>
    </row>
    <row r="31" spans="1:6" x14ac:dyDescent="0.3">
      <c r="A31">
        <v>2015</v>
      </c>
      <c r="B31" s="72">
        <v>8010</v>
      </c>
      <c r="C31">
        <v>2</v>
      </c>
      <c r="D31">
        <v>1</v>
      </c>
      <c r="E31">
        <v>0</v>
      </c>
      <c r="F31">
        <v>3</v>
      </c>
    </row>
    <row r="32" spans="1:6" x14ac:dyDescent="0.3">
      <c r="A32">
        <v>2016</v>
      </c>
      <c r="B32" s="72">
        <v>8011</v>
      </c>
      <c r="C32">
        <v>2</v>
      </c>
      <c r="D32">
        <v>1</v>
      </c>
      <c r="E32">
        <v>0</v>
      </c>
      <c r="F32">
        <v>3</v>
      </c>
    </row>
    <row r="33" spans="1:7" x14ac:dyDescent="0.3">
      <c r="A33">
        <v>2017</v>
      </c>
      <c r="B33" s="72">
        <v>8012</v>
      </c>
      <c r="C33">
        <v>2</v>
      </c>
      <c r="D33">
        <v>1</v>
      </c>
      <c r="E33">
        <v>0</v>
      </c>
      <c r="F33">
        <v>3</v>
      </c>
    </row>
    <row r="34" spans="1:7" x14ac:dyDescent="0.3">
      <c r="A34">
        <v>2018</v>
      </c>
      <c r="B34" s="72">
        <v>8013</v>
      </c>
      <c r="C34">
        <v>2</v>
      </c>
      <c r="D34">
        <v>1</v>
      </c>
      <c r="E34">
        <v>0</v>
      </c>
      <c r="F34">
        <v>3</v>
      </c>
    </row>
    <row r="35" spans="1:7" x14ac:dyDescent="0.3">
      <c r="A35">
        <v>2019</v>
      </c>
      <c r="B35" s="72">
        <v>8014</v>
      </c>
      <c r="C35">
        <v>2</v>
      </c>
      <c r="D35">
        <v>1</v>
      </c>
      <c r="E35">
        <v>0</v>
      </c>
      <c r="F35">
        <v>4</v>
      </c>
    </row>
    <row r="36" spans="1:7" x14ac:dyDescent="0.3">
      <c r="A36">
        <v>2020</v>
      </c>
      <c r="B36" s="72">
        <v>8015</v>
      </c>
      <c r="C36">
        <v>2</v>
      </c>
      <c r="D36">
        <v>1</v>
      </c>
      <c r="E36">
        <v>0</v>
      </c>
      <c r="F36">
        <v>4</v>
      </c>
    </row>
    <row r="37" spans="1:7" x14ac:dyDescent="0.3">
      <c r="A37">
        <v>2021</v>
      </c>
      <c r="B37" s="72">
        <v>8016</v>
      </c>
      <c r="C37">
        <v>2</v>
      </c>
      <c r="D37">
        <v>1</v>
      </c>
      <c r="E37">
        <v>0</v>
      </c>
      <c r="F37">
        <v>4</v>
      </c>
    </row>
    <row r="38" spans="1:7" x14ac:dyDescent="0.3">
      <c r="A38">
        <v>2022</v>
      </c>
      <c r="B38" s="72">
        <v>8017</v>
      </c>
      <c r="C38">
        <v>2</v>
      </c>
      <c r="D38">
        <v>1</v>
      </c>
      <c r="E38">
        <v>0</v>
      </c>
      <c r="F38">
        <v>4</v>
      </c>
    </row>
    <row r="39" spans="1:7" x14ac:dyDescent="0.3">
      <c r="A39">
        <v>2023</v>
      </c>
      <c r="B39" s="72">
        <v>8018</v>
      </c>
      <c r="C39">
        <v>2</v>
      </c>
      <c r="D39">
        <v>1</v>
      </c>
      <c r="E39">
        <v>0</v>
      </c>
      <c r="F39">
        <v>4</v>
      </c>
      <c r="G39" s="5"/>
    </row>
    <row r="40" spans="1:7" x14ac:dyDescent="0.3">
      <c r="A40">
        <v>2024</v>
      </c>
      <c r="B40" s="75">
        <v>128</v>
      </c>
      <c r="C40">
        <v>1</v>
      </c>
      <c r="D40">
        <v>1</v>
      </c>
      <c r="E40">
        <v>1</v>
      </c>
      <c r="F40">
        <v>2</v>
      </c>
    </row>
    <row r="41" spans="1:7" x14ac:dyDescent="0.3">
      <c r="A41">
        <v>2025</v>
      </c>
      <c r="B41" s="75">
        <v>129</v>
      </c>
      <c r="C41">
        <v>1</v>
      </c>
      <c r="D41">
        <v>1</v>
      </c>
      <c r="E41">
        <v>1</v>
      </c>
      <c r="F41">
        <v>2</v>
      </c>
    </row>
    <row r="42" spans="1:7" x14ac:dyDescent="0.3">
      <c r="B42" s="74"/>
    </row>
  </sheetData>
  <phoneticPr fontId="1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shop</vt:lpstr>
      <vt:lpstr>shop_id</vt:lpstr>
      <vt:lpstr>renew</vt:lpstr>
      <vt:lpstr>change_shop</vt:lpstr>
      <vt:lpstr>exchange_shop</vt:lpstr>
      <vt:lpstr>shop_rabate_cue</vt:lpstr>
      <vt:lpstr>shop_recommend</vt:lpstr>
      <vt:lpstr>recommend_banner</vt:lpstr>
      <vt:lpstr>recommend_item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zhen zhou</cp:lastModifiedBy>
  <dcterms:created xsi:type="dcterms:W3CDTF">2019-10-30T09:52:00Z</dcterms:created>
  <dcterms:modified xsi:type="dcterms:W3CDTF">2024-09-06T04:13:36Z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18F3D8A236FD466BB2E23351AB283D26</vt:lpwstr>
  </property>
</Properties>
</file>