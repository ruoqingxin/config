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pool\middle\xlsx_config\"/>
    </mc:Choice>
  </mc:AlternateContent>
  <xr:revisionPtr revIDLastSave="0" documentId="13_ncr:1_{88AFA2BF-BCD7-4EB8-BE3E-B0565B853D3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iamond_discount" sheetId="1" r:id="rId1"/>
    <sheet name="diamond_discount_ran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I51" i="1" s="1"/>
  <c r="I47" i="1"/>
  <c r="I50" i="1" s="1"/>
  <c r="I46" i="1"/>
  <c r="I49" i="1" s="1"/>
  <c r="F51" i="1" l="1"/>
  <c r="J51" i="1" s="1"/>
  <c r="F42" i="1"/>
  <c r="J42" i="1" s="1"/>
  <c r="F41" i="1"/>
  <c r="H41" i="1" s="1"/>
  <c r="F40" i="1"/>
  <c r="J40" i="1" s="1"/>
  <c r="F50" i="1"/>
  <c r="J50" i="1" s="1"/>
  <c r="F49" i="1"/>
  <c r="J49" i="1" s="1"/>
  <c r="F48" i="1"/>
  <c r="J48" i="1" s="1"/>
  <c r="F39" i="1"/>
  <c r="H39" i="1" s="1"/>
  <c r="F38" i="1"/>
  <c r="J38" i="1" s="1"/>
  <c r="F37" i="1"/>
  <c r="J37" i="1" s="1"/>
  <c r="F47" i="1"/>
  <c r="J47" i="1" s="1"/>
  <c r="F46" i="1"/>
  <c r="J46" i="1" s="1"/>
  <c r="F45" i="1"/>
  <c r="J45" i="1" s="1"/>
  <c r="F36" i="1"/>
  <c r="J36" i="1" s="1"/>
  <c r="F35" i="1"/>
  <c r="J35" i="1" s="1"/>
  <c r="F34" i="1"/>
  <c r="H34" i="1" s="1"/>
  <c r="F44" i="1"/>
  <c r="J44" i="1" s="1"/>
  <c r="F43" i="1"/>
  <c r="J43" i="1" s="1"/>
  <c r="J41" i="1" l="1"/>
  <c r="H46" i="1"/>
  <c r="H40" i="1"/>
  <c r="H35" i="1"/>
  <c r="H47" i="1"/>
  <c r="H48" i="1"/>
  <c r="J34" i="1"/>
  <c r="J39" i="1"/>
  <c r="H43" i="1"/>
  <c r="H36" i="1"/>
  <c r="H37" i="1"/>
  <c r="H49" i="1"/>
  <c r="H42" i="1"/>
  <c r="H44" i="1"/>
  <c r="H45" i="1"/>
  <c r="H38" i="1"/>
  <c r="H50" i="1"/>
  <c r="H51" i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16" i="1"/>
  <c r="H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D12" authorId="0" shapeId="0" xr:uid="{C52E8192-D46B-41EE-A682-C11069835AFB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J12" authorId="1" shapeId="0" xr:uid="{DC704F4B-8753-4CF8-818C-0E7064C23EAE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[物品id，物品数量]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1695F72-FF12-437C-85CB-EA944C0B516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【【档位id，权重】，【档位id，权重】】</t>
        </r>
      </text>
    </comment>
  </commentList>
</comments>
</file>

<file path=xl/sharedStrings.xml><?xml version="1.0" encoding="utf-8"?>
<sst xmlns="http://schemas.openxmlformats.org/spreadsheetml/2006/main" count="208" uniqueCount="75">
  <si>
    <t>CONFIG_NAME</t>
  </si>
  <si>
    <t>配置名, 如果没有这个字段, 则这个Sheet不会导出</t>
  </si>
  <si>
    <t>CONFIG_DESCRIPTION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</si>
  <si>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</si>
  <si>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</si>
  <si>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</si>
  <si>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</si>
  <si>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</si>
  <si>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</si>
  <si>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</si>
  <si>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</si>
  <si>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</si>
  <si>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</si>
  <si>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</si>
  <si>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</si>
  <si>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每日钻石折扣礼包表</t>
    <phoneticPr fontId="1" type="noConversion"/>
  </si>
  <si>
    <t>序号</t>
    <phoneticPr fontId="1" type="noConversion"/>
  </si>
  <si>
    <t>折扣权重</t>
    <phoneticPr fontId="1" type="noConversion"/>
  </si>
  <si>
    <t>id</t>
  </si>
  <si>
    <t>int32</t>
  </si>
  <si>
    <t>key,lua,pb,json</t>
  </si>
  <si>
    <t>lua,pb,json</t>
  </si>
  <si>
    <t>discount</t>
    <phoneticPr fontId="1" type="noConversion"/>
  </si>
  <si>
    <t>diamond_discount</t>
    <phoneticPr fontId="1" type="noConversion"/>
  </si>
  <si>
    <t>gear</t>
    <phoneticPr fontId="1" type="noConversion"/>
  </si>
  <si>
    <t>discount_weight</t>
    <phoneticPr fontId="1" type="noConversion"/>
  </si>
  <si>
    <t>string</t>
    <phoneticPr fontId="1" type="noConversion"/>
  </si>
  <si>
    <t>折扣挡位</t>
    <phoneticPr fontId="1" type="noConversion"/>
  </si>
  <si>
    <t>钻石</t>
    <phoneticPr fontId="1" type="noConversion"/>
  </si>
  <si>
    <t>diamond</t>
    <phoneticPr fontId="1" type="noConversion"/>
  </si>
  <si>
    <t>gear_discount</t>
    <phoneticPr fontId="1" type="noConversion"/>
  </si>
  <si>
    <t>int32</t>
    <phoneticPr fontId="1" type="noConversion"/>
  </si>
  <si>
    <t>充值表对应id</t>
    <phoneticPr fontId="1" type="noConversion"/>
  </si>
  <si>
    <t>id_ch</t>
  </si>
  <si>
    <t>vb</t>
  </si>
  <si>
    <t>参考中文名</t>
    <phoneticPr fontId="1" type="noConversion"/>
  </si>
  <si>
    <t>上上签</t>
    <phoneticPr fontId="1" type="noConversion"/>
  </si>
  <si>
    <t>下下签</t>
    <phoneticPr fontId="1" type="noConversion"/>
  </si>
  <si>
    <t>中平签</t>
    <phoneticPr fontId="1" type="noConversion"/>
  </si>
  <si>
    <t>上吉签</t>
    <phoneticPr fontId="1" type="noConversion"/>
  </si>
  <si>
    <t>中吉签</t>
    <phoneticPr fontId="1" type="noConversion"/>
  </si>
  <si>
    <t>charge_id</t>
    <phoneticPr fontId="1" type="noConversion"/>
  </si>
  <si>
    <t>lua,pb,json</t>
    <phoneticPr fontId="1" type="noConversion"/>
  </si>
  <si>
    <t>签对应的图片</t>
    <phoneticPr fontId="1" type="noConversion"/>
  </si>
  <si>
    <t>name_icon</t>
    <phoneticPr fontId="1" type="noConversion"/>
  </si>
  <si>
    <t>ui_cq_gmtc_bt_1</t>
    <phoneticPr fontId="1" type="noConversion"/>
  </si>
  <si>
    <t>ui_cq_gmtc_bt_2</t>
  </si>
  <si>
    <t>ui_cq_gmtc_bt_2</t>
    <phoneticPr fontId="1" type="noConversion"/>
  </si>
  <si>
    <t>ui_cq_gmtc_bt_3</t>
  </si>
  <si>
    <t>ui_cq_gmtc_bt_4</t>
    <phoneticPr fontId="1" type="noConversion"/>
  </si>
  <si>
    <t>ui_cq_gmtc_bt_5</t>
    <phoneticPr fontId="1" type="noConversion"/>
  </si>
  <si>
    <t>礼包内容</t>
    <phoneticPr fontId="1" type="noConversion"/>
  </si>
  <si>
    <t>礼包图片</t>
    <phoneticPr fontId="1" type="noConversion"/>
  </si>
  <si>
    <t>reward</t>
    <phoneticPr fontId="1" type="noConversion"/>
  </si>
  <si>
    <t>img</t>
    <phoneticPr fontId="1" type="noConversion"/>
  </si>
  <si>
    <t>list</t>
    <phoneticPr fontId="1" type="noConversion"/>
  </si>
  <si>
    <t>[]</t>
    <phoneticPr fontId="1" type="noConversion"/>
  </si>
  <si>
    <t>[2,1000000]</t>
    <phoneticPr fontId="1" type="noConversion"/>
  </si>
  <si>
    <t>赠送折扣</t>
    <phoneticPr fontId="1" type="noConversion"/>
  </si>
  <si>
    <t>原价</t>
    <phoneticPr fontId="1" type="noConversion"/>
  </si>
  <si>
    <t>new_ui_draw_icon_fx</t>
  </si>
  <si>
    <t>new_ui_draw_goldicon_fx02</t>
  </si>
  <si>
    <t>每日钻石直冲</t>
    <phoneticPr fontId="1" type="noConversion"/>
  </si>
  <si>
    <t>vip等级</t>
    <phoneticPr fontId="1" type="noConversion"/>
  </si>
  <si>
    <t>档位区间</t>
    <phoneticPr fontId="1" type="noConversion"/>
  </si>
  <si>
    <t>id</t>
    <phoneticPr fontId="1" type="noConversion"/>
  </si>
  <si>
    <t>range</t>
    <phoneticPr fontId="1" type="noConversion"/>
  </si>
  <si>
    <t>key,lua,pb,json</t>
    <phoneticPr fontId="1" type="noConversion"/>
  </si>
  <si>
    <t>diamond_discount_range</t>
    <phoneticPr fontId="1" type="noConversion"/>
  </si>
  <si>
    <t>[[10,150],[13,150],[16,150],[11,100],[14,100],[17,100]]</t>
    <phoneticPr fontId="1" type="noConversion"/>
  </si>
  <si>
    <t>[[10,100],[13,100],[16,100],[11,100],[14,100],[17,100],[1,100],[4,100],[7,100]]</t>
    <phoneticPr fontId="1" type="noConversion"/>
  </si>
  <si>
    <t>[[11,100],[14,100],[17,100],[1,100],[4,100],[7,100],[2,100],[5,100],[8,100]]</t>
    <phoneticPr fontId="1" type="noConversion"/>
  </si>
  <si>
    <t>[[1,100],[4,100],[7,100],[2,100],[5,100],[8,100],[3,100],[6,100],[9,100]]</t>
    <phoneticPr fontId="1" type="noConversion"/>
  </si>
  <si>
    <t>[[1,100],[4,100],[7,100],[2,150],[5,150],[8,150],[3,100],[6,100],[9,100]]</t>
    <phoneticPr fontId="1" type="noConversion"/>
  </si>
  <si>
    <t>[[1,100],[4,100],[7,100],[2,150],[5,150],[8,150],[3,100],[6,100],[9,100],[12,100],[15,100],[18,100]]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</si>
</sst>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5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176" fontId="8" fillId="0" borderId="0" xfId="0" applyNumberFormat="1" applyFont="1"/>
    <xf numFmtId="0" fontId="0" fillId="0" borderId="0" xfId="0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M38" sqref="M38"/>
    </sheetView>
  </sheetViews>
  <sheetFormatPr defaultRowHeight="14.25" x14ac:dyDescent="0.2"/>
  <cols>
    <col min="1" max="1" width="23" customWidth="1"/>
    <col min="2" max="3" width="17.75" customWidth="1"/>
    <col min="4" max="4" width="13.75" customWidth="1"/>
    <col min="5" max="5" width="11.25" customWidth="1"/>
    <col min="6" max="6" width="9.375" customWidth="1"/>
    <col min="7" max="7" width="16.125" customWidth="1"/>
    <col min="8" max="8" width="12.125" customWidth="1"/>
    <col min="9" max="9" width="14" bestFit="1" customWidth="1"/>
    <col min="10" max="10" width="12.25" bestFit="1" customWidth="1"/>
    <col min="11" max="11" width="28.25" bestFit="1" customWidth="1"/>
  </cols>
  <sheetData>
    <row r="1" spans="1:11" x14ac:dyDescent="0.2">
      <c r="A1" s="1" t="s">
        <v>0</v>
      </c>
      <c r="B1" t="s">
        <v>23</v>
      </c>
      <c r="C1" t="s">
        <v>1</v>
      </c>
    </row>
    <row r="2" spans="1:11" x14ac:dyDescent="0.2">
      <c r="A2" s="1" t="s">
        <v>2</v>
      </c>
      <c r="B2" t="s">
        <v>15</v>
      </c>
      <c r="C2" t="s">
        <v>3</v>
      </c>
    </row>
    <row r="3" spans="1:11" x14ac:dyDescent="0.2">
      <c r="A3" s="1" t="s">
        <v>4</v>
      </c>
      <c r="B3" s="2" t="s">
        <v>5</v>
      </c>
      <c r="C3" t="s">
        <v>6</v>
      </c>
    </row>
    <row r="4" spans="1:11" x14ac:dyDescent="0.2">
      <c r="A4" s="1" t="s">
        <v>7</v>
      </c>
      <c r="B4" s="3" t="s">
        <v>8</v>
      </c>
    </row>
    <row r="5" spans="1:11" x14ac:dyDescent="0.2">
      <c r="A5" s="1" t="s">
        <v>9</v>
      </c>
      <c r="C5" t="s">
        <v>10</v>
      </c>
    </row>
    <row r="6" spans="1:11" x14ac:dyDescent="0.2">
      <c r="A6" s="1" t="s">
        <v>11</v>
      </c>
      <c r="B6">
        <v>4</v>
      </c>
      <c r="C6" t="s">
        <v>12</v>
      </c>
    </row>
    <row r="7" spans="1:11" x14ac:dyDescent="0.2">
      <c r="A7" s="1" t="s">
        <v>13</v>
      </c>
    </row>
    <row r="8" spans="1:11" x14ac:dyDescent="0.2">
      <c r="A8" s="1" t="s">
        <v>14</v>
      </c>
    </row>
    <row r="11" spans="1:11" x14ac:dyDescent="0.2">
      <c r="A11" t="s">
        <v>16</v>
      </c>
      <c r="B11" t="s">
        <v>27</v>
      </c>
      <c r="C11" t="s">
        <v>43</v>
      </c>
      <c r="D11" t="s">
        <v>35</v>
      </c>
      <c r="E11" t="s">
        <v>58</v>
      </c>
      <c r="F11" t="s">
        <v>28</v>
      </c>
      <c r="G11" t="s">
        <v>17</v>
      </c>
      <c r="H11" t="s">
        <v>59</v>
      </c>
      <c r="I11" t="s">
        <v>32</v>
      </c>
      <c r="J11" t="s">
        <v>51</v>
      </c>
      <c r="K11" t="s">
        <v>52</v>
      </c>
    </row>
    <row r="12" spans="1:11" ht="15.75" x14ac:dyDescent="0.25">
      <c r="A12" s="3" t="s">
        <v>18</v>
      </c>
      <c r="B12" s="3" t="s">
        <v>30</v>
      </c>
      <c r="C12" s="4" t="s">
        <v>44</v>
      </c>
      <c r="D12" s="2" t="s">
        <v>33</v>
      </c>
      <c r="E12" s="3" t="s">
        <v>22</v>
      </c>
      <c r="F12" s="3" t="s">
        <v>29</v>
      </c>
      <c r="G12" s="3" t="s">
        <v>25</v>
      </c>
      <c r="H12" s="3" t="s">
        <v>24</v>
      </c>
      <c r="I12" s="3" t="s">
        <v>41</v>
      </c>
      <c r="J12" s="3" t="s">
        <v>53</v>
      </c>
      <c r="K12" s="3" t="s">
        <v>54</v>
      </c>
    </row>
    <row r="13" spans="1:11" x14ac:dyDescent="0.2">
      <c r="A13" s="3" t="s">
        <v>19</v>
      </c>
      <c r="B13" s="3" t="s">
        <v>19</v>
      </c>
      <c r="C13" s="3" t="s">
        <v>26</v>
      </c>
      <c r="D13" s="2" t="s">
        <v>26</v>
      </c>
      <c r="E13" s="3" t="s">
        <v>26</v>
      </c>
      <c r="F13" s="3" t="s">
        <v>19</v>
      </c>
      <c r="G13" s="3" t="s">
        <v>31</v>
      </c>
      <c r="H13" s="3" t="s">
        <v>26</v>
      </c>
      <c r="I13" s="3" t="s">
        <v>31</v>
      </c>
      <c r="J13" s="3" t="s">
        <v>55</v>
      </c>
      <c r="K13" s="3" t="s">
        <v>26</v>
      </c>
    </row>
    <row r="14" spans="1:11" ht="15.75" x14ac:dyDescent="0.25">
      <c r="A14" s="3" t="s">
        <v>20</v>
      </c>
      <c r="B14" s="3" t="s">
        <v>21</v>
      </c>
      <c r="C14" s="4" t="s">
        <v>21</v>
      </c>
      <c r="D14" s="2" t="s">
        <v>34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42</v>
      </c>
      <c r="J14" s="3" t="s">
        <v>42</v>
      </c>
      <c r="K14" s="3" t="s">
        <v>42</v>
      </c>
    </row>
    <row r="15" spans="1:11" ht="15.75" x14ac:dyDescent="0.25">
      <c r="A15" s="3">
        <v>0</v>
      </c>
      <c r="B15" s="3">
        <v>0</v>
      </c>
      <c r="C15" s="4">
        <v>0</v>
      </c>
      <c r="D15" s="2"/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56</v>
      </c>
      <c r="K15" s="3">
        <v>0</v>
      </c>
    </row>
    <row r="16" spans="1:11" x14ac:dyDescent="0.2">
      <c r="A16" s="2">
        <v>1</v>
      </c>
      <c r="B16">
        <v>18</v>
      </c>
      <c r="C16" s="5" t="s">
        <v>50</v>
      </c>
      <c r="D16" t="s">
        <v>37</v>
      </c>
      <c r="E16">
        <v>0.05</v>
      </c>
      <c r="F16">
        <f t="shared" ref="F16:F33" si="0">INT(B16*10*(1+E16))</f>
        <v>189</v>
      </c>
      <c r="G16">
        <v>1500</v>
      </c>
      <c r="H16">
        <f>F16/10</f>
        <v>18.899999999999999</v>
      </c>
      <c r="I16">
        <v>171</v>
      </c>
      <c r="J16" t="s">
        <v>57</v>
      </c>
      <c r="K16" t="s">
        <v>60</v>
      </c>
    </row>
    <row r="17" spans="1:11" x14ac:dyDescent="0.2">
      <c r="A17" s="2">
        <v>2</v>
      </c>
      <c r="B17">
        <v>18</v>
      </c>
      <c r="C17" s="5" t="s">
        <v>49</v>
      </c>
      <c r="D17" t="s">
        <v>38</v>
      </c>
      <c r="E17">
        <v>0.06</v>
      </c>
      <c r="F17">
        <f t="shared" si="0"/>
        <v>190</v>
      </c>
      <c r="G17">
        <v>1500</v>
      </c>
      <c r="H17">
        <f t="shared" ref="H17:H51" si="1">F17/10</f>
        <v>19</v>
      </c>
      <c r="I17">
        <v>172</v>
      </c>
      <c r="K17" t="s">
        <v>60</v>
      </c>
    </row>
    <row r="18" spans="1:11" x14ac:dyDescent="0.2">
      <c r="A18" s="2">
        <v>3</v>
      </c>
      <c r="B18">
        <v>18</v>
      </c>
      <c r="C18" s="5" t="s">
        <v>49</v>
      </c>
      <c r="D18" t="s">
        <v>38</v>
      </c>
      <c r="E18">
        <v>7.0000000000000007E-2</v>
      </c>
      <c r="F18">
        <f t="shared" si="0"/>
        <v>192</v>
      </c>
      <c r="G18">
        <v>900</v>
      </c>
      <c r="H18">
        <f t="shared" si="1"/>
        <v>19.2</v>
      </c>
      <c r="I18">
        <v>173</v>
      </c>
      <c r="K18" t="s">
        <v>60</v>
      </c>
    </row>
    <row r="19" spans="1:11" x14ac:dyDescent="0.2">
      <c r="A19" s="2">
        <v>4</v>
      </c>
      <c r="B19">
        <v>18</v>
      </c>
      <c r="C19" s="5" t="s">
        <v>49</v>
      </c>
      <c r="D19" t="s">
        <v>38</v>
      </c>
      <c r="E19">
        <v>0.08</v>
      </c>
      <c r="F19">
        <f t="shared" si="0"/>
        <v>194</v>
      </c>
      <c r="G19">
        <v>900</v>
      </c>
      <c r="H19">
        <f t="shared" si="1"/>
        <v>19.399999999999999</v>
      </c>
      <c r="I19">
        <v>174</v>
      </c>
      <c r="K19" t="s">
        <v>60</v>
      </c>
    </row>
    <row r="20" spans="1:11" x14ac:dyDescent="0.2">
      <c r="A20" s="2">
        <v>5</v>
      </c>
      <c r="B20">
        <v>18</v>
      </c>
      <c r="C20" s="5" t="s">
        <v>49</v>
      </c>
      <c r="D20" t="s">
        <v>38</v>
      </c>
      <c r="E20">
        <v>0.09</v>
      </c>
      <c r="F20">
        <f t="shared" si="0"/>
        <v>196</v>
      </c>
      <c r="G20">
        <v>600</v>
      </c>
      <c r="H20">
        <f t="shared" si="1"/>
        <v>19.600000000000001</v>
      </c>
      <c r="I20">
        <v>175</v>
      </c>
      <c r="K20" t="s">
        <v>60</v>
      </c>
    </row>
    <row r="21" spans="1:11" x14ac:dyDescent="0.2">
      <c r="A21" s="2">
        <v>6</v>
      </c>
      <c r="B21">
        <v>18</v>
      </c>
      <c r="C21" s="5" t="s">
        <v>49</v>
      </c>
      <c r="D21" t="s">
        <v>38</v>
      </c>
      <c r="E21">
        <v>0.1</v>
      </c>
      <c r="F21">
        <f t="shared" si="0"/>
        <v>198</v>
      </c>
      <c r="G21">
        <v>600</v>
      </c>
      <c r="H21">
        <f t="shared" si="1"/>
        <v>19.8</v>
      </c>
      <c r="I21">
        <v>176</v>
      </c>
      <c r="K21" t="s">
        <v>60</v>
      </c>
    </row>
    <row r="22" spans="1:11" x14ac:dyDescent="0.2">
      <c r="A22" s="2">
        <v>7</v>
      </c>
      <c r="B22">
        <v>30</v>
      </c>
      <c r="C22" s="5" t="s">
        <v>49</v>
      </c>
      <c r="D22" t="s">
        <v>38</v>
      </c>
      <c r="E22">
        <v>7.0000000000000007E-2</v>
      </c>
      <c r="F22">
        <f t="shared" si="0"/>
        <v>321</v>
      </c>
      <c r="G22">
        <v>750</v>
      </c>
      <c r="H22">
        <f t="shared" si="1"/>
        <v>32.1</v>
      </c>
      <c r="I22">
        <v>177</v>
      </c>
      <c r="K22" t="s">
        <v>60</v>
      </c>
    </row>
    <row r="23" spans="1:11" x14ac:dyDescent="0.2">
      <c r="A23" s="2">
        <v>8</v>
      </c>
      <c r="B23">
        <v>30</v>
      </c>
      <c r="C23" s="5" t="s">
        <v>48</v>
      </c>
      <c r="D23" t="s">
        <v>40</v>
      </c>
      <c r="E23">
        <v>0.08</v>
      </c>
      <c r="F23">
        <f t="shared" si="0"/>
        <v>324</v>
      </c>
      <c r="G23">
        <v>750</v>
      </c>
      <c r="H23">
        <f t="shared" si="1"/>
        <v>32.4</v>
      </c>
      <c r="I23">
        <v>178</v>
      </c>
      <c r="K23" t="s">
        <v>60</v>
      </c>
    </row>
    <row r="24" spans="1:11" x14ac:dyDescent="0.2">
      <c r="A24" s="2">
        <v>9</v>
      </c>
      <c r="B24">
        <v>30</v>
      </c>
      <c r="C24" s="5" t="s">
        <v>48</v>
      </c>
      <c r="D24" t="s">
        <v>40</v>
      </c>
      <c r="E24">
        <v>0.09</v>
      </c>
      <c r="F24">
        <f t="shared" si="0"/>
        <v>327</v>
      </c>
      <c r="G24">
        <v>450</v>
      </c>
      <c r="H24">
        <f t="shared" si="1"/>
        <v>32.700000000000003</v>
      </c>
      <c r="I24">
        <v>179</v>
      </c>
      <c r="K24" t="s">
        <v>60</v>
      </c>
    </row>
    <row r="25" spans="1:11" x14ac:dyDescent="0.2">
      <c r="A25" s="2">
        <v>10</v>
      </c>
      <c r="B25">
        <v>30</v>
      </c>
      <c r="C25" s="5" t="s">
        <v>48</v>
      </c>
      <c r="D25" t="s">
        <v>40</v>
      </c>
      <c r="E25">
        <v>0.1</v>
      </c>
      <c r="F25">
        <f t="shared" si="0"/>
        <v>330</v>
      </c>
      <c r="G25">
        <v>450</v>
      </c>
      <c r="H25">
        <f t="shared" si="1"/>
        <v>33</v>
      </c>
      <c r="I25">
        <v>180</v>
      </c>
      <c r="K25" t="s">
        <v>60</v>
      </c>
    </row>
    <row r="26" spans="1:11" x14ac:dyDescent="0.2">
      <c r="A26" s="2">
        <v>11</v>
      </c>
      <c r="B26">
        <v>30</v>
      </c>
      <c r="C26" s="5" t="s">
        <v>48</v>
      </c>
      <c r="D26" t="s">
        <v>40</v>
      </c>
      <c r="E26">
        <v>0.11</v>
      </c>
      <c r="F26">
        <f t="shared" si="0"/>
        <v>333</v>
      </c>
      <c r="G26">
        <v>300</v>
      </c>
      <c r="H26">
        <f t="shared" si="1"/>
        <v>33.299999999999997</v>
      </c>
      <c r="I26">
        <v>181</v>
      </c>
      <c r="K26" t="s">
        <v>60</v>
      </c>
    </row>
    <row r="27" spans="1:11" x14ac:dyDescent="0.2">
      <c r="A27" s="2">
        <v>12</v>
      </c>
      <c r="B27">
        <v>30</v>
      </c>
      <c r="C27" s="5" t="s">
        <v>48</v>
      </c>
      <c r="D27" t="s">
        <v>40</v>
      </c>
      <c r="E27">
        <v>0.12</v>
      </c>
      <c r="F27">
        <f t="shared" si="0"/>
        <v>336</v>
      </c>
      <c r="G27">
        <v>300</v>
      </c>
      <c r="H27">
        <f t="shared" si="1"/>
        <v>33.6</v>
      </c>
      <c r="I27">
        <v>182</v>
      </c>
      <c r="K27" t="s">
        <v>60</v>
      </c>
    </row>
    <row r="28" spans="1:11" x14ac:dyDescent="0.2">
      <c r="A28" s="2">
        <v>13</v>
      </c>
      <c r="B28">
        <v>68</v>
      </c>
      <c r="C28" s="5" t="s">
        <v>46</v>
      </c>
      <c r="D28" t="s">
        <v>39</v>
      </c>
      <c r="E28">
        <v>0.11</v>
      </c>
      <c r="F28">
        <f t="shared" si="0"/>
        <v>754</v>
      </c>
      <c r="G28">
        <v>250</v>
      </c>
      <c r="H28">
        <f t="shared" si="1"/>
        <v>75.400000000000006</v>
      </c>
      <c r="I28">
        <v>183</v>
      </c>
      <c r="K28" t="s">
        <v>60</v>
      </c>
    </row>
    <row r="29" spans="1:11" x14ac:dyDescent="0.2">
      <c r="A29" s="2">
        <v>14</v>
      </c>
      <c r="B29">
        <v>68</v>
      </c>
      <c r="C29" s="5" t="s">
        <v>46</v>
      </c>
      <c r="D29" t="s">
        <v>39</v>
      </c>
      <c r="E29">
        <v>0.12</v>
      </c>
      <c r="F29">
        <f t="shared" si="0"/>
        <v>761</v>
      </c>
      <c r="G29">
        <v>250</v>
      </c>
      <c r="H29">
        <f t="shared" si="1"/>
        <v>76.099999999999994</v>
      </c>
      <c r="I29">
        <v>184</v>
      </c>
      <c r="K29" t="s">
        <v>60</v>
      </c>
    </row>
    <row r="30" spans="1:11" x14ac:dyDescent="0.2">
      <c r="A30" s="2">
        <v>15</v>
      </c>
      <c r="B30">
        <v>68</v>
      </c>
      <c r="C30" s="5" t="s">
        <v>47</v>
      </c>
      <c r="D30" t="s">
        <v>39</v>
      </c>
      <c r="E30">
        <v>0.13</v>
      </c>
      <c r="F30">
        <f t="shared" si="0"/>
        <v>768</v>
      </c>
      <c r="G30">
        <v>150</v>
      </c>
      <c r="H30">
        <f t="shared" si="1"/>
        <v>76.8</v>
      </c>
      <c r="I30">
        <v>185</v>
      </c>
      <c r="K30" t="s">
        <v>61</v>
      </c>
    </row>
    <row r="31" spans="1:11" x14ac:dyDescent="0.2">
      <c r="A31" s="2">
        <v>16</v>
      </c>
      <c r="B31">
        <v>68</v>
      </c>
      <c r="C31" s="5" t="s">
        <v>47</v>
      </c>
      <c r="D31" t="s">
        <v>39</v>
      </c>
      <c r="E31">
        <v>0.14000000000000001</v>
      </c>
      <c r="F31">
        <f t="shared" si="0"/>
        <v>775</v>
      </c>
      <c r="G31">
        <v>150</v>
      </c>
      <c r="H31">
        <f t="shared" si="1"/>
        <v>77.5</v>
      </c>
      <c r="I31">
        <v>186</v>
      </c>
      <c r="K31" t="s">
        <v>60</v>
      </c>
    </row>
    <row r="32" spans="1:11" x14ac:dyDescent="0.2">
      <c r="A32" s="2">
        <v>17</v>
      </c>
      <c r="B32">
        <v>68</v>
      </c>
      <c r="C32" s="5" t="s">
        <v>45</v>
      </c>
      <c r="D32" t="s">
        <v>36</v>
      </c>
      <c r="E32">
        <v>0.15</v>
      </c>
      <c r="F32">
        <f t="shared" si="0"/>
        <v>782</v>
      </c>
      <c r="G32">
        <v>100</v>
      </c>
      <c r="H32">
        <f t="shared" si="1"/>
        <v>78.2</v>
      </c>
      <c r="I32">
        <v>187</v>
      </c>
      <c r="K32" t="s">
        <v>60</v>
      </c>
    </row>
    <row r="33" spans="1:11" x14ac:dyDescent="0.2">
      <c r="A33" s="2">
        <v>18</v>
      </c>
      <c r="B33">
        <v>68</v>
      </c>
      <c r="C33" s="5" t="s">
        <v>45</v>
      </c>
      <c r="D33" t="s">
        <v>36</v>
      </c>
      <c r="E33">
        <v>0.16</v>
      </c>
      <c r="F33">
        <f t="shared" si="0"/>
        <v>788</v>
      </c>
      <c r="G33">
        <v>100</v>
      </c>
      <c r="H33">
        <f t="shared" si="1"/>
        <v>78.8</v>
      </c>
      <c r="I33">
        <v>188</v>
      </c>
      <c r="K33" t="s">
        <v>60</v>
      </c>
    </row>
    <row r="34" spans="1:11" x14ac:dyDescent="0.2">
      <c r="A34" s="9">
        <v>1</v>
      </c>
      <c r="B34" s="9">
        <v>18</v>
      </c>
      <c r="C34" s="12" t="s">
        <v>48</v>
      </c>
      <c r="D34" t="s">
        <v>40</v>
      </c>
      <c r="E34" s="8">
        <v>0.15</v>
      </c>
      <c r="F34" s="7">
        <f>INT(B34*10*(1+E34))</f>
        <v>207</v>
      </c>
      <c r="G34">
        <v>400</v>
      </c>
      <c r="H34" s="7">
        <f t="shared" si="1"/>
        <v>20.7</v>
      </c>
      <c r="I34">
        <v>171</v>
      </c>
      <c r="J34" s="7" t="str">
        <f t="shared" ref="J34:J51" si="2">"[1,"&amp;F34&amp;"]"</f>
        <v>[1,207]</v>
      </c>
      <c r="K34" t="s">
        <v>60</v>
      </c>
    </row>
    <row r="35" spans="1:11" x14ac:dyDescent="0.2">
      <c r="A35" s="9">
        <v>2</v>
      </c>
      <c r="B35" s="9">
        <v>30</v>
      </c>
      <c r="C35" s="12" t="s">
        <v>48</v>
      </c>
      <c r="D35" t="s">
        <v>40</v>
      </c>
      <c r="E35" s="8">
        <v>0.15</v>
      </c>
      <c r="F35" s="7">
        <f t="shared" ref="F35:F51" si="3">INT(B35*10*(1+E35))</f>
        <v>345</v>
      </c>
      <c r="G35">
        <v>300</v>
      </c>
      <c r="H35" s="7">
        <f t="shared" si="1"/>
        <v>34.5</v>
      </c>
      <c r="I35">
        <v>177</v>
      </c>
      <c r="J35" s="7" t="str">
        <f t="shared" si="2"/>
        <v>[1,345]</v>
      </c>
      <c r="K35" t="s">
        <v>60</v>
      </c>
    </row>
    <row r="36" spans="1:11" x14ac:dyDescent="0.2">
      <c r="A36" s="9">
        <v>3</v>
      </c>
      <c r="B36" s="9">
        <v>68</v>
      </c>
      <c r="C36" s="12" t="s">
        <v>48</v>
      </c>
      <c r="D36" t="s">
        <v>40</v>
      </c>
      <c r="E36" s="8">
        <v>0.15</v>
      </c>
      <c r="F36" s="7">
        <f t="shared" si="3"/>
        <v>782</v>
      </c>
      <c r="G36">
        <v>300</v>
      </c>
      <c r="H36" s="7">
        <f t="shared" si="1"/>
        <v>78.2</v>
      </c>
      <c r="I36">
        <v>183</v>
      </c>
      <c r="J36" s="7" t="str">
        <f t="shared" si="2"/>
        <v>[1,782]</v>
      </c>
      <c r="K36" t="s">
        <v>60</v>
      </c>
    </row>
    <row r="37" spans="1:11" x14ac:dyDescent="0.2">
      <c r="A37" s="9">
        <v>4</v>
      </c>
      <c r="B37" s="9">
        <v>18</v>
      </c>
      <c r="C37" s="12" t="s">
        <v>47</v>
      </c>
      <c r="D37" t="s">
        <v>39</v>
      </c>
      <c r="E37" s="8">
        <v>0.18</v>
      </c>
      <c r="F37" s="7">
        <f t="shared" si="3"/>
        <v>212</v>
      </c>
      <c r="G37">
        <v>400</v>
      </c>
      <c r="H37" s="7">
        <f t="shared" si="1"/>
        <v>21.2</v>
      </c>
      <c r="I37">
        <v>172</v>
      </c>
      <c r="J37" s="7" t="str">
        <f t="shared" si="2"/>
        <v>[1,212]</v>
      </c>
      <c r="K37" t="s">
        <v>60</v>
      </c>
    </row>
    <row r="38" spans="1:11" x14ac:dyDescent="0.2">
      <c r="A38" s="9">
        <v>5</v>
      </c>
      <c r="B38" s="9">
        <v>30</v>
      </c>
      <c r="C38" s="12" t="s">
        <v>47</v>
      </c>
      <c r="D38" t="s">
        <v>39</v>
      </c>
      <c r="E38" s="8">
        <v>0.18</v>
      </c>
      <c r="F38" s="7">
        <f t="shared" si="3"/>
        <v>354</v>
      </c>
      <c r="G38">
        <v>300</v>
      </c>
      <c r="H38" s="7">
        <f t="shared" si="1"/>
        <v>35.4</v>
      </c>
      <c r="I38">
        <v>178</v>
      </c>
      <c r="J38" s="7" t="str">
        <f t="shared" si="2"/>
        <v>[1,354]</v>
      </c>
      <c r="K38" t="s">
        <v>60</v>
      </c>
    </row>
    <row r="39" spans="1:11" x14ac:dyDescent="0.2">
      <c r="A39" s="9">
        <v>6</v>
      </c>
      <c r="B39" s="9">
        <v>68</v>
      </c>
      <c r="C39" s="12" t="s">
        <v>47</v>
      </c>
      <c r="D39" t="s">
        <v>39</v>
      </c>
      <c r="E39" s="8">
        <v>0.18</v>
      </c>
      <c r="F39" s="7">
        <f t="shared" si="3"/>
        <v>802</v>
      </c>
      <c r="G39">
        <v>300</v>
      </c>
      <c r="H39" s="7">
        <f t="shared" si="1"/>
        <v>80.2</v>
      </c>
      <c r="I39">
        <v>184</v>
      </c>
      <c r="J39" s="7" t="str">
        <f t="shared" si="2"/>
        <v>[1,802]</v>
      </c>
      <c r="K39" t="s">
        <v>60</v>
      </c>
    </row>
    <row r="40" spans="1:11" x14ac:dyDescent="0.2">
      <c r="A40" s="9">
        <v>7</v>
      </c>
      <c r="B40" s="9">
        <v>18</v>
      </c>
      <c r="C40" s="12" t="s">
        <v>45</v>
      </c>
      <c r="D40" t="s">
        <v>36</v>
      </c>
      <c r="E40" s="8">
        <v>0.2</v>
      </c>
      <c r="F40" s="7">
        <f t="shared" si="3"/>
        <v>216</v>
      </c>
      <c r="G40">
        <v>400</v>
      </c>
      <c r="H40" s="7">
        <f t="shared" si="1"/>
        <v>21.6</v>
      </c>
      <c r="I40">
        <v>173</v>
      </c>
      <c r="J40" s="7" t="str">
        <f t="shared" si="2"/>
        <v>[1,216]</v>
      </c>
      <c r="K40" t="s">
        <v>60</v>
      </c>
    </row>
    <row r="41" spans="1:11" x14ac:dyDescent="0.2">
      <c r="A41" s="9">
        <v>8</v>
      </c>
      <c r="B41" s="9">
        <v>30</v>
      </c>
      <c r="C41" s="12" t="s">
        <v>45</v>
      </c>
      <c r="D41" t="s">
        <v>36</v>
      </c>
      <c r="E41" s="8">
        <v>0.2</v>
      </c>
      <c r="F41" s="7">
        <f t="shared" si="3"/>
        <v>360</v>
      </c>
      <c r="G41">
        <v>300</v>
      </c>
      <c r="H41" s="7">
        <f t="shared" si="1"/>
        <v>36</v>
      </c>
      <c r="I41">
        <v>179</v>
      </c>
      <c r="J41" s="7" t="str">
        <f t="shared" si="2"/>
        <v>[1,360]</v>
      </c>
      <c r="K41" t="s">
        <v>60</v>
      </c>
    </row>
    <row r="42" spans="1:11" x14ac:dyDescent="0.2">
      <c r="A42" s="9">
        <v>9</v>
      </c>
      <c r="B42" s="9">
        <v>68</v>
      </c>
      <c r="C42" s="12" t="s">
        <v>45</v>
      </c>
      <c r="D42" t="s">
        <v>36</v>
      </c>
      <c r="E42" s="8">
        <v>0.2</v>
      </c>
      <c r="F42" s="7">
        <f t="shared" si="3"/>
        <v>816</v>
      </c>
      <c r="G42">
        <v>300</v>
      </c>
      <c r="H42" s="7">
        <f t="shared" si="1"/>
        <v>81.599999999999994</v>
      </c>
      <c r="I42">
        <v>185</v>
      </c>
      <c r="J42" s="7" t="str">
        <f t="shared" si="2"/>
        <v>[1,816]</v>
      </c>
      <c r="K42" t="s">
        <v>60</v>
      </c>
    </row>
    <row r="43" spans="1:11" s="7" customFormat="1" x14ac:dyDescent="0.2">
      <c r="A43" s="6">
        <v>10</v>
      </c>
      <c r="B43" s="6">
        <v>6</v>
      </c>
      <c r="C43" s="11" t="s">
        <v>48</v>
      </c>
      <c r="D43" s="7" t="s">
        <v>40</v>
      </c>
      <c r="E43" s="8">
        <v>0.15</v>
      </c>
      <c r="F43" s="7">
        <f t="shared" ref="F43:F50" si="4">INT(B43*10*(1+E43))</f>
        <v>69</v>
      </c>
      <c r="G43" s="7">
        <v>400</v>
      </c>
      <c r="H43" s="7">
        <f t="shared" ref="H43:H50" si="5">F43/10</f>
        <v>6.9</v>
      </c>
      <c r="I43" s="7">
        <v>174</v>
      </c>
      <c r="J43" s="7" t="str">
        <f t="shared" ref="J43:J50" si="6">"[1,"&amp;F43&amp;"]"</f>
        <v>[1,69]</v>
      </c>
      <c r="K43" t="s">
        <v>60</v>
      </c>
    </row>
    <row r="44" spans="1:11" s="7" customFormat="1" x14ac:dyDescent="0.2">
      <c r="A44" s="6">
        <v>11</v>
      </c>
      <c r="B44" s="6">
        <v>12</v>
      </c>
      <c r="C44" s="11" t="s">
        <v>48</v>
      </c>
      <c r="D44" s="7" t="s">
        <v>40</v>
      </c>
      <c r="E44" s="8">
        <v>0.15</v>
      </c>
      <c r="F44" s="7">
        <f t="shared" si="4"/>
        <v>138</v>
      </c>
      <c r="G44" s="7">
        <v>400</v>
      </c>
      <c r="H44" s="7">
        <f t="shared" si="5"/>
        <v>13.8</v>
      </c>
      <c r="I44" s="7">
        <v>180</v>
      </c>
      <c r="J44" s="7" t="str">
        <f t="shared" si="6"/>
        <v>[1,138]</v>
      </c>
      <c r="K44" t="s">
        <v>60</v>
      </c>
    </row>
    <row r="45" spans="1:11" s="7" customFormat="1" x14ac:dyDescent="0.2">
      <c r="A45" s="6">
        <v>12</v>
      </c>
      <c r="B45" s="6">
        <v>98</v>
      </c>
      <c r="C45" s="11" t="s">
        <v>48</v>
      </c>
      <c r="D45" s="7" t="s">
        <v>40</v>
      </c>
      <c r="E45" s="8">
        <v>0.15</v>
      </c>
      <c r="F45" s="7">
        <f t="shared" si="4"/>
        <v>1127</v>
      </c>
      <c r="G45" s="7">
        <v>400</v>
      </c>
      <c r="H45" s="7">
        <f t="shared" si="5"/>
        <v>112.7</v>
      </c>
      <c r="I45" s="7">
        <v>186</v>
      </c>
      <c r="J45" s="7" t="str">
        <f t="shared" si="6"/>
        <v>[1,1127]</v>
      </c>
      <c r="K45" t="s">
        <v>60</v>
      </c>
    </row>
    <row r="46" spans="1:11" s="7" customFormat="1" x14ac:dyDescent="0.2">
      <c r="A46" s="6">
        <v>13</v>
      </c>
      <c r="B46" s="6">
        <v>6</v>
      </c>
      <c r="C46" s="11" t="s">
        <v>47</v>
      </c>
      <c r="D46" s="10" t="s">
        <v>39</v>
      </c>
      <c r="E46" s="8">
        <v>0.18</v>
      </c>
      <c r="F46" s="7">
        <f t="shared" si="4"/>
        <v>70</v>
      </c>
      <c r="G46" s="7">
        <v>400</v>
      </c>
      <c r="H46" s="7">
        <f t="shared" si="5"/>
        <v>7</v>
      </c>
      <c r="I46" s="7">
        <f t="shared" ref="I46:I51" si="7">I43+1</f>
        <v>175</v>
      </c>
      <c r="J46" s="7" t="str">
        <f t="shared" si="6"/>
        <v>[1,70]</v>
      </c>
      <c r="K46" t="s">
        <v>60</v>
      </c>
    </row>
    <row r="47" spans="1:11" s="7" customFormat="1" x14ac:dyDescent="0.2">
      <c r="A47" s="6">
        <v>14</v>
      </c>
      <c r="B47" s="6">
        <v>12</v>
      </c>
      <c r="C47" s="11" t="s">
        <v>47</v>
      </c>
      <c r="D47" s="7" t="s">
        <v>39</v>
      </c>
      <c r="E47" s="8">
        <v>0.18</v>
      </c>
      <c r="F47" s="7">
        <f t="shared" si="4"/>
        <v>141</v>
      </c>
      <c r="G47" s="7">
        <v>400</v>
      </c>
      <c r="H47" s="7">
        <f t="shared" si="5"/>
        <v>14.1</v>
      </c>
      <c r="I47" s="7">
        <f t="shared" si="7"/>
        <v>181</v>
      </c>
      <c r="J47" s="7" t="str">
        <f t="shared" si="6"/>
        <v>[1,141]</v>
      </c>
      <c r="K47" t="s">
        <v>60</v>
      </c>
    </row>
    <row r="48" spans="1:11" s="7" customFormat="1" x14ac:dyDescent="0.2">
      <c r="A48" s="6">
        <v>15</v>
      </c>
      <c r="B48" s="6">
        <v>98</v>
      </c>
      <c r="C48" s="11" t="s">
        <v>47</v>
      </c>
      <c r="D48" s="7" t="s">
        <v>39</v>
      </c>
      <c r="E48" s="8">
        <v>0.18</v>
      </c>
      <c r="F48" s="7">
        <f t="shared" si="4"/>
        <v>1156</v>
      </c>
      <c r="G48" s="7">
        <v>400</v>
      </c>
      <c r="H48" s="7">
        <f t="shared" si="5"/>
        <v>115.6</v>
      </c>
      <c r="I48" s="7">
        <f t="shared" si="7"/>
        <v>187</v>
      </c>
      <c r="J48" s="7" t="str">
        <f t="shared" si="6"/>
        <v>[1,1156]</v>
      </c>
      <c r="K48" t="s">
        <v>60</v>
      </c>
    </row>
    <row r="49" spans="1:11" s="7" customFormat="1" x14ac:dyDescent="0.2">
      <c r="A49" s="6">
        <v>16</v>
      </c>
      <c r="B49" s="6">
        <v>6</v>
      </c>
      <c r="C49" s="11" t="s">
        <v>45</v>
      </c>
      <c r="D49" s="7" t="s">
        <v>36</v>
      </c>
      <c r="E49" s="8">
        <v>0.2</v>
      </c>
      <c r="F49" s="7">
        <f t="shared" si="4"/>
        <v>72</v>
      </c>
      <c r="G49" s="7">
        <v>400</v>
      </c>
      <c r="H49" s="7">
        <f t="shared" si="5"/>
        <v>7.2</v>
      </c>
      <c r="I49" s="7">
        <f t="shared" si="7"/>
        <v>176</v>
      </c>
      <c r="J49" s="7" t="str">
        <f t="shared" si="6"/>
        <v>[1,72]</v>
      </c>
      <c r="K49" t="s">
        <v>60</v>
      </c>
    </row>
    <row r="50" spans="1:11" s="7" customFormat="1" x14ac:dyDescent="0.2">
      <c r="A50" s="6">
        <v>17</v>
      </c>
      <c r="B50" s="6">
        <v>12</v>
      </c>
      <c r="C50" s="11" t="s">
        <v>45</v>
      </c>
      <c r="D50" s="7" t="s">
        <v>36</v>
      </c>
      <c r="E50" s="8">
        <v>0.2</v>
      </c>
      <c r="F50" s="7">
        <f t="shared" si="4"/>
        <v>144</v>
      </c>
      <c r="G50" s="7">
        <v>400</v>
      </c>
      <c r="H50" s="7">
        <f t="shared" si="5"/>
        <v>14.4</v>
      </c>
      <c r="I50" s="7">
        <f t="shared" si="7"/>
        <v>182</v>
      </c>
      <c r="J50" s="7" t="str">
        <f t="shared" si="6"/>
        <v>[1,144]</v>
      </c>
      <c r="K50" t="s">
        <v>60</v>
      </c>
    </row>
    <row r="51" spans="1:11" s="7" customFormat="1" x14ac:dyDescent="0.2">
      <c r="A51" s="6">
        <v>18</v>
      </c>
      <c r="B51" s="6">
        <v>98</v>
      </c>
      <c r="C51" s="11" t="s">
        <v>45</v>
      </c>
      <c r="D51" s="7" t="s">
        <v>36</v>
      </c>
      <c r="E51" s="8">
        <v>0.2</v>
      </c>
      <c r="F51" s="7">
        <f t="shared" si="3"/>
        <v>1176</v>
      </c>
      <c r="G51" s="7">
        <v>400</v>
      </c>
      <c r="H51" s="7">
        <f t="shared" si="1"/>
        <v>117.6</v>
      </c>
      <c r="I51" s="7">
        <f t="shared" si="7"/>
        <v>188</v>
      </c>
      <c r="J51" s="7" t="str">
        <f t="shared" si="2"/>
        <v>[1,1176]</v>
      </c>
      <c r="K51" t="s">
        <v>60</v>
      </c>
    </row>
  </sheetData>
  <phoneticPr fontId="1" type="noConversion"/>
  <conditionalFormatting sqref="A1:A9">
    <cfRule type="duplicateValues" dxfId="1" priority="2"/>
  </conditionalFormatting>
  <conditionalFormatting sqref="A12:A14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1862-03EB-41C9-9FC0-E32B6BBE9E27}">
  <dimension ref="A1:C26"/>
  <sheetViews>
    <sheetView tabSelected="1" workbookViewId="0">
      <selection activeCell="C27" sqref="C27"/>
    </sheetView>
  </sheetViews>
  <sheetFormatPr defaultColWidth="13.5" defaultRowHeight="14.25" x14ac:dyDescent="0.2"/>
  <cols>
    <col min="1" max="1" width="38.125" customWidth="1"/>
    <col min="2" max="2" width="25.75" bestFit="1" customWidth="1"/>
    <col min="3" max="3" width="18.5" customWidth="1"/>
  </cols>
  <sheetData>
    <row r="1" spans="1:3" x14ac:dyDescent="0.2">
      <c r="A1" s="1" t="s">
        <v>0</v>
      </c>
      <c r="B1" t="s">
        <v>68</v>
      </c>
      <c r="C1" t="s">
        <v>1</v>
      </c>
    </row>
    <row r="2" spans="1:3" x14ac:dyDescent="0.2">
      <c r="A2" s="1" t="s">
        <v>2</v>
      </c>
      <c r="B2" t="s">
        <v>62</v>
      </c>
      <c r="C2" t="s">
        <v>3</v>
      </c>
    </row>
    <row r="3" spans="1:3" x14ac:dyDescent="0.2">
      <c r="A3" s="1" t="s">
        <v>4</v>
      </c>
      <c r="B3" s="2" t="s">
        <v>5</v>
      </c>
      <c r="C3" t="s">
        <v>6</v>
      </c>
    </row>
    <row r="4" spans="1:3" x14ac:dyDescent="0.2">
      <c r="A4" s="1" t="s">
        <v>7</v>
      </c>
      <c r="B4" s="3" t="s">
        <v>8</v>
      </c>
    </row>
    <row r="5" spans="1:3" x14ac:dyDescent="0.2">
      <c r="A5" s="1" t="s">
        <v>9</v>
      </c>
      <c r="C5" t="s">
        <v>10</v>
      </c>
    </row>
    <row r="6" spans="1:3" x14ac:dyDescent="0.2">
      <c r="A6" s="1" t="s">
        <v>11</v>
      </c>
      <c r="B6">
        <v>4</v>
      </c>
      <c r="C6" t="s">
        <v>12</v>
      </c>
    </row>
    <row r="7" spans="1:3" x14ac:dyDescent="0.2">
      <c r="A7" s="1" t="s">
        <v>13</v>
      </c>
    </row>
    <row r="8" spans="1:3" x14ac:dyDescent="0.2">
      <c r="A8" s="1" t="s">
        <v>14</v>
      </c>
    </row>
    <row r="11" spans="1:3" x14ac:dyDescent="0.2">
      <c r="A11" t="s">
        <v>63</v>
      </c>
      <c r="B11" t="s">
        <v>64</v>
      </c>
    </row>
    <row r="12" spans="1:3" x14ac:dyDescent="0.2">
      <c r="A12" s="3" t="s">
        <v>65</v>
      </c>
      <c r="B12" s="3" t="s">
        <v>66</v>
      </c>
    </row>
    <row r="13" spans="1:3" x14ac:dyDescent="0.2">
      <c r="A13" s="3" t="s">
        <v>19</v>
      </c>
      <c r="B13" s="3" t="s">
        <v>55</v>
      </c>
    </row>
    <row r="14" spans="1:3" x14ac:dyDescent="0.2">
      <c r="A14" s="3" t="s">
        <v>67</v>
      </c>
      <c r="B14" s="3" t="s">
        <v>42</v>
      </c>
    </row>
    <row r="15" spans="1:3" x14ac:dyDescent="0.2">
      <c r="A15" s="3"/>
      <c r="B15" s="3" t="s">
        <v>56</v>
      </c>
    </row>
    <row r="16" spans="1:3" x14ac:dyDescent="0.2">
      <c r="A16">
        <v>0</v>
      </c>
      <c r="B16" t="s">
        <v>69</v>
      </c>
    </row>
    <row r="17" spans="1:2" x14ac:dyDescent="0.2">
      <c r="A17">
        <v>1</v>
      </c>
      <c r="B17" t="s">
        <v>69</v>
      </c>
    </row>
    <row r="18" spans="1:2" x14ac:dyDescent="0.2">
      <c r="A18">
        <v>2</v>
      </c>
      <c r="B18" t="s">
        <v>69</v>
      </c>
    </row>
    <row r="19" spans="1:2" x14ac:dyDescent="0.2">
      <c r="A19">
        <v>3</v>
      </c>
      <c r="B19" t="s">
        <v>70</v>
      </c>
    </row>
    <row r="20" spans="1:2" x14ac:dyDescent="0.2">
      <c r="A20">
        <v>4</v>
      </c>
      <c r="B20" t="s">
        <v>71</v>
      </c>
    </row>
    <row r="21" spans="1:2" x14ac:dyDescent="0.2">
      <c r="A21">
        <v>5</v>
      </c>
      <c r="B21" t="s">
        <v>72</v>
      </c>
    </row>
    <row r="22" spans="1:2" x14ac:dyDescent="0.2">
      <c r="A22">
        <v>6</v>
      </c>
      <c r="B22" t="s">
        <v>73</v>
      </c>
    </row>
    <row r="23" spans="1:2" x14ac:dyDescent="0.2">
      <c r="A23">
        <v>7</v>
      </c>
      <c r="B23" t="s">
        <v>74</v>
      </c>
    </row>
    <row r="24" spans="1:2" x14ac:dyDescent="0.2">
      <c r="A24">
        <v>8</v>
      </c>
      <c r="B24" t="s">
        <v>74</v>
      </c>
    </row>
    <row r="25" spans="1:2" x14ac:dyDescent="0.2">
      <c r="A25">
        <v>9</v>
      </c>
      <c r="B25" t="s">
        <v>74</v>
      </c>
    </row>
    <row r="26" spans="1:2" x14ac:dyDescent="0.2">
      <c r="A26">
        <v>10</v>
      </c>
      <c r="B26" t="s">
        <v>74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diamond_discount</vt:lpstr>
      <vt:lpstr>diamond_discount_range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Carys</dc:creator>
  <cp:lastModifiedBy>Administrator</cp:lastModifiedBy>
  <dcterms:created xsi:type="dcterms:W3CDTF">2015-06-05T18:19:34Z</dcterms:created>
  <dcterms:modified xsi:type="dcterms:W3CDTF">2024-04-19T08:33:00Z</dcterms:modified>
</cp:coreProperties>
</file>