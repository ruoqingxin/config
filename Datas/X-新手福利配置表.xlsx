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87" activeTab="3"/>
  </bookViews>
  <sheets>
    <sheet name="novice_task" sheetId="6" r:id="rId1"/>
    <sheet name="novice_loading" sheetId="5" r:id="rId2"/>
    <sheet name="sev_day_new" sheetId="11" r:id="rId3"/>
    <sheet name="novice_welfare" sheetId="10" r:id="rId4"/>
    <sheet name="sev_day" sheetId="2" r:id="rId5"/>
    <sheet name="exclusive_tasks" sheetId="14" r:id="rId6"/>
    <sheet name="matches_rewards" sheetId="13" r:id="rId7"/>
    <sheet name="rookie_welfare" sheetId="3" r:id="rId8"/>
    <sheet name="gem_fund" sheetId="8" r:id="rId9"/>
    <sheet name="novice_gift" sheetId="9" r:id="rId10"/>
    <sheet name="sev_grade" sheetId="4" r:id="rId11"/>
    <sheet name="novice_lv_reward" sheetId="12" r:id="rId12"/>
    <sheet name="online_time" sheetId="15" r:id="rId13"/>
    <sheet name="novice_gift2" sheetId="16" r:id="rId14"/>
  </sheets>
  <definedNames>
    <definedName name="_xlnm._FilterDatabase" localSheetId="5" hidden="1">exclusive_tasks!$B$1:$K$72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zhouzhen</author>
  </authors>
  <commentList>
    <comment ref="B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玩家累计登录的天数</t>
        </r>
      </text>
    </comment>
  </commentList>
</comments>
</file>

<file path=xl/comments2.xml><?xml version="1.0" encoding="utf-8"?>
<comments xmlns="http://schemas.openxmlformats.org/spreadsheetml/2006/main">
  <authors>
    <author>zhouzhen</author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[奖励物品id,数量]</t>
        </r>
      </text>
    </comment>
    <comment ref="D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1为3天签到
2为5日签到</t>
        </r>
      </text>
    </comment>
    <comment ref="E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id配置语言包</t>
        </r>
      </text>
    </comment>
  </commentList>
</comments>
</file>

<file path=xl/comments3.xml><?xml version="1.0" encoding="utf-8"?>
<comments xmlns="http://schemas.openxmlformats.org/spreadsheetml/2006/main">
  <authors>
    <author>zhouzhen</author>
    <author>杨宗水</author>
  </authors>
  <commentList>
    <comment ref="E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1、新手7日签到
2、对局领球杆
3、击球、拖尾礼包
4、新手球杆礼包
5、段位冲刺
6、钻石基金
7、新手特惠礼包
8、新手升级奖励
9、新-对局领奖励
10、专属任务</t>
        </r>
      </text>
    </comment>
    <comment ref="K2" authorId="1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小红点类型
0：默认无
1：每日首次登录
2：每次登录
3：终生一次
4：有免费商品可购买时</t>
        </r>
      </text>
    </comment>
    <comment ref="M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高于配置时间创建的账号不触发对应活动</t>
        </r>
      </text>
    </comment>
  </commentList>
</comments>
</file>

<file path=xl/comments4.xml><?xml version="1.0" encoding="utf-8"?>
<comments xmlns="http://schemas.openxmlformats.org/spreadsheetml/2006/main">
  <authors>
    <author>zhouzhen</author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[奖励物品id,数量]</t>
        </r>
      </text>
    </comment>
    <comment ref="D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id配置语言包</t>
        </r>
      </text>
    </comment>
  </commentList>
</comments>
</file>

<file path=xl/comments5.xml><?xml version="1.0" encoding="utf-8"?>
<comments xmlns="http://schemas.openxmlformats.org/spreadsheetml/2006/main">
  <authors>
    <author>zhouzhen</author>
    <author>杨宗水</author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0：进度根据类型解释字段显示
1：进度只显示为1，未完成显示0/1，完成显示1/1
只要进度是1的任务，类型解释字段到后面都要加",1"
注意：类型9的不需要</t>
        </r>
      </text>
    </comment>
    <comment ref="E2" authorId="1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F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1、8球对局：在任意模式中进行8球对局 X 局
2、升级：等级达到 X 级
3、</t>
        </r>
        <r>
          <rPr>
            <b/>
            <sz val="9"/>
            <rFont val="宋体"/>
            <charset val="134"/>
          </rPr>
          <t>闯关</t>
        </r>
        <r>
          <rPr>
            <sz val="9"/>
            <rFont val="宋体"/>
            <charset val="134"/>
          </rPr>
          <t>：剧情模式达到 X 关(累计关卡数量，比如第1章30关，第2章30关，通关第2章一共就是60关，填60）
4、充值：累计进行 X 次充值（任意金额）
5、看广告：累计成功观看 X 次广告
6、幸运一击：累计进行 X 次幸运一击（普通算1次，付费也只算1次）
7、</t>
        </r>
        <r>
          <rPr>
            <b/>
            <sz val="9"/>
            <rFont val="宋体"/>
            <charset val="134"/>
          </rPr>
          <t>段位</t>
        </r>
        <r>
          <rPr>
            <sz val="9"/>
            <rFont val="宋体"/>
            <charset val="134"/>
          </rPr>
          <t>：段位达到 X （对应段位表的id)
20200713-toby新增
8、</t>
        </r>
        <r>
          <rPr>
            <b/>
            <sz val="9"/>
            <rFont val="宋体"/>
            <charset val="134"/>
          </rPr>
          <t>初始球杆升到X品质</t>
        </r>
        <r>
          <rPr>
            <sz val="9"/>
            <rFont val="宋体"/>
            <charset val="134"/>
          </rPr>
          <t xml:space="preserve">
9、</t>
        </r>
        <r>
          <rPr>
            <b/>
            <sz val="9"/>
            <rFont val="宋体"/>
            <charset val="134"/>
          </rPr>
          <t>加入俱乐部1次</t>
        </r>
        <r>
          <rPr>
            <sz val="9"/>
            <rFont val="宋体"/>
            <charset val="134"/>
          </rPr>
          <t xml:space="preserve">
10、好友约战累计X次
11、领取VIP特权礼包累计X次
12、拥有X名好友
13、分享累计X次
14、视频签到累计X次
15、俱乐部打卡累计X次
16、观看在线奖励视频累计X次
17、14-1玩法累计玩X局（挑战赛）
18、对局玩法加注累计X次
19、俱乐部赞助累计X次
23、完成高手进阶第x章
20240604新增
24、前往对局盈利n金币：玩家接任务开始，从对局中盈利n金币，任务期间才统计（对局包括球/斯诺克）
25、任意对局获得n连胜：玩家历史完成n连胜（对局包括球/斯诺克/血流）
26、前往任意对局完成n连杆：玩家接任务开始，从对局中n连杆（对局包括球/斯诺克/血流）
27、对局胜利n局：玩家历史累计胜利n局（对局包括球/斯诺克/血流）
29、日常任务累计获得n积分：日常任务累计获得n分
30、进行n次世界聊天：累计进行n次世界聊天
31、完成高手进阶第x关（teach_level的level）</t>
        </r>
      </text>
    </comment>
    <comment ref="G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1、对局数
2、等级
3、a,b：第a章 第b关
4、次数
5、次数
6、次数
7、段位配置表id
20200713-toby新增
8、球杆品质：1为C 2B 3A 4S 5SS 6SSS
9、次数
10、次数
11、次数
12、人数
13、次数
14、次数
15、次数
16、次数
17、次数
18、次数
19、次数
23、次数
20240604新增
24、n金币
25、n连胜,次数
26、n连杆,次数
27、n局
29、n积分
30、n次
31、n关</t>
        </r>
      </text>
    </comment>
    <comment ref="J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点击【前往】跳转的对应界面链接
查看“跳转链接配置表”</t>
        </r>
      </text>
    </comment>
    <comment ref="K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有效
1 失效</t>
        </r>
      </text>
    </comment>
    <comment ref="C7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注意，最终任务这里不填，但是《系统特殊数据配置表》里需要填对应任务id</t>
        </r>
      </text>
    </comment>
  </commentList>
</comments>
</file>

<file path=xl/comments6.xml><?xml version="1.0" encoding="utf-8"?>
<comments xmlns="http://schemas.openxmlformats.org/spreadsheetml/2006/main">
  <authors>
    <author>Aki</author>
  </authors>
  <commentList>
    <comment ref="D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解锁奖励需要完成的匹配对局数
</t>
        </r>
      </text>
    </comment>
  </commentList>
</comments>
</file>

<file path=xl/comments7.xml><?xml version="1.0" encoding="utf-8"?>
<comments xmlns="http://schemas.openxmlformats.org/spreadsheetml/2006/main">
  <authors>
    <author>Aki</author>
  </authors>
  <commentList>
    <comment ref="C1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右侧进度条显示普通奖励</t>
        </r>
      </text>
    </comment>
    <comment ref="E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解锁奖励需要完成的匹配对局数
</t>
        </r>
      </text>
    </comment>
  </commentList>
</comments>
</file>

<file path=xl/comments8.xml><?xml version="1.0" encoding="utf-8"?>
<comments xmlns="http://schemas.openxmlformats.org/spreadsheetml/2006/main">
  <authors>
    <author>zhouzhen</author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0、每日限购
1、终生限购</t>
        </r>
      </text>
    </comment>
    <comment ref="G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0：免费
1：视频购买
2：充值购买
3：货币购买</t>
        </r>
      </text>
    </comment>
    <comment ref="H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2：配置充值id
3：配置钻石数量
4：配置金币数量</t>
        </r>
      </text>
    </comment>
    <comment ref="J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0或者没配不显示折扣
配n显示折扣，3就是3折</t>
        </r>
      </text>
    </comment>
  </commentList>
</comments>
</file>

<file path=xl/comments9.xml><?xml version="1.0" encoding="utf-8"?>
<comments xmlns="http://schemas.openxmlformats.org/spreadsheetml/2006/main">
  <authors>
    <author>杨宗水</author>
    <author>zhouzhen</author>
  </authors>
  <commentList>
    <comment ref="D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E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39：达到指定段位</t>
        </r>
      </text>
    </comment>
    <comment ref="F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段位配置表的对应段位id
</t>
        </r>
      </text>
    </comment>
    <comment ref="H2" authorId="1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点击【前往】跳转的对应界面链接
查看“跳转链接配置表”</t>
        </r>
      </text>
    </comment>
  </commentList>
</comments>
</file>

<file path=xl/comments10.xml><?xml version="1.0" encoding="utf-8"?>
<comments xmlns="http://schemas.openxmlformats.org/spreadsheetml/2006/main">
  <authors>
    <author>zhouzhen</author>
  </authors>
  <commentList>
    <comment ref="D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[[物品id，物品数量]]
</t>
        </r>
      </text>
    </comment>
  </commentList>
</comments>
</file>

<file path=xl/comments11.xml><?xml version="1.0" encoding="utf-8"?>
<comments xmlns="http://schemas.openxmlformats.org/spreadsheetml/2006/main">
  <authors>
    <author>zhouzhen</author>
  </authors>
  <commentList>
    <comment ref="D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[[物品id，物品数量]]
</t>
        </r>
      </text>
    </comment>
  </commentList>
</comments>
</file>

<file path=xl/sharedStrings.xml><?xml version="1.0" encoding="utf-8"?>
<sst xmlns="http://schemas.openxmlformats.org/spreadsheetml/2006/main" count="575" uniqueCount="296">
  <si>
    <t>##comment</t>
  </si>
  <si>
    <t>天数</t>
  </si>
  <si>
    <t>新手任务id</t>
  </si>
  <si>
    <t>##var</t>
  </si>
  <si>
    <t>day</t>
  </si>
  <si>
    <t>id</t>
  </si>
  <si>
    <t>##type</t>
  </si>
  <si>
    <t>int32</t>
  </si>
  <si>
    <t>(list#sep=,),int32</t>
  </si>
  <si>
    <t>##group</t>
  </si>
  <si>
    <t>c,s</t>
  </si>
  <si>
    <t>##</t>
  </si>
  <si>
    <t>1,2,3,4,5</t>
  </si>
  <si>
    <t>6,7,8,9,10</t>
  </si>
  <si>
    <t>11,12,13,14,15</t>
  </si>
  <si>
    <t>16,17,18,19,20</t>
  </si>
  <si>
    <t>21,22,23,24,25</t>
  </si>
  <si>
    <t>奖励ID</t>
  </si>
  <si>
    <t>奖励解锁星星数</t>
  </si>
  <si>
    <t>奖励组id</t>
  </si>
  <si>
    <t>reward_id</t>
  </si>
  <si>
    <t>num</t>
  </si>
  <si>
    <t>reward</t>
  </si>
  <si>
    <t>(list#sep=|),reward1</t>
  </si>
  <si>
    <t>7日目标奖励配置表</t>
  </si>
  <si>
    <t>1,100</t>
  </si>
  <si>
    <t>1,200005</t>
  </si>
  <si>
    <t>1,100061</t>
  </si>
  <si>
    <t>签到天数</t>
  </si>
  <si>
    <t>奖励</t>
  </si>
  <si>
    <t>阶段区分</t>
  </si>
  <si>
    <t>阶段提示</t>
  </si>
  <si>
    <t>参考中文</t>
  </si>
  <si>
    <t>day_id</t>
  </si>
  <si>
    <t>stage</t>
  </si>
  <si>
    <t>stage_dec</t>
  </si>
  <si>
    <t>(list#sep=;),(list#sep=,),int</t>
  </si>
  <si>
    <t>string</t>
  </si>
  <si>
    <t>新七日签到配置表</t>
  </si>
  <si>
    <t>510241,20</t>
  </si>
  <si>
    <t>累计登录3天总计领取80碎片，可以合成永久球杆-枫叶</t>
  </si>
  <si>
    <t>510241,40</t>
  </si>
  <si>
    <t>600008,40;61,200</t>
  </si>
  <si>
    <t>累计登录8天，领取材料可将B级枫叶球杆升级为&lt;color=#9A35FF&gt;A级球杆&lt;/color&gt;</t>
  </si>
  <si>
    <t>600008,50;61,200</t>
  </si>
  <si>
    <t>600008,50;61,400</t>
  </si>
  <si>
    <t>510241,50;61,400</t>
  </si>
  <si>
    <t>序号</t>
  </si>
  <si>
    <t>页签名称</t>
  </si>
  <si>
    <t>参考中文名</t>
  </si>
  <si>
    <t>新手福利类型</t>
  </si>
  <si>
    <t>类型解释字段</t>
  </si>
  <si>
    <t>福利背景图</t>
  </si>
  <si>
    <t>活动排序</t>
  </si>
  <si>
    <t>出现时间</t>
  </si>
  <si>
    <t>消失时间</t>
  </si>
  <si>
    <t>小红点</t>
  </si>
  <si>
    <t>跳转链接</t>
  </si>
  <si>
    <t>活动触发时间限制</t>
  </si>
  <si>
    <t>name</t>
  </si>
  <si>
    <t>novice_welfare_type</t>
  </si>
  <si>
    <t>explain</t>
  </si>
  <si>
    <t>bg_img</t>
  </si>
  <si>
    <t>order</t>
  </si>
  <si>
    <t>time_up</t>
  </si>
  <si>
    <t>time_down</t>
  </si>
  <si>
    <t>point_red</t>
  </si>
  <si>
    <t>link</t>
  </si>
  <si>
    <t>time_limit</t>
  </si>
  <si>
    <t>新手福利配置表</t>
  </si>
  <si>
    <t>type_act</t>
  </si>
  <si>
    <t>新手7日签到</t>
  </si>
  <si>
    <t>Hall/texture/ui_image_mrth_bg.png</t>
  </si>
  <si>
    <t>对局领球杆</t>
  </si>
  <si>
    <t>限时福利</t>
  </si>
  <si>
    <t>超值-龙回头</t>
  </si>
  <si>
    <t>段位冲刺</t>
  </si>
  <si>
    <t>钻石基金</t>
  </si>
  <si>
    <t>新手特惠礼包</t>
  </si>
  <si>
    <t>升级奖励</t>
  </si>
  <si>
    <t>对局领奖励</t>
  </si>
  <si>
    <t>Hall/texture/welfare/ui_image_djjl_bg.png</t>
  </si>
  <si>
    <t>专属任务</t>
  </si>
  <si>
    <t>奖励说明</t>
  </si>
  <si>
    <t>签到天数说明</t>
  </si>
  <si>
    <t>关闭弹窗说明</t>
  </si>
  <si>
    <t>reward_dec</t>
  </si>
  <si>
    <t>day_dec</t>
  </si>
  <si>
    <t>close_dec</t>
  </si>
  <si>
    <t>(list#sep=|),reward2</t>
  </si>
  <si>
    <t>c</t>
  </si>
  <si>
    <t>七日签到配置表</t>
  </si>
  <si>
    <t>2,2000,100</t>
  </si>
  <si>
    <t>金币&lt;font color=#D52C2C&gt;×2000&lt;/font&gt;</t>
  </si>
  <si>
    <t>Day 1 领&lt;font color=#FFEA00&gt;大量金币&lt;/font&gt;！</t>
  </si>
  <si>
    <t>超多金币</t>
  </si>
  <si>
    <t>100240,1,100</t>
  </si>
  <si>
    <t>永久限定球杆&lt;font color=#D52C2C&gt;×1&lt;/font&gt;</t>
  </si>
  <si>
    <t>Day 2 送&lt;font color=#FFEA00&gt;限定球杆&lt;/font&gt;！</t>
  </si>
  <si>
    <t>限定球杆</t>
  </si>
  <si>
    <t>300001,1,50|300003,1,22|300004,1,22|300008,1,1</t>
  </si>
  <si>
    <t>概率获得&lt;font color=#D52C2C&gt;稀有球桌&lt;/font&gt;</t>
  </si>
  <si>
    <t>Day 3 抽&lt;font color=#FFEA00&gt;稀有球桌&lt;/font&gt;！</t>
  </si>
  <si>
    <t>稀有球桌</t>
  </si>
  <si>
    <t>600001,10,100</t>
  </si>
  <si>
    <t>升星木&lt;font color=#D52C2C&gt;×10&lt;/font&gt;</t>
  </si>
  <si>
    <t>Day 4 领&lt;font color=#FFEA00&gt;升星材料&lt;/font&gt;！</t>
  </si>
  <si>
    <t>升星材料</t>
  </si>
  <si>
    <t>141459,5,100</t>
  </si>
  <si>
    <t>顶级球杆体验卡&lt;font color=#D52C2C&gt;×5&lt;/font&gt;局</t>
  </si>
  <si>
    <t>Day 5 送&lt;font color=#FFEA00&gt;豪华礼包&lt;/font&gt;！</t>
  </si>
  <si>
    <t>豪华礼包</t>
  </si>
  <si>
    <t>870002,1,100</t>
  </si>
  <si>
    <t>稀有聊天气泡&lt;font color=#D52C2C&gt;×1&lt;/font&gt;</t>
  </si>
  <si>
    <t>Day 6 领&lt;font color=#FFEA00&gt;珍稀气泡&lt;/font&gt;！</t>
  </si>
  <si>
    <t>珍稀气泡</t>
  </si>
  <si>
    <t>200006,1,100</t>
  </si>
  <si>
    <t>Day 7</t>
  </si>
  <si>
    <t>领&lt;font color=#FFEA00&gt;限定高级皮肤&lt;/font&gt;！</t>
  </si>
  <si>
    <t>限定高级皮肤</t>
  </si>
  <si>
    <t>专属任务id</t>
  </si>
  <si>
    <t>下一任务id</t>
  </si>
  <si>
    <t>任务名语言包id</t>
  </si>
  <si>
    <t>任务名称</t>
  </si>
  <si>
    <t>任务类型</t>
  </si>
  <si>
    <t>进度显示</t>
  </si>
  <si>
    <t>奖励组</t>
  </si>
  <si>
    <t>前往链接</t>
  </si>
  <si>
    <t>任务是否失效</t>
  </si>
  <si>
    <t>next_id</t>
  </si>
  <si>
    <t>type</t>
  </si>
  <si>
    <t>condition</t>
  </si>
  <si>
    <t>special_show</t>
  </si>
  <si>
    <t>if_invalid</t>
  </si>
  <si>
    <t>专属任务配置表</t>
  </si>
  <si>
    <t>完成2次8球对局</t>
  </si>
  <si>
    <t>8球对局盈利1000金币(含8球、斯诺克)</t>
  </si>
  <si>
    <t>8球累计获胜2次</t>
  </si>
  <si>
    <t>等级提升到4级</t>
  </si>
  <si>
    <t>前往8球对局完成1次2连杆</t>
  </si>
  <si>
    <t>2,1</t>
  </si>
  <si>
    <t>完成高手进阶【初学新手】的力度控制</t>
  </si>
  <si>
    <t>103,1</t>
  </si>
  <si>
    <t>再完成2次8球对局</t>
  </si>
  <si>
    <t>闯关通关1-3</t>
  </si>
  <si>
    <t>3,1</t>
  </si>
  <si>
    <t>在世界频道发送1次聊天</t>
  </si>
  <si>
    <t>日常任务活跃累计获得60</t>
  </si>
  <si>
    <t>任意对局完成1次3连杆(含8球/斯诺克/血流/)</t>
  </si>
  <si>
    <t>获得1次2连胜</t>
  </si>
  <si>
    <t>累计观看视频5次</t>
  </si>
  <si>
    <t>任意对局盈利5000金币（含8球、斯诺克）</t>
  </si>
  <si>
    <t>等级提升到5级</t>
  </si>
  <si>
    <t>加入俱乐部</t>
  </si>
  <si>
    <t>俱乐部打卡1次</t>
  </si>
  <si>
    <t>日常任务活跃累计获得90</t>
  </si>
  <si>
    <t>闯关通关1-8</t>
  </si>
  <si>
    <t>8,1</t>
  </si>
  <si>
    <t>段位达到青铜II</t>
  </si>
  <si>
    <t>再完成3次任意对局(含8球/斯诺克/血流/)</t>
  </si>
  <si>
    <t>任意对局累计获胜5次(含8球/斯诺克/血流/)</t>
  </si>
  <si>
    <t>关注1个好友(世界聊天查看玩家点【关注】)</t>
  </si>
  <si>
    <t>完成高手进阶【初学新手】走位控制</t>
  </si>
  <si>
    <t>203,1</t>
  </si>
  <si>
    <t>累计观看视频10次</t>
  </si>
  <si>
    <t>任意对局盈利10000金币（含8球、斯诺克）</t>
  </si>
  <si>
    <t>闯关通关1-14</t>
  </si>
  <si>
    <t>14,1</t>
  </si>
  <si>
    <t>等级提升到8级</t>
  </si>
  <si>
    <t>任意对局累计获胜8次(含8球/斯诺克/血流/)</t>
  </si>
  <si>
    <t>段位达到青铜IV</t>
  </si>
  <si>
    <t>4,1</t>
  </si>
  <si>
    <t>参加1次挑战赛</t>
  </si>
  <si>
    <t>日常任务活跃累计获得120</t>
  </si>
  <si>
    <t>完成高手进阶【初学新手】贴边球</t>
  </si>
  <si>
    <t>303,1</t>
  </si>
  <si>
    <t>累计观看视频15次</t>
  </si>
  <si>
    <t>任意对局累计获胜10次(含8球/斯诺克/血流/)</t>
  </si>
  <si>
    <t>累计获得2次3连胜</t>
  </si>
  <si>
    <t>3,2</t>
  </si>
  <si>
    <t>参加1次幸运一击</t>
  </si>
  <si>
    <t>任意对局盈利20000金币（含8球、斯诺克）</t>
  </si>
  <si>
    <t>闯关通关1-20</t>
  </si>
  <si>
    <t>20,1</t>
  </si>
  <si>
    <t>再完成4次任意对局(含8球/斯诺克/血流/)</t>
  </si>
  <si>
    <t>任意对局累计获胜12次(含8球/斯诺克/血流/)</t>
  </si>
  <si>
    <t>等级提升到10级</t>
  </si>
  <si>
    <t>段位达到青铜V</t>
  </si>
  <si>
    <t>5,1</t>
  </si>
  <si>
    <t>任意对局累计获胜16次(含8球/斯诺克/血流/)</t>
  </si>
  <si>
    <t>俱乐部打卡2次</t>
  </si>
  <si>
    <t>日常任务活跃累计获得250</t>
  </si>
  <si>
    <t>俱乐部打卡3次</t>
  </si>
  <si>
    <t>任意对局盈利50000金币（含8球、斯诺克）</t>
  </si>
  <si>
    <t>完成高手进阶【初学新手】组合球</t>
  </si>
  <si>
    <t>403,1</t>
  </si>
  <si>
    <t>任意对局累计获胜20次(含8球/斯诺克/血流/)</t>
  </si>
  <si>
    <t>闯关通关1-30</t>
  </si>
  <si>
    <t>30,1</t>
  </si>
  <si>
    <t>累计观看视频20次</t>
  </si>
  <si>
    <t>等级提升到12级</t>
  </si>
  <si>
    <t>段位达到白银I</t>
  </si>
  <si>
    <t>6,1</t>
  </si>
  <si>
    <t>等级提升到15级</t>
  </si>
  <si>
    <t>完成高手进阶【初学新手】拉杆</t>
  </si>
  <si>
    <t>503,1</t>
  </si>
  <si>
    <t>任意对局盈利100000金币（含8球、斯诺克）</t>
  </si>
  <si>
    <t>累计观看视频30次</t>
  </si>
  <si>
    <t>闯关通关2-20</t>
  </si>
  <si>
    <t>50,1</t>
  </si>
  <si>
    <t>累计获得4次3连胜</t>
  </si>
  <si>
    <t>3,4</t>
  </si>
  <si>
    <t>再完成5次任意对局(含8球/斯诺克/血流/)</t>
  </si>
  <si>
    <t>任意对局累计获胜25次(含8球/斯诺克/血流/)</t>
  </si>
  <si>
    <t>段位达到白银II</t>
  </si>
  <si>
    <t>7,1</t>
  </si>
  <si>
    <t>俱乐部赞助1次</t>
  </si>
  <si>
    <t>解锁需要对局数</t>
  </si>
  <si>
    <t>matches</t>
  </si>
  <si>
    <t>普通奖励</t>
  </si>
  <si>
    <t>稀有奖励</t>
  </si>
  <si>
    <t>free_reward</t>
  </si>
  <si>
    <t>ad_reward</t>
  </si>
  <si>
    <t>新手福利配置表配置表</t>
  </si>
  <si>
    <t>钻石数量</t>
  </si>
  <si>
    <t>num_gem</t>
  </si>
  <si>
    <t>钻石理财配置表</t>
  </si>
  <si>
    <t>礼包名称</t>
  </si>
  <si>
    <t>限购类型</t>
  </si>
  <si>
    <t>购买类型</t>
  </si>
  <si>
    <t>礼包内容</t>
  </si>
  <si>
    <t>折扣</t>
  </si>
  <si>
    <t>type_limit</t>
  </si>
  <si>
    <t>explain_limit</t>
  </si>
  <si>
    <t>type_pay</t>
  </si>
  <si>
    <t>explain_pay</t>
  </si>
  <si>
    <t>discount</t>
  </si>
  <si>
    <t>新手福利礼包配置表</t>
  </si>
  <si>
    <t>[]</t>
  </si>
  <si>
    <t>每日福利</t>
  </si>
  <si>
    <t>12,50</t>
  </si>
  <si>
    <t>免费金币</t>
  </si>
  <si>
    <t>2,1000</t>
  </si>
  <si>
    <t>视频券礼包</t>
  </si>
  <si>
    <t>20,30</t>
  </si>
  <si>
    <t>金币特惠</t>
  </si>
  <si>
    <t>2,240000</t>
  </si>
  <si>
    <t>黑金科技-球桌</t>
  </si>
  <si>
    <t>300007,1</t>
  </si>
  <si>
    <t>S级-永久球杆</t>
  </si>
  <si>
    <t>100012,1</t>
  </si>
  <si>
    <t>吉兔送福-进洞</t>
  </si>
  <si>
    <t>940011,1</t>
  </si>
  <si>
    <t>玉兔迎春-拖尾</t>
  </si>
  <si>
    <t>952033,1</t>
  </si>
  <si>
    <t>进洞礼包</t>
  </si>
  <si>
    <t>952010,1</t>
  </si>
  <si>
    <t>语言包id</t>
  </si>
  <si>
    <t>任务奖励</t>
  </si>
  <si>
    <t>七日段位冲刺</t>
  </si>
  <si>
    <t>段位达到青铜I</t>
  </si>
  <si>
    <t>2,188</t>
  </si>
  <si>
    <t>2,666;12,50</t>
  </si>
  <si>
    <t>段位达到青铜III</t>
  </si>
  <si>
    <t>2,888;410041,1</t>
  </si>
  <si>
    <t>2,888;12,50</t>
  </si>
  <si>
    <t>2,888;12,100</t>
  </si>
  <si>
    <t>段位达到白银III</t>
  </si>
  <si>
    <t>段位达到白银IV</t>
  </si>
  <si>
    <t>段位达到白银V</t>
  </si>
  <si>
    <t>2,1088;12,100</t>
  </si>
  <si>
    <t>段位达到黄金I</t>
  </si>
  <si>
    <t>200004,1;12,200</t>
  </si>
  <si>
    <t>任务序号</t>
  </si>
  <si>
    <t>等级要求</t>
  </si>
  <si>
    <t>level</t>
  </si>
  <si>
    <t>新手等级奖励</t>
  </si>
  <si>
    <t>2,666;420071,1</t>
  </si>
  <si>
    <t>2,1000;970111,1</t>
  </si>
  <si>
    <t>2,1288;12,50</t>
  </si>
  <si>
    <t>2,1588;980331,1</t>
  </si>
  <si>
    <t>300001,1;12,100</t>
  </si>
  <si>
    <t>档位id</t>
  </si>
  <si>
    <t>在线时长</t>
  </si>
  <si>
    <t>level_id</t>
  </si>
  <si>
    <t>time</t>
  </si>
  <si>
    <t>在线时长奖励</t>
  </si>
  <si>
    <t>990031,1</t>
  </si>
  <si>
    <t>1050003,1</t>
  </si>
  <si>
    <t>2,2000</t>
  </si>
  <si>
    <t>1050004,1</t>
  </si>
  <si>
    <t>1050002,1</t>
  </si>
  <si>
    <t>100064,5</t>
  </si>
  <si>
    <t>2,30000;410132,1</t>
  </si>
  <si>
    <t>2,40000;700032,3</t>
  </si>
  <si>
    <t>2,50000;700032,5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</si>
</sst>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3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name val="Microsoft YaHei Light"/>
      <charset val="134"/>
    </font>
    <font>
      <sz val="11"/>
      <color theme="1"/>
      <name val="Microsoft YaHei Light"/>
      <charset val="134"/>
    </font>
    <font>
      <sz val="1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0" fillId="0" borderId="0"/>
    <xf numFmtId="0" fontId="1" fillId="0" borderId="0"/>
    <xf numFmtId="0" fontId="1" fillId="0" borderId="0"/>
    <xf numFmtId="0" fontId="0" fillId="0" borderId="0"/>
    <xf numFmtId="0" fontId="0" fillId="0" borderId="0"/>
    <xf numFmtId="0" fontId="5" fillId="4" borderId="0" applyNumberFormat="0" applyBorder="0" applyAlignment="0" applyProtection="0">
      <alignment vertical="center"/>
    </xf>
    <xf numFmtId="0" fontId="0" fillId="0" borderId="0"/>
  </cellStyleXfs>
  <cellXfs count="98">
    <xf numFmtId="0" fontId="0" fillId="0" borderId="0" xfId="0"/>
    <xf numFmtId="0" fontId="0" fillId="0" borderId="0" xfId="0" applyFont="1"/>
    <xf numFmtId="0" fontId="0" fillId="2" borderId="0" xfId="0" applyFont="1" applyFill="1"/>
    <xf numFmtId="0" fontId="0" fillId="2" borderId="0" xfId="0" applyFill="1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50" applyAlignment="1">
      <alignment horizontal="center" vertical="center"/>
    </xf>
    <xf numFmtId="0" fontId="0" fillId="0" borderId="0" xfId="52"/>
    <xf numFmtId="0" fontId="0" fillId="0" borderId="0" xfId="52" applyAlignment="1">
      <alignment vertical="center"/>
    </xf>
    <xf numFmtId="0" fontId="0" fillId="2" borderId="0" xfId="52" applyFill="1"/>
    <xf numFmtId="0" fontId="0" fillId="3" borderId="0" xfId="52" applyFill="1"/>
    <xf numFmtId="0" fontId="1" fillId="2" borderId="0" xfId="52" applyFont="1" applyFill="1"/>
    <xf numFmtId="0" fontId="0" fillId="0" borderId="0" xfId="52" applyAlignment="1">
      <alignment horizontal="center"/>
    </xf>
    <xf numFmtId="0" fontId="0" fillId="0" borderId="0" xfId="52" applyAlignment="1">
      <alignment horizontal="center" vertical="center"/>
    </xf>
    <xf numFmtId="0" fontId="1" fillId="0" borderId="0" xfId="52" applyFont="1" applyAlignment="1">
      <alignment horizontal="center" vertical="center"/>
    </xf>
    <xf numFmtId="0" fontId="1" fillId="0" borderId="1" xfId="50" applyBorder="1" applyAlignment="1">
      <alignment horizontal="center" vertical="center"/>
    </xf>
    <xf numFmtId="49" fontId="0" fillId="0" borderId="0" xfId="52" applyNumberFormat="1" applyAlignment="1">
      <alignment horizontal="center"/>
    </xf>
    <xf numFmtId="0" fontId="2" fillId="0" borderId="0" xfId="52" applyFont="1" applyAlignment="1">
      <alignment horizontal="center" vertical="center"/>
    </xf>
    <xf numFmtId="0" fontId="2" fillId="0" borderId="0" xfId="52" applyFon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3" borderId="0" xfId="0" applyFill="1"/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49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0" xfId="51" applyFill="1"/>
    <xf numFmtId="49" fontId="0" fillId="0" borderId="0" xfId="0" applyNumberFormat="1" applyAlignment="1">
      <alignment vertical="center"/>
    </xf>
    <xf numFmtId="0" fontId="1" fillId="0" borderId="0" xfId="0" applyFont="1"/>
    <xf numFmtId="0" fontId="1" fillId="0" borderId="0" xfId="52" applyFont="1"/>
    <xf numFmtId="0" fontId="4" fillId="0" borderId="0" xfId="52" applyFont="1" applyAlignment="1">
      <alignment vertical="center"/>
    </xf>
    <xf numFmtId="0" fontId="3" fillId="0" borderId="0" xfId="52" applyFont="1"/>
    <xf numFmtId="0" fontId="0" fillId="2" borderId="0" xfId="52" applyFill="1" applyAlignment="1">
      <alignment horizontal="center"/>
    </xf>
    <xf numFmtId="0" fontId="0" fillId="3" borderId="0" xfId="52" applyFill="1" applyAlignment="1">
      <alignment horizontal="center" vertical="center"/>
    </xf>
    <xf numFmtId="0" fontId="4" fillId="0" borderId="0" xfId="52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52" applyFont="1" applyAlignment="1">
      <alignment horizontal="center"/>
    </xf>
    <xf numFmtId="0" fontId="5" fillId="4" borderId="0" xfId="54" applyNumberFormat="1" applyBorder="1" applyAlignment="1"/>
    <xf numFmtId="0" fontId="3" fillId="0" borderId="0" xfId="52" applyFont="1" applyAlignment="1">
      <alignment horizontal="center"/>
    </xf>
    <xf numFmtId="0" fontId="5" fillId="4" borderId="0" xfId="54" applyNumberForma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49" applyFont="1" applyFill="1" applyAlignment="1"/>
    <xf numFmtId="0" fontId="0" fillId="0" borderId="0" xfId="49" applyFont="1" applyFill="1" applyAlignment="1">
      <alignment vertical="center"/>
    </xf>
    <xf numFmtId="0" fontId="0" fillId="2" borderId="0" xfId="49" applyFont="1" applyFill="1" applyAlignment="1"/>
    <xf numFmtId="0" fontId="0" fillId="3" borderId="0" xfId="49" applyFont="1" applyFill="1" applyAlignment="1"/>
    <xf numFmtId="0" fontId="1" fillId="2" borderId="0" xfId="49" applyFont="1" applyFill="1" applyAlignment="1"/>
    <xf numFmtId="49" fontId="0" fillId="0" borderId="0" xfId="49" applyNumberFormat="1" applyFont="1" applyFill="1" applyAlignment="1"/>
    <xf numFmtId="0" fontId="0" fillId="0" borderId="0" xfId="55"/>
    <xf numFmtId="0" fontId="0" fillId="0" borderId="0" xfId="49" applyNumberFormat="1"/>
    <xf numFmtId="0" fontId="8" fillId="0" borderId="0" xfId="0" applyFont="1" applyFill="1" applyAlignment="1">
      <alignment vertical="center"/>
    </xf>
    <xf numFmtId="0" fontId="1" fillId="0" borderId="0" xfId="50" applyFont="1" applyFill="1" applyAlignment="1"/>
    <xf numFmtId="0" fontId="1" fillId="0" borderId="0" xfId="55" applyFont="1"/>
    <xf numFmtId="0" fontId="1" fillId="0" borderId="0" xfId="49" applyFont="1" applyFill="1" applyAlignment="1"/>
    <xf numFmtId="176" fontId="0" fillId="0" borderId="0" xfId="49" applyNumberFormat="1"/>
    <xf numFmtId="0" fontId="0" fillId="0" borderId="0" xfId="0" applyFont="1" applyFill="1" applyAlignment="1">
      <alignment horizontal="left" vertical="center"/>
    </xf>
    <xf numFmtId="0" fontId="0" fillId="0" borderId="0" xfId="53"/>
    <xf numFmtId="0" fontId="0" fillId="0" borderId="0" xfId="53" applyAlignment="1">
      <alignment horizontal="center"/>
    </xf>
    <xf numFmtId="0" fontId="0" fillId="0" borderId="0" xfId="53" applyAlignment="1">
      <alignment horizontal="center" vertical="center"/>
    </xf>
    <xf numFmtId="0" fontId="0" fillId="2" borderId="0" xfId="53" applyFill="1" applyAlignment="1">
      <alignment horizontal="center"/>
    </xf>
    <xf numFmtId="0" fontId="0" fillId="3" borderId="0" xfId="53" applyFill="1" applyAlignment="1">
      <alignment horizontal="center"/>
    </xf>
    <xf numFmtId="0" fontId="1" fillId="2" borderId="0" xfId="53" applyFont="1" applyFill="1" applyAlignment="1">
      <alignment horizontal="center"/>
    </xf>
    <xf numFmtId="0" fontId="3" fillId="0" borderId="0" xfId="53" applyFont="1" applyAlignment="1">
      <alignment horizontal="center"/>
    </xf>
    <xf numFmtId="176" fontId="0" fillId="0" borderId="0" xfId="53" applyNumberFormat="1" applyAlignment="1">
      <alignment horizontal="center"/>
    </xf>
    <xf numFmtId="176" fontId="0" fillId="2" borderId="0" xfId="53" applyNumberFormat="1" applyFill="1" applyAlignment="1">
      <alignment horizontal="center"/>
    </xf>
    <xf numFmtId="0" fontId="0" fillId="2" borderId="0" xfId="53" applyFill="1"/>
    <xf numFmtId="176" fontId="1" fillId="2" borderId="0" xfId="53" applyNumberFormat="1" applyFont="1" applyFill="1" applyAlignment="1">
      <alignment horizontal="center"/>
    </xf>
    <xf numFmtId="176" fontId="1" fillId="0" borderId="0" xfId="53" applyNumberFormat="1" applyFont="1" applyAlignment="1">
      <alignment horizontal="center"/>
    </xf>
    <xf numFmtId="176" fontId="3" fillId="0" borderId="0" xfId="53" applyNumberFormat="1" applyFont="1" applyAlignment="1">
      <alignment horizontal="center"/>
    </xf>
    <xf numFmtId="176" fontId="2" fillId="0" borderId="0" xfId="53" applyNumberFormat="1" applyFont="1" applyAlignment="1">
      <alignment horizontal="center"/>
    </xf>
    <xf numFmtId="0" fontId="0" fillId="0" borderId="0" xfId="49" applyAlignment="1">
      <alignment vertical="center"/>
    </xf>
    <xf numFmtId="0" fontId="0" fillId="0" borderId="0" xfId="49" applyAlignment="1">
      <alignment horizontal="center"/>
    </xf>
    <xf numFmtId="0" fontId="0" fillId="2" borderId="0" xfId="49" applyFill="1"/>
    <xf numFmtId="0" fontId="0" fillId="2" borderId="0" xfId="49" applyFill="1" applyAlignment="1">
      <alignment horizontal="center"/>
    </xf>
    <xf numFmtId="0" fontId="0" fillId="3" borderId="0" xfId="49" applyFill="1" applyAlignment="1">
      <alignment horizontal="center"/>
    </xf>
    <xf numFmtId="0" fontId="1" fillId="2" borderId="0" xfId="49" applyFont="1" applyFill="1"/>
    <xf numFmtId="49" fontId="0" fillId="0" borderId="0" xfId="49" applyNumberFormat="1"/>
    <xf numFmtId="0" fontId="0" fillId="0" borderId="0" xfId="49" applyAlignment="1">
      <alignment horizontal="left"/>
    </xf>
    <xf numFmtId="0" fontId="1" fillId="0" borderId="0" xfId="50"/>
    <xf numFmtId="0" fontId="0" fillId="0" borderId="0" xfId="49" applyAlignment="1">
      <alignment horizontal="center" vertical="center"/>
    </xf>
    <xf numFmtId="0" fontId="1" fillId="0" borderId="0" xfId="49" applyFont="1" applyAlignment="1">
      <alignment horizontal="center"/>
    </xf>
    <xf numFmtId="49" fontId="0" fillId="0" borderId="0" xfId="52" applyNumberFormat="1"/>
    <xf numFmtId="49" fontId="0" fillId="0" borderId="0" xfId="0" applyNumberFormat="1"/>
    <xf numFmtId="49" fontId="0" fillId="2" borderId="0" xfId="52" applyNumberFormat="1" applyFill="1"/>
    <xf numFmtId="49" fontId="9" fillId="2" borderId="0" xfId="0" applyNumberFormat="1" applyFont="1" applyFill="1" applyBorder="1" applyAlignment="1">
      <alignment horizontal="left"/>
    </xf>
    <xf numFmtId="49" fontId="3" fillId="0" borderId="0" xfId="52" applyNumberFormat="1" applyFont="1"/>
    <xf numFmtId="0" fontId="0" fillId="0" borderId="0" xfId="52" applyFill="1" applyAlignment="1">
      <alignment horizontal="center" vertical="center"/>
    </xf>
    <xf numFmtId="0" fontId="5" fillId="0" borderId="0" xfId="54" applyNumberFormat="1" applyFill="1" applyBorder="1" applyAlignment="1">
      <alignment horizontal="center" vertical="center"/>
    </xf>
    <xf numFmtId="0" fontId="0" fillId="2" borderId="0" xfId="52" applyFill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4" xfId="53"/>
    <cellStyle name="好 2" xfId="54"/>
    <cellStyle name="常规 2 3" xfId="5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H12" sqref="H12"/>
    </sheetView>
  </sheetViews>
  <sheetFormatPr defaultColWidth="9" defaultRowHeight="14.25" outlineLevelCol="4"/>
  <cols>
    <col min="1" max="1" width="9" style="14"/>
    <col min="2" max="2" width="17.3333333333333" style="14" customWidth="1"/>
    <col min="3" max="3" width="16.625" style="14" customWidth="1"/>
    <col min="5" max="5" width="16.25" customWidth="1"/>
    <col min="6" max="16384" width="9" style="14"/>
  </cols>
  <sheetData>
    <row r="1" spans="1:3">
      <c r="A1" s="29" t="s">
        <v>0</v>
      </c>
      <c r="B1" s="14" t="s">
        <v>1</v>
      </c>
      <c r="C1" s="14" t="s">
        <v>2</v>
      </c>
    </row>
    <row r="2" spans="1:3">
      <c r="A2" s="29" t="s">
        <v>3</v>
      </c>
      <c r="B2" s="94" t="s">
        <v>4</v>
      </c>
      <c r="C2" s="94" t="s">
        <v>5</v>
      </c>
    </row>
    <row r="3" ht="16.5" spans="1:3">
      <c r="A3" s="29" t="s">
        <v>6</v>
      </c>
      <c r="B3" s="94" t="s">
        <v>7</v>
      </c>
      <c r="C3" s="95" t="s">
        <v>8</v>
      </c>
    </row>
    <row r="4" spans="1:3">
      <c r="A4" s="29" t="s">
        <v>9</v>
      </c>
      <c r="B4" s="94" t="s">
        <v>10</v>
      </c>
      <c r="C4" s="94" t="s">
        <v>10</v>
      </c>
    </row>
    <row r="5" spans="1:3">
      <c r="A5" s="29" t="s">
        <v>11</v>
      </c>
      <c r="B5" s="94">
        <v>0</v>
      </c>
      <c r="C5" s="94">
        <v>0</v>
      </c>
    </row>
    <row r="6" s="92" customFormat="1" spans="2:3">
      <c r="B6" s="92">
        <v>1</v>
      </c>
      <c r="C6" s="96" t="s">
        <v>12</v>
      </c>
    </row>
    <row r="7" s="92" customFormat="1" spans="2:3">
      <c r="B7" s="92">
        <v>2</v>
      </c>
      <c r="C7" s="96" t="s">
        <v>13</v>
      </c>
    </row>
    <row r="8" s="92" customFormat="1" spans="2:3">
      <c r="B8" s="92">
        <v>3</v>
      </c>
      <c r="C8" s="96" t="s">
        <v>14</v>
      </c>
    </row>
    <row r="9" s="92" customFormat="1" spans="2:3">
      <c r="B9" s="92">
        <v>4</v>
      </c>
      <c r="C9" s="96" t="s">
        <v>15</v>
      </c>
    </row>
    <row r="10" s="93" customFormat="1" spans="2:3">
      <c r="B10" s="93">
        <v>5</v>
      </c>
      <c r="C10" s="96" t="s">
        <v>16</v>
      </c>
    </row>
    <row r="11" s="92" customFormat="1" spans="3:5">
      <c r="C11" s="96"/>
      <c r="D11" s="97"/>
      <c r="E11" s="97"/>
    </row>
    <row r="12" s="92" customFormat="1" spans="3:5">
      <c r="C12" s="96"/>
      <c r="D12" s="97"/>
      <c r="E12" s="97"/>
    </row>
    <row r="13" s="92" customFormat="1" spans="3:5">
      <c r="C13" s="96"/>
      <c r="D13" s="97"/>
      <c r="E13" s="97"/>
    </row>
    <row r="14" s="92" customFormat="1" spans="3:5">
      <c r="C14" s="96"/>
      <c r="D14" s="97"/>
      <c r="E14" s="97"/>
    </row>
    <row r="15" s="92" customFormat="1" spans="3:3">
      <c r="C15" s="96"/>
    </row>
    <row r="16" s="92" customFormat="1" spans="3:3">
      <c r="C16" s="96"/>
    </row>
    <row r="17" s="92" customFormat="1" spans="3:3">
      <c r="C17" s="96"/>
    </row>
    <row r="18" s="92" customFormat="1" spans="3:3">
      <c r="C18" s="96"/>
    </row>
    <row r="19" s="92" customFormat="1" spans="3:3">
      <c r="C19" s="96"/>
    </row>
    <row r="20" s="92" customFormat="1" spans="3:3">
      <c r="C20" s="96"/>
    </row>
  </sheetData>
  <conditionalFormatting sqref="C6:C20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15" sqref="D15"/>
    </sheetView>
  </sheetViews>
  <sheetFormatPr defaultColWidth="9" defaultRowHeight="14.25" outlineLevelCol="3"/>
  <cols>
    <col min="1" max="1" width="9" style="87"/>
    <col min="2" max="2" width="25.775" style="87" customWidth="1"/>
    <col min="3" max="3" width="15.1083333333333" style="87" customWidth="1"/>
    <col min="4" max="4" width="26.125" style="87" customWidth="1"/>
    <col min="5" max="16384" width="9" style="87"/>
  </cols>
  <sheetData>
    <row r="1" spans="1:4">
      <c r="A1" s="88" t="s">
        <v>0</v>
      </c>
      <c r="B1" s="87" t="s">
        <v>17</v>
      </c>
      <c r="C1" s="87" t="s">
        <v>18</v>
      </c>
      <c r="D1" s="87" t="s">
        <v>19</v>
      </c>
    </row>
    <row r="2" spans="1:4">
      <c r="A2" s="88" t="s">
        <v>3</v>
      </c>
      <c r="B2" s="89" t="s">
        <v>20</v>
      </c>
      <c r="C2" s="89" t="s">
        <v>21</v>
      </c>
      <c r="D2" s="89" t="s">
        <v>22</v>
      </c>
    </row>
    <row r="3" ht="16.5" spans="1:4">
      <c r="A3" s="88" t="s">
        <v>6</v>
      </c>
      <c r="B3" s="89" t="s">
        <v>7</v>
      </c>
      <c r="C3" s="89" t="s">
        <v>7</v>
      </c>
      <c r="D3" s="90" t="s">
        <v>23</v>
      </c>
    </row>
    <row r="4" spans="1:4">
      <c r="A4" s="88" t="s">
        <v>9</v>
      </c>
      <c r="B4" s="89" t="s">
        <v>10</v>
      </c>
      <c r="C4" s="89" t="s">
        <v>10</v>
      </c>
      <c r="D4" s="89" t="s">
        <v>10</v>
      </c>
    </row>
    <row r="5" spans="1:4">
      <c r="A5" s="88" t="s">
        <v>11</v>
      </c>
      <c r="B5" s="89" t="s">
        <v>24</v>
      </c>
      <c r="C5" s="89">
        <v>0</v>
      </c>
      <c r="D5" s="89">
        <v>0</v>
      </c>
    </row>
    <row r="6" spans="2:4">
      <c r="B6" s="91">
        <v>1</v>
      </c>
      <c r="C6" s="91">
        <v>5</v>
      </c>
      <c r="D6" s="91" t="s">
        <v>25</v>
      </c>
    </row>
    <row r="7" spans="2:4">
      <c r="B7" s="91">
        <v>2</v>
      </c>
      <c r="C7" s="91">
        <v>10</v>
      </c>
      <c r="D7" s="91" t="s">
        <v>25</v>
      </c>
    </row>
    <row r="8" spans="2:4">
      <c r="B8" s="91">
        <v>3</v>
      </c>
      <c r="C8" s="91">
        <v>15</v>
      </c>
      <c r="D8" s="91" t="s">
        <v>26</v>
      </c>
    </row>
    <row r="9" spans="2:4">
      <c r="B9" s="91">
        <v>4</v>
      </c>
      <c r="C9" s="91">
        <v>20</v>
      </c>
      <c r="D9" s="91" t="s">
        <v>27</v>
      </c>
    </row>
    <row r="10" spans="2:4">
      <c r="B10" s="91"/>
      <c r="C10" s="91"/>
      <c r="D10" s="91"/>
    </row>
    <row r="11" spans="2:4">
      <c r="B11" s="91"/>
      <c r="C11" s="91"/>
      <c r="D11" s="91"/>
    </row>
    <row r="12" spans="2:4">
      <c r="B12" s="91"/>
      <c r="C12" s="91"/>
      <c r="D12" s="91"/>
    </row>
    <row r="13" spans="2:4">
      <c r="B13" s="91"/>
      <c r="C13" s="91"/>
      <c r="D13" s="91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C41" sqref="C41"/>
    </sheetView>
  </sheetViews>
  <sheetFormatPr defaultColWidth="9" defaultRowHeight="14.25" outlineLevelCol="5"/>
  <cols>
    <col min="1" max="1" width="9" style="28"/>
    <col min="2" max="2" width="19.1083333333333" style="28" customWidth="1"/>
    <col min="3" max="3" width="26" style="28" customWidth="1"/>
    <col min="4" max="4" width="15.2166666666667" style="28" customWidth="1"/>
    <col min="5" max="5" width="19.2166666666667" style="28" customWidth="1"/>
    <col min="6" max="16384" width="9" style="28"/>
  </cols>
  <sheetData>
    <row r="1" spans="1:6">
      <c r="A1" t="s">
        <v>0</v>
      </c>
      <c r="B1" s="28" t="s">
        <v>28</v>
      </c>
      <c r="C1" s="76" t="s">
        <v>29</v>
      </c>
      <c r="D1" s="28" t="s">
        <v>30</v>
      </c>
      <c r="E1" s="77" t="s">
        <v>31</v>
      </c>
      <c r="F1" s="77" t="s">
        <v>32</v>
      </c>
    </row>
    <row r="2" spans="1:6">
      <c r="A2" t="s">
        <v>3</v>
      </c>
      <c r="B2" s="78" t="s">
        <v>33</v>
      </c>
      <c r="C2" s="78" t="s">
        <v>22</v>
      </c>
      <c r="D2" s="78" t="s">
        <v>34</v>
      </c>
      <c r="E2" s="79" t="s">
        <v>35</v>
      </c>
      <c r="F2" s="80"/>
    </row>
    <row r="3" ht="15.75" spans="1:6">
      <c r="A3" t="s">
        <v>6</v>
      </c>
      <c r="B3" s="78" t="s">
        <v>7</v>
      </c>
      <c r="C3" s="81" t="s">
        <v>36</v>
      </c>
      <c r="D3" s="78" t="s">
        <v>7</v>
      </c>
      <c r="E3" s="79" t="s">
        <v>7</v>
      </c>
      <c r="F3" s="80" t="s">
        <v>37</v>
      </c>
    </row>
    <row r="4" spans="1:6">
      <c r="A4" t="s">
        <v>9</v>
      </c>
      <c r="B4" s="78" t="s">
        <v>10</v>
      </c>
      <c r="C4" s="78" t="s">
        <v>10</v>
      </c>
      <c r="D4" s="78" t="s">
        <v>10</v>
      </c>
      <c r="E4" s="78" t="s">
        <v>10</v>
      </c>
      <c r="F4" s="78" t="s">
        <v>10</v>
      </c>
    </row>
    <row r="5" ht="15.75" spans="1:6">
      <c r="A5" t="s">
        <v>11</v>
      </c>
      <c r="B5" s="78" t="s">
        <v>38</v>
      </c>
      <c r="C5" s="81">
        <v>0</v>
      </c>
      <c r="D5" s="78">
        <v>0</v>
      </c>
      <c r="E5" s="79">
        <v>0</v>
      </c>
      <c r="F5" s="80"/>
    </row>
    <row r="6" spans="2:6">
      <c r="B6" s="76">
        <v>1</v>
      </c>
      <c r="C6" s="82" t="s">
        <v>39</v>
      </c>
      <c r="D6" s="77">
        <v>1</v>
      </c>
      <c r="E6" s="20">
        <v>994021</v>
      </c>
      <c r="F6" s="20" t="s">
        <v>40</v>
      </c>
    </row>
    <row r="7" spans="2:6">
      <c r="B7" s="76">
        <v>2</v>
      </c>
      <c r="C7" s="82" t="s">
        <v>39</v>
      </c>
      <c r="D7" s="77">
        <v>1</v>
      </c>
      <c r="E7" s="77"/>
      <c r="F7" s="83"/>
    </row>
    <row r="8" ht="15.75" spans="2:6">
      <c r="B8" s="84">
        <v>3</v>
      </c>
      <c r="C8" s="82" t="s">
        <v>41</v>
      </c>
      <c r="D8" s="77">
        <v>1</v>
      </c>
      <c r="E8" s="85"/>
      <c r="F8" s="83"/>
    </row>
    <row r="9" spans="2:6">
      <c r="B9" s="76">
        <v>4</v>
      </c>
      <c r="C9" s="82" t="s">
        <v>42</v>
      </c>
      <c r="D9" s="77">
        <v>2</v>
      </c>
      <c r="E9" s="20">
        <v>994022</v>
      </c>
      <c r="F9" s="20" t="s">
        <v>43</v>
      </c>
    </row>
    <row r="10" ht="15.75" spans="2:6">
      <c r="B10" s="76">
        <v>5</v>
      </c>
      <c r="C10" s="82" t="s">
        <v>44</v>
      </c>
      <c r="D10" s="77">
        <v>2</v>
      </c>
      <c r="E10" s="85"/>
      <c r="F10" s="86"/>
    </row>
    <row r="11" ht="15.75" spans="2:6">
      <c r="B11" s="76">
        <v>6</v>
      </c>
      <c r="C11" s="82" t="s">
        <v>45</v>
      </c>
      <c r="D11" s="77">
        <v>2</v>
      </c>
      <c r="E11" s="85"/>
      <c r="F11" s="86"/>
    </row>
    <row r="12" spans="2:6">
      <c r="B12" s="76">
        <v>8</v>
      </c>
      <c r="C12" s="82" t="s">
        <v>46</v>
      </c>
      <c r="D12" s="77">
        <v>2</v>
      </c>
      <c r="E12" s="77"/>
      <c r="F12" s="77"/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D24" sqref="D24"/>
    </sheetView>
  </sheetViews>
  <sheetFormatPr defaultColWidth="11" defaultRowHeight="14.25"/>
  <cols>
    <col min="1" max="1" width="11" style="62"/>
    <col min="2" max="2" width="34.6666666666667" style="62" customWidth="1"/>
    <col min="3" max="3" width="16.6666666666667" style="62" customWidth="1"/>
    <col min="4" max="4" width="16.3333333333333" style="62" customWidth="1"/>
    <col min="5" max="5" width="21.4416666666667" style="62" customWidth="1"/>
    <col min="6" max="6" width="13.8833333333333" style="62" customWidth="1"/>
    <col min="7" max="7" width="39.775" style="62" customWidth="1"/>
    <col min="8" max="8" width="11" style="62"/>
    <col min="9" max="9" width="13.3333333333333" style="62" customWidth="1"/>
    <col min="10" max="10" width="15.8833333333333" style="62" customWidth="1"/>
    <col min="11" max="12" width="11" style="62"/>
    <col min="13" max="13" width="19.1083333333333" style="62" customWidth="1"/>
    <col min="14" max="16384" width="11" style="62"/>
  </cols>
  <sheetData>
    <row r="1" spans="1:13">
      <c r="A1" t="s">
        <v>0</v>
      </c>
      <c r="B1" s="63" t="s">
        <v>47</v>
      </c>
      <c r="C1" s="63" t="s">
        <v>48</v>
      </c>
      <c r="D1" s="63" t="s">
        <v>49</v>
      </c>
      <c r="E1" s="63" t="s">
        <v>50</v>
      </c>
      <c r="F1" s="64" t="s">
        <v>51</v>
      </c>
      <c r="G1" s="64" t="s">
        <v>52</v>
      </c>
      <c r="H1" s="63" t="s">
        <v>53</v>
      </c>
      <c r="I1" s="69" t="s">
        <v>54</v>
      </c>
      <c r="J1" s="69" t="s">
        <v>55</v>
      </c>
      <c r="K1" s="64" t="s">
        <v>56</v>
      </c>
      <c r="L1" s="64" t="s">
        <v>57</v>
      </c>
      <c r="M1" s="62" t="s">
        <v>58</v>
      </c>
    </row>
    <row r="2" ht="15.75" spans="1:13">
      <c r="A2" t="s">
        <v>3</v>
      </c>
      <c r="B2" s="65" t="s">
        <v>5</v>
      </c>
      <c r="C2" s="65" t="s">
        <v>59</v>
      </c>
      <c r="D2" s="66"/>
      <c r="E2" s="67" t="s">
        <v>60</v>
      </c>
      <c r="F2" s="67" t="s">
        <v>61</v>
      </c>
      <c r="G2" s="67" t="s">
        <v>62</v>
      </c>
      <c r="H2" s="65" t="s">
        <v>63</v>
      </c>
      <c r="I2" s="70" t="s">
        <v>64</v>
      </c>
      <c r="J2" s="70" t="s">
        <v>65</v>
      </c>
      <c r="K2" s="65" t="s">
        <v>66</v>
      </c>
      <c r="L2" s="67" t="s">
        <v>67</v>
      </c>
      <c r="M2" s="71" t="s">
        <v>68</v>
      </c>
    </row>
    <row r="3" ht="15.75" spans="1:13">
      <c r="A3" t="s">
        <v>6</v>
      </c>
      <c r="B3" s="65" t="s">
        <v>7</v>
      </c>
      <c r="C3" s="65" t="s">
        <v>7</v>
      </c>
      <c r="D3" s="66" t="s">
        <v>37</v>
      </c>
      <c r="E3" s="67" t="s">
        <v>7</v>
      </c>
      <c r="F3" s="67" t="s">
        <v>7</v>
      </c>
      <c r="G3" s="67" t="s">
        <v>37</v>
      </c>
      <c r="H3" s="65" t="s">
        <v>7</v>
      </c>
      <c r="I3" s="72" t="s">
        <v>37</v>
      </c>
      <c r="J3" s="72" t="s">
        <v>37</v>
      </c>
      <c r="K3" s="65" t="s">
        <v>7</v>
      </c>
      <c r="L3" s="67" t="s">
        <v>7</v>
      </c>
      <c r="M3" s="71" t="s">
        <v>37</v>
      </c>
    </row>
    <row r="4" spans="1:13">
      <c r="A4" t="s">
        <v>9</v>
      </c>
      <c r="B4" s="65" t="s">
        <v>10</v>
      </c>
      <c r="C4" s="65" t="s">
        <v>10</v>
      </c>
      <c r="D4" s="65" t="s">
        <v>10</v>
      </c>
      <c r="E4" s="65" t="s">
        <v>10</v>
      </c>
      <c r="F4" s="65" t="s">
        <v>10</v>
      </c>
      <c r="G4" s="65" t="s">
        <v>10</v>
      </c>
      <c r="H4" s="65" t="s">
        <v>10</v>
      </c>
      <c r="I4" s="65" t="s">
        <v>10</v>
      </c>
      <c r="J4" s="65" t="s">
        <v>10</v>
      </c>
      <c r="K4" s="65" t="s">
        <v>10</v>
      </c>
      <c r="L4" s="65" t="s">
        <v>10</v>
      </c>
      <c r="M4" s="65" t="s">
        <v>10</v>
      </c>
    </row>
    <row r="5" ht="15.75" spans="1:13">
      <c r="A5" t="s">
        <v>11</v>
      </c>
      <c r="B5" s="65" t="s">
        <v>69</v>
      </c>
      <c r="C5" s="65">
        <v>0</v>
      </c>
      <c r="D5" s="66">
        <v>0</v>
      </c>
      <c r="E5" s="67">
        <v>0</v>
      </c>
      <c r="F5" s="67">
        <v>0</v>
      </c>
      <c r="G5" s="67" t="s">
        <v>70</v>
      </c>
      <c r="H5" s="65">
        <v>0</v>
      </c>
      <c r="I5" s="70">
        <v>36526</v>
      </c>
      <c r="J5" s="72">
        <v>72686</v>
      </c>
      <c r="K5" s="65">
        <v>0</v>
      </c>
      <c r="L5" s="67">
        <v>0</v>
      </c>
      <c r="M5" s="72">
        <v>72686</v>
      </c>
    </row>
    <row r="6" ht="15.75" spans="2:13">
      <c r="B6" s="63">
        <v>1</v>
      </c>
      <c r="C6" s="63">
        <v>993501</v>
      </c>
      <c r="D6" s="63" t="s">
        <v>71</v>
      </c>
      <c r="E6" s="63">
        <v>1</v>
      </c>
      <c r="F6" s="63">
        <v>0</v>
      </c>
      <c r="G6" s="5" t="s">
        <v>72</v>
      </c>
      <c r="H6" s="63">
        <v>1</v>
      </c>
      <c r="I6" s="69">
        <v>36526</v>
      </c>
      <c r="J6" s="73">
        <v>72686</v>
      </c>
      <c r="K6" s="63">
        <v>0</v>
      </c>
      <c r="L6" s="63">
        <v>0</v>
      </c>
      <c r="M6" s="73">
        <v>72686</v>
      </c>
    </row>
    <row r="7" ht="15.75" spans="2:13">
      <c r="B7" s="63">
        <v>2</v>
      </c>
      <c r="C7" s="63">
        <v>993502</v>
      </c>
      <c r="D7" s="63" t="s">
        <v>73</v>
      </c>
      <c r="E7" s="63">
        <v>2</v>
      </c>
      <c r="F7" s="63">
        <v>0</v>
      </c>
      <c r="G7" s="63" t="s">
        <v>72</v>
      </c>
      <c r="H7" s="63">
        <v>2</v>
      </c>
      <c r="I7" s="69">
        <v>36526</v>
      </c>
      <c r="J7" s="73">
        <v>72686</v>
      </c>
      <c r="K7" s="63">
        <v>0</v>
      </c>
      <c r="L7" s="63">
        <v>0</v>
      </c>
      <c r="M7" s="73">
        <v>72686</v>
      </c>
    </row>
    <row r="8" ht="15.75" spans="2:13">
      <c r="B8" s="63">
        <v>3</v>
      </c>
      <c r="C8" s="63">
        <v>993503</v>
      </c>
      <c r="D8" s="63" t="s">
        <v>74</v>
      </c>
      <c r="E8" s="63">
        <v>3</v>
      </c>
      <c r="F8" s="63">
        <v>0</v>
      </c>
      <c r="G8" s="63" t="s">
        <v>72</v>
      </c>
      <c r="H8" s="63">
        <v>3</v>
      </c>
      <c r="I8" s="69">
        <v>36526</v>
      </c>
      <c r="J8" s="73">
        <v>72686</v>
      </c>
      <c r="K8" s="63">
        <v>0</v>
      </c>
      <c r="L8" s="63">
        <v>0</v>
      </c>
      <c r="M8" s="73">
        <v>72686</v>
      </c>
    </row>
    <row r="9" ht="15.75" spans="2:13">
      <c r="B9" s="63">
        <v>4</v>
      </c>
      <c r="C9" s="63">
        <v>993504</v>
      </c>
      <c r="D9" s="63" t="s">
        <v>75</v>
      </c>
      <c r="E9" s="63">
        <v>4</v>
      </c>
      <c r="F9" s="63">
        <v>0</v>
      </c>
      <c r="G9" s="63" t="s">
        <v>72</v>
      </c>
      <c r="H9" s="63">
        <v>4</v>
      </c>
      <c r="I9" s="69">
        <v>36526</v>
      </c>
      <c r="J9" s="73">
        <v>72686</v>
      </c>
      <c r="K9" s="63">
        <v>0</v>
      </c>
      <c r="L9" s="63">
        <v>0</v>
      </c>
      <c r="M9" s="73">
        <v>72686</v>
      </c>
    </row>
    <row r="10" ht="15.75" spans="2:13">
      <c r="B10" s="63">
        <v>5</v>
      </c>
      <c r="C10" s="63">
        <v>993505</v>
      </c>
      <c r="D10" s="63" t="s">
        <v>76</v>
      </c>
      <c r="E10" s="63">
        <v>5</v>
      </c>
      <c r="F10" s="63">
        <v>0</v>
      </c>
      <c r="G10" s="63" t="s">
        <v>72</v>
      </c>
      <c r="H10" s="63">
        <v>6</v>
      </c>
      <c r="I10" s="69">
        <v>36526</v>
      </c>
      <c r="J10" s="73">
        <v>72686</v>
      </c>
      <c r="K10" s="63">
        <v>0</v>
      </c>
      <c r="L10" s="63">
        <v>0</v>
      </c>
      <c r="M10" s="73">
        <v>45637</v>
      </c>
    </row>
    <row r="11" ht="15.75" spans="2:13">
      <c r="B11" s="63">
        <v>6</v>
      </c>
      <c r="C11" s="63">
        <v>993506</v>
      </c>
      <c r="D11" s="63" t="s">
        <v>77</v>
      </c>
      <c r="E11" s="63">
        <v>6</v>
      </c>
      <c r="F11" s="63">
        <v>0</v>
      </c>
      <c r="G11" s="63" t="s">
        <v>72</v>
      </c>
      <c r="H11" s="63">
        <v>7</v>
      </c>
      <c r="I11" s="69">
        <v>36526</v>
      </c>
      <c r="J11" s="73">
        <v>72686</v>
      </c>
      <c r="K11" s="63">
        <v>0</v>
      </c>
      <c r="L11" s="63">
        <v>0</v>
      </c>
      <c r="M11" s="73">
        <v>72686</v>
      </c>
    </row>
    <row r="12" ht="15.75" spans="2:13">
      <c r="B12" s="63">
        <v>7</v>
      </c>
      <c r="C12" s="63">
        <v>993507</v>
      </c>
      <c r="D12" s="63" t="s">
        <v>78</v>
      </c>
      <c r="E12" s="63">
        <v>7</v>
      </c>
      <c r="F12" s="63">
        <v>0</v>
      </c>
      <c r="G12" s="63" t="s">
        <v>72</v>
      </c>
      <c r="H12" s="63">
        <v>8</v>
      </c>
      <c r="I12" s="69">
        <v>36526</v>
      </c>
      <c r="J12" s="73">
        <v>72686</v>
      </c>
      <c r="K12" s="63">
        <v>0</v>
      </c>
      <c r="L12" s="63">
        <v>0</v>
      </c>
      <c r="M12" s="73">
        <v>45637</v>
      </c>
    </row>
    <row r="13" ht="15.75" spans="2:13">
      <c r="B13" s="63">
        <v>8</v>
      </c>
      <c r="C13" s="63">
        <v>993508</v>
      </c>
      <c r="D13" s="63" t="s">
        <v>79</v>
      </c>
      <c r="E13" s="63">
        <v>8</v>
      </c>
      <c r="F13" s="63">
        <v>0</v>
      </c>
      <c r="G13" s="63" t="s">
        <v>72</v>
      </c>
      <c r="H13" s="63">
        <v>5</v>
      </c>
      <c r="I13" s="69">
        <v>36526</v>
      </c>
      <c r="J13" s="73">
        <v>72686</v>
      </c>
      <c r="K13" s="63">
        <v>0</v>
      </c>
      <c r="L13" s="63">
        <v>0</v>
      </c>
      <c r="M13" s="73">
        <v>45637</v>
      </c>
    </row>
    <row r="14" ht="15.75" spans="2:13">
      <c r="B14" s="68">
        <v>9</v>
      </c>
      <c r="C14" s="63">
        <v>993509</v>
      </c>
      <c r="D14" s="68" t="s">
        <v>80</v>
      </c>
      <c r="E14" s="68">
        <v>9</v>
      </c>
      <c r="F14" s="68">
        <v>0</v>
      </c>
      <c r="G14" s="68" t="s">
        <v>81</v>
      </c>
      <c r="H14" s="68">
        <v>2</v>
      </c>
      <c r="I14" s="74">
        <v>36526</v>
      </c>
      <c r="J14" s="75">
        <v>72686</v>
      </c>
      <c r="K14" s="68">
        <v>0</v>
      </c>
      <c r="L14" s="68">
        <v>0</v>
      </c>
      <c r="M14" s="73">
        <v>72686</v>
      </c>
    </row>
    <row r="15" ht="15.75" spans="2:13">
      <c r="B15" s="68">
        <v>10</v>
      </c>
      <c r="C15" s="63">
        <v>993510</v>
      </c>
      <c r="D15" s="68" t="s">
        <v>82</v>
      </c>
      <c r="E15" s="68">
        <v>10</v>
      </c>
      <c r="F15" s="68">
        <v>0</v>
      </c>
      <c r="G15" s="68" t="s">
        <v>72</v>
      </c>
      <c r="H15" s="68">
        <v>3</v>
      </c>
      <c r="I15" s="74">
        <v>36526</v>
      </c>
      <c r="J15" s="75">
        <v>72686</v>
      </c>
      <c r="K15" s="68">
        <v>0</v>
      </c>
      <c r="L15" s="68">
        <v>0</v>
      </c>
      <c r="M15" s="73">
        <v>72686</v>
      </c>
    </row>
    <row r="16" ht="15.75" spans="2:12">
      <c r="B16" s="68"/>
      <c r="C16" s="68"/>
      <c r="D16" s="68"/>
      <c r="E16" s="68"/>
      <c r="F16" s="68"/>
      <c r="G16" s="68"/>
      <c r="H16" s="68"/>
      <c r="I16" s="74"/>
      <c r="J16" s="75"/>
      <c r="K16" s="68"/>
      <c r="L16" s="68"/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J11" sqref="J11"/>
    </sheetView>
  </sheetViews>
  <sheetFormatPr defaultColWidth="9" defaultRowHeight="14.25"/>
  <cols>
    <col min="1" max="1" width="9" style="28"/>
    <col min="2" max="2" width="27.6666666666667" style="28" customWidth="1"/>
    <col min="3" max="3" width="26" style="28" customWidth="1"/>
    <col min="4" max="4" width="15.2166666666667" style="28" customWidth="1"/>
    <col min="5" max="5" width="19.2166666666667" style="28" customWidth="1"/>
    <col min="6" max="6" width="12.75" style="28" customWidth="1"/>
    <col min="7" max="16384" width="9" style="28"/>
  </cols>
  <sheetData>
    <row r="1" spans="1:9">
      <c r="A1" t="s">
        <v>0</v>
      </c>
      <c r="B1" s="48" t="s">
        <v>28</v>
      </c>
      <c r="C1" s="49" t="s">
        <v>29</v>
      </c>
      <c r="D1" s="48" t="s">
        <v>83</v>
      </c>
      <c r="E1" s="48" t="s">
        <v>32</v>
      </c>
      <c r="F1" s="28" t="s">
        <v>84</v>
      </c>
      <c r="G1" s="28" t="s">
        <v>32</v>
      </c>
      <c r="H1" s="28" t="s">
        <v>85</v>
      </c>
      <c r="I1" s="28" t="s">
        <v>32</v>
      </c>
    </row>
    <row r="2" spans="1:9">
      <c r="A2" t="s">
        <v>3</v>
      </c>
      <c r="B2" s="50" t="s">
        <v>33</v>
      </c>
      <c r="C2" s="50" t="s">
        <v>22</v>
      </c>
      <c r="D2" s="50" t="s">
        <v>86</v>
      </c>
      <c r="E2" s="51"/>
      <c r="F2" s="50" t="s">
        <v>87</v>
      </c>
      <c r="G2" s="51"/>
      <c r="H2" s="50" t="s">
        <v>88</v>
      </c>
      <c r="I2" s="51"/>
    </row>
    <row r="3" ht="15.75" spans="1:9">
      <c r="A3" t="s">
        <v>6</v>
      </c>
      <c r="B3" s="50" t="s">
        <v>7</v>
      </c>
      <c r="C3" s="52" t="s">
        <v>89</v>
      </c>
      <c r="D3" s="50" t="s">
        <v>7</v>
      </c>
      <c r="E3" s="51" t="s">
        <v>37</v>
      </c>
      <c r="F3" s="50" t="s">
        <v>7</v>
      </c>
      <c r="G3" s="51" t="s">
        <v>37</v>
      </c>
      <c r="H3" s="50" t="s">
        <v>7</v>
      </c>
      <c r="I3" s="51" t="s">
        <v>37</v>
      </c>
    </row>
    <row r="4" spans="1:9">
      <c r="A4" t="s">
        <v>9</v>
      </c>
      <c r="B4" s="50" t="s">
        <v>10</v>
      </c>
      <c r="C4" s="50" t="s">
        <v>10</v>
      </c>
      <c r="D4" s="50" t="s">
        <v>90</v>
      </c>
      <c r="E4" s="50" t="s">
        <v>90</v>
      </c>
      <c r="F4" s="50" t="s">
        <v>90</v>
      </c>
      <c r="G4" s="50" t="s">
        <v>90</v>
      </c>
      <c r="H4" s="50" t="s">
        <v>90</v>
      </c>
      <c r="I4" s="50" t="s">
        <v>90</v>
      </c>
    </row>
    <row r="5" ht="15.75" spans="1:9">
      <c r="A5" t="s">
        <v>11</v>
      </c>
      <c r="B5" s="50" t="s">
        <v>91</v>
      </c>
      <c r="C5" s="52">
        <v>0</v>
      </c>
      <c r="D5" s="50">
        <v>0</v>
      </c>
      <c r="E5" s="51"/>
      <c r="F5" s="50">
        <v>0</v>
      </c>
      <c r="G5" s="51"/>
      <c r="H5" s="50">
        <v>0</v>
      </c>
      <c r="I5" s="51"/>
    </row>
    <row r="6" spans="1:9">
      <c r="A6" s="48"/>
      <c r="B6" s="49">
        <v>1</v>
      </c>
      <c r="C6" s="53" t="s">
        <v>92</v>
      </c>
      <c r="D6" s="49">
        <v>6006</v>
      </c>
      <c r="E6" s="54" t="s">
        <v>93</v>
      </c>
      <c r="F6" s="55">
        <v>6007</v>
      </c>
      <c r="G6" s="48" t="s">
        <v>94</v>
      </c>
      <c r="H6" s="56">
        <v>6020</v>
      </c>
      <c r="I6" s="61" t="s">
        <v>95</v>
      </c>
    </row>
    <row r="7" spans="1:9">
      <c r="A7" s="48"/>
      <c r="B7" s="49">
        <v>2</v>
      </c>
      <c r="C7" s="53" t="s">
        <v>96</v>
      </c>
      <c r="D7" s="49">
        <v>6008</v>
      </c>
      <c r="E7" s="48" t="s">
        <v>97</v>
      </c>
      <c r="F7" s="55">
        <v>6009</v>
      </c>
      <c r="G7" s="48" t="s">
        <v>98</v>
      </c>
      <c r="H7" s="56">
        <v>6021</v>
      </c>
      <c r="I7" s="61" t="s">
        <v>99</v>
      </c>
    </row>
    <row r="8" ht="15.75" spans="1:9">
      <c r="A8" s="48"/>
      <c r="B8" s="57">
        <v>3</v>
      </c>
      <c r="C8" s="53" t="s">
        <v>100</v>
      </c>
      <c r="D8" s="49">
        <v>6010</v>
      </c>
      <c r="E8" s="54" t="s">
        <v>101</v>
      </c>
      <c r="F8" s="55">
        <v>6011</v>
      </c>
      <c r="G8" s="48" t="s">
        <v>102</v>
      </c>
      <c r="H8" s="56">
        <v>6022</v>
      </c>
      <c r="I8" s="61" t="s">
        <v>103</v>
      </c>
    </row>
    <row r="9" ht="15.75" spans="1:9">
      <c r="A9" s="48"/>
      <c r="B9" s="49">
        <v>4</v>
      </c>
      <c r="C9" s="53" t="s">
        <v>104</v>
      </c>
      <c r="D9" s="49">
        <v>6012</v>
      </c>
      <c r="E9" s="58" t="s">
        <v>105</v>
      </c>
      <c r="F9" s="55">
        <v>6013</v>
      </c>
      <c r="G9" s="48" t="s">
        <v>106</v>
      </c>
      <c r="H9" s="56">
        <v>6023</v>
      </c>
      <c r="I9" s="61" t="s">
        <v>107</v>
      </c>
    </row>
    <row r="10" ht="15.75" spans="1:9">
      <c r="A10" s="48"/>
      <c r="B10" s="49">
        <v>5</v>
      </c>
      <c r="C10" s="53" t="s">
        <v>108</v>
      </c>
      <c r="D10" s="49">
        <v>6014</v>
      </c>
      <c r="E10" s="58" t="s">
        <v>109</v>
      </c>
      <c r="F10" s="55">
        <v>6015</v>
      </c>
      <c r="G10" s="48" t="s">
        <v>110</v>
      </c>
      <c r="H10" s="56">
        <v>6024</v>
      </c>
      <c r="I10" s="61" t="s">
        <v>111</v>
      </c>
    </row>
    <row r="11" ht="15.75" spans="1:9">
      <c r="A11" s="48"/>
      <c r="B11" s="49">
        <v>6</v>
      </c>
      <c r="C11" s="53" t="s">
        <v>112</v>
      </c>
      <c r="D11" s="49">
        <v>6016</v>
      </c>
      <c r="E11" s="59" t="s">
        <v>113</v>
      </c>
      <c r="F11" s="55">
        <v>6017</v>
      </c>
      <c r="G11" s="48" t="s">
        <v>114</v>
      </c>
      <c r="H11" s="56">
        <v>6025</v>
      </c>
      <c r="I11" s="61" t="s">
        <v>115</v>
      </c>
    </row>
    <row r="12" ht="15.75" spans="1:9">
      <c r="A12" s="48"/>
      <c r="B12" s="49">
        <v>7</v>
      </c>
      <c r="C12" s="53" t="s">
        <v>116</v>
      </c>
      <c r="D12" s="49">
        <v>6018</v>
      </c>
      <c r="E12" s="59" t="s">
        <v>117</v>
      </c>
      <c r="F12" s="55">
        <v>6019</v>
      </c>
      <c r="G12" s="48" t="s">
        <v>118</v>
      </c>
      <c r="H12" s="56">
        <v>6026</v>
      </c>
      <c r="I12" s="61" t="s">
        <v>119</v>
      </c>
    </row>
    <row r="13" spans="3:3">
      <c r="C13" s="60"/>
    </row>
  </sheetData>
  <conditionalFormatting sqref="H6:H12">
    <cfRule type="duplicateValues" dxfId="0" priority="2"/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workbookViewId="0">
      <selection activeCell="C4" sqref="C4"/>
    </sheetView>
  </sheetViews>
  <sheetFormatPr defaultColWidth="9" defaultRowHeight="14.25"/>
  <cols>
    <col min="1" max="1" width="9" style="8"/>
    <col min="2" max="2" width="19.8833333333333" style="8" customWidth="1"/>
    <col min="3" max="3" width="17.3333333333333" style="8" customWidth="1"/>
    <col min="4" max="4" width="14.2166666666667" style="8" customWidth="1"/>
    <col min="5" max="5" width="39.4416666666667" style="8" customWidth="1"/>
    <col min="6" max="6" width="12.4416666666667" style="8" customWidth="1"/>
    <col min="7" max="8" width="12.6666666666667" style="8" customWidth="1"/>
    <col min="9" max="16384" width="9" style="8"/>
  </cols>
  <sheetData>
    <row r="1" spans="1:11">
      <c r="A1" t="s">
        <v>0</v>
      </c>
      <c r="B1" s="8" t="s">
        <v>120</v>
      </c>
      <c r="C1" s="8" t="s">
        <v>121</v>
      </c>
      <c r="D1" s="9" t="s">
        <v>122</v>
      </c>
      <c r="E1" s="8" t="s">
        <v>123</v>
      </c>
      <c r="F1" s="9" t="s">
        <v>124</v>
      </c>
      <c r="G1" s="9" t="s">
        <v>51</v>
      </c>
      <c r="H1" s="9" t="s">
        <v>125</v>
      </c>
      <c r="I1" s="9" t="s">
        <v>126</v>
      </c>
      <c r="J1" s="9" t="s">
        <v>127</v>
      </c>
      <c r="K1" s="8" t="s">
        <v>128</v>
      </c>
    </row>
    <row r="2" spans="1:11">
      <c r="A2" t="s">
        <v>3</v>
      </c>
      <c r="B2" s="10" t="s">
        <v>5</v>
      </c>
      <c r="C2" s="10" t="s">
        <v>129</v>
      </c>
      <c r="D2" s="10" t="s">
        <v>59</v>
      </c>
      <c r="E2" s="11"/>
      <c r="F2" s="10" t="s">
        <v>130</v>
      </c>
      <c r="G2" s="10" t="s">
        <v>131</v>
      </c>
      <c r="H2" s="10" t="s">
        <v>132</v>
      </c>
      <c r="I2" s="10" t="s">
        <v>22</v>
      </c>
      <c r="J2" s="10" t="s">
        <v>67</v>
      </c>
      <c r="K2" s="10" t="s">
        <v>133</v>
      </c>
    </row>
    <row r="3" ht="15.75" spans="1:11">
      <c r="A3" t="s">
        <v>6</v>
      </c>
      <c r="B3" s="10" t="s">
        <v>7</v>
      </c>
      <c r="C3" s="10" t="s">
        <v>7</v>
      </c>
      <c r="D3" s="10" t="s">
        <v>7</v>
      </c>
      <c r="E3" s="11" t="s">
        <v>37</v>
      </c>
      <c r="F3" s="10" t="s">
        <v>7</v>
      </c>
      <c r="G3" s="12" t="s">
        <v>37</v>
      </c>
      <c r="H3" s="12" t="s">
        <v>7</v>
      </c>
      <c r="I3" s="12" t="s">
        <v>7</v>
      </c>
      <c r="J3" s="10" t="s">
        <v>7</v>
      </c>
      <c r="K3" s="10" t="s">
        <v>7</v>
      </c>
    </row>
    <row r="4" spans="1:11">
      <c r="A4" t="s">
        <v>9</v>
      </c>
      <c r="B4" s="10" t="s">
        <v>10</v>
      </c>
      <c r="C4" s="10" t="s">
        <v>10</v>
      </c>
      <c r="D4" s="10" t="s">
        <v>10</v>
      </c>
      <c r="E4" s="10" t="s">
        <v>10</v>
      </c>
      <c r="F4" s="10" t="s">
        <v>10</v>
      </c>
      <c r="G4" s="10" t="s">
        <v>10</v>
      </c>
      <c r="H4" s="10" t="s">
        <v>10</v>
      </c>
      <c r="I4" s="10" t="s">
        <v>10</v>
      </c>
      <c r="J4" s="10" t="s">
        <v>10</v>
      </c>
      <c r="K4" s="10" t="s">
        <v>10</v>
      </c>
    </row>
    <row r="5" ht="15.75" spans="1:11">
      <c r="A5" t="s">
        <v>11</v>
      </c>
      <c r="B5" s="10" t="s">
        <v>134</v>
      </c>
      <c r="C5" s="10">
        <v>0</v>
      </c>
      <c r="D5" s="10">
        <v>0</v>
      </c>
      <c r="E5" s="11">
        <v>0</v>
      </c>
      <c r="F5" s="10">
        <v>0</v>
      </c>
      <c r="G5" s="12">
        <v>0</v>
      </c>
      <c r="H5" s="12">
        <v>0</v>
      </c>
      <c r="I5" s="12">
        <v>0</v>
      </c>
      <c r="J5" s="10">
        <v>0</v>
      </c>
      <c r="K5" s="10">
        <v>0</v>
      </c>
    </row>
    <row r="6" ht="15.75" spans="2:10">
      <c r="B6" s="5">
        <v>1</v>
      </c>
      <c r="C6" s="13">
        <v>2</v>
      </c>
      <c r="D6" s="13">
        <v>490300</v>
      </c>
      <c r="E6" s="24" t="s">
        <v>135</v>
      </c>
      <c r="F6" s="5">
        <v>1</v>
      </c>
      <c r="G6" s="5">
        <v>2</v>
      </c>
      <c r="H6" s="13">
        <v>0</v>
      </c>
      <c r="I6" s="46">
        <v>4201</v>
      </c>
      <c r="J6" s="5">
        <v>2</v>
      </c>
    </row>
    <row r="7" ht="15.75" spans="2:10">
      <c r="B7" s="5">
        <v>2</v>
      </c>
      <c r="C7" s="13">
        <v>3</v>
      </c>
      <c r="D7" s="13">
        <v>490301</v>
      </c>
      <c r="E7" s="24" t="s">
        <v>136</v>
      </c>
      <c r="F7" s="5">
        <v>24</v>
      </c>
      <c r="G7" s="5">
        <v>1000</v>
      </c>
      <c r="H7" s="13">
        <v>0</v>
      </c>
      <c r="I7" s="46">
        <v>4201</v>
      </c>
      <c r="J7" s="5">
        <v>2</v>
      </c>
    </row>
    <row r="8" s="42" customFormat="1" ht="15.75" spans="2:10">
      <c r="B8" s="5">
        <v>3</v>
      </c>
      <c r="C8" s="43">
        <f>B10</f>
        <v>5</v>
      </c>
      <c r="D8" s="44">
        <v>490302</v>
      </c>
      <c r="E8" s="24" t="s">
        <v>137</v>
      </c>
      <c r="F8" s="5">
        <v>27</v>
      </c>
      <c r="G8" s="5">
        <v>2</v>
      </c>
      <c r="H8" s="13">
        <v>0</v>
      </c>
      <c r="I8" s="46">
        <v>4201</v>
      </c>
      <c r="J8" s="5">
        <v>2</v>
      </c>
    </row>
    <row r="9" ht="15.75" spans="2:10">
      <c r="B9" s="5">
        <v>4</v>
      </c>
      <c r="C9" s="43">
        <f>B11</f>
        <v>6</v>
      </c>
      <c r="D9" s="13">
        <v>490303</v>
      </c>
      <c r="E9" s="24" t="s">
        <v>138</v>
      </c>
      <c r="F9" s="5">
        <v>2</v>
      </c>
      <c r="G9" s="5">
        <v>4</v>
      </c>
      <c r="H9" s="13">
        <v>0</v>
      </c>
      <c r="I9" s="46">
        <v>4201</v>
      </c>
      <c r="J9" s="5">
        <v>2</v>
      </c>
    </row>
    <row r="10" ht="15.75" spans="2:10">
      <c r="B10" s="5">
        <v>5</v>
      </c>
      <c r="C10" s="43">
        <f>B9</f>
        <v>4</v>
      </c>
      <c r="D10" s="13">
        <v>490304</v>
      </c>
      <c r="E10" s="24" t="s">
        <v>139</v>
      </c>
      <c r="F10" s="5">
        <v>26</v>
      </c>
      <c r="G10" s="5" t="s">
        <v>140</v>
      </c>
      <c r="H10" s="13">
        <v>0</v>
      </c>
      <c r="I10" s="46">
        <v>4201</v>
      </c>
      <c r="J10" s="5">
        <v>2</v>
      </c>
    </row>
    <row r="11" ht="15.75" spans="2:10">
      <c r="B11" s="5">
        <v>6</v>
      </c>
      <c r="C11" s="43">
        <v>7</v>
      </c>
      <c r="D11" s="13">
        <v>490305</v>
      </c>
      <c r="E11" s="24" t="s">
        <v>141</v>
      </c>
      <c r="F11" s="5">
        <v>31</v>
      </c>
      <c r="G11" s="5" t="s">
        <v>142</v>
      </c>
      <c r="H11" s="41">
        <v>1</v>
      </c>
      <c r="I11" s="46">
        <v>4201</v>
      </c>
      <c r="J11" s="5">
        <v>3</v>
      </c>
    </row>
    <row r="12" ht="15.75" spans="2:10">
      <c r="B12" s="5">
        <v>7</v>
      </c>
      <c r="C12" s="43">
        <v>8</v>
      </c>
      <c r="D12" s="13">
        <v>490306</v>
      </c>
      <c r="E12" s="26" t="s">
        <v>143</v>
      </c>
      <c r="F12" s="5">
        <v>1</v>
      </c>
      <c r="G12" s="5">
        <v>2</v>
      </c>
      <c r="H12" s="13">
        <v>0</v>
      </c>
      <c r="I12" s="46">
        <v>4201</v>
      </c>
      <c r="J12" s="5">
        <v>2</v>
      </c>
    </row>
    <row r="13" ht="15.75" spans="2:10">
      <c r="B13" s="5">
        <v>8</v>
      </c>
      <c r="C13" s="13">
        <v>10</v>
      </c>
      <c r="D13" s="13">
        <v>490307</v>
      </c>
      <c r="E13" s="24" t="s">
        <v>144</v>
      </c>
      <c r="F13" s="5">
        <v>3</v>
      </c>
      <c r="G13" s="5" t="s">
        <v>145</v>
      </c>
      <c r="H13" s="41">
        <v>1</v>
      </c>
      <c r="I13" s="46">
        <v>4201</v>
      </c>
      <c r="J13" s="5">
        <v>6</v>
      </c>
    </row>
    <row r="14" ht="15.75" spans="2:10">
      <c r="B14" s="5">
        <v>9</v>
      </c>
      <c r="C14" s="5">
        <v>23</v>
      </c>
      <c r="D14" s="13">
        <v>490308</v>
      </c>
      <c r="E14" s="24" t="s">
        <v>146</v>
      </c>
      <c r="F14" s="5">
        <v>30</v>
      </c>
      <c r="G14" s="5">
        <v>1</v>
      </c>
      <c r="H14" s="13">
        <v>0</v>
      </c>
      <c r="I14" s="46">
        <v>4201</v>
      </c>
      <c r="J14" s="5">
        <v>64</v>
      </c>
    </row>
    <row r="15" ht="15.75" spans="2:10">
      <c r="B15" s="5">
        <v>10</v>
      </c>
      <c r="C15" s="13">
        <v>11</v>
      </c>
      <c r="D15" s="13">
        <v>490309</v>
      </c>
      <c r="E15" s="24" t="s">
        <v>147</v>
      </c>
      <c r="F15" s="5">
        <v>29</v>
      </c>
      <c r="G15" s="5">
        <v>60</v>
      </c>
      <c r="H15" s="13">
        <v>0</v>
      </c>
      <c r="I15" s="46">
        <v>4201</v>
      </c>
      <c r="J15" s="5">
        <v>9</v>
      </c>
    </row>
    <row r="16" ht="15.75" spans="2:10">
      <c r="B16" s="5">
        <v>11</v>
      </c>
      <c r="C16" s="13">
        <v>12</v>
      </c>
      <c r="D16" s="13">
        <v>490310</v>
      </c>
      <c r="E16" s="24" t="s">
        <v>148</v>
      </c>
      <c r="F16" s="5">
        <v>26</v>
      </c>
      <c r="G16" s="5" t="s">
        <v>145</v>
      </c>
      <c r="H16" s="13">
        <v>0</v>
      </c>
      <c r="I16" s="46">
        <v>4201</v>
      </c>
      <c r="J16" s="5">
        <v>2</v>
      </c>
    </row>
    <row r="17" ht="15.75" spans="2:10">
      <c r="B17" s="5">
        <v>12</v>
      </c>
      <c r="C17" s="13">
        <v>13</v>
      </c>
      <c r="D17" s="13">
        <v>490311</v>
      </c>
      <c r="E17" s="24" t="s">
        <v>149</v>
      </c>
      <c r="F17" s="5">
        <v>25</v>
      </c>
      <c r="G17" s="5" t="s">
        <v>140</v>
      </c>
      <c r="H17" s="13">
        <v>0</v>
      </c>
      <c r="I17" s="46">
        <v>4201</v>
      </c>
      <c r="J17" s="5">
        <v>2</v>
      </c>
    </row>
    <row r="18" ht="16.5" spans="2:10">
      <c r="B18" s="5">
        <v>13</v>
      </c>
      <c r="C18" s="13">
        <v>14</v>
      </c>
      <c r="D18" s="13">
        <v>490312</v>
      </c>
      <c r="E18" s="24" t="s">
        <v>150</v>
      </c>
      <c r="F18" s="5">
        <v>5</v>
      </c>
      <c r="G18" s="5">
        <v>5</v>
      </c>
      <c r="H18" s="13">
        <v>0</v>
      </c>
      <c r="I18" s="46">
        <v>4201</v>
      </c>
      <c r="J18" s="47">
        <v>205</v>
      </c>
    </row>
    <row r="19" ht="15.75" spans="2:10">
      <c r="B19" s="5">
        <v>14</v>
      </c>
      <c r="C19" s="13">
        <v>15</v>
      </c>
      <c r="D19" s="13">
        <v>490313</v>
      </c>
      <c r="E19" s="24" t="s">
        <v>151</v>
      </c>
      <c r="F19" s="5">
        <v>24</v>
      </c>
      <c r="G19" s="5">
        <v>5000</v>
      </c>
      <c r="H19" s="13">
        <v>0</v>
      </c>
      <c r="I19" s="46">
        <v>4201</v>
      </c>
      <c r="J19" s="5">
        <v>2</v>
      </c>
    </row>
    <row r="20" ht="15.75" spans="2:10">
      <c r="B20" s="5">
        <v>15</v>
      </c>
      <c r="C20" s="13">
        <v>16</v>
      </c>
      <c r="D20" s="13">
        <v>490314</v>
      </c>
      <c r="E20" s="24" t="s">
        <v>152</v>
      </c>
      <c r="F20" s="5">
        <v>2</v>
      </c>
      <c r="G20" s="5">
        <v>5</v>
      </c>
      <c r="H20" s="13">
        <v>0</v>
      </c>
      <c r="I20" s="46">
        <v>4201</v>
      </c>
      <c r="J20" s="5">
        <v>2</v>
      </c>
    </row>
    <row r="21" ht="15.75" spans="2:10">
      <c r="B21" s="5">
        <v>16</v>
      </c>
      <c r="C21" s="13">
        <v>17</v>
      </c>
      <c r="D21" s="13">
        <v>490315</v>
      </c>
      <c r="E21" s="24" t="s">
        <v>153</v>
      </c>
      <c r="F21" s="5">
        <v>9</v>
      </c>
      <c r="G21" s="5">
        <v>1</v>
      </c>
      <c r="H21" s="41">
        <v>1</v>
      </c>
      <c r="I21" s="46">
        <v>4201</v>
      </c>
      <c r="J21" s="5">
        <v>40</v>
      </c>
    </row>
    <row r="22" ht="16.5" spans="2:10">
      <c r="B22" s="5">
        <v>17</v>
      </c>
      <c r="C22" s="13">
        <v>18</v>
      </c>
      <c r="D22" s="13">
        <v>490316</v>
      </c>
      <c r="E22" s="24" t="s">
        <v>154</v>
      </c>
      <c r="F22" s="5">
        <v>15</v>
      </c>
      <c r="G22" s="45">
        <v>1</v>
      </c>
      <c r="H22" s="13">
        <v>0</v>
      </c>
      <c r="I22" s="46">
        <v>4201</v>
      </c>
      <c r="J22" s="5">
        <v>42</v>
      </c>
    </row>
    <row r="23" ht="15.75" spans="2:10">
      <c r="B23" s="5">
        <v>18</v>
      </c>
      <c r="C23" s="43">
        <f>B26</f>
        <v>21</v>
      </c>
      <c r="D23" s="13">
        <v>490317</v>
      </c>
      <c r="E23" s="24" t="s">
        <v>155</v>
      </c>
      <c r="F23" s="5">
        <v>29</v>
      </c>
      <c r="G23" s="5">
        <v>90</v>
      </c>
      <c r="H23" s="13">
        <v>0</v>
      </c>
      <c r="I23" s="46">
        <v>4201</v>
      </c>
      <c r="J23" s="5">
        <v>9</v>
      </c>
    </row>
    <row r="24" ht="15.75" spans="2:10">
      <c r="B24" s="5">
        <v>19</v>
      </c>
      <c r="C24" s="43">
        <v>22</v>
      </c>
      <c r="D24" s="13">
        <v>490318</v>
      </c>
      <c r="E24" s="24" t="s">
        <v>156</v>
      </c>
      <c r="F24" s="5">
        <v>3</v>
      </c>
      <c r="G24" s="5" t="s">
        <v>157</v>
      </c>
      <c r="H24" s="41">
        <v>1</v>
      </c>
      <c r="I24" s="46">
        <v>4201</v>
      </c>
      <c r="J24" s="5">
        <v>6</v>
      </c>
    </row>
    <row r="25" ht="15.75" spans="2:10">
      <c r="B25" s="5">
        <v>20</v>
      </c>
      <c r="C25" s="43">
        <f>B24</f>
        <v>19</v>
      </c>
      <c r="D25" s="13">
        <v>490319</v>
      </c>
      <c r="E25" s="24" t="s">
        <v>158</v>
      </c>
      <c r="F25" s="5">
        <v>7</v>
      </c>
      <c r="G25" s="5" t="s">
        <v>140</v>
      </c>
      <c r="H25" s="13">
        <v>1</v>
      </c>
      <c r="I25" s="46">
        <v>4201</v>
      </c>
      <c r="J25" s="5">
        <v>2</v>
      </c>
    </row>
    <row r="26" ht="15.75" spans="2:10">
      <c r="B26" s="5">
        <v>21</v>
      </c>
      <c r="C26" s="43">
        <f>B25</f>
        <v>20</v>
      </c>
      <c r="D26" s="13">
        <v>490320</v>
      </c>
      <c r="E26" s="24" t="s">
        <v>159</v>
      </c>
      <c r="F26" s="5">
        <v>1</v>
      </c>
      <c r="G26" s="5">
        <v>3</v>
      </c>
      <c r="H26" s="13">
        <v>0</v>
      </c>
      <c r="I26" s="46">
        <v>4201</v>
      </c>
      <c r="J26" s="5">
        <v>2</v>
      </c>
    </row>
    <row r="27" ht="15.75" spans="2:10">
      <c r="B27" s="5">
        <v>22</v>
      </c>
      <c r="C27" s="5">
        <v>9</v>
      </c>
      <c r="D27" s="13">
        <v>490321</v>
      </c>
      <c r="E27" s="24" t="s">
        <v>160</v>
      </c>
      <c r="F27" s="5">
        <v>27</v>
      </c>
      <c r="G27" s="5">
        <v>5</v>
      </c>
      <c r="H27" s="13">
        <v>0</v>
      </c>
      <c r="I27" s="46">
        <v>4201</v>
      </c>
      <c r="J27" s="5">
        <v>2</v>
      </c>
    </row>
    <row r="28" ht="15.75" spans="2:10">
      <c r="B28" s="5">
        <v>23</v>
      </c>
      <c r="C28" s="13">
        <v>24</v>
      </c>
      <c r="D28" s="13">
        <v>490322</v>
      </c>
      <c r="E28" s="24" t="s">
        <v>161</v>
      </c>
      <c r="F28" s="5">
        <v>12</v>
      </c>
      <c r="G28" s="5">
        <v>1</v>
      </c>
      <c r="H28" s="13">
        <v>0</v>
      </c>
      <c r="I28" s="46">
        <v>4201</v>
      </c>
      <c r="J28" s="5">
        <v>64</v>
      </c>
    </row>
    <row r="29" ht="15.75" spans="2:10">
      <c r="B29" s="5">
        <v>24</v>
      </c>
      <c r="C29" s="13">
        <v>25</v>
      </c>
      <c r="D29" s="13">
        <v>490323</v>
      </c>
      <c r="E29" s="24" t="s">
        <v>162</v>
      </c>
      <c r="F29" s="5">
        <v>31</v>
      </c>
      <c r="G29" s="5" t="s">
        <v>163</v>
      </c>
      <c r="H29" s="41">
        <v>1</v>
      </c>
      <c r="I29" s="46">
        <v>4201</v>
      </c>
      <c r="J29" s="5">
        <v>3</v>
      </c>
    </row>
    <row r="30" ht="16.5" spans="2:10">
      <c r="B30" s="5">
        <v>25</v>
      </c>
      <c r="C30" s="13">
        <v>26</v>
      </c>
      <c r="D30" s="13">
        <v>490324</v>
      </c>
      <c r="E30" s="24" t="s">
        <v>164</v>
      </c>
      <c r="F30" s="5">
        <v>5</v>
      </c>
      <c r="G30" s="5">
        <v>10</v>
      </c>
      <c r="H30" s="13">
        <v>0</v>
      </c>
      <c r="I30" s="46">
        <v>4201</v>
      </c>
      <c r="J30" s="47">
        <v>205</v>
      </c>
    </row>
    <row r="31" ht="15.75" spans="2:10">
      <c r="B31" s="5">
        <v>26</v>
      </c>
      <c r="C31" s="13">
        <v>27</v>
      </c>
      <c r="D31" s="13">
        <v>490325</v>
      </c>
      <c r="E31" s="24" t="s">
        <v>159</v>
      </c>
      <c r="F31" s="5">
        <v>1</v>
      </c>
      <c r="G31" s="5">
        <v>3</v>
      </c>
      <c r="H31" s="13">
        <v>0</v>
      </c>
      <c r="I31" s="46">
        <v>4201</v>
      </c>
      <c r="J31" s="5">
        <v>2</v>
      </c>
    </row>
    <row r="32" ht="15.75" spans="2:10">
      <c r="B32" s="5">
        <v>27</v>
      </c>
      <c r="C32" s="13">
        <v>28</v>
      </c>
      <c r="D32" s="13">
        <v>490326</v>
      </c>
      <c r="E32" s="24" t="s">
        <v>165</v>
      </c>
      <c r="F32" s="5">
        <v>24</v>
      </c>
      <c r="G32" s="5">
        <v>10000</v>
      </c>
      <c r="H32" s="13">
        <v>0</v>
      </c>
      <c r="I32" s="46">
        <v>4201</v>
      </c>
      <c r="J32" s="5">
        <v>2</v>
      </c>
    </row>
    <row r="33" ht="15.75" spans="2:10">
      <c r="B33" s="5">
        <v>28</v>
      </c>
      <c r="C33" s="13">
        <v>29</v>
      </c>
      <c r="D33" s="13">
        <v>490327</v>
      </c>
      <c r="E33" s="24" t="s">
        <v>166</v>
      </c>
      <c r="F33" s="5">
        <v>3</v>
      </c>
      <c r="G33" s="5" t="s">
        <v>167</v>
      </c>
      <c r="H33" s="41">
        <v>1</v>
      </c>
      <c r="I33" s="46">
        <v>4201</v>
      </c>
      <c r="J33" s="5">
        <v>6</v>
      </c>
    </row>
    <row r="34" ht="15.75" spans="2:10">
      <c r="B34" s="5">
        <v>29</v>
      </c>
      <c r="C34" s="13">
        <v>30</v>
      </c>
      <c r="D34" s="13">
        <v>490328</v>
      </c>
      <c r="E34" s="24" t="s">
        <v>168</v>
      </c>
      <c r="F34" s="5">
        <v>2</v>
      </c>
      <c r="G34" s="5">
        <v>8</v>
      </c>
      <c r="H34" s="13">
        <v>0</v>
      </c>
      <c r="I34" s="46">
        <v>4201</v>
      </c>
      <c r="J34" s="5">
        <v>2</v>
      </c>
    </row>
    <row r="35" ht="15.75" spans="2:10">
      <c r="B35" s="5">
        <v>30</v>
      </c>
      <c r="C35" s="13">
        <v>31</v>
      </c>
      <c r="D35" s="13">
        <v>490329</v>
      </c>
      <c r="E35" s="26" t="s">
        <v>159</v>
      </c>
      <c r="F35" s="5">
        <v>1</v>
      </c>
      <c r="G35" s="5">
        <v>3</v>
      </c>
      <c r="H35" s="13">
        <v>0</v>
      </c>
      <c r="I35" s="46">
        <v>4201</v>
      </c>
      <c r="J35" s="5">
        <v>2</v>
      </c>
    </row>
    <row r="36" ht="15.75" spans="2:10">
      <c r="B36" s="5">
        <v>31</v>
      </c>
      <c r="C36" s="13">
        <v>32</v>
      </c>
      <c r="D36" s="13">
        <v>490330</v>
      </c>
      <c r="E36" s="26" t="s">
        <v>169</v>
      </c>
      <c r="F36" s="5">
        <v>27</v>
      </c>
      <c r="G36" s="5">
        <v>8</v>
      </c>
      <c r="H36" s="13">
        <v>0</v>
      </c>
      <c r="I36" s="46">
        <v>4201</v>
      </c>
      <c r="J36" s="5">
        <v>2</v>
      </c>
    </row>
    <row r="37" ht="15.75" spans="2:10">
      <c r="B37" s="5">
        <v>32</v>
      </c>
      <c r="C37" s="13">
        <v>33</v>
      </c>
      <c r="D37" s="13">
        <v>490331</v>
      </c>
      <c r="E37" s="24" t="s">
        <v>170</v>
      </c>
      <c r="F37" s="5">
        <v>7</v>
      </c>
      <c r="G37" s="5" t="s">
        <v>171</v>
      </c>
      <c r="H37" s="13">
        <v>1</v>
      </c>
      <c r="I37" s="46">
        <v>4201</v>
      </c>
      <c r="J37" s="5">
        <v>2</v>
      </c>
    </row>
    <row r="38" ht="15.75" spans="2:10">
      <c r="B38" s="5">
        <v>33</v>
      </c>
      <c r="C38" s="13">
        <v>34</v>
      </c>
      <c r="D38" s="13">
        <v>490332</v>
      </c>
      <c r="E38" s="24" t="s">
        <v>172</v>
      </c>
      <c r="F38" s="5">
        <v>17</v>
      </c>
      <c r="G38" s="5">
        <v>1</v>
      </c>
      <c r="H38" s="13">
        <v>0</v>
      </c>
      <c r="I38" s="46">
        <v>4201</v>
      </c>
      <c r="J38" s="5">
        <v>47</v>
      </c>
    </row>
    <row r="39" ht="15.75" spans="2:10">
      <c r="B39" s="5">
        <v>34</v>
      </c>
      <c r="C39" s="13">
        <v>35</v>
      </c>
      <c r="D39" s="13">
        <v>490333</v>
      </c>
      <c r="E39" s="24" t="s">
        <v>173</v>
      </c>
      <c r="F39" s="5">
        <v>29</v>
      </c>
      <c r="G39" s="5">
        <v>120</v>
      </c>
      <c r="H39" s="13">
        <v>0</v>
      </c>
      <c r="I39" s="46">
        <v>4201</v>
      </c>
      <c r="J39" s="5">
        <v>9</v>
      </c>
    </row>
    <row r="40" ht="15.75" spans="2:10">
      <c r="B40" s="5">
        <v>35</v>
      </c>
      <c r="C40" s="13">
        <v>36</v>
      </c>
      <c r="D40" s="13">
        <v>490334</v>
      </c>
      <c r="E40" s="24" t="s">
        <v>174</v>
      </c>
      <c r="F40" s="5">
        <v>31</v>
      </c>
      <c r="G40" s="5" t="s">
        <v>175</v>
      </c>
      <c r="H40" s="13">
        <v>1</v>
      </c>
      <c r="I40" s="46">
        <v>4201</v>
      </c>
      <c r="J40" s="5">
        <v>3</v>
      </c>
    </row>
    <row r="41" ht="16.5" spans="2:10">
      <c r="B41" s="5">
        <v>36</v>
      </c>
      <c r="C41" s="13">
        <v>37</v>
      </c>
      <c r="D41" s="13">
        <v>490335</v>
      </c>
      <c r="E41" s="24" t="s">
        <v>176</v>
      </c>
      <c r="F41" s="5">
        <v>5</v>
      </c>
      <c r="G41" s="5">
        <v>15</v>
      </c>
      <c r="H41" s="13">
        <v>0</v>
      </c>
      <c r="I41" s="46">
        <v>4201</v>
      </c>
      <c r="J41" s="47">
        <v>205</v>
      </c>
    </row>
    <row r="42" ht="15.75" spans="2:10">
      <c r="B42" s="5">
        <v>37</v>
      </c>
      <c r="C42" s="13">
        <v>38</v>
      </c>
      <c r="D42" s="13">
        <v>490336</v>
      </c>
      <c r="E42" s="26" t="s">
        <v>177</v>
      </c>
      <c r="F42" s="5">
        <v>27</v>
      </c>
      <c r="G42" s="5">
        <v>10</v>
      </c>
      <c r="H42" s="13">
        <v>0</v>
      </c>
      <c r="I42" s="46">
        <v>4201</v>
      </c>
      <c r="J42" s="5">
        <v>2</v>
      </c>
    </row>
    <row r="43" ht="15.75" spans="2:10">
      <c r="B43" s="5">
        <v>38</v>
      </c>
      <c r="C43" s="13">
        <v>39</v>
      </c>
      <c r="D43" s="13">
        <v>490337</v>
      </c>
      <c r="E43" s="24" t="s">
        <v>178</v>
      </c>
      <c r="F43" s="5">
        <v>25</v>
      </c>
      <c r="G43" s="5" t="s">
        <v>179</v>
      </c>
      <c r="H43" s="13">
        <v>0</v>
      </c>
      <c r="I43" s="46">
        <v>4201</v>
      </c>
      <c r="J43" s="5">
        <v>2</v>
      </c>
    </row>
    <row r="44" ht="16.5" spans="2:10">
      <c r="B44" s="5">
        <v>39</v>
      </c>
      <c r="C44" s="13">
        <v>40</v>
      </c>
      <c r="D44" s="13">
        <v>490338</v>
      </c>
      <c r="E44" s="24" t="s">
        <v>180</v>
      </c>
      <c r="F44" s="5">
        <v>6</v>
      </c>
      <c r="G44" s="5">
        <v>1</v>
      </c>
      <c r="H44" s="13">
        <v>0</v>
      </c>
      <c r="I44" s="46">
        <v>4201</v>
      </c>
      <c r="J44" s="47">
        <v>206</v>
      </c>
    </row>
    <row r="45" ht="15.75" spans="2:10">
      <c r="B45" s="5">
        <v>40</v>
      </c>
      <c r="C45" s="13">
        <v>41</v>
      </c>
      <c r="D45" s="13">
        <v>490339</v>
      </c>
      <c r="E45" s="24" t="s">
        <v>181</v>
      </c>
      <c r="F45" s="5">
        <v>24</v>
      </c>
      <c r="G45" s="5">
        <v>20000</v>
      </c>
      <c r="H45" s="13">
        <v>0</v>
      </c>
      <c r="I45" s="46">
        <v>4201</v>
      </c>
      <c r="J45" s="5">
        <v>2</v>
      </c>
    </row>
    <row r="46" ht="15.75" spans="2:10">
      <c r="B46" s="5">
        <v>41</v>
      </c>
      <c r="C46" s="13">
        <v>42</v>
      </c>
      <c r="D46" s="13">
        <v>490340</v>
      </c>
      <c r="E46" s="24" t="s">
        <v>182</v>
      </c>
      <c r="F46" s="5">
        <v>3</v>
      </c>
      <c r="G46" s="5" t="s">
        <v>183</v>
      </c>
      <c r="H46" s="41">
        <v>1</v>
      </c>
      <c r="I46" s="46">
        <v>4201</v>
      </c>
      <c r="J46" s="5">
        <v>6</v>
      </c>
    </row>
    <row r="47" ht="15.75" spans="2:10">
      <c r="B47" s="5">
        <v>42</v>
      </c>
      <c r="C47" s="13">
        <v>43</v>
      </c>
      <c r="D47" s="13">
        <v>490341</v>
      </c>
      <c r="E47" s="24" t="s">
        <v>184</v>
      </c>
      <c r="F47" s="5">
        <v>1</v>
      </c>
      <c r="G47" s="5">
        <v>4</v>
      </c>
      <c r="H47" s="13">
        <v>0</v>
      </c>
      <c r="I47" s="46">
        <v>4201</v>
      </c>
      <c r="J47" s="5">
        <v>2</v>
      </c>
    </row>
    <row r="48" ht="15.75" spans="2:10">
      <c r="B48" s="5">
        <v>43</v>
      </c>
      <c r="C48" s="13">
        <v>44</v>
      </c>
      <c r="D48" s="13">
        <v>490342</v>
      </c>
      <c r="E48" s="24" t="s">
        <v>185</v>
      </c>
      <c r="F48" s="5">
        <v>27</v>
      </c>
      <c r="G48" s="5">
        <v>12</v>
      </c>
      <c r="H48" s="13">
        <v>0</v>
      </c>
      <c r="I48" s="46">
        <v>4201</v>
      </c>
      <c r="J48" s="5">
        <v>2</v>
      </c>
    </row>
    <row r="49" ht="15.75" spans="2:10">
      <c r="B49" s="5">
        <v>44</v>
      </c>
      <c r="C49" s="13">
        <v>45</v>
      </c>
      <c r="D49" s="13">
        <v>490343</v>
      </c>
      <c r="E49" s="24" t="s">
        <v>186</v>
      </c>
      <c r="F49" s="5">
        <v>2</v>
      </c>
      <c r="G49" s="5">
        <v>10</v>
      </c>
      <c r="H49" s="13">
        <v>0</v>
      </c>
      <c r="I49" s="46">
        <v>4201</v>
      </c>
      <c r="J49" s="5">
        <v>2</v>
      </c>
    </row>
    <row r="50" ht="15.75" spans="2:10">
      <c r="B50" s="5">
        <v>45</v>
      </c>
      <c r="C50" s="13">
        <v>46</v>
      </c>
      <c r="D50" s="13">
        <v>490344</v>
      </c>
      <c r="E50" s="24" t="s">
        <v>187</v>
      </c>
      <c r="F50" s="5">
        <v>7</v>
      </c>
      <c r="G50" s="5" t="s">
        <v>188</v>
      </c>
      <c r="H50" s="13">
        <v>1</v>
      </c>
      <c r="I50" s="46">
        <v>4201</v>
      </c>
      <c r="J50" s="5">
        <v>2</v>
      </c>
    </row>
    <row r="51" ht="15.75" spans="2:10">
      <c r="B51" s="5">
        <v>46</v>
      </c>
      <c r="C51" s="13">
        <v>47</v>
      </c>
      <c r="D51" s="13">
        <v>490345</v>
      </c>
      <c r="E51" s="26" t="s">
        <v>189</v>
      </c>
      <c r="F51" s="40">
        <v>27</v>
      </c>
      <c r="G51" s="40">
        <v>16</v>
      </c>
      <c r="H51" s="13">
        <v>0</v>
      </c>
      <c r="I51" s="46">
        <v>4201</v>
      </c>
      <c r="J51" s="5">
        <v>2</v>
      </c>
    </row>
    <row r="52" ht="16.5" spans="2:10">
      <c r="B52" s="5">
        <v>47</v>
      </c>
      <c r="C52" s="13">
        <v>48</v>
      </c>
      <c r="D52" s="13">
        <v>490346</v>
      </c>
      <c r="E52" s="24" t="s">
        <v>190</v>
      </c>
      <c r="F52" s="5">
        <v>15</v>
      </c>
      <c r="G52" s="45">
        <v>2</v>
      </c>
      <c r="H52" s="13">
        <v>0</v>
      </c>
      <c r="I52" s="46">
        <v>4201</v>
      </c>
      <c r="J52" s="5">
        <v>42</v>
      </c>
    </row>
    <row r="53" ht="15.75" spans="2:10">
      <c r="B53" s="5">
        <v>48</v>
      </c>
      <c r="C53" s="13">
        <v>49</v>
      </c>
      <c r="D53" s="13">
        <v>490347</v>
      </c>
      <c r="E53" s="24" t="s">
        <v>191</v>
      </c>
      <c r="F53" s="5">
        <v>29</v>
      </c>
      <c r="G53" s="5">
        <v>250</v>
      </c>
      <c r="H53" s="13">
        <v>0</v>
      </c>
      <c r="I53" s="46">
        <v>4201</v>
      </c>
      <c r="J53" s="5">
        <v>9</v>
      </c>
    </row>
    <row r="54" ht="16.5" spans="2:10">
      <c r="B54" s="5">
        <v>49</v>
      </c>
      <c r="C54" s="13">
        <v>50</v>
      </c>
      <c r="D54" s="13">
        <v>490348</v>
      </c>
      <c r="E54" s="24" t="s">
        <v>192</v>
      </c>
      <c r="F54" s="5">
        <v>15</v>
      </c>
      <c r="G54" s="45">
        <v>3</v>
      </c>
      <c r="H54" s="13">
        <v>0</v>
      </c>
      <c r="I54" s="46">
        <v>4201</v>
      </c>
      <c r="J54" s="5">
        <v>42</v>
      </c>
    </row>
    <row r="55" ht="15.75" spans="2:10">
      <c r="B55" s="5">
        <v>50</v>
      </c>
      <c r="C55" s="13">
        <v>51</v>
      </c>
      <c r="D55" s="13">
        <v>490349</v>
      </c>
      <c r="E55" s="24" t="s">
        <v>193</v>
      </c>
      <c r="F55" s="5">
        <v>24</v>
      </c>
      <c r="G55" s="5">
        <v>50000</v>
      </c>
      <c r="H55" s="13">
        <v>0</v>
      </c>
      <c r="I55" s="46">
        <v>4201</v>
      </c>
      <c r="J55" s="5">
        <v>2</v>
      </c>
    </row>
    <row r="56" ht="15.75" spans="2:10">
      <c r="B56" s="5">
        <v>51</v>
      </c>
      <c r="C56" s="13">
        <v>52</v>
      </c>
      <c r="D56" s="13">
        <v>490350</v>
      </c>
      <c r="E56" s="24" t="s">
        <v>194</v>
      </c>
      <c r="F56" s="5">
        <v>31</v>
      </c>
      <c r="G56" s="5" t="s">
        <v>195</v>
      </c>
      <c r="H56" s="13">
        <v>1</v>
      </c>
      <c r="I56" s="46">
        <v>4201</v>
      </c>
      <c r="J56" s="5">
        <v>3</v>
      </c>
    </row>
    <row r="57" ht="15.75" spans="2:10">
      <c r="B57" s="5">
        <v>52</v>
      </c>
      <c r="C57" s="13">
        <v>53</v>
      </c>
      <c r="D57" s="13">
        <v>490351</v>
      </c>
      <c r="E57" s="24" t="s">
        <v>184</v>
      </c>
      <c r="F57" s="5">
        <v>1</v>
      </c>
      <c r="G57" s="5">
        <v>4</v>
      </c>
      <c r="H57" s="13">
        <v>0</v>
      </c>
      <c r="I57" s="46">
        <v>4201</v>
      </c>
      <c r="J57" s="5">
        <v>2</v>
      </c>
    </row>
    <row r="58" ht="15.75" spans="2:10">
      <c r="B58" s="5">
        <v>53</v>
      </c>
      <c r="C58" s="13">
        <v>54</v>
      </c>
      <c r="D58" s="13">
        <v>490352</v>
      </c>
      <c r="E58" s="26" t="s">
        <v>196</v>
      </c>
      <c r="F58" s="5">
        <v>27</v>
      </c>
      <c r="G58" s="40">
        <v>20</v>
      </c>
      <c r="H58" s="13">
        <v>0</v>
      </c>
      <c r="I58" s="46">
        <v>4201</v>
      </c>
      <c r="J58" s="5">
        <v>2</v>
      </c>
    </row>
    <row r="59" ht="15.75" spans="2:10">
      <c r="B59" s="5">
        <v>54</v>
      </c>
      <c r="C59" s="5">
        <v>55</v>
      </c>
      <c r="D59" s="13">
        <v>490353</v>
      </c>
      <c r="E59" s="24" t="s">
        <v>197</v>
      </c>
      <c r="F59" s="5">
        <v>3</v>
      </c>
      <c r="G59" s="5" t="s">
        <v>198</v>
      </c>
      <c r="H59" s="41">
        <v>1</v>
      </c>
      <c r="I59" s="46">
        <v>4201</v>
      </c>
      <c r="J59" s="5">
        <v>6</v>
      </c>
    </row>
    <row r="60" ht="16.5" spans="2:10">
      <c r="B60" s="5">
        <v>55</v>
      </c>
      <c r="C60" s="5">
        <v>58</v>
      </c>
      <c r="D60" s="13">
        <v>490354</v>
      </c>
      <c r="E60" s="24" t="s">
        <v>199</v>
      </c>
      <c r="F60" s="5">
        <v>5</v>
      </c>
      <c r="G60" s="5">
        <v>20</v>
      </c>
      <c r="H60" s="13">
        <v>0</v>
      </c>
      <c r="I60" s="46">
        <v>4201</v>
      </c>
      <c r="J60" s="47">
        <v>205</v>
      </c>
    </row>
    <row r="61" ht="15.75" spans="2:10">
      <c r="B61" s="5">
        <v>56</v>
      </c>
      <c r="C61" s="5">
        <v>57</v>
      </c>
      <c r="D61" s="13">
        <v>490355</v>
      </c>
      <c r="E61" s="24" t="s">
        <v>200</v>
      </c>
      <c r="F61" s="5">
        <v>2</v>
      </c>
      <c r="G61" s="5">
        <v>12</v>
      </c>
      <c r="H61" s="13">
        <v>0</v>
      </c>
      <c r="I61" s="46">
        <v>4201</v>
      </c>
      <c r="J61" s="5">
        <v>2</v>
      </c>
    </row>
    <row r="62" ht="15.75" spans="2:10">
      <c r="B62" s="5">
        <v>57</v>
      </c>
      <c r="C62" s="5">
        <v>61</v>
      </c>
      <c r="D62" s="13">
        <v>490356</v>
      </c>
      <c r="E62" s="24" t="s">
        <v>201</v>
      </c>
      <c r="F62" s="5">
        <v>7</v>
      </c>
      <c r="G62" s="5" t="s">
        <v>202</v>
      </c>
      <c r="H62" s="13">
        <v>1</v>
      </c>
      <c r="I62" s="46">
        <v>4201</v>
      </c>
      <c r="J62" s="5">
        <v>2</v>
      </c>
    </row>
    <row r="63" ht="15.75" spans="2:10">
      <c r="B63" s="5">
        <v>58</v>
      </c>
      <c r="C63" s="5">
        <v>59</v>
      </c>
      <c r="D63" s="13">
        <v>490357</v>
      </c>
      <c r="E63" s="24" t="s">
        <v>203</v>
      </c>
      <c r="F63" s="5">
        <v>2</v>
      </c>
      <c r="G63" s="5">
        <v>15</v>
      </c>
      <c r="H63" s="13">
        <v>0</v>
      </c>
      <c r="I63" s="46">
        <v>4201</v>
      </c>
      <c r="J63" s="5">
        <v>2</v>
      </c>
    </row>
    <row r="64" ht="15.75" spans="2:10">
      <c r="B64" s="5">
        <v>59</v>
      </c>
      <c r="C64" s="5">
        <v>60</v>
      </c>
      <c r="D64" s="13">
        <v>490358</v>
      </c>
      <c r="E64" s="24" t="s">
        <v>204</v>
      </c>
      <c r="F64" s="5">
        <v>31</v>
      </c>
      <c r="G64" s="5" t="s">
        <v>205</v>
      </c>
      <c r="H64" s="13">
        <v>1</v>
      </c>
      <c r="I64" s="46">
        <v>4201</v>
      </c>
      <c r="J64" s="5">
        <v>3</v>
      </c>
    </row>
    <row r="65" ht="15.75" spans="2:10">
      <c r="B65" s="5">
        <v>60</v>
      </c>
      <c r="C65" s="5">
        <v>56</v>
      </c>
      <c r="D65" s="13">
        <v>490359</v>
      </c>
      <c r="E65" s="24" t="s">
        <v>206</v>
      </c>
      <c r="F65" s="5">
        <v>24</v>
      </c>
      <c r="G65" s="5">
        <v>100000</v>
      </c>
      <c r="H65" s="13">
        <v>0</v>
      </c>
      <c r="I65" s="46">
        <v>4201</v>
      </c>
      <c r="J65" s="5">
        <v>2</v>
      </c>
    </row>
    <row r="66" ht="16.5" spans="2:10">
      <c r="B66" s="5">
        <v>61</v>
      </c>
      <c r="C66" s="13">
        <v>62</v>
      </c>
      <c r="D66" s="13">
        <v>490360</v>
      </c>
      <c r="E66" s="24" t="s">
        <v>207</v>
      </c>
      <c r="F66" s="5">
        <v>5</v>
      </c>
      <c r="G66" s="5">
        <v>30</v>
      </c>
      <c r="H66" s="13">
        <v>0</v>
      </c>
      <c r="I66" s="46">
        <v>4201</v>
      </c>
      <c r="J66" s="47">
        <v>205</v>
      </c>
    </row>
    <row r="67" ht="15.75" spans="2:10">
      <c r="B67" s="5">
        <v>62</v>
      </c>
      <c r="C67" s="13">
        <v>63</v>
      </c>
      <c r="D67" s="13">
        <v>490361</v>
      </c>
      <c r="E67" s="24" t="s">
        <v>208</v>
      </c>
      <c r="F67" s="5">
        <v>3</v>
      </c>
      <c r="G67" s="5" t="s">
        <v>209</v>
      </c>
      <c r="H67" s="41">
        <v>1</v>
      </c>
      <c r="I67" s="46">
        <v>4201</v>
      </c>
      <c r="J67" s="5">
        <v>6</v>
      </c>
    </row>
    <row r="68" ht="15.75" spans="2:10">
      <c r="B68" s="5">
        <v>63</v>
      </c>
      <c r="C68" s="13">
        <v>64</v>
      </c>
      <c r="D68" s="13">
        <v>490362</v>
      </c>
      <c r="E68" s="24" t="s">
        <v>210</v>
      </c>
      <c r="F68" s="5">
        <v>25</v>
      </c>
      <c r="G68" s="5" t="s">
        <v>211</v>
      </c>
      <c r="H68" s="13">
        <v>0</v>
      </c>
      <c r="I68" s="46">
        <v>4201</v>
      </c>
      <c r="J68" s="5">
        <v>2</v>
      </c>
    </row>
    <row r="69" ht="15.75" spans="2:10">
      <c r="B69" s="5">
        <v>64</v>
      </c>
      <c r="C69" s="13">
        <v>65</v>
      </c>
      <c r="D69" s="13">
        <v>490363</v>
      </c>
      <c r="E69" s="24" t="s">
        <v>212</v>
      </c>
      <c r="F69" s="5">
        <v>1</v>
      </c>
      <c r="G69" s="5">
        <v>5</v>
      </c>
      <c r="H69" s="13">
        <v>0</v>
      </c>
      <c r="I69" s="46">
        <v>4201</v>
      </c>
      <c r="J69" s="5">
        <v>2</v>
      </c>
    </row>
    <row r="70" ht="15.75" spans="2:10">
      <c r="B70" s="5">
        <v>65</v>
      </c>
      <c r="C70" s="13">
        <v>66</v>
      </c>
      <c r="D70" s="13">
        <v>490364</v>
      </c>
      <c r="E70" s="26" t="s">
        <v>213</v>
      </c>
      <c r="F70" s="5">
        <v>27</v>
      </c>
      <c r="G70" s="40">
        <v>25</v>
      </c>
      <c r="H70" s="13">
        <v>0</v>
      </c>
      <c r="I70" s="46">
        <v>4201</v>
      </c>
      <c r="J70" s="5">
        <v>2</v>
      </c>
    </row>
    <row r="71" ht="15.75" spans="2:10">
      <c r="B71" s="5">
        <v>66</v>
      </c>
      <c r="C71" s="13">
        <v>67</v>
      </c>
      <c r="D71" s="13">
        <v>490365</v>
      </c>
      <c r="E71" s="24" t="s">
        <v>214</v>
      </c>
      <c r="F71" s="5">
        <v>7</v>
      </c>
      <c r="G71" s="5" t="s">
        <v>215</v>
      </c>
      <c r="H71" s="13">
        <v>1</v>
      </c>
      <c r="I71" s="46">
        <v>4201</v>
      </c>
      <c r="J71" s="5">
        <v>2</v>
      </c>
    </row>
    <row r="72" ht="15.75" spans="2:10">
      <c r="B72" s="5">
        <v>67</v>
      </c>
      <c r="C72" s="13"/>
      <c r="D72" s="13">
        <v>490366</v>
      </c>
      <c r="E72" s="24" t="s">
        <v>216</v>
      </c>
      <c r="F72" s="5">
        <v>19</v>
      </c>
      <c r="G72" s="5">
        <v>1</v>
      </c>
      <c r="H72" s="13">
        <v>0</v>
      </c>
      <c r="I72" s="46">
        <v>4202</v>
      </c>
      <c r="J72" s="5">
        <v>42</v>
      </c>
    </row>
  </sheetData>
  <autoFilter xmlns:etc="http://www.wps.cn/officeDocument/2017/etCustomData" ref="B1:K72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D17" sqref="D17"/>
    </sheetView>
  </sheetViews>
  <sheetFormatPr defaultColWidth="9" defaultRowHeight="14.25" outlineLevelCol="4"/>
  <cols>
    <col min="1" max="1" width="9" style="8"/>
    <col min="2" max="2" width="25.775" style="8" customWidth="1"/>
    <col min="3" max="3" width="17.775" style="8" customWidth="1"/>
    <col min="4" max="4" width="15.775" style="8" customWidth="1"/>
    <col min="5" max="5" width="12.6666666666667" style="8" customWidth="1"/>
    <col min="6" max="16384" width="9" style="8"/>
  </cols>
  <sheetData>
    <row r="1" spans="1:5">
      <c r="A1" t="s">
        <v>0</v>
      </c>
      <c r="B1" s="13" t="s">
        <v>29</v>
      </c>
      <c r="C1" s="13" t="s">
        <v>19</v>
      </c>
      <c r="D1" s="14" t="s">
        <v>217</v>
      </c>
      <c r="E1" s="9"/>
    </row>
    <row r="2" spans="1:5">
      <c r="A2" t="s">
        <v>3</v>
      </c>
      <c r="B2" s="37" t="s">
        <v>20</v>
      </c>
      <c r="C2" s="37" t="s">
        <v>22</v>
      </c>
      <c r="D2" s="37" t="s">
        <v>218</v>
      </c>
      <c r="E2" s="11"/>
    </row>
    <row r="3" spans="1:5">
      <c r="A3" t="s">
        <v>6</v>
      </c>
      <c r="B3" s="37" t="s">
        <v>7</v>
      </c>
      <c r="C3" s="37" t="s">
        <v>7</v>
      </c>
      <c r="D3" s="37" t="s">
        <v>7</v>
      </c>
      <c r="E3" s="11"/>
    </row>
    <row r="4" spans="1:5">
      <c r="A4" t="s">
        <v>9</v>
      </c>
      <c r="B4" s="37" t="s">
        <v>10</v>
      </c>
      <c r="C4" s="37" t="s">
        <v>10</v>
      </c>
      <c r="D4" s="37" t="s">
        <v>10</v>
      </c>
      <c r="E4" s="11"/>
    </row>
    <row r="5" spans="1:5">
      <c r="A5" t="s">
        <v>11</v>
      </c>
      <c r="B5" s="37" t="s">
        <v>80</v>
      </c>
      <c r="C5" s="37">
        <v>0</v>
      </c>
      <c r="D5" s="37">
        <v>0</v>
      </c>
      <c r="E5" s="11"/>
    </row>
    <row r="6" ht="15.75" spans="1:5">
      <c r="A6" s="8" t="s">
        <v>11</v>
      </c>
      <c r="B6" s="38">
        <v>1</v>
      </c>
      <c r="C6" s="39">
        <v>3550</v>
      </c>
      <c r="D6" s="40">
        <v>1</v>
      </c>
      <c r="E6" s="8">
        <f t="shared" ref="E6:E11" si="0">D6-D5</f>
        <v>1</v>
      </c>
    </row>
    <row r="7" ht="15.75" spans="2:5">
      <c r="B7" s="41">
        <v>2</v>
      </c>
      <c r="C7" s="39">
        <v>3551</v>
      </c>
      <c r="D7" s="40">
        <v>2</v>
      </c>
      <c r="E7" s="8">
        <f t="shared" si="0"/>
        <v>1</v>
      </c>
    </row>
    <row r="8" ht="15.75" spans="2:5">
      <c r="B8" s="41">
        <v>3</v>
      </c>
      <c r="C8" s="39">
        <v>3552</v>
      </c>
      <c r="D8" s="40">
        <v>4</v>
      </c>
      <c r="E8" s="8">
        <f t="shared" si="0"/>
        <v>2</v>
      </c>
    </row>
    <row r="9" ht="15.75" spans="2:5">
      <c r="B9" s="41">
        <v>4</v>
      </c>
      <c r="C9" s="39">
        <v>3553</v>
      </c>
      <c r="D9" s="40">
        <v>6</v>
      </c>
      <c r="E9" s="8">
        <f t="shared" si="0"/>
        <v>2</v>
      </c>
    </row>
    <row r="10" ht="15.75" spans="2:5">
      <c r="B10" s="41">
        <v>5</v>
      </c>
      <c r="C10" s="39">
        <v>3554</v>
      </c>
      <c r="D10" s="40">
        <v>8</v>
      </c>
      <c r="E10" s="8">
        <f t="shared" si="0"/>
        <v>2</v>
      </c>
    </row>
    <row r="11" ht="15.75" spans="2:5">
      <c r="B11" s="41">
        <v>6</v>
      </c>
      <c r="C11" s="39">
        <v>3555</v>
      </c>
      <c r="D11" s="40">
        <v>10</v>
      </c>
      <c r="E11" s="8">
        <f t="shared" si="0"/>
        <v>2</v>
      </c>
    </row>
    <row r="12" ht="15.75" spans="2:5">
      <c r="B12" s="41">
        <v>7</v>
      </c>
      <c r="C12" s="39">
        <v>3556</v>
      </c>
      <c r="D12" s="40">
        <v>13</v>
      </c>
      <c r="E12" s="8">
        <f t="shared" ref="E12:E22" si="1">D12-D11</f>
        <v>3</v>
      </c>
    </row>
    <row r="13" ht="15.75" spans="2:5">
      <c r="B13" s="41">
        <v>8</v>
      </c>
      <c r="C13" s="39">
        <v>3557</v>
      </c>
      <c r="D13" s="5">
        <v>16</v>
      </c>
      <c r="E13" s="8">
        <f t="shared" si="1"/>
        <v>3</v>
      </c>
    </row>
    <row r="14" ht="15.75" spans="2:5">
      <c r="B14" s="41">
        <v>9</v>
      </c>
      <c r="C14" s="39">
        <v>3558</v>
      </c>
      <c r="D14" s="5">
        <v>20</v>
      </c>
      <c r="E14" s="8">
        <f t="shared" si="1"/>
        <v>4</v>
      </c>
    </row>
    <row r="15" ht="15.75" spans="2:5">
      <c r="B15" s="41">
        <v>10</v>
      </c>
      <c r="C15" s="39">
        <v>3559</v>
      </c>
      <c r="D15" s="5">
        <v>24</v>
      </c>
      <c r="E15" s="8">
        <f t="shared" si="1"/>
        <v>4</v>
      </c>
    </row>
    <row r="16" ht="15.75" spans="2:5">
      <c r="B16" s="41">
        <v>11</v>
      </c>
      <c r="C16" s="39">
        <v>3560</v>
      </c>
      <c r="D16" s="5">
        <v>28</v>
      </c>
      <c r="E16" s="8">
        <f t="shared" si="1"/>
        <v>4</v>
      </c>
    </row>
    <row r="17" ht="15.75" spans="2:5">
      <c r="B17" s="41">
        <v>12</v>
      </c>
      <c r="C17" s="39">
        <v>3561</v>
      </c>
      <c r="D17" s="5">
        <v>32</v>
      </c>
      <c r="E17" s="8">
        <f t="shared" si="1"/>
        <v>4</v>
      </c>
    </row>
    <row r="18" ht="15.75" spans="2:5">
      <c r="B18" s="41">
        <v>13</v>
      </c>
      <c r="C18" s="39">
        <v>3562</v>
      </c>
      <c r="D18" s="5">
        <v>36</v>
      </c>
      <c r="E18" s="8">
        <f t="shared" si="1"/>
        <v>4</v>
      </c>
    </row>
    <row r="19" ht="15.75" spans="2:5">
      <c r="B19" s="41">
        <v>14</v>
      </c>
      <c r="C19" s="39">
        <v>3563</v>
      </c>
      <c r="D19" s="5">
        <v>42</v>
      </c>
      <c r="E19" s="8">
        <f t="shared" si="1"/>
        <v>6</v>
      </c>
    </row>
    <row r="20" ht="15.75" spans="2:5">
      <c r="B20" s="41">
        <v>15</v>
      </c>
      <c r="C20" s="39">
        <v>3564</v>
      </c>
      <c r="D20" s="5">
        <v>48</v>
      </c>
      <c r="E20" s="8">
        <f t="shared" si="1"/>
        <v>6</v>
      </c>
    </row>
    <row r="21" ht="15.75" spans="2:5">
      <c r="B21" s="41">
        <v>16</v>
      </c>
      <c r="C21" s="39">
        <v>3565</v>
      </c>
      <c r="D21" s="5">
        <v>54</v>
      </c>
      <c r="E21" s="8">
        <f t="shared" si="1"/>
        <v>6</v>
      </c>
    </row>
    <row r="22" ht="15.75" spans="2:5">
      <c r="B22" s="41">
        <v>17</v>
      </c>
      <c r="C22" s="39">
        <v>3566</v>
      </c>
      <c r="D22" s="5">
        <v>60</v>
      </c>
      <c r="E22" s="8">
        <f t="shared" si="1"/>
        <v>6</v>
      </c>
    </row>
    <row r="23" spans="3:3">
      <c r="C23" s="36"/>
    </row>
    <row r="24" spans="3:3">
      <c r="C24" s="36"/>
    </row>
    <row r="25" spans="3:3">
      <c r="C25" s="36"/>
    </row>
    <row r="26" spans="3:3">
      <c r="C26" s="36"/>
    </row>
    <row r="27" spans="3:3">
      <c r="C27" s="36"/>
    </row>
  </sheetData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A1" sqref="A1:A5"/>
    </sheetView>
  </sheetViews>
  <sheetFormatPr defaultColWidth="9" defaultRowHeight="14.25" outlineLevelCol="5"/>
  <cols>
    <col min="1" max="1" width="9" style="8"/>
    <col min="2" max="2" width="25.775" style="8" customWidth="1"/>
    <col min="3" max="3" width="15.1083333333333" style="8" customWidth="1"/>
    <col min="4" max="4" width="12.4416666666667" style="8" customWidth="1"/>
    <col min="5" max="5" width="12.6666666666667" style="8" customWidth="1"/>
    <col min="6" max="16384" width="9" style="8"/>
  </cols>
  <sheetData>
    <row r="1" spans="1:6">
      <c r="A1" t="s">
        <v>0</v>
      </c>
      <c r="B1" s="8" t="s">
        <v>29</v>
      </c>
      <c r="C1" s="8" t="s">
        <v>219</v>
      </c>
      <c r="D1" s="8" t="s">
        <v>220</v>
      </c>
      <c r="E1" s="9" t="s">
        <v>217</v>
      </c>
      <c r="F1" s="9"/>
    </row>
    <row r="2" spans="1:5">
      <c r="A2" t="s">
        <v>3</v>
      </c>
      <c r="B2" s="10" t="s">
        <v>20</v>
      </c>
      <c r="C2" s="10" t="s">
        <v>221</v>
      </c>
      <c r="D2" s="10" t="s">
        <v>222</v>
      </c>
      <c r="E2" s="10" t="s">
        <v>218</v>
      </c>
    </row>
    <row r="3" ht="15.75" spans="1:6">
      <c r="A3" t="s">
        <v>6</v>
      </c>
      <c r="B3" s="10" t="s">
        <v>7</v>
      </c>
      <c r="C3" s="10" t="s">
        <v>7</v>
      </c>
      <c r="D3" s="10" t="s">
        <v>7</v>
      </c>
      <c r="E3" s="10" t="s">
        <v>7</v>
      </c>
      <c r="F3" s="34"/>
    </row>
    <row r="4" ht="15.75" spans="1:6">
      <c r="A4" t="s">
        <v>9</v>
      </c>
      <c r="B4" s="10" t="s">
        <v>10</v>
      </c>
      <c r="C4" s="10" t="s">
        <v>10</v>
      </c>
      <c r="D4" s="10" t="s">
        <v>10</v>
      </c>
      <c r="E4" s="10" t="s">
        <v>10</v>
      </c>
      <c r="F4" s="34"/>
    </row>
    <row r="5" ht="15.75" spans="1:6">
      <c r="A5" t="s">
        <v>11</v>
      </c>
      <c r="B5" s="10" t="s">
        <v>223</v>
      </c>
      <c r="C5" s="10">
        <v>0</v>
      </c>
      <c r="D5" s="10">
        <v>0</v>
      </c>
      <c r="E5" s="10">
        <v>0</v>
      </c>
      <c r="F5" s="34"/>
    </row>
    <row r="6" ht="15.75" spans="2:5">
      <c r="B6" s="34">
        <v>1</v>
      </c>
      <c r="C6" s="35">
        <v>3511</v>
      </c>
      <c r="D6" s="8">
        <v>3611</v>
      </c>
      <c r="E6" s="34">
        <v>1</v>
      </c>
    </row>
    <row r="7" ht="15.75" spans="2:5">
      <c r="B7" s="34">
        <v>2</v>
      </c>
      <c r="C7" s="35">
        <v>3512</v>
      </c>
      <c r="D7" s="8">
        <v>3612</v>
      </c>
      <c r="E7" s="34">
        <v>3</v>
      </c>
    </row>
    <row r="8" ht="15.75" spans="2:5">
      <c r="B8" s="34">
        <v>3</v>
      </c>
      <c r="C8" s="35">
        <v>3513</v>
      </c>
      <c r="D8" s="8">
        <v>3613</v>
      </c>
      <c r="E8" s="34">
        <v>5</v>
      </c>
    </row>
    <row r="9" ht="15.75" spans="2:5">
      <c r="B9" s="34">
        <v>4</v>
      </c>
      <c r="C9" s="35">
        <v>3514</v>
      </c>
      <c r="D9" s="8">
        <v>3614</v>
      </c>
      <c r="E9" s="34">
        <v>10</v>
      </c>
    </row>
    <row r="10" ht="15.75" spans="2:5">
      <c r="B10" s="34">
        <v>5</v>
      </c>
      <c r="C10" s="35">
        <v>3515</v>
      </c>
      <c r="D10" s="8">
        <v>3615</v>
      </c>
      <c r="E10" s="34">
        <v>15</v>
      </c>
    </row>
    <row r="11" ht="15.75" spans="2:5">
      <c r="B11" s="34">
        <v>6</v>
      </c>
      <c r="C11" s="35">
        <v>3516</v>
      </c>
      <c r="D11" s="8">
        <v>3616</v>
      </c>
      <c r="E11" s="34">
        <v>20</v>
      </c>
    </row>
    <row r="12" ht="15.75" spans="2:5">
      <c r="B12" s="34">
        <v>7</v>
      </c>
      <c r="C12" s="35">
        <v>3517</v>
      </c>
      <c r="D12" s="8">
        <v>3617</v>
      </c>
      <c r="E12" s="34">
        <v>30</v>
      </c>
    </row>
    <row r="13" ht="15.75" spans="2:5">
      <c r="B13" s="34">
        <v>8</v>
      </c>
      <c r="C13" s="35">
        <v>3518</v>
      </c>
      <c r="D13" s="8">
        <v>3618</v>
      </c>
      <c r="E13" s="34">
        <v>40</v>
      </c>
    </row>
    <row r="14" ht="15.75" spans="2:5">
      <c r="B14" s="34">
        <v>9</v>
      </c>
      <c r="C14" s="35">
        <v>3519</v>
      </c>
      <c r="D14" s="8">
        <v>3619</v>
      </c>
      <c r="E14" s="34">
        <v>60</v>
      </c>
    </row>
    <row r="15" ht="15.75" spans="2:5">
      <c r="B15" s="34">
        <v>10</v>
      </c>
      <c r="C15" s="35">
        <v>3520</v>
      </c>
      <c r="D15" s="8">
        <v>3620</v>
      </c>
      <c r="E15" s="34">
        <v>80</v>
      </c>
    </row>
    <row r="16" ht="15.75" spans="2:5">
      <c r="B16" s="34">
        <v>11</v>
      </c>
      <c r="C16" s="35">
        <v>3521</v>
      </c>
      <c r="D16" s="8">
        <v>3621</v>
      </c>
      <c r="E16" s="34">
        <v>100</v>
      </c>
    </row>
    <row r="17" ht="15.75" spans="2:5">
      <c r="B17" s="34">
        <v>12</v>
      </c>
      <c r="C17" s="35">
        <v>3522</v>
      </c>
      <c r="D17" s="8">
        <v>3622</v>
      </c>
      <c r="E17" s="34">
        <v>120</v>
      </c>
    </row>
    <row r="18" ht="15.75" spans="2:5">
      <c r="B18" s="34"/>
      <c r="C18" s="35"/>
      <c r="E18" s="34"/>
    </row>
    <row r="19" ht="15.75" spans="2:5">
      <c r="B19" s="34"/>
      <c r="C19" s="35"/>
      <c r="E19" s="34"/>
    </row>
    <row r="20" ht="15.75" spans="2:5">
      <c r="B20" s="34"/>
      <c r="C20" s="35"/>
      <c r="E20" s="34"/>
    </row>
    <row r="21" spans="3:3">
      <c r="C21" s="36"/>
    </row>
    <row r="22" spans="3:3">
      <c r="C22" s="36"/>
    </row>
    <row r="23" spans="3:3">
      <c r="C23" s="36"/>
    </row>
    <row r="24" spans="3:3">
      <c r="C24" s="36"/>
    </row>
    <row r="25" spans="3:3">
      <c r="C25" s="36"/>
    </row>
    <row r="26" spans="3:3">
      <c r="C26" s="36"/>
    </row>
    <row r="27" spans="3:3">
      <c r="C27" s="36"/>
    </row>
    <row r="28" spans="3:3">
      <c r="C28" s="36"/>
    </row>
  </sheetData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J41" sqref="J41"/>
    </sheetView>
  </sheetViews>
  <sheetFormatPr defaultColWidth="11" defaultRowHeight="14.25" outlineLevelCol="5"/>
  <cols>
    <col min="1" max="1" width="11" style="20"/>
    <col min="2" max="2" width="26.8833333333333" style="20" customWidth="1"/>
    <col min="3" max="3" width="16.2166666666667" style="20" customWidth="1"/>
    <col min="4" max="5" width="11" style="20"/>
    <col min="6" max="6" width="15.4416666666667" style="21" customWidth="1"/>
    <col min="7" max="16384" width="11" style="20"/>
  </cols>
  <sheetData>
    <row r="1" spans="1:6">
      <c r="A1" t="s">
        <v>0</v>
      </c>
      <c r="B1" t="s">
        <v>47</v>
      </c>
      <c r="C1" s="20" t="s">
        <v>224</v>
      </c>
      <c r="F1" s="20"/>
    </row>
    <row r="2" ht="15.75" spans="1:6">
      <c r="A2" t="s">
        <v>3</v>
      </c>
      <c r="B2" s="3" t="s">
        <v>5</v>
      </c>
      <c r="C2" s="3" t="s">
        <v>225</v>
      </c>
      <c r="D2" s="33"/>
      <c r="E2" s="33"/>
      <c r="F2" s="20"/>
    </row>
    <row r="3" ht="15.75" spans="1:6">
      <c r="A3" t="s">
        <v>6</v>
      </c>
      <c r="B3" s="3" t="s">
        <v>7</v>
      </c>
      <c r="C3" s="3" t="s">
        <v>7</v>
      </c>
      <c r="D3" s="33"/>
      <c r="E3" s="33"/>
      <c r="F3" s="20"/>
    </row>
    <row r="4" ht="15.75" spans="1:6">
      <c r="A4" t="s">
        <v>9</v>
      </c>
      <c r="B4" s="2" t="s">
        <v>10</v>
      </c>
      <c r="C4" s="2" t="s">
        <v>10</v>
      </c>
      <c r="D4" s="33"/>
      <c r="E4" s="33"/>
      <c r="F4" s="20"/>
    </row>
    <row r="5" ht="15.75" spans="1:6">
      <c r="A5" t="s">
        <v>11</v>
      </c>
      <c r="B5" s="3" t="s">
        <v>226</v>
      </c>
      <c r="C5" s="3">
        <v>0</v>
      </c>
      <c r="D5" s="33"/>
      <c r="E5" s="33"/>
      <c r="F5" s="20"/>
    </row>
    <row r="6" spans="2:6">
      <c r="B6" s="20">
        <v>1</v>
      </c>
      <c r="C6" s="20">
        <v>300</v>
      </c>
      <c r="F6" s="20"/>
    </row>
    <row r="7" spans="2:6">
      <c r="B7" s="20">
        <v>2</v>
      </c>
      <c r="C7" s="20">
        <v>50</v>
      </c>
      <c r="F7" s="20"/>
    </row>
    <row r="8" spans="2:6">
      <c r="B8" s="20">
        <v>3</v>
      </c>
      <c r="C8" s="20">
        <v>50</v>
      </c>
      <c r="F8" s="20"/>
    </row>
    <row r="9" spans="2:6">
      <c r="B9" s="20">
        <v>4</v>
      </c>
      <c r="C9" s="20">
        <v>50</v>
      </c>
      <c r="F9" s="20"/>
    </row>
    <row r="10" spans="2:6">
      <c r="B10" s="20">
        <v>5</v>
      </c>
      <c r="C10" s="20">
        <v>50</v>
      </c>
      <c r="F10" s="20"/>
    </row>
    <row r="11" spans="2:6">
      <c r="B11" s="20">
        <v>6</v>
      </c>
      <c r="C11" s="20">
        <v>50</v>
      </c>
      <c r="F11" s="20"/>
    </row>
    <row r="12" spans="2:6">
      <c r="B12" s="20">
        <v>7</v>
      </c>
      <c r="C12" s="20">
        <v>50</v>
      </c>
      <c r="F12" s="20"/>
    </row>
    <row r="13" spans="3:6">
      <c r="C13"/>
      <c r="D13"/>
      <c r="E13" s="21"/>
      <c r="F13" s="20"/>
    </row>
    <row r="14" spans="3:4">
      <c r="C14"/>
      <c r="D14"/>
    </row>
    <row r="15" spans="3:4">
      <c r="C15"/>
      <c r="D15"/>
    </row>
    <row r="16" spans="3:4">
      <c r="C16"/>
      <c r="D16"/>
    </row>
    <row r="17" spans="3:4">
      <c r="C17"/>
      <c r="D17"/>
    </row>
    <row r="18" spans="3:4">
      <c r="C18"/>
      <c r="D18"/>
    </row>
    <row r="19" spans="3:4">
      <c r="C19"/>
      <c r="D19"/>
    </row>
    <row r="20" spans="3:4">
      <c r="C20"/>
      <c r="D20"/>
    </row>
    <row r="21" spans="3:4">
      <c r="C21"/>
      <c r="D21"/>
    </row>
    <row r="22" spans="3:4">
      <c r="C22"/>
      <c r="D22"/>
    </row>
    <row r="23" spans="3:4">
      <c r="C23"/>
      <c r="D23"/>
    </row>
    <row r="24" spans="3:4">
      <c r="C24"/>
      <c r="D24"/>
    </row>
    <row r="25" spans="3:4">
      <c r="C25"/>
      <c r="D25"/>
    </row>
    <row r="26" spans="3:4">
      <c r="C26"/>
      <c r="D26"/>
    </row>
    <row r="27" spans="3:4">
      <c r="C27"/>
      <c r="D27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F25" sqref="F25"/>
    </sheetView>
  </sheetViews>
  <sheetFormatPr defaultColWidth="11" defaultRowHeight="14.25"/>
  <cols>
    <col min="1" max="1" width="11" style="20"/>
    <col min="2" max="2" width="26.8833333333333" style="20" customWidth="1"/>
    <col min="3" max="3" width="19.8833333333333" style="20" customWidth="1"/>
    <col min="4" max="4" width="14.4416666666667" style="20" customWidth="1"/>
    <col min="5" max="5" width="12" style="20" customWidth="1"/>
    <col min="6" max="6" width="14.4416666666667" style="20" customWidth="1"/>
    <col min="7" max="7" width="13.6666666666667" style="20" customWidth="1"/>
    <col min="8" max="8" width="15.4416666666667" style="21" customWidth="1"/>
    <col min="9" max="9" width="29.125" style="20" customWidth="1"/>
    <col min="10" max="16384" width="11" style="20"/>
  </cols>
  <sheetData>
    <row r="1" spans="1:10">
      <c r="A1" t="s">
        <v>0</v>
      </c>
      <c r="B1" t="s">
        <v>47</v>
      </c>
      <c r="C1" s="20" t="s">
        <v>227</v>
      </c>
      <c r="D1" s="20" t="s">
        <v>49</v>
      </c>
      <c r="E1" s="20" t="s">
        <v>228</v>
      </c>
      <c r="F1" s="20" t="s">
        <v>51</v>
      </c>
      <c r="G1" s="20" t="s">
        <v>229</v>
      </c>
      <c r="H1" s="20" t="s">
        <v>51</v>
      </c>
      <c r="I1" s="20" t="s">
        <v>230</v>
      </c>
      <c r="J1" s="29" t="s">
        <v>231</v>
      </c>
    </row>
    <row r="2" spans="1:10">
      <c r="A2" t="s">
        <v>3</v>
      </c>
      <c r="B2" s="3" t="s">
        <v>5</v>
      </c>
      <c r="C2" s="3" t="s">
        <v>59</v>
      </c>
      <c r="D2" s="22"/>
      <c r="E2" s="3" t="s">
        <v>232</v>
      </c>
      <c r="F2" s="3" t="s">
        <v>233</v>
      </c>
      <c r="G2" s="3" t="s">
        <v>234</v>
      </c>
      <c r="H2" s="3" t="s">
        <v>235</v>
      </c>
      <c r="I2" s="3" t="s">
        <v>22</v>
      </c>
      <c r="J2" s="30" t="s">
        <v>236</v>
      </c>
    </row>
    <row r="3" ht="15.75" spans="1:10">
      <c r="A3" t="s">
        <v>6</v>
      </c>
      <c r="B3" s="3" t="s">
        <v>7</v>
      </c>
      <c r="C3" s="3" t="s">
        <v>7</v>
      </c>
      <c r="D3" s="22"/>
      <c r="E3" s="3" t="s">
        <v>7</v>
      </c>
      <c r="F3" s="3" t="s">
        <v>7</v>
      </c>
      <c r="G3" s="3" t="s">
        <v>7</v>
      </c>
      <c r="H3" s="3" t="s">
        <v>7</v>
      </c>
      <c r="I3" s="31" t="s">
        <v>36</v>
      </c>
      <c r="J3" s="30" t="s">
        <v>7</v>
      </c>
    </row>
    <row r="4" spans="1:10">
      <c r="A4" t="s">
        <v>9</v>
      </c>
      <c r="B4" s="2" t="s">
        <v>10</v>
      </c>
      <c r="C4" s="2" t="s">
        <v>10</v>
      </c>
      <c r="D4" s="22"/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</row>
    <row r="5" spans="1:10">
      <c r="A5" t="s">
        <v>11</v>
      </c>
      <c r="B5" s="3" t="s">
        <v>237</v>
      </c>
      <c r="C5" s="3">
        <v>0</v>
      </c>
      <c r="D5" s="22"/>
      <c r="E5" s="3">
        <v>0</v>
      </c>
      <c r="F5" s="3">
        <v>0</v>
      </c>
      <c r="G5" s="3">
        <v>0</v>
      </c>
      <c r="H5" s="3">
        <v>0</v>
      </c>
      <c r="I5" s="3" t="s">
        <v>238</v>
      </c>
      <c r="J5" s="30">
        <v>0</v>
      </c>
    </row>
    <row r="6" spans="2:9">
      <c r="B6" s="20">
        <v>1</v>
      </c>
      <c r="C6" s="20">
        <v>481011</v>
      </c>
      <c r="D6" s="20" t="s">
        <v>239</v>
      </c>
      <c r="E6" s="20">
        <v>0</v>
      </c>
      <c r="F6" s="20">
        <v>1</v>
      </c>
      <c r="G6" s="20">
        <v>0</v>
      </c>
      <c r="H6" s="20">
        <v>0</v>
      </c>
      <c r="I6" s="32" t="s">
        <v>240</v>
      </c>
    </row>
    <row r="7" spans="2:9">
      <c r="B7" s="20">
        <v>2</v>
      </c>
      <c r="C7" s="20">
        <v>481021</v>
      </c>
      <c r="D7" s="20" t="s">
        <v>241</v>
      </c>
      <c r="E7" s="20">
        <v>0</v>
      </c>
      <c r="F7" s="20">
        <v>3</v>
      </c>
      <c r="G7" s="20">
        <v>1</v>
      </c>
      <c r="H7" s="20">
        <v>1</v>
      </c>
      <c r="I7" s="32" t="s">
        <v>242</v>
      </c>
    </row>
    <row r="8" spans="2:10">
      <c r="B8" s="20">
        <v>3</v>
      </c>
      <c r="C8" s="20">
        <v>481031</v>
      </c>
      <c r="D8" s="20" t="s">
        <v>243</v>
      </c>
      <c r="E8" s="20">
        <v>0</v>
      </c>
      <c r="F8" s="20">
        <v>1</v>
      </c>
      <c r="G8" s="20">
        <v>2</v>
      </c>
      <c r="H8" s="23">
        <v>190</v>
      </c>
      <c r="I8" s="32" t="s">
        <v>244</v>
      </c>
      <c r="J8" s="20">
        <v>5</v>
      </c>
    </row>
    <row r="9" spans="2:10">
      <c r="B9" s="20">
        <v>4</v>
      </c>
      <c r="C9" s="20">
        <v>481041</v>
      </c>
      <c r="D9" s="20" t="s">
        <v>245</v>
      </c>
      <c r="E9" s="20">
        <v>0</v>
      </c>
      <c r="F9" s="20">
        <v>1</v>
      </c>
      <c r="G9" s="20">
        <v>2</v>
      </c>
      <c r="H9" s="23">
        <v>217</v>
      </c>
      <c r="I9" s="32" t="s">
        <v>246</v>
      </c>
      <c r="J9" s="20">
        <v>3</v>
      </c>
    </row>
    <row r="10" spans="2:10">
      <c r="B10" s="20">
        <v>5</v>
      </c>
      <c r="C10" s="20">
        <v>481051</v>
      </c>
      <c r="D10" s="24" t="s">
        <v>247</v>
      </c>
      <c r="E10" s="20">
        <v>1</v>
      </c>
      <c r="F10" s="20">
        <v>1</v>
      </c>
      <c r="G10" s="20">
        <v>2</v>
      </c>
      <c r="H10" s="23">
        <v>218</v>
      </c>
      <c r="I10" s="32" t="s">
        <v>248</v>
      </c>
      <c r="J10" s="20">
        <v>3</v>
      </c>
    </row>
    <row r="11" spans="2:10">
      <c r="B11" s="20">
        <v>6</v>
      </c>
      <c r="C11" s="25">
        <v>481091</v>
      </c>
      <c r="D11" s="26" t="s">
        <v>249</v>
      </c>
      <c r="E11" s="20">
        <v>1</v>
      </c>
      <c r="F11" s="20">
        <v>1</v>
      </c>
      <c r="G11" s="20">
        <v>2</v>
      </c>
      <c r="H11">
        <v>192</v>
      </c>
      <c r="I11" s="32" t="s">
        <v>250</v>
      </c>
      <c r="J11" s="20">
        <v>5</v>
      </c>
    </row>
    <row r="12" spans="2:10">
      <c r="B12" s="20">
        <v>7</v>
      </c>
      <c r="C12" s="20">
        <v>481071</v>
      </c>
      <c r="D12" s="27" t="s">
        <v>251</v>
      </c>
      <c r="E12" s="20">
        <v>1</v>
      </c>
      <c r="F12" s="20">
        <v>1</v>
      </c>
      <c r="G12" s="20">
        <v>2</v>
      </c>
      <c r="H12" s="23">
        <v>220</v>
      </c>
      <c r="I12" s="32" t="s">
        <v>252</v>
      </c>
      <c r="J12" s="20">
        <v>3</v>
      </c>
    </row>
    <row r="13" spans="2:10">
      <c r="B13" s="20">
        <v>8</v>
      </c>
      <c r="C13" s="20">
        <v>481081</v>
      </c>
      <c r="D13" s="24" t="s">
        <v>253</v>
      </c>
      <c r="E13" s="20">
        <v>1</v>
      </c>
      <c r="F13" s="20">
        <v>1</v>
      </c>
      <c r="G13" s="20">
        <v>2</v>
      </c>
      <c r="H13" s="23">
        <v>221</v>
      </c>
      <c r="I13" s="32" t="s">
        <v>254</v>
      </c>
      <c r="J13" s="20">
        <v>3</v>
      </c>
    </row>
    <row r="14" spans="2:10">
      <c r="B14" s="22">
        <v>9</v>
      </c>
      <c r="D14" s="20" t="s">
        <v>255</v>
      </c>
      <c r="E14" s="20">
        <v>1</v>
      </c>
      <c r="F14" s="20">
        <v>1</v>
      </c>
      <c r="G14" s="20">
        <v>3</v>
      </c>
      <c r="H14" s="20">
        <v>90</v>
      </c>
      <c r="I14" s="32" t="s">
        <v>256</v>
      </c>
      <c r="J14" s="20">
        <v>3</v>
      </c>
    </row>
    <row r="15" spans="3:3">
      <c r="C15" s="28"/>
    </row>
    <row r="18" spans="3:3">
      <c r="C18" s="28"/>
    </row>
    <row r="22" spans="3:3">
      <c r="C22" s="28"/>
    </row>
    <row r="25" spans="3:3">
      <c r="C25" s="28"/>
    </row>
    <row r="29" spans="3:3">
      <c r="C29" s="28"/>
    </row>
    <row r="32" spans="3:3">
      <c r="C32" s="28"/>
    </row>
  </sheetData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23" sqref="C23"/>
    </sheetView>
  </sheetViews>
  <sheetFormatPr defaultColWidth="9" defaultRowHeight="14.25"/>
  <cols>
    <col min="1" max="1" width="9" style="8"/>
    <col min="2" max="2" width="25.775" style="8" customWidth="1"/>
    <col min="3" max="3" width="19.3333333333333" style="8" customWidth="1"/>
    <col min="4" max="4" width="15.775" style="8" customWidth="1"/>
    <col min="5" max="5" width="16.2166666666667" style="8" customWidth="1"/>
    <col min="6" max="6" width="13" style="8" customWidth="1"/>
    <col min="7" max="7" width="18.4416666666667" style="8" customWidth="1"/>
    <col min="8" max="8" width="12.2166666666667" style="8" customWidth="1"/>
    <col min="9" max="9" width="11.1083333333333" style="8" customWidth="1"/>
    <col min="10" max="16384" width="9" style="8"/>
  </cols>
  <sheetData>
    <row r="1" spans="1:8">
      <c r="A1" t="s">
        <v>0</v>
      </c>
      <c r="B1" s="8" t="s">
        <v>2</v>
      </c>
      <c r="C1" s="9" t="s">
        <v>257</v>
      </c>
      <c r="D1" s="8" t="s">
        <v>123</v>
      </c>
      <c r="E1" s="9" t="s">
        <v>124</v>
      </c>
      <c r="F1" s="9" t="s">
        <v>51</v>
      </c>
      <c r="G1" s="9" t="s">
        <v>258</v>
      </c>
      <c r="H1" s="9" t="s">
        <v>127</v>
      </c>
    </row>
    <row r="2" spans="1:8">
      <c r="A2" t="s">
        <v>3</v>
      </c>
      <c r="B2" s="10" t="s">
        <v>5</v>
      </c>
      <c r="C2" s="10" t="s">
        <v>59</v>
      </c>
      <c r="D2" s="11"/>
      <c r="E2" s="10" t="s">
        <v>130</v>
      </c>
      <c r="F2" s="10" t="s">
        <v>131</v>
      </c>
      <c r="G2" s="10" t="s">
        <v>22</v>
      </c>
      <c r="H2" s="10" t="s">
        <v>67</v>
      </c>
    </row>
    <row r="3" ht="15.75" spans="1:8">
      <c r="A3" t="s">
        <v>6</v>
      </c>
      <c r="B3" s="10" t="s">
        <v>7</v>
      </c>
      <c r="C3" s="10" t="s">
        <v>7</v>
      </c>
      <c r="D3" s="11"/>
      <c r="E3" s="10" t="s">
        <v>7</v>
      </c>
      <c r="F3" s="12" t="s">
        <v>7</v>
      </c>
      <c r="G3" s="12" t="s">
        <v>36</v>
      </c>
      <c r="H3" s="10" t="s">
        <v>7</v>
      </c>
    </row>
    <row r="4" spans="1:8">
      <c r="A4" t="s">
        <v>9</v>
      </c>
      <c r="B4" s="10" t="s">
        <v>10</v>
      </c>
      <c r="C4" s="10" t="s">
        <v>10</v>
      </c>
      <c r="D4" s="10"/>
      <c r="E4" s="10" t="s">
        <v>10</v>
      </c>
      <c r="F4" s="10" t="s">
        <v>10</v>
      </c>
      <c r="G4" s="10" t="s">
        <v>10</v>
      </c>
      <c r="H4" s="10" t="s">
        <v>10</v>
      </c>
    </row>
    <row r="5" ht="15.75" spans="1:8">
      <c r="A5" t="s">
        <v>11</v>
      </c>
      <c r="B5" s="10" t="s">
        <v>259</v>
      </c>
      <c r="C5" s="10">
        <v>0</v>
      </c>
      <c r="D5" s="11"/>
      <c r="E5" s="10">
        <v>0</v>
      </c>
      <c r="F5" s="12">
        <v>0</v>
      </c>
      <c r="G5" s="12" t="s">
        <v>238</v>
      </c>
      <c r="H5" s="10">
        <v>0</v>
      </c>
    </row>
    <row r="6" ht="15.75" spans="2:8">
      <c r="B6" s="13">
        <v>1</v>
      </c>
      <c r="C6" s="14">
        <v>460011</v>
      </c>
      <c r="D6" s="15" t="s">
        <v>260</v>
      </c>
      <c r="E6" s="14">
        <v>39</v>
      </c>
      <c r="F6" s="16">
        <v>1</v>
      </c>
      <c r="G6" s="17" t="s">
        <v>261</v>
      </c>
      <c r="H6" s="18">
        <v>2</v>
      </c>
    </row>
    <row r="7" ht="15.75" spans="2:8">
      <c r="B7" s="13">
        <v>2</v>
      </c>
      <c r="C7" s="14">
        <v>460012</v>
      </c>
      <c r="D7" s="15" t="s">
        <v>158</v>
      </c>
      <c r="E7" s="14">
        <v>39</v>
      </c>
      <c r="F7" s="16">
        <v>2</v>
      </c>
      <c r="G7" s="17" t="s">
        <v>262</v>
      </c>
      <c r="H7" s="18">
        <v>2</v>
      </c>
    </row>
    <row r="8" ht="15.75" spans="2:8">
      <c r="B8" s="13">
        <v>3</v>
      </c>
      <c r="C8" s="14">
        <v>460013</v>
      </c>
      <c r="D8" s="15" t="s">
        <v>263</v>
      </c>
      <c r="E8" s="14">
        <v>39</v>
      </c>
      <c r="F8" s="16">
        <v>3</v>
      </c>
      <c r="G8" s="17" t="s">
        <v>264</v>
      </c>
      <c r="H8" s="18">
        <v>2</v>
      </c>
    </row>
    <row r="9" ht="15.75" spans="2:9">
      <c r="B9" s="13">
        <v>4</v>
      </c>
      <c r="C9" s="14">
        <v>460014</v>
      </c>
      <c r="D9" s="13" t="s">
        <v>170</v>
      </c>
      <c r="E9" s="14">
        <v>39</v>
      </c>
      <c r="F9" s="16">
        <v>4</v>
      </c>
      <c r="G9" s="17" t="s">
        <v>265</v>
      </c>
      <c r="H9" s="18">
        <v>2</v>
      </c>
      <c r="I9" s="19"/>
    </row>
    <row r="10" ht="15.75" spans="2:8">
      <c r="B10" s="13">
        <v>5</v>
      </c>
      <c r="C10" s="14">
        <v>460015</v>
      </c>
      <c r="D10" s="13" t="s">
        <v>187</v>
      </c>
      <c r="E10" s="14">
        <v>39</v>
      </c>
      <c r="F10" s="16">
        <v>5</v>
      </c>
      <c r="G10" s="17" t="s">
        <v>266</v>
      </c>
      <c r="H10" s="18">
        <v>2</v>
      </c>
    </row>
    <row r="11" ht="15.75" spans="2:8">
      <c r="B11" s="13">
        <v>6</v>
      </c>
      <c r="C11" s="14">
        <v>460016</v>
      </c>
      <c r="D11" s="13" t="s">
        <v>201</v>
      </c>
      <c r="E11" s="14">
        <v>39</v>
      </c>
      <c r="F11" s="16">
        <v>6</v>
      </c>
      <c r="G11" s="17" t="s">
        <v>264</v>
      </c>
      <c r="H11" s="18">
        <v>2</v>
      </c>
    </row>
    <row r="12" ht="15.75" spans="2:8">
      <c r="B12" s="13">
        <v>7</v>
      </c>
      <c r="C12" s="14">
        <v>460017</v>
      </c>
      <c r="D12" s="13" t="s">
        <v>214</v>
      </c>
      <c r="E12" s="14">
        <v>39</v>
      </c>
      <c r="F12" s="16">
        <v>7</v>
      </c>
      <c r="G12" s="17" t="s">
        <v>265</v>
      </c>
      <c r="H12" s="18">
        <v>2</v>
      </c>
    </row>
    <row r="13" ht="15.75" spans="2:8">
      <c r="B13" s="13">
        <v>8</v>
      </c>
      <c r="C13" s="14">
        <v>460018</v>
      </c>
      <c r="D13" s="13" t="s">
        <v>267</v>
      </c>
      <c r="E13" s="14">
        <v>39</v>
      </c>
      <c r="F13" s="16">
        <v>8</v>
      </c>
      <c r="G13" s="17" t="s">
        <v>266</v>
      </c>
      <c r="H13" s="18">
        <v>2</v>
      </c>
    </row>
    <row r="14" ht="15.75" spans="2:8">
      <c r="B14" s="13">
        <v>9</v>
      </c>
      <c r="C14" s="14">
        <v>460019</v>
      </c>
      <c r="D14" s="13" t="s">
        <v>268</v>
      </c>
      <c r="E14" s="14">
        <v>39</v>
      </c>
      <c r="F14" s="16">
        <v>9</v>
      </c>
      <c r="G14" s="17" t="s">
        <v>264</v>
      </c>
      <c r="H14" s="18">
        <v>2</v>
      </c>
    </row>
    <row r="15" ht="15.75" spans="2:8">
      <c r="B15" s="13">
        <v>10</v>
      </c>
      <c r="C15" s="14">
        <v>460020</v>
      </c>
      <c r="D15" s="13" t="s">
        <v>269</v>
      </c>
      <c r="E15" s="14">
        <v>39</v>
      </c>
      <c r="F15" s="16">
        <v>10</v>
      </c>
      <c r="G15" s="17" t="s">
        <v>270</v>
      </c>
      <c r="H15" s="18">
        <v>2</v>
      </c>
    </row>
    <row r="16" ht="15.75" spans="2:8">
      <c r="B16" s="13">
        <v>11</v>
      </c>
      <c r="C16" s="14">
        <v>460021</v>
      </c>
      <c r="D16" s="13" t="s">
        <v>271</v>
      </c>
      <c r="E16" s="14">
        <v>39</v>
      </c>
      <c r="F16" s="16">
        <v>11</v>
      </c>
      <c r="G16" s="17" t="s">
        <v>272</v>
      </c>
      <c r="H16" s="18">
        <v>2</v>
      </c>
    </row>
  </sheetData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3" sqref="D3"/>
    </sheetView>
  </sheetViews>
  <sheetFormatPr defaultColWidth="13.4416666666667" defaultRowHeight="14.25" outlineLevelCol="3"/>
  <cols>
    <col min="2" max="2" width="38.1083333333333" customWidth="1"/>
    <col min="3" max="3" width="18.8833333333333" customWidth="1"/>
    <col min="4" max="4" width="18.4416666666667" customWidth="1"/>
  </cols>
  <sheetData>
    <row r="1" spans="1:4">
      <c r="A1" t="s">
        <v>0</v>
      </c>
      <c r="B1" t="s">
        <v>273</v>
      </c>
      <c r="C1" t="s">
        <v>274</v>
      </c>
      <c r="D1" t="s">
        <v>29</v>
      </c>
    </row>
    <row r="2" spans="1:4">
      <c r="A2" t="s">
        <v>3</v>
      </c>
      <c r="B2" s="3" t="s">
        <v>5</v>
      </c>
      <c r="C2" s="3" t="s">
        <v>275</v>
      </c>
      <c r="D2" s="3" t="s">
        <v>22</v>
      </c>
    </row>
    <row r="3" spans="1:4">
      <c r="A3" t="s">
        <v>6</v>
      </c>
      <c r="B3" s="3" t="s">
        <v>7</v>
      </c>
      <c r="C3" s="3" t="s">
        <v>7</v>
      </c>
      <c r="D3" s="3" t="s">
        <v>36</v>
      </c>
    </row>
    <row r="4" spans="1:4">
      <c r="A4" t="s">
        <v>9</v>
      </c>
      <c r="B4" s="2" t="s">
        <v>10</v>
      </c>
      <c r="C4" s="2" t="s">
        <v>10</v>
      </c>
      <c r="D4" s="2" t="s">
        <v>10</v>
      </c>
    </row>
    <row r="5" spans="1:4">
      <c r="A5" t="s">
        <v>11</v>
      </c>
      <c r="B5" s="3" t="s">
        <v>276</v>
      </c>
      <c r="C5" s="3">
        <v>0</v>
      </c>
      <c r="D5" s="3" t="s">
        <v>238</v>
      </c>
    </row>
    <row r="6" ht="15.75" spans="2:4">
      <c r="B6" s="5">
        <v>1</v>
      </c>
      <c r="C6" s="7">
        <v>2</v>
      </c>
      <c r="D6" s="6" t="s">
        <v>240</v>
      </c>
    </row>
    <row r="7" ht="15.75" spans="2:4">
      <c r="B7" s="5">
        <v>2</v>
      </c>
      <c r="C7" s="7">
        <v>4</v>
      </c>
      <c r="D7" s="6" t="s">
        <v>277</v>
      </c>
    </row>
    <row r="8" ht="15.75" spans="2:4">
      <c r="B8" s="5">
        <v>3</v>
      </c>
      <c r="C8" s="7">
        <v>6</v>
      </c>
      <c r="D8" s="6" t="s">
        <v>265</v>
      </c>
    </row>
    <row r="9" ht="15.75" spans="2:4">
      <c r="B9" s="5">
        <v>4</v>
      </c>
      <c r="C9" s="7">
        <v>8</v>
      </c>
      <c r="D9" s="6" t="s">
        <v>278</v>
      </c>
    </row>
    <row r="10" ht="15.75" spans="2:4">
      <c r="B10" s="5">
        <v>5</v>
      </c>
      <c r="C10" s="7">
        <v>10</v>
      </c>
      <c r="D10" s="6" t="s">
        <v>279</v>
      </c>
    </row>
    <row r="11" ht="15.75" spans="2:4">
      <c r="B11" s="5">
        <v>6</v>
      </c>
      <c r="C11" s="7">
        <v>12</v>
      </c>
      <c r="D11" s="6" t="s">
        <v>280</v>
      </c>
    </row>
    <row r="12" ht="15.75" spans="2:4">
      <c r="B12" s="5">
        <v>7</v>
      </c>
      <c r="C12" s="7">
        <v>14</v>
      </c>
      <c r="D12" s="6" t="s">
        <v>281</v>
      </c>
    </row>
  </sheetData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3" sqref="D3"/>
    </sheetView>
  </sheetViews>
  <sheetFormatPr defaultColWidth="13.4416666666667" defaultRowHeight="14.25" outlineLevelCol="3"/>
  <cols>
    <col min="2" max="2" width="23.2166666666667" customWidth="1"/>
    <col min="3" max="3" width="18.8833333333333" customWidth="1"/>
    <col min="4" max="4" width="18.4416666666667" customWidth="1"/>
  </cols>
  <sheetData>
    <row r="1" spans="1:4">
      <c r="A1" t="s">
        <v>0</v>
      </c>
      <c r="B1" t="s">
        <v>282</v>
      </c>
      <c r="C1" t="s">
        <v>283</v>
      </c>
      <c r="D1" t="s">
        <v>29</v>
      </c>
    </row>
    <row r="2" spans="1:4">
      <c r="A2" t="s">
        <v>3</v>
      </c>
      <c r="B2" s="3" t="s">
        <v>284</v>
      </c>
      <c r="C2" s="3" t="s">
        <v>285</v>
      </c>
      <c r="D2" s="3" t="s">
        <v>22</v>
      </c>
    </row>
    <row r="3" spans="1:4">
      <c r="A3" t="s">
        <v>6</v>
      </c>
      <c r="B3" s="3" t="s">
        <v>7</v>
      </c>
      <c r="C3" s="3" t="s">
        <v>7</v>
      </c>
      <c r="D3" s="3" t="s">
        <v>36</v>
      </c>
    </row>
    <row r="4" spans="1:4">
      <c r="A4" t="s">
        <v>9</v>
      </c>
      <c r="B4" s="2" t="s">
        <v>10</v>
      </c>
      <c r="C4" s="2" t="s">
        <v>10</v>
      </c>
      <c r="D4" s="2" t="s">
        <v>10</v>
      </c>
    </row>
    <row r="5" spans="1:4">
      <c r="A5" t="s">
        <v>11</v>
      </c>
      <c r="B5" s="4" t="s">
        <v>286</v>
      </c>
      <c r="C5" s="4">
        <v>0</v>
      </c>
      <c r="D5" s="3" t="s">
        <v>238</v>
      </c>
    </row>
    <row r="6" spans="2:4">
      <c r="B6">
        <v>1</v>
      </c>
      <c r="C6" s="5">
        <v>300</v>
      </c>
      <c r="D6" s="6" t="s">
        <v>287</v>
      </c>
    </row>
    <row r="7" spans="2:4">
      <c r="B7">
        <v>2</v>
      </c>
      <c r="C7" s="5">
        <v>600</v>
      </c>
      <c r="D7" s="6" t="s">
        <v>242</v>
      </c>
    </row>
    <row r="8" spans="2:4">
      <c r="B8">
        <v>3</v>
      </c>
      <c r="C8" s="5">
        <v>900</v>
      </c>
      <c r="D8" s="6" t="s">
        <v>288</v>
      </c>
    </row>
    <row r="9" spans="2:4">
      <c r="B9">
        <v>4</v>
      </c>
      <c r="C9" s="5">
        <v>1200</v>
      </c>
      <c r="D9" s="6" t="s">
        <v>289</v>
      </c>
    </row>
    <row r="10" spans="2:4">
      <c r="B10">
        <v>5</v>
      </c>
      <c r="C10" s="5">
        <v>1500</v>
      </c>
      <c r="D10" s="6" t="s">
        <v>290</v>
      </c>
    </row>
    <row r="11" spans="2:4">
      <c r="B11">
        <v>6</v>
      </c>
      <c r="C11" s="5">
        <v>2100</v>
      </c>
      <c r="D11" s="6" t="s">
        <v>291</v>
      </c>
    </row>
    <row r="12" spans="2:4">
      <c r="B12">
        <v>7</v>
      </c>
      <c r="C12" s="5">
        <v>2700</v>
      </c>
      <c r="D12" s="6" t="s">
        <v>289</v>
      </c>
    </row>
    <row r="13" spans="2:4">
      <c r="B13">
        <v>8</v>
      </c>
      <c r="C13" s="5">
        <v>3600</v>
      </c>
      <c r="D13" s="6" t="s">
        <v>292</v>
      </c>
    </row>
  </sheetData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8"/>
  <sheetViews>
    <sheetView workbookViewId="0">
      <selection activeCell="P23" sqref="P23"/>
    </sheetView>
  </sheetViews>
  <sheetFormatPr defaultColWidth="9" defaultRowHeight="14.25" outlineLevelRow="7" outlineLevelCol="2"/>
  <cols>
    <col min="3" max="3" width="25.5583333333333" customWidth="1"/>
  </cols>
  <sheetData>
    <row r="1" spans="2:3">
      <c r="B1" s="1" t="s">
        <v>1</v>
      </c>
      <c r="C1" s="1" t="s">
        <v>29</v>
      </c>
    </row>
    <row r="2" spans="2:3">
      <c r="B2" s="2" t="s">
        <v>5</v>
      </c>
      <c r="C2" s="2" t="s">
        <v>22</v>
      </c>
    </row>
    <row r="3" spans="2:3">
      <c r="B3" s="2" t="s">
        <v>7</v>
      </c>
      <c r="C3" s="3" t="s">
        <v>36</v>
      </c>
    </row>
    <row r="4" spans="2:3">
      <c r="B4" s="2" t="s">
        <v>10</v>
      </c>
      <c r="C4" s="2" t="s">
        <v>10</v>
      </c>
    </row>
    <row r="5" spans="2:3">
      <c r="B5" s="3"/>
      <c r="C5" s="3"/>
    </row>
    <row r="6" spans="2:3">
      <c r="B6">
        <v>1</v>
      </c>
      <c r="C6" s="1" t="s">
        <v>293</v>
      </c>
    </row>
    <row r="7" spans="2:3">
      <c r="B7">
        <v>2</v>
      </c>
      <c r="C7" s="1" t="s">
        <v>294</v>
      </c>
    </row>
    <row r="8" spans="2:3">
      <c r="B8">
        <v>3</v>
      </c>
      <c r="C8" s="1" t="s">
        <v>295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novice_task</vt:lpstr>
      <vt:lpstr>novice_loading</vt:lpstr>
      <vt:lpstr>sev_day_new</vt:lpstr>
      <vt:lpstr>novice_welfare</vt:lpstr>
      <vt:lpstr>sev_day</vt:lpstr>
      <vt:lpstr>exclusive_tasks</vt:lpstr>
      <vt:lpstr>matches_rewards</vt:lpstr>
      <vt:lpstr>rookie_welfare</vt:lpstr>
      <vt:lpstr>gem_fund</vt:lpstr>
      <vt:lpstr>novice_gift</vt:lpstr>
      <vt:lpstr>sev_grade</vt:lpstr>
      <vt:lpstr>novice_lv_reward</vt:lpstr>
      <vt:lpstr>online_time</vt:lpstr>
      <vt:lpstr>novice_gift2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llllei。</cp:lastModifiedBy>
  <dcterms:created xsi:type="dcterms:W3CDTF">2015-06-05T18:19:00Z</dcterms:created>
  <dcterms:modified xsi:type="dcterms:W3CDTF">2025-07-22T03:39:36Z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CF95E119E3C24653A73D1811A869E1BC_12</vt:lpwstr>
  </property>
  <property fmtid="{D5CDD505-2E9C-101B-9397-08002B2CF9AE}" pid="3" name="KSOProductBuildVer">
    <vt:lpwstr>2052-12.1.0.21915</vt:lpwstr>
  </property>
</Properties>
</file>