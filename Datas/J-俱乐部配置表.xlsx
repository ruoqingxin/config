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 tabRatio="883" activeTab="8"/>
  </bookViews>
  <sheets>
    <sheet name="club_level" sheetId="1" r:id="rId1"/>
    <sheet name="club_cue" sheetId="2" r:id="rId2"/>
    <sheet name="club_shop" sheetId="4" r:id="rId3"/>
    <sheet name="club_task" sheetId="6" r:id="rId4"/>
    <sheet name="club_task_limit" sheetId="7" r:id="rId5"/>
    <sheet name="club_task_reward" sheetId="5" r:id="rId6"/>
    <sheet name="club_position" sheetId="8" r:id="rId7"/>
    <sheet name="club_earn" sheetId="9" r:id="rId8"/>
    <sheet name="club_recharge_reward" sheetId="11" r:id="rId9"/>
    <sheet name="club_head" sheetId="12" r:id="rId10"/>
    <sheet name="club_news" sheetId="13" r:id="rId11"/>
    <sheet name="club_rank" sheetId="14" r:id="rId12"/>
    <sheet name="match_rule" sheetId="15" r:id="rId13"/>
    <sheet name="how_join" sheetId="16" r:id="rId14"/>
    <sheet name="match_reward_show" sheetId="17" r:id="rId15"/>
    <sheet name="match_reward_person" sheetId="18" r:id="rId16"/>
    <sheet name="match_reward_player" sheetId="19" r:id="rId17"/>
    <sheet name="schedule" sheetId="20" r:id="rId18"/>
    <sheet name="club_grade_rankroom" sheetId="21" r:id="rId19"/>
    <sheet name="club_grade_ScoreReward" sheetId="22" r:id="rId20"/>
    <sheet name="club_grade_HighReward" sheetId="23" r:id="rId21"/>
    <sheet name="club_grade_RankDefinition" sheetId="24" r:id="rId2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zhouzhen</author>
  </authors>
  <commentList>
    <comment ref="C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达到这个值，可提升到下一级</t>
        </r>
      </text>
    </comment>
    <comment ref="D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每天衰减的活跃值数量</t>
        </r>
      </text>
    </comment>
    <comment ref="H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品质上限,星级上限
品质：2，C
      3，B
      4，A
      5，S
      6，SS
      7，SSS</t>
        </r>
      </text>
    </comment>
  </commentList>
</comments>
</file>

<file path=xl/comments2.xml><?xml version="1.0" encoding="utf-8"?>
<comments xmlns="http://schemas.openxmlformats.org/spreadsheetml/2006/main">
  <authors>
    <author>zhouzhen</author>
  </authors>
  <commentLis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[[时长，价格],[时长，价格],[时长，价格]]
单位：小时</t>
        </r>
      </text>
    </commen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[[item_id,数量],[item_id,数量]]</t>
        </r>
      </text>
    </comment>
  </commentList>
</comments>
</file>

<file path=xl/comments3.xml><?xml version="1.0" encoding="utf-8"?>
<comments xmlns="http://schemas.openxmlformats.org/spreadsheetml/2006/main">
  <authors>
    <author>zhouzhen</author>
  </authors>
  <commentList>
    <comment ref="C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对应item表中的id</t>
        </r>
      </text>
    </commen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俱乐部等级</t>
        </r>
      </text>
    </comment>
    <comment ref="F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次数：一期内可购买的个数，刷新后重置次数</t>
        </r>
      </text>
    </comment>
  </commentList>
</comments>
</file>

<file path=xl/comments4.xml><?xml version="1.0" encoding="utf-8"?>
<comments xmlns="http://schemas.openxmlformats.org/spreadsheetml/2006/main">
  <authors>
    <author>zhouzhen</author>
  </authors>
  <commentLis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1、参与对局
2、打卡
3、充值消费
4、赞助</t>
        </r>
      </text>
    </commen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1、对应room_id
2、对应职位表id
3、充值&amp;消耗的物品id
4、赞助的物品id</t>
        </r>
      </text>
    </comment>
  </commentList>
</comments>
</file>

<file path=xl/comments5.xml><?xml version="1.0" encoding="utf-8"?>
<comments xmlns="http://schemas.openxmlformats.org/spreadsheetml/2006/main">
  <authors>
    <author>zhouzhen</author>
  </authors>
  <commentList>
    <comment ref="G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任务可获得的活跃值上限
1、每周最高上限
2、每天上限
3、每周最高上限
4、每天上限</t>
        </r>
      </text>
    </comment>
  </commentList>
</comments>
</file>

<file path=xl/comments6.xml><?xml version="1.0" encoding="utf-8"?>
<comments xmlns="http://schemas.openxmlformats.org/spreadsheetml/2006/main">
  <authors>
    <author>zhouzhen</author>
  </authors>
  <commentList>
    <comment ref="C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item_id，对应的icon</t>
        </r>
      </text>
    </commen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0：个人活跃宝箱
1：俱乐部活跃宝箱</t>
        </r>
      </text>
    </commen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达到活跃点解锁</t>
        </r>
      </text>
    </comment>
  </commentList>
</comments>
</file>

<file path=xl/comments7.xml><?xml version="1.0" encoding="utf-8"?>
<comments xmlns="http://schemas.openxmlformats.org/spreadsheetml/2006/main">
  <authors>
    <author>zhouzhen</author>
    <author>Aki</author>
  </authors>
  <commentList>
    <comment ref="L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0:无要求
其他数字：周活跃值需求</t>
        </r>
      </text>
    </comment>
    <comment ref="M2" authorId="1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1：可以发送
0：不可以发送</t>
        </r>
      </text>
    </comment>
  </commentList>
</comments>
</file>

<file path=xl/comments8.xml><?xml version="1.0" encoding="utf-8"?>
<comments xmlns="http://schemas.openxmlformats.org/spreadsheetml/2006/main">
  <authors>
    <author>zhouzhen</author>
  </authors>
  <commentList>
    <comment ref="E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对应比赛选场配置表中的room_id</t>
        </r>
      </text>
    </comment>
    <comment ref="F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俱乐部成员每参与1次对局，增加的基金额</t>
        </r>
      </text>
    </commen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1、8球对局
2、斯洛克对局</t>
        </r>
      </text>
    </comment>
  </commentList>
</comments>
</file>

<file path=xl/comments9.xml><?xml version="1.0" encoding="utf-8"?>
<comments xmlns="http://schemas.openxmlformats.org/spreadsheetml/2006/main">
  <authors>
    <author>zhouzhen</author>
  </authors>
  <commentList>
    <comment ref="F1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单个红包的份数</t>
        </r>
      </text>
    </commen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从当前档到下一档之间的区间，最后一档代表到无穷大</t>
        </r>
      </text>
    </comment>
  </commentList>
</comments>
</file>

<file path=xl/comments10.xml><?xml version="1.0" encoding="utf-8"?>
<comments xmlns="http://schemas.openxmlformats.org/spreadsheetml/2006/main">
  <authors>
    <author>zhouzhen</author>
  </authors>
  <commentList>
    <comment ref="C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0：正向消息
1：负向消息</t>
        </r>
      </text>
    </comment>
  </commentList>
</comments>
</file>

<file path=xl/comments11.xml><?xml version="1.0" encoding="utf-8"?>
<comments xmlns="http://schemas.openxmlformats.org/spreadsheetml/2006/main">
  <authors>
    <author>zhouzhen</author>
  </authors>
  <commentList>
    <comment ref="C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大于等于</t>
        </r>
      </text>
    </comment>
    <comment ref="D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小于等于</t>
        </r>
      </text>
    </comment>
    <comment ref="E2" authorId="0">
      <text>
        <r>
          <rPr>
            <b/>
            <sz val="9"/>
            <rFont val="宋体"/>
            <charset val="134"/>
          </rPr>
          <t>zhouzhen:</t>
        </r>
        <r>
          <rPr>
            <sz val="9"/>
            <rFont val="宋体"/>
            <charset val="134"/>
          </rPr>
          <t xml:space="preserve">
奖励组id</t>
        </r>
      </text>
    </comment>
  </commentList>
</comments>
</file>

<file path=xl/comments12.xml><?xml version="1.0" encoding="utf-8"?>
<comments xmlns="http://schemas.openxmlformats.org/spreadsheetml/2006/main">
  <authors>
    <author>Aki</author>
  </authors>
  <commentList>
    <comment ref="B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1、冠军
2、亚军
3、四强
4、八强</t>
        </r>
      </text>
    </comment>
    <comment ref="C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[物品id,数量],[物品id，数量],[物品id，熟练]…</t>
        </r>
      </text>
    </comment>
  </commentList>
</comments>
</file>

<file path=xl/comments13.xml><?xml version="1.0" encoding="utf-8"?>
<comments xmlns="http://schemas.openxmlformats.org/spreadsheetml/2006/main">
  <authors>
    <author>Aki</author>
  </authors>
  <commentList>
    <comment ref="B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1、冠军
2、亚军
3、四强
4、八强</t>
        </r>
      </text>
    </comment>
    <comment ref="C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奖励组id</t>
        </r>
      </text>
    </comment>
  </commentList>
</comments>
</file>

<file path=xl/comments14.xml><?xml version="1.0" encoding="utf-8"?>
<comments xmlns="http://schemas.openxmlformats.org/spreadsheetml/2006/main">
  <authors>
    <author>Aki</author>
  </authors>
  <commentList>
    <comment ref="B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1、冠军
2、亚军
3、四强
4、八强</t>
        </r>
      </text>
    </comment>
  </commentList>
</comments>
</file>

<file path=xl/comments15.xml><?xml version="1.0" encoding="utf-8"?>
<comments xmlns="http://schemas.openxmlformats.org/spreadsheetml/2006/main">
  <authors>
    <author>Aki</author>
  </authors>
  <commentList>
    <comment ref="D2" authorId="0">
      <text>
        <r>
          <rPr>
            <b/>
            <sz val="9"/>
            <rFont val="等线"/>
            <scheme val="minor"/>
            <charset val="0"/>
          </rPr>
          <t>胜利、失败加分
不计逃跑</t>
        </r>
      </text>
    </comment>
    <comment ref="F2" authorId="0">
      <text>
        <r>
          <rPr>
            <b/>
            <sz val="9"/>
            <rFont val="宋体"/>
            <charset val="134"/>
          </rPr>
          <t>1.8球
2.斯诺克
3.疯狂血流</t>
        </r>
      </text>
    </comment>
  </commentList>
</comments>
</file>

<file path=xl/comments16.xml><?xml version="1.0" encoding="utf-8"?>
<comments xmlns="http://schemas.openxmlformats.org/spreadsheetml/2006/main">
  <authors>
    <author>Aki</author>
  </authors>
  <commentList>
    <comment ref="D2" authorId="0">
      <text>
        <r>
          <rPr>
            <b/>
            <sz val="9"/>
            <rFont val="等线"/>
            <scheme val="minor"/>
            <charset val="0"/>
          </rPr>
          <t xml:space="preserve">胜利、失败加分
不计逃跑
E级不设保级分值，无法下降
</t>
        </r>
      </text>
    </comment>
    <comment ref="E2" authorId="0">
      <text>
        <r>
          <rPr>
            <b/>
            <sz val="9"/>
            <rFont val="等线"/>
            <scheme val="minor"/>
            <charset val="0"/>
          </rPr>
          <t>A级不设晋级分值
A前三晋级S
S前三晋级S+
S最后三名降至A</t>
        </r>
      </text>
    </comment>
  </commentList>
</comments>
</file>

<file path=xl/comments17.xml><?xml version="1.0" encoding="utf-8"?>
<comments xmlns="http://schemas.openxmlformats.org/spreadsheetml/2006/main">
  <authors>
    <author>Aki</author>
  </authors>
  <commentList>
    <comment ref="C2" authorId="0">
      <text>
        <r>
          <rPr>
            <sz val="9"/>
            <rFont val="等线"/>
            <scheme val="minor"/>
            <charset val="0"/>
          </rPr>
          <t>对应ScoreReward的索引</t>
        </r>
      </text>
    </comment>
    <comment ref="E2" authorId="0">
      <text>
        <r>
          <rPr>
            <b/>
            <sz val="9"/>
            <rFont val="等线"/>
            <scheme val="minor"/>
            <charset val="0"/>
          </rPr>
          <t>排名最大名次
小于等于</t>
        </r>
      </text>
    </comment>
    <comment ref="F2" authorId="0">
      <text>
        <r>
          <rPr>
            <b/>
            <sz val="9"/>
            <rFont val="等线"/>
            <scheme val="minor"/>
            <charset val="0"/>
          </rPr>
          <t>排名最小名次
大于等于</t>
        </r>
      </text>
    </comment>
    <comment ref="G2" authorId="0">
      <text>
        <r>
          <rPr>
            <b/>
            <sz val="9"/>
            <rFont val="等线"/>
            <scheme val="minor"/>
            <charset val="0"/>
          </rPr>
          <t xml:space="preserve">[道具id，数量]
</t>
        </r>
      </text>
    </comment>
  </commentList>
</comments>
</file>

<file path=xl/comments18.xml><?xml version="1.0" encoding="utf-8"?>
<comments xmlns="http://schemas.openxmlformats.org/spreadsheetml/2006/main">
  <authors>
    <author>Aki</author>
  </authors>
  <commentList>
    <comment ref="C2" authorId="0">
      <text>
        <r>
          <rPr>
            <sz val="9"/>
            <rFont val="等线"/>
            <scheme val="minor"/>
            <charset val="0"/>
          </rPr>
          <t>对应ScoreReward的索引</t>
        </r>
      </text>
    </comment>
    <comment ref="E2" authorId="0">
      <text>
        <r>
          <rPr>
            <b/>
            <sz val="9"/>
            <rFont val="等线"/>
            <scheme val="minor"/>
            <charset val="0"/>
          </rPr>
          <t>排名最大名次
小于等于
上域、下域为0时范围为全体排行榜</t>
        </r>
      </text>
    </comment>
    <comment ref="F2" authorId="0">
      <text>
        <r>
          <rPr>
            <b/>
            <sz val="9"/>
            <rFont val="等线"/>
            <scheme val="minor"/>
            <charset val="0"/>
          </rPr>
          <t>排名最小名次
大于等于</t>
        </r>
      </text>
    </comment>
    <comment ref="G2" authorId="0">
      <text>
        <r>
          <rPr>
            <b/>
            <sz val="9"/>
            <rFont val="等线"/>
            <scheme val="minor"/>
            <charset val="0"/>
          </rPr>
          <t xml:space="preserve">[道具id，数量]
</t>
        </r>
      </text>
    </comment>
  </commentList>
</comments>
</file>

<file path=xl/sharedStrings.xml><?xml version="1.0" encoding="utf-8"?>
<sst xmlns="http://schemas.openxmlformats.org/spreadsheetml/2006/main" count="1024" uniqueCount="499">
  <si>
    <t>##comment</t>
  </si>
  <si>
    <t>俱乐部等级</t>
  </si>
  <si>
    <t>升级所需活跃值</t>
  </si>
  <si>
    <t>活跃值衰减</t>
  </si>
  <si>
    <t>俱乐部成员上限</t>
  </si>
  <si>
    <t>副部长职位上限</t>
  </si>
  <si>
    <t>精英职位上限</t>
  </si>
  <si>
    <t>专属球杆属性上限</t>
  </si>
  <si>
    <t>##var</t>
  </si>
  <si>
    <t>id</t>
  </si>
  <si>
    <t>level_up</t>
  </si>
  <si>
    <t>reduce</t>
  </si>
  <si>
    <t>member_limit</t>
  </si>
  <si>
    <t>secretary_limit</t>
  </si>
  <si>
    <t>elite_limit</t>
  </si>
  <si>
    <t>cue_limit</t>
  </si>
  <si>
    <t>##type</t>
  </si>
  <si>
    <t>int32</t>
  </si>
  <si>
    <t>string</t>
  </si>
  <si>
    <t>##group</t>
  </si>
  <si>
    <t>c,s</t>
  </si>
  <si>
    <t>##</t>
  </si>
  <si>
    <t>俱乐部等级表</t>
  </si>
  <si>
    <t>5,0</t>
  </si>
  <si>
    <t>5,1</t>
  </si>
  <si>
    <t>5,2</t>
  </si>
  <si>
    <t>5,3</t>
  </si>
  <si>
    <t>5,4</t>
  </si>
  <si>
    <t xml:space="preserve">    </t>
  </si>
  <si>
    <t>5,5</t>
  </si>
  <si>
    <t>6,0</t>
  </si>
  <si>
    <t>6,1</t>
  </si>
  <si>
    <t>6,2</t>
  </si>
  <si>
    <t>6,3</t>
  </si>
  <si>
    <t>6,4</t>
  </si>
  <si>
    <t>6,5</t>
  </si>
  <si>
    <t>7,0</t>
  </si>
  <si>
    <t>7,1</t>
  </si>
  <si>
    <t>7,2</t>
  </si>
  <si>
    <t>7,3</t>
  </si>
  <si>
    <t>7,4</t>
  </si>
  <si>
    <t>7,5</t>
  </si>
  <si>
    <t>球杆品质</t>
  </si>
  <si>
    <t>球杆星级</t>
  </si>
  <si>
    <t>租借价格</t>
  </si>
  <si>
    <t>升级消耗</t>
  </si>
  <si>
    <t>quality</t>
  </si>
  <si>
    <t>star</t>
  </si>
  <si>
    <t>price</t>
  </si>
  <si>
    <t>expend</t>
  </si>
  <si>
    <t>(list#sep=;),(list#sep=,),int</t>
  </si>
  <si>
    <t>s</t>
  </si>
  <si>
    <t>[[]]</t>
  </si>
  <si>
    <t>俱乐部专属球杆表</t>
  </si>
  <si>
    <t>1,2000;6,8000;12,12000</t>
  </si>
  <si>
    <t>[[1,10],[2,10]]</t>
  </si>
  <si>
    <t>[[1,10],[2,11]]</t>
  </si>
  <si>
    <t>[[1,10],[2,12]]</t>
  </si>
  <si>
    <t>[[1,10],[2,13]]</t>
  </si>
  <si>
    <t>[[1,10],[2,14]]</t>
  </si>
  <si>
    <t>[[1,10],[2,15]]</t>
  </si>
  <si>
    <t>[[1,10],[2,16]]</t>
  </si>
  <si>
    <t>[[1,10],[2,17]]</t>
  </si>
  <si>
    <t>[[1,10],[2,18]]</t>
  </si>
  <si>
    <t>[[1,10],[2,19]]</t>
  </si>
  <si>
    <t>[[1,10],[2,20]]</t>
  </si>
  <si>
    <t>[[1,10],[2,21]]</t>
  </si>
  <si>
    <t>[[1,10],[2,22]]</t>
  </si>
  <si>
    <t>[[1,10],[2,23]]</t>
  </si>
  <si>
    <t>[[1,10],[2,24]]</t>
  </si>
  <si>
    <t>[[1,10],[2,25]]</t>
  </si>
  <si>
    <t>[[1,10],[2,26]]</t>
  </si>
  <si>
    <t>[[1,10],[2,27]]</t>
  </si>
  <si>
    <t>24,1000;72,2500</t>
  </si>
  <si>
    <t>[[2,20000]]</t>
  </si>
  <si>
    <t>[[2,30000]]</t>
  </si>
  <si>
    <t>[[2,40000]]</t>
  </si>
  <si>
    <t>[[2,50000]]</t>
  </si>
  <si>
    <t>[[2,60000]]</t>
  </si>
  <si>
    <t>[[1,100]]</t>
  </si>
  <si>
    <t>[[2,80000]]</t>
  </si>
  <si>
    <t>[[2,90000]]</t>
  </si>
  <si>
    <t>[[2,100000]]</t>
  </si>
  <si>
    <t>[[2,110000]]</t>
  </si>
  <si>
    <t>[[2,120000]]</t>
  </si>
  <si>
    <t>[[1,200]]</t>
  </si>
  <si>
    <t>[[2,140000]]</t>
  </si>
  <si>
    <t>[[2,150000]]</t>
  </si>
  <si>
    <t>[[2,160000]]</t>
  </si>
  <si>
    <t>[[2,170000]]</t>
  </si>
  <si>
    <t>[[2,180000]]</t>
  </si>
  <si>
    <t>[[2,190000]]</t>
  </si>
  <si>
    <t>俱乐部商店商品序号</t>
  </si>
  <si>
    <t>商品id</t>
  </si>
  <si>
    <t>商品解锁等级</t>
  </si>
  <si>
    <t>商品解锁累计活跃</t>
  </si>
  <si>
    <t>周期限购数量</t>
  </si>
  <si>
    <t>商品价格</t>
  </si>
  <si>
    <t>item_id</t>
  </si>
  <si>
    <t>level_limit</t>
  </si>
  <si>
    <t>active_limit</t>
  </si>
  <si>
    <t>limit_number</t>
  </si>
  <si>
    <t>俱乐部商店表</t>
  </si>
  <si>
    <t>任务序号</t>
  </si>
  <si>
    <t>任务说明</t>
  </si>
  <si>
    <t>任务类型</t>
  </si>
  <si>
    <t>解释字段</t>
  </si>
  <si>
    <t>次数</t>
  </si>
  <si>
    <t>任务获得活跃值</t>
  </si>
  <si>
    <t>type_task</t>
  </si>
  <si>
    <t>explain</t>
  </si>
  <si>
    <t>num</t>
  </si>
  <si>
    <t>point_get</t>
  </si>
  <si>
    <t>任务类型说明表</t>
  </si>
  <si>
    <t>进行1局免费厅8求对局</t>
  </si>
  <si>
    <t>8球新手厅</t>
  </si>
  <si>
    <t>8球初级厅</t>
  </si>
  <si>
    <t>8球中级厅</t>
  </si>
  <si>
    <t>8球高级厅</t>
  </si>
  <si>
    <t>8球大师厅</t>
  </si>
  <si>
    <t>高级厅净胜球模式</t>
  </si>
  <si>
    <t>8球职业厅</t>
  </si>
  <si>
    <t>大师厅净胜球模式</t>
  </si>
  <si>
    <t>进行1局中级场血流对局</t>
  </si>
  <si>
    <t>进行1局高级场血流对局</t>
  </si>
  <si>
    <t>进行1局大师场血流对局</t>
  </si>
  <si>
    <t>进行1局斯诺克中级厅</t>
  </si>
  <si>
    <t>进行1局斯诺克高级厅</t>
  </si>
  <si>
    <t>进行1局疯狂血流初级</t>
  </si>
  <si>
    <t>进行1局疯狂血流中级</t>
  </si>
  <si>
    <t>进行1局疯狂血流高级</t>
  </si>
  <si>
    <t>进行1局疯狂血流大师级</t>
  </si>
  <si>
    <t>进行1次2V2组队对局</t>
  </si>
  <si>
    <t>进行1局职业厅8球对局</t>
  </si>
  <si>
    <t>进行1局allin厅8球对局</t>
  </si>
  <si>
    <t>斯诺克职业厅</t>
  </si>
  <si>
    <t>欢乐血流初级厅</t>
  </si>
  <si>
    <t>欢乐血流中级厅</t>
  </si>
  <si>
    <t>欢乐血流高级厅</t>
  </si>
  <si>
    <t>部长打卡</t>
  </si>
  <si>
    <t>副部长打卡</t>
  </si>
  <si>
    <t>精英打卡</t>
  </si>
  <si>
    <t>普通成员打卡</t>
  </si>
  <si>
    <t>充值&amp;消耗1钻石</t>
  </si>
  <si>
    <t>赞助10钻石</t>
  </si>
  <si>
    <t>任务说明语言包id</t>
  </si>
  <si>
    <t>中文参考</t>
  </si>
  <si>
    <t>任务标题语言包id</t>
  </si>
  <si>
    <t>活跃值上限</t>
  </si>
  <si>
    <t>name_task</t>
  </si>
  <si>
    <t>name_title</t>
  </si>
  <si>
    <t>point_limit</t>
  </si>
  <si>
    <t>任务活跃值限制配置表</t>
  </si>
  <si>
    <t>参与对局场次越多，获得活跃值越多。</t>
  </si>
  <si>
    <t>参与对局</t>
  </si>
  <si>
    <t>职位越高，打卡获得的活跃值越多。</t>
  </si>
  <si>
    <t>每日打卡</t>
  </si>
  <si>
    <t>每充值 / 消费1钻石,可获得1点活跃值。</t>
  </si>
  <si>
    <t>消费任务</t>
  </si>
  <si>
    <t>每赞助10钻石，可获得200点活跃值。</t>
  </si>
  <si>
    <t>赞助资金</t>
  </si>
  <si>
    <t>任务奖励序号</t>
  </si>
  <si>
    <t>宝箱icon</t>
  </si>
  <si>
    <t>宝箱类型</t>
  </si>
  <si>
    <t>活跃值</t>
  </si>
  <si>
    <t>奖励id</t>
  </si>
  <si>
    <t>宝箱名称id</t>
  </si>
  <si>
    <t>宝箱详情id</t>
  </si>
  <si>
    <t>icon</t>
  </si>
  <si>
    <t>type</t>
  </si>
  <si>
    <t>point</t>
  </si>
  <si>
    <t>reward</t>
  </si>
  <si>
    <t>name</t>
  </si>
  <si>
    <t>name_detail</t>
  </si>
  <si>
    <t>(list#sep=|),reward1</t>
  </si>
  <si>
    <t>icon_1</t>
  </si>
  <si>
    <t>俱乐部任务奖励表</t>
  </si>
  <si>
    <t>2,100</t>
  </si>
  <si>
    <t>金币 x1000</t>
  </si>
  <si>
    <t>个人周活跃值达到&lt;color=#fff442&gt;400&lt;/color&gt;可领取&lt;color=#fff442&gt;金币 x1000&lt;/color&gt;。</t>
  </si>
  <si>
    <t>2,200</t>
  </si>
  <si>
    <t>升星木 x1</t>
  </si>
  <si>
    <t>个人周活跃值达到&lt;color=#fff442&gt;800&lt;/color&gt;可领取&lt;color=#fff442&gt;升星木 x1&lt;/color&gt;。</t>
  </si>
  <si>
    <t>2,300</t>
  </si>
  <si>
    <t>强化币 x5</t>
  </si>
  <si>
    <t>个人周活跃值达到&lt;color=#fff442&gt;1200&lt;/color&gt;可领取&lt;color=#fff442&gt;强化币 x5&lt;/color&gt;。</t>
  </si>
  <si>
    <t>2,400</t>
  </si>
  <si>
    <t>钻石 x2</t>
  </si>
  <si>
    <t>个人周活跃值达到&lt;color=#fff442&gt;1600&lt;/color&gt;可领取&lt;color=#fff442&gt;钻石 x2&lt;/color&gt;。</t>
  </si>
  <si>
    <t>activity_1</t>
  </si>
  <si>
    <t>2,500</t>
  </si>
  <si>
    <t>俱乐部宝箱Ⅰ</t>
  </si>
  <si>
    <t>俱乐部周活跃值达到&lt;color=#fff442&gt;1500&lt;/color&gt;可领取&lt;color=#fff442&gt;强化币 x1&lt;/color&gt;。</t>
  </si>
  <si>
    <t>2,600</t>
  </si>
  <si>
    <t>俱乐部宝箱Ⅱ</t>
  </si>
  <si>
    <t>俱乐部周活跃值达到&lt;color=#fff442&gt;3000&lt;/color&gt;可领取&lt;color=#fff442&gt;升星木  x1&lt;/color&gt;。</t>
  </si>
  <si>
    <t>activity_2</t>
  </si>
  <si>
    <t>2,700</t>
  </si>
  <si>
    <t>俱乐部宝箱Ⅲ</t>
  </si>
  <si>
    <t>俱乐部周活跃值达到&lt;color=#fff442&gt;7000&lt;/color&gt;可领取&lt;color=#fff442&gt;兑换券 x100&lt;/color&gt;。</t>
  </si>
  <si>
    <t>2,800</t>
  </si>
  <si>
    <t>俱乐部宝箱Ⅳ</t>
  </si>
  <si>
    <t>俱乐部周活跃值达到&lt;color=#fff442&gt;11000&lt;/color&gt;可领取&lt;color=#fff442&gt;A级升阶木 x1&lt;/color&gt;。</t>
  </si>
  <si>
    <t>activity_3</t>
  </si>
  <si>
    <t>2,900</t>
  </si>
  <si>
    <t>俱乐部宝箱Ⅴ</t>
  </si>
  <si>
    <t>俱乐部周活跃值达到&lt;color=#fff442&gt;15000&lt;/color&gt;可领取&lt;color=#fff442&gt;对局互动表情礼包 x1&lt;/color&gt;。</t>
  </si>
  <si>
    <t>2,1000</t>
  </si>
  <si>
    <t>俱乐部宝箱Ⅵ</t>
  </si>
  <si>
    <t>俱乐部周活跃值达到&lt;color=#fff442&gt;1500&lt;/color&gt;可领取&lt;color=#fff442&gt;强化币 x5&lt;/color&gt;。</t>
  </si>
  <si>
    <t>activity_4</t>
  </si>
  <si>
    <t>2,1100</t>
  </si>
  <si>
    <t>俱乐部宝箱Ⅶ</t>
  </si>
  <si>
    <t>俱乐部周活跃值达到&lt;color=#fff442&gt;3000&lt;/color&gt;可领取&lt;color=#fff442&gt;升星木  x2&lt;/color&gt;。</t>
  </si>
  <si>
    <t>2,1200</t>
  </si>
  <si>
    <t>俱乐部宝箱Ⅷ</t>
  </si>
  <si>
    <t>俱乐部周活跃值达到&lt;color=#fff442&gt;7000&lt;/color&gt;可领取&lt;color=#fff442&gt;兑换券 x180&lt;/color&gt;。</t>
  </si>
  <si>
    <t>activity_5</t>
  </si>
  <si>
    <t>2,1300</t>
  </si>
  <si>
    <t>俱乐部宝箱Ⅸ</t>
  </si>
  <si>
    <t>俱乐部周活跃值达到&lt;color=#fff442&gt;11000&lt;/color&gt;可领取&lt;color=#fff442&gt;A级升阶木 x2&lt;/color&gt;。</t>
  </si>
  <si>
    <t>2,1400</t>
  </si>
  <si>
    <t>俱乐部宝箱Ⅹ</t>
  </si>
  <si>
    <t>俱乐部周活跃值达到&lt;color=#fff442&gt;15000&lt;/color&gt;可领取&lt;color=#fff442&gt;对局互动表情礼包 x2&lt;/color&gt;。</t>
  </si>
  <si>
    <t>activity_6</t>
  </si>
  <si>
    <t>2,1500</t>
  </si>
  <si>
    <t>俱乐部宝箱XI</t>
  </si>
  <si>
    <t>俱乐部周活跃值达到&lt;color=#fff442&gt;1500&lt;/color&gt;可领取&lt;color=#fff442&gt;强化币 x8&lt;/color&gt;。</t>
  </si>
  <si>
    <t>2,1600</t>
  </si>
  <si>
    <t>俱乐部宝箱XII</t>
  </si>
  <si>
    <t>俱乐部周活跃值达到&lt;color=#fff442&gt;3000&lt;/color&gt;可领取&lt;color=#fff442&gt;升星木  x3&lt;/color&gt;。</t>
  </si>
  <si>
    <t>activity_7</t>
  </si>
  <si>
    <t>2,1700</t>
  </si>
  <si>
    <t>俱乐部宝箱XIII</t>
  </si>
  <si>
    <t>俱乐部周活跃值达到&lt;color=#fff442&gt;7000&lt;/color&gt;可领取&lt;color=#fff442&gt;兑换券 x300&lt;/color&gt;。</t>
  </si>
  <si>
    <t>2,1800</t>
  </si>
  <si>
    <t>俱乐部宝箱XIV</t>
  </si>
  <si>
    <t>俱乐部周活跃值达到&lt;color=#fff442&gt;11000&lt;/color&gt;可领取&lt;color=#fff442&gt;S级升阶木 x1&lt;/color&gt;。</t>
  </si>
  <si>
    <t>职位序号</t>
  </si>
  <si>
    <t>职位名称语言包id</t>
  </si>
  <si>
    <t>是否可踢除副部长</t>
  </si>
  <si>
    <t>是否可剔除精英、成员</t>
  </si>
  <si>
    <t>是否可更改副部长</t>
  </si>
  <si>
    <t>是否可修改俱乐部名称</t>
  </si>
  <si>
    <t>是否可修改俱乐部公告</t>
  </si>
  <si>
    <t>是否可修改加入限制</t>
  </si>
  <si>
    <t>是否可查看基金</t>
  </si>
  <si>
    <t>活跃度需求</t>
  </si>
  <si>
    <t>是否可发送俱乐部邀请</t>
  </si>
  <si>
    <t>name_position</t>
  </si>
  <si>
    <t>cancel_position</t>
  </si>
  <si>
    <t>cancel_member</t>
  </si>
  <si>
    <t>change_position</t>
  </si>
  <si>
    <t>change_name</t>
  </si>
  <si>
    <t>change_notice</t>
  </si>
  <si>
    <t>change_limit</t>
  </si>
  <si>
    <t>check_earn</t>
  </si>
  <si>
    <t>requirement</t>
  </si>
  <si>
    <t>IfInvite</t>
  </si>
  <si>
    <t>俱乐部职位表</t>
  </si>
  <si>
    <t>部长</t>
  </si>
  <si>
    <t>副部长</t>
  </si>
  <si>
    <t>精英</t>
  </si>
  <si>
    <t>成员</t>
  </si>
  <si>
    <t>事件序号</t>
  </si>
  <si>
    <t>事件说明</t>
  </si>
  <si>
    <t>玩法模式</t>
  </si>
  <si>
    <t>比赛房间id</t>
  </si>
  <si>
    <t>增加基金额</t>
  </si>
  <si>
    <t>game_type</t>
  </si>
  <si>
    <t>room_id</t>
  </si>
  <si>
    <t>coin_earn</t>
  </si>
  <si>
    <t>基金配置</t>
  </si>
  <si>
    <t>在8球初级厅玩1局比赛</t>
  </si>
  <si>
    <t>初级厅净胜球模式</t>
  </si>
  <si>
    <t>在8球中级厅玩1局比赛</t>
  </si>
  <si>
    <t>中级厅净胜球模式</t>
  </si>
  <si>
    <t>在8球高级厅玩1局比赛</t>
  </si>
  <si>
    <t>在8球大师厅玩1局比赛</t>
  </si>
  <si>
    <t>充值红包序号</t>
  </si>
  <si>
    <t>红包充值金额说明</t>
  </si>
  <si>
    <t>充值金额</t>
  </si>
  <si>
    <t>红包类型</t>
  </si>
  <si>
    <t>红包份数</t>
  </si>
  <si>
    <t>红包金额</t>
  </si>
  <si>
    <t>recharge_num</t>
  </si>
  <si>
    <t>reward_id</t>
  </si>
  <si>
    <t>reward_num</t>
  </si>
  <si>
    <t>充值红包配置</t>
  </si>
  <si>
    <t>单次充值1~6元</t>
  </si>
  <si>
    <t>单次充值6~18元</t>
  </si>
  <si>
    <t>单次充值18~30元</t>
  </si>
  <si>
    <t>单次充值30~60元</t>
  </si>
  <si>
    <t>单次充值60-128元</t>
  </si>
  <si>
    <t>单次充值128-328元</t>
  </si>
  <si>
    <t>单次充值328元以上</t>
  </si>
  <si>
    <t>俱乐部头像id序号</t>
  </si>
  <si>
    <t>俱乐部头像icon</t>
  </si>
  <si>
    <t>head_icon</t>
  </si>
  <si>
    <t>俱乐部头像配置表</t>
  </si>
  <si>
    <t>club_logo_0</t>
  </si>
  <si>
    <t>club_logo_1</t>
  </si>
  <si>
    <t>club_logo_2</t>
  </si>
  <si>
    <t>club_logo_3</t>
  </si>
  <si>
    <t>俱乐部系统消息id</t>
  </si>
  <si>
    <t>消息类型</t>
  </si>
  <si>
    <t>消息发送条件说明</t>
  </si>
  <si>
    <t>消息内容语言包序号</t>
  </si>
  <si>
    <t>news_id</t>
  </si>
  <si>
    <t>news_type</t>
  </si>
  <si>
    <t>news_name</t>
  </si>
  <si>
    <t>vb</t>
  </si>
  <si>
    <t>俱乐部系统消息配置表</t>
  </si>
  <si>
    <t>玩家加入俱乐部</t>
  </si>
  <si>
    <t>欢迎@$@加入俱乐部</t>
  </si>
  <si>
    <t>任命副部长</t>
  </si>
  <si>
    <t>恭喜@$@被任命为副部长</t>
  </si>
  <si>
    <t>俱乐部等级提升</t>
  </si>
  <si>
    <t>俱乐部升到@$@级啦！</t>
  </si>
  <si>
    <t>俱乐部公告更改</t>
  </si>
  <si>
    <t>公告已更改，大家记得查看</t>
  </si>
  <si>
    <t>俱乐部改名</t>
  </si>
  <si>
    <t>部长已将俱乐部改名为@$@</t>
  </si>
  <si>
    <t>俱乐部球杆升星升阶</t>
  </si>
  <si>
    <t>部长已将俱乐部球杆升级至@$@阶@!@星</t>
  </si>
  <si>
    <t>玩家离开俱乐部</t>
  </si>
  <si>
    <t>@$@离开了俱乐部</t>
  </si>
  <si>
    <t>红包感谢消息</t>
  </si>
  <si>
    <t>老板大气！</t>
  </si>
  <si>
    <t>谢谢老板！</t>
  </si>
  <si>
    <t>俱乐部群聊更改</t>
  </si>
  <si>
    <t>部长已更新群聊微信号，快加群聊聊吧！</t>
  </si>
  <si>
    <t>左区间</t>
  </si>
  <si>
    <t>右区间</t>
  </si>
  <si>
    <t>排名奖励</t>
  </si>
  <si>
    <t>left</t>
  </si>
  <si>
    <t>right</t>
  </si>
  <si>
    <t>排行榜奖励配置</t>
  </si>
  <si>
    <t>statement</t>
  </si>
  <si>
    <t>(list#sep=,),int</t>
  </si>
  <si>
    <t>赛事规则配置</t>
  </si>
  <si>
    <t>9501001,9501002,9501003,9501004</t>
  </si>
  <si>
    <t>1、参赛资格选拔，2、赛事报名，3、淘汰赛，4、本赛事</t>
  </si>
  <si>
    <t>9500101,9500105,9500102,9500103,9500104</t>
  </si>
  <si>
    <t>赛程名称、球权争夺战、8进4淘汰赛、4进2半决赛、决赛</t>
  </si>
  <si>
    <t>9500209,9500208,9500300,9500203,9500204,9500205,9500206,9500206,9500207</t>
  </si>
  <si>
    <t>赛程，8个俱乐部，A组1，A组2，B组1，B组2，4晋2，4晋2，2晋1</t>
  </si>
  <si>
    <t>9500306,9500305,9500307,9500303,9500304</t>
  </si>
  <si>
    <t>赛制，幸运一击，抢三，抢五，抢七</t>
  </si>
  <si>
    <t>9500404,9500406,9500405,9500405,9500405,9500405,9500405,9500405,9500405</t>
  </si>
  <si>
    <t>比赛模式，无限制，黑八指袋，黑八指袋，黑八指袋，黑八指袋，黑八指袋，黑八指袋，黑八指袋</t>
  </si>
  <si>
    <t>9500501,9500503,9500504,9500504,9500504,9500504,9500505,9500505,9500505</t>
  </si>
  <si>
    <t>开始日期，2024/12/24，2024/12/28，2024/12/28，2024/12/28，2024/12/28，2024/12/29，2024/12/29，2024/12/29</t>
  </si>
  <si>
    <t>9500601,9500608,9500603,9500604,9500605,9500608,9500603,9500607,9500608</t>
  </si>
  <si>
    <t>开赛时间，20:00，16:00，17:00，19:00，20:00，16:00，17:30，20:00</t>
  </si>
  <si>
    <t>2,3,5</t>
  </si>
  <si>
    <t>默认的比赛房抢几</t>
  </si>
  <si>
    <t>88888888,7</t>
  </si>
  <si>
    <t>特殊的房主id，支持的抢几</t>
  </si>
  <si>
    <t>赛程名称</t>
  </si>
  <si>
    <t>赛程</t>
  </si>
  <si>
    <t>赛制</t>
  </si>
  <si>
    <t>比赛模式</t>
  </si>
  <si>
    <t>开赛日期</t>
  </si>
  <si>
    <t>开赛时间</t>
  </si>
  <si>
    <t>球权争夺战</t>
  </si>
  <si>
    <t>8个俱乐部</t>
  </si>
  <si>
    <t>幸运一击</t>
  </si>
  <si>
    <t>无限制</t>
  </si>
  <si>
    <t>8进4淘汰赛</t>
  </si>
  <si>
    <t>A组</t>
  </si>
  <si>
    <t>抢3</t>
  </si>
  <si>
    <t>八球指袋</t>
  </si>
  <si>
    <t>B组</t>
  </si>
  <si>
    <t>C组</t>
  </si>
  <si>
    <t>D组</t>
  </si>
  <si>
    <t>4进2半决赛</t>
  </si>
  <si>
    <t>4晋2</t>
  </si>
  <si>
    <t>抢5</t>
  </si>
  <si>
    <t>总决赛</t>
  </si>
  <si>
    <t>2晋1</t>
  </si>
  <si>
    <t>抢6</t>
  </si>
  <si>
    <t>幸运一杆</t>
  </si>
  <si>
    <t>黑八指袋</t>
  </si>
  <si>
    <t>如何参赛说明配置</t>
  </si>
  <si>
    <t>尊敬的各位台球王者：\n1、首先你需要加入或者创建俱乐部；\n2、俱乐部成员要在规定时间内尽可能的参加比赛，获得盈利，提高俱乐部排行榜的周榜排名或者双周榜排名，获取参赛资格；\n3、获得参赛资格的俱乐部需要在规定时间内报名，否则将会取消比赛资格\n\n注意事项:\n1、俱乐部成员少于5人将无法参与报名\n2、未成年人验证账号无法参赛\n3、若该账号的游戏行为违背了游戏公平竞技原则，严禁违反赛事道德的行为，一旦出现，将剥夺其所有参赛奖励和参赛资格，并根据情况对相关人员作进一步惩处；\n包括但不限于下列行为：\n. 代打；\n. 消极比赛，打假赛；\n. 在对局中侮辱谩骂对手；\n. 参赛账号交易；\n4、参赛帐号必须全程为同一玩家使用，如参赛选手使用的是非常用设备登录，需提前向官方报备；\n</t>
  </si>
  <si>
    <t>序号</t>
  </si>
  <si>
    <t>展示奖励</t>
  </si>
  <si>
    <t>比赛奖励展示配置</t>
  </si>
  <si>
    <t>910104,1;490313,5</t>
  </si>
  <si>
    <t>910105,1;490312,5</t>
  </si>
  <si>
    <t>910106,1</t>
  </si>
  <si>
    <r>
      <rPr>
        <sz val="11"/>
        <color theme="1"/>
        <rFont val="等线"/>
        <charset val="134"/>
        <scheme val="minor"/>
      </rPr>
      <t>1</t>
    </r>
    <r>
      <rPr>
        <sz val="11"/>
        <color theme="1"/>
        <rFont val="等线"/>
        <charset val="134"/>
        <scheme val="minor"/>
      </rPr>
      <t>,</t>
    </r>
    <r>
      <rPr>
        <sz val="11"/>
        <color theme="1"/>
        <rFont val="等线"/>
        <charset val="134"/>
        <scheme val="minor"/>
      </rPr>
      <t>4000</t>
    </r>
  </si>
  <si>
    <t>奖励</t>
  </si>
  <si>
    <t>比赛奖励配置(俱乐部成员）</t>
  </si>
  <si>
    <t>数量</t>
  </si>
  <si>
    <t>比赛奖励配置（参赛选手个人）</t>
  </si>
  <si>
    <t>team</t>
  </si>
  <si>
    <t>group</t>
  </si>
  <si>
    <t>match_1</t>
  </si>
  <si>
    <t>match_2</t>
  </si>
  <si>
    <t>match_3</t>
  </si>
  <si>
    <t>match_4</t>
  </si>
  <si>
    <t>联赛赛程配置</t>
  </si>
  <si>
    <t>A</t>
  </si>
  <si>
    <t>A1</t>
  </si>
  <si>
    <t>A3</t>
  </si>
  <si>
    <t>AB1</t>
  </si>
  <si>
    <t>ABCD</t>
  </si>
  <si>
    <t>A2</t>
  </si>
  <si>
    <t>B</t>
  </si>
  <si>
    <t>B1</t>
  </si>
  <si>
    <t>B3</t>
  </si>
  <si>
    <t>B2</t>
  </si>
  <si>
    <t>C</t>
  </si>
  <si>
    <t>C1</t>
  </si>
  <si>
    <t>C3</t>
  </si>
  <si>
    <t>CD1</t>
  </si>
  <si>
    <t>C2</t>
  </si>
  <si>
    <t>D</t>
  </si>
  <si>
    <t>D1</t>
  </si>
  <si>
    <t>D3</t>
  </si>
  <si>
    <t>D2</t>
  </si>
  <si>
    <t>比赛房间号</t>
  </si>
  <si>
    <t>房间名备注</t>
  </si>
  <si>
    <t>胜利加分</t>
  </si>
  <si>
    <t>失败加分</t>
  </si>
  <si>
    <t>房间类型</t>
  </si>
  <si>
    <t>win_add</t>
  </si>
  <si>
    <t>lose_add</t>
  </si>
  <si>
    <t>room_type</t>
  </si>
  <si>
    <t>俱乐部评级场次加分配置</t>
  </si>
  <si>
    <t>8球新手</t>
  </si>
  <si>
    <t>8球初级</t>
  </si>
  <si>
    <t>8球中级</t>
  </si>
  <si>
    <t>8球高级</t>
  </si>
  <si>
    <t>8球职业</t>
  </si>
  <si>
    <t>8球Allin</t>
  </si>
  <si>
    <t>8球巅峰</t>
  </si>
  <si>
    <t>斯诺克中级</t>
  </si>
  <si>
    <t>斯诺克高级</t>
  </si>
  <si>
    <t>斯诺克职业</t>
  </si>
  <si>
    <t>欢乐血流初级</t>
  </si>
  <si>
    <t>欢乐血流中级</t>
  </si>
  <si>
    <t>血流初级</t>
  </si>
  <si>
    <t>血流中级</t>
  </si>
  <si>
    <t>血流高级</t>
  </si>
  <si>
    <t>组队初级</t>
  </si>
  <si>
    <t>组队中级厅</t>
  </si>
  <si>
    <t>评级对应ID</t>
  </si>
  <si>
    <t>评级等级备注</t>
  </si>
  <si>
    <t>保级分值</t>
  </si>
  <si>
    <t>晋级分值</t>
  </si>
  <si>
    <t>grade</t>
  </si>
  <si>
    <t>stay_score</t>
  </si>
  <si>
    <t>up_score</t>
  </si>
  <si>
    <t>俱乐部评级晋级分值配置</t>
  </si>
  <si>
    <t>E</t>
  </si>
  <si>
    <t>S与 S+,视作同一档</t>
  </si>
  <si>
    <t>评级奖励</t>
  </si>
  <si>
    <t>排名上域</t>
  </si>
  <si>
    <t>排名下域</t>
  </si>
  <si>
    <t>限时头像框</t>
  </si>
  <si>
    <t>限时称号</t>
  </si>
  <si>
    <t>reward1</t>
  </si>
  <si>
    <t>reward2</t>
  </si>
  <si>
    <t>(list#sep=;),int</t>
  </si>
  <si>
    <t>俱乐部评级高级奖励配置</t>
  </si>
  <si>
    <t>440105;1</t>
  </si>
  <si>
    <t>890046;1</t>
  </si>
  <si>
    <t>S</t>
  </si>
  <si>
    <t>440106;1</t>
  </si>
  <si>
    <t>890047;1</t>
  </si>
  <si>
    <t>S+（视作S）</t>
  </si>
  <si>
    <t>440107;1</t>
  </si>
  <si>
    <t>890048;1</t>
  </si>
  <si>
    <t>所在评级</t>
  </si>
  <si>
    <t>图片名称</t>
  </si>
  <si>
    <t>我的徽章动画</t>
  </si>
  <si>
    <t>image_id</t>
  </si>
  <si>
    <t>grade_anime</t>
  </si>
  <si>
    <t>俱乐部评级等级划分配置</t>
  </si>
  <si>
    <t>8;50</t>
  </si>
  <si>
    <t>icon_1040001</t>
  </si>
  <si>
    <t>8;100</t>
  </si>
  <si>
    <t>icon_1040002</t>
  </si>
  <si>
    <t>8;300</t>
  </si>
  <si>
    <t>icon_1040003</t>
  </si>
  <si>
    <t>8;600</t>
  </si>
  <si>
    <t>icon_1040004</t>
  </si>
  <si>
    <t>8;1000</t>
  </si>
  <si>
    <t>icon_1040005</t>
  </si>
  <si>
    <t>new_club_ui_cup_icon_grade_fx03</t>
  </si>
  <si>
    <t>8;1500</t>
  </si>
  <si>
    <t>icon_1040006</t>
  </si>
  <si>
    <t>new_club_ui_cup_icon_grade_fx02</t>
  </si>
  <si>
    <t>8;2000</t>
  </si>
  <si>
    <t>icon_1040007</t>
  </si>
  <si>
    <t>new_club_ui_cup_icon_grade_fx01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</si>
</sst>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m&quot;月&quot;d&quot;日&quot;;@"/>
  </numFmts>
  <fonts count="36">
    <font>
      <sz val="11"/>
      <color theme="1"/>
      <name val="等线"/>
      <charset val="134"/>
      <scheme val="minor"/>
    </font>
    <font>
      <sz val="11"/>
      <color indexed="8"/>
      <name val="等线"/>
      <charset val="134"/>
    </font>
    <font>
      <sz val="10.5"/>
      <color indexed="63"/>
      <name val="Helvetica"/>
      <charset val="134"/>
    </font>
    <font>
      <sz val="12"/>
      <color indexed="8"/>
      <name val="等线"/>
      <charset val="134"/>
    </font>
    <font>
      <sz val="12"/>
      <color rgb="FF000000"/>
      <name val="微软雅黑"/>
      <charset val="134"/>
    </font>
    <font>
      <sz val="12"/>
      <color rgb="FF000000"/>
      <name val="Microsoft YaHei"/>
      <charset val="134"/>
    </font>
    <font>
      <sz val="12"/>
      <color rgb="FF000000"/>
      <name val="Arial"/>
      <charset val="134"/>
    </font>
    <font>
      <sz val="12"/>
      <color rgb="FF1F2329"/>
      <name val="Arial"/>
      <charset val="134"/>
    </font>
    <font>
      <sz val="12"/>
      <color rgb="FFFF0000"/>
      <name val="Microsoft YaHei"/>
      <charset val="134"/>
    </font>
    <font>
      <sz val="12"/>
      <color rgb="FFFF0000"/>
      <name val="微软雅黑"/>
      <charset val="134"/>
    </font>
    <font>
      <sz val="12"/>
      <color rgb="FFF54A45"/>
      <name val="Arial"/>
      <charset val="134"/>
    </font>
    <font>
      <sz val="11"/>
      <name val="等线"/>
      <charset val="134"/>
      <scheme val="minor"/>
    </font>
    <font>
      <sz val="12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等线"/>
      <charset val="0"/>
      <scheme val="minor"/>
    </font>
    <font>
      <sz val="9"/>
      <name val="宋体"/>
      <charset val="134"/>
    </font>
    <font>
      <b/>
      <sz val="9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0.599993896298105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0E3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7" borderId="1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8" borderId="14" applyNumberFormat="0" applyAlignment="0" applyProtection="0">
      <alignment vertical="center"/>
    </xf>
    <xf numFmtId="0" fontId="22" fillId="9" borderId="15" applyNumberFormat="0" applyAlignment="0" applyProtection="0">
      <alignment vertical="center"/>
    </xf>
    <xf numFmtId="0" fontId="23" fillId="9" borderId="14" applyNumberFormat="0" applyAlignment="0" applyProtection="0">
      <alignment vertical="center"/>
    </xf>
    <xf numFmtId="0" fontId="24" fillId="10" borderId="16" applyNumberFormat="0" applyAlignment="0" applyProtection="0">
      <alignment vertical="center"/>
    </xf>
    <xf numFmtId="0" fontId="25" fillId="0" borderId="17" applyNumberFormat="0" applyFill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12" fillId="0" borderId="0"/>
  </cellStyleXfs>
  <cellXfs count="48">
    <xf numFmtId="0" fontId="0" fillId="0" borderId="0" xfId="0"/>
    <xf numFmtId="0" fontId="1" fillId="0" borderId="0" xfId="0" applyFont="1"/>
    <xf numFmtId="0" fontId="0" fillId="2" borderId="0" xfId="0" applyFill="1"/>
    <xf numFmtId="0" fontId="1" fillId="3" borderId="0" xfId="0" applyFont="1" applyFill="1"/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49" fontId="0" fillId="0" borderId="0" xfId="0" applyNumberFormat="1"/>
    <xf numFmtId="49" fontId="0" fillId="2" borderId="0" xfId="0" applyNumberFormat="1" applyFill="1"/>
    <xf numFmtId="49" fontId="0" fillId="0" borderId="0" xfId="0" applyNumberFormat="1" applyAlignment="1">
      <alignment horizontal="left" vertical="center"/>
    </xf>
    <xf numFmtId="49" fontId="0" fillId="0" borderId="0" xfId="0" applyNumberFormat="1" applyAlignment="1">
      <alignment horizontal="left"/>
    </xf>
    <xf numFmtId="0" fontId="0" fillId="4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 wrapText="1"/>
    </xf>
    <xf numFmtId="0" fontId="0" fillId="0" borderId="0" xfId="0" applyFont="1"/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6" fillId="5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5" borderId="1" xfId="0" applyNumberFormat="1" applyFont="1" applyFill="1" applyBorder="1" applyAlignment="1">
      <alignment horizontal="center" vertical="center"/>
    </xf>
    <xf numFmtId="176" fontId="9" fillId="5" borderId="9" xfId="0" applyNumberFormat="1" applyFont="1" applyFill="1" applyBorder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177" fontId="5" fillId="5" borderId="1" xfId="0" applyNumberFormat="1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76" fontId="9" fillId="5" borderId="1" xfId="0" applyNumberFormat="1" applyFont="1" applyFill="1" applyBorder="1" applyAlignment="1">
      <alignment horizontal="center" vertical="center"/>
    </xf>
    <xf numFmtId="0" fontId="10" fillId="5" borderId="5" xfId="0" applyFont="1" applyFill="1" applyBorder="1" applyAlignment="1">
      <alignment horizontal="center" vertical="center"/>
    </xf>
    <xf numFmtId="14" fontId="10" fillId="5" borderId="5" xfId="0" applyNumberFormat="1" applyFont="1" applyFill="1" applyBorder="1" applyAlignment="1">
      <alignment horizontal="center" vertical="center"/>
    </xf>
    <xf numFmtId="20" fontId="10" fillId="5" borderId="10" xfId="0" applyNumberFormat="1" applyFont="1" applyFill="1" applyBorder="1" applyAlignment="1">
      <alignment horizontal="center" vertical="center"/>
    </xf>
    <xf numFmtId="0" fontId="0" fillId="2" borderId="0" xfId="0" applyFill="1" applyBorder="1"/>
    <xf numFmtId="0" fontId="11" fillId="2" borderId="0" xfId="0" applyFont="1" applyFill="1" applyAlignment="1">
      <alignment horizontal="left" vertical="center"/>
    </xf>
    <xf numFmtId="0" fontId="12" fillId="2" borderId="0" xfId="0" applyFont="1" applyFill="1" applyBorder="1"/>
    <xf numFmtId="49" fontId="0" fillId="0" borderId="0" xfId="0" applyNumberFormat="1" applyBorder="1" applyAlignment="1">
      <alignment vertical="center"/>
    </xf>
    <xf numFmtId="0" fontId="0" fillId="6" borderId="0" xfId="0" applyFill="1"/>
    <xf numFmtId="0" fontId="0" fillId="0" borderId="0" xfId="49" applyFont="1"/>
    <xf numFmtId="0" fontId="12" fillId="6" borderId="0" xfId="49" applyFill="1"/>
    <xf numFmtId="0" fontId="0" fillId="6" borderId="0" xfId="0" applyFont="1" applyFill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6" Type="http://www.wps.cn/officeDocument/2023/relationships/customStorage" Target="customStorage/customStorage.xml"/><Relationship Id="rId25" Type="http://schemas.openxmlformats.org/officeDocument/2006/relationships/styles" Target="styles.xml"/><Relationship Id="rId24" Type="http://schemas.openxmlformats.org/officeDocument/2006/relationships/sharedStrings" Target="sharedStrings.xml"/><Relationship Id="rId23" Type="http://schemas.openxmlformats.org/officeDocument/2006/relationships/theme" Target="theme/theme1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comments" Target="../comments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comments" Target="../comments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comments" Target="../comments9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comments" Target="../comments10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comments" Target="../comments11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comments" Target="../comments12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comments" Target="../comments13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comments" Target="../comments14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comments" Target="../comments15.x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comments" Target="../comments16.x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comments" Target="../comments17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comments" Target="../comments1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workbookViewId="0">
      <selection activeCell="H32" sqref="H32"/>
    </sheetView>
  </sheetViews>
  <sheetFormatPr defaultColWidth="9" defaultRowHeight="14.25" outlineLevelCol="7"/>
  <cols>
    <col min="2" max="2" width="14" customWidth="1"/>
    <col min="5" max="5" width="16.2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  <c r="H3" s="2" t="s">
        <v>18</v>
      </c>
    </row>
    <row r="4" spans="1:8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</row>
    <row r="5" spans="1:8">
      <c r="A5" t="s">
        <v>21</v>
      </c>
      <c r="B5" s="2"/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t="s">
        <v>22</v>
      </c>
      <c r="B6">
        <v>1</v>
      </c>
      <c r="C6">
        <v>5100</v>
      </c>
      <c r="D6">
        <v>340</v>
      </c>
      <c r="E6">
        <v>30</v>
      </c>
      <c r="F6">
        <v>2</v>
      </c>
      <c r="G6">
        <v>30</v>
      </c>
      <c r="H6" t="s">
        <v>23</v>
      </c>
    </row>
    <row r="7" spans="2:8">
      <c r="B7">
        <v>2</v>
      </c>
      <c r="C7">
        <v>13100</v>
      </c>
      <c r="D7">
        <v>400</v>
      </c>
      <c r="E7">
        <v>35</v>
      </c>
      <c r="F7">
        <v>2</v>
      </c>
      <c r="G7">
        <v>35</v>
      </c>
      <c r="H7" t="s">
        <v>24</v>
      </c>
    </row>
    <row r="8" spans="2:8">
      <c r="B8">
        <v>3</v>
      </c>
      <c r="C8">
        <v>24500</v>
      </c>
      <c r="D8">
        <v>460</v>
      </c>
      <c r="E8">
        <v>40</v>
      </c>
      <c r="F8">
        <v>2</v>
      </c>
      <c r="G8">
        <v>40</v>
      </c>
      <c r="H8" t="s">
        <v>25</v>
      </c>
    </row>
    <row r="9" spans="2:8">
      <c r="B9">
        <v>4</v>
      </c>
      <c r="C9">
        <v>39900</v>
      </c>
      <c r="D9">
        <v>510</v>
      </c>
      <c r="E9">
        <v>45</v>
      </c>
      <c r="F9">
        <v>2</v>
      </c>
      <c r="G9">
        <v>45</v>
      </c>
      <c r="H9" t="s">
        <v>26</v>
      </c>
    </row>
    <row r="10" spans="2:8">
      <c r="B10">
        <v>5</v>
      </c>
      <c r="C10">
        <v>59900</v>
      </c>
      <c r="D10">
        <v>570</v>
      </c>
      <c r="E10">
        <v>50</v>
      </c>
      <c r="F10">
        <v>2</v>
      </c>
      <c r="G10">
        <v>50</v>
      </c>
      <c r="H10" t="s">
        <v>27</v>
      </c>
    </row>
    <row r="11" spans="1:8">
      <c r="A11" t="s">
        <v>28</v>
      </c>
      <c r="B11">
        <v>6</v>
      </c>
      <c r="C11">
        <v>85000</v>
      </c>
      <c r="D11">
        <v>630</v>
      </c>
      <c r="E11">
        <v>55</v>
      </c>
      <c r="F11">
        <v>3</v>
      </c>
      <c r="G11">
        <v>55</v>
      </c>
      <c r="H11" t="s">
        <v>29</v>
      </c>
    </row>
    <row r="12" spans="2:8">
      <c r="B12">
        <v>7</v>
      </c>
      <c r="C12">
        <v>115900</v>
      </c>
      <c r="D12">
        <v>690</v>
      </c>
      <c r="E12">
        <v>60</v>
      </c>
      <c r="F12">
        <v>3</v>
      </c>
      <c r="G12">
        <v>60</v>
      </c>
      <c r="H12" t="s">
        <v>30</v>
      </c>
    </row>
    <row r="13" spans="2:8">
      <c r="B13">
        <v>8</v>
      </c>
      <c r="C13">
        <v>153000</v>
      </c>
      <c r="D13">
        <v>740</v>
      </c>
      <c r="E13">
        <v>65</v>
      </c>
      <c r="F13">
        <v>3</v>
      </c>
      <c r="G13">
        <v>65</v>
      </c>
      <c r="H13" t="s">
        <v>31</v>
      </c>
    </row>
    <row r="14" spans="2:8">
      <c r="B14">
        <v>9</v>
      </c>
      <c r="C14">
        <v>201000</v>
      </c>
      <c r="D14">
        <v>800</v>
      </c>
      <c r="E14">
        <v>70</v>
      </c>
      <c r="F14">
        <v>3</v>
      </c>
      <c r="G14">
        <v>70</v>
      </c>
      <c r="H14" t="s">
        <v>32</v>
      </c>
    </row>
    <row r="15" spans="2:8">
      <c r="B15">
        <v>10</v>
      </c>
      <c r="C15">
        <v>261000</v>
      </c>
      <c r="D15">
        <v>860</v>
      </c>
      <c r="E15">
        <v>75</v>
      </c>
      <c r="F15">
        <v>3</v>
      </c>
      <c r="G15">
        <v>75</v>
      </c>
      <c r="H15" t="s">
        <v>33</v>
      </c>
    </row>
    <row r="16" spans="2:8">
      <c r="B16">
        <v>11</v>
      </c>
      <c r="C16">
        <v>334100</v>
      </c>
      <c r="D16">
        <v>910</v>
      </c>
      <c r="E16">
        <v>80</v>
      </c>
      <c r="F16">
        <v>4</v>
      </c>
      <c r="G16">
        <v>80</v>
      </c>
      <c r="H16" t="s">
        <v>34</v>
      </c>
    </row>
    <row r="17" spans="2:8">
      <c r="B17">
        <v>12</v>
      </c>
      <c r="C17">
        <v>421500</v>
      </c>
      <c r="D17">
        <v>970</v>
      </c>
      <c r="E17">
        <v>85</v>
      </c>
      <c r="F17">
        <v>4</v>
      </c>
      <c r="G17">
        <v>85</v>
      </c>
      <c r="H17" t="s">
        <v>35</v>
      </c>
    </row>
    <row r="18" spans="2:8">
      <c r="B18">
        <v>13</v>
      </c>
      <c r="C18">
        <v>524400</v>
      </c>
      <c r="D18">
        <v>1030</v>
      </c>
      <c r="E18">
        <v>90</v>
      </c>
      <c r="F18">
        <v>4</v>
      </c>
      <c r="G18">
        <v>90</v>
      </c>
      <c r="H18" t="s">
        <v>36</v>
      </c>
    </row>
    <row r="19" spans="2:8">
      <c r="B19">
        <v>14</v>
      </c>
      <c r="C19">
        <v>643800</v>
      </c>
      <c r="D19">
        <v>1090</v>
      </c>
      <c r="E19">
        <v>95</v>
      </c>
      <c r="F19">
        <v>4</v>
      </c>
      <c r="G19">
        <v>95</v>
      </c>
      <c r="H19" t="s">
        <v>37</v>
      </c>
    </row>
    <row r="20" spans="2:8">
      <c r="B20">
        <v>15</v>
      </c>
      <c r="C20">
        <v>780900</v>
      </c>
      <c r="D20">
        <v>1140</v>
      </c>
      <c r="E20">
        <v>100</v>
      </c>
      <c r="F20">
        <v>4</v>
      </c>
      <c r="G20">
        <v>100</v>
      </c>
      <c r="H20" t="s">
        <v>38</v>
      </c>
    </row>
    <row r="21" spans="2:8">
      <c r="B21">
        <v>16</v>
      </c>
      <c r="C21">
        <v>936900</v>
      </c>
      <c r="D21">
        <v>1200</v>
      </c>
      <c r="E21">
        <v>105</v>
      </c>
      <c r="F21">
        <v>5</v>
      </c>
      <c r="G21">
        <v>105</v>
      </c>
      <c r="H21" t="s">
        <v>39</v>
      </c>
    </row>
    <row r="22" spans="2:8">
      <c r="B22">
        <v>17</v>
      </c>
      <c r="C22">
        <v>1112900</v>
      </c>
      <c r="D22">
        <v>1260</v>
      </c>
      <c r="E22">
        <v>110</v>
      </c>
      <c r="F22">
        <v>5</v>
      </c>
      <c r="G22">
        <v>110</v>
      </c>
      <c r="H22" t="s">
        <v>40</v>
      </c>
    </row>
    <row r="23" spans="2:8">
      <c r="B23">
        <v>18</v>
      </c>
      <c r="C23">
        <v>1310000</v>
      </c>
      <c r="D23">
        <v>1310</v>
      </c>
      <c r="E23">
        <v>115</v>
      </c>
      <c r="F23">
        <v>5</v>
      </c>
      <c r="G23">
        <v>115</v>
      </c>
      <c r="H23" t="s">
        <v>41</v>
      </c>
    </row>
    <row r="24" spans="2:8">
      <c r="B24">
        <v>19</v>
      </c>
      <c r="C24">
        <v>1529400</v>
      </c>
      <c r="D24">
        <v>1370</v>
      </c>
      <c r="E24">
        <v>120</v>
      </c>
      <c r="F24">
        <v>5</v>
      </c>
      <c r="G24">
        <v>120</v>
      </c>
      <c r="H24" t="s">
        <v>41</v>
      </c>
    </row>
    <row r="25" spans="2:8">
      <c r="B25">
        <v>20</v>
      </c>
      <c r="C25">
        <v>99999999</v>
      </c>
      <c r="D25">
        <v>1430</v>
      </c>
      <c r="E25">
        <v>125</v>
      </c>
      <c r="F25">
        <v>5</v>
      </c>
      <c r="G25">
        <v>125</v>
      </c>
      <c r="H25" t="s">
        <v>41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"/>
  <sheetViews>
    <sheetView workbookViewId="0">
      <selection activeCell="H8" sqref="H8"/>
    </sheetView>
  </sheetViews>
  <sheetFormatPr defaultColWidth="9" defaultRowHeight="14.25" outlineLevelCol="5"/>
  <cols>
    <col min="5" max="5" width="56.3333333333333" customWidth="1"/>
  </cols>
  <sheetData>
    <row r="1" spans="1:6">
      <c r="A1" t="s">
        <v>0</v>
      </c>
      <c r="B1" t="s">
        <v>9</v>
      </c>
      <c r="C1" t="s">
        <v>42</v>
      </c>
      <c r="D1" t="s">
        <v>43</v>
      </c>
      <c r="E1" t="s">
        <v>44</v>
      </c>
      <c r="F1" t="s">
        <v>45</v>
      </c>
    </row>
    <row r="2" spans="1:6">
      <c r="A2" t="s">
        <v>8</v>
      </c>
      <c r="B2" s="2" t="s">
        <v>9</v>
      </c>
      <c r="C2" s="2" t="s">
        <v>46</v>
      </c>
      <c r="D2" s="2" t="s">
        <v>47</v>
      </c>
      <c r="E2" s="2" t="s">
        <v>48</v>
      </c>
      <c r="F2" s="2" t="s">
        <v>49</v>
      </c>
    </row>
    <row r="3" spans="1:6">
      <c r="A3" t="s">
        <v>16</v>
      </c>
      <c r="B3" s="2" t="s">
        <v>17</v>
      </c>
      <c r="C3" s="2" t="s">
        <v>17</v>
      </c>
      <c r="D3" s="2" t="s">
        <v>17</v>
      </c>
      <c r="E3" s="2" t="s">
        <v>50</v>
      </c>
      <c r="F3" s="2" t="s">
        <v>18</v>
      </c>
    </row>
    <row r="4" spans="1:6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51</v>
      </c>
    </row>
    <row r="5" spans="1:6">
      <c r="A5" t="s">
        <v>21</v>
      </c>
      <c r="B5" s="2"/>
      <c r="C5" s="2">
        <v>0</v>
      </c>
      <c r="D5" s="2">
        <v>0</v>
      </c>
      <c r="E5" s="2"/>
      <c r="F5" s="2" t="s">
        <v>52</v>
      </c>
    </row>
    <row r="6" spans="1:6">
      <c r="A6" t="s">
        <v>53</v>
      </c>
      <c r="B6">
        <v>1</v>
      </c>
      <c r="C6">
        <v>2</v>
      </c>
      <c r="D6">
        <v>0</v>
      </c>
      <c r="E6" t="s">
        <v>54</v>
      </c>
      <c r="F6" t="s">
        <v>55</v>
      </c>
    </row>
    <row r="7" spans="2:6">
      <c r="B7">
        <v>2</v>
      </c>
      <c r="C7">
        <v>2</v>
      </c>
      <c r="D7">
        <v>1</v>
      </c>
      <c r="E7" t="s">
        <v>54</v>
      </c>
      <c r="F7" t="s">
        <v>56</v>
      </c>
    </row>
    <row r="8" spans="2:6">
      <c r="B8">
        <v>3</v>
      </c>
      <c r="C8">
        <v>2</v>
      </c>
      <c r="D8">
        <v>2</v>
      </c>
      <c r="E8" t="s">
        <v>54</v>
      </c>
      <c r="F8" t="s">
        <v>57</v>
      </c>
    </row>
    <row r="9" spans="2:6">
      <c r="B9">
        <v>4</v>
      </c>
      <c r="C9">
        <v>2</v>
      </c>
      <c r="D9">
        <v>3</v>
      </c>
      <c r="E9" t="s">
        <v>54</v>
      </c>
      <c r="F9" t="s">
        <v>58</v>
      </c>
    </row>
    <row r="10" spans="2:6">
      <c r="B10">
        <v>5</v>
      </c>
      <c r="C10">
        <v>2</v>
      </c>
      <c r="D10">
        <v>4</v>
      </c>
      <c r="E10" t="s">
        <v>54</v>
      </c>
      <c r="F10" t="s">
        <v>59</v>
      </c>
    </row>
    <row r="11" spans="2:6">
      <c r="B11">
        <v>6</v>
      </c>
      <c r="C11">
        <v>2</v>
      </c>
      <c r="D11">
        <v>5</v>
      </c>
      <c r="E11" t="s">
        <v>54</v>
      </c>
      <c r="F11" t="s">
        <v>60</v>
      </c>
    </row>
    <row r="12" spans="2:6">
      <c r="B12">
        <v>7</v>
      </c>
      <c r="C12">
        <v>3</v>
      </c>
      <c r="D12">
        <v>0</v>
      </c>
      <c r="E12" t="s">
        <v>54</v>
      </c>
      <c r="F12" t="s">
        <v>61</v>
      </c>
    </row>
    <row r="13" spans="2:6">
      <c r="B13">
        <v>8</v>
      </c>
      <c r="C13">
        <v>3</v>
      </c>
      <c r="D13">
        <v>1</v>
      </c>
      <c r="E13" t="s">
        <v>54</v>
      </c>
      <c r="F13" t="s">
        <v>62</v>
      </c>
    </row>
    <row r="14" spans="2:6">
      <c r="B14">
        <v>9</v>
      </c>
      <c r="C14">
        <v>3</v>
      </c>
      <c r="D14">
        <v>2</v>
      </c>
      <c r="E14" t="s">
        <v>54</v>
      </c>
      <c r="F14" t="s">
        <v>63</v>
      </c>
    </row>
    <row r="15" spans="2:6">
      <c r="B15">
        <v>10</v>
      </c>
      <c r="C15">
        <v>3</v>
      </c>
      <c r="D15">
        <v>3</v>
      </c>
      <c r="E15" t="s">
        <v>54</v>
      </c>
      <c r="F15" t="s">
        <v>64</v>
      </c>
    </row>
    <row r="16" spans="2:6">
      <c r="B16">
        <v>11</v>
      </c>
      <c r="C16">
        <v>3</v>
      </c>
      <c r="D16">
        <v>4</v>
      </c>
      <c r="E16" t="s">
        <v>54</v>
      </c>
      <c r="F16" t="s">
        <v>65</v>
      </c>
    </row>
    <row r="17" spans="2:6">
      <c r="B17">
        <v>12</v>
      </c>
      <c r="C17">
        <v>3</v>
      </c>
      <c r="D17">
        <v>5</v>
      </c>
      <c r="E17" t="s">
        <v>54</v>
      </c>
      <c r="F17" t="s">
        <v>66</v>
      </c>
    </row>
    <row r="18" spans="2:6">
      <c r="B18">
        <v>13</v>
      </c>
      <c r="C18">
        <v>4</v>
      </c>
      <c r="D18">
        <v>0</v>
      </c>
      <c r="E18" t="s">
        <v>54</v>
      </c>
      <c r="F18" t="s">
        <v>67</v>
      </c>
    </row>
    <row r="19" spans="2:6">
      <c r="B19">
        <v>14</v>
      </c>
      <c r="C19">
        <v>4</v>
      </c>
      <c r="D19">
        <v>1</v>
      </c>
      <c r="E19" t="s">
        <v>54</v>
      </c>
      <c r="F19" t="s">
        <v>68</v>
      </c>
    </row>
    <row r="20" spans="2:6">
      <c r="B20">
        <v>15</v>
      </c>
      <c r="C20">
        <v>4</v>
      </c>
      <c r="D20">
        <v>2</v>
      </c>
      <c r="E20" t="s">
        <v>54</v>
      </c>
      <c r="F20" t="s">
        <v>69</v>
      </c>
    </row>
    <row r="21" spans="2:6">
      <c r="B21">
        <v>16</v>
      </c>
      <c r="C21">
        <v>4</v>
      </c>
      <c r="D21">
        <v>3</v>
      </c>
      <c r="E21" t="s">
        <v>54</v>
      </c>
      <c r="F21" t="s">
        <v>70</v>
      </c>
    </row>
    <row r="22" spans="2:6">
      <c r="B22">
        <v>17</v>
      </c>
      <c r="C22">
        <v>4</v>
      </c>
      <c r="D22">
        <v>4</v>
      </c>
      <c r="E22" t="s">
        <v>54</v>
      </c>
      <c r="F22" t="s">
        <v>71</v>
      </c>
    </row>
    <row r="23" spans="2:6">
      <c r="B23">
        <v>18</v>
      </c>
      <c r="C23">
        <v>4</v>
      </c>
      <c r="D23">
        <v>5</v>
      </c>
      <c r="E23" t="s">
        <v>54</v>
      </c>
      <c r="F23" t="s">
        <v>72</v>
      </c>
    </row>
    <row r="24" spans="2:6">
      <c r="B24">
        <v>19</v>
      </c>
      <c r="C24">
        <v>5</v>
      </c>
      <c r="D24">
        <v>0</v>
      </c>
      <c r="E24" t="s">
        <v>73</v>
      </c>
      <c r="F24" t="s">
        <v>74</v>
      </c>
    </row>
    <row r="25" spans="2:6">
      <c r="B25">
        <v>20</v>
      </c>
      <c r="C25">
        <v>5</v>
      </c>
      <c r="D25">
        <v>1</v>
      </c>
      <c r="E25" t="s">
        <v>73</v>
      </c>
      <c r="F25" t="s">
        <v>75</v>
      </c>
    </row>
    <row r="26" spans="2:6">
      <c r="B26">
        <v>21</v>
      </c>
      <c r="C26">
        <v>5</v>
      </c>
      <c r="D26">
        <v>2</v>
      </c>
      <c r="E26" t="s">
        <v>73</v>
      </c>
      <c r="F26" t="s">
        <v>76</v>
      </c>
    </row>
    <row r="27" spans="2:6">
      <c r="B27">
        <v>22</v>
      </c>
      <c r="C27">
        <v>5</v>
      </c>
      <c r="D27">
        <v>3</v>
      </c>
      <c r="E27" t="s">
        <v>73</v>
      </c>
      <c r="F27" t="s">
        <v>77</v>
      </c>
    </row>
    <row r="28" spans="2:6">
      <c r="B28">
        <v>23</v>
      </c>
      <c r="C28">
        <v>5</v>
      </c>
      <c r="D28">
        <v>4</v>
      </c>
      <c r="E28" t="s">
        <v>73</v>
      </c>
      <c r="F28" t="s">
        <v>78</v>
      </c>
    </row>
    <row r="29" spans="2:6">
      <c r="B29">
        <v>24</v>
      </c>
      <c r="C29">
        <v>5</v>
      </c>
      <c r="D29">
        <v>5</v>
      </c>
      <c r="E29" t="s">
        <v>73</v>
      </c>
      <c r="F29" t="s">
        <v>79</v>
      </c>
    </row>
    <row r="30" spans="2:6">
      <c r="B30">
        <v>25</v>
      </c>
      <c r="C30">
        <v>6</v>
      </c>
      <c r="D30">
        <v>0</v>
      </c>
      <c r="E30" t="s">
        <v>73</v>
      </c>
      <c r="F30" t="s">
        <v>80</v>
      </c>
    </row>
    <row r="31" spans="2:6">
      <c r="B31">
        <v>26</v>
      </c>
      <c r="C31">
        <v>6</v>
      </c>
      <c r="D31">
        <v>1</v>
      </c>
      <c r="E31" t="s">
        <v>73</v>
      </c>
      <c r="F31" t="s">
        <v>81</v>
      </c>
    </row>
    <row r="32" spans="2:6">
      <c r="B32">
        <v>27</v>
      </c>
      <c r="C32">
        <v>6</v>
      </c>
      <c r="D32">
        <v>2</v>
      </c>
      <c r="E32" t="s">
        <v>73</v>
      </c>
      <c r="F32" t="s">
        <v>82</v>
      </c>
    </row>
    <row r="33" spans="2:6">
      <c r="B33">
        <v>28</v>
      </c>
      <c r="C33">
        <v>6</v>
      </c>
      <c r="D33">
        <v>3</v>
      </c>
      <c r="E33" t="s">
        <v>73</v>
      </c>
      <c r="F33" t="s">
        <v>83</v>
      </c>
    </row>
    <row r="34" spans="2:6">
      <c r="B34">
        <v>29</v>
      </c>
      <c r="C34">
        <v>6</v>
      </c>
      <c r="D34">
        <v>4</v>
      </c>
      <c r="E34" t="s">
        <v>73</v>
      </c>
      <c r="F34" t="s">
        <v>84</v>
      </c>
    </row>
    <row r="35" spans="2:6">
      <c r="B35">
        <v>30</v>
      </c>
      <c r="C35">
        <v>6</v>
      </c>
      <c r="D35">
        <v>5</v>
      </c>
      <c r="E35" t="s">
        <v>73</v>
      </c>
      <c r="F35" t="s">
        <v>85</v>
      </c>
    </row>
    <row r="36" spans="2:6">
      <c r="B36">
        <v>31</v>
      </c>
      <c r="C36">
        <v>7</v>
      </c>
      <c r="D36">
        <v>0</v>
      </c>
      <c r="E36" t="s">
        <v>73</v>
      </c>
      <c r="F36" t="s">
        <v>86</v>
      </c>
    </row>
    <row r="37" spans="2:6">
      <c r="B37">
        <v>32</v>
      </c>
      <c r="C37">
        <v>7</v>
      </c>
      <c r="D37">
        <v>1</v>
      </c>
      <c r="E37" t="s">
        <v>73</v>
      </c>
      <c r="F37" t="s">
        <v>87</v>
      </c>
    </row>
    <row r="38" spans="2:6">
      <c r="B38">
        <v>33</v>
      </c>
      <c r="C38">
        <v>7</v>
      </c>
      <c r="D38">
        <v>2</v>
      </c>
      <c r="E38" t="s">
        <v>73</v>
      </c>
      <c r="F38" t="s">
        <v>88</v>
      </c>
    </row>
    <row r="39" spans="2:6">
      <c r="B39">
        <v>34</v>
      </c>
      <c r="C39">
        <v>7</v>
      </c>
      <c r="D39">
        <v>3</v>
      </c>
      <c r="E39" t="s">
        <v>73</v>
      </c>
      <c r="F39" t="s">
        <v>89</v>
      </c>
    </row>
    <row r="40" spans="2:6">
      <c r="B40">
        <v>35</v>
      </c>
      <c r="C40">
        <v>7</v>
      </c>
      <c r="D40">
        <v>4</v>
      </c>
      <c r="E40" t="s">
        <v>73</v>
      </c>
      <c r="F40" t="s">
        <v>90</v>
      </c>
    </row>
    <row r="41" spans="2:6">
      <c r="B41">
        <v>36</v>
      </c>
      <c r="C41">
        <v>7</v>
      </c>
      <c r="D41">
        <v>5</v>
      </c>
      <c r="E41" t="s">
        <v>73</v>
      </c>
      <c r="F41" t="s">
        <v>91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F20" sqref="F20:F21"/>
    </sheetView>
  </sheetViews>
  <sheetFormatPr defaultColWidth="9" defaultRowHeight="14.25" outlineLevelCol="6"/>
  <cols>
    <col min="2" max="2" width="15" customWidth="1"/>
    <col min="3" max="3" width="27.75" customWidth="1"/>
    <col min="4" max="5" width="18.875" customWidth="1"/>
    <col min="6" max="6" width="10.875" customWidth="1"/>
  </cols>
  <sheetData>
    <row r="1" spans="1:7">
      <c r="A1" t="s">
        <v>0</v>
      </c>
      <c r="B1" t="s">
        <v>92</v>
      </c>
      <c r="C1" t="s">
        <v>93</v>
      </c>
      <c r="D1" t="s">
        <v>94</v>
      </c>
      <c r="E1" t="s">
        <v>95</v>
      </c>
      <c r="F1" t="s">
        <v>96</v>
      </c>
      <c r="G1" t="s">
        <v>97</v>
      </c>
    </row>
    <row r="2" spans="1:7">
      <c r="A2" t="s">
        <v>8</v>
      </c>
      <c r="B2" s="2" t="s">
        <v>9</v>
      </c>
      <c r="C2" s="2" t="s">
        <v>98</v>
      </c>
      <c r="D2" s="2" t="s">
        <v>99</v>
      </c>
      <c r="E2" s="2" t="s">
        <v>100</v>
      </c>
      <c r="F2" s="2" t="s">
        <v>101</v>
      </c>
      <c r="G2" s="2" t="s">
        <v>48</v>
      </c>
    </row>
    <row r="3" spans="1:7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  <c r="F3" s="2" t="s">
        <v>17</v>
      </c>
      <c r="G3" s="2" t="s">
        <v>17</v>
      </c>
    </row>
    <row r="4" spans="1:7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</row>
    <row r="5" spans="1:7">
      <c r="A5" t="s">
        <v>21</v>
      </c>
      <c r="B5" s="2"/>
      <c r="C5" s="2">
        <v>0</v>
      </c>
      <c r="D5" s="2">
        <v>0</v>
      </c>
      <c r="E5" s="2">
        <v>0</v>
      </c>
      <c r="F5" s="2">
        <v>0</v>
      </c>
      <c r="G5" s="2">
        <v>0</v>
      </c>
    </row>
    <row r="6" spans="1:7">
      <c r="A6" t="s">
        <v>102</v>
      </c>
      <c r="B6">
        <v>1</v>
      </c>
      <c r="C6">
        <v>12</v>
      </c>
      <c r="D6">
        <v>0</v>
      </c>
      <c r="E6">
        <v>0</v>
      </c>
      <c r="F6">
        <v>100</v>
      </c>
      <c r="G6">
        <v>1</v>
      </c>
    </row>
    <row r="7" spans="2:7">
      <c r="B7">
        <v>2</v>
      </c>
      <c r="C7">
        <v>12</v>
      </c>
      <c r="D7">
        <v>1</v>
      </c>
      <c r="E7">
        <v>100</v>
      </c>
      <c r="F7">
        <v>200</v>
      </c>
      <c r="G7">
        <v>2</v>
      </c>
    </row>
    <row r="8" spans="2:7">
      <c r="B8">
        <v>3</v>
      </c>
      <c r="C8">
        <v>12</v>
      </c>
      <c r="D8">
        <v>2</v>
      </c>
      <c r="E8">
        <v>200</v>
      </c>
      <c r="F8">
        <v>300</v>
      </c>
      <c r="G8">
        <v>3</v>
      </c>
    </row>
    <row r="9" spans="2:7">
      <c r="B9">
        <v>4</v>
      </c>
      <c r="C9">
        <v>12</v>
      </c>
      <c r="D9">
        <v>3</v>
      </c>
      <c r="E9">
        <v>300</v>
      </c>
      <c r="F9">
        <v>400</v>
      </c>
      <c r="G9">
        <v>4</v>
      </c>
    </row>
    <row r="10" spans="2:7">
      <c r="B10">
        <v>5</v>
      </c>
      <c r="C10">
        <v>12</v>
      </c>
      <c r="D10">
        <v>4</v>
      </c>
      <c r="E10">
        <v>400</v>
      </c>
      <c r="F10">
        <v>500</v>
      </c>
      <c r="G10">
        <v>5</v>
      </c>
    </row>
    <row r="11" spans="2:7">
      <c r="B11">
        <v>6</v>
      </c>
      <c r="C11">
        <v>12</v>
      </c>
      <c r="D11">
        <v>5</v>
      </c>
      <c r="E11">
        <v>500</v>
      </c>
      <c r="F11">
        <v>600</v>
      </c>
      <c r="G11">
        <v>6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7"/>
  <sheetViews>
    <sheetView workbookViewId="0">
      <selection activeCell="D40" sqref="D40"/>
    </sheetView>
  </sheetViews>
  <sheetFormatPr defaultColWidth="9" defaultRowHeight="14.25" outlineLevelCol="6"/>
  <cols>
    <col min="1" max="1" width="10.4416666666667" customWidth="1"/>
    <col min="2" max="2" width="12.1083333333333" customWidth="1"/>
    <col min="3" max="3" width="11.4416666666667" customWidth="1"/>
    <col min="4" max="4" width="27.8833333333333" customWidth="1"/>
  </cols>
  <sheetData>
    <row r="1" spans="1:7">
      <c r="A1" t="s">
        <v>0</v>
      </c>
      <c r="B1" t="s">
        <v>103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</row>
    <row r="2" spans="1:7">
      <c r="A2" t="s">
        <v>8</v>
      </c>
      <c r="B2" s="2" t="s">
        <v>9</v>
      </c>
      <c r="C2" s="12"/>
      <c r="D2" s="2" t="s">
        <v>109</v>
      </c>
      <c r="E2" s="2" t="s">
        <v>110</v>
      </c>
      <c r="F2" s="2" t="s">
        <v>111</v>
      </c>
      <c r="G2" s="2" t="s">
        <v>112</v>
      </c>
    </row>
    <row r="3" spans="1:7">
      <c r="A3" t="s">
        <v>16</v>
      </c>
      <c r="B3" s="2" t="s">
        <v>17</v>
      </c>
      <c r="C3" s="12"/>
      <c r="D3" s="2" t="s">
        <v>17</v>
      </c>
      <c r="E3" s="2" t="s">
        <v>17</v>
      </c>
      <c r="F3" s="2" t="s">
        <v>17</v>
      </c>
      <c r="G3" s="2" t="s">
        <v>17</v>
      </c>
    </row>
    <row r="4" spans="1:7">
      <c r="A4" t="s">
        <v>19</v>
      </c>
      <c r="B4" s="2" t="s">
        <v>20</v>
      </c>
      <c r="C4" s="12"/>
      <c r="D4" s="2" t="s">
        <v>20</v>
      </c>
      <c r="E4" s="2" t="s">
        <v>20</v>
      </c>
      <c r="F4" s="2" t="s">
        <v>20</v>
      </c>
      <c r="G4" s="2" t="s">
        <v>20</v>
      </c>
    </row>
    <row r="5" spans="1:7">
      <c r="A5" t="s">
        <v>21</v>
      </c>
      <c r="B5" s="2"/>
      <c r="C5" s="12"/>
      <c r="D5" s="2">
        <v>0</v>
      </c>
      <c r="E5" s="2">
        <v>0</v>
      </c>
      <c r="F5" s="2">
        <v>0</v>
      </c>
      <c r="G5" s="2">
        <v>0</v>
      </c>
    </row>
    <row r="6" spans="1:7">
      <c r="A6" t="s">
        <v>113</v>
      </c>
      <c r="B6">
        <v>101</v>
      </c>
      <c r="C6" t="s">
        <v>114</v>
      </c>
      <c r="D6">
        <v>1</v>
      </c>
      <c r="E6">
        <v>1</v>
      </c>
      <c r="F6">
        <v>1</v>
      </c>
      <c r="G6">
        <v>1</v>
      </c>
    </row>
    <row r="7" spans="2:7">
      <c r="B7">
        <v>102</v>
      </c>
      <c r="C7" s="44" t="s">
        <v>115</v>
      </c>
      <c r="D7" s="44">
        <v>1</v>
      </c>
      <c r="E7" s="44">
        <v>2</v>
      </c>
      <c r="F7">
        <v>1</v>
      </c>
      <c r="G7">
        <v>5</v>
      </c>
    </row>
    <row r="8" spans="2:7">
      <c r="B8">
        <v>103</v>
      </c>
      <c r="C8" s="44" t="s">
        <v>116</v>
      </c>
      <c r="D8" s="44">
        <v>1</v>
      </c>
      <c r="E8" s="44">
        <v>3</v>
      </c>
      <c r="F8">
        <v>1</v>
      </c>
      <c r="G8">
        <v>5</v>
      </c>
    </row>
    <row r="9" spans="2:7">
      <c r="B9">
        <v>104</v>
      </c>
      <c r="C9" s="44" t="s">
        <v>117</v>
      </c>
      <c r="D9" s="44">
        <v>1</v>
      </c>
      <c r="E9" s="44">
        <v>4</v>
      </c>
      <c r="F9">
        <v>1</v>
      </c>
      <c r="G9">
        <v>10</v>
      </c>
    </row>
    <row r="10" spans="2:7">
      <c r="B10">
        <v>105</v>
      </c>
      <c r="C10" s="44" t="s">
        <v>118</v>
      </c>
      <c r="D10" s="44">
        <v>1</v>
      </c>
      <c r="E10" s="44">
        <v>5</v>
      </c>
      <c r="F10">
        <v>1</v>
      </c>
      <c r="G10">
        <v>10</v>
      </c>
    </row>
    <row r="11" spans="2:7">
      <c r="B11">
        <v>106</v>
      </c>
      <c r="C11" s="44" t="s">
        <v>119</v>
      </c>
      <c r="D11" s="44">
        <v>1</v>
      </c>
      <c r="E11" s="44">
        <v>6</v>
      </c>
      <c r="F11">
        <v>1</v>
      </c>
      <c r="G11">
        <v>15</v>
      </c>
    </row>
    <row r="12" spans="2:7">
      <c r="B12">
        <v>107</v>
      </c>
      <c r="C12" t="s">
        <v>120</v>
      </c>
      <c r="D12">
        <v>1</v>
      </c>
      <c r="E12">
        <v>7</v>
      </c>
      <c r="F12">
        <v>1</v>
      </c>
      <c r="G12">
        <v>15</v>
      </c>
    </row>
    <row r="13" spans="2:7">
      <c r="B13">
        <v>108</v>
      </c>
      <c r="C13" s="44" t="s">
        <v>121</v>
      </c>
      <c r="D13" s="44">
        <v>1</v>
      </c>
      <c r="E13" s="44">
        <v>8</v>
      </c>
      <c r="F13">
        <v>1</v>
      </c>
      <c r="G13">
        <v>20</v>
      </c>
    </row>
    <row r="14" spans="2:7">
      <c r="B14">
        <v>109</v>
      </c>
      <c r="C14" t="s">
        <v>122</v>
      </c>
      <c r="D14">
        <v>1</v>
      </c>
      <c r="E14">
        <v>9</v>
      </c>
      <c r="F14">
        <v>1</v>
      </c>
      <c r="G14">
        <v>20</v>
      </c>
    </row>
    <row r="15" spans="2:7">
      <c r="B15">
        <v>110</v>
      </c>
      <c r="C15" t="s">
        <v>123</v>
      </c>
      <c r="D15">
        <v>1</v>
      </c>
      <c r="E15" s="45">
        <v>201</v>
      </c>
      <c r="F15">
        <v>1</v>
      </c>
      <c r="G15">
        <v>10</v>
      </c>
    </row>
    <row r="16" spans="2:7">
      <c r="B16">
        <v>111</v>
      </c>
      <c r="C16" t="s">
        <v>124</v>
      </c>
      <c r="D16">
        <v>1</v>
      </c>
      <c r="E16" s="45">
        <v>202</v>
      </c>
      <c r="F16">
        <v>1</v>
      </c>
      <c r="G16">
        <v>15</v>
      </c>
    </row>
    <row r="17" spans="2:7">
      <c r="B17">
        <v>112</v>
      </c>
      <c r="C17" t="s">
        <v>125</v>
      </c>
      <c r="D17">
        <v>1</v>
      </c>
      <c r="E17" s="45">
        <v>203</v>
      </c>
      <c r="F17">
        <v>1</v>
      </c>
      <c r="G17">
        <v>20</v>
      </c>
    </row>
    <row r="18" spans="2:7">
      <c r="B18">
        <v>113</v>
      </c>
      <c r="C18" s="44" t="s">
        <v>126</v>
      </c>
      <c r="D18" s="44">
        <v>1</v>
      </c>
      <c r="E18" s="44">
        <v>103</v>
      </c>
      <c r="F18">
        <v>1</v>
      </c>
      <c r="G18">
        <v>10</v>
      </c>
    </row>
    <row r="19" spans="2:7">
      <c r="B19">
        <v>114</v>
      </c>
      <c r="C19" s="44" t="s">
        <v>127</v>
      </c>
      <c r="D19" s="44">
        <v>1</v>
      </c>
      <c r="E19" s="44">
        <v>105</v>
      </c>
      <c r="F19">
        <v>1</v>
      </c>
      <c r="G19">
        <v>15</v>
      </c>
    </row>
    <row r="20" spans="2:7">
      <c r="B20">
        <v>115</v>
      </c>
      <c r="C20" t="s">
        <v>128</v>
      </c>
      <c r="D20">
        <v>1</v>
      </c>
      <c r="E20">
        <v>601</v>
      </c>
      <c r="F20">
        <v>1</v>
      </c>
      <c r="G20">
        <v>5</v>
      </c>
    </row>
    <row r="21" spans="2:7">
      <c r="B21">
        <v>116</v>
      </c>
      <c r="C21" s="44" t="s">
        <v>129</v>
      </c>
      <c r="D21" s="44">
        <v>1</v>
      </c>
      <c r="E21" s="44">
        <v>602</v>
      </c>
      <c r="F21">
        <v>1</v>
      </c>
      <c r="G21">
        <v>10</v>
      </c>
    </row>
    <row r="22" spans="2:7">
      <c r="B22">
        <v>117</v>
      </c>
      <c r="C22" s="44" t="s">
        <v>130</v>
      </c>
      <c r="D22" s="44">
        <v>1</v>
      </c>
      <c r="E22" s="44">
        <v>603</v>
      </c>
      <c r="F22">
        <v>1</v>
      </c>
      <c r="G22">
        <v>15</v>
      </c>
    </row>
    <row r="23" spans="2:7">
      <c r="B23">
        <v>118</v>
      </c>
      <c r="C23" t="s">
        <v>131</v>
      </c>
      <c r="D23">
        <v>1</v>
      </c>
      <c r="E23">
        <v>604</v>
      </c>
      <c r="F23">
        <v>1</v>
      </c>
      <c r="G23">
        <v>20</v>
      </c>
    </row>
    <row r="24" ht="15.75" spans="2:7">
      <c r="B24">
        <v>119</v>
      </c>
      <c r="C24" s="44" t="s">
        <v>132</v>
      </c>
      <c r="D24" s="44">
        <v>1</v>
      </c>
      <c r="E24" s="46">
        <v>1101</v>
      </c>
      <c r="F24">
        <v>1</v>
      </c>
      <c r="G24">
        <v>5</v>
      </c>
    </row>
    <row r="25" ht="15.75" spans="2:7">
      <c r="B25">
        <v>120</v>
      </c>
      <c r="C25" s="44" t="s">
        <v>133</v>
      </c>
      <c r="D25" s="44">
        <v>1</v>
      </c>
      <c r="E25" s="46">
        <v>13</v>
      </c>
      <c r="F25">
        <v>1</v>
      </c>
      <c r="G25">
        <v>10</v>
      </c>
    </row>
    <row r="26" ht="15.75" spans="2:7">
      <c r="B26">
        <v>121</v>
      </c>
      <c r="C26" s="44" t="s">
        <v>134</v>
      </c>
      <c r="D26" s="44">
        <v>1</v>
      </c>
      <c r="E26" s="46">
        <v>12</v>
      </c>
      <c r="F26">
        <v>1</v>
      </c>
      <c r="G26">
        <v>25</v>
      </c>
    </row>
    <row r="27" ht="15.75" spans="2:7">
      <c r="B27">
        <v>122</v>
      </c>
      <c r="C27" s="44" t="s">
        <v>135</v>
      </c>
      <c r="D27" s="44">
        <v>1</v>
      </c>
      <c r="E27" s="46">
        <v>106</v>
      </c>
      <c r="F27">
        <v>1</v>
      </c>
      <c r="G27">
        <v>20</v>
      </c>
    </row>
    <row r="28" ht="15.75" spans="2:7">
      <c r="B28">
        <v>123</v>
      </c>
      <c r="C28" s="44" t="s">
        <v>136</v>
      </c>
      <c r="D28" s="44">
        <v>1</v>
      </c>
      <c r="E28" s="46">
        <v>301</v>
      </c>
      <c r="F28">
        <v>1</v>
      </c>
      <c r="G28">
        <v>5</v>
      </c>
    </row>
    <row r="29" ht="15.75" spans="2:7">
      <c r="B29">
        <v>124</v>
      </c>
      <c r="C29" s="44" t="s">
        <v>137</v>
      </c>
      <c r="D29" s="44">
        <v>1</v>
      </c>
      <c r="E29" s="46">
        <v>302</v>
      </c>
      <c r="F29">
        <v>1</v>
      </c>
      <c r="G29">
        <v>10</v>
      </c>
    </row>
    <row r="30" ht="15.75" spans="2:7">
      <c r="B30">
        <v>125</v>
      </c>
      <c r="C30" s="47" t="s">
        <v>138</v>
      </c>
      <c r="D30" s="44">
        <v>1</v>
      </c>
      <c r="E30" s="46">
        <v>303</v>
      </c>
      <c r="F30">
        <v>1</v>
      </c>
      <c r="G30">
        <v>20</v>
      </c>
    </row>
    <row r="31" ht="15.75" spans="2:7">
      <c r="B31">
        <v>126</v>
      </c>
      <c r="C31" s="44" t="s">
        <v>132</v>
      </c>
      <c r="D31" s="44">
        <v>1</v>
      </c>
      <c r="E31" s="46">
        <v>1102</v>
      </c>
      <c r="F31">
        <v>1</v>
      </c>
      <c r="G31">
        <v>10</v>
      </c>
    </row>
    <row r="32" spans="2:7">
      <c r="B32">
        <v>201</v>
      </c>
      <c r="C32" t="s">
        <v>139</v>
      </c>
      <c r="D32">
        <v>2</v>
      </c>
      <c r="E32">
        <v>1</v>
      </c>
      <c r="F32">
        <v>1</v>
      </c>
      <c r="G32">
        <v>70</v>
      </c>
    </row>
    <row r="33" spans="2:7">
      <c r="B33">
        <v>202</v>
      </c>
      <c r="C33" t="s">
        <v>140</v>
      </c>
      <c r="D33">
        <v>2</v>
      </c>
      <c r="E33">
        <v>2</v>
      </c>
      <c r="F33">
        <v>1</v>
      </c>
      <c r="G33">
        <v>60</v>
      </c>
    </row>
    <row r="34" spans="2:7">
      <c r="B34">
        <v>203</v>
      </c>
      <c r="C34" t="s">
        <v>141</v>
      </c>
      <c r="D34">
        <v>2</v>
      </c>
      <c r="E34">
        <v>3</v>
      </c>
      <c r="F34">
        <v>1</v>
      </c>
      <c r="G34">
        <v>50</v>
      </c>
    </row>
    <row r="35" spans="2:7">
      <c r="B35">
        <v>204</v>
      </c>
      <c r="C35" t="s">
        <v>142</v>
      </c>
      <c r="D35">
        <v>2</v>
      </c>
      <c r="E35">
        <v>4</v>
      </c>
      <c r="F35">
        <v>1</v>
      </c>
      <c r="G35">
        <v>40</v>
      </c>
    </row>
    <row r="36" spans="2:7">
      <c r="B36">
        <v>301</v>
      </c>
      <c r="C36" t="s">
        <v>143</v>
      </c>
      <c r="D36">
        <v>3</v>
      </c>
      <c r="E36">
        <v>1</v>
      </c>
      <c r="F36">
        <v>1</v>
      </c>
      <c r="G36">
        <v>1</v>
      </c>
    </row>
    <row r="37" spans="2:7">
      <c r="B37">
        <v>401</v>
      </c>
      <c r="C37" t="s">
        <v>144</v>
      </c>
      <c r="D37">
        <v>4</v>
      </c>
      <c r="E37">
        <v>1</v>
      </c>
      <c r="F37">
        <v>10</v>
      </c>
      <c r="G37">
        <v>200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workbookViewId="0">
      <selection activeCell="F41" sqref="F41"/>
    </sheetView>
  </sheetViews>
  <sheetFormatPr defaultColWidth="9" defaultRowHeight="14.25" outlineLevelCol="6"/>
  <cols>
    <col min="1" max="1" width="12.1083333333333" customWidth="1"/>
    <col min="2" max="2" width="11.4416666666667" customWidth="1"/>
    <col min="3" max="3" width="27.8833333333333" customWidth="1"/>
  </cols>
  <sheetData>
    <row r="1" spans="1:7">
      <c r="A1" t="s">
        <v>0</v>
      </c>
      <c r="B1" t="s">
        <v>105</v>
      </c>
      <c r="C1" t="s">
        <v>145</v>
      </c>
      <c r="D1" t="s">
        <v>146</v>
      </c>
      <c r="E1" t="s">
        <v>147</v>
      </c>
      <c r="F1" t="s">
        <v>146</v>
      </c>
      <c r="G1" t="s">
        <v>148</v>
      </c>
    </row>
    <row r="2" spans="1:7">
      <c r="A2" t="s">
        <v>8</v>
      </c>
      <c r="B2" s="2" t="s">
        <v>9</v>
      </c>
      <c r="C2" s="2" t="s">
        <v>149</v>
      </c>
      <c r="D2" s="12"/>
      <c r="E2" s="2" t="s">
        <v>150</v>
      </c>
      <c r="F2" s="12"/>
      <c r="G2" s="2" t="s">
        <v>151</v>
      </c>
    </row>
    <row r="3" spans="1:7">
      <c r="A3" t="s">
        <v>16</v>
      </c>
      <c r="B3" s="2" t="s">
        <v>17</v>
      </c>
      <c r="C3" s="2" t="s">
        <v>17</v>
      </c>
      <c r="D3" s="12" t="s">
        <v>18</v>
      </c>
      <c r="E3" s="2" t="s">
        <v>17</v>
      </c>
      <c r="F3" s="12" t="s">
        <v>18</v>
      </c>
      <c r="G3" s="2" t="s">
        <v>17</v>
      </c>
    </row>
    <row r="4" spans="1:7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</row>
    <row r="5" spans="1:7">
      <c r="A5" t="s">
        <v>21</v>
      </c>
      <c r="B5" s="2"/>
      <c r="C5" s="2">
        <v>0</v>
      </c>
      <c r="D5" s="12"/>
      <c r="E5" s="2">
        <v>0</v>
      </c>
      <c r="F5" s="12"/>
      <c r="G5" s="2">
        <v>0</v>
      </c>
    </row>
    <row r="6" spans="1:7">
      <c r="A6" t="s">
        <v>152</v>
      </c>
      <c r="B6">
        <v>1</v>
      </c>
      <c r="C6">
        <v>850011</v>
      </c>
      <c r="D6" t="s">
        <v>153</v>
      </c>
      <c r="E6">
        <v>850012</v>
      </c>
      <c r="F6" t="s">
        <v>154</v>
      </c>
      <c r="G6">
        <v>3000</v>
      </c>
    </row>
    <row r="7" spans="2:7">
      <c r="B7">
        <v>2</v>
      </c>
      <c r="C7">
        <v>850021</v>
      </c>
      <c r="D7" t="s">
        <v>155</v>
      </c>
      <c r="E7">
        <v>850022</v>
      </c>
      <c r="F7" t="s">
        <v>156</v>
      </c>
      <c r="G7">
        <v>1</v>
      </c>
    </row>
    <row r="8" spans="2:7">
      <c r="B8">
        <v>3</v>
      </c>
      <c r="C8">
        <v>850031</v>
      </c>
      <c r="D8" t="s">
        <v>157</v>
      </c>
      <c r="E8">
        <v>850032</v>
      </c>
      <c r="F8" t="s">
        <v>158</v>
      </c>
      <c r="G8">
        <v>1000</v>
      </c>
    </row>
    <row r="9" spans="2:7">
      <c r="B9">
        <v>4</v>
      </c>
      <c r="C9">
        <v>850041</v>
      </c>
      <c r="D9" t="s">
        <v>159</v>
      </c>
      <c r="E9">
        <v>850042</v>
      </c>
      <c r="F9" t="s">
        <v>160</v>
      </c>
      <c r="G9">
        <v>4</v>
      </c>
    </row>
  </sheetData>
  <pageMargins left="0.7" right="0.7" top="0.75" bottom="0.75" header="0.3" footer="0.3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3"/>
  <sheetViews>
    <sheetView workbookViewId="0">
      <selection activeCell="F33" sqref="F33"/>
    </sheetView>
  </sheetViews>
  <sheetFormatPr defaultColWidth="9" defaultRowHeight="14.25"/>
  <cols>
    <col min="3" max="3" width="14.125" customWidth="1"/>
    <col min="6" max="6" width="20.625" customWidth="1"/>
    <col min="7" max="7" width="14.25" customWidth="1"/>
    <col min="8" max="8" width="21.75" customWidth="1"/>
    <col min="9" max="9" width="14.625" customWidth="1"/>
    <col min="10" max="10" width="13.875" customWidth="1"/>
  </cols>
  <sheetData>
    <row r="1" spans="1:10">
      <c r="A1" t="s">
        <v>0</v>
      </c>
      <c r="B1" t="s">
        <v>161</v>
      </c>
      <c r="C1" t="s">
        <v>162</v>
      </c>
      <c r="D1" t="s">
        <v>163</v>
      </c>
      <c r="E1" t="s">
        <v>164</v>
      </c>
      <c r="F1" t="s">
        <v>165</v>
      </c>
      <c r="G1" t="s">
        <v>166</v>
      </c>
      <c r="H1" t="s">
        <v>146</v>
      </c>
      <c r="I1" t="s">
        <v>167</v>
      </c>
      <c r="J1" t="s">
        <v>146</v>
      </c>
    </row>
    <row r="2" spans="1:10">
      <c r="A2" t="s">
        <v>8</v>
      </c>
      <c r="B2" s="2" t="s">
        <v>9</v>
      </c>
      <c r="C2" s="2" t="s">
        <v>168</v>
      </c>
      <c r="D2" s="2" t="s">
        <v>169</v>
      </c>
      <c r="E2" s="2" t="s">
        <v>170</v>
      </c>
      <c r="F2" s="40" t="s">
        <v>171</v>
      </c>
      <c r="G2" s="2" t="s">
        <v>172</v>
      </c>
      <c r="H2" s="12"/>
      <c r="I2" s="2" t="s">
        <v>173</v>
      </c>
      <c r="J2" s="12"/>
    </row>
    <row r="3" ht="15.75" spans="1:10">
      <c r="A3" t="s">
        <v>16</v>
      </c>
      <c r="B3" s="2" t="s">
        <v>17</v>
      </c>
      <c r="C3" s="41" t="s">
        <v>18</v>
      </c>
      <c r="D3" s="2" t="s">
        <v>17</v>
      </c>
      <c r="E3" s="2" t="s">
        <v>17</v>
      </c>
      <c r="F3" s="42" t="s">
        <v>174</v>
      </c>
      <c r="G3" s="2" t="s">
        <v>17</v>
      </c>
      <c r="H3" s="12" t="s">
        <v>18</v>
      </c>
      <c r="I3" s="2" t="s">
        <v>17</v>
      </c>
      <c r="J3" s="12" t="s">
        <v>18</v>
      </c>
    </row>
    <row r="4" spans="1:10">
      <c r="A4" t="s">
        <v>19</v>
      </c>
      <c r="B4" s="2" t="s">
        <v>20</v>
      </c>
      <c r="C4" s="41" t="s">
        <v>20</v>
      </c>
      <c r="D4" s="2" t="s">
        <v>20</v>
      </c>
      <c r="E4" s="2" t="s">
        <v>20</v>
      </c>
      <c r="F4" s="40" t="s">
        <v>20</v>
      </c>
      <c r="G4" s="2" t="s">
        <v>20</v>
      </c>
      <c r="H4" s="2" t="s">
        <v>20</v>
      </c>
      <c r="I4" s="2" t="s">
        <v>20</v>
      </c>
      <c r="J4" s="2" t="s">
        <v>20</v>
      </c>
    </row>
    <row r="5" ht="15.75" spans="1:10">
      <c r="A5" t="s">
        <v>21</v>
      </c>
      <c r="B5" s="2"/>
      <c r="C5" s="41" t="s">
        <v>175</v>
      </c>
      <c r="D5" s="2">
        <v>0</v>
      </c>
      <c r="E5" s="2">
        <v>0</v>
      </c>
      <c r="F5" s="42">
        <v>0</v>
      </c>
      <c r="G5" s="2">
        <v>0</v>
      </c>
      <c r="H5" s="12"/>
      <c r="I5" s="2">
        <v>0</v>
      </c>
      <c r="J5" s="12"/>
    </row>
    <row r="6" spans="1:10">
      <c r="A6" t="s">
        <v>176</v>
      </c>
      <c r="B6">
        <v>1</v>
      </c>
      <c r="D6">
        <v>0</v>
      </c>
      <c r="E6">
        <v>400</v>
      </c>
      <c r="F6" s="43" t="s">
        <v>177</v>
      </c>
      <c r="G6">
        <v>860011</v>
      </c>
      <c r="H6" t="s">
        <v>178</v>
      </c>
      <c r="I6">
        <v>860012</v>
      </c>
      <c r="J6" t="s">
        <v>179</v>
      </c>
    </row>
    <row r="7" spans="2:10">
      <c r="B7">
        <v>2</v>
      </c>
      <c r="D7">
        <v>0</v>
      </c>
      <c r="E7">
        <v>800</v>
      </c>
      <c r="F7" s="43" t="s">
        <v>180</v>
      </c>
      <c r="G7">
        <v>860021</v>
      </c>
      <c r="H7" t="s">
        <v>181</v>
      </c>
      <c r="I7">
        <v>860022</v>
      </c>
      <c r="J7" t="s">
        <v>182</v>
      </c>
    </row>
    <row r="8" spans="2:10">
      <c r="B8">
        <v>3</v>
      </c>
      <c r="D8">
        <v>0</v>
      </c>
      <c r="E8">
        <v>1200</v>
      </c>
      <c r="F8" s="43" t="s">
        <v>183</v>
      </c>
      <c r="G8">
        <v>860031</v>
      </c>
      <c r="H8" t="s">
        <v>184</v>
      </c>
      <c r="I8">
        <v>860032</v>
      </c>
      <c r="J8" t="s">
        <v>185</v>
      </c>
    </row>
    <row r="9" spans="2:10">
      <c r="B9">
        <v>4</v>
      </c>
      <c r="D9">
        <v>0</v>
      </c>
      <c r="E9">
        <v>1600</v>
      </c>
      <c r="F9" s="43" t="s">
        <v>186</v>
      </c>
      <c r="G9">
        <v>860041</v>
      </c>
      <c r="H9" t="s">
        <v>187</v>
      </c>
      <c r="I9">
        <v>860042</v>
      </c>
      <c r="J9" t="s">
        <v>188</v>
      </c>
    </row>
    <row r="10" spans="2:10">
      <c r="B10">
        <v>5</v>
      </c>
      <c r="C10" t="s">
        <v>189</v>
      </c>
      <c r="D10">
        <v>1</v>
      </c>
      <c r="E10">
        <v>1500</v>
      </c>
      <c r="F10" s="43" t="s">
        <v>190</v>
      </c>
      <c r="G10">
        <v>860051</v>
      </c>
      <c r="H10" t="s">
        <v>191</v>
      </c>
      <c r="I10">
        <v>860052</v>
      </c>
      <c r="J10" t="s">
        <v>192</v>
      </c>
    </row>
    <row r="11" spans="2:10">
      <c r="B11">
        <v>6</v>
      </c>
      <c r="C11" t="s">
        <v>189</v>
      </c>
      <c r="D11">
        <v>1</v>
      </c>
      <c r="E11">
        <v>3000</v>
      </c>
      <c r="F11" s="43" t="s">
        <v>193</v>
      </c>
      <c r="G11">
        <v>860061</v>
      </c>
      <c r="H11" t="s">
        <v>194</v>
      </c>
      <c r="I11">
        <v>860062</v>
      </c>
      <c r="J11" t="s">
        <v>195</v>
      </c>
    </row>
    <row r="12" spans="2:10">
      <c r="B12">
        <v>7</v>
      </c>
      <c r="C12" t="s">
        <v>196</v>
      </c>
      <c r="D12">
        <v>1</v>
      </c>
      <c r="E12">
        <v>7000</v>
      </c>
      <c r="F12" s="43" t="s">
        <v>197</v>
      </c>
      <c r="G12">
        <v>860071</v>
      </c>
      <c r="H12" t="s">
        <v>198</v>
      </c>
      <c r="I12">
        <v>860072</v>
      </c>
      <c r="J12" t="s">
        <v>199</v>
      </c>
    </row>
    <row r="13" spans="2:10">
      <c r="B13">
        <v>8</v>
      </c>
      <c r="C13" t="s">
        <v>196</v>
      </c>
      <c r="D13">
        <v>1</v>
      </c>
      <c r="E13">
        <v>11000</v>
      </c>
      <c r="F13" s="43" t="s">
        <v>200</v>
      </c>
      <c r="G13">
        <v>860081</v>
      </c>
      <c r="H13" t="s">
        <v>201</v>
      </c>
      <c r="I13">
        <v>860082</v>
      </c>
      <c r="J13" t="s">
        <v>202</v>
      </c>
    </row>
    <row r="14" spans="2:10">
      <c r="B14">
        <v>9</v>
      </c>
      <c r="C14" t="s">
        <v>203</v>
      </c>
      <c r="D14">
        <v>1</v>
      </c>
      <c r="E14">
        <v>15000</v>
      </c>
      <c r="F14" s="43" t="s">
        <v>204</v>
      </c>
      <c r="G14">
        <v>860091</v>
      </c>
      <c r="H14" t="s">
        <v>205</v>
      </c>
      <c r="I14">
        <v>860092</v>
      </c>
      <c r="J14" t="s">
        <v>206</v>
      </c>
    </row>
    <row r="15" spans="2:10">
      <c r="B15">
        <v>10</v>
      </c>
      <c r="C15" t="s">
        <v>203</v>
      </c>
      <c r="D15">
        <v>1</v>
      </c>
      <c r="E15">
        <v>20000</v>
      </c>
      <c r="F15" s="43" t="s">
        <v>207</v>
      </c>
      <c r="G15">
        <v>860101</v>
      </c>
      <c r="H15" t="s">
        <v>208</v>
      </c>
      <c r="I15">
        <v>860102</v>
      </c>
      <c r="J15" t="s">
        <v>209</v>
      </c>
    </row>
    <row r="16" spans="2:10">
      <c r="B16">
        <v>11</v>
      </c>
      <c r="C16" t="s">
        <v>210</v>
      </c>
      <c r="D16">
        <v>1</v>
      </c>
      <c r="E16">
        <v>28000</v>
      </c>
      <c r="F16" s="43" t="s">
        <v>211</v>
      </c>
      <c r="G16">
        <v>860111</v>
      </c>
      <c r="H16" t="s">
        <v>212</v>
      </c>
      <c r="I16">
        <v>860112</v>
      </c>
      <c r="J16" t="s">
        <v>213</v>
      </c>
    </row>
    <row r="17" spans="2:10">
      <c r="B17">
        <v>12</v>
      </c>
      <c r="C17" t="s">
        <v>210</v>
      </c>
      <c r="D17">
        <v>1</v>
      </c>
      <c r="E17">
        <v>32000</v>
      </c>
      <c r="F17" s="43" t="s">
        <v>214</v>
      </c>
      <c r="G17">
        <v>860121</v>
      </c>
      <c r="H17" t="s">
        <v>215</v>
      </c>
      <c r="I17">
        <v>860122</v>
      </c>
      <c r="J17" t="s">
        <v>216</v>
      </c>
    </row>
    <row r="18" spans="2:10">
      <c r="B18">
        <v>13</v>
      </c>
      <c r="C18" t="s">
        <v>217</v>
      </c>
      <c r="D18">
        <v>1</v>
      </c>
      <c r="E18">
        <v>36000</v>
      </c>
      <c r="F18" s="43" t="s">
        <v>218</v>
      </c>
      <c r="G18">
        <v>860131</v>
      </c>
      <c r="H18" t="s">
        <v>219</v>
      </c>
      <c r="I18">
        <v>860132</v>
      </c>
      <c r="J18" t="s">
        <v>220</v>
      </c>
    </row>
    <row r="19" spans="2:10">
      <c r="B19">
        <v>14</v>
      </c>
      <c r="C19" t="s">
        <v>217</v>
      </c>
      <c r="D19">
        <v>1</v>
      </c>
      <c r="E19">
        <v>40000</v>
      </c>
      <c r="F19" s="43" t="s">
        <v>221</v>
      </c>
      <c r="G19">
        <v>860141</v>
      </c>
      <c r="H19" t="s">
        <v>222</v>
      </c>
      <c r="I19">
        <v>860142</v>
      </c>
      <c r="J19" t="s">
        <v>223</v>
      </c>
    </row>
    <row r="20" spans="2:10">
      <c r="B20">
        <v>15</v>
      </c>
      <c r="C20" t="s">
        <v>224</v>
      </c>
      <c r="D20">
        <v>1</v>
      </c>
      <c r="E20">
        <v>48000</v>
      </c>
      <c r="F20" s="43" t="s">
        <v>225</v>
      </c>
      <c r="G20">
        <v>860151</v>
      </c>
      <c r="H20" t="s">
        <v>226</v>
      </c>
      <c r="I20">
        <v>860152</v>
      </c>
      <c r="J20" t="s">
        <v>227</v>
      </c>
    </row>
    <row r="21" spans="2:10">
      <c r="B21">
        <v>16</v>
      </c>
      <c r="C21" t="s">
        <v>224</v>
      </c>
      <c r="D21">
        <v>1</v>
      </c>
      <c r="E21">
        <v>60000</v>
      </c>
      <c r="F21" s="43" t="s">
        <v>228</v>
      </c>
      <c r="G21">
        <v>860161</v>
      </c>
      <c r="H21" t="s">
        <v>229</v>
      </c>
      <c r="I21">
        <v>860162</v>
      </c>
      <c r="J21" t="s">
        <v>230</v>
      </c>
    </row>
    <row r="22" spans="2:10">
      <c r="B22">
        <v>17</v>
      </c>
      <c r="C22" t="s">
        <v>231</v>
      </c>
      <c r="D22">
        <v>1</v>
      </c>
      <c r="E22">
        <v>80000</v>
      </c>
      <c r="F22" s="43" t="s">
        <v>232</v>
      </c>
      <c r="G22">
        <v>860171</v>
      </c>
      <c r="H22" t="s">
        <v>233</v>
      </c>
      <c r="I22">
        <v>860172</v>
      </c>
      <c r="J22" t="s">
        <v>234</v>
      </c>
    </row>
    <row r="23" spans="2:10">
      <c r="B23">
        <v>18</v>
      </c>
      <c r="C23" t="s">
        <v>231</v>
      </c>
      <c r="D23">
        <v>1</v>
      </c>
      <c r="E23">
        <v>100000</v>
      </c>
      <c r="F23" s="43" t="s">
        <v>235</v>
      </c>
      <c r="G23">
        <v>860181</v>
      </c>
      <c r="H23" t="s">
        <v>236</v>
      </c>
      <c r="I23">
        <v>860182</v>
      </c>
      <c r="J23" t="s">
        <v>237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9"/>
  <sheetViews>
    <sheetView workbookViewId="0">
      <selection activeCell="A1" sqref="A1:A5"/>
    </sheetView>
  </sheetViews>
  <sheetFormatPr defaultColWidth="9" defaultRowHeight="14.25"/>
  <sheetData>
    <row r="1" spans="1:13">
      <c r="A1" t="s">
        <v>0</v>
      </c>
      <c r="B1" t="s">
        <v>238</v>
      </c>
      <c r="C1" t="s">
        <v>239</v>
      </c>
      <c r="D1" t="s">
        <v>146</v>
      </c>
      <c r="E1" t="s">
        <v>240</v>
      </c>
      <c r="F1" t="s">
        <v>241</v>
      </c>
      <c r="G1" t="s">
        <v>242</v>
      </c>
      <c r="H1" t="s">
        <v>243</v>
      </c>
      <c r="I1" t="s">
        <v>244</v>
      </c>
      <c r="J1" t="s">
        <v>245</v>
      </c>
      <c r="K1" t="s">
        <v>246</v>
      </c>
      <c r="L1" t="s">
        <v>247</v>
      </c>
      <c r="M1" t="s">
        <v>248</v>
      </c>
    </row>
    <row r="2" spans="1:13">
      <c r="A2" t="s">
        <v>8</v>
      </c>
      <c r="B2" s="2" t="s">
        <v>9</v>
      </c>
      <c r="C2" s="2" t="s">
        <v>249</v>
      </c>
      <c r="D2" s="12"/>
      <c r="E2" s="2" t="s">
        <v>250</v>
      </c>
      <c r="F2" s="2" t="s">
        <v>251</v>
      </c>
      <c r="G2" s="2" t="s">
        <v>252</v>
      </c>
      <c r="H2" s="2" t="s">
        <v>253</v>
      </c>
      <c r="I2" s="2" t="s">
        <v>254</v>
      </c>
      <c r="J2" s="2" t="s">
        <v>255</v>
      </c>
      <c r="K2" s="2" t="s">
        <v>256</v>
      </c>
      <c r="L2" s="2" t="s">
        <v>257</v>
      </c>
      <c r="M2" s="2" t="s">
        <v>258</v>
      </c>
    </row>
    <row r="3" spans="1:13">
      <c r="A3" t="s">
        <v>16</v>
      </c>
      <c r="B3" s="2" t="s">
        <v>17</v>
      </c>
      <c r="C3" s="2" t="s">
        <v>17</v>
      </c>
      <c r="D3" s="12" t="s">
        <v>18</v>
      </c>
      <c r="E3" s="2" t="s">
        <v>17</v>
      </c>
      <c r="F3" s="2" t="s">
        <v>17</v>
      </c>
      <c r="G3" s="2" t="s">
        <v>17</v>
      </c>
      <c r="H3" s="2" t="s">
        <v>17</v>
      </c>
      <c r="I3" s="2" t="s">
        <v>17</v>
      </c>
      <c r="J3" s="2" t="s">
        <v>17</v>
      </c>
      <c r="K3" s="2" t="s">
        <v>17</v>
      </c>
      <c r="L3" s="2" t="s">
        <v>17</v>
      </c>
      <c r="M3" s="2" t="s">
        <v>17</v>
      </c>
    </row>
    <row r="4" spans="1:13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  <c r="J4" s="2" t="s">
        <v>20</v>
      </c>
      <c r="K4" s="2" t="s">
        <v>20</v>
      </c>
      <c r="L4" s="2" t="s">
        <v>20</v>
      </c>
      <c r="M4" s="2" t="s">
        <v>20</v>
      </c>
    </row>
    <row r="5" spans="1:13">
      <c r="A5" t="s">
        <v>21</v>
      </c>
      <c r="B5" s="2"/>
      <c r="C5" s="2">
        <v>0</v>
      </c>
      <c r="D5" s="12"/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3">
      <c r="A6" t="s">
        <v>259</v>
      </c>
      <c r="B6">
        <v>1</v>
      </c>
      <c r="C6">
        <v>99990</v>
      </c>
      <c r="D6" t="s">
        <v>260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0</v>
      </c>
      <c r="M6">
        <v>1</v>
      </c>
    </row>
    <row r="7" spans="2:13">
      <c r="B7">
        <v>2</v>
      </c>
      <c r="C7">
        <v>99991</v>
      </c>
      <c r="D7" t="s">
        <v>261</v>
      </c>
      <c r="E7">
        <v>0</v>
      </c>
      <c r="F7">
        <v>1</v>
      </c>
      <c r="G7">
        <v>0</v>
      </c>
      <c r="H7">
        <v>0</v>
      </c>
      <c r="I7">
        <v>1</v>
      </c>
      <c r="J7">
        <v>1</v>
      </c>
      <c r="K7">
        <v>0</v>
      </c>
      <c r="L7">
        <v>0</v>
      </c>
      <c r="M7">
        <v>1</v>
      </c>
    </row>
    <row r="8" spans="2:13">
      <c r="B8">
        <v>3</v>
      </c>
      <c r="C8">
        <v>99992</v>
      </c>
      <c r="D8" t="s">
        <v>262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900</v>
      </c>
      <c r="M8">
        <v>0</v>
      </c>
    </row>
    <row r="9" spans="2:13">
      <c r="B9">
        <v>4</v>
      </c>
      <c r="C9">
        <v>99993</v>
      </c>
      <c r="D9" t="s">
        <v>263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E12" sqref="E12"/>
    </sheetView>
  </sheetViews>
  <sheetFormatPr defaultColWidth="9" defaultRowHeight="14.25" outlineLevelCol="5"/>
  <cols>
    <col min="1" max="1" width="9" customWidth="1"/>
    <col min="2" max="2" width="10.4416666666667" customWidth="1"/>
    <col min="3" max="3" width="12.1083333333333" customWidth="1"/>
    <col min="4" max="4" width="11.4416666666667" customWidth="1"/>
    <col min="5" max="5" width="27.8833333333333" customWidth="1"/>
  </cols>
  <sheetData>
    <row r="1" spans="1:6">
      <c r="A1" t="s">
        <v>0</v>
      </c>
      <c r="B1" t="s">
        <v>264</v>
      </c>
      <c r="C1" t="s">
        <v>265</v>
      </c>
      <c r="D1" t="s">
        <v>266</v>
      </c>
      <c r="E1" t="s">
        <v>267</v>
      </c>
      <c r="F1" t="s">
        <v>268</v>
      </c>
    </row>
    <row r="2" spans="1:6">
      <c r="A2" t="s">
        <v>8</v>
      </c>
      <c r="B2" s="2" t="s">
        <v>9</v>
      </c>
      <c r="C2" s="12"/>
      <c r="D2" s="2" t="s">
        <v>269</v>
      </c>
      <c r="E2" s="2" t="s">
        <v>270</v>
      </c>
      <c r="F2" s="2" t="s">
        <v>271</v>
      </c>
    </row>
    <row r="3" spans="1:6">
      <c r="A3" t="s">
        <v>16</v>
      </c>
      <c r="B3" s="2" t="s">
        <v>17</v>
      </c>
      <c r="C3" s="12"/>
      <c r="D3" s="2" t="s">
        <v>17</v>
      </c>
      <c r="E3" s="2" t="s">
        <v>17</v>
      </c>
      <c r="F3" s="2" t="s">
        <v>17</v>
      </c>
    </row>
    <row r="4" spans="1:6">
      <c r="A4" t="s">
        <v>19</v>
      </c>
      <c r="B4" s="2" t="s">
        <v>20</v>
      </c>
      <c r="C4" s="12"/>
      <c r="D4" s="2" t="s">
        <v>20</v>
      </c>
      <c r="E4" s="2" t="s">
        <v>20</v>
      </c>
      <c r="F4" s="2" t="s">
        <v>20</v>
      </c>
    </row>
    <row r="5" spans="1:6">
      <c r="A5" t="s">
        <v>21</v>
      </c>
      <c r="B5" s="2"/>
      <c r="C5" s="12"/>
      <c r="D5" s="2">
        <v>0</v>
      </c>
      <c r="E5" s="2">
        <v>0</v>
      </c>
      <c r="F5" s="2">
        <v>0</v>
      </c>
    </row>
    <row r="6" spans="1:6">
      <c r="A6" t="s">
        <v>272</v>
      </c>
      <c r="B6">
        <v>1</v>
      </c>
      <c r="C6" t="s">
        <v>273</v>
      </c>
      <c r="D6">
        <v>1</v>
      </c>
      <c r="E6">
        <v>2</v>
      </c>
      <c r="F6">
        <v>4</v>
      </c>
    </row>
    <row r="7" spans="2:6">
      <c r="B7">
        <v>2</v>
      </c>
      <c r="C7" t="s">
        <v>274</v>
      </c>
      <c r="D7">
        <v>1</v>
      </c>
      <c r="E7">
        <v>4</v>
      </c>
      <c r="F7">
        <v>16</v>
      </c>
    </row>
    <row r="8" spans="2:6">
      <c r="B8">
        <v>3</v>
      </c>
      <c r="C8" t="s">
        <v>275</v>
      </c>
      <c r="D8">
        <v>1</v>
      </c>
      <c r="E8">
        <v>6</v>
      </c>
      <c r="F8">
        <v>48</v>
      </c>
    </row>
    <row r="9" spans="2:6">
      <c r="B9">
        <v>4</v>
      </c>
      <c r="C9" t="s">
        <v>276</v>
      </c>
      <c r="D9">
        <v>1</v>
      </c>
      <c r="E9">
        <v>8</v>
      </c>
      <c r="F9">
        <v>132</v>
      </c>
    </row>
    <row r="10" spans="2:6">
      <c r="B10">
        <v>5</v>
      </c>
      <c r="C10" t="s">
        <v>277</v>
      </c>
      <c r="D10">
        <v>1</v>
      </c>
      <c r="E10">
        <v>10</v>
      </c>
      <c r="F10">
        <v>480</v>
      </c>
    </row>
    <row r="11" spans="2:6">
      <c r="B11">
        <v>6</v>
      </c>
      <c r="C11" t="s">
        <v>120</v>
      </c>
      <c r="D11">
        <v>2</v>
      </c>
      <c r="E11">
        <v>102</v>
      </c>
      <c r="F11">
        <v>4</v>
      </c>
    </row>
    <row r="12" spans="2:6">
      <c r="B12">
        <v>7</v>
      </c>
      <c r="C12" t="s">
        <v>278</v>
      </c>
      <c r="D12">
        <v>2</v>
      </c>
      <c r="E12">
        <v>103</v>
      </c>
      <c r="F12">
        <v>16</v>
      </c>
    </row>
    <row r="13" spans="2:6">
      <c r="B13">
        <v>8</v>
      </c>
      <c r="D13">
        <v>2</v>
      </c>
      <c r="E13">
        <v>104</v>
      </c>
      <c r="F13">
        <v>48</v>
      </c>
    </row>
    <row r="14" spans="2:6">
      <c r="B14">
        <v>9</v>
      </c>
      <c r="D14">
        <v>2</v>
      </c>
      <c r="E14">
        <v>105</v>
      </c>
      <c r="F14">
        <v>132</v>
      </c>
    </row>
    <row r="15" spans="2:6">
      <c r="B15">
        <v>10</v>
      </c>
      <c r="D15">
        <v>2</v>
      </c>
      <c r="E15">
        <v>106</v>
      </c>
      <c r="F15">
        <v>480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2"/>
  <sheetViews>
    <sheetView tabSelected="1" zoomScale="115" zoomScaleNormal="115" workbookViewId="0">
      <selection activeCell="J7" sqref="J7"/>
    </sheetView>
  </sheetViews>
  <sheetFormatPr defaultColWidth="9" defaultRowHeight="14.25" outlineLevelCol="6"/>
  <cols>
    <col min="3" max="3" width="17.0666666666667" customWidth="1"/>
  </cols>
  <sheetData>
    <row r="1" spans="1:7">
      <c r="A1" t="s">
        <v>0</v>
      </c>
      <c r="B1" t="s">
        <v>279</v>
      </c>
      <c r="C1" t="s">
        <v>280</v>
      </c>
      <c r="D1" t="s">
        <v>281</v>
      </c>
      <c r="E1" t="s">
        <v>282</v>
      </c>
      <c r="F1" t="s">
        <v>283</v>
      </c>
      <c r="G1" t="s">
        <v>284</v>
      </c>
    </row>
    <row r="2" spans="1:7">
      <c r="A2" t="s">
        <v>8</v>
      </c>
      <c r="B2" s="2" t="s">
        <v>9</v>
      </c>
      <c r="C2" s="12"/>
      <c r="D2" s="2" t="s">
        <v>285</v>
      </c>
      <c r="E2" s="2" t="s">
        <v>286</v>
      </c>
      <c r="F2" s="2" t="s">
        <v>111</v>
      </c>
      <c r="G2" s="2" t="s">
        <v>287</v>
      </c>
    </row>
    <row r="3" spans="1:7">
      <c r="A3" t="s">
        <v>16</v>
      </c>
      <c r="B3" s="2" t="s">
        <v>17</v>
      </c>
      <c r="C3" s="12"/>
      <c r="D3" s="2" t="s">
        <v>17</v>
      </c>
      <c r="E3" s="2" t="s">
        <v>17</v>
      </c>
      <c r="F3" s="2" t="s">
        <v>17</v>
      </c>
      <c r="G3" s="2" t="s">
        <v>17</v>
      </c>
    </row>
    <row r="4" spans="1:7">
      <c r="A4" t="s">
        <v>19</v>
      </c>
      <c r="B4" s="2" t="s">
        <v>20</v>
      </c>
      <c r="C4" s="12"/>
      <c r="D4" s="2" t="s">
        <v>20</v>
      </c>
      <c r="E4" s="2" t="s">
        <v>20</v>
      </c>
      <c r="F4" s="2" t="s">
        <v>20</v>
      </c>
      <c r="G4" s="2" t="s">
        <v>20</v>
      </c>
    </row>
    <row r="5" spans="1:7">
      <c r="A5" t="s">
        <v>21</v>
      </c>
      <c r="B5" s="2"/>
      <c r="C5" s="12"/>
      <c r="D5" s="2">
        <v>0</v>
      </c>
      <c r="E5" s="2">
        <v>0</v>
      </c>
      <c r="F5" s="2">
        <v>0</v>
      </c>
      <c r="G5" s="2">
        <v>0</v>
      </c>
    </row>
    <row r="6" spans="1:7">
      <c r="A6" t="s">
        <v>288</v>
      </c>
      <c r="B6">
        <v>1</v>
      </c>
      <c r="C6" t="s">
        <v>289</v>
      </c>
      <c r="D6">
        <v>1</v>
      </c>
      <c r="E6">
        <v>2</v>
      </c>
      <c r="F6">
        <v>10</v>
      </c>
      <c r="G6">
        <v>1000</v>
      </c>
    </row>
    <row r="7" spans="2:7">
      <c r="B7">
        <v>2</v>
      </c>
      <c r="C7" t="s">
        <v>290</v>
      </c>
      <c r="D7">
        <v>6</v>
      </c>
      <c r="E7">
        <v>2</v>
      </c>
      <c r="F7">
        <v>10</v>
      </c>
      <c r="G7">
        <v>5000</v>
      </c>
    </row>
    <row r="8" spans="2:7">
      <c r="B8">
        <v>3</v>
      </c>
      <c r="C8" t="s">
        <v>291</v>
      </c>
      <c r="D8">
        <v>18</v>
      </c>
      <c r="E8">
        <v>2</v>
      </c>
      <c r="F8">
        <v>10</v>
      </c>
      <c r="G8">
        <v>10000</v>
      </c>
    </row>
    <row r="9" spans="2:7">
      <c r="B9">
        <v>4</v>
      </c>
      <c r="C9" t="s">
        <v>292</v>
      </c>
      <c r="D9">
        <v>30</v>
      </c>
      <c r="E9">
        <v>2</v>
      </c>
      <c r="F9">
        <v>20</v>
      </c>
      <c r="G9">
        <v>15000</v>
      </c>
    </row>
    <row r="10" spans="2:7">
      <c r="B10">
        <v>5</v>
      </c>
      <c r="C10" t="s">
        <v>293</v>
      </c>
      <c r="D10">
        <v>60</v>
      </c>
      <c r="E10">
        <v>1</v>
      </c>
      <c r="F10">
        <v>10</v>
      </c>
      <c r="G10">
        <v>10</v>
      </c>
    </row>
    <row r="11" spans="2:7">
      <c r="B11">
        <v>6</v>
      </c>
      <c r="C11" t="s">
        <v>294</v>
      </c>
      <c r="D11">
        <v>128</v>
      </c>
      <c r="E11">
        <v>1</v>
      </c>
      <c r="F11">
        <v>15</v>
      </c>
      <c r="G11">
        <v>20</v>
      </c>
    </row>
    <row r="12" spans="2:7">
      <c r="B12">
        <v>7</v>
      </c>
      <c r="C12" t="s">
        <v>295</v>
      </c>
      <c r="D12">
        <v>328</v>
      </c>
      <c r="E12">
        <v>1</v>
      </c>
      <c r="F12">
        <v>20</v>
      </c>
      <c r="G12">
        <v>30</v>
      </c>
    </row>
  </sheetData>
  <pageMargins left="0.7" right="0.7" top="0.75" bottom="0.75" header="0.3" footer="0.3"/>
  <headerFooter/>
  <legacy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A1" sqref="A1:A5"/>
    </sheetView>
  </sheetViews>
  <sheetFormatPr defaultColWidth="9" defaultRowHeight="14.25" outlineLevelCol="2"/>
  <cols>
    <col min="1" max="1" width="11.3333333333333" customWidth="1"/>
    <col min="2" max="2" width="11.775" customWidth="1"/>
    <col min="3" max="3" width="10.4416666666667" customWidth="1"/>
    <col min="4" max="4" width="12.1083333333333" customWidth="1"/>
    <col min="5" max="5" width="11.4416666666667" customWidth="1"/>
    <col min="6" max="6" width="27.8833333333333" customWidth="1"/>
  </cols>
  <sheetData>
    <row r="1" spans="1:3">
      <c r="A1" t="s">
        <v>0</v>
      </c>
      <c r="B1" t="s">
        <v>296</v>
      </c>
      <c r="C1" t="s">
        <v>297</v>
      </c>
    </row>
    <row r="2" spans="1:3">
      <c r="A2" t="s">
        <v>8</v>
      </c>
      <c r="B2" s="2" t="s">
        <v>9</v>
      </c>
      <c r="C2" s="2" t="s">
        <v>298</v>
      </c>
    </row>
    <row r="3" spans="1:3">
      <c r="A3" t="s">
        <v>16</v>
      </c>
      <c r="B3" s="2" t="s">
        <v>17</v>
      </c>
      <c r="C3" s="2" t="s">
        <v>18</v>
      </c>
    </row>
    <row r="4" spans="1:3">
      <c r="A4" t="s">
        <v>19</v>
      </c>
      <c r="B4" s="2" t="s">
        <v>20</v>
      </c>
      <c r="C4" s="2" t="s">
        <v>20</v>
      </c>
    </row>
    <row r="5" spans="1:3">
      <c r="A5" t="s">
        <v>21</v>
      </c>
      <c r="B5" s="2"/>
      <c r="C5" s="2">
        <v>0</v>
      </c>
    </row>
    <row r="6" spans="1:3">
      <c r="A6" t="s">
        <v>299</v>
      </c>
      <c r="B6">
        <v>0</v>
      </c>
      <c r="C6" t="s">
        <v>300</v>
      </c>
    </row>
    <row r="7" spans="2:3">
      <c r="B7">
        <v>1</v>
      </c>
      <c r="C7" t="s">
        <v>301</v>
      </c>
    </row>
    <row r="8" spans="2:3">
      <c r="B8">
        <v>2</v>
      </c>
      <c r="C8" t="s">
        <v>302</v>
      </c>
    </row>
    <row r="9" spans="2:3">
      <c r="B9">
        <v>3</v>
      </c>
      <c r="C9" t="s">
        <v>303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5"/>
  <sheetViews>
    <sheetView workbookViewId="0">
      <selection activeCell="D6" sqref="D6:D15"/>
    </sheetView>
  </sheetViews>
  <sheetFormatPr defaultColWidth="9" defaultRowHeight="14.25" outlineLevelCol="5"/>
  <cols>
    <col min="1" max="1" width="11.775" customWidth="1"/>
    <col min="2" max="2" width="10.4416666666667" customWidth="1"/>
    <col min="3" max="3" width="12.1083333333333" customWidth="1"/>
    <col min="4" max="4" width="11.4416666666667" customWidth="1"/>
    <col min="5" max="5" width="27.8833333333333" customWidth="1"/>
  </cols>
  <sheetData>
    <row r="1" spans="1:6">
      <c r="A1" t="s">
        <v>0</v>
      </c>
      <c r="B1" t="s">
        <v>304</v>
      </c>
      <c r="C1" t="s">
        <v>305</v>
      </c>
      <c r="D1" t="s">
        <v>306</v>
      </c>
      <c r="E1" t="s">
        <v>307</v>
      </c>
      <c r="F1" t="s">
        <v>146</v>
      </c>
    </row>
    <row r="2" spans="1:6">
      <c r="A2" t="s">
        <v>8</v>
      </c>
      <c r="B2" s="2" t="s">
        <v>308</v>
      </c>
      <c r="C2" s="2" t="s">
        <v>309</v>
      </c>
      <c r="D2" s="12"/>
      <c r="E2" s="2" t="s">
        <v>310</v>
      </c>
      <c r="F2" s="12"/>
    </row>
    <row r="3" spans="1:6">
      <c r="A3" t="s">
        <v>16</v>
      </c>
      <c r="B3" s="2" t="s">
        <v>17</v>
      </c>
      <c r="C3" s="2" t="s">
        <v>17</v>
      </c>
      <c r="D3" s="12"/>
      <c r="E3" s="2" t="s">
        <v>17</v>
      </c>
      <c r="F3" s="12" t="s">
        <v>18</v>
      </c>
    </row>
    <row r="4" spans="1:6">
      <c r="A4" t="s">
        <v>19</v>
      </c>
      <c r="B4" s="2" t="s">
        <v>20</v>
      </c>
      <c r="C4" s="2" t="s">
        <v>20</v>
      </c>
      <c r="D4" s="12"/>
      <c r="E4" s="2" t="s">
        <v>20</v>
      </c>
      <c r="F4" s="12" t="s">
        <v>311</v>
      </c>
    </row>
    <row r="5" spans="1:6">
      <c r="A5" t="s">
        <v>21</v>
      </c>
      <c r="B5" s="2"/>
      <c r="C5" s="2">
        <v>0</v>
      </c>
      <c r="D5" s="12"/>
      <c r="E5" s="2">
        <v>0</v>
      </c>
      <c r="F5" s="12"/>
    </row>
    <row r="6" spans="1:6">
      <c r="A6" t="s">
        <v>312</v>
      </c>
      <c r="B6">
        <v>1</v>
      </c>
      <c r="C6">
        <v>0</v>
      </c>
      <c r="D6" t="s">
        <v>313</v>
      </c>
      <c r="E6">
        <v>870011</v>
      </c>
      <c r="F6" t="s">
        <v>314</v>
      </c>
    </row>
    <row r="7" spans="2:6">
      <c r="B7">
        <v>2</v>
      </c>
      <c r="C7">
        <v>0</v>
      </c>
      <c r="D7" t="s">
        <v>315</v>
      </c>
      <c r="E7">
        <v>870021</v>
      </c>
      <c r="F7" t="s">
        <v>316</v>
      </c>
    </row>
    <row r="8" spans="2:6">
      <c r="B8">
        <v>3</v>
      </c>
      <c r="C8">
        <v>0</v>
      </c>
      <c r="D8" t="s">
        <v>317</v>
      </c>
      <c r="E8">
        <v>870031</v>
      </c>
      <c r="F8" t="s">
        <v>318</v>
      </c>
    </row>
    <row r="9" spans="2:6">
      <c r="B9">
        <v>4</v>
      </c>
      <c r="C9">
        <v>0</v>
      </c>
      <c r="D9" t="s">
        <v>319</v>
      </c>
      <c r="E9">
        <v>870041</v>
      </c>
      <c r="F9" t="s">
        <v>320</v>
      </c>
    </row>
    <row r="10" spans="2:6">
      <c r="B10">
        <v>5</v>
      </c>
      <c r="C10">
        <v>0</v>
      </c>
      <c r="D10" t="s">
        <v>321</v>
      </c>
      <c r="E10">
        <v>870051</v>
      </c>
      <c r="F10" t="s">
        <v>322</v>
      </c>
    </row>
    <row r="11" spans="2:6">
      <c r="B11">
        <v>6</v>
      </c>
      <c r="C11">
        <v>0</v>
      </c>
      <c r="D11" t="s">
        <v>323</v>
      </c>
      <c r="E11">
        <v>870061</v>
      </c>
      <c r="F11" t="s">
        <v>324</v>
      </c>
    </row>
    <row r="12" spans="2:6">
      <c r="B12">
        <v>7</v>
      </c>
      <c r="C12">
        <v>1</v>
      </c>
      <c r="D12" t="s">
        <v>325</v>
      </c>
      <c r="E12">
        <v>870071</v>
      </c>
      <c r="F12" s="8" t="s">
        <v>326</v>
      </c>
    </row>
    <row r="13" spans="2:6">
      <c r="B13">
        <v>8</v>
      </c>
      <c r="C13">
        <v>2</v>
      </c>
      <c r="D13" t="s">
        <v>327</v>
      </c>
      <c r="E13">
        <v>870081</v>
      </c>
      <c r="F13" t="s">
        <v>328</v>
      </c>
    </row>
    <row r="14" spans="2:6">
      <c r="B14">
        <v>9</v>
      </c>
      <c r="C14">
        <v>2</v>
      </c>
      <c r="D14" t="s">
        <v>327</v>
      </c>
      <c r="E14">
        <v>870091</v>
      </c>
      <c r="F14" t="s">
        <v>329</v>
      </c>
    </row>
    <row r="15" spans="2:6">
      <c r="B15">
        <v>10</v>
      </c>
      <c r="C15">
        <v>0</v>
      </c>
      <c r="D15" t="s">
        <v>330</v>
      </c>
      <c r="E15">
        <v>870101</v>
      </c>
      <c r="F15" t="s">
        <v>331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" sqref="A1:A5"/>
    </sheetView>
  </sheetViews>
  <sheetFormatPr defaultColWidth="11" defaultRowHeight="14.25" outlineLevelRow="7" outlineLevelCol="4"/>
  <sheetData>
    <row r="1" spans="1:5">
      <c r="A1" t="s">
        <v>0</v>
      </c>
      <c r="B1" t="s">
        <v>165</v>
      </c>
      <c r="C1" t="s">
        <v>332</v>
      </c>
      <c r="D1" t="s">
        <v>333</v>
      </c>
      <c r="E1" t="s">
        <v>334</v>
      </c>
    </row>
    <row r="2" spans="1:5">
      <c r="A2" t="s">
        <v>8</v>
      </c>
      <c r="B2" s="2" t="s">
        <v>286</v>
      </c>
      <c r="C2" s="2" t="s">
        <v>335</v>
      </c>
      <c r="D2" s="2" t="s">
        <v>336</v>
      </c>
      <c r="E2" s="2" t="s">
        <v>171</v>
      </c>
    </row>
    <row r="3" spans="1:5">
      <c r="A3" t="s">
        <v>16</v>
      </c>
      <c r="B3" s="2" t="s">
        <v>17</v>
      </c>
      <c r="C3" s="2" t="s">
        <v>17</v>
      </c>
      <c r="D3" s="2" t="s">
        <v>17</v>
      </c>
      <c r="E3" s="2" t="s">
        <v>17</v>
      </c>
    </row>
    <row r="4" spans="1:5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</row>
    <row r="5" spans="1:5">
      <c r="A5" t="s">
        <v>21</v>
      </c>
      <c r="B5" s="2"/>
      <c r="C5" s="2">
        <v>0</v>
      </c>
      <c r="D5" s="2">
        <v>0</v>
      </c>
      <c r="E5" s="2">
        <v>0</v>
      </c>
    </row>
    <row r="6" spans="1:5">
      <c r="A6" t="s">
        <v>337</v>
      </c>
      <c r="B6">
        <v>1</v>
      </c>
      <c r="C6">
        <v>1</v>
      </c>
      <c r="D6">
        <v>1</v>
      </c>
      <c r="E6">
        <v>1650</v>
      </c>
    </row>
    <row r="7" spans="2:5">
      <c r="B7">
        <v>2</v>
      </c>
      <c r="C7">
        <v>2</v>
      </c>
      <c r="D7">
        <v>4</v>
      </c>
      <c r="E7">
        <v>1651</v>
      </c>
    </row>
    <row r="8" spans="2:5">
      <c r="B8">
        <v>3</v>
      </c>
      <c r="C8">
        <v>5</v>
      </c>
      <c r="D8">
        <v>10</v>
      </c>
      <c r="E8">
        <v>1652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7"/>
  <sheetViews>
    <sheetView workbookViewId="0">
      <selection activeCell="C28" sqref="C28"/>
    </sheetView>
  </sheetViews>
  <sheetFormatPr defaultColWidth="9" defaultRowHeight="14.25"/>
  <cols>
    <col min="3" max="3" width="81.8833333333333" customWidth="1"/>
    <col min="7" max="7" width="12.1083333333333" customWidth="1"/>
    <col min="8" max="10" width="9.66666666666667" customWidth="1"/>
    <col min="11" max="11" width="12.775" customWidth="1"/>
    <col min="12" max="12" width="9.66666666666667" customWidth="1"/>
  </cols>
  <sheetData>
    <row r="1" spans="1:1">
      <c r="A1" t="s">
        <v>0</v>
      </c>
    </row>
    <row r="2" spans="1:4">
      <c r="A2" t="s">
        <v>8</v>
      </c>
      <c r="B2" s="2" t="s">
        <v>9</v>
      </c>
      <c r="C2" s="2" t="s">
        <v>338</v>
      </c>
      <c r="D2" s="12"/>
    </row>
    <row r="3" spans="1:4">
      <c r="A3" t="s">
        <v>16</v>
      </c>
      <c r="B3" s="2" t="s">
        <v>17</v>
      </c>
      <c r="C3" s="2" t="s">
        <v>339</v>
      </c>
      <c r="D3" s="12" t="s">
        <v>18</v>
      </c>
    </row>
    <row r="4" spans="1:4">
      <c r="A4" t="s">
        <v>19</v>
      </c>
      <c r="B4" s="2" t="s">
        <v>20</v>
      </c>
      <c r="C4" s="2" t="s">
        <v>20</v>
      </c>
      <c r="D4" s="12"/>
    </row>
    <row r="5" spans="1:4">
      <c r="A5" t="s">
        <v>21</v>
      </c>
      <c r="B5" s="2"/>
      <c r="C5" s="2"/>
      <c r="D5" s="12"/>
    </row>
    <row r="6" spans="1:4">
      <c r="A6" t="s">
        <v>340</v>
      </c>
      <c r="B6">
        <v>1</v>
      </c>
      <c r="C6" s="8" t="s">
        <v>341</v>
      </c>
      <c r="D6" s="12" t="s">
        <v>342</v>
      </c>
    </row>
    <row r="7" spans="2:4">
      <c r="B7">
        <v>2</v>
      </c>
      <c r="C7" s="8" t="s">
        <v>343</v>
      </c>
      <c r="D7" s="12" t="s">
        <v>344</v>
      </c>
    </row>
    <row r="8" spans="2:4">
      <c r="B8">
        <v>3</v>
      </c>
      <c r="C8" s="8" t="s">
        <v>345</v>
      </c>
      <c r="D8" s="12" t="s">
        <v>346</v>
      </c>
    </row>
    <row r="9" spans="2:4">
      <c r="B9">
        <v>4</v>
      </c>
      <c r="C9" s="8" t="s">
        <v>347</v>
      </c>
      <c r="D9" s="12" t="s">
        <v>348</v>
      </c>
    </row>
    <row r="10" spans="2:4">
      <c r="B10">
        <v>5</v>
      </c>
      <c r="C10" s="8" t="s">
        <v>349</v>
      </c>
      <c r="D10" s="12" t="s">
        <v>350</v>
      </c>
    </row>
    <row r="11" spans="2:4">
      <c r="B11">
        <v>6</v>
      </c>
      <c r="C11" s="8" t="s">
        <v>351</v>
      </c>
      <c r="D11" s="12" t="s">
        <v>352</v>
      </c>
    </row>
    <row r="12" spans="2:4">
      <c r="B12">
        <v>7</v>
      </c>
      <c r="C12" s="8" t="s">
        <v>353</v>
      </c>
      <c r="D12" s="12" t="s">
        <v>354</v>
      </c>
    </row>
    <row r="13" spans="2:4">
      <c r="B13">
        <v>8</v>
      </c>
      <c r="C13" s="15" t="s">
        <v>355</v>
      </c>
      <c r="D13" t="s">
        <v>356</v>
      </c>
    </row>
    <row r="14" spans="2:4">
      <c r="B14">
        <v>9</v>
      </c>
      <c r="C14" s="15" t="s">
        <v>357</v>
      </c>
      <c r="D14" t="s">
        <v>358</v>
      </c>
    </row>
    <row r="27" ht="17.25" spans="7:12">
      <c r="G27" s="16" t="s">
        <v>359</v>
      </c>
      <c r="H27" s="16" t="s">
        <v>360</v>
      </c>
      <c r="I27" s="16" t="s">
        <v>361</v>
      </c>
      <c r="J27" s="19" t="s">
        <v>362</v>
      </c>
      <c r="K27" s="16" t="s">
        <v>363</v>
      </c>
      <c r="L27" s="16" t="s">
        <v>364</v>
      </c>
    </row>
    <row r="28" ht="17.25" spans="7:12">
      <c r="G28" s="17" t="s">
        <v>365</v>
      </c>
      <c r="H28" s="16" t="s">
        <v>366</v>
      </c>
      <c r="I28" s="29" t="s">
        <v>367</v>
      </c>
      <c r="J28" s="19" t="s">
        <v>368</v>
      </c>
      <c r="K28" s="30">
        <v>44701</v>
      </c>
      <c r="L28" s="31">
        <v>0.75</v>
      </c>
    </row>
    <row r="29" ht="17.25" spans="7:12">
      <c r="G29" s="18" t="s">
        <v>369</v>
      </c>
      <c r="H29" s="19" t="s">
        <v>370</v>
      </c>
      <c r="I29" s="32" t="s">
        <v>371</v>
      </c>
      <c r="J29" s="33" t="s">
        <v>372</v>
      </c>
      <c r="K29" s="30">
        <v>44702</v>
      </c>
      <c r="L29" s="31">
        <v>0.541666666666667</v>
      </c>
    </row>
    <row r="30" ht="17.25" spans="7:12">
      <c r="G30" s="20"/>
      <c r="H30" s="19" t="s">
        <v>373</v>
      </c>
      <c r="I30" s="34"/>
      <c r="J30" s="33" t="s">
        <v>372</v>
      </c>
      <c r="K30" s="30">
        <v>44702</v>
      </c>
      <c r="L30" s="31">
        <v>0.583333333333333</v>
      </c>
    </row>
    <row r="31" ht="17.25" spans="7:12">
      <c r="G31" s="20"/>
      <c r="H31" s="19" t="s">
        <v>374</v>
      </c>
      <c r="I31" s="34"/>
      <c r="J31" s="33" t="s">
        <v>372</v>
      </c>
      <c r="K31" s="30">
        <v>44702</v>
      </c>
      <c r="L31" s="31">
        <v>0.625</v>
      </c>
    </row>
    <row r="32" ht="17.25" spans="7:12">
      <c r="G32" s="21"/>
      <c r="H32" s="19" t="s">
        <v>375</v>
      </c>
      <c r="I32" s="35"/>
      <c r="J32" s="33" t="s">
        <v>372</v>
      </c>
      <c r="K32" s="30">
        <v>44702</v>
      </c>
      <c r="L32" s="31">
        <v>0.666666666666667</v>
      </c>
    </row>
    <row r="33" ht="17.25" spans="7:12">
      <c r="G33" s="17" t="s">
        <v>376</v>
      </c>
      <c r="H33" s="16" t="s">
        <v>377</v>
      </c>
      <c r="I33" s="32" t="s">
        <v>378</v>
      </c>
      <c r="J33" s="33" t="s">
        <v>372</v>
      </c>
      <c r="K33" s="30">
        <v>44702</v>
      </c>
      <c r="L33" s="31">
        <v>0.708333333333333</v>
      </c>
    </row>
    <row r="34" ht="17.25" spans="7:12">
      <c r="G34" s="22"/>
      <c r="H34" s="16" t="s">
        <v>377</v>
      </c>
      <c r="I34" s="35"/>
      <c r="J34" s="33" t="s">
        <v>372</v>
      </c>
      <c r="K34" s="30">
        <v>44702</v>
      </c>
      <c r="L34" s="31">
        <v>0.75</v>
      </c>
    </row>
    <row r="35" ht="17.25" spans="7:12">
      <c r="G35" s="16" t="s">
        <v>379</v>
      </c>
      <c r="H35" s="16" t="s">
        <v>380</v>
      </c>
      <c r="I35" s="29" t="s">
        <v>381</v>
      </c>
      <c r="J35" s="33" t="s">
        <v>372</v>
      </c>
      <c r="K35" s="30">
        <v>44702</v>
      </c>
      <c r="L35" s="36">
        <v>0.791666666666667</v>
      </c>
    </row>
    <row r="38" customHeight="1" spans="7:12">
      <c r="G38" s="16">
        <v>9500101</v>
      </c>
      <c r="H38" s="16">
        <v>9500201</v>
      </c>
      <c r="I38" s="16">
        <v>9500301</v>
      </c>
      <c r="J38" s="16">
        <v>9500401</v>
      </c>
      <c r="K38" s="16">
        <v>9500501</v>
      </c>
      <c r="L38" s="16">
        <v>9500601</v>
      </c>
    </row>
    <row r="39" customHeight="1" spans="7:12">
      <c r="G39" s="17">
        <v>9500105</v>
      </c>
      <c r="H39" s="16">
        <v>9500208</v>
      </c>
      <c r="I39" s="17">
        <v>9500305</v>
      </c>
      <c r="J39" s="16">
        <v>9500403</v>
      </c>
      <c r="K39" s="16">
        <v>9500504</v>
      </c>
      <c r="L39" s="16">
        <v>9500608</v>
      </c>
    </row>
    <row r="40" customHeight="1" spans="7:12">
      <c r="G40" s="17">
        <v>9500102</v>
      </c>
      <c r="H40" s="16">
        <v>9500202</v>
      </c>
      <c r="I40" s="17">
        <v>3500302</v>
      </c>
      <c r="J40" s="16">
        <v>9500402</v>
      </c>
      <c r="K40" s="16">
        <v>9500503</v>
      </c>
      <c r="L40" s="16">
        <v>9500603</v>
      </c>
    </row>
    <row r="41" customHeight="1" spans="7:12">
      <c r="G41" s="23"/>
      <c r="H41" s="16">
        <v>9500203</v>
      </c>
      <c r="I41" s="23"/>
      <c r="J41" s="16">
        <v>9500402</v>
      </c>
      <c r="K41" s="16">
        <v>9500503</v>
      </c>
      <c r="L41" s="16">
        <v>9500604</v>
      </c>
    </row>
    <row r="42" customHeight="1" spans="7:12">
      <c r="G42" s="23"/>
      <c r="H42" s="16">
        <v>9500204</v>
      </c>
      <c r="I42" s="23"/>
      <c r="J42" s="16">
        <v>9500402</v>
      </c>
      <c r="K42" s="16">
        <v>9500503</v>
      </c>
      <c r="L42" s="16">
        <v>9500605</v>
      </c>
    </row>
    <row r="43" customHeight="1" spans="7:12">
      <c r="G43" s="22"/>
      <c r="H43" s="16">
        <v>9500205</v>
      </c>
      <c r="I43" s="22"/>
      <c r="J43" s="16">
        <v>9500402</v>
      </c>
      <c r="K43" s="16">
        <v>9500503</v>
      </c>
      <c r="L43" s="16">
        <v>9500606</v>
      </c>
    </row>
    <row r="44" customHeight="1" spans="7:12">
      <c r="G44" s="17">
        <v>9500103</v>
      </c>
      <c r="H44" s="16">
        <v>9500206</v>
      </c>
      <c r="I44" s="17">
        <v>9500303</v>
      </c>
      <c r="J44" s="16">
        <v>9500402</v>
      </c>
      <c r="K44" s="16">
        <v>9500503</v>
      </c>
      <c r="L44" s="16">
        <v>9500607</v>
      </c>
    </row>
    <row r="45" customHeight="1" spans="7:12">
      <c r="G45" s="22"/>
      <c r="H45" s="16">
        <v>9500206</v>
      </c>
      <c r="I45" s="22"/>
      <c r="J45" s="16">
        <v>9500402</v>
      </c>
      <c r="K45" s="16">
        <v>9500503</v>
      </c>
      <c r="L45" s="16">
        <v>9500608</v>
      </c>
    </row>
    <row r="46" customHeight="1" spans="7:12">
      <c r="G46" s="16">
        <v>9500104</v>
      </c>
      <c r="H46" s="16">
        <v>9500207</v>
      </c>
      <c r="I46" s="16">
        <v>9500304</v>
      </c>
      <c r="J46" s="16">
        <v>9500402</v>
      </c>
      <c r="K46" s="16">
        <v>9500503</v>
      </c>
      <c r="L46" s="16">
        <v>9500609</v>
      </c>
    </row>
    <row r="48" ht="15"/>
    <row r="49" ht="15.75" spans="7:12">
      <c r="G49" s="24" t="s">
        <v>359</v>
      </c>
      <c r="H49" s="24" t="s">
        <v>360</v>
      </c>
      <c r="I49" s="24" t="s">
        <v>361</v>
      </c>
      <c r="J49" s="24" t="s">
        <v>362</v>
      </c>
      <c r="K49" s="24" t="s">
        <v>363</v>
      </c>
      <c r="L49" s="24" t="s">
        <v>364</v>
      </c>
    </row>
    <row r="50" ht="15.75" spans="7:12">
      <c r="G50" s="25" t="s">
        <v>365</v>
      </c>
      <c r="H50" s="25" t="s">
        <v>366</v>
      </c>
      <c r="I50" s="25" t="s">
        <v>382</v>
      </c>
      <c r="J50" s="37" t="s">
        <v>368</v>
      </c>
      <c r="K50" s="38">
        <v>44799</v>
      </c>
      <c r="L50" s="39">
        <v>0.75</v>
      </c>
    </row>
    <row r="51" ht="15.75" spans="7:12">
      <c r="G51" s="26" t="s">
        <v>369</v>
      </c>
      <c r="H51" s="25" t="s">
        <v>370</v>
      </c>
      <c r="I51" s="26" t="s">
        <v>371</v>
      </c>
      <c r="J51" s="37" t="s">
        <v>383</v>
      </c>
      <c r="K51" s="38">
        <v>44800</v>
      </c>
      <c r="L51" s="39">
        <v>0.541666666666667</v>
      </c>
    </row>
    <row r="52" ht="15.75" spans="7:12">
      <c r="G52" s="27"/>
      <c r="H52" s="25" t="s">
        <v>373</v>
      </c>
      <c r="I52" s="27"/>
      <c r="J52" s="37" t="s">
        <v>383</v>
      </c>
      <c r="K52" s="38">
        <v>44800</v>
      </c>
      <c r="L52" s="39">
        <v>0.583333333333333</v>
      </c>
    </row>
    <row r="53" ht="15.75" spans="7:12">
      <c r="G53" s="27"/>
      <c r="H53" s="25" t="s">
        <v>374</v>
      </c>
      <c r="I53" s="27"/>
      <c r="J53" s="37" t="s">
        <v>383</v>
      </c>
      <c r="K53" s="38">
        <v>44800</v>
      </c>
      <c r="L53" s="39">
        <v>0.625</v>
      </c>
    </row>
    <row r="54" ht="15.75" spans="7:12">
      <c r="G54" s="28"/>
      <c r="H54" s="25" t="s">
        <v>375</v>
      </c>
      <c r="I54" s="28"/>
      <c r="J54" s="37" t="s">
        <v>383</v>
      </c>
      <c r="K54" s="38">
        <v>44800</v>
      </c>
      <c r="L54" s="39">
        <v>0.666666666666667</v>
      </c>
    </row>
    <row r="55" ht="15.75" spans="7:12">
      <c r="G55" s="26" t="s">
        <v>376</v>
      </c>
      <c r="H55" s="25" t="s">
        <v>377</v>
      </c>
      <c r="I55" s="26" t="s">
        <v>378</v>
      </c>
      <c r="J55" s="37" t="s">
        <v>383</v>
      </c>
      <c r="K55" s="38">
        <v>44801</v>
      </c>
      <c r="L55" s="39">
        <v>0.541666666666667</v>
      </c>
    </row>
    <row r="56" ht="15.75" spans="7:12">
      <c r="G56" s="28"/>
      <c r="H56" s="25" t="s">
        <v>377</v>
      </c>
      <c r="I56" s="28"/>
      <c r="J56" s="37" t="s">
        <v>383</v>
      </c>
      <c r="K56" s="38">
        <v>44801</v>
      </c>
      <c r="L56" s="39">
        <v>0.583333333333333</v>
      </c>
    </row>
    <row r="57" ht="15.75" spans="7:12">
      <c r="G57" s="25" t="s">
        <v>379</v>
      </c>
      <c r="H57" s="25" t="s">
        <v>380</v>
      </c>
      <c r="I57" s="25" t="s">
        <v>381</v>
      </c>
      <c r="J57" s="37" t="s">
        <v>383</v>
      </c>
      <c r="K57" s="38">
        <v>44801</v>
      </c>
      <c r="L57" s="39">
        <v>0.625</v>
      </c>
    </row>
  </sheetData>
  <mergeCells count="12">
    <mergeCell ref="G29:G32"/>
    <mergeCell ref="G33:G34"/>
    <mergeCell ref="G40:G43"/>
    <mergeCell ref="G44:G45"/>
    <mergeCell ref="G51:G54"/>
    <mergeCell ref="G55:G56"/>
    <mergeCell ref="I29:I32"/>
    <mergeCell ref="I33:I34"/>
    <mergeCell ref="I40:I43"/>
    <mergeCell ref="I44:I45"/>
    <mergeCell ref="I51:I54"/>
    <mergeCell ref="I55:I56"/>
  </mergeCells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6"/>
  <sheetViews>
    <sheetView workbookViewId="0">
      <selection activeCell="A1" sqref="A1:A5"/>
    </sheetView>
  </sheetViews>
  <sheetFormatPr defaultColWidth="9" defaultRowHeight="14.25" outlineLevelRow="5" outlineLevelCol="3"/>
  <cols>
    <col min="1" max="1" width="19.1083333333333" customWidth="1"/>
    <col min="4" max="4" width="43.775" customWidth="1"/>
  </cols>
  <sheetData>
    <row r="1" spans="1:1">
      <c r="A1" t="s">
        <v>0</v>
      </c>
    </row>
    <row r="2" spans="1:4">
      <c r="A2" t="s">
        <v>8</v>
      </c>
      <c r="B2" s="2" t="s">
        <v>9</v>
      </c>
      <c r="C2" s="2" t="s">
        <v>338</v>
      </c>
      <c r="D2" s="12"/>
    </row>
    <row r="3" spans="1:4">
      <c r="A3" t="s">
        <v>16</v>
      </c>
      <c r="B3" s="2" t="s">
        <v>17</v>
      </c>
      <c r="C3" s="2" t="s">
        <v>17</v>
      </c>
      <c r="D3" s="12" t="s">
        <v>18</v>
      </c>
    </row>
    <row r="4" spans="1:4">
      <c r="A4" t="s">
        <v>19</v>
      </c>
      <c r="B4" s="2" t="s">
        <v>20</v>
      </c>
      <c r="C4" s="2" t="s">
        <v>20</v>
      </c>
      <c r="D4" s="12" t="s">
        <v>311</v>
      </c>
    </row>
    <row r="5" spans="1:4">
      <c r="A5" t="s">
        <v>21</v>
      </c>
      <c r="B5" s="2"/>
      <c r="C5" s="2"/>
      <c r="D5" s="12"/>
    </row>
    <row r="6" ht="213.75" spans="1:4">
      <c r="A6" t="s">
        <v>384</v>
      </c>
      <c r="B6" s="13">
        <v>1</v>
      </c>
      <c r="C6" s="13">
        <v>9510001</v>
      </c>
      <c r="D6" s="14" t="s">
        <v>385</v>
      </c>
    </row>
  </sheetData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7" sqref="C7"/>
    </sheetView>
  </sheetViews>
  <sheetFormatPr defaultColWidth="9" defaultRowHeight="14.25" outlineLevelCol="2"/>
  <cols>
    <col min="1" max="1" width="14" customWidth="1"/>
    <col min="2" max="2" width="17.3333333333333" customWidth="1"/>
    <col min="3" max="3" width="32.2166666666667" style="8" customWidth="1"/>
  </cols>
  <sheetData>
    <row r="1" spans="1:3">
      <c r="A1" t="s">
        <v>0</v>
      </c>
      <c r="B1" t="s">
        <v>386</v>
      </c>
      <c r="C1" s="8" t="s">
        <v>387</v>
      </c>
    </row>
    <row r="2" spans="1:3">
      <c r="A2" t="s">
        <v>8</v>
      </c>
      <c r="B2" s="2" t="s">
        <v>9</v>
      </c>
      <c r="C2" s="9" t="s">
        <v>171</v>
      </c>
    </row>
    <row r="3" spans="1:3">
      <c r="A3" t="s">
        <v>16</v>
      </c>
      <c r="B3" s="2" t="s">
        <v>17</v>
      </c>
      <c r="C3" s="9" t="s">
        <v>50</v>
      </c>
    </row>
    <row r="4" spans="1:3">
      <c r="A4" t="s">
        <v>19</v>
      </c>
      <c r="B4" s="2" t="s">
        <v>20</v>
      </c>
      <c r="C4" s="9" t="s">
        <v>20</v>
      </c>
    </row>
    <row r="5" spans="1:3">
      <c r="A5" t="s">
        <v>21</v>
      </c>
      <c r="B5" s="2"/>
      <c r="C5" s="9"/>
    </row>
    <row r="6" spans="1:3">
      <c r="A6" t="s">
        <v>388</v>
      </c>
      <c r="B6">
        <v>1</v>
      </c>
      <c r="C6" s="10" t="s">
        <v>389</v>
      </c>
    </row>
    <row r="7" spans="2:3">
      <c r="B7">
        <v>2</v>
      </c>
      <c r="C7" s="11" t="s">
        <v>390</v>
      </c>
    </row>
    <row r="8" spans="2:3">
      <c r="B8">
        <v>3</v>
      </c>
      <c r="C8" s="10" t="s">
        <v>391</v>
      </c>
    </row>
    <row r="9" spans="2:3">
      <c r="B9">
        <v>4</v>
      </c>
      <c r="C9" s="11" t="s">
        <v>392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G25" sqref="G25"/>
    </sheetView>
  </sheetViews>
  <sheetFormatPr defaultColWidth="9" defaultRowHeight="14.25" outlineLevelCol="2"/>
  <sheetData>
    <row r="1" spans="1:3">
      <c r="A1" t="s">
        <v>0</v>
      </c>
      <c r="B1" t="s">
        <v>386</v>
      </c>
      <c r="C1" t="s">
        <v>393</v>
      </c>
    </row>
    <row r="2" spans="1:3">
      <c r="A2" t="s">
        <v>8</v>
      </c>
      <c r="B2" s="2" t="s">
        <v>9</v>
      </c>
      <c r="C2" s="2" t="s">
        <v>171</v>
      </c>
    </row>
    <row r="3" spans="1:3">
      <c r="A3" t="s">
        <v>16</v>
      </c>
      <c r="B3" s="2" t="s">
        <v>17</v>
      </c>
      <c r="C3" s="2" t="s">
        <v>18</v>
      </c>
    </row>
    <row r="4" spans="1:3">
      <c r="A4" t="s">
        <v>19</v>
      </c>
      <c r="B4" s="2" t="s">
        <v>20</v>
      </c>
      <c r="C4" s="2" t="s">
        <v>20</v>
      </c>
    </row>
    <row r="5" spans="1:3">
      <c r="A5" t="s">
        <v>21</v>
      </c>
      <c r="B5" s="2"/>
      <c r="C5" s="2"/>
    </row>
    <row r="6" spans="1:3">
      <c r="A6" t="s">
        <v>394</v>
      </c>
      <c r="B6">
        <v>1</v>
      </c>
      <c r="C6" s="7">
        <v>970001</v>
      </c>
    </row>
    <row r="7" spans="2:3">
      <c r="B7">
        <v>2</v>
      </c>
      <c r="C7" s="7">
        <v>970002</v>
      </c>
    </row>
    <row r="8" spans="2:3">
      <c r="B8">
        <v>3</v>
      </c>
      <c r="C8" s="7">
        <v>970003</v>
      </c>
    </row>
    <row r="9" spans="2:3">
      <c r="B9">
        <v>4</v>
      </c>
      <c r="C9" s="7">
        <v>970004</v>
      </c>
    </row>
  </sheetData>
  <pageMargins left="0.7" right="0.7" top="0.75" bottom="0.75" header="0.3" footer="0.3"/>
  <headerFooter/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K24" sqref="K24"/>
    </sheetView>
  </sheetViews>
  <sheetFormatPr defaultColWidth="9" defaultRowHeight="14.25" outlineLevelRow="7" outlineLevelCol="3"/>
  <sheetData>
    <row r="1" spans="1:4">
      <c r="A1" t="s">
        <v>0</v>
      </c>
      <c r="B1" t="s">
        <v>386</v>
      </c>
      <c r="C1" t="s">
        <v>393</v>
      </c>
      <c r="D1" t="s">
        <v>395</v>
      </c>
    </row>
    <row r="2" spans="1:4">
      <c r="A2" t="s">
        <v>8</v>
      </c>
      <c r="B2" s="2" t="s">
        <v>9</v>
      </c>
      <c r="C2" s="2" t="s">
        <v>171</v>
      </c>
      <c r="D2" s="2" t="s">
        <v>111</v>
      </c>
    </row>
    <row r="3" spans="1:4">
      <c r="A3" t="s">
        <v>16</v>
      </c>
      <c r="B3" s="2" t="s">
        <v>17</v>
      </c>
      <c r="C3" s="2" t="s">
        <v>17</v>
      </c>
      <c r="D3" s="2" t="s">
        <v>17</v>
      </c>
    </row>
    <row r="4" spans="1:4">
      <c r="A4" t="s">
        <v>19</v>
      </c>
      <c r="B4" s="2" t="s">
        <v>20</v>
      </c>
      <c r="C4" s="2" t="s">
        <v>20</v>
      </c>
      <c r="D4" s="2" t="s">
        <v>20</v>
      </c>
    </row>
    <row r="5" spans="1:4">
      <c r="A5" t="s">
        <v>21</v>
      </c>
      <c r="B5" s="2"/>
      <c r="C5" s="2"/>
      <c r="D5" s="2"/>
    </row>
    <row r="6" spans="1:4">
      <c r="A6" t="s">
        <v>396</v>
      </c>
      <c r="B6">
        <v>1</v>
      </c>
      <c r="C6" s="7">
        <v>400130</v>
      </c>
      <c r="D6">
        <v>1</v>
      </c>
    </row>
    <row r="7" spans="2:4">
      <c r="B7">
        <v>2</v>
      </c>
      <c r="C7" s="7">
        <v>400123</v>
      </c>
      <c r="D7">
        <v>1</v>
      </c>
    </row>
    <row r="8" spans="2:4">
      <c r="B8">
        <v>4</v>
      </c>
      <c r="C8" s="7">
        <v>1</v>
      </c>
      <c r="D8">
        <v>3200</v>
      </c>
    </row>
  </sheetData>
  <pageMargins left="0.7" right="0.7" top="0.75" bottom="0.75" header="0.3" footer="0.3"/>
  <headerFooter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C22" sqref="C22"/>
    </sheetView>
  </sheetViews>
  <sheetFormatPr defaultColWidth="9" defaultRowHeight="14.25" outlineLevelCol="6"/>
  <cols>
    <col min="1" max="1" width="15.2166666666667" customWidth="1"/>
    <col min="2" max="2" width="10.1083333333333" customWidth="1"/>
    <col min="3" max="3" width="18" customWidth="1"/>
    <col min="4" max="4" width="8.775" customWidth="1"/>
  </cols>
  <sheetData>
    <row r="1" spans="1:1">
      <c r="A1" t="s">
        <v>0</v>
      </c>
    </row>
    <row r="2" spans="1:7">
      <c r="A2" t="s">
        <v>8</v>
      </c>
      <c r="B2" s="2" t="s">
        <v>397</v>
      </c>
      <c r="C2" s="2" t="s">
        <v>398</v>
      </c>
      <c r="D2" s="2" t="s">
        <v>399</v>
      </c>
      <c r="E2" s="2" t="s">
        <v>400</v>
      </c>
      <c r="F2" s="2" t="s">
        <v>401</v>
      </c>
      <c r="G2" s="2" t="s">
        <v>402</v>
      </c>
    </row>
    <row r="3" spans="1:7">
      <c r="A3" t="s">
        <v>16</v>
      </c>
      <c r="B3" s="2" t="s">
        <v>17</v>
      </c>
      <c r="C3" s="2" t="s">
        <v>18</v>
      </c>
      <c r="D3" s="2" t="s">
        <v>18</v>
      </c>
      <c r="E3" s="2" t="s">
        <v>18</v>
      </c>
      <c r="F3" s="2" t="s">
        <v>18</v>
      </c>
      <c r="G3" s="2" t="s">
        <v>18</v>
      </c>
    </row>
    <row r="4" spans="1:7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</row>
    <row r="5" spans="1:7">
      <c r="A5" t="s">
        <v>21</v>
      </c>
      <c r="B5" s="2"/>
      <c r="C5" s="2"/>
      <c r="D5" s="2"/>
      <c r="E5" s="2"/>
      <c r="F5" s="2"/>
      <c r="G5" s="2"/>
    </row>
    <row r="6" spans="1:7">
      <c r="A6" t="s">
        <v>403</v>
      </c>
      <c r="B6" s="6">
        <v>1</v>
      </c>
      <c r="C6" s="6" t="s">
        <v>404</v>
      </c>
      <c r="D6" s="6" t="s">
        <v>405</v>
      </c>
      <c r="E6" s="6" t="s">
        <v>406</v>
      </c>
      <c r="F6" s="6" t="s">
        <v>407</v>
      </c>
      <c r="G6" s="6" t="s">
        <v>408</v>
      </c>
    </row>
    <row r="7" spans="2:7">
      <c r="B7" s="6">
        <v>2</v>
      </c>
      <c r="C7" s="6" t="s">
        <v>404</v>
      </c>
      <c r="D7" s="6" t="s">
        <v>405</v>
      </c>
      <c r="E7" s="6" t="s">
        <v>406</v>
      </c>
      <c r="F7" s="6" t="s">
        <v>407</v>
      </c>
      <c r="G7" s="6" t="s">
        <v>408</v>
      </c>
    </row>
    <row r="8" spans="2:7">
      <c r="B8" s="6">
        <v>3</v>
      </c>
      <c r="C8" s="6" t="s">
        <v>404</v>
      </c>
      <c r="D8" s="6" t="s">
        <v>409</v>
      </c>
      <c r="E8" s="6" t="s">
        <v>406</v>
      </c>
      <c r="F8" s="6" t="s">
        <v>407</v>
      </c>
      <c r="G8" s="6" t="s">
        <v>408</v>
      </c>
    </row>
    <row r="9" spans="2:7">
      <c r="B9" s="6">
        <v>4</v>
      </c>
      <c r="C9" s="6" t="s">
        <v>404</v>
      </c>
      <c r="D9" s="6" t="s">
        <v>409</v>
      </c>
      <c r="E9" s="6" t="s">
        <v>406</v>
      </c>
      <c r="F9" s="6" t="s">
        <v>407</v>
      </c>
      <c r="G9" s="6" t="s">
        <v>408</v>
      </c>
    </row>
    <row r="10" spans="2:7">
      <c r="B10" s="6">
        <v>5</v>
      </c>
      <c r="C10" s="6" t="s">
        <v>410</v>
      </c>
      <c r="D10" s="6" t="s">
        <v>411</v>
      </c>
      <c r="E10" s="6" t="s">
        <v>412</v>
      </c>
      <c r="F10" s="6" t="s">
        <v>407</v>
      </c>
      <c r="G10" s="6" t="s">
        <v>408</v>
      </c>
    </row>
    <row r="11" spans="2:7">
      <c r="B11" s="6">
        <v>6</v>
      </c>
      <c r="C11" s="6" t="s">
        <v>410</v>
      </c>
      <c r="D11" s="6" t="s">
        <v>411</v>
      </c>
      <c r="E11" s="6" t="s">
        <v>412</v>
      </c>
      <c r="F11" s="6" t="s">
        <v>407</v>
      </c>
      <c r="G11" s="6" t="s">
        <v>408</v>
      </c>
    </row>
    <row r="12" spans="2:7">
      <c r="B12" s="6">
        <v>7</v>
      </c>
      <c r="C12" s="6" t="s">
        <v>410</v>
      </c>
      <c r="D12" s="6" t="s">
        <v>413</v>
      </c>
      <c r="E12" s="6" t="s">
        <v>412</v>
      </c>
      <c r="F12" s="6" t="s">
        <v>407</v>
      </c>
      <c r="G12" s="6" t="s">
        <v>408</v>
      </c>
    </row>
    <row r="13" spans="2:7">
      <c r="B13" s="6">
        <v>8</v>
      </c>
      <c r="C13" s="6" t="s">
        <v>410</v>
      </c>
      <c r="D13" s="6" t="s">
        <v>413</v>
      </c>
      <c r="E13" s="6" t="s">
        <v>412</v>
      </c>
      <c r="F13" s="6" t="s">
        <v>407</v>
      </c>
      <c r="G13" s="6" t="s">
        <v>408</v>
      </c>
    </row>
    <row r="14" spans="2:7">
      <c r="B14" s="6">
        <v>9</v>
      </c>
      <c r="C14" s="6" t="s">
        <v>414</v>
      </c>
      <c r="D14" s="6" t="s">
        <v>415</v>
      </c>
      <c r="E14" s="6" t="s">
        <v>416</v>
      </c>
      <c r="F14" s="6" t="s">
        <v>417</v>
      </c>
      <c r="G14" s="6" t="s">
        <v>408</v>
      </c>
    </row>
    <row r="15" spans="2:7">
      <c r="B15" s="6">
        <v>10</v>
      </c>
      <c r="C15" s="6" t="s">
        <v>414</v>
      </c>
      <c r="D15" s="6" t="s">
        <v>415</v>
      </c>
      <c r="E15" s="6" t="s">
        <v>416</v>
      </c>
      <c r="F15" s="6" t="s">
        <v>417</v>
      </c>
      <c r="G15" s="6" t="s">
        <v>408</v>
      </c>
    </row>
    <row r="16" spans="2:7">
      <c r="B16" s="6">
        <v>11</v>
      </c>
      <c r="C16" s="6" t="s">
        <v>414</v>
      </c>
      <c r="D16" s="6" t="s">
        <v>418</v>
      </c>
      <c r="E16" s="6" t="s">
        <v>416</v>
      </c>
      <c r="F16" s="6" t="s">
        <v>417</v>
      </c>
      <c r="G16" s="6" t="s">
        <v>408</v>
      </c>
    </row>
    <row r="17" spans="2:7">
      <c r="B17" s="6">
        <v>12</v>
      </c>
      <c r="C17" s="6" t="s">
        <v>414</v>
      </c>
      <c r="D17" s="6" t="s">
        <v>418</v>
      </c>
      <c r="E17" s="6" t="s">
        <v>416</v>
      </c>
      <c r="F17" s="6" t="s">
        <v>417</v>
      </c>
      <c r="G17" s="6" t="s">
        <v>408</v>
      </c>
    </row>
    <row r="18" spans="2:7">
      <c r="B18" s="6">
        <v>13</v>
      </c>
      <c r="C18" s="6" t="s">
        <v>419</v>
      </c>
      <c r="D18" s="6" t="s">
        <v>420</v>
      </c>
      <c r="E18" s="6" t="s">
        <v>421</v>
      </c>
      <c r="F18" s="6" t="s">
        <v>417</v>
      </c>
      <c r="G18" s="6" t="s">
        <v>408</v>
      </c>
    </row>
    <row r="19" spans="2:7">
      <c r="B19" s="6">
        <v>14</v>
      </c>
      <c r="C19" s="6" t="s">
        <v>419</v>
      </c>
      <c r="D19" s="6" t="s">
        <v>420</v>
      </c>
      <c r="E19" s="6" t="s">
        <v>421</v>
      </c>
      <c r="F19" s="6" t="s">
        <v>417</v>
      </c>
      <c r="G19" s="6" t="s">
        <v>408</v>
      </c>
    </row>
    <row r="20" spans="2:7">
      <c r="B20" s="6">
        <v>15</v>
      </c>
      <c r="C20" s="6" t="s">
        <v>419</v>
      </c>
      <c r="D20" s="6" t="s">
        <v>422</v>
      </c>
      <c r="E20" s="6" t="s">
        <v>421</v>
      </c>
      <c r="F20" s="6" t="s">
        <v>417</v>
      </c>
      <c r="G20" s="6" t="s">
        <v>408</v>
      </c>
    </row>
    <row r="21" spans="2:7">
      <c r="B21" s="6">
        <v>16</v>
      </c>
      <c r="C21" s="6" t="s">
        <v>419</v>
      </c>
      <c r="D21" s="6" t="s">
        <v>422</v>
      </c>
      <c r="E21" s="6" t="s">
        <v>421</v>
      </c>
      <c r="F21" s="6" t="s">
        <v>417</v>
      </c>
      <c r="G21" s="6" t="s">
        <v>408</v>
      </c>
    </row>
  </sheetData>
  <pageMargins left="0.7" right="0.7" top="0.75" bottom="0.75" header="0.3" footer="0.3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4"/>
  <sheetViews>
    <sheetView workbookViewId="0">
      <selection activeCell="J33" sqref="J33"/>
    </sheetView>
  </sheetViews>
  <sheetFormatPr defaultColWidth="9" defaultRowHeight="14.25" outlineLevelCol="5"/>
  <cols>
    <col min="1" max="16384" width="9" style="1"/>
  </cols>
  <sheetData>
    <row r="1" spans="1:6">
      <c r="A1" t="s">
        <v>0</v>
      </c>
      <c r="B1" s="1" t="s">
        <v>423</v>
      </c>
      <c r="C1" s="1" t="s">
        <v>424</v>
      </c>
      <c r="D1" s="1" t="s">
        <v>425</v>
      </c>
      <c r="E1" s="1" t="s">
        <v>426</v>
      </c>
      <c r="F1" s="1" t="s">
        <v>427</v>
      </c>
    </row>
    <row r="2" spans="1:6">
      <c r="A2" t="s">
        <v>8</v>
      </c>
      <c r="B2" s="2" t="s">
        <v>270</v>
      </c>
      <c r="C2" s="3"/>
      <c r="D2" s="2" t="s">
        <v>428</v>
      </c>
      <c r="E2" s="2" t="s">
        <v>429</v>
      </c>
      <c r="F2" s="2" t="s">
        <v>430</v>
      </c>
    </row>
    <row r="3" spans="1:6">
      <c r="A3" t="s">
        <v>16</v>
      </c>
      <c r="B3" s="2" t="s">
        <v>17</v>
      </c>
      <c r="C3" s="3" t="s">
        <v>18</v>
      </c>
      <c r="D3" s="2" t="s">
        <v>17</v>
      </c>
      <c r="E3" s="2" t="s">
        <v>17</v>
      </c>
      <c r="F3" s="2" t="s">
        <v>17</v>
      </c>
    </row>
    <row r="4" spans="1:6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</row>
    <row r="5" spans="1:6">
      <c r="A5" t="s">
        <v>21</v>
      </c>
      <c r="B5" s="2">
        <v>0</v>
      </c>
      <c r="C5" s="3">
        <v>0</v>
      </c>
      <c r="D5" s="2">
        <v>0</v>
      </c>
      <c r="E5" s="2">
        <v>0</v>
      </c>
      <c r="F5" s="2">
        <v>0</v>
      </c>
    </row>
    <row r="6" spans="1:6">
      <c r="A6" s="1" t="s">
        <v>431</v>
      </c>
      <c r="B6" s="1">
        <v>2</v>
      </c>
      <c r="C6" s="1" t="s">
        <v>432</v>
      </c>
      <c r="D6" s="1">
        <v>20</v>
      </c>
      <c r="E6" s="1">
        <f>D6/2</f>
        <v>10</v>
      </c>
      <c r="F6" s="1">
        <v>1</v>
      </c>
    </row>
    <row r="7" spans="2:6">
      <c r="B7" s="1">
        <v>3</v>
      </c>
      <c r="C7" s="1" t="s">
        <v>433</v>
      </c>
      <c r="D7" s="1">
        <v>50</v>
      </c>
      <c r="E7" s="1">
        <v>25</v>
      </c>
      <c r="F7" s="1">
        <v>1</v>
      </c>
    </row>
    <row r="8" spans="2:6">
      <c r="B8" s="1">
        <v>4</v>
      </c>
      <c r="C8" s="1" t="s">
        <v>434</v>
      </c>
      <c r="D8" s="1">
        <v>100</v>
      </c>
      <c r="E8" s="1">
        <f>D8/2</f>
        <v>50</v>
      </c>
      <c r="F8" s="1">
        <v>1</v>
      </c>
    </row>
    <row r="9" spans="2:6">
      <c r="B9" s="1">
        <v>5</v>
      </c>
      <c r="C9" s="1" t="s">
        <v>435</v>
      </c>
      <c r="D9" s="1">
        <v>200</v>
      </c>
      <c r="E9" s="1">
        <v>100</v>
      </c>
      <c r="F9" s="1">
        <v>1</v>
      </c>
    </row>
    <row r="10" spans="2:6">
      <c r="B10" s="1">
        <v>6</v>
      </c>
      <c r="C10" s="1" t="s">
        <v>435</v>
      </c>
      <c r="D10" s="1">
        <v>500</v>
      </c>
      <c r="E10" s="1">
        <f>D10/2</f>
        <v>250</v>
      </c>
      <c r="F10" s="1">
        <v>1</v>
      </c>
    </row>
    <row r="11" spans="2:6">
      <c r="B11" s="1">
        <v>8</v>
      </c>
      <c r="C11" s="1" t="s">
        <v>436</v>
      </c>
      <c r="D11" s="1">
        <v>1000</v>
      </c>
      <c r="E11" s="1">
        <v>500</v>
      </c>
      <c r="F11" s="1">
        <v>1</v>
      </c>
    </row>
    <row r="12" spans="2:6">
      <c r="B12" s="1">
        <v>12</v>
      </c>
      <c r="C12" s="1" t="s">
        <v>437</v>
      </c>
      <c r="D12" s="1">
        <v>2000</v>
      </c>
      <c r="E12" s="1">
        <v>1000</v>
      </c>
      <c r="F12" s="1">
        <v>1</v>
      </c>
    </row>
    <row r="13" spans="2:6">
      <c r="B13" s="1">
        <v>13</v>
      </c>
      <c r="C13" s="1" t="s">
        <v>438</v>
      </c>
      <c r="D13" s="1">
        <v>500</v>
      </c>
      <c r="E13" s="1">
        <f t="shared" ref="E13:E22" si="0">D13/2</f>
        <v>250</v>
      </c>
      <c r="F13" s="1">
        <v>1</v>
      </c>
    </row>
    <row r="14" spans="2:6">
      <c r="B14" s="1">
        <v>103</v>
      </c>
      <c r="C14" s="1" t="s">
        <v>439</v>
      </c>
      <c r="D14" s="1">
        <v>40</v>
      </c>
      <c r="E14" s="1">
        <f t="shared" si="0"/>
        <v>20</v>
      </c>
      <c r="F14" s="1">
        <v>2</v>
      </c>
    </row>
    <row r="15" spans="2:6">
      <c r="B15" s="1">
        <v>105</v>
      </c>
      <c r="C15" s="1" t="s">
        <v>440</v>
      </c>
      <c r="D15" s="1">
        <v>600</v>
      </c>
      <c r="E15" s="1">
        <f t="shared" si="0"/>
        <v>300</v>
      </c>
      <c r="F15" s="1">
        <v>2</v>
      </c>
    </row>
    <row r="16" spans="2:6">
      <c r="B16" s="1">
        <v>106</v>
      </c>
      <c r="C16" s="1" t="s">
        <v>441</v>
      </c>
      <c r="D16" s="1">
        <v>1200</v>
      </c>
      <c r="E16" s="1">
        <f t="shared" si="0"/>
        <v>600</v>
      </c>
      <c r="F16" s="1">
        <v>2</v>
      </c>
    </row>
    <row r="17" spans="2:6">
      <c r="B17" s="1">
        <v>301</v>
      </c>
      <c r="C17" s="1" t="s">
        <v>442</v>
      </c>
      <c r="D17" s="1">
        <v>20</v>
      </c>
      <c r="E17" s="1">
        <f t="shared" si="0"/>
        <v>10</v>
      </c>
      <c r="F17" s="1">
        <v>3</v>
      </c>
    </row>
    <row r="18" spans="2:6">
      <c r="B18" s="1">
        <v>302</v>
      </c>
      <c r="C18" s="1" t="s">
        <v>443</v>
      </c>
      <c r="D18" s="1">
        <v>100</v>
      </c>
      <c r="E18" s="1">
        <f t="shared" si="0"/>
        <v>50</v>
      </c>
      <c r="F18" s="1">
        <v>3</v>
      </c>
    </row>
    <row r="19" spans="2:6">
      <c r="B19" s="1">
        <v>303</v>
      </c>
      <c r="D19" s="1">
        <v>500</v>
      </c>
      <c r="E19" s="1">
        <f t="shared" si="0"/>
        <v>250</v>
      </c>
      <c r="F19" s="1">
        <v>3</v>
      </c>
    </row>
    <row r="20" spans="2:6">
      <c r="B20" s="1">
        <v>601</v>
      </c>
      <c r="C20" s="1" t="s">
        <v>444</v>
      </c>
      <c r="D20" s="1">
        <v>20</v>
      </c>
      <c r="E20" s="1">
        <f t="shared" si="0"/>
        <v>10</v>
      </c>
      <c r="F20" s="1">
        <v>3</v>
      </c>
    </row>
    <row r="21" spans="2:6">
      <c r="B21" s="1">
        <v>602</v>
      </c>
      <c r="C21" s="1" t="s">
        <v>445</v>
      </c>
      <c r="D21" s="1">
        <v>100</v>
      </c>
      <c r="E21" s="1">
        <f t="shared" si="0"/>
        <v>50</v>
      </c>
      <c r="F21" s="1">
        <v>3</v>
      </c>
    </row>
    <row r="22" spans="2:6">
      <c r="B22" s="1">
        <v>603</v>
      </c>
      <c r="C22" s="1" t="s">
        <v>446</v>
      </c>
      <c r="D22" s="1">
        <v>600</v>
      </c>
      <c r="E22" s="1">
        <f t="shared" si="0"/>
        <v>300</v>
      </c>
      <c r="F22" s="1">
        <v>3</v>
      </c>
    </row>
    <row r="23" spans="2:6">
      <c r="B23" s="1">
        <v>1101</v>
      </c>
      <c r="C23" s="1" t="s">
        <v>447</v>
      </c>
      <c r="D23" s="1">
        <v>50</v>
      </c>
      <c r="E23" s="1">
        <v>25</v>
      </c>
      <c r="F23" s="1">
        <v>1</v>
      </c>
    </row>
    <row r="24" spans="2:6">
      <c r="B24" s="1">
        <v>1102</v>
      </c>
      <c r="C24" s="1" t="s">
        <v>448</v>
      </c>
      <c r="D24" s="1">
        <v>100</v>
      </c>
      <c r="E24" s="1">
        <v>50</v>
      </c>
      <c r="F24" s="1">
        <v>1</v>
      </c>
    </row>
  </sheetData>
  <pageMargins left="0.7" right="0.7" top="0.75" bottom="0.75" header="0.3" footer="0.3"/>
  <headerFooter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workbookViewId="0">
      <selection activeCell="A1" sqref="A1:A5"/>
    </sheetView>
  </sheetViews>
  <sheetFormatPr defaultColWidth="9" defaultRowHeight="14.25" outlineLevelCol="4"/>
  <cols>
    <col min="1" max="16384" width="9" style="1"/>
  </cols>
  <sheetData>
    <row r="1" spans="1:5">
      <c r="A1" t="s">
        <v>0</v>
      </c>
      <c r="B1" s="1" t="s">
        <v>449</v>
      </c>
      <c r="C1" s="1" t="s">
        <v>450</v>
      </c>
      <c r="D1" s="1" t="s">
        <v>451</v>
      </c>
      <c r="E1" s="1" t="s">
        <v>452</v>
      </c>
    </row>
    <row r="2" spans="1:5">
      <c r="A2" t="s">
        <v>8</v>
      </c>
      <c r="B2" s="2" t="s">
        <v>453</v>
      </c>
      <c r="C2" s="3"/>
      <c r="D2" s="2" t="s">
        <v>454</v>
      </c>
      <c r="E2" s="2" t="s">
        <v>455</v>
      </c>
    </row>
    <row r="3" spans="1:5">
      <c r="A3" t="s">
        <v>16</v>
      </c>
      <c r="B3" s="2" t="s">
        <v>17</v>
      </c>
      <c r="C3" s="3" t="s">
        <v>18</v>
      </c>
      <c r="D3" s="2" t="s">
        <v>17</v>
      </c>
      <c r="E3" s="2" t="s">
        <v>17</v>
      </c>
    </row>
    <row r="4" spans="1:5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</row>
    <row r="5" spans="1:5">
      <c r="A5" t="s">
        <v>21</v>
      </c>
      <c r="B5" s="2"/>
      <c r="C5" s="3">
        <v>0</v>
      </c>
      <c r="D5" s="2">
        <v>0</v>
      </c>
      <c r="E5" s="2">
        <v>0</v>
      </c>
    </row>
    <row r="6" spans="1:5">
      <c r="A6" s="1" t="s">
        <v>456</v>
      </c>
      <c r="B6" s="1">
        <v>1</v>
      </c>
      <c r="C6" s="1" t="s">
        <v>457</v>
      </c>
      <c r="D6" s="1">
        <v>0</v>
      </c>
      <c r="E6" s="1">
        <v>5400</v>
      </c>
    </row>
    <row r="7" spans="2:5">
      <c r="B7" s="1">
        <v>2</v>
      </c>
      <c r="C7" s="1" t="s">
        <v>419</v>
      </c>
      <c r="D7" s="1">
        <v>8000</v>
      </c>
      <c r="E7" s="1">
        <v>16000</v>
      </c>
    </row>
    <row r="8" spans="2:5">
      <c r="B8" s="1">
        <v>3</v>
      </c>
      <c r="C8" s="1" t="s">
        <v>414</v>
      </c>
      <c r="D8" s="1">
        <v>28000</v>
      </c>
      <c r="E8" s="1">
        <v>56000</v>
      </c>
    </row>
    <row r="9" spans="2:5">
      <c r="B9" s="1">
        <v>4</v>
      </c>
      <c r="C9" s="1" t="s">
        <v>410</v>
      </c>
      <c r="D9" s="1">
        <v>72000</v>
      </c>
      <c r="E9" s="1">
        <v>144000</v>
      </c>
    </row>
    <row r="10" spans="2:5">
      <c r="B10" s="1">
        <v>5</v>
      </c>
      <c r="C10" s="1" t="s">
        <v>404</v>
      </c>
      <c r="D10" s="1">
        <v>192000</v>
      </c>
      <c r="E10" s="1">
        <v>0</v>
      </c>
    </row>
    <row r="11" spans="2:5">
      <c r="B11" s="1">
        <v>6</v>
      </c>
      <c r="C11" s="1" t="s">
        <v>458</v>
      </c>
      <c r="D11" s="1">
        <v>0</v>
      </c>
      <c r="E11" s="1">
        <v>0</v>
      </c>
    </row>
  </sheetData>
  <pageMargins left="0.7" right="0.7" top="0.75" bottom="0.75" header="0.3" footer="0.3"/>
  <headerFooter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8"/>
  <sheetViews>
    <sheetView topLeftCell="E1" workbookViewId="0">
      <selection activeCell="I14" sqref="I14"/>
    </sheetView>
  </sheetViews>
  <sheetFormatPr defaultColWidth="24.775" defaultRowHeight="14.25" outlineLevelCol="7"/>
  <cols>
    <col min="1" max="16384" width="24.775" style="1"/>
  </cols>
  <sheetData>
    <row r="1" spans="1:8">
      <c r="A1" t="s">
        <v>0</v>
      </c>
      <c r="B1" s="1" t="s">
        <v>9</v>
      </c>
      <c r="C1" s="1" t="s">
        <v>459</v>
      </c>
      <c r="D1" s="1" t="s">
        <v>450</v>
      </c>
      <c r="E1" s="1" t="s">
        <v>460</v>
      </c>
      <c r="F1" s="1" t="s">
        <v>461</v>
      </c>
      <c r="G1" s="1" t="s">
        <v>462</v>
      </c>
      <c r="H1" s="1" t="s">
        <v>463</v>
      </c>
    </row>
    <row r="2" spans="1:8">
      <c r="A2" t="s">
        <v>8</v>
      </c>
      <c r="B2" s="2" t="s">
        <v>9</v>
      </c>
      <c r="C2" s="2" t="s">
        <v>453</v>
      </c>
      <c r="D2" s="3"/>
      <c r="E2" s="2" t="s">
        <v>454</v>
      </c>
      <c r="F2" s="2" t="s">
        <v>455</v>
      </c>
      <c r="G2" s="2" t="s">
        <v>464</v>
      </c>
      <c r="H2" s="2" t="s">
        <v>465</v>
      </c>
    </row>
    <row r="3" spans="1:8">
      <c r="A3" t="s">
        <v>16</v>
      </c>
      <c r="B3" s="2" t="s">
        <v>17</v>
      </c>
      <c r="C3" s="2" t="s">
        <v>17</v>
      </c>
      <c r="D3" s="3" t="s">
        <v>18</v>
      </c>
      <c r="E3" s="2" t="s">
        <v>17</v>
      </c>
      <c r="F3" s="2" t="s">
        <v>17</v>
      </c>
      <c r="G3" s="2" t="s">
        <v>466</v>
      </c>
      <c r="H3" s="2" t="s">
        <v>466</v>
      </c>
    </row>
    <row r="4" spans="1:8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</row>
    <row r="5" spans="1:8">
      <c r="A5" t="s">
        <v>21</v>
      </c>
      <c r="B5" s="2"/>
      <c r="C5" s="2"/>
      <c r="D5" s="3">
        <v>0</v>
      </c>
      <c r="E5" s="2">
        <v>0</v>
      </c>
      <c r="F5" s="2">
        <v>0</v>
      </c>
      <c r="G5" s="2">
        <v>0</v>
      </c>
      <c r="H5" s="2">
        <v>0</v>
      </c>
    </row>
    <row r="6" spans="1:8">
      <c r="A6" s="1" t="s">
        <v>467</v>
      </c>
      <c r="B6" s="1">
        <v>1</v>
      </c>
      <c r="C6" s="1">
        <v>5</v>
      </c>
      <c r="D6" s="1" t="s">
        <v>404</v>
      </c>
      <c r="E6" s="1">
        <v>1</v>
      </c>
      <c r="F6" s="1">
        <v>10</v>
      </c>
      <c r="G6" s="1" t="s">
        <v>468</v>
      </c>
      <c r="H6" s="1" t="s">
        <v>469</v>
      </c>
    </row>
    <row r="7" spans="2:8">
      <c r="B7" s="1">
        <v>2</v>
      </c>
      <c r="C7" s="1">
        <v>6</v>
      </c>
      <c r="D7" s="1" t="s">
        <v>470</v>
      </c>
      <c r="E7" s="1">
        <v>4</v>
      </c>
      <c r="F7" s="1">
        <v>10</v>
      </c>
      <c r="G7" s="1" t="s">
        <v>471</v>
      </c>
      <c r="H7" s="1" t="s">
        <v>472</v>
      </c>
    </row>
    <row r="8" spans="2:8">
      <c r="B8" s="1">
        <v>3</v>
      </c>
      <c r="C8" s="1">
        <v>6</v>
      </c>
      <c r="D8" s="1" t="s">
        <v>473</v>
      </c>
      <c r="E8" s="1">
        <v>1</v>
      </c>
      <c r="F8" s="1">
        <v>3</v>
      </c>
      <c r="G8" s="1" t="s">
        <v>474</v>
      </c>
      <c r="H8" s="1" t="s">
        <v>475</v>
      </c>
    </row>
    <row r="16" ht="15.75" spans="2:2">
      <c r="B16" s="5"/>
    </row>
    <row r="17" ht="15.75" spans="2:2">
      <c r="B17" s="5"/>
    </row>
    <row r="18" ht="15.75" spans="2:2">
      <c r="B18" s="5"/>
    </row>
  </sheetData>
  <pageMargins left="0.7" right="0.7" top="0.75" bottom="0.75" header="0.3" footer="0.3"/>
  <headerFooter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I22" sqref="I22"/>
    </sheetView>
  </sheetViews>
  <sheetFormatPr defaultColWidth="9" defaultRowHeight="14.25"/>
  <cols>
    <col min="1" max="16384" width="9" style="1"/>
  </cols>
  <sheetData>
    <row r="1" spans="1:9">
      <c r="A1" t="s">
        <v>0</v>
      </c>
      <c r="B1" s="1" t="s">
        <v>9</v>
      </c>
      <c r="C1" s="1" t="s">
        <v>476</v>
      </c>
      <c r="D1" s="1" t="s">
        <v>450</v>
      </c>
      <c r="E1" s="1" t="s">
        <v>460</v>
      </c>
      <c r="F1" s="1" t="s">
        <v>461</v>
      </c>
      <c r="G1" s="1" t="s">
        <v>459</v>
      </c>
      <c r="H1" s="1" t="s">
        <v>477</v>
      </c>
      <c r="I1" s="1" t="s">
        <v>478</v>
      </c>
    </row>
    <row r="2" spans="1:9">
      <c r="A2" t="s">
        <v>8</v>
      </c>
      <c r="B2" s="2" t="s">
        <v>9</v>
      </c>
      <c r="C2" s="2" t="s">
        <v>453</v>
      </c>
      <c r="D2" s="3"/>
      <c r="E2" s="2" t="s">
        <v>454</v>
      </c>
      <c r="F2" s="2" t="s">
        <v>455</v>
      </c>
      <c r="G2" s="2" t="s">
        <v>171</v>
      </c>
      <c r="H2" s="2" t="s">
        <v>479</v>
      </c>
      <c r="I2" s="2" t="s">
        <v>480</v>
      </c>
    </row>
    <row r="3" spans="1:9">
      <c r="A3" t="s">
        <v>16</v>
      </c>
      <c r="B3" s="2" t="s">
        <v>17</v>
      </c>
      <c r="C3" s="2" t="s">
        <v>17</v>
      </c>
      <c r="D3" s="3" t="s">
        <v>18</v>
      </c>
      <c r="E3" s="2" t="s">
        <v>17</v>
      </c>
      <c r="F3" s="2" t="s">
        <v>17</v>
      </c>
      <c r="G3" s="2" t="s">
        <v>466</v>
      </c>
      <c r="H3" s="2" t="s">
        <v>18</v>
      </c>
      <c r="I3" s="2" t="s">
        <v>18</v>
      </c>
    </row>
    <row r="4" spans="1:9">
      <c r="A4" t="s">
        <v>19</v>
      </c>
      <c r="B4" s="2" t="s">
        <v>20</v>
      </c>
      <c r="C4" s="2" t="s">
        <v>20</v>
      </c>
      <c r="D4" s="2" t="s">
        <v>20</v>
      </c>
      <c r="E4" s="2" t="s">
        <v>20</v>
      </c>
      <c r="F4" s="2" t="s">
        <v>20</v>
      </c>
      <c r="G4" s="2" t="s">
        <v>20</v>
      </c>
      <c r="H4" s="2" t="s">
        <v>20</v>
      </c>
      <c r="I4" s="2" t="s">
        <v>20</v>
      </c>
    </row>
    <row r="5" spans="1:9">
      <c r="A5" t="s">
        <v>21</v>
      </c>
      <c r="B5" s="2"/>
      <c r="C5" s="2"/>
      <c r="D5" s="3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</row>
    <row r="6" ht="15.75" spans="1:9">
      <c r="A6" s="1" t="s">
        <v>481</v>
      </c>
      <c r="B6" s="1">
        <v>1</v>
      </c>
      <c r="C6" s="1">
        <v>1</v>
      </c>
      <c r="D6" s="1" t="s">
        <v>457</v>
      </c>
      <c r="E6" s="1">
        <v>0</v>
      </c>
      <c r="F6" s="1">
        <v>0</v>
      </c>
      <c r="G6" s="1" t="s">
        <v>482</v>
      </c>
      <c r="H6" s="4" t="s">
        <v>483</v>
      </c>
      <c r="I6" s="5"/>
    </row>
    <row r="7" ht="15.75" spans="2:9">
      <c r="B7" s="1">
        <v>2</v>
      </c>
      <c r="C7" s="1">
        <v>2</v>
      </c>
      <c r="D7" s="1" t="s">
        <v>419</v>
      </c>
      <c r="E7" s="1">
        <v>0</v>
      </c>
      <c r="F7" s="1">
        <v>0</v>
      </c>
      <c r="G7" s="1" t="s">
        <v>484</v>
      </c>
      <c r="H7" s="4" t="s">
        <v>485</v>
      </c>
      <c r="I7" s="5"/>
    </row>
    <row r="8" ht="15.75" spans="2:9">
      <c r="B8" s="1">
        <v>3</v>
      </c>
      <c r="C8" s="1">
        <v>3</v>
      </c>
      <c r="D8" s="1" t="s">
        <v>414</v>
      </c>
      <c r="E8" s="1">
        <v>0</v>
      </c>
      <c r="F8" s="1">
        <v>0</v>
      </c>
      <c r="G8" s="1" t="s">
        <v>486</v>
      </c>
      <c r="H8" s="4" t="s">
        <v>487</v>
      </c>
      <c r="I8" s="5"/>
    </row>
    <row r="9" spans="2:8">
      <c r="B9" s="1">
        <v>4</v>
      </c>
      <c r="C9" s="1">
        <v>4</v>
      </c>
      <c r="D9" s="1" t="s">
        <v>410</v>
      </c>
      <c r="E9" s="1">
        <v>0</v>
      </c>
      <c r="F9" s="1">
        <v>0</v>
      </c>
      <c r="G9" s="1" t="s">
        <v>488</v>
      </c>
      <c r="H9" s="4" t="s">
        <v>489</v>
      </c>
    </row>
    <row r="10" spans="2:9">
      <c r="B10" s="1">
        <v>5</v>
      </c>
      <c r="C10" s="1">
        <v>5</v>
      </c>
      <c r="D10" s="1" t="s">
        <v>404</v>
      </c>
      <c r="E10" s="1">
        <v>0</v>
      </c>
      <c r="F10" s="1">
        <v>0</v>
      </c>
      <c r="G10" s="1" t="s">
        <v>490</v>
      </c>
      <c r="H10" s="4" t="s">
        <v>491</v>
      </c>
      <c r="I10" s="1" t="s">
        <v>492</v>
      </c>
    </row>
    <row r="11" spans="2:9">
      <c r="B11" s="1">
        <v>6</v>
      </c>
      <c r="C11" s="1">
        <v>6</v>
      </c>
      <c r="D11" s="1" t="s">
        <v>470</v>
      </c>
      <c r="E11" s="1">
        <v>4</v>
      </c>
      <c r="F11" s="1">
        <v>10</v>
      </c>
      <c r="G11" s="1" t="s">
        <v>493</v>
      </c>
      <c r="H11" s="4" t="s">
        <v>494</v>
      </c>
      <c r="I11" s="1" t="s">
        <v>495</v>
      </c>
    </row>
    <row r="12" spans="2:9">
      <c r="B12" s="1">
        <v>7</v>
      </c>
      <c r="C12" s="1">
        <v>6</v>
      </c>
      <c r="D12" s="1" t="s">
        <v>473</v>
      </c>
      <c r="E12" s="1">
        <v>1</v>
      </c>
      <c r="F12" s="1">
        <v>3</v>
      </c>
      <c r="G12" s="1" t="s">
        <v>496</v>
      </c>
      <c r="H12" s="4" t="s">
        <v>497</v>
      </c>
      <c r="I12" s="1" t="s">
        <v>498</v>
      </c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22</vt:i4>
      </vt:variant>
    </vt:vector>
  </HeadingPairs>
  <TitlesOfParts>
    <vt:vector size="22" baseType="lpstr">
      <vt:lpstr>club_level</vt:lpstr>
      <vt:lpstr>club_cue</vt:lpstr>
      <vt:lpstr>club_shop</vt:lpstr>
      <vt:lpstr>club_task</vt:lpstr>
      <vt:lpstr>club_task_limit</vt:lpstr>
      <vt:lpstr>club_task_reward</vt:lpstr>
      <vt:lpstr>club_position</vt:lpstr>
      <vt:lpstr>club_earn</vt:lpstr>
      <vt:lpstr>club_recharge_reward</vt:lpstr>
      <vt:lpstr>club_head</vt:lpstr>
      <vt:lpstr>club_news</vt:lpstr>
      <vt:lpstr>club_rank</vt:lpstr>
      <vt:lpstr>match_rule</vt:lpstr>
      <vt:lpstr>how_join</vt:lpstr>
      <vt:lpstr>match_reward_show</vt:lpstr>
      <vt:lpstr>match_reward_person</vt:lpstr>
      <vt:lpstr>match_reward_player</vt:lpstr>
      <vt:lpstr>schedule</vt:lpstr>
      <vt:lpstr>club_grade_rankroom</vt:lpstr>
      <vt:lpstr>club_grade_ScoreReward</vt:lpstr>
      <vt:lpstr>club_grade_HighReward</vt:lpstr>
      <vt:lpstr>club_grade_RankDefinition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zhouzhen</dc:creator>
  <cp:lastModifiedBy>86131</cp:lastModifiedBy>
  <dcterms:created xsi:type="dcterms:W3CDTF">2015-06-05T18:19:00Z</dcterms:created>
  <dcterms:modified xsi:type="dcterms:W3CDTF">2025-06-25T06:35:38Z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7F9EE70BBB9E42E4B5FCC8566B1B757F_12</vt:lpwstr>
  </property>
  <property fmtid="{D5CDD505-2E9C-101B-9397-08002B2CF9AE}" pid="3" name="KSOProductBuildVer">
    <vt:lpwstr>2052-12.1.0.21541</vt:lpwstr>
  </property>
</Properties>
</file>