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A3A58857-F06D-4C83-8008-731318DA3CAD}" xr6:coauthVersionLast="47" xr6:coauthVersionMax="47" xr10:uidLastSave="{00000000-0000-0000-0000-000000000000}"/>
  <bookViews>
    <workbookView xWindow="28680" yWindow="-45" windowWidth="29040" windowHeight="15840" xr2:uid="{00000000-000D-0000-FFFF-FFFF00000000}"/>
  </bookViews>
  <sheets>
    <sheet name="mode_game" sheetId="1" r:id="rId1"/>
    <sheet name="room" sheetId="2" r:id="rId2"/>
    <sheet name="room_friend" sheetId="3" r:id="rId3"/>
    <sheet name="room_reward" sheetId="4" r:id="rId4"/>
    <sheet name="blood_other" sheetId="5" r:id="rId5"/>
    <sheet name="crazy_blood_other" sheetId="6" r:id="rId6"/>
    <sheet name="super_ai_other" sheetId="7" r:id="rId7"/>
    <sheet name="profit_group" sheetId="8" r:id="rId8"/>
    <sheet name="profit_reward" sheetId="9" r:id="rId9"/>
    <sheet name="blood_room" sheetId="10" r:id="rId10"/>
    <sheet name="multiple" sheetId="11" r:id="rId11"/>
    <sheet name="multiple_level" sheetId="12" r:id="rId12"/>
  </sheets>
  <calcPr calcId="191029"/>
</workbook>
</file>

<file path=xl/calcChain.xml><?xml version="1.0" encoding="utf-8"?>
<calcChain xmlns="http://schemas.openxmlformats.org/spreadsheetml/2006/main">
  <c r="W16" i="2" l="1"/>
  <c r="W15" i="2"/>
  <c r="W14" i="2"/>
  <c r="W13" i="2"/>
  <c r="W12" i="2"/>
  <c r="W25" i="2"/>
  <c r="W24" i="2"/>
  <c r="W23" i="2"/>
  <c r="W11" i="2" l="1"/>
  <c r="W10" i="2"/>
  <c r="W9" i="2"/>
  <c r="W22" i="2" l="1"/>
  <c r="W21" i="2"/>
  <c r="W20" i="2"/>
  <c r="W19" i="2"/>
  <c r="W18" i="2"/>
  <c r="W17" i="2"/>
  <c r="W8" i="2"/>
  <c r="W7" i="2"/>
  <c r="W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D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E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策划维护参考</t>
        </r>
      </text>
    </comment>
    <comment ref="F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房间id配置
id1,id2,id3...</t>
        </r>
      </text>
    </comment>
    <comment ref="G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玩法从上到下排序，根据order由小到大排序
order相同时根据模式id由小到大排序</t>
        </r>
      </text>
    </comment>
    <comment ref="H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右侧选对局的UI排版
0：不开启该玩法模式，点击提示未开启
1：分房间模式
2以后：待拓展</t>
        </r>
      </text>
    </comment>
    <comment ref="J2" authorId="1" shapeId="0" xr:uid="{00000000-0006-0000-0000-000006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0:默认开放
其他数字：≥版本号才开放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  <author>zhouzhen</author>
    <author>杨宗水</author>
    <author>Aki</author>
    <author>Administrator</author>
  </authors>
  <commentList>
    <comment ref="AG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Win10:</t>
        </r>
        <r>
          <rPr>
            <sz val="9"/>
            <rFont val="宋体"/>
            <family val="3"/>
            <charset val="134"/>
          </rPr>
          <t xml:space="preserve">
8球的是（每球/钱）
斯诺克的是（每分/钱）</t>
        </r>
      </text>
    </comment>
    <comment ref="B2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1-99：8球房间
101-199：斯诺克房间</t>
        </r>
      </text>
    </comment>
    <comment ref="C2" authorId="2" shapeId="0" xr:uid="{00000000-0006-0000-01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同玩法内，不同房间的特殊细节规则区别
实际生效文字显示
需配置id到语言包</t>
        </r>
      </text>
    </comment>
    <comment ref="D2" authorId="2" shapeId="0" xr:uid="{00000000-0006-0000-01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策划维护参考</t>
        </r>
      </text>
    </comment>
    <comment ref="G2" authorId="1" shapeId="0" xr:uid="{00000000-0006-0000-01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0：正常
1：开启对应mode巅峰赛</t>
        </r>
      </text>
    </comment>
    <comment ref="I2" authorId="1" shapeId="0" xr:uid="{00000000-0006-0000-0100-000006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《R-入口控制表》的id</t>
        </r>
      </text>
    </comment>
    <comment ref="J2" authorId="2" shapeId="0" xr:uid="{00000000-0006-0000-0100-00000B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0：广告
1：钻石
2：金币
预留后续拓展钻石房</t>
        </r>
      </text>
    </comment>
    <comment ref="K2" authorId="2" shapeId="0" xr:uid="{00000000-0006-0000-0100-00000C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进入房间，扣除的货币数</t>
        </r>
      </text>
    </comment>
    <comment ref="L2" authorId="2" shapeId="0" xr:uid="{00000000-0006-0000-0100-00000E000000}">
      <text>
        <r>
          <rPr>
            <b/>
            <sz val="9"/>
            <rFont val="宋体"/>
            <family val="3"/>
            <charset val="134"/>
          </rPr>
          <t>杨宗水:
对局结束后，胜方获得的基础对局货币奖金</t>
        </r>
      </text>
    </comment>
    <comment ref="Q2" authorId="1" shapeId="0" xr:uid="{E866F341-1F40-482A-A6BC-84F34126A3AA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1：8球模式
2：斯洛克模式
9：9球1v1模式
10：9球追龙模式
11：8球2v2组队模式
对应mode表id</t>
        </r>
      </text>
    </comment>
    <comment ref="S2" authorId="1" shapeId="0" xr:uid="{00000000-0006-0000-0100-000007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0：正常结算
1：净胜球结算
2：血流结算
3：9球追龙结算
4：多人血流结算</t>
        </r>
      </text>
    </comment>
    <comment ref="T2" authorId="2" shapeId="0" xr:uid="{00000000-0006-0000-01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0:标准规则
1：8球定袋
2：所有球定袋
3：定球且定袋
4：6球斯洛克
5：10球斯洛克
6：15球斯洛克
7：血流规则
8：9球1v1
9：9球追龙
10：多人疯狂血流</t>
        </r>
      </text>
    </comment>
    <comment ref="U2" authorId="2" shapeId="0" xr:uid="{00000000-0006-0000-01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同玩法内，不同房间的特殊细节规则区别
实际生效文字显示
需配置id到语言包</t>
        </r>
      </text>
    </comment>
    <comment ref="V2" authorId="2" shapeId="0" xr:uid="{00000000-0006-0000-0100-00000A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策划维护参考</t>
        </r>
      </text>
    </comment>
    <comment ref="Z2" authorId="3" shapeId="0" xr:uid="{00000000-0006-0000-0100-00000D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血流模式使用</t>
        </r>
      </text>
    </comment>
    <comment ref="AB2" authorId="2" shapeId="0" xr:uid="{00000000-0006-0000-0100-00000F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加注时，单次需要的货币数</t>
        </r>
      </text>
    </comment>
    <comment ref="AC2" authorId="4" shapeId="0" xr:uid="{00000000-0006-0000-0100-000010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配置为添彩奖金，抽成比例为5%</t>
        </r>
      </text>
    </comment>
    <comment ref="AD2" authorId="2" shapeId="0" xr:uid="{00000000-0006-0000-0100-00001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当玩家货币大于等于此值后，将不能进入该房间，并推荐到下一个房
默认0不限制</t>
        </r>
      </text>
    </comment>
    <comment ref="AE2" authorId="1" shapeId="0" xr:uid="{00000000-0006-0000-0100-00001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当玩家金币低于要求值时，不允许进入房间匹配</t>
        </r>
      </text>
    </comment>
    <comment ref="AF2" authorId="1" shapeId="0" xr:uid="{00000000-0006-0000-0100-00001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[[a,b],[c,d]]
例如【7，9】表示7:00~10:00</t>
        </r>
      </text>
    </comment>
    <comment ref="AH2" authorId="2" shapeId="0" xr:uid="{00000000-0006-0000-0100-000014000000}">
      <text>
        <r>
          <rPr>
            <b/>
            <sz val="9"/>
            <rFont val="宋体"/>
            <family val="3"/>
            <charset val="134"/>
          </rPr>
          <t>杨宗水:
对局结束后，胜方获得的基础对局货币奖金</t>
        </r>
      </text>
    </comment>
    <comment ref="AL2" authorId="2" shapeId="0" xr:uid="{00000000-0006-0000-0100-00001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单次击球的限时</t>
        </r>
      </text>
    </comment>
    <comment ref="AM2" authorId="2" shapeId="0" xr:uid="{00000000-0006-0000-0100-00001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后期拓展功能
0：无先手击球流程
1：有</t>
        </r>
      </text>
    </comment>
    <comment ref="AR2" authorId="2" shapeId="0" xr:uid="{00000000-0006-0000-0100-000017000000}">
      <text>
        <r>
          <rPr>
            <b/>
            <sz val="9"/>
            <rFont val="宋体"/>
            <family val="3"/>
            <charset val="134"/>
          </rPr>
          <t>杨宗水:
用于段位积分计算时的系数，以百分比计算</t>
        </r>
      </text>
    </comment>
    <comment ref="AX2" authorId="3" shapeId="0" xr:uid="{00000000-0006-0000-0100-000018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lucky_one表id
从此id对应价位开始推送，购买后依次递增</t>
        </r>
      </text>
    </comment>
    <comment ref="BA2" authorId="3" shapeId="0" xr:uid="{00000000-0006-0000-0100-000019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[玩家金币少于X弹出补币,exchange表id]</t>
        </r>
      </text>
    </comment>
    <comment ref="BF2" authorId="1" shapeId="0" xr:uid="{00000000-0006-0000-0100-00001A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AI的进球概率，单位%</t>
        </r>
      </text>
    </comment>
    <comment ref="BG2" authorId="1" shapeId="0" xr:uid="{00000000-0006-0000-0100-00001B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配置人数+实际人数</t>
        </r>
      </text>
    </comment>
    <comment ref="BH2" authorId="1" shapeId="0" xr:uid="{00000000-0006-0000-0100-00001C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是否支持连胜连败匹配机制
0，不支持
1，支持</t>
        </r>
      </text>
    </comment>
    <comment ref="BI2" authorId="1" shapeId="0" xr:uid="{00000000-0006-0000-0100-00001D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0、不触发
1、触发</t>
        </r>
      </text>
    </comment>
    <comment ref="BJ2" authorId="1" shapeId="0" xr:uid="{00000000-0006-0000-0100-00001E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0:不触发
1：触发去8球免费厅
101：触发去斯诺克免费厅</t>
        </r>
      </text>
    </comment>
    <comment ref="BM2" authorId="1" shapeId="0" xr:uid="{00000000-0006-0000-0100-00001F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0:关闭
1：开启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  <author>Win10</author>
  </authors>
  <commentList>
    <comment ref="C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0：加入房间
1：经典象棋
2：揭棋
3：暗棋
</t>
        </r>
      </text>
    </comment>
    <comment ref="D2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E2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策划维护参考</t>
        </r>
      </text>
    </comment>
    <comment ref="G2" authorId="2" shapeId="0" xr:uid="{00000000-0006-0000-0200-000004000000}">
      <text>
        <r>
          <rPr>
            <sz val="9"/>
            <rFont val="宋体"/>
            <family val="3"/>
            <charset val="134"/>
          </rPr>
          <t>0：
1：让棋设置</t>
        </r>
      </text>
    </comment>
    <comment ref="H2" authorId="2" shapeId="0" xr:uid="{00000000-0006-0000-0200-000005000000}">
      <text>
        <r>
          <rPr>
            <sz val="9"/>
            <rFont val="宋体"/>
            <family val="3"/>
            <charset val="134"/>
          </rPr>
          <t>0：
1：让棋设置</t>
        </r>
      </text>
    </comment>
    <comment ref="I2" authorId="2" shapeId="0" xr:uid="{00000000-0006-0000-0200-000006000000}">
      <text>
        <r>
          <rPr>
            <sz val="9"/>
            <rFont val="宋体"/>
            <family val="3"/>
            <charset val="134"/>
          </rPr>
          <t>0：不设置
1：设置让子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对应room表中的room_id</t>
        </r>
      </text>
    </comment>
    <comment ref="E2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奖励池id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6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一杆多球，翻袋球，组合球</t>
        </r>
      </text>
    </comment>
    <comment ref="D7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进球倍数-30</t>
        </r>
      </text>
    </comment>
    <comment ref="D8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进球倍数-15</t>
        </r>
      </text>
    </comment>
    <comment ref="D9" authorId="0" shapeId="0" xr:uid="{00000000-0006-0000-0400-000004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0：无
1：有</t>
        </r>
      </text>
    </comment>
    <comment ref="D10" authorId="0" shapeId="0" xr:uid="{00000000-0006-0000-0400-000005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0：无
1：有</t>
        </r>
      </text>
    </comment>
    <comment ref="D14" authorId="0" shapeId="0" xr:uid="{00000000-0006-0000-0400-000006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程序写死，此处配置为了方便策划查看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147</author>
    <author>zhouzhen</author>
  </authors>
  <commentList>
    <comment ref="C6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一杆多球，翻袋球，组合球</t>
        </r>
      </text>
    </comment>
    <comment ref="D7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进球倍数-30</t>
        </r>
      </text>
    </comment>
    <comment ref="D8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进球倍数-15</t>
        </r>
      </text>
    </comment>
    <comment ref="D9" authorId="0" shapeId="0" xr:uid="{00000000-0006-0000-0500-000004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0：无
1：有</t>
        </r>
      </text>
    </comment>
    <comment ref="D10" authorId="0" shapeId="0" xr:uid="{00000000-0006-0000-0500-000005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0：无
1：有</t>
        </r>
      </text>
    </comment>
    <comment ref="D14" authorId="0" shapeId="0" xr:uid="{00000000-0006-0000-0500-000006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程序写死，此处配置为了方便策划查看</t>
        </r>
      </text>
    </comment>
    <comment ref="D17" authorId="1" shapeId="0" xr:uid="{00000000-0006-0000-0500-000007000000}">
      <text>
        <r>
          <rPr>
            <b/>
            <sz val="9"/>
            <rFont val="宋体"/>
            <family val="3"/>
            <charset val="134"/>
          </rPr>
          <t>147:</t>
        </r>
        <r>
          <rPr>
            <sz val="9"/>
            <rFont val="宋体"/>
            <family val="3"/>
            <charset val="134"/>
          </rPr>
          <t xml:space="preserve">
[初级,中级,高级,大师]</t>
        </r>
      </text>
    </comment>
    <comment ref="D24" authorId="2" shapeId="0" xr:uid="{00000000-0006-0000-0500-000008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百分数
</t>
        </r>
      </text>
    </comment>
    <comment ref="E28" authorId="2" shapeId="0" xr:uid="{00000000-0006-0000-0500-000009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第一个字符表示问号圈数量
第二个字符表示倍率，配置的数字为实际倍率的10倍，配置为10，则为1倍</t>
        </r>
      </text>
    </comment>
    <comment ref="E35" authorId="2" shapeId="0" xr:uid="{00000000-0006-0000-0500-00000A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炸弹局、球号局、球洞局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E1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【【金币下限，货币分】，【金币下限，货币分】】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O1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0:关闭
1:开启</t>
        </r>
      </text>
    </comment>
    <comment ref="C2" authorId="0" shapeId="0" xr:uid="{00000000-0006-0000-09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[[球号，数量]，[球号，数量]]</t>
        </r>
      </text>
    </comment>
    <comment ref="D2" authorId="0" shapeId="0" xr:uid="{00000000-0006-0000-09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[[球号，数量]，[球号，数量]]</t>
        </r>
      </text>
    </comment>
    <comment ref="L2" authorId="0" shapeId="0" xr:uid="{00000000-0006-0000-09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配置的档位顺序为档位的判断优先级，第一个优先级最高</t>
        </r>
      </text>
    </comment>
    <comment ref="N2" authorId="0" shapeId="0" xr:uid="{00000000-0006-0000-09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[道具id，牌型随机档位 ]</t>
        </r>
      </text>
    </comment>
    <comment ref="Q2" authorId="0" shapeId="0" xr:uid="{00000000-0006-0000-0900-000006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右区间配置为0时表示无穷大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F2" authorId="0" shapeId="0" xr:uid="{00000000-0006-0000-0A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实际累计数值*100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F2" authorId="0" shapeId="0" xr:uid="{00000000-0006-0000-0B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[控制权重，不控制权重]
</t>
        </r>
      </text>
    </comment>
  </commentList>
</comments>
</file>

<file path=xl/sharedStrings.xml><?xml version="1.0" encoding="utf-8"?>
<sst xmlns="http://schemas.openxmlformats.org/spreadsheetml/2006/main" count="1301" uniqueCount="520">
  <si>
    <t>##comment</t>
  </si>
  <si>
    <t>模式选中图</t>
  </si>
  <si>
    <t>模式名称</t>
  </si>
  <si>
    <t>模式名称参考中文名</t>
  </si>
  <si>
    <t>房间序号</t>
  </si>
  <si>
    <t>玩法排序</t>
  </si>
  <si>
    <t>排版类型</t>
  </si>
  <si>
    <t>模式非选中图</t>
  </si>
  <si>
    <t>开放版本</t>
  </si>
  <si>
    <t>##var</t>
  </si>
  <si>
    <t>id</t>
  </si>
  <si>
    <t>mode_select</t>
  </si>
  <si>
    <t>mode_name</t>
  </si>
  <si>
    <t>#name_mode</t>
  </si>
  <si>
    <t>room_id</t>
  </si>
  <si>
    <t>order</t>
  </si>
  <si>
    <t>type_ui</t>
  </si>
  <si>
    <t>mode_not_select</t>
  </si>
  <si>
    <t>open_edition</t>
  </si>
  <si>
    <t>##type</t>
  </si>
  <si>
    <t>int32</t>
  </si>
  <si>
    <t>string</t>
  </si>
  <si>
    <t>(list#sep=,),int</t>
  </si>
  <si>
    <t>##group</t>
  </si>
  <si>
    <t>c,s</t>
  </si>
  <si>
    <t>vb</t>
  </si>
  <si>
    <t>##</t>
  </si>
  <si>
    <t>bg_bqms</t>
  </si>
  <si>
    <t>ui_xg_btn_left_8qiu_n</t>
  </si>
  <si>
    <t>ui_xg_btn_left_8qiu_s</t>
  </si>
  <si>
    <t>ui_xg_btn_left_hlxl_s</t>
  </si>
  <si>
    <t>象棋</t>
  </si>
  <si>
    <t>揭棋</t>
  </si>
  <si>
    <t>暗棋</t>
  </si>
  <si>
    <t>房间名</t>
  </si>
  <si>
    <t>房间名参考中文</t>
  </si>
  <si>
    <t>房间匹配图</t>
  </si>
  <si>
    <t>房间推荐图</t>
  </si>
  <si>
    <t>巅峰玩法模式字段</t>
  </si>
  <si>
    <t>房间玩法模式</t>
  </si>
  <si>
    <t>结算类型</t>
  </si>
  <si>
    <t>特殊规则类型</t>
  </si>
  <si>
    <t>特殊规则语言</t>
  </si>
  <si>
    <t>特殊规则参考中文名</t>
  </si>
  <si>
    <t>参考中文名</t>
  </si>
  <si>
    <t>门票类型</t>
  </si>
  <si>
    <t>门票价格上限</t>
  </si>
  <si>
    <t>底分</t>
  </si>
  <si>
    <t>获胜奖金</t>
  </si>
  <si>
    <t>添彩次数限制</t>
  </si>
  <si>
    <t>添彩价格</t>
  </si>
  <si>
    <t>实际添彩金额</t>
  </si>
  <si>
    <t>进入上限</t>
  </si>
  <si>
    <t>进入下限</t>
  </si>
  <si>
    <t>开放时间</t>
  </si>
  <si>
    <t>净胜球（分）价格</t>
  </si>
  <si>
    <t>最后结算占比（百分）</t>
  </si>
  <si>
    <t>跳转链接</t>
  </si>
  <si>
    <t>广告对局次数</t>
  </si>
  <si>
    <t>广告奖励金币</t>
  </si>
  <si>
    <t>击球限时</t>
  </si>
  <si>
    <t>是否先手流程</t>
  </si>
  <si>
    <t>背景框图</t>
  </si>
  <si>
    <t>房间名称图</t>
  </si>
  <si>
    <t>背景图标</t>
  </si>
  <si>
    <t>保底奖励文字颜色</t>
  </si>
  <si>
    <t>段位积分房间系数</t>
  </si>
  <si>
    <t>进入推荐值</t>
  </si>
  <si>
    <t>高手礼包</t>
  </si>
  <si>
    <t>复仇礼包</t>
  </si>
  <si>
    <t>翻本礼包</t>
  </si>
  <si>
    <t>破产礼包</t>
  </si>
  <si>
    <t>幸运1+1</t>
  </si>
  <si>
    <t>金币不足钻石购买</t>
  </si>
  <si>
    <t>金币不足充值购买</t>
  </si>
  <si>
    <t>对局中补币</t>
  </si>
  <si>
    <t>胜局奖励</t>
  </si>
  <si>
    <t>败局奖励</t>
  </si>
  <si>
    <t>胜局熟练度</t>
  </si>
  <si>
    <t>败局熟练度</t>
  </si>
  <si>
    <t>AI进球概率</t>
  </si>
  <si>
    <t>房间在线人数</t>
  </si>
  <si>
    <t>连胜连败匹配</t>
  </si>
  <si>
    <t>补币弹窗触发</t>
  </si>
  <si>
    <t>免费厅推荐触发</t>
  </si>
  <si>
    <t>宝箱掉落</t>
  </si>
  <si>
    <t>获胜加分</t>
  </si>
  <si>
    <t>失败减分</t>
  </si>
  <si>
    <t>AI强杀减分</t>
  </si>
  <si>
    <t>是否触发特殊AI</t>
  </si>
  <si>
    <t>瞄准加强道具id</t>
  </si>
  <si>
    <t>逃跑罚金</t>
  </si>
  <si>
    <t>斯诺克单杆得分倍率提升点</t>
  </si>
  <si>
    <t>room_txt</t>
  </si>
  <si>
    <t>#name_room</t>
  </si>
  <si>
    <t>room_img</t>
  </si>
  <si>
    <t>room_img_recomment</t>
  </si>
  <si>
    <r>
      <rPr>
        <sz val="11"/>
        <color theme="1"/>
        <rFont val="等线"/>
        <family val="3"/>
        <charset val="134"/>
        <scheme val="minor"/>
      </rPr>
      <t>peak</t>
    </r>
    <r>
      <rPr>
        <sz val="11"/>
        <color theme="1"/>
        <rFont val="等线"/>
        <family val="3"/>
        <charset val="134"/>
        <scheme val="minor"/>
      </rPr>
      <t>_</t>
    </r>
    <r>
      <rPr>
        <sz val="11"/>
        <color theme="1"/>
        <rFont val="等线"/>
        <family val="3"/>
        <charset val="134"/>
        <scheme val="minor"/>
      </rPr>
      <t>mode</t>
    </r>
  </si>
  <si>
    <t>mode</t>
  </si>
  <si>
    <t>type_count</t>
  </si>
  <si>
    <t>rule_type</t>
  </si>
  <si>
    <t>rule_txt</t>
  </si>
  <si>
    <t>#name_center</t>
  </si>
  <si>
    <t>money_limit</t>
  </si>
  <si>
    <t>#name_money_ch</t>
  </si>
  <si>
    <t>price_tye</t>
  </si>
  <si>
    <t>price</t>
  </si>
  <si>
    <t>price2</t>
  </si>
  <si>
    <t>base_score</t>
  </si>
  <si>
    <t>reward_money</t>
  </si>
  <si>
    <t>gamble_limit</t>
  </si>
  <si>
    <t>gamble_price</t>
  </si>
  <si>
    <t>gamble_bonus</t>
  </si>
  <si>
    <t>price_limit</t>
  </si>
  <si>
    <t>price_limit2</t>
  </si>
  <si>
    <t>time</t>
  </si>
  <si>
    <t>price_ball</t>
  </si>
  <si>
    <t>earning</t>
  </si>
  <si>
    <t>link_room</t>
  </si>
  <si>
    <t>count_ad</t>
  </si>
  <si>
    <t>coin_ad</t>
  </si>
  <si>
    <t>time_limit</t>
  </si>
  <si>
    <t>redPack</t>
  </si>
  <si>
    <t>bgImg#default=bg_lv</t>
  </si>
  <si>
    <t>gradeImg#default=bg_cjf</t>
  </si>
  <si>
    <t>bgMinImg#default=ui_xg_8qiu_image_1</t>
  </si>
  <si>
    <t>redPack_color#default=7ed4a2</t>
  </si>
  <si>
    <t>grade_point</t>
  </si>
  <si>
    <t>price_guide</t>
  </si>
  <si>
    <t>gift_ace</t>
  </si>
  <si>
    <t>gift_revenge</t>
  </si>
  <si>
    <t>gift_turn</t>
  </si>
  <si>
    <t>gift_bankruptcy</t>
  </si>
  <si>
    <t>gift_lucky</t>
  </si>
  <si>
    <t>gift_diamond</t>
  </si>
  <si>
    <t>gift_charge</t>
  </si>
  <si>
    <t>gift_replenish</t>
  </si>
  <si>
    <t>reward_win</t>
  </si>
  <si>
    <t>reward_lose</t>
  </si>
  <si>
    <t>mastery_win</t>
  </si>
  <si>
    <t>mastery_lose</t>
  </si>
  <si>
    <t>level_ai</t>
  </si>
  <si>
    <t>num_online</t>
  </si>
  <si>
    <t>win_room</t>
  </si>
  <si>
    <t>add_coin</t>
  </si>
  <si>
    <t>free_room</t>
  </si>
  <si>
    <t>box</t>
  </si>
  <si>
    <t>score_win</t>
  </si>
  <si>
    <t>score_lose</t>
  </si>
  <si>
    <t>score_break</t>
  </si>
  <si>
    <t>score_ai_win</t>
  </si>
  <si>
    <t>if_super_ai</t>
  </si>
  <si>
    <t>super_target</t>
  </si>
  <si>
    <t>reward_run</t>
  </si>
  <si>
    <t>scoring_point</t>
  </si>
  <si>
    <t>ERuleSet</t>
  </si>
  <si>
    <t>(list#sep=;),int</t>
  </si>
  <si>
    <t>(list#sep=;),(list#sep=,),int</t>
  </si>
  <si>
    <t>[[]]</t>
  </si>
  <si>
    <t>bg_lv</t>
  </si>
  <si>
    <t>bg_cjf</t>
  </si>
  <si>
    <t>ui_xg_8qiu_image_1</t>
  </si>
  <si>
    <t>7ed4a2</t>
  </si>
  <si>
    <t>[]</t>
  </si>
  <si>
    <t>ui_bg_msxz_cjt</t>
  </si>
  <si>
    <t>ui_image_cctj_0</t>
  </si>
  <si>
    <t>100以上</t>
  </si>
  <si>
    <t>[[0,23]]</t>
  </si>
  <si>
    <t>2000</t>
  </si>
  <si>
    <t>ui_bq_base_mft</t>
  </si>
  <si>
    <t>ui_xg_text_mft</t>
  </si>
  <si>
    <t>ui_xg_8qiu_image_0</t>
  </si>
  <si>
    <t>700026;700032</t>
  </si>
  <si>
    <t>ui_bg_msxz_zjt</t>
  </si>
  <si>
    <t>ui_image_cctj_1</t>
  </si>
  <si>
    <t>500以上</t>
  </si>
  <si>
    <t>5000</t>
  </si>
  <si>
    <t>ui_bq_base_xst</t>
  </si>
  <si>
    <t>ui_xg_text_cjt</t>
  </si>
  <si>
    <t>10021,20;10022,35;10023,35;10024,10</t>
  </si>
  <si>
    <t>700022;700032</t>
  </si>
  <si>
    <t>ui_bg_msxz_gjt</t>
  </si>
  <si>
    <t>1000以上</t>
  </si>
  <si>
    <t>10000</t>
  </si>
  <si>
    <t>ui_bq_base_cjt</t>
  </si>
  <si>
    <t>7eaed4</t>
  </si>
  <si>
    <t>10001,20;10002,35;10003,35;10004,10</t>
  </si>
  <si>
    <t>ui_bg_msxz_zyt</t>
  </si>
  <si>
    <t>ui_image_cctj_2</t>
  </si>
  <si>
    <t>2000以上</t>
  </si>
  <si>
    <t>100000</t>
  </si>
  <si>
    <t>ui_bq_base_zjt</t>
  </si>
  <si>
    <t>ui_xg_text_zjt</t>
  </si>
  <si>
    <t>ui_xg_8qiu_image_2</t>
  </si>
  <si>
    <t>10005,20;10006,35;10007,35;10008,10</t>
  </si>
  <si>
    <t>700023;700032</t>
  </si>
  <si>
    <t>玩法规则序号</t>
  </si>
  <si>
    <t>玩法模式</t>
  </si>
  <si>
    <t>玩法规则名称</t>
  </si>
  <si>
    <t>规则名称参考中文名</t>
  </si>
  <si>
    <t>模式入口图</t>
  </si>
  <si>
    <t>局时（min）</t>
  </si>
  <si>
    <t xml:space="preserve">  步时（s）</t>
  </si>
  <si>
    <t>让子功能</t>
  </si>
  <si>
    <t>rule_name</t>
  </si>
  <si>
    <t>img</t>
  </si>
  <si>
    <t>round_time</t>
  </si>
  <si>
    <t>step_time</t>
  </si>
  <si>
    <t>move_chess</t>
  </si>
  <si>
    <t>标准象棋</t>
  </si>
  <si>
    <t>bzxq</t>
  </si>
  <si>
    <t>10,15,20,30</t>
  </si>
  <si>
    <t>15,30,60,90,180</t>
  </si>
  <si>
    <t>jq</t>
  </si>
  <si>
    <t>aq</t>
  </si>
  <si>
    <t>任务序号</t>
  </si>
  <si>
    <t>达成所需对局数</t>
  </si>
  <si>
    <t>对局奖励</t>
  </si>
  <si>
    <t>game_num</t>
  </si>
  <si>
    <t>reward</t>
  </si>
  <si>
    <t>序号</t>
  </si>
  <si>
    <t>说明</t>
  </si>
  <si>
    <t>配置</t>
  </si>
  <si>
    <t>blood_explain</t>
  </si>
  <si>
    <t>blood_explain1</t>
  </si>
  <si>
    <t>技术进球倍数加成</t>
  </si>
  <si>
    <t>75</t>
  </si>
  <si>
    <t>白球进球倍数加成</t>
  </si>
  <si>
    <t>30</t>
  </si>
  <si>
    <t>未进球倍数加成</t>
  </si>
  <si>
    <t>15</t>
  </si>
  <si>
    <t>开球时有无技术进球加成</t>
  </si>
  <si>
    <t>0</t>
  </si>
  <si>
    <t>开球时有无加倍区域生成</t>
  </si>
  <si>
    <t>开球时球袋倍率</t>
  </si>
  <si>
    <t>6,6,6,6,6,10</t>
  </si>
  <si>
    <t>开球后球袋倍率</t>
  </si>
  <si>
    <t>1,2,4,6,8,10</t>
  </si>
  <si>
    <t>血流模式台球号码</t>
  </si>
  <si>
    <t>5,6,7,8,9,10,11,12</t>
  </si>
  <si>
    <t>血流模式累计杆数上限</t>
  </si>
  <si>
    <t>80</t>
  </si>
  <si>
    <t>中级场出现球号</t>
  </si>
  <si>
    <t>大师场出现球号</t>
  </si>
  <si>
    <t>8,9,10,11,12,13,14,15</t>
  </si>
  <si>
    <t>中级、高级场倍数圈个数</t>
  </si>
  <si>
    <t>2</t>
  </si>
  <si>
    <t>大师场倍数圈个数</t>
  </si>
  <si>
    <t>3</t>
  </si>
  <si>
    <t>高级场出现球号</t>
  </si>
  <si>
    <t>初级倍数权重</t>
  </si>
  <si>
    <t>1,10;2,25;3,30;4,25;5,10</t>
  </si>
  <si>
    <t>中级倍数权重</t>
  </si>
  <si>
    <t>高级倍数权重</t>
  </si>
  <si>
    <t>大师倍数权重</t>
  </si>
  <si>
    <t>2000,2000,2000,2000,2000,2000</t>
  </si>
  <si>
    <t>各场倍数圈个数</t>
  </si>
  <si>
    <t>8,8,8,8</t>
  </si>
  <si>
    <t>8</t>
  </si>
  <si>
    <t>回合抽成比例</t>
  </si>
  <si>
    <t>10</t>
  </si>
  <si>
    <t>多人血流技术进球倍数加成</t>
  </si>
  <si>
    <t>5</t>
  </si>
  <si>
    <t>多人血流白球进球倍数加成</t>
  </si>
  <si>
    <t>多人血流未进球倍数加成</t>
  </si>
  <si>
    <t>多人血流问号圈数量倍率</t>
  </si>
  <si>
    <t>1,10;2,10;3,10;4,11;5,11;6,11;7,12</t>
  </si>
  <si>
    <t>多人血流超时倍数罚分</t>
  </si>
  <si>
    <t>1000</t>
  </si>
  <si>
    <t>多人血流对子权重偏移值</t>
  </si>
  <si>
    <t>50</t>
  </si>
  <si>
    <t>多人血流对子最低权重值</t>
  </si>
  <si>
    <t>多人血流自由球道具单局使用次数</t>
  </si>
  <si>
    <t>多人血流自由球价格(钻石)</t>
  </si>
  <si>
    <t>多人血流特殊模式触发概率（百分比）</t>
  </si>
  <si>
    <t>多人血流特殊模式随机权重</t>
  </si>
  <si>
    <t>1,1,1</t>
  </si>
  <si>
    <t>val</t>
  </si>
  <si>
    <t>val1</t>
  </si>
  <si>
    <t>]</t>
  </si>
  <si>
    <t>固定系数</t>
  </si>
  <si>
    <t>1</t>
  </si>
  <si>
    <t>充值减分</t>
  </si>
  <si>
    <t>不连续匹配局数</t>
  </si>
  <si>
    <t>新账号开始触发局数</t>
  </si>
  <si>
    <t>充值照顾局数</t>
  </si>
  <si>
    <t>基础货币分</t>
  </si>
  <si>
    <t>10000,5;50000,10;100000,20</t>
  </si>
  <si>
    <t>最低触发分数限制</t>
  </si>
  <si>
    <t>单人单天最高匹配次数</t>
  </si>
  <si>
    <t>等级区间</t>
  </si>
  <si>
    <t>盈利值区间</t>
  </si>
  <si>
    <t>小组机器人数量</t>
  </si>
  <si>
    <t>level</t>
  </si>
  <si>
    <t>profit</t>
  </si>
  <si>
    <t>ai</t>
  </si>
  <si>
    <t>5,10</t>
  </si>
  <si>
    <t>0,3000;3001,8000;8001,12000;12001,30000;30001,80000;80001,-1</t>
  </si>
  <si>
    <t>11,20</t>
  </si>
  <si>
    <t>21,30</t>
  </si>
  <si>
    <t>31,50</t>
  </si>
  <si>
    <t>51,-1</t>
  </si>
  <si>
    <t>排名</t>
  </si>
  <si>
    <t>世界奖励</t>
  </si>
  <si>
    <t>小组奖励（等级区间1）</t>
  </si>
  <si>
    <t>小组奖励（等级区间2）</t>
  </si>
  <si>
    <t>小组奖励（等级区间3）</t>
  </si>
  <si>
    <t>小组奖励（等级区间4）</t>
  </si>
  <si>
    <t>小组奖励（等级区间5）</t>
  </si>
  <si>
    <t>world_reward</t>
  </si>
  <si>
    <t>group1_reward</t>
  </si>
  <si>
    <t>group2_reward</t>
  </si>
  <si>
    <t>group3_reward</t>
  </si>
  <si>
    <t>group4_reward</t>
  </si>
  <si>
    <t>group5_reward</t>
  </si>
  <si>
    <t>1,1000;2,10000</t>
  </si>
  <si>
    <t>1,10;2,1000</t>
  </si>
  <si>
    <t>1,20;2,1000</t>
  </si>
  <si>
    <t>1,30;2,1000</t>
  </si>
  <si>
    <t>1,40;2,1000</t>
  </si>
  <si>
    <t>1,50;2,1000</t>
  </si>
  <si>
    <t>1,800;2,10000</t>
  </si>
  <si>
    <t>13,10;2,800</t>
  </si>
  <si>
    <t>1,500;2,10000</t>
  </si>
  <si>
    <t>1,10;2,10000</t>
  </si>
  <si>
    <t>房间id</t>
  </si>
  <si>
    <t>球库</t>
  </si>
  <si>
    <t>球号局球库</t>
  </si>
  <si>
    <t>初始球号</t>
  </si>
  <si>
    <t>球号局初始球号</t>
  </si>
  <si>
    <t>洞口倍率</t>
  </si>
  <si>
    <t>球洞局洞口倍率</t>
  </si>
  <si>
    <t>问号圈数量</t>
  </si>
  <si>
    <t>封顶倍率</t>
  </si>
  <si>
    <t>牌型随机档位</t>
  </si>
  <si>
    <t>炸弹局牌型随机档位</t>
  </si>
  <si>
    <t>看底牌道具随机档位</t>
  </si>
  <si>
    <t>自由球道具开启房间</t>
  </si>
  <si>
    <t>自由球道具价格</t>
  </si>
  <si>
    <t>匹配金币区间</t>
  </si>
  <si>
    <t>ball</t>
  </si>
  <si>
    <t>ball_special</t>
  </si>
  <si>
    <t>begin_ball</t>
  </si>
  <si>
    <t>begin_ball_special</t>
  </si>
  <si>
    <t>hole_mul</t>
  </si>
  <si>
    <t>hole_mul_special</t>
  </si>
  <si>
    <t>circle_num</t>
  </si>
  <si>
    <t>limit</t>
  </si>
  <si>
    <t>commission</t>
  </si>
  <si>
    <t>level_special</t>
  </si>
  <si>
    <t>prop_see</t>
  </si>
  <si>
    <t>free_kick_open</t>
  </si>
  <si>
    <t>free_kick_price</t>
  </si>
  <si>
    <t>coin_interval</t>
  </si>
  <si>
    <t>s</t>
  </si>
  <si>
    <t>2,1;3,1;4,1;5,1;6,2</t>
  </si>
  <si>
    <t>8,6</t>
  </si>
  <si>
    <t>3,3,5,4,4,5</t>
  </si>
  <si>
    <t>8,8,8,8,8,8</t>
  </si>
  <si>
    <t>2,2,3,3,4,5</t>
  </si>
  <si>
    <t>10,10,10,10,10,10</t>
  </si>
  <si>
    <t>801,701,601,301,401,101</t>
  </si>
  <si>
    <t>901</t>
  </si>
  <si>
    <t>700033,501</t>
  </si>
  <si>
    <t>0,5000;5001,10000;10001,20000;20001,50000;50001,0</t>
  </si>
  <si>
    <t>802,702,602,302,402,102</t>
  </si>
  <si>
    <t>902</t>
  </si>
  <si>
    <t>700033,502</t>
  </si>
  <si>
    <t>0,50000;50001,100000;100001,200000;200001,500000;500001,1000000;1000001,0</t>
  </si>
  <si>
    <t>3,3;4,2;5,2;6,2;7,3</t>
  </si>
  <si>
    <t>8,12</t>
  </si>
  <si>
    <t>4,4,6,5,5,6</t>
  </si>
  <si>
    <t>4,4,6,6,8,8</t>
  </si>
  <si>
    <t>803,703,603,303,403,103</t>
  </si>
  <si>
    <t>903</t>
  </si>
  <si>
    <t>700033,503</t>
  </si>
  <si>
    <t>20</t>
  </si>
  <si>
    <t>0,1000000;1000001,2000000;2000001,0</t>
  </si>
  <si>
    <t>牌型名称</t>
  </si>
  <si>
    <t>牌型倍率</t>
  </si>
  <si>
    <t>回合累加倍率</t>
  </si>
  <si>
    <t>实际累加</t>
  </si>
  <si>
    <t>牌型特效</t>
  </si>
  <si>
    <t>触发最低倍率</t>
  </si>
  <si>
    <t>牌型语音男</t>
  </si>
  <si>
    <t>牌型语音女</t>
  </si>
  <si>
    <t>name</t>
  </si>
  <si>
    <t>mul</t>
  </si>
  <si>
    <t>mul_add</t>
  </si>
  <si>
    <t>effect</t>
  </si>
  <si>
    <t>mul_effect</t>
  </si>
  <si>
    <t>#voice_boy</t>
  </si>
  <si>
    <t>#voice_girl</t>
  </si>
  <si>
    <t>c</t>
  </si>
  <si>
    <t>单牌</t>
  </si>
  <si>
    <t>对子</t>
  </si>
  <si>
    <t>zcjb</t>
  </si>
  <si>
    <t>招财进宝</t>
  </si>
  <si>
    <t>顺子</t>
  </si>
  <si>
    <t>fjjz</t>
  </si>
  <si>
    <t>富甲九州</t>
  </si>
  <si>
    <t>炸弹</t>
  </si>
  <si>
    <t>jymt</t>
  </si>
  <si>
    <t>金玉满堂</t>
  </si>
  <si>
    <t>档位</t>
  </si>
  <si>
    <t>档位类型</t>
  </si>
  <si>
    <t>牌型概率</t>
  </si>
  <si>
    <t>控制概率</t>
  </si>
  <si>
    <t>对子里数字概率</t>
  </si>
  <si>
    <t>顺子里数字的概率</t>
  </si>
  <si>
    <t>炸弹里数字的概率</t>
  </si>
  <si>
    <t>type_level</t>
  </si>
  <si>
    <t>type_mul</t>
  </si>
  <si>
    <t>control_mul</t>
  </si>
  <si>
    <t>pair_mul</t>
  </si>
  <si>
    <t>straight_mul</t>
  </si>
  <si>
    <t>bomb_mul</t>
  </si>
  <si>
    <t>初级厅-普通概率</t>
  </si>
  <si>
    <t>1,300;2,400;3,300</t>
  </si>
  <si>
    <t>100,0</t>
  </si>
  <si>
    <t>1,10;2,140;3,300;4,250;5,170;6,100;7,20;8,10</t>
  </si>
  <si>
    <t>1,50;2,300;3,300;4,200;5,100;6,50</t>
  </si>
  <si>
    <t>1,70;2,200;3,300;4,250;5,100;6,50;7,20;8,10</t>
  </si>
  <si>
    <t>中级厅-普通概率</t>
  </si>
  <si>
    <t>1,0;2,0;3,100;4,200;5,250;6,200;7,150;8,100</t>
  </si>
  <si>
    <t>1,0;2,100;3,250;4,300;5,250;6,100</t>
  </si>
  <si>
    <t>1,0;2,50;3,100;4,250;5,300;6,150;7,100;8,50</t>
  </si>
  <si>
    <t>高级厅-普通概率</t>
  </si>
  <si>
    <t>1,375;2,375;3,250</t>
  </si>
  <si>
    <t>1,0;2,0;3,50;4,100;5,250;6,300;7,200;8,100</t>
  </si>
  <si>
    <t>1,0;2,100;3,150;4,300;5,250;6,200</t>
  </si>
  <si>
    <t>1,0;2,50;3,100;4,150;5,250;6,250;7,150;8,50</t>
  </si>
  <si>
    <t>初级厅-充值首局概率</t>
  </si>
  <si>
    <t>1,250;2,400;3,350</t>
  </si>
  <si>
    <t>1,0;2,100;3,250;4,250;5,200;6,130;7,50;8,20</t>
  </si>
  <si>
    <t>1,0;2,250;3,300;4,250;5,130;6,70</t>
  </si>
  <si>
    <t>1,0;2,180;3,250;4,250;5,150;6,100;7,50;8,20</t>
  </si>
  <si>
    <t>中级厅-充值首局概率</t>
  </si>
  <si>
    <t>1,250;2,400;3,320</t>
  </si>
  <si>
    <t>1,0;2,0;3,0;4,200;5,200;6,200;7,200;8,150</t>
  </si>
  <si>
    <t>1,0;2,0;3,100;4,300;5,300;6,150</t>
  </si>
  <si>
    <t>1,0;2,0;3,100;4,200;5,250;6,200;7,150;8,50</t>
  </si>
  <si>
    <t>高级厅-充值首局概率</t>
  </si>
  <si>
    <t>初级厅-3连胜及以上概率</t>
  </si>
  <si>
    <t>40,60</t>
  </si>
  <si>
    <t>1,30;2,200;3,300;4,200;5,150;6,100;7,20;8,0</t>
  </si>
  <si>
    <t>1,100;2,300;3,300;4,200;5,100;6,0</t>
  </si>
  <si>
    <t>1,100;2,250;3,300;4,180;5,100;6,50;7,20;8,0</t>
  </si>
  <si>
    <t>中级厅-3连胜及以上概率</t>
  </si>
  <si>
    <t>1,330;2,400;3,250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</si>
  <si>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0,0</t>
    </r>
  </si>
  <si>
    <t>1,0;2,0;3,150;4,250;5,250;6,200;7,100;8,50</t>
  </si>
  <si>
    <t>1,0;2,150;3,350;4,150;5,50;6,0</t>
  </si>
  <si>
    <t>1,0;2,100;3,150;4,250;5,150;6,10;7,0;8,0</t>
  </si>
  <si>
    <t>高级厅-3连胜及以上概率</t>
  </si>
  <si>
    <t>初级厅-3连败及以上概率</t>
  </si>
  <si>
    <t>中级厅-3连败及以上概率</t>
  </si>
  <si>
    <t>1,0;2,0;3,50;4,200;5,200;6,200;7,200;8,150</t>
  </si>
  <si>
    <t>1,0;2,50;3,200;4,300;5,300;6,150</t>
  </si>
  <si>
    <r>
      <rPr>
        <sz val="11"/>
        <color theme="1"/>
        <rFont val="等线"/>
        <family val="3"/>
        <charset val="134"/>
        <scheme val="minor"/>
      </rPr>
      <t>1,0;2,0;3,1</t>
    </r>
    <r>
      <rPr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>0;4,200;5,250;6,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00;7,10;8,0</t>
    </r>
  </si>
  <si>
    <t>高级厅-3连败及以上概率</t>
  </si>
  <si>
    <t>初级厅-看底牌概率</t>
  </si>
  <si>
    <t>中级厅-看底牌概率</t>
  </si>
  <si>
    <t>高级厅-看底牌概率</t>
  </si>
  <si>
    <t>初级厅-充值id127概率</t>
  </si>
  <si>
    <r>
      <rPr>
        <sz val="11"/>
        <color theme="1"/>
        <rFont val="等线"/>
        <family val="3"/>
        <charset val="134"/>
        <scheme val="minor"/>
      </rPr>
      <t>60,</t>
    </r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3"/>
        <charset val="134"/>
        <scheme val="minor"/>
      </rPr>
      <t>0</t>
    </r>
  </si>
  <si>
    <t>中级厅-充值id127概率</t>
  </si>
  <si>
    <r>
      <rPr>
        <sz val="11"/>
        <color theme="1"/>
        <rFont val="等线"/>
        <family val="3"/>
        <charset val="134"/>
        <scheme val="minor"/>
      </rPr>
      <t>1,0;2,0;3,12</t>
    </r>
    <r>
      <rPr>
        <sz val="11"/>
        <color theme="1"/>
        <rFont val="等线"/>
        <family val="3"/>
        <charset val="134"/>
        <scheme val="minor"/>
      </rPr>
      <t>0;4,200;5,250;6,200;7,150;8,</t>
    </r>
    <r>
      <rPr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3"/>
        <charset val="134"/>
        <scheme val="minor"/>
      </rPr>
      <t>0</t>
    </r>
  </si>
  <si>
    <t>高级厅-充值id127概率</t>
  </si>
  <si>
    <t>初级厅-充值id128概率</t>
  </si>
  <si>
    <t>中级厅-充值id128概率</t>
  </si>
  <si>
    <t>高级厅-充值id128概率</t>
  </si>
  <si>
    <t>初级厅-充值id129概率</t>
  </si>
  <si>
    <t>中级厅-充值id129概率</t>
  </si>
  <si>
    <t>高级厅-充值id129概率</t>
  </si>
  <si>
    <t>初级厅-炸弹局概率</t>
  </si>
  <si>
    <t>1,0;2,0;3,300</t>
  </si>
  <si>
    <t>中级厅-炸弹局概率</t>
  </si>
  <si>
    <t>高级厅-炸弹局概率</t>
  </si>
  <si>
    <t>1,0;2,50;3,100;4,200;5,250;6,200;7,110;8,50</t>
  </si>
  <si>
    <t>game_config</t>
  </si>
  <si>
    <t>对局id</t>
    <phoneticPr fontId="8" type="noConversion"/>
  </si>
  <si>
    <t>残局</t>
    <phoneticPr fontId="8" type="noConversion"/>
  </si>
  <si>
    <t>残局悬赏</t>
  </si>
  <si>
    <t>普通场</t>
  </si>
  <si>
    <t>普通场</t>
    <phoneticPr fontId="8" type="noConversion"/>
  </si>
  <si>
    <t>中级场</t>
  </si>
  <si>
    <t>中级场</t>
    <phoneticPr fontId="8" type="noConversion"/>
  </si>
  <si>
    <t>高手场</t>
  </si>
  <si>
    <t>高手场</t>
    <phoneticPr fontId="8" type="noConversion"/>
  </si>
  <si>
    <t>玩法序号</t>
    <phoneticPr fontId="8" type="noConversion"/>
  </si>
  <si>
    <t>所属入口id</t>
    <phoneticPr fontId="8" type="noConversion"/>
  </si>
  <si>
    <t>EFuncID</t>
  </si>
  <si>
    <t>enter_control_id</t>
    <phoneticPr fontId="8" type="noConversion"/>
  </si>
  <si>
    <t>100,101,102</t>
    <phoneticPr fontId="8" type="noConversion"/>
  </si>
  <si>
    <t>1,2,3,</t>
    <phoneticPr fontId="8" type="noConversion"/>
  </si>
  <si>
    <t>200,201,202</t>
    <phoneticPr fontId="8" type="noConversion"/>
  </si>
  <si>
    <t>300,301,302</t>
    <phoneticPr fontId="8" type="noConversion"/>
  </si>
  <si>
    <t>房间铜钱范围描述</t>
    <phoneticPr fontId="8" type="noConversion"/>
  </si>
  <si>
    <t>[[0,23]]</t>
    <phoneticPr fontId="8" type="noConversion"/>
  </si>
  <si>
    <t>门票价格</t>
    <phoneticPr fontId="8" type="noConversion"/>
  </si>
  <si>
    <t>破产减分</t>
    <phoneticPr fontId="8" type="noConversion"/>
  </si>
  <si>
    <t>平局加分</t>
    <phoneticPr fontId="8" type="noConversion"/>
  </si>
  <si>
    <t>score_draw</t>
    <phoneticPr fontId="8" type="noConversion"/>
  </si>
  <si>
    <t>首胜加分</t>
    <phoneticPr fontId="8" type="noConversion"/>
  </si>
  <si>
    <t>score_frist_win</t>
    <phoneticPr fontId="8" type="noConversion"/>
  </si>
  <si>
    <t>局时：10分钟</t>
  </si>
  <si>
    <t>总时长：不限</t>
    <phoneticPr fontId="8" type="noConversion"/>
  </si>
  <si>
    <t>总时长：30分钟</t>
    <phoneticPr fontId="8" type="noConversion"/>
  </si>
  <si>
    <t>残局闯关</t>
  </si>
  <si>
    <t>好友约战</t>
    <phoneticPr fontId="8" type="noConversion"/>
  </si>
  <si>
    <t>象棋</t>
    <phoneticPr fontId="8" type="noConversion"/>
  </si>
  <si>
    <t>揭棋</t>
    <phoneticPr fontId="8" type="noConversion"/>
  </si>
  <si>
    <t>暗棋</t>
    <phoneticPr fontId="8" type="noConversion"/>
  </si>
  <si>
    <t>古谱大全</t>
  </si>
  <si>
    <t>杀法大全</t>
  </si>
  <si>
    <t>战术大全</t>
  </si>
  <si>
    <t>每日残局</t>
  </si>
  <si>
    <t>网络热门</t>
  </si>
  <si>
    <t>学棋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</si>
</sst>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rgb="FF2F2E3F"/>
      <name val="Roboto"/>
    </font>
    <font>
      <sz val="11"/>
      <color theme="1"/>
      <name val="Roboto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0" xfId="1" applyFill="1"/>
    <xf numFmtId="49" fontId="0" fillId="0" borderId="0" xfId="0" applyNumberFormat="1"/>
    <xf numFmtId="49" fontId="0" fillId="2" borderId="0" xfId="0" applyNumberFormat="1" applyFill="1"/>
    <xf numFmtId="0" fontId="0" fillId="5" borderId="0" xfId="0" applyFill="1"/>
    <xf numFmtId="0" fontId="1" fillId="5" borderId="0" xfId="1" applyFill="1"/>
    <xf numFmtId="0" fontId="1" fillId="0" borderId="0" xfId="2"/>
    <xf numFmtId="0" fontId="1" fillId="3" borderId="0" xfId="2" applyFill="1"/>
    <xf numFmtId="49" fontId="1" fillId="0" borderId="0" xfId="2" applyNumberFormat="1"/>
    <xf numFmtId="0" fontId="1" fillId="0" borderId="0" xfId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4" borderId="0" xfId="1" applyFill="1"/>
    <xf numFmtId="0" fontId="1" fillId="3" borderId="0" xfId="1" applyFill="1" applyAlignment="1">
      <alignment horizontal="center" vertical="center"/>
    </xf>
    <xf numFmtId="0" fontId="1" fillId="3" borderId="0" xfId="1" applyFill="1" applyAlignment="1">
      <alignment horizont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1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vertical="center"/>
    </xf>
    <xf numFmtId="49" fontId="1" fillId="0" borderId="0" xfId="1" applyNumberFormat="1"/>
    <xf numFmtId="0" fontId="9" fillId="0" borderId="0" xfId="1" applyFont="1" applyAlignment="1">
      <alignment horizontal="center"/>
    </xf>
    <xf numFmtId="0" fontId="9" fillId="3" borderId="0" xfId="1" applyFont="1" applyFill="1" applyAlignment="1">
      <alignment horizontal="center"/>
    </xf>
    <xf numFmtId="0" fontId="1" fillId="4" borderId="0" xfId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6" borderId="0" xfId="1" applyFill="1" applyAlignment="1">
      <alignment horizontal="center"/>
    </xf>
    <xf numFmtId="49" fontId="1" fillId="6" borderId="0" xfId="1" applyNumberForma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2" fillId="6" borderId="0" xfId="1" applyFont="1" applyFill="1" applyAlignment="1">
      <alignment horizontal="center"/>
    </xf>
    <xf numFmtId="0" fontId="1" fillId="6" borderId="0" xfId="1" applyFill="1" applyAlignment="1">
      <alignment horizontal="center" wrapText="1"/>
    </xf>
    <xf numFmtId="0" fontId="1" fillId="7" borderId="0" xfId="1" applyFill="1"/>
    <xf numFmtId="0" fontId="11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1" applyFill="1"/>
    <xf numFmtId="0" fontId="1" fillId="0" borderId="0" xfId="1" applyFill="1" applyAlignment="1">
      <alignment horizont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2 2 2 2" xfId="3" xr:uid="{00000000-0005-0000-0000-00003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K10"/>
  <sheetViews>
    <sheetView tabSelected="1" workbookViewId="0">
      <selection activeCell="I9" sqref="I9"/>
    </sheetView>
  </sheetViews>
  <sheetFormatPr defaultColWidth="9" defaultRowHeight="14.25" x14ac:dyDescent="0.2"/>
  <cols>
    <col min="1" max="1" width="13" customWidth="1"/>
    <col min="2" max="2" width="16.625" customWidth="1"/>
    <col min="3" max="3" width="23.5" customWidth="1"/>
    <col min="4" max="4" width="13.5" customWidth="1"/>
    <col min="5" max="5" width="22.75" customWidth="1"/>
    <col min="6" max="6" width="15" bestFit="1" customWidth="1"/>
    <col min="7" max="8" width="11.25" customWidth="1"/>
    <col min="9" max="9" width="24.625" customWidth="1"/>
    <col min="10" max="10" width="14.5" customWidth="1"/>
  </cols>
  <sheetData>
    <row r="1" spans="1:11" ht="15.75" x14ac:dyDescent="0.25">
      <c r="A1" t="s">
        <v>0</v>
      </c>
      <c r="B1" s="12" t="s">
        <v>490</v>
      </c>
      <c r="C1" s="12" t="s">
        <v>1</v>
      </c>
      <c r="D1" s="12" t="s">
        <v>2</v>
      </c>
      <c r="E1" s="12" t="s">
        <v>3</v>
      </c>
      <c r="F1" s="12" t="s">
        <v>4</v>
      </c>
      <c r="G1" t="s">
        <v>5</v>
      </c>
      <c r="H1" s="26" t="s">
        <v>6</v>
      </c>
      <c r="I1" s="12" t="s">
        <v>7</v>
      </c>
      <c r="J1" s="12" t="s">
        <v>8</v>
      </c>
      <c r="K1" s="12"/>
    </row>
    <row r="2" spans="1:11" ht="15.75" x14ac:dyDescent="0.25">
      <c r="A2" t="s">
        <v>9</v>
      </c>
      <c r="B2" s="4" t="s">
        <v>10</v>
      </c>
      <c r="C2" s="4" t="s">
        <v>11</v>
      </c>
      <c r="D2" s="4" t="s">
        <v>12</v>
      </c>
      <c r="E2" s="19" t="s">
        <v>13</v>
      </c>
      <c r="F2" s="4" t="s">
        <v>14</v>
      </c>
      <c r="G2" s="2" t="s">
        <v>15</v>
      </c>
      <c r="H2" s="2" t="s">
        <v>16</v>
      </c>
      <c r="I2" s="4" t="s">
        <v>17</v>
      </c>
      <c r="J2" s="4" t="s">
        <v>18</v>
      </c>
    </row>
    <row r="3" spans="1:11" ht="15.75" x14ac:dyDescent="0.25">
      <c r="A3" t="s">
        <v>19</v>
      </c>
      <c r="B3" s="4" t="s">
        <v>20</v>
      </c>
      <c r="C3" s="4" t="s">
        <v>21</v>
      </c>
      <c r="D3" s="4" t="s">
        <v>20</v>
      </c>
      <c r="E3" s="19" t="s">
        <v>21</v>
      </c>
      <c r="F3" s="4" t="s">
        <v>22</v>
      </c>
      <c r="G3" s="2" t="s">
        <v>20</v>
      </c>
      <c r="H3" s="2" t="s">
        <v>20</v>
      </c>
      <c r="I3" s="4" t="s">
        <v>21</v>
      </c>
      <c r="J3" s="4" t="s">
        <v>21</v>
      </c>
    </row>
    <row r="4" spans="1:11" ht="15.75" x14ac:dyDescent="0.25">
      <c r="A4" t="s">
        <v>23</v>
      </c>
      <c r="B4" s="4" t="s">
        <v>24</v>
      </c>
      <c r="C4" s="4" t="s">
        <v>24</v>
      </c>
      <c r="D4" s="4" t="s">
        <v>24</v>
      </c>
      <c r="E4" s="19" t="s">
        <v>25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</row>
    <row r="5" spans="1:11" ht="15.75" x14ac:dyDescent="0.25">
      <c r="A5" t="s">
        <v>26</v>
      </c>
      <c r="B5" s="4"/>
      <c r="C5" s="4" t="s">
        <v>27</v>
      </c>
      <c r="D5" s="4">
        <v>0</v>
      </c>
      <c r="E5" s="19"/>
      <c r="F5" s="4">
        <v>0</v>
      </c>
      <c r="G5" s="2">
        <v>0</v>
      </c>
      <c r="H5" s="2">
        <v>0</v>
      </c>
      <c r="I5" s="4" t="s">
        <v>28</v>
      </c>
      <c r="J5" s="4">
        <v>0</v>
      </c>
    </row>
    <row r="6" spans="1:11" ht="15.75" x14ac:dyDescent="0.25">
      <c r="B6">
        <v>11</v>
      </c>
      <c r="C6" s="12" t="s">
        <v>30</v>
      </c>
      <c r="D6" s="18">
        <v>100121</v>
      </c>
      <c r="E6" s="18" t="s">
        <v>482</v>
      </c>
      <c r="F6" s="27" t="s">
        <v>494</v>
      </c>
      <c r="G6">
        <v>1</v>
      </c>
      <c r="H6">
        <v>1</v>
      </c>
    </row>
    <row r="7" spans="1:11" ht="15.75" x14ac:dyDescent="0.25">
      <c r="B7" s="12">
        <v>13</v>
      </c>
      <c r="C7" s="12" t="s">
        <v>29</v>
      </c>
      <c r="D7" s="18">
        <v>100131</v>
      </c>
      <c r="E7" s="18" t="s">
        <v>31</v>
      </c>
      <c r="F7" s="27" t="s">
        <v>495</v>
      </c>
      <c r="G7" s="12">
        <v>1</v>
      </c>
      <c r="H7" s="12">
        <v>1</v>
      </c>
      <c r="I7" s="12" t="s">
        <v>28</v>
      </c>
      <c r="J7" s="12"/>
    </row>
    <row r="8" spans="1:11" ht="15.75" x14ac:dyDescent="0.25">
      <c r="B8">
        <v>14</v>
      </c>
      <c r="C8" s="12" t="s">
        <v>29</v>
      </c>
      <c r="D8" s="18">
        <v>100141</v>
      </c>
      <c r="E8" s="18" t="s">
        <v>32</v>
      </c>
      <c r="F8" s="27" t="s">
        <v>496</v>
      </c>
      <c r="G8" s="12">
        <v>1</v>
      </c>
      <c r="H8" s="12">
        <v>1</v>
      </c>
      <c r="I8" s="12" t="s">
        <v>28</v>
      </c>
      <c r="J8" s="12"/>
    </row>
    <row r="9" spans="1:11" ht="15.75" x14ac:dyDescent="0.25">
      <c r="B9" s="12">
        <v>15</v>
      </c>
      <c r="C9" s="12" t="s">
        <v>29</v>
      </c>
      <c r="D9" s="18">
        <v>100151</v>
      </c>
      <c r="E9" s="18" t="s">
        <v>33</v>
      </c>
      <c r="F9" s="27" t="s">
        <v>497</v>
      </c>
      <c r="G9" s="12">
        <v>1</v>
      </c>
      <c r="H9" s="12">
        <v>1</v>
      </c>
      <c r="I9" s="12" t="s">
        <v>28</v>
      </c>
      <c r="J9" s="12"/>
    </row>
    <row r="10" spans="1:11" ht="15.75" x14ac:dyDescent="0.25">
      <c r="B10">
        <v>16</v>
      </c>
      <c r="C10" s="12" t="s">
        <v>29</v>
      </c>
      <c r="D10" s="18">
        <v>100161</v>
      </c>
      <c r="E10" s="47" t="s">
        <v>519</v>
      </c>
      <c r="F10" s="18">
        <v>107</v>
      </c>
      <c r="G10" s="12">
        <v>1</v>
      </c>
      <c r="H10" s="46">
        <v>1</v>
      </c>
    </row>
  </sheetData>
  <phoneticPr fontId="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67"/>
  <sheetViews>
    <sheetView workbookViewId="0">
      <pane xSplit="4" ySplit="5" topLeftCell="E6" activePane="bottomRight" state="frozen"/>
      <selection pane="topRight"/>
      <selection pane="bottomLeft"/>
      <selection pane="bottomRight" activeCell="B16" sqref="B16"/>
    </sheetView>
  </sheetViews>
  <sheetFormatPr defaultColWidth="9" defaultRowHeight="14.25" x14ac:dyDescent="0.2"/>
  <cols>
    <col min="1" max="2" width="9" style="16"/>
    <col min="3" max="3" width="10" style="16" customWidth="1"/>
    <col min="4" max="4" width="18.25" style="16" customWidth="1"/>
    <col min="5" max="5" width="18.5" style="16" customWidth="1"/>
    <col min="6" max="6" width="12.75" style="16" hidden="1" customWidth="1"/>
    <col min="7" max="7" width="13.125" style="16" hidden="1" customWidth="1"/>
    <col min="8" max="8" width="13.125" style="16" customWidth="1"/>
    <col min="9" max="9" width="15.875" style="16" bestFit="1" customWidth="1"/>
    <col min="10" max="10" width="10.5" style="16" customWidth="1"/>
    <col min="11" max="12" width="13" style="16" customWidth="1"/>
    <col min="13" max="13" width="9.875" style="16" bestFit="1" customWidth="1"/>
    <col min="14" max="15" width="10.375" style="16" bestFit="1" customWidth="1"/>
    <col min="16" max="16" width="14.375" style="16" bestFit="1" customWidth="1"/>
    <col min="17" max="17" width="14.25" customWidth="1"/>
    <col min="18" max="18" width="9" style="16"/>
    <col min="19" max="19" width="12.375" style="16" customWidth="1"/>
    <col min="20" max="20" width="11.5" style="16" customWidth="1"/>
    <col min="21" max="21" width="16.375" style="16" customWidth="1"/>
    <col min="22" max="22" width="16.75" style="16" customWidth="1"/>
    <col min="23" max="23" width="19.5" style="16" customWidth="1"/>
    <col min="24" max="25" width="13.375" style="16" customWidth="1"/>
    <col min="26" max="26" width="9" style="16"/>
    <col min="27" max="27" width="14.5" style="16" customWidth="1"/>
    <col min="28" max="28" width="14.25" style="16" customWidth="1"/>
    <col min="29" max="29" width="16" style="16" customWidth="1"/>
    <col min="30" max="30" width="12.75" style="16" customWidth="1"/>
    <col min="31" max="31" width="10.125" style="16" customWidth="1"/>
    <col min="32" max="32" width="9" style="16"/>
    <col min="33" max="33" width="23.375" style="23" customWidth="1"/>
    <col min="34" max="34" width="21.25" style="16" customWidth="1"/>
    <col min="35" max="35" width="9.625" style="16" customWidth="1"/>
    <col min="36" max="36" width="14.5" style="16" customWidth="1"/>
    <col min="37" max="37" width="11.625" style="16" customWidth="1"/>
    <col min="38" max="38" width="15.125" style="16" customWidth="1"/>
    <col min="39" max="39" width="18.125" style="16" customWidth="1"/>
    <col min="40" max="40" width="16.5" style="16" customWidth="1"/>
    <col min="41" max="41" width="20.5" style="16" customWidth="1"/>
    <col min="42" max="42" width="32.875" style="16" customWidth="1"/>
    <col min="43" max="43" width="23.5" style="16" customWidth="1"/>
    <col min="44" max="44" width="11.625" style="16" customWidth="1"/>
    <col min="45" max="45" width="12.875" style="16" customWidth="1"/>
    <col min="46" max="50" width="9" style="16"/>
    <col min="51" max="51" width="16.625" style="16" customWidth="1"/>
    <col min="52" max="52" width="16.75" style="16" customWidth="1"/>
    <col min="53" max="53" width="19" style="16" customWidth="1"/>
    <col min="54" max="54" width="12.5" style="16" customWidth="1"/>
    <col min="55" max="55" width="13" style="16" customWidth="1"/>
    <col min="56" max="57" width="9" style="16" hidden="1" customWidth="1"/>
    <col min="58" max="58" width="12.625" style="16" customWidth="1"/>
    <col min="59" max="59" width="12.875" style="16" customWidth="1"/>
    <col min="60" max="60" width="16.25" style="16" customWidth="1"/>
    <col min="61" max="61" width="12" style="16" customWidth="1"/>
    <col min="62" max="62" width="11.625" style="16" customWidth="1"/>
    <col min="63" max="63" width="14.125" style="16" customWidth="1"/>
    <col min="64" max="65" width="9" style="16"/>
    <col min="66" max="66" width="17.375" style="16" customWidth="1"/>
    <col min="67" max="67" width="17.875" style="16" customWidth="1"/>
    <col min="68" max="68" width="41.375" style="16" customWidth="1"/>
    <col min="69" max="16384" width="9" style="16"/>
  </cols>
  <sheetData>
    <row r="1" spans="1:68" ht="15.75" x14ac:dyDescent="0.25">
      <c r="A1" s="16" t="s">
        <v>0</v>
      </c>
      <c r="B1" s="18" t="s">
        <v>4</v>
      </c>
      <c r="C1" s="18" t="s">
        <v>34</v>
      </c>
      <c r="D1" s="18" t="s">
        <v>35</v>
      </c>
      <c r="E1" s="18" t="s">
        <v>36</v>
      </c>
      <c r="F1" s="18" t="s">
        <v>37</v>
      </c>
      <c r="G1" s="18" t="s">
        <v>38</v>
      </c>
      <c r="H1" s="28" t="s">
        <v>481</v>
      </c>
      <c r="I1" s="18" t="s">
        <v>491</v>
      </c>
      <c r="J1" s="18" t="s">
        <v>45</v>
      </c>
      <c r="K1" s="18" t="s">
        <v>500</v>
      </c>
      <c r="L1" s="18" t="s">
        <v>48</v>
      </c>
      <c r="M1" s="18" t="s">
        <v>86</v>
      </c>
      <c r="N1" s="18" t="s">
        <v>87</v>
      </c>
      <c r="O1" s="18" t="s">
        <v>502</v>
      </c>
      <c r="P1" s="18" t="s">
        <v>504</v>
      </c>
      <c r="Q1" s="43" t="s">
        <v>39</v>
      </c>
      <c r="R1" s="36" t="s">
        <v>501</v>
      </c>
      <c r="S1" s="36" t="s">
        <v>40</v>
      </c>
      <c r="T1" s="36" t="s">
        <v>41</v>
      </c>
      <c r="U1" s="36" t="s">
        <v>42</v>
      </c>
      <c r="V1" s="36" t="s">
        <v>43</v>
      </c>
      <c r="W1" s="18" t="s">
        <v>498</v>
      </c>
      <c r="X1" s="18" t="s">
        <v>44</v>
      </c>
      <c r="Y1" s="36" t="s">
        <v>46</v>
      </c>
      <c r="Z1" s="36" t="s">
        <v>47</v>
      </c>
      <c r="AA1" s="36" t="s">
        <v>49</v>
      </c>
      <c r="AB1" s="36" t="s">
        <v>50</v>
      </c>
      <c r="AC1" s="36" t="s">
        <v>51</v>
      </c>
      <c r="AD1" s="18" t="s">
        <v>52</v>
      </c>
      <c r="AE1" s="18" t="s">
        <v>53</v>
      </c>
      <c r="AF1" s="18" t="s">
        <v>54</v>
      </c>
      <c r="AG1" s="37" t="s">
        <v>55</v>
      </c>
      <c r="AH1" s="36" t="s">
        <v>56</v>
      </c>
      <c r="AI1" s="36" t="s">
        <v>57</v>
      </c>
      <c r="AJ1" s="18" t="s">
        <v>58</v>
      </c>
      <c r="AK1" s="18" t="s">
        <v>59</v>
      </c>
      <c r="AL1" s="36" t="s">
        <v>60</v>
      </c>
      <c r="AM1" s="36" t="s">
        <v>61</v>
      </c>
      <c r="AN1" s="36" t="s">
        <v>62</v>
      </c>
      <c r="AO1" s="36" t="s">
        <v>63</v>
      </c>
      <c r="AP1" s="36" t="s">
        <v>64</v>
      </c>
      <c r="AQ1" s="36" t="s">
        <v>65</v>
      </c>
      <c r="AR1" s="18" t="s">
        <v>66</v>
      </c>
      <c r="AS1" s="18" t="s">
        <v>67</v>
      </c>
      <c r="AT1" s="18" t="s">
        <v>68</v>
      </c>
      <c r="AU1" s="18" t="s">
        <v>69</v>
      </c>
      <c r="AV1" s="18" t="s">
        <v>70</v>
      </c>
      <c r="AW1" s="18" t="s">
        <v>71</v>
      </c>
      <c r="AX1" s="36" t="s">
        <v>72</v>
      </c>
      <c r="AY1" s="18" t="s">
        <v>73</v>
      </c>
      <c r="AZ1" s="18" t="s">
        <v>74</v>
      </c>
      <c r="BA1" s="41" t="s">
        <v>75</v>
      </c>
      <c r="BB1" s="18" t="s">
        <v>76</v>
      </c>
      <c r="BC1" s="18" t="s">
        <v>77</v>
      </c>
      <c r="BD1" s="18" t="s">
        <v>78</v>
      </c>
      <c r="BE1" s="18" t="s">
        <v>79</v>
      </c>
      <c r="BF1" s="36" t="s">
        <v>80</v>
      </c>
      <c r="BG1" s="36" t="s">
        <v>81</v>
      </c>
      <c r="BH1" s="18" t="s">
        <v>82</v>
      </c>
      <c r="BI1" s="36" t="s">
        <v>83</v>
      </c>
      <c r="BJ1" s="36" t="s">
        <v>84</v>
      </c>
      <c r="BK1" s="41" t="s">
        <v>85</v>
      </c>
      <c r="BL1" s="36" t="s">
        <v>88</v>
      </c>
      <c r="BM1" s="36" t="s">
        <v>89</v>
      </c>
      <c r="BN1" s="41" t="s">
        <v>90</v>
      </c>
      <c r="BO1" s="35" t="s">
        <v>91</v>
      </c>
      <c r="BP1" s="35" t="s">
        <v>92</v>
      </c>
    </row>
    <row r="2" spans="1:68" ht="15.75" x14ac:dyDescent="0.25">
      <c r="A2" s="16" t="s">
        <v>9</v>
      </c>
      <c r="B2" s="21" t="s">
        <v>14</v>
      </c>
      <c r="C2" s="21" t="s">
        <v>93</v>
      </c>
      <c r="D2" s="30" t="s">
        <v>94</v>
      </c>
      <c r="E2" s="21" t="s">
        <v>95</v>
      </c>
      <c r="F2" s="21" t="s">
        <v>96</v>
      </c>
      <c r="G2" s="21" t="s">
        <v>97</v>
      </c>
      <c r="H2" s="29" t="s">
        <v>480</v>
      </c>
      <c r="I2" s="21" t="s">
        <v>493</v>
      </c>
      <c r="J2" s="21" t="s">
        <v>105</v>
      </c>
      <c r="K2" s="21" t="s">
        <v>106</v>
      </c>
      <c r="L2" s="21" t="s">
        <v>109</v>
      </c>
      <c r="M2" s="21" t="s">
        <v>147</v>
      </c>
      <c r="N2" s="21" t="s">
        <v>148</v>
      </c>
      <c r="O2" s="21" t="s">
        <v>503</v>
      </c>
      <c r="P2" s="21" t="s">
        <v>505</v>
      </c>
      <c r="Q2" s="43" t="s">
        <v>98</v>
      </c>
      <c r="R2" s="36" t="s">
        <v>149</v>
      </c>
      <c r="S2" s="36" t="s">
        <v>99</v>
      </c>
      <c r="T2" s="36" t="s">
        <v>100</v>
      </c>
      <c r="U2" s="36" t="s">
        <v>101</v>
      </c>
      <c r="V2" s="36" t="s">
        <v>102</v>
      </c>
      <c r="W2" s="21" t="s">
        <v>103</v>
      </c>
      <c r="X2" s="30" t="s">
        <v>104</v>
      </c>
      <c r="Y2" s="36" t="s">
        <v>107</v>
      </c>
      <c r="Z2" s="36" t="s">
        <v>108</v>
      </c>
      <c r="AA2" s="36" t="s">
        <v>110</v>
      </c>
      <c r="AB2" s="36" t="s">
        <v>111</v>
      </c>
      <c r="AC2" s="36" t="s">
        <v>112</v>
      </c>
      <c r="AD2" s="21" t="s">
        <v>113</v>
      </c>
      <c r="AE2" s="21" t="s">
        <v>114</v>
      </c>
      <c r="AF2" s="21" t="s">
        <v>115</v>
      </c>
      <c r="AG2" s="37" t="s">
        <v>116</v>
      </c>
      <c r="AH2" s="42" t="s">
        <v>117</v>
      </c>
      <c r="AI2" s="36" t="s">
        <v>118</v>
      </c>
      <c r="AJ2" s="21" t="s">
        <v>119</v>
      </c>
      <c r="AK2" s="21" t="s">
        <v>120</v>
      </c>
      <c r="AL2" s="36" t="s">
        <v>121</v>
      </c>
      <c r="AM2" s="36" t="s">
        <v>122</v>
      </c>
      <c r="AN2" s="36" t="s">
        <v>123</v>
      </c>
      <c r="AO2" s="36" t="s">
        <v>124</v>
      </c>
      <c r="AP2" s="36" t="s">
        <v>125</v>
      </c>
      <c r="AQ2" s="36" t="s">
        <v>126</v>
      </c>
      <c r="AR2" s="21" t="s">
        <v>127</v>
      </c>
      <c r="AS2" s="21" t="s">
        <v>128</v>
      </c>
      <c r="AT2" s="21" t="s">
        <v>129</v>
      </c>
      <c r="AU2" s="21" t="s">
        <v>130</v>
      </c>
      <c r="AV2" s="21" t="s">
        <v>131</v>
      </c>
      <c r="AW2" s="21" t="s">
        <v>132</v>
      </c>
      <c r="AX2" s="36" t="s">
        <v>133</v>
      </c>
      <c r="AY2" s="21" t="s">
        <v>134</v>
      </c>
      <c r="AZ2" s="21" t="s">
        <v>135</v>
      </c>
      <c r="BA2" s="36" t="s">
        <v>136</v>
      </c>
      <c r="BB2" s="21" t="s">
        <v>137</v>
      </c>
      <c r="BC2" s="21" t="s">
        <v>138</v>
      </c>
      <c r="BD2" s="21" t="s">
        <v>139</v>
      </c>
      <c r="BE2" s="21" t="s">
        <v>140</v>
      </c>
      <c r="BF2" s="36" t="s">
        <v>141</v>
      </c>
      <c r="BG2" s="36" t="s">
        <v>142</v>
      </c>
      <c r="BH2" s="21" t="s">
        <v>143</v>
      </c>
      <c r="BI2" s="36" t="s">
        <v>144</v>
      </c>
      <c r="BJ2" s="36" t="s">
        <v>145</v>
      </c>
      <c r="BK2" s="36" t="s">
        <v>146</v>
      </c>
      <c r="BL2" s="36" t="s">
        <v>150</v>
      </c>
      <c r="BM2" s="36" t="s">
        <v>151</v>
      </c>
      <c r="BN2" s="36" t="s">
        <v>152</v>
      </c>
      <c r="BO2" s="36" t="s">
        <v>153</v>
      </c>
      <c r="BP2" s="36" t="s">
        <v>154</v>
      </c>
    </row>
    <row r="3" spans="1:68" ht="15.75" x14ac:dyDescent="0.25">
      <c r="A3" s="16" t="s">
        <v>19</v>
      </c>
      <c r="B3" s="21" t="s">
        <v>20</v>
      </c>
      <c r="C3" s="21" t="s">
        <v>20</v>
      </c>
      <c r="D3" s="30" t="s">
        <v>21</v>
      </c>
      <c r="E3" s="21" t="s">
        <v>21</v>
      </c>
      <c r="F3" s="21" t="s">
        <v>21</v>
      </c>
      <c r="G3" s="21" t="s">
        <v>20</v>
      </c>
      <c r="H3" s="21" t="s">
        <v>20</v>
      </c>
      <c r="I3" s="25" t="s">
        <v>492</v>
      </c>
      <c r="J3" s="21" t="s">
        <v>20</v>
      </c>
      <c r="K3" s="21" t="s">
        <v>20</v>
      </c>
      <c r="L3" s="21" t="s">
        <v>20</v>
      </c>
      <c r="M3" s="21" t="s">
        <v>20</v>
      </c>
      <c r="N3" s="21" t="s">
        <v>20</v>
      </c>
      <c r="O3" s="21" t="s">
        <v>20</v>
      </c>
      <c r="P3" s="21" t="s">
        <v>20</v>
      </c>
      <c r="Q3" s="43" t="s">
        <v>155</v>
      </c>
      <c r="R3" s="36" t="s">
        <v>20</v>
      </c>
      <c r="S3" s="36" t="s">
        <v>20</v>
      </c>
      <c r="T3" s="36" t="s">
        <v>20</v>
      </c>
      <c r="U3" s="36" t="s">
        <v>20</v>
      </c>
      <c r="V3" s="36" t="s">
        <v>21</v>
      </c>
      <c r="W3" s="21" t="s">
        <v>20</v>
      </c>
      <c r="X3" s="30" t="s">
        <v>21</v>
      </c>
      <c r="Y3" s="36" t="s">
        <v>20</v>
      </c>
      <c r="Z3" s="36" t="s">
        <v>20</v>
      </c>
      <c r="AA3" s="36" t="s">
        <v>20</v>
      </c>
      <c r="AB3" s="36" t="s">
        <v>20</v>
      </c>
      <c r="AC3" s="36" t="s">
        <v>20</v>
      </c>
      <c r="AD3" s="21" t="s">
        <v>20</v>
      </c>
      <c r="AE3" s="21" t="s">
        <v>20</v>
      </c>
      <c r="AF3" s="21" t="s">
        <v>21</v>
      </c>
      <c r="AG3" s="36" t="s">
        <v>20</v>
      </c>
      <c r="AH3" s="36" t="s">
        <v>20</v>
      </c>
      <c r="AI3" s="36" t="s">
        <v>20</v>
      </c>
      <c r="AJ3" s="21" t="s">
        <v>20</v>
      </c>
      <c r="AK3" s="21" t="s">
        <v>20</v>
      </c>
      <c r="AL3" s="36" t="s">
        <v>20</v>
      </c>
      <c r="AM3" s="36" t="s">
        <v>20</v>
      </c>
      <c r="AN3" s="36" t="s">
        <v>21</v>
      </c>
      <c r="AO3" s="36" t="s">
        <v>21</v>
      </c>
      <c r="AP3" s="36" t="s">
        <v>21</v>
      </c>
      <c r="AQ3" s="36" t="s">
        <v>21</v>
      </c>
      <c r="AR3" s="21" t="s">
        <v>20</v>
      </c>
      <c r="AS3" s="21" t="s">
        <v>20</v>
      </c>
      <c r="AT3" s="21" t="s">
        <v>20</v>
      </c>
      <c r="AU3" s="21" t="s">
        <v>20</v>
      </c>
      <c r="AV3" s="21" t="s">
        <v>20</v>
      </c>
      <c r="AW3" s="21" t="s">
        <v>20</v>
      </c>
      <c r="AX3" s="36" t="s">
        <v>20</v>
      </c>
      <c r="AY3" s="21" t="s">
        <v>20</v>
      </c>
      <c r="AZ3" s="21" t="s">
        <v>20</v>
      </c>
      <c r="BA3" s="36" t="s">
        <v>156</v>
      </c>
      <c r="BB3" s="21" t="s">
        <v>20</v>
      </c>
      <c r="BC3" s="21" t="s">
        <v>20</v>
      </c>
      <c r="BD3" s="21" t="s">
        <v>20</v>
      </c>
      <c r="BE3" s="21" t="s">
        <v>20</v>
      </c>
      <c r="BF3" s="36" t="s">
        <v>20</v>
      </c>
      <c r="BG3" s="36" t="s">
        <v>20</v>
      </c>
      <c r="BH3" s="21" t="s">
        <v>20</v>
      </c>
      <c r="BI3" s="36" t="s">
        <v>20</v>
      </c>
      <c r="BJ3" s="36" t="s">
        <v>20</v>
      </c>
      <c r="BK3" s="35" t="s">
        <v>157</v>
      </c>
      <c r="BL3" s="36" t="s">
        <v>20</v>
      </c>
      <c r="BM3" s="36" t="s">
        <v>20</v>
      </c>
      <c r="BN3" s="36" t="s">
        <v>156</v>
      </c>
      <c r="BO3" s="36" t="s">
        <v>20</v>
      </c>
      <c r="BP3" s="35" t="s">
        <v>157</v>
      </c>
    </row>
    <row r="4" spans="1:68" ht="15.75" x14ac:dyDescent="0.25">
      <c r="A4" s="16" t="s">
        <v>23</v>
      </c>
      <c r="B4" s="21" t="s">
        <v>24</v>
      </c>
      <c r="C4" s="21" t="s">
        <v>24</v>
      </c>
      <c r="D4" s="30"/>
      <c r="E4" s="21" t="s">
        <v>24</v>
      </c>
      <c r="F4" s="21" t="s">
        <v>24</v>
      </c>
      <c r="G4" s="21" t="s">
        <v>24</v>
      </c>
      <c r="H4" s="21" t="s">
        <v>24</v>
      </c>
      <c r="I4" s="25" t="s">
        <v>24</v>
      </c>
      <c r="J4" s="21" t="s">
        <v>24</v>
      </c>
      <c r="K4" s="21" t="s">
        <v>24</v>
      </c>
      <c r="L4" s="21" t="s">
        <v>24</v>
      </c>
      <c r="M4" s="21" t="s">
        <v>24</v>
      </c>
      <c r="N4" s="21" t="s">
        <v>24</v>
      </c>
      <c r="O4" s="21" t="s">
        <v>24</v>
      </c>
      <c r="P4" s="21" t="s">
        <v>24</v>
      </c>
      <c r="Q4" s="43" t="s">
        <v>24</v>
      </c>
      <c r="R4" s="36" t="s">
        <v>24</v>
      </c>
      <c r="S4" s="36" t="s">
        <v>24</v>
      </c>
      <c r="T4" s="36" t="s">
        <v>24</v>
      </c>
      <c r="U4" s="36" t="s">
        <v>24</v>
      </c>
      <c r="V4" s="36"/>
      <c r="W4" s="21" t="s">
        <v>24</v>
      </c>
      <c r="X4" s="30"/>
      <c r="Y4" s="36" t="s">
        <v>24</v>
      </c>
      <c r="Z4" s="36" t="s">
        <v>24</v>
      </c>
      <c r="AA4" s="36" t="s">
        <v>24</v>
      </c>
      <c r="AB4" s="36" t="s">
        <v>24</v>
      </c>
      <c r="AC4" s="36" t="s">
        <v>24</v>
      </c>
      <c r="AD4" s="21" t="s">
        <v>24</v>
      </c>
      <c r="AE4" s="21" t="s">
        <v>24</v>
      </c>
      <c r="AF4" s="21" t="s">
        <v>24</v>
      </c>
      <c r="AG4" s="36" t="s">
        <v>24</v>
      </c>
      <c r="AH4" s="36" t="s">
        <v>24</v>
      </c>
      <c r="AI4" s="36" t="s">
        <v>24</v>
      </c>
      <c r="AJ4" s="21" t="s">
        <v>24</v>
      </c>
      <c r="AK4" s="21" t="s">
        <v>24</v>
      </c>
      <c r="AL4" s="36" t="s">
        <v>24</v>
      </c>
      <c r="AM4" s="36" t="s">
        <v>24</v>
      </c>
      <c r="AN4" s="36" t="s">
        <v>24</v>
      </c>
      <c r="AO4" s="36" t="s">
        <v>24</v>
      </c>
      <c r="AP4" s="36" t="s">
        <v>24</v>
      </c>
      <c r="AQ4" s="36" t="s">
        <v>24</v>
      </c>
      <c r="AR4" s="21" t="s">
        <v>24</v>
      </c>
      <c r="AS4" s="21" t="s">
        <v>24</v>
      </c>
      <c r="AT4" s="21" t="s">
        <v>24</v>
      </c>
      <c r="AU4" s="21" t="s">
        <v>24</v>
      </c>
      <c r="AV4" s="21" t="s">
        <v>24</v>
      </c>
      <c r="AW4" s="21" t="s">
        <v>24</v>
      </c>
      <c r="AX4" s="36" t="s">
        <v>24</v>
      </c>
      <c r="AY4" s="21" t="s">
        <v>24</v>
      </c>
      <c r="AZ4" s="21" t="s">
        <v>24</v>
      </c>
      <c r="BA4" s="36" t="s">
        <v>24</v>
      </c>
      <c r="BB4" s="21" t="s">
        <v>24</v>
      </c>
      <c r="BC4" s="21" t="s">
        <v>24</v>
      </c>
      <c r="BD4" s="21" t="s">
        <v>24</v>
      </c>
      <c r="BE4" s="21" t="s">
        <v>24</v>
      </c>
      <c r="BF4" s="36" t="s">
        <v>24</v>
      </c>
      <c r="BG4" s="36" t="s">
        <v>24</v>
      </c>
      <c r="BH4" s="21" t="s">
        <v>24</v>
      </c>
      <c r="BI4" s="36" t="s">
        <v>24</v>
      </c>
      <c r="BJ4" s="36" t="s">
        <v>24</v>
      </c>
      <c r="BK4" s="36" t="s">
        <v>24</v>
      </c>
      <c r="BL4" s="36" t="s">
        <v>24</v>
      </c>
      <c r="BM4" s="36" t="s">
        <v>24</v>
      </c>
      <c r="BN4" s="36" t="s">
        <v>24</v>
      </c>
      <c r="BO4" s="36" t="s">
        <v>24</v>
      </c>
      <c r="BP4" s="36" t="s">
        <v>24</v>
      </c>
    </row>
    <row r="5" spans="1:68" ht="15.75" x14ac:dyDescent="0.25">
      <c r="A5" s="16" t="s">
        <v>26</v>
      </c>
      <c r="B5" s="21">
        <v>0</v>
      </c>
      <c r="C5" s="21">
        <v>0</v>
      </c>
      <c r="D5" s="30"/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2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43">
        <v>0</v>
      </c>
      <c r="R5" s="36">
        <v>0</v>
      </c>
      <c r="S5" s="36">
        <v>0</v>
      </c>
      <c r="T5" s="36">
        <v>0</v>
      </c>
      <c r="U5" s="36">
        <v>0</v>
      </c>
      <c r="V5" s="36"/>
      <c r="W5" s="21">
        <v>0</v>
      </c>
      <c r="X5" s="30"/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21">
        <v>0</v>
      </c>
      <c r="AE5" s="21">
        <v>0</v>
      </c>
      <c r="AF5" s="21" t="s">
        <v>158</v>
      </c>
      <c r="AG5" s="36">
        <v>0</v>
      </c>
      <c r="AH5" s="36">
        <v>0</v>
      </c>
      <c r="AI5" s="36">
        <v>0</v>
      </c>
      <c r="AJ5" s="21">
        <v>0</v>
      </c>
      <c r="AK5" s="21">
        <v>0</v>
      </c>
      <c r="AL5" s="36">
        <v>0</v>
      </c>
      <c r="AM5" s="36">
        <v>0</v>
      </c>
      <c r="AN5" s="36" t="s">
        <v>159</v>
      </c>
      <c r="AO5" s="36" t="s">
        <v>160</v>
      </c>
      <c r="AP5" s="36" t="s">
        <v>161</v>
      </c>
      <c r="AQ5" s="36" t="s">
        <v>162</v>
      </c>
      <c r="AR5" s="21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36">
        <v>0</v>
      </c>
      <c r="AY5" s="21">
        <v>0</v>
      </c>
      <c r="AZ5" s="21">
        <v>0</v>
      </c>
      <c r="BA5" s="36" t="s">
        <v>163</v>
      </c>
      <c r="BB5" s="21">
        <v>0</v>
      </c>
      <c r="BC5" s="21">
        <v>0</v>
      </c>
      <c r="BD5" s="21">
        <v>0</v>
      </c>
      <c r="BE5" s="21">
        <v>0</v>
      </c>
      <c r="BF5" s="36">
        <v>0</v>
      </c>
      <c r="BG5" s="36">
        <v>0</v>
      </c>
      <c r="BH5" s="21">
        <v>0</v>
      </c>
      <c r="BI5" s="36">
        <v>0</v>
      </c>
      <c r="BJ5" s="36">
        <v>0</v>
      </c>
      <c r="BK5" s="36" t="s">
        <v>163</v>
      </c>
      <c r="BL5" s="36">
        <v>0</v>
      </c>
      <c r="BM5" s="36">
        <v>0</v>
      </c>
      <c r="BN5" s="36" t="s">
        <v>163</v>
      </c>
      <c r="BO5" s="36">
        <v>0</v>
      </c>
      <c r="BP5" s="35" t="s">
        <v>163</v>
      </c>
    </row>
    <row r="6" spans="1:68" ht="15.75" x14ac:dyDescent="0.25">
      <c r="A6" s="33" t="s">
        <v>511</v>
      </c>
      <c r="B6" s="18">
        <v>1</v>
      </c>
      <c r="C6" s="16">
        <v>2002</v>
      </c>
      <c r="D6" s="18" t="s">
        <v>485</v>
      </c>
      <c r="E6" s="18" t="s">
        <v>164</v>
      </c>
      <c r="F6" s="18" t="s">
        <v>165</v>
      </c>
      <c r="G6" s="18">
        <v>0</v>
      </c>
      <c r="H6" s="28">
        <v>1</v>
      </c>
      <c r="I6" s="40">
        <v>10300601</v>
      </c>
      <c r="J6" s="18">
        <v>2</v>
      </c>
      <c r="K6" s="18">
        <v>800</v>
      </c>
      <c r="L6" s="16">
        <v>0</v>
      </c>
      <c r="M6" s="18">
        <v>10</v>
      </c>
      <c r="N6" s="18">
        <v>10</v>
      </c>
      <c r="O6" s="18">
        <v>0</v>
      </c>
      <c r="P6" s="18">
        <v>5</v>
      </c>
      <c r="Q6" s="43">
        <v>13</v>
      </c>
      <c r="R6" s="36"/>
      <c r="S6" s="36">
        <v>1</v>
      </c>
      <c r="T6" s="36">
        <v>0</v>
      </c>
      <c r="U6" s="35">
        <v>2100</v>
      </c>
      <c r="V6" s="44" t="s">
        <v>506</v>
      </c>
      <c r="W6" s="16">
        <f t="shared" ref="W6:W17" si="0">C6+2</f>
        <v>2004</v>
      </c>
      <c r="X6" s="18" t="s">
        <v>166</v>
      </c>
      <c r="Y6" s="36">
        <v>100</v>
      </c>
      <c r="Z6" s="36"/>
      <c r="AA6" s="36">
        <v>5</v>
      </c>
      <c r="AB6" s="36">
        <v>100</v>
      </c>
      <c r="AC6" s="36">
        <v>100</v>
      </c>
      <c r="AD6" s="18">
        <v>0</v>
      </c>
      <c r="AE6" s="18">
        <v>100</v>
      </c>
      <c r="AF6" s="18" t="s">
        <v>499</v>
      </c>
      <c r="AG6" s="37" t="s">
        <v>168</v>
      </c>
      <c r="AH6" s="36">
        <v>95</v>
      </c>
      <c r="AI6" s="36">
        <v>2</v>
      </c>
      <c r="AJ6" s="18">
        <v>3</v>
      </c>
      <c r="AK6" s="18">
        <v>0</v>
      </c>
      <c r="AL6" s="36">
        <v>25</v>
      </c>
      <c r="AM6" s="36">
        <v>0</v>
      </c>
      <c r="AN6" s="38" t="s">
        <v>169</v>
      </c>
      <c r="AO6" s="36" t="s">
        <v>170</v>
      </c>
      <c r="AP6" s="36" t="s">
        <v>171</v>
      </c>
      <c r="AQ6" s="36" t="s">
        <v>162</v>
      </c>
      <c r="AR6" s="18">
        <v>0</v>
      </c>
      <c r="AS6" s="18">
        <v>500</v>
      </c>
      <c r="AT6" s="18"/>
      <c r="AU6" s="18"/>
      <c r="AV6" s="18"/>
      <c r="AW6" s="18"/>
      <c r="AX6" s="36"/>
      <c r="AY6" s="18">
        <v>6</v>
      </c>
      <c r="AZ6" s="18">
        <v>102</v>
      </c>
      <c r="BA6" s="36"/>
      <c r="BB6" s="18">
        <v>301</v>
      </c>
      <c r="BC6" s="18">
        <v>401</v>
      </c>
      <c r="BD6" s="18">
        <v>0</v>
      </c>
      <c r="BE6" s="18">
        <v>0</v>
      </c>
      <c r="BF6" s="36">
        <v>1</v>
      </c>
      <c r="BG6" s="36">
        <v>948</v>
      </c>
      <c r="BH6" s="18">
        <v>0</v>
      </c>
      <c r="BI6" s="36">
        <v>0</v>
      </c>
      <c r="BJ6" s="36">
        <v>0</v>
      </c>
      <c r="BK6" s="36"/>
      <c r="BL6" s="36"/>
      <c r="BM6" s="36"/>
      <c r="BN6" s="36" t="s">
        <v>172</v>
      </c>
      <c r="BO6" s="35">
        <v>5000</v>
      </c>
      <c r="BP6" s="35"/>
    </row>
    <row r="7" spans="1:68" ht="15.75" x14ac:dyDescent="0.25">
      <c r="A7" s="33" t="s">
        <v>511</v>
      </c>
      <c r="B7" s="18">
        <v>2</v>
      </c>
      <c r="C7" s="16">
        <v>2003</v>
      </c>
      <c r="D7" s="18" t="s">
        <v>487</v>
      </c>
      <c r="E7" s="18" t="s">
        <v>173</v>
      </c>
      <c r="F7" s="18" t="s">
        <v>174</v>
      </c>
      <c r="G7" s="18">
        <v>0</v>
      </c>
      <c r="H7" s="18">
        <v>1</v>
      </c>
      <c r="I7" s="18"/>
      <c r="J7" s="18">
        <v>2</v>
      </c>
      <c r="K7" s="18">
        <v>500</v>
      </c>
      <c r="L7" s="18">
        <v>1000</v>
      </c>
      <c r="M7" s="18"/>
      <c r="N7" s="18"/>
      <c r="O7" s="18"/>
      <c r="P7" s="18"/>
      <c r="Q7" s="43">
        <v>13</v>
      </c>
      <c r="R7" s="36">
        <v>5</v>
      </c>
      <c r="S7" s="36">
        <v>1</v>
      </c>
      <c r="T7" s="36">
        <v>0</v>
      </c>
      <c r="U7" s="35">
        <v>2100</v>
      </c>
      <c r="V7" s="44" t="s">
        <v>506</v>
      </c>
      <c r="W7" s="16">
        <f t="shared" si="0"/>
        <v>2005</v>
      </c>
      <c r="X7" s="18" t="s">
        <v>175</v>
      </c>
      <c r="Y7" s="36">
        <v>500</v>
      </c>
      <c r="Z7" s="36"/>
      <c r="AA7" s="36">
        <v>5</v>
      </c>
      <c r="AB7" s="36">
        <v>500</v>
      </c>
      <c r="AC7" s="36">
        <v>500</v>
      </c>
      <c r="AD7" s="18">
        <v>0</v>
      </c>
      <c r="AE7" s="18">
        <v>500</v>
      </c>
      <c r="AF7" s="18" t="s">
        <v>167</v>
      </c>
      <c r="AG7" s="37" t="s">
        <v>176</v>
      </c>
      <c r="AH7" s="36">
        <v>95</v>
      </c>
      <c r="AI7" s="36">
        <v>0</v>
      </c>
      <c r="AJ7" s="18">
        <v>0</v>
      </c>
      <c r="AK7" s="18">
        <v>0</v>
      </c>
      <c r="AL7" s="36">
        <v>25</v>
      </c>
      <c r="AM7" s="36">
        <v>0</v>
      </c>
      <c r="AN7" s="38" t="s">
        <v>177</v>
      </c>
      <c r="AO7" s="36" t="s">
        <v>178</v>
      </c>
      <c r="AP7" s="36" t="s">
        <v>161</v>
      </c>
      <c r="AQ7" s="36" t="s">
        <v>162</v>
      </c>
      <c r="AR7" s="18">
        <v>100</v>
      </c>
      <c r="AS7" s="18">
        <v>1000</v>
      </c>
      <c r="AT7" s="18">
        <v>31</v>
      </c>
      <c r="AU7" s="18">
        <v>37</v>
      </c>
      <c r="AV7" s="18">
        <v>43</v>
      </c>
      <c r="AW7" s="18"/>
      <c r="AX7" s="36">
        <v>2</v>
      </c>
      <c r="AY7" s="18">
        <v>7</v>
      </c>
      <c r="AZ7" s="18">
        <v>103</v>
      </c>
      <c r="BA7" s="36"/>
      <c r="BB7" s="18">
        <v>302</v>
      </c>
      <c r="BC7" s="18">
        <v>402</v>
      </c>
      <c r="BD7" s="18">
        <v>0</v>
      </c>
      <c r="BE7" s="18">
        <v>0</v>
      </c>
      <c r="BF7" s="36">
        <v>2</v>
      </c>
      <c r="BG7" s="36">
        <v>2321</v>
      </c>
      <c r="BH7" s="18">
        <v>1</v>
      </c>
      <c r="BI7" s="36">
        <v>1</v>
      </c>
      <c r="BJ7" s="36">
        <v>1</v>
      </c>
      <c r="BK7" s="36" t="s">
        <v>179</v>
      </c>
      <c r="BL7" s="36">
        <v>5</v>
      </c>
      <c r="BM7" s="36">
        <v>0</v>
      </c>
      <c r="BN7" s="36" t="s">
        <v>180</v>
      </c>
      <c r="BO7" s="35">
        <v>10000</v>
      </c>
      <c r="BP7" s="35"/>
    </row>
    <row r="8" spans="1:68" ht="15.75" x14ac:dyDescent="0.25">
      <c r="A8" s="33" t="s">
        <v>511</v>
      </c>
      <c r="B8" s="18">
        <v>3</v>
      </c>
      <c r="C8" s="16">
        <v>2004</v>
      </c>
      <c r="D8" s="18" t="s">
        <v>489</v>
      </c>
      <c r="E8" s="18" t="s">
        <v>181</v>
      </c>
      <c r="F8" s="18" t="s">
        <v>174</v>
      </c>
      <c r="G8" s="18">
        <v>0</v>
      </c>
      <c r="H8" s="18">
        <v>1</v>
      </c>
      <c r="I8" s="18"/>
      <c r="J8" s="18">
        <v>2</v>
      </c>
      <c r="K8" s="18">
        <v>1000</v>
      </c>
      <c r="L8" s="18">
        <v>2000</v>
      </c>
      <c r="M8" s="18"/>
      <c r="N8" s="18"/>
      <c r="O8" s="18"/>
      <c r="P8" s="18"/>
      <c r="Q8" s="43">
        <v>13</v>
      </c>
      <c r="R8" s="36">
        <v>5</v>
      </c>
      <c r="S8" s="36">
        <v>1</v>
      </c>
      <c r="T8" s="36">
        <v>0</v>
      </c>
      <c r="U8" s="35">
        <v>2100</v>
      </c>
      <c r="V8" s="44" t="s">
        <v>506</v>
      </c>
      <c r="W8" s="16">
        <f t="shared" si="0"/>
        <v>2006</v>
      </c>
      <c r="X8" s="18" t="s">
        <v>182</v>
      </c>
      <c r="Y8" s="36">
        <v>1000</v>
      </c>
      <c r="Z8" s="36"/>
      <c r="AA8" s="36">
        <v>5</v>
      </c>
      <c r="AB8" s="36">
        <v>1000</v>
      </c>
      <c r="AC8" s="36">
        <v>1000</v>
      </c>
      <c r="AD8" s="18">
        <v>0</v>
      </c>
      <c r="AE8" s="18">
        <v>1000</v>
      </c>
      <c r="AF8" s="18" t="s">
        <v>167</v>
      </c>
      <c r="AG8" s="37" t="s">
        <v>183</v>
      </c>
      <c r="AH8" s="36">
        <v>95</v>
      </c>
      <c r="AI8" s="36">
        <v>0</v>
      </c>
      <c r="AJ8" s="18">
        <v>0</v>
      </c>
      <c r="AK8" s="18">
        <v>0</v>
      </c>
      <c r="AL8" s="36">
        <v>30</v>
      </c>
      <c r="AM8" s="36">
        <v>0</v>
      </c>
      <c r="AN8" s="39" t="s">
        <v>184</v>
      </c>
      <c r="AO8" s="36" t="s">
        <v>178</v>
      </c>
      <c r="AP8" s="36" t="s">
        <v>161</v>
      </c>
      <c r="AQ8" s="36" t="s">
        <v>185</v>
      </c>
      <c r="AR8" s="18">
        <v>100</v>
      </c>
      <c r="AS8" s="18">
        <v>2000</v>
      </c>
      <c r="AT8" s="18">
        <v>31</v>
      </c>
      <c r="AU8" s="18">
        <v>37</v>
      </c>
      <c r="AV8" s="18">
        <v>43</v>
      </c>
      <c r="AW8" s="18"/>
      <c r="AX8" s="36">
        <v>2</v>
      </c>
      <c r="AY8" s="18">
        <v>8</v>
      </c>
      <c r="AZ8" s="18">
        <v>104</v>
      </c>
      <c r="BA8" s="36"/>
      <c r="BB8" s="18">
        <v>303</v>
      </c>
      <c r="BC8" s="18">
        <v>403</v>
      </c>
      <c r="BD8" s="18">
        <v>0</v>
      </c>
      <c r="BE8" s="18">
        <v>0</v>
      </c>
      <c r="BF8" s="36">
        <v>3</v>
      </c>
      <c r="BG8" s="36">
        <v>1832</v>
      </c>
      <c r="BH8" s="18">
        <v>1</v>
      </c>
      <c r="BI8" s="36">
        <v>1</v>
      </c>
      <c r="BJ8" s="36">
        <v>1</v>
      </c>
      <c r="BK8" s="36" t="s">
        <v>186</v>
      </c>
      <c r="BL8" s="36">
        <v>6</v>
      </c>
      <c r="BM8" s="36">
        <v>1</v>
      </c>
      <c r="BN8" s="36" t="s">
        <v>180</v>
      </c>
      <c r="BO8" s="35">
        <v>50000</v>
      </c>
      <c r="BP8" s="35"/>
    </row>
    <row r="9" spans="1:68" ht="15.75" x14ac:dyDescent="0.25">
      <c r="A9" s="33" t="s">
        <v>482</v>
      </c>
      <c r="B9" s="18">
        <v>100</v>
      </c>
      <c r="C9" s="16">
        <v>2011</v>
      </c>
      <c r="D9" s="34" t="s">
        <v>509</v>
      </c>
      <c r="E9" s="18" t="s">
        <v>187</v>
      </c>
      <c r="F9" s="18" t="s">
        <v>188</v>
      </c>
      <c r="G9" s="18">
        <v>0</v>
      </c>
      <c r="H9" s="15">
        <v>100</v>
      </c>
      <c r="I9" s="40">
        <v>10300701</v>
      </c>
      <c r="J9" s="18">
        <v>2</v>
      </c>
      <c r="K9" s="18">
        <v>2000</v>
      </c>
      <c r="L9" s="18">
        <v>4000</v>
      </c>
      <c r="M9" s="18"/>
      <c r="N9" s="18"/>
      <c r="O9" s="18"/>
      <c r="P9" s="18"/>
      <c r="Q9" s="43">
        <v>11</v>
      </c>
      <c r="R9" s="36">
        <v>5</v>
      </c>
      <c r="S9" s="36">
        <v>1</v>
      </c>
      <c r="T9" s="36">
        <v>0</v>
      </c>
      <c r="U9" s="35">
        <v>2101</v>
      </c>
      <c r="V9" s="44" t="s">
        <v>507</v>
      </c>
      <c r="W9" s="16">
        <f t="shared" ref="W9" si="1">C9+2</f>
        <v>2013</v>
      </c>
      <c r="X9" s="18" t="s">
        <v>189</v>
      </c>
      <c r="Y9" s="36">
        <v>2000</v>
      </c>
      <c r="Z9" s="36"/>
      <c r="AA9" s="36">
        <v>5</v>
      </c>
      <c r="AB9" s="36">
        <v>2000</v>
      </c>
      <c r="AC9" s="36">
        <v>2000</v>
      </c>
      <c r="AD9" s="18">
        <v>0</v>
      </c>
      <c r="AE9" s="18">
        <v>2000</v>
      </c>
      <c r="AF9" s="18" t="s">
        <v>167</v>
      </c>
      <c r="AG9" s="37" t="s">
        <v>190</v>
      </c>
      <c r="AH9" s="36">
        <v>95</v>
      </c>
      <c r="AI9" s="36">
        <v>0</v>
      </c>
      <c r="AJ9" s="18">
        <v>0</v>
      </c>
      <c r="AK9" s="18">
        <v>0</v>
      </c>
      <c r="AL9" s="36">
        <v>30</v>
      </c>
      <c r="AM9" s="36">
        <v>0</v>
      </c>
      <c r="AN9" s="36" t="s">
        <v>191</v>
      </c>
      <c r="AO9" s="36" t="s">
        <v>192</v>
      </c>
      <c r="AP9" s="36" t="s">
        <v>193</v>
      </c>
      <c r="AQ9" s="36" t="s">
        <v>185</v>
      </c>
      <c r="AR9" s="18">
        <v>120</v>
      </c>
      <c r="AS9" s="18">
        <v>0</v>
      </c>
      <c r="AT9" s="18">
        <v>32</v>
      </c>
      <c r="AU9" s="18">
        <v>38</v>
      </c>
      <c r="AV9" s="18"/>
      <c r="AW9" s="18"/>
      <c r="AX9" s="36">
        <v>3</v>
      </c>
      <c r="AY9" s="18">
        <v>9</v>
      </c>
      <c r="AZ9" s="18">
        <v>105</v>
      </c>
      <c r="BA9" s="36"/>
      <c r="BB9" s="18">
        <v>304</v>
      </c>
      <c r="BC9" s="18">
        <v>404</v>
      </c>
      <c r="BD9" s="18">
        <v>0</v>
      </c>
      <c r="BE9" s="18">
        <v>0</v>
      </c>
      <c r="BF9" s="36">
        <v>6</v>
      </c>
      <c r="BG9" s="36">
        <v>924</v>
      </c>
      <c r="BH9" s="18">
        <v>1</v>
      </c>
      <c r="BI9" s="36">
        <v>1</v>
      </c>
      <c r="BJ9" s="36">
        <v>1</v>
      </c>
      <c r="BK9" s="36" t="s">
        <v>194</v>
      </c>
      <c r="BL9" s="36">
        <v>8</v>
      </c>
      <c r="BM9" s="36">
        <v>1</v>
      </c>
      <c r="BN9" s="36" t="s">
        <v>195</v>
      </c>
      <c r="BO9" s="35">
        <v>100000</v>
      </c>
      <c r="BP9" s="35"/>
    </row>
    <row r="10" spans="1:68" ht="15.75" x14ac:dyDescent="0.25">
      <c r="A10" s="33" t="s">
        <v>482</v>
      </c>
      <c r="B10" s="18">
        <v>101</v>
      </c>
      <c r="C10" s="16">
        <v>2012</v>
      </c>
      <c r="D10" s="32" t="s">
        <v>483</v>
      </c>
      <c r="E10" s="18" t="s">
        <v>187</v>
      </c>
      <c r="F10" s="18" t="s">
        <v>188</v>
      </c>
      <c r="G10" s="18">
        <v>0</v>
      </c>
      <c r="H10" s="15">
        <v>101</v>
      </c>
      <c r="I10" s="40">
        <v>10300704</v>
      </c>
      <c r="J10" s="18">
        <v>2</v>
      </c>
      <c r="K10" s="18">
        <v>2000</v>
      </c>
      <c r="L10" s="18">
        <v>4000</v>
      </c>
      <c r="M10" s="18"/>
      <c r="N10" s="18"/>
      <c r="O10" s="18"/>
      <c r="P10" s="18"/>
      <c r="Q10" s="43">
        <v>11</v>
      </c>
      <c r="R10" s="36">
        <v>5</v>
      </c>
      <c r="S10" s="36">
        <v>1</v>
      </c>
      <c r="T10" s="36">
        <v>0</v>
      </c>
      <c r="U10" s="35">
        <v>2102</v>
      </c>
      <c r="V10" s="44" t="s">
        <v>508</v>
      </c>
      <c r="W10" s="16">
        <f t="shared" ref="W10:W15" si="2">C10+2</f>
        <v>2014</v>
      </c>
      <c r="X10" s="18" t="s">
        <v>189</v>
      </c>
      <c r="Y10" s="36">
        <v>2000</v>
      </c>
      <c r="Z10" s="36"/>
      <c r="AA10" s="36">
        <v>5</v>
      </c>
      <c r="AB10" s="36">
        <v>2000</v>
      </c>
      <c r="AC10" s="36">
        <v>2000</v>
      </c>
      <c r="AD10" s="18">
        <v>0</v>
      </c>
      <c r="AE10" s="18">
        <v>2000</v>
      </c>
      <c r="AF10" s="18" t="s">
        <v>167</v>
      </c>
      <c r="AG10" s="37" t="s">
        <v>190</v>
      </c>
      <c r="AH10" s="36">
        <v>95</v>
      </c>
      <c r="AI10" s="36">
        <v>0</v>
      </c>
      <c r="AJ10" s="18">
        <v>0</v>
      </c>
      <c r="AK10" s="18">
        <v>0</v>
      </c>
      <c r="AL10" s="36">
        <v>30</v>
      </c>
      <c r="AM10" s="36">
        <v>0</v>
      </c>
      <c r="AN10" s="36" t="s">
        <v>191</v>
      </c>
      <c r="AO10" s="36" t="s">
        <v>192</v>
      </c>
      <c r="AP10" s="36" t="s">
        <v>193</v>
      </c>
      <c r="AQ10" s="36" t="s">
        <v>185</v>
      </c>
      <c r="AR10" s="18">
        <v>120</v>
      </c>
      <c r="AS10" s="18">
        <v>0</v>
      </c>
      <c r="AT10" s="18">
        <v>32</v>
      </c>
      <c r="AU10" s="18">
        <v>38</v>
      </c>
      <c r="AV10" s="18"/>
      <c r="AW10" s="18"/>
      <c r="AX10" s="36">
        <v>3</v>
      </c>
      <c r="AY10" s="18">
        <v>9</v>
      </c>
      <c r="AZ10" s="18">
        <v>105</v>
      </c>
      <c r="BA10" s="36"/>
      <c r="BB10" s="18">
        <v>304</v>
      </c>
      <c r="BC10" s="18">
        <v>404</v>
      </c>
      <c r="BD10" s="18">
        <v>0</v>
      </c>
      <c r="BE10" s="18">
        <v>0</v>
      </c>
      <c r="BF10" s="36">
        <v>6</v>
      </c>
      <c r="BG10" s="36">
        <v>924</v>
      </c>
      <c r="BH10" s="18">
        <v>1</v>
      </c>
      <c r="BI10" s="36">
        <v>1</v>
      </c>
      <c r="BJ10" s="36">
        <v>1</v>
      </c>
      <c r="BK10" s="36" t="s">
        <v>194</v>
      </c>
      <c r="BL10" s="36">
        <v>8</v>
      </c>
      <c r="BM10" s="36">
        <v>1</v>
      </c>
      <c r="BN10" s="36" t="s">
        <v>195</v>
      </c>
      <c r="BO10" s="35">
        <v>100000</v>
      </c>
      <c r="BP10" s="35"/>
    </row>
    <row r="11" spans="1:68" ht="15.75" x14ac:dyDescent="0.25">
      <c r="A11" s="33" t="s">
        <v>482</v>
      </c>
      <c r="B11" s="18">
        <v>102</v>
      </c>
      <c r="C11" s="45">
        <v>194</v>
      </c>
      <c r="D11" s="15" t="s">
        <v>518</v>
      </c>
      <c r="E11" s="18" t="s">
        <v>187</v>
      </c>
      <c r="F11" s="18" t="s">
        <v>188</v>
      </c>
      <c r="G11" s="18">
        <v>0</v>
      </c>
      <c r="H11" s="15">
        <v>102</v>
      </c>
      <c r="I11" s="40">
        <v>10300703</v>
      </c>
      <c r="J11" s="18">
        <v>2</v>
      </c>
      <c r="K11" s="18">
        <v>2000</v>
      </c>
      <c r="L11" s="18">
        <v>4000</v>
      </c>
      <c r="M11" s="18"/>
      <c r="N11" s="18"/>
      <c r="O11" s="18"/>
      <c r="P11" s="18"/>
      <c r="Q11" s="43">
        <v>11</v>
      </c>
      <c r="R11" s="36">
        <v>5</v>
      </c>
      <c r="S11" s="36">
        <v>1</v>
      </c>
      <c r="T11" s="36">
        <v>0</v>
      </c>
      <c r="U11" s="35">
        <v>2102</v>
      </c>
      <c r="V11" s="44" t="s">
        <v>508</v>
      </c>
      <c r="W11" s="16">
        <f t="shared" si="2"/>
        <v>196</v>
      </c>
      <c r="X11" s="18" t="s">
        <v>189</v>
      </c>
      <c r="Y11" s="36">
        <v>2000</v>
      </c>
      <c r="Z11" s="36"/>
      <c r="AA11" s="36">
        <v>5</v>
      </c>
      <c r="AB11" s="36">
        <v>2000</v>
      </c>
      <c r="AC11" s="36">
        <v>2000</v>
      </c>
      <c r="AD11" s="18">
        <v>0</v>
      </c>
      <c r="AE11" s="18">
        <v>2000</v>
      </c>
      <c r="AF11" s="18" t="s">
        <v>167</v>
      </c>
      <c r="AG11" s="37" t="s">
        <v>190</v>
      </c>
      <c r="AH11" s="36">
        <v>95</v>
      </c>
      <c r="AI11" s="36">
        <v>0</v>
      </c>
      <c r="AJ11" s="18">
        <v>0</v>
      </c>
      <c r="AK11" s="18">
        <v>0</v>
      </c>
      <c r="AL11" s="36">
        <v>30</v>
      </c>
      <c r="AM11" s="36">
        <v>0</v>
      </c>
      <c r="AN11" s="36" t="s">
        <v>191</v>
      </c>
      <c r="AO11" s="36" t="s">
        <v>192</v>
      </c>
      <c r="AP11" s="36" t="s">
        <v>193</v>
      </c>
      <c r="AQ11" s="36" t="s">
        <v>185</v>
      </c>
      <c r="AR11" s="18">
        <v>120</v>
      </c>
      <c r="AS11" s="18">
        <v>0</v>
      </c>
      <c r="AT11" s="18">
        <v>32</v>
      </c>
      <c r="AU11" s="18">
        <v>38</v>
      </c>
      <c r="AV11" s="18"/>
      <c r="AW11" s="18"/>
      <c r="AX11" s="36">
        <v>3</v>
      </c>
      <c r="AY11" s="18">
        <v>9</v>
      </c>
      <c r="AZ11" s="18">
        <v>105</v>
      </c>
      <c r="BA11" s="36"/>
      <c r="BB11" s="18">
        <v>304</v>
      </c>
      <c r="BC11" s="18">
        <v>404</v>
      </c>
      <c r="BD11" s="18">
        <v>0</v>
      </c>
      <c r="BE11" s="18">
        <v>0</v>
      </c>
      <c r="BF11" s="36">
        <v>6</v>
      </c>
      <c r="BG11" s="36">
        <v>924</v>
      </c>
      <c r="BH11" s="18">
        <v>1</v>
      </c>
      <c r="BI11" s="36">
        <v>1</v>
      </c>
      <c r="BJ11" s="36">
        <v>1</v>
      </c>
      <c r="BK11" s="36" t="s">
        <v>194</v>
      </c>
      <c r="BL11" s="36">
        <v>8</v>
      </c>
      <c r="BM11" s="36">
        <v>1</v>
      </c>
      <c r="BN11" s="36" t="s">
        <v>195</v>
      </c>
      <c r="BO11" s="35">
        <v>100000</v>
      </c>
      <c r="BP11" s="35"/>
    </row>
    <row r="12" spans="1:68" ht="15.75" x14ac:dyDescent="0.25">
      <c r="A12" s="33" t="s">
        <v>482</v>
      </c>
      <c r="B12" s="18">
        <v>103</v>
      </c>
      <c r="C12" s="16">
        <v>198</v>
      </c>
      <c r="D12" s="34" t="s">
        <v>514</v>
      </c>
      <c r="E12" s="18" t="s">
        <v>187</v>
      </c>
      <c r="F12" s="18" t="s">
        <v>188</v>
      </c>
      <c r="G12" s="18">
        <v>0</v>
      </c>
      <c r="H12" s="15">
        <v>100</v>
      </c>
      <c r="I12" s="15">
        <v>10300707</v>
      </c>
      <c r="J12" s="18">
        <v>2</v>
      </c>
      <c r="K12" s="18">
        <v>2000</v>
      </c>
      <c r="L12" s="18">
        <v>4000</v>
      </c>
      <c r="M12" s="18"/>
      <c r="N12" s="18"/>
      <c r="O12" s="18"/>
      <c r="P12" s="18"/>
      <c r="Q12" s="43">
        <v>11</v>
      </c>
      <c r="R12" s="36">
        <v>5</v>
      </c>
      <c r="S12" s="36">
        <v>1</v>
      </c>
      <c r="T12" s="36">
        <v>0</v>
      </c>
      <c r="U12" s="35">
        <v>2101</v>
      </c>
      <c r="V12" s="44" t="s">
        <v>507</v>
      </c>
      <c r="W12" s="16">
        <f t="shared" si="2"/>
        <v>200</v>
      </c>
      <c r="X12" s="18" t="s">
        <v>189</v>
      </c>
      <c r="Y12" s="36">
        <v>2000</v>
      </c>
      <c r="Z12" s="36"/>
      <c r="AA12" s="36">
        <v>5</v>
      </c>
      <c r="AB12" s="36">
        <v>2000</v>
      </c>
      <c r="AC12" s="36">
        <v>2000</v>
      </c>
      <c r="AD12" s="18">
        <v>0</v>
      </c>
      <c r="AE12" s="18">
        <v>2000</v>
      </c>
      <c r="AF12" s="18" t="s">
        <v>167</v>
      </c>
      <c r="AG12" s="37" t="s">
        <v>190</v>
      </c>
      <c r="AH12" s="36">
        <v>95</v>
      </c>
      <c r="AI12" s="36">
        <v>0</v>
      </c>
      <c r="AJ12" s="18">
        <v>0</v>
      </c>
      <c r="AK12" s="18">
        <v>0</v>
      </c>
      <c r="AL12" s="36">
        <v>30</v>
      </c>
      <c r="AM12" s="36">
        <v>0</v>
      </c>
      <c r="AN12" s="36" t="s">
        <v>191</v>
      </c>
      <c r="AO12" s="36" t="s">
        <v>192</v>
      </c>
      <c r="AP12" s="36" t="s">
        <v>193</v>
      </c>
      <c r="AQ12" s="36" t="s">
        <v>185</v>
      </c>
      <c r="AR12" s="18">
        <v>120</v>
      </c>
      <c r="AS12" s="18">
        <v>0</v>
      </c>
      <c r="AT12" s="18">
        <v>32</v>
      </c>
      <c r="AU12" s="18">
        <v>38</v>
      </c>
      <c r="AV12" s="18"/>
      <c r="AW12" s="18"/>
      <c r="AX12" s="36">
        <v>3</v>
      </c>
      <c r="AY12" s="18">
        <v>9</v>
      </c>
      <c r="AZ12" s="18">
        <v>105</v>
      </c>
      <c r="BA12" s="36"/>
      <c r="BB12" s="18">
        <v>304</v>
      </c>
      <c r="BC12" s="18">
        <v>404</v>
      </c>
      <c r="BD12" s="18">
        <v>0</v>
      </c>
      <c r="BE12" s="18">
        <v>0</v>
      </c>
      <c r="BF12" s="36">
        <v>6</v>
      </c>
      <c r="BG12" s="36">
        <v>924</v>
      </c>
      <c r="BH12" s="18">
        <v>1</v>
      </c>
      <c r="BI12" s="36">
        <v>1</v>
      </c>
      <c r="BJ12" s="36">
        <v>1</v>
      </c>
      <c r="BK12" s="36" t="s">
        <v>194</v>
      </c>
      <c r="BL12" s="36">
        <v>8</v>
      </c>
      <c r="BM12" s="36">
        <v>1</v>
      </c>
      <c r="BN12" s="36" t="s">
        <v>195</v>
      </c>
      <c r="BO12" s="35">
        <v>100000</v>
      </c>
      <c r="BP12" s="35"/>
    </row>
    <row r="13" spans="1:68" ht="15.75" x14ac:dyDescent="0.25">
      <c r="A13" s="33" t="s">
        <v>482</v>
      </c>
      <c r="B13" s="18">
        <v>104</v>
      </c>
      <c r="C13" s="16">
        <v>196</v>
      </c>
      <c r="D13" s="34" t="s">
        <v>515</v>
      </c>
      <c r="E13" s="18" t="s">
        <v>187</v>
      </c>
      <c r="F13" s="18" t="s">
        <v>188</v>
      </c>
      <c r="G13" s="18">
        <v>0</v>
      </c>
      <c r="H13" s="15">
        <v>100</v>
      </c>
      <c r="I13" s="15">
        <v>10300705</v>
      </c>
      <c r="J13" s="18">
        <v>2</v>
      </c>
      <c r="K13" s="18">
        <v>2000</v>
      </c>
      <c r="L13" s="18">
        <v>4000</v>
      </c>
      <c r="M13" s="18"/>
      <c r="N13" s="18"/>
      <c r="O13" s="18"/>
      <c r="P13" s="18"/>
      <c r="Q13" s="43">
        <v>11</v>
      </c>
      <c r="R13" s="36">
        <v>5</v>
      </c>
      <c r="S13" s="36">
        <v>1</v>
      </c>
      <c r="T13" s="36">
        <v>0</v>
      </c>
      <c r="U13" s="35">
        <v>2101</v>
      </c>
      <c r="V13" s="44" t="s">
        <v>507</v>
      </c>
      <c r="W13" s="16">
        <f t="shared" si="2"/>
        <v>198</v>
      </c>
      <c r="X13" s="18" t="s">
        <v>189</v>
      </c>
      <c r="Y13" s="36">
        <v>2000</v>
      </c>
      <c r="Z13" s="36"/>
      <c r="AA13" s="36">
        <v>5</v>
      </c>
      <c r="AB13" s="36">
        <v>2000</v>
      </c>
      <c r="AC13" s="36">
        <v>2000</v>
      </c>
      <c r="AD13" s="18">
        <v>0</v>
      </c>
      <c r="AE13" s="18">
        <v>2000</v>
      </c>
      <c r="AF13" s="18" t="s">
        <v>167</v>
      </c>
      <c r="AG13" s="37" t="s">
        <v>190</v>
      </c>
      <c r="AH13" s="36">
        <v>95</v>
      </c>
      <c r="AI13" s="36">
        <v>0</v>
      </c>
      <c r="AJ13" s="18">
        <v>0</v>
      </c>
      <c r="AK13" s="18">
        <v>0</v>
      </c>
      <c r="AL13" s="36">
        <v>30</v>
      </c>
      <c r="AM13" s="36">
        <v>0</v>
      </c>
      <c r="AN13" s="36" t="s">
        <v>191</v>
      </c>
      <c r="AO13" s="36" t="s">
        <v>192</v>
      </c>
      <c r="AP13" s="36" t="s">
        <v>193</v>
      </c>
      <c r="AQ13" s="36" t="s">
        <v>185</v>
      </c>
      <c r="AR13" s="18">
        <v>120</v>
      </c>
      <c r="AS13" s="18">
        <v>0</v>
      </c>
      <c r="AT13" s="18">
        <v>32</v>
      </c>
      <c r="AU13" s="18">
        <v>38</v>
      </c>
      <c r="AV13" s="18"/>
      <c r="AW13" s="18"/>
      <c r="AX13" s="36">
        <v>3</v>
      </c>
      <c r="AY13" s="18">
        <v>9</v>
      </c>
      <c r="AZ13" s="18">
        <v>105</v>
      </c>
      <c r="BA13" s="36"/>
      <c r="BB13" s="18">
        <v>304</v>
      </c>
      <c r="BC13" s="18">
        <v>404</v>
      </c>
      <c r="BD13" s="18">
        <v>0</v>
      </c>
      <c r="BE13" s="18">
        <v>0</v>
      </c>
      <c r="BF13" s="36">
        <v>6</v>
      </c>
      <c r="BG13" s="36">
        <v>924</v>
      </c>
      <c r="BH13" s="18">
        <v>1</v>
      </c>
      <c r="BI13" s="36">
        <v>1</v>
      </c>
      <c r="BJ13" s="36">
        <v>1</v>
      </c>
      <c r="BK13" s="36" t="s">
        <v>194</v>
      </c>
      <c r="BL13" s="36">
        <v>8</v>
      </c>
      <c r="BM13" s="36">
        <v>1</v>
      </c>
      <c r="BN13" s="36" t="s">
        <v>195</v>
      </c>
      <c r="BO13" s="35">
        <v>100000</v>
      </c>
      <c r="BP13" s="35"/>
    </row>
    <row r="14" spans="1:68" ht="15.75" x14ac:dyDescent="0.25">
      <c r="A14" s="33" t="s">
        <v>482</v>
      </c>
      <c r="B14" s="18">
        <v>105</v>
      </c>
      <c r="C14" s="16">
        <v>197</v>
      </c>
      <c r="D14" s="34" t="s">
        <v>516</v>
      </c>
      <c r="E14" s="18" t="s">
        <v>187</v>
      </c>
      <c r="F14" s="18" t="s">
        <v>188</v>
      </c>
      <c r="G14" s="18">
        <v>0</v>
      </c>
      <c r="H14" s="15">
        <v>100</v>
      </c>
      <c r="I14" s="15">
        <v>10300706</v>
      </c>
      <c r="J14" s="18">
        <v>2</v>
      </c>
      <c r="K14" s="18">
        <v>2000</v>
      </c>
      <c r="L14" s="18">
        <v>4000</v>
      </c>
      <c r="M14" s="18"/>
      <c r="N14" s="18"/>
      <c r="O14" s="18"/>
      <c r="P14" s="18"/>
      <c r="Q14" s="43">
        <v>11</v>
      </c>
      <c r="R14" s="36">
        <v>5</v>
      </c>
      <c r="S14" s="36">
        <v>1</v>
      </c>
      <c r="T14" s="36">
        <v>0</v>
      </c>
      <c r="U14" s="35">
        <v>2101</v>
      </c>
      <c r="V14" s="44" t="s">
        <v>507</v>
      </c>
      <c r="W14" s="16">
        <f t="shared" si="2"/>
        <v>199</v>
      </c>
      <c r="X14" s="18" t="s">
        <v>189</v>
      </c>
      <c r="Y14" s="36">
        <v>2000</v>
      </c>
      <c r="Z14" s="36"/>
      <c r="AA14" s="36">
        <v>5</v>
      </c>
      <c r="AB14" s="36">
        <v>2000</v>
      </c>
      <c r="AC14" s="36">
        <v>2000</v>
      </c>
      <c r="AD14" s="18">
        <v>0</v>
      </c>
      <c r="AE14" s="18">
        <v>2000</v>
      </c>
      <c r="AF14" s="18" t="s">
        <v>167</v>
      </c>
      <c r="AG14" s="37" t="s">
        <v>190</v>
      </c>
      <c r="AH14" s="36">
        <v>95</v>
      </c>
      <c r="AI14" s="36">
        <v>0</v>
      </c>
      <c r="AJ14" s="18">
        <v>0</v>
      </c>
      <c r="AK14" s="18">
        <v>0</v>
      </c>
      <c r="AL14" s="36">
        <v>30</v>
      </c>
      <c r="AM14" s="36">
        <v>0</v>
      </c>
      <c r="AN14" s="36" t="s">
        <v>191</v>
      </c>
      <c r="AO14" s="36" t="s">
        <v>192</v>
      </c>
      <c r="AP14" s="36" t="s">
        <v>193</v>
      </c>
      <c r="AQ14" s="36" t="s">
        <v>185</v>
      </c>
      <c r="AR14" s="18">
        <v>120</v>
      </c>
      <c r="AS14" s="18">
        <v>0</v>
      </c>
      <c r="AT14" s="18">
        <v>32</v>
      </c>
      <c r="AU14" s="18">
        <v>38</v>
      </c>
      <c r="AV14" s="18"/>
      <c r="AW14" s="18"/>
      <c r="AX14" s="36">
        <v>3</v>
      </c>
      <c r="AY14" s="18">
        <v>9</v>
      </c>
      <c r="AZ14" s="18">
        <v>105</v>
      </c>
      <c r="BA14" s="36"/>
      <c r="BB14" s="18">
        <v>304</v>
      </c>
      <c r="BC14" s="18">
        <v>404</v>
      </c>
      <c r="BD14" s="18">
        <v>0</v>
      </c>
      <c r="BE14" s="18">
        <v>0</v>
      </c>
      <c r="BF14" s="36">
        <v>6</v>
      </c>
      <c r="BG14" s="36">
        <v>924</v>
      </c>
      <c r="BH14" s="18">
        <v>1</v>
      </c>
      <c r="BI14" s="36">
        <v>1</v>
      </c>
      <c r="BJ14" s="36">
        <v>1</v>
      </c>
      <c r="BK14" s="36" t="s">
        <v>194</v>
      </c>
      <c r="BL14" s="36">
        <v>8</v>
      </c>
      <c r="BM14" s="36">
        <v>1</v>
      </c>
      <c r="BN14" s="36" t="s">
        <v>195</v>
      </c>
      <c r="BO14" s="35">
        <v>100000</v>
      </c>
      <c r="BP14" s="35"/>
    </row>
    <row r="15" spans="1:68" ht="15.75" x14ac:dyDescent="0.25">
      <c r="A15" s="33" t="s">
        <v>482</v>
      </c>
      <c r="B15" s="18">
        <v>106</v>
      </c>
      <c r="C15" s="16">
        <v>198</v>
      </c>
      <c r="D15" s="34" t="s">
        <v>517</v>
      </c>
      <c r="E15" s="18" t="s">
        <v>187</v>
      </c>
      <c r="F15" s="18" t="s">
        <v>188</v>
      </c>
      <c r="G15" s="18">
        <v>0</v>
      </c>
      <c r="H15" s="15">
        <v>100</v>
      </c>
      <c r="I15" s="15">
        <v>10300702</v>
      </c>
      <c r="J15" s="18">
        <v>2</v>
      </c>
      <c r="K15" s="18">
        <v>2000</v>
      </c>
      <c r="L15" s="18">
        <v>4000</v>
      </c>
      <c r="M15" s="18"/>
      <c r="N15" s="18"/>
      <c r="O15" s="18"/>
      <c r="P15" s="18"/>
      <c r="Q15" s="43">
        <v>11</v>
      </c>
      <c r="R15" s="36">
        <v>5</v>
      </c>
      <c r="S15" s="36">
        <v>1</v>
      </c>
      <c r="T15" s="36">
        <v>0</v>
      </c>
      <c r="U15" s="35">
        <v>2101</v>
      </c>
      <c r="V15" s="44" t="s">
        <v>507</v>
      </c>
      <c r="W15" s="16">
        <f t="shared" si="2"/>
        <v>200</v>
      </c>
      <c r="X15" s="18" t="s">
        <v>189</v>
      </c>
      <c r="Y15" s="36">
        <v>2000</v>
      </c>
      <c r="Z15" s="36"/>
      <c r="AA15" s="36">
        <v>5</v>
      </c>
      <c r="AB15" s="36">
        <v>2000</v>
      </c>
      <c r="AC15" s="36">
        <v>2000</v>
      </c>
      <c r="AD15" s="18">
        <v>0</v>
      </c>
      <c r="AE15" s="18">
        <v>2000</v>
      </c>
      <c r="AF15" s="18" t="s">
        <v>167</v>
      </c>
      <c r="AG15" s="37" t="s">
        <v>190</v>
      </c>
      <c r="AH15" s="36">
        <v>95</v>
      </c>
      <c r="AI15" s="36">
        <v>0</v>
      </c>
      <c r="AJ15" s="18">
        <v>0</v>
      </c>
      <c r="AK15" s="18">
        <v>0</v>
      </c>
      <c r="AL15" s="36">
        <v>30</v>
      </c>
      <c r="AM15" s="36">
        <v>0</v>
      </c>
      <c r="AN15" s="36" t="s">
        <v>191</v>
      </c>
      <c r="AO15" s="36" t="s">
        <v>192</v>
      </c>
      <c r="AP15" s="36" t="s">
        <v>193</v>
      </c>
      <c r="AQ15" s="36" t="s">
        <v>185</v>
      </c>
      <c r="AR15" s="18">
        <v>120</v>
      </c>
      <c r="AS15" s="18">
        <v>0</v>
      </c>
      <c r="AT15" s="18">
        <v>32</v>
      </c>
      <c r="AU15" s="18">
        <v>38</v>
      </c>
      <c r="AV15" s="18"/>
      <c r="AW15" s="18"/>
      <c r="AX15" s="36">
        <v>3</v>
      </c>
      <c r="AY15" s="18">
        <v>9</v>
      </c>
      <c r="AZ15" s="18">
        <v>105</v>
      </c>
      <c r="BA15" s="36"/>
      <c r="BB15" s="18">
        <v>304</v>
      </c>
      <c r="BC15" s="18">
        <v>404</v>
      </c>
      <c r="BD15" s="18">
        <v>0</v>
      </c>
      <c r="BE15" s="18">
        <v>0</v>
      </c>
      <c r="BF15" s="36">
        <v>6</v>
      </c>
      <c r="BG15" s="36">
        <v>924</v>
      </c>
      <c r="BH15" s="18">
        <v>1</v>
      </c>
      <c r="BI15" s="36">
        <v>1</v>
      </c>
      <c r="BJ15" s="36">
        <v>1</v>
      </c>
      <c r="BK15" s="36" t="s">
        <v>194</v>
      </c>
      <c r="BL15" s="36">
        <v>8</v>
      </c>
      <c r="BM15" s="36">
        <v>1</v>
      </c>
      <c r="BN15" s="36" t="s">
        <v>195</v>
      </c>
      <c r="BO15" s="35">
        <v>100000</v>
      </c>
      <c r="BP15" s="35"/>
    </row>
    <row r="16" spans="1:68" ht="15.75" x14ac:dyDescent="0.25">
      <c r="A16" s="33" t="s">
        <v>482</v>
      </c>
      <c r="B16" s="18">
        <v>107</v>
      </c>
      <c r="C16" s="16">
        <v>199</v>
      </c>
      <c r="D16" s="34" t="s">
        <v>519</v>
      </c>
      <c r="E16" s="18" t="s">
        <v>187</v>
      </c>
      <c r="F16" s="18" t="s">
        <v>188</v>
      </c>
      <c r="G16" s="18">
        <v>0</v>
      </c>
      <c r="H16" s="15">
        <v>103</v>
      </c>
      <c r="I16" s="15">
        <v>10300702</v>
      </c>
      <c r="J16" s="18">
        <v>2</v>
      </c>
      <c r="K16" s="18">
        <v>2000</v>
      </c>
      <c r="L16" s="18">
        <v>4000</v>
      </c>
      <c r="M16" s="18"/>
      <c r="N16" s="18"/>
      <c r="O16" s="18"/>
      <c r="P16" s="18"/>
      <c r="Q16" s="43">
        <v>11</v>
      </c>
      <c r="R16" s="36">
        <v>5</v>
      </c>
      <c r="S16" s="36">
        <v>1</v>
      </c>
      <c r="T16" s="36">
        <v>0</v>
      </c>
      <c r="U16" s="35">
        <v>2101</v>
      </c>
      <c r="V16" s="44" t="s">
        <v>507</v>
      </c>
      <c r="W16" s="16">
        <f t="shared" ref="W16" si="3">C16+2</f>
        <v>201</v>
      </c>
      <c r="X16" s="18" t="s">
        <v>189</v>
      </c>
      <c r="Y16" s="36">
        <v>2000</v>
      </c>
      <c r="Z16" s="36"/>
      <c r="AA16" s="36">
        <v>5</v>
      </c>
      <c r="AB16" s="36">
        <v>2000</v>
      </c>
      <c r="AC16" s="36">
        <v>2000</v>
      </c>
      <c r="AD16" s="18">
        <v>0</v>
      </c>
      <c r="AE16" s="18">
        <v>2000</v>
      </c>
      <c r="AF16" s="18" t="s">
        <v>167</v>
      </c>
      <c r="AG16" s="37" t="s">
        <v>190</v>
      </c>
      <c r="AH16" s="36">
        <v>95</v>
      </c>
      <c r="AI16" s="36">
        <v>0</v>
      </c>
      <c r="AJ16" s="18">
        <v>0</v>
      </c>
      <c r="AK16" s="18">
        <v>0</v>
      </c>
      <c r="AL16" s="36">
        <v>30</v>
      </c>
      <c r="AM16" s="36">
        <v>0</v>
      </c>
      <c r="AN16" s="36" t="s">
        <v>191</v>
      </c>
      <c r="AO16" s="36" t="s">
        <v>192</v>
      </c>
      <c r="AP16" s="36" t="s">
        <v>193</v>
      </c>
      <c r="AQ16" s="36" t="s">
        <v>185</v>
      </c>
      <c r="AR16" s="18">
        <v>120</v>
      </c>
      <c r="AS16" s="18">
        <v>0</v>
      </c>
      <c r="AT16" s="18">
        <v>32</v>
      </c>
      <c r="AU16" s="18">
        <v>38</v>
      </c>
      <c r="AV16" s="18"/>
      <c r="AW16" s="18"/>
      <c r="AX16" s="36">
        <v>3</v>
      </c>
      <c r="AY16" s="18">
        <v>9</v>
      </c>
      <c r="AZ16" s="18">
        <v>105</v>
      </c>
      <c r="BA16" s="36"/>
      <c r="BB16" s="18">
        <v>304</v>
      </c>
      <c r="BC16" s="18">
        <v>404</v>
      </c>
      <c r="BD16" s="18">
        <v>0</v>
      </c>
      <c r="BE16" s="18">
        <v>0</v>
      </c>
      <c r="BF16" s="36">
        <v>6</v>
      </c>
      <c r="BG16" s="36">
        <v>924</v>
      </c>
      <c r="BH16" s="18">
        <v>1</v>
      </c>
      <c r="BI16" s="36">
        <v>1</v>
      </c>
      <c r="BJ16" s="36">
        <v>1</v>
      </c>
      <c r="BK16" s="36" t="s">
        <v>194</v>
      </c>
      <c r="BL16" s="36">
        <v>8</v>
      </c>
      <c r="BM16" s="36">
        <v>1</v>
      </c>
      <c r="BN16" s="36" t="s">
        <v>195</v>
      </c>
      <c r="BO16" s="35">
        <v>100000</v>
      </c>
      <c r="BP16" s="35"/>
    </row>
    <row r="17" spans="1:68" ht="15.75" x14ac:dyDescent="0.25">
      <c r="A17" s="33" t="s">
        <v>512</v>
      </c>
      <c r="B17" s="18">
        <v>200</v>
      </c>
      <c r="C17" s="16">
        <v>2002</v>
      </c>
      <c r="D17" s="18" t="s">
        <v>484</v>
      </c>
      <c r="E17" s="18" t="s">
        <v>187</v>
      </c>
      <c r="F17" s="18" t="s">
        <v>188</v>
      </c>
      <c r="G17" s="18">
        <v>0</v>
      </c>
      <c r="H17" s="18">
        <v>200</v>
      </c>
      <c r="I17" s="40">
        <v>10300802</v>
      </c>
      <c r="J17" s="18">
        <v>2</v>
      </c>
      <c r="K17" s="18">
        <v>2000</v>
      </c>
      <c r="L17" s="18">
        <v>4000</v>
      </c>
      <c r="M17" s="18"/>
      <c r="N17" s="18"/>
      <c r="O17" s="18"/>
      <c r="P17" s="18"/>
      <c r="Q17" s="43">
        <v>14</v>
      </c>
      <c r="R17" s="36">
        <v>5</v>
      </c>
      <c r="S17" s="36">
        <v>1</v>
      </c>
      <c r="T17" s="36">
        <v>0</v>
      </c>
      <c r="U17" s="35">
        <v>2100</v>
      </c>
      <c r="V17" s="44" t="s">
        <v>506</v>
      </c>
      <c r="W17" s="16">
        <f t="shared" si="0"/>
        <v>2004</v>
      </c>
      <c r="X17" s="18" t="s">
        <v>189</v>
      </c>
      <c r="Y17" s="36">
        <v>2000</v>
      </c>
      <c r="Z17" s="36"/>
      <c r="AA17" s="36">
        <v>5</v>
      </c>
      <c r="AB17" s="36">
        <v>2000</v>
      </c>
      <c r="AC17" s="36">
        <v>2000</v>
      </c>
      <c r="AD17" s="18">
        <v>0</v>
      </c>
      <c r="AE17" s="18">
        <v>2000</v>
      </c>
      <c r="AF17" s="18" t="s">
        <v>167</v>
      </c>
      <c r="AG17" s="37" t="s">
        <v>190</v>
      </c>
      <c r="AH17" s="36">
        <v>95</v>
      </c>
      <c r="AI17" s="36">
        <v>0</v>
      </c>
      <c r="AJ17" s="18">
        <v>0</v>
      </c>
      <c r="AK17" s="18">
        <v>0</v>
      </c>
      <c r="AL17" s="36">
        <v>30</v>
      </c>
      <c r="AM17" s="36">
        <v>0</v>
      </c>
      <c r="AN17" s="36" t="s">
        <v>191</v>
      </c>
      <c r="AO17" s="36" t="s">
        <v>192</v>
      </c>
      <c r="AP17" s="36" t="s">
        <v>193</v>
      </c>
      <c r="AQ17" s="36" t="s">
        <v>185</v>
      </c>
      <c r="AR17" s="18">
        <v>120</v>
      </c>
      <c r="AS17" s="18">
        <v>0</v>
      </c>
      <c r="AT17" s="18">
        <v>32</v>
      </c>
      <c r="AU17" s="18">
        <v>38</v>
      </c>
      <c r="AV17" s="18"/>
      <c r="AW17" s="18"/>
      <c r="AX17" s="36">
        <v>3</v>
      </c>
      <c r="AY17" s="18">
        <v>9</v>
      </c>
      <c r="AZ17" s="18">
        <v>105</v>
      </c>
      <c r="BA17" s="36"/>
      <c r="BB17" s="18">
        <v>304</v>
      </c>
      <c r="BC17" s="18">
        <v>404</v>
      </c>
      <c r="BD17" s="18">
        <v>0</v>
      </c>
      <c r="BE17" s="18">
        <v>0</v>
      </c>
      <c r="BF17" s="36">
        <v>4</v>
      </c>
      <c r="BG17" s="36">
        <v>924</v>
      </c>
      <c r="BH17" s="18">
        <v>1</v>
      </c>
      <c r="BI17" s="36">
        <v>1</v>
      </c>
      <c r="BJ17" s="36">
        <v>1</v>
      </c>
      <c r="BK17" s="36" t="s">
        <v>194</v>
      </c>
      <c r="BL17" s="36">
        <v>8</v>
      </c>
      <c r="BM17" s="36">
        <v>1</v>
      </c>
      <c r="BN17" s="36" t="s">
        <v>195</v>
      </c>
      <c r="BO17" s="35">
        <v>100000</v>
      </c>
      <c r="BP17" s="35"/>
    </row>
    <row r="18" spans="1:68" ht="15.75" x14ac:dyDescent="0.25">
      <c r="A18" s="33" t="s">
        <v>512</v>
      </c>
      <c r="B18" s="18">
        <v>201</v>
      </c>
      <c r="C18" s="16">
        <v>2003</v>
      </c>
      <c r="D18" s="18" t="s">
        <v>486</v>
      </c>
      <c r="E18" s="18" t="s">
        <v>187</v>
      </c>
      <c r="F18" s="18" t="s">
        <v>188</v>
      </c>
      <c r="G18" s="18">
        <v>0</v>
      </c>
      <c r="H18" s="18">
        <v>200</v>
      </c>
      <c r="I18" s="40">
        <v>10300803</v>
      </c>
      <c r="J18" s="18">
        <v>2</v>
      </c>
      <c r="K18" s="18">
        <v>2000</v>
      </c>
      <c r="L18" s="18">
        <v>4000</v>
      </c>
      <c r="M18" s="18"/>
      <c r="N18" s="18"/>
      <c r="O18" s="18"/>
      <c r="P18" s="18"/>
      <c r="Q18" s="43">
        <v>14</v>
      </c>
      <c r="R18" s="36">
        <v>5</v>
      </c>
      <c r="S18" s="36">
        <v>1</v>
      </c>
      <c r="T18" s="36">
        <v>0</v>
      </c>
      <c r="U18" s="35">
        <v>2100</v>
      </c>
      <c r="V18" s="44" t="s">
        <v>506</v>
      </c>
      <c r="W18" s="16">
        <f t="shared" ref="W18:W20" si="4">C18+2</f>
        <v>2005</v>
      </c>
      <c r="X18" s="18" t="s">
        <v>189</v>
      </c>
      <c r="Y18" s="36">
        <v>2000</v>
      </c>
      <c r="Z18" s="36"/>
      <c r="AA18" s="36">
        <v>5</v>
      </c>
      <c r="AB18" s="36">
        <v>2000</v>
      </c>
      <c r="AC18" s="36">
        <v>2000</v>
      </c>
      <c r="AD18" s="18">
        <v>0</v>
      </c>
      <c r="AE18" s="18">
        <v>2000</v>
      </c>
      <c r="AF18" s="18" t="s">
        <v>167</v>
      </c>
      <c r="AG18" s="37" t="s">
        <v>190</v>
      </c>
      <c r="AH18" s="36">
        <v>95</v>
      </c>
      <c r="AI18" s="36">
        <v>0</v>
      </c>
      <c r="AJ18" s="18">
        <v>0</v>
      </c>
      <c r="AK18" s="18">
        <v>0</v>
      </c>
      <c r="AL18" s="36">
        <v>30</v>
      </c>
      <c r="AM18" s="36">
        <v>0</v>
      </c>
      <c r="AN18" s="36" t="s">
        <v>191</v>
      </c>
      <c r="AO18" s="36" t="s">
        <v>192</v>
      </c>
      <c r="AP18" s="36" t="s">
        <v>193</v>
      </c>
      <c r="AQ18" s="36" t="s">
        <v>185</v>
      </c>
      <c r="AR18" s="18">
        <v>120</v>
      </c>
      <c r="AS18" s="18">
        <v>0</v>
      </c>
      <c r="AT18" s="18">
        <v>32</v>
      </c>
      <c r="AU18" s="18">
        <v>38</v>
      </c>
      <c r="AV18" s="18"/>
      <c r="AW18" s="18"/>
      <c r="AX18" s="36">
        <v>3</v>
      </c>
      <c r="AY18" s="18">
        <v>9</v>
      </c>
      <c r="AZ18" s="18">
        <v>105</v>
      </c>
      <c r="BA18" s="36"/>
      <c r="BB18" s="18">
        <v>304</v>
      </c>
      <c r="BC18" s="18">
        <v>404</v>
      </c>
      <c r="BD18" s="18">
        <v>0</v>
      </c>
      <c r="BE18" s="18">
        <v>0</v>
      </c>
      <c r="BF18" s="36">
        <v>5</v>
      </c>
      <c r="BG18" s="36">
        <v>924</v>
      </c>
      <c r="BH18" s="18">
        <v>1</v>
      </c>
      <c r="BI18" s="36">
        <v>1</v>
      </c>
      <c r="BJ18" s="36">
        <v>1</v>
      </c>
      <c r="BK18" s="36" t="s">
        <v>194</v>
      </c>
      <c r="BL18" s="36">
        <v>8</v>
      </c>
      <c r="BM18" s="36">
        <v>1</v>
      </c>
      <c r="BN18" s="36" t="s">
        <v>195</v>
      </c>
      <c r="BO18" s="35">
        <v>100000</v>
      </c>
      <c r="BP18" s="35"/>
    </row>
    <row r="19" spans="1:68" ht="15.75" x14ac:dyDescent="0.25">
      <c r="A19" s="33" t="s">
        <v>512</v>
      </c>
      <c r="B19" s="18">
        <v>202</v>
      </c>
      <c r="C19" s="16">
        <v>2004</v>
      </c>
      <c r="D19" s="18" t="s">
        <v>488</v>
      </c>
      <c r="E19" s="18" t="s">
        <v>187</v>
      </c>
      <c r="F19" s="18" t="s">
        <v>188</v>
      </c>
      <c r="G19" s="18">
        <v>0</v>
      </c>
      <c r="H19" s="18">
        <v>200</v>
      </c>
      <c r="I19" s="40">
        <v>10300804</v>
      </c>
      <c r="J19" s="18">
        <v>2</v>
      </c>
      <c r="K19" s="18">
        <v>2000</v>
      </c>
      <c r="L19" s="18">
        <v>4000</v>
      </c>
      <c r="M19" s="18"/>
      <c r="N19" s="18"/>
      <c r="O19" s="18"/>
      <c r="P19" s="18"/>
      <c r="Q19" s="43">
        <v>14</v>
      </c>
      <c r="R19" s="36">
        <v>5</v>
      </c>
      <c r="S19" s="36">
        <v>1</v>
      </c>
      <c r="T19" s="36">
        <v>0</v>
      </c>
      <c r="U19" s="35">
        <v>2100</v>
      </c>
      <c r="V19" s="44" t="s">
        <v>506</v>
      </c>
      <c r="W19" s="16">
        <f t="shared" si="4"/>
        <v>2006</v>
      </c>
      <c r="X19" s="18" t="s">
        <v>189</v>
      </c>
      <c r="Y19" s="36">
        <v>2000</v>
      </c>
      <c r="Z19" s="36"/>
      <c r="AA19" s="36">
        <v>5</v>
      </c>
      <c r="AB19" s="36">
        <v>2000</v>
      </c>
      <c r="AC19" s="36">
        <v>2000</v>
      </c>
      <c r="AD19" s="18">
        <v>0</v>
      </c>
      <c r="AE19" s="18">
        <v>2000</v>
      </c>
      <c r="AF19" s="18" t="s">
        <v>167</v>
      </c>
      <c r="AG19" s="37" t="s">
        <v>190</v>
      </c>
      <c r="AH19" s="36">
        <v>95</v>
      </c>
      <c r="AI19" s="36">
        <v>0</v>
      </c>
      <c r="AJ19" s="18">
        <v>0</v>
      </c>
      <c r="AK19" s="18">
        <v>0</v>
      </c>
      <c r="AL19" s="36">
        <v>30</v>
      </c>
      <c r="AM19" s="36">
        <v>0</v>
      </c>
      <c r="AN19" s="36" t="s">
        <v>191</v>
      </c>
      <c r="AO19" s="36" t="s">
        <v>192</v>
      </c>
      <c r="AP19" s="36" t="s">
        <v>193</v>
      </c>
      <c r="AQ19" s="36" t="s">
        <v>185</v>
      </c>
      <c r="AR19" s="18">
        <v>120</v>
      </c>
      <c r="AS19" s="18">
        <v>0</v>
      </c>
      <c r="AT19" s="18">
        <v>32</v>
      </c>
      <c r="AU19" s="18">
        <v>38</v>
      </c>
      <c r="AV19" s="18"/>
      <c r="AW19" s="18"/>
      <c r="AX19" s="36">
        <v>3</v>
      </c>
      <c r="AY19" s="18">
        <v>9</v>
      </c>
      <c r="AZ19" s="18">
        <v>105</v>
      </c>
      <c r="BA19" s="36"/>
      <c r="BB19" s="18">
        <v>304</v>
      </c>
      <c r="BC19" s="18">
        <v>404</v>
      </c>
      <c r="BD19" s="18">
        <v>0</v>
      </c>
      <c r="BE19" s="18">
        <v>0</v>
      </c>
      <c r="BF19" s="36">
        <v>6</v>
      </c>
      <c r="BG19" s="36">
        <v>924</v>
      </c>
      <c r="BH19" s="18">
        <v>1</v>
      </c>
      <c r="BI19" s="36">
        <v>1</v>
      </c>
      <c r="BJ19" s="36">
        <v>1</v>
      </c>
      <c r="BK19" s="36" t="s">
        <v>194</v>
      </c>
      <c r="BL19" s="36">
        <v>8</v>
      </c>
      <c r="BM19" s="36">
        <v>1</v>
      </c>
      <c r="BN19" s="36" t="s">
        <v>195</v>
      </c>
      <c r="BO19" s="35">
        <v>100000</v>
      </c>
      <c r="BP19" s="35"/>
    </row>
    <row r="20" spans="1:68" ht="15.75" x14ac:dyDescent="0.25">
      <c r="A20" s="33" t="s">
        <v>513</v>
      </c>
      <c r="B20" s="18">
        <v>300</v>
      </c>
      <c r="C20" s="16">
        <v>2002</v>
      </c>
      <c r="D20" s="18" t="s">
        <v>484</v>
      </c>
      <c r="E20" s="18" t="s">
        <v>187</v>
      </c>
      <c r="F20" s="18" t="s">
        <v>188</v>
      </c>
      <c r="G20" s="18">
        <v>0</v>
      </c>
      <c r="H20" s="18">
        <v>300</v>
      </c>
      <c r="I20" s="40">
        <v>10301101</v>
      </c>
      <c r="J20" s="18">
        <v>2</v>
      </c>
      <c r="K20" s="18">
        <v>2000</v>
      </c>
      <c r="L20" s="18">
        <v>4000</v>
      </c>
      <c r="M20" s="18"/>
      <c r="N20" s="18"/>
      <c r="O20" s="18"/>
      <c r="P20" s="18"/>
      <c r="Q20" s="43">
        <v>15</v>
      </c>
      <c r="R20" s="36">
        <v>5</v>
      </c>
      <c r="S20" s="36">
        <v>1</v>
      </c>
      <c r="T20" s="36">
        <v>0</v>
      </c>
      <c r="U20" s="35">
        <v>2100</v>
      </c>
      <c r="V20" s="44" t="s">
        <v>506</v>
      </c>
      <c r="W20" s="16">
        <f t="shared" si="4"/>
        <v>2004</v>
      </c>
      <c r="X20" s="18" t="s">
        <v>189</v>
      </c>
      <c r="Y20" s="36">
        <v>2000</v>
      </c>
      <c r="Z20" s="36"/>
      <c r="AA20" s="36">
        <v>5</v>
      </c>
      <c r="AB20" s="36">
        <v>2000</v>
      </c>
      <c r="AC20" s="36">
        <v>2000</v>
      </c>
      <c r="AD20" s="18">
        <v>0</v>
      </c>
      <c r="AE20" s="18">
        <v>2000</v>
      </c>
      <c r="AF20" s="18" t="s">
        <v>167</v>
      </c>
      <c r="AG20" s="37" t="s">
        <v>190</v>
      </c>
      <c r="AH20" s="36">
        <v>95</v>
      </c>
      <c r="AI20" s="36">
        <v>0</v>
      </c>
      <c r="AJ20" s="18">
        <v>0</v>
      </c>
      <c r="AK20" s="18">
        <v>0</v>
      </c>
      <c r="AL20" s="36">
        <v>30</v>
      </c>
      <c r="AM20" s="36">
        <v>0</v>
      </c>
      <c r="AN20" s="36" t="s">
        <v>191</v>
      </c>
      <c r="AO20" s="36" t="s">
        <v>192</v>
      </c>
      <c r="AP20" s="36" t="s">
        <v>193</v>
      </c>
      <c r="AQ20" s="36" t="s">
        <v>185</v>
      </c>
      <c r="AR20" s="18">
        <v>120</v>
      </c>
      <c r="AS20" s="18">
        <v>0</v>
      </c>
      <c r="AT20" s="18">
        <v>32</v>
      </c>
      <c r="AU20" s="18">
        <v>38</v>
      </c>
      <c r="AV20" s="18"/>
      <c r="AW20" s="18"/>
      <c r="AX20" s="36">
        <v>3</v>
      </c>
      <c r="AY20" s="18">
        <v>9</v>
      </c>
      <c r="AZ20" s="18">
        <v>105</v>
      </c>
      <c r="BA20" s="36"/>
      <c r="BB20" s="18">
        <v>304</v>
      </c>
      <c r="BC20" s="18">
        <v>404</v>
      </c>
      <c r="BD20" s="18">
        <v>0</v>
      </c>
      <c r="BE20" s="18">
        <v>0</v>
      </c>
      <c r="BF20" s="36">
        <v>4</v>
      </c>
      <c r="BG20" s="36">
        <v>924</v>
      </c>
      <c r="BH20" s="18">
        <v>1</v>
      </c>
      <c r="BI20" s="36">
        <v>1</v>
      </c>
      <c r="BJ20" s="36">
        <v>1</v>
      </c>
      <c r="BK20" s="36" t="s">
        <v>194</v>
      </c>
      <c r="BL20" s="36">
        <v>8</v>
      </c>
      <c r="BM20" s="36">
        <v>1</v>
      </c>
      <c r="BN20" s="36" t="s">
        <v>195</v>
      </c>
      <c r="BO20" s="35">
        <v>100000</v>
      </c>
      <c r="BP20" s="35"/>
    </row>
    <row r="21" spans="1:68" ht="15.75" x14ac:dyDescent="0.25">
      <c r="A21" s="33" t="s">
        <v>513</v>
      </c>
      <c r="B21" s="18">
        <v>301</v>
      </c>
      <c r="C21" s="16">
        <v>2003</v>
      </c>
      <c r="D21" s="18" t="s">
        <v>486</v>
      </c>
      <c r="E21" s="18" t="s">
        <v>187</v>
      </c>
      <c r="F21" s="18" t="s">
        <v>188</v>
      </c>
      <c r="G21" s="18">
        <v>0</v>
      </c>
      <c r="H21" s="18">
        <v>300</v>
      </c>
      <c r="I21" s="40">
        <v>10301102</v>
      </c>
      <c r="J21" s="18">
        <v>2</v>
      </c>
      <c r="K21" s="18">
        <v>2000</v>
      </c>
      <c r="L21" s="18">
        <v>4000</v>
      </c>
      <c r="M21" s="18"/>
      <c r="N21" s="18"/>
      <c r="O21" s="18"/>
      <c r="P21" s="18"/>
      <c r="Q21" s="43">
        <v>15</v>
      </c>
      <c r="R21" s="36">
        <v>5</v>
      </c>
      <c r="S21" s="36">
        <v>1</v>
      </c>
      <c r="T21" s="36">
        <v>0</v>
      </c>
      <c r="U21" s="35">
        <v>2100</v>
      </c>
      <c r="V21" s="44" t="s">
        <v>506</v>
      </c>
      <c r="W21" s="16">
        <f t="shared" ref="W21:W23" si="5">C21+2</f>
        <v>2005</v>
      </c>
      <c r="X21" s="18" t="s">
        <v>189</v>
      </c>
      <c r="Y21" s="36">
        <v>2000</v>
      </c>
      <c r="Z21" s="36"/>
      <c r="AA21" s="36">
        <v>5</v>
      </c>
      <c r="AB21" s="36">
        <v>2000</v>
      </c>
      <c r="AC21" s="36">
        <v>2000</v>
      </c>
      <c r="AD21" s="18">
        <v>0</v>
      </c>
      <c r="AE21" s="18">
        <v>2000</v>
      </c>
      <c r="AF21" s="18" t="s">
        <v>167</v>
      </c>
      <c r="AG21" s="37" t="s">
        <v>190</v>
      </c>
      <c r="AH21" s="36">
        <v>95</v>
      </c>
      <c r="AI21" s="36">
        <v>0</v>
      </c>
      <c r="AJ21" s="18">
        <v>0</v>
      </c>
      <c r="AK21" s="18">
        <v>0</v>
      </c>
      <c r="AL21" s="36">
        <v>30</v>
      </c>
      <c r="AM21" s="36">
        <v>0</v>
      </c>
      <c r="AN21" s="36" t="s">
        <v>191</v>
      </c>
      <c r="AO21" s="36" t="s">
        <v>192</v>
      </c>
      <c r="AP21" s="36" t="s">
        <v>193</v>
      </c>
      <c r="AQ21" s="36" t="s">
        <v>185</v>
      </c>
      <c r="AR21" s="18">
        <v>120</v>
      </c>
      <c r="AS21" s="18">
        <v>0</v>
      </c>
      <c r="AT21" s="18">
        <v>32</v>
      </c>
      <c r="AU21" s="18">
        <v>38</v>
      </c>
      <c r="AV21" s="18"/>
      <c r="AW21" s="18"/>
      <c r="AX21" s="36">
        <v>3</v>
      </c>
      <c r="AY21" s="18">
        <v>9</v>
      </c>
      <c r="AZ21" s="18">
        <v>105</v>
      </c>
      <c r="BA21" s="36"/>
      <c r="BB21" s="18">
        <v>304</v>
      </c>
      <c r="BC21" s="18">
        <v>404</v>
      </c>
      <c r="BD21" s="18">
        <v>0</v>
      </c>
      <c r="BE21" s="18">
        <v>0</v>
      </c>
      <c r="BF21" s="36">
        <v>5</v>
      </c>
      <c r="BG21" s="36">
        <v>924</v>
      </c>
      <c r="BH21" s="18">
        <v>1</v>
      </c>
      <c r="BI21" s="36">
        <v>1</v>
      </c>
      <c r="BJ21" s="36">
        <v>1</v>
      </c>
      <c r="BK21" s="36" t="s">
        <v>194</v>
      </c>
      <c r="BL21" s="36">
        <v>8</v>
      </c>
      <c r="BM21" s="36">
        <v>1</v>
      </c>
      <c r="BN21" s="36" t="s">
        <v>195</v>
      </c>
      <c r="BO21" s="35">
        <v>100000</v>
      </c>
      <c r="BP21" s="35"/>
    </row>
    <row r="22" spans="1:68" ht="15.75" x14ac:dyDescent="0.25">
      <c r="A22" s="33" t="s">
        <v>513</v>
      </c>
      <c r="B22" s="18">
        <v>302</v>
      </c>
      <c r="C22" s="16">
        <v>2004</v>
      </c>
      <c r="D22" s="18" t="s">
        <v>488</v>
      </c>
      <c r="E22" s="18" t="s">
        <v>187</v>
      </c>
      <c r="F22" s="18" t="s">
        <v>188</v>
      </c>
      <c r="G22" s="18">
        <v>0</v>
      </c>
      <c r="H22" s="18">
        <v>300</v>
      </c>
      <c r="I22" s="40">
        <v>10301103</v>
      </c>
      <c r="J22" s="18">
        <v>2</v>
      </c>
      <c r="K22" s="18">
        <v>2000</v>
      </c>
      <c r="L22" s="18">
        <v>4000</v>
      </c>
      <c r="M22" s="18"/>
      <c r="N22" s="18"/>
      <c r="O22" s="18"/>
      <c r="P22" s="18"/>
      <c r="Q22" s="43">
        <v>15</v>
      </c>
      <c r="R22" s="36">
        <v>5</v>
      </c>
      <c r="S22" s="36">
        <v>1</v>
      </c>
      <c r="T22" s="36">
        <v>0</v>
      </c>
      <c r="U22" s="35">
        <v>2100</v>
      </c>
      <c r="V22" s="44" t="s">
        <v>506</v>
      </c>
      <c r="W22" s="16">
        <f t="shared" si="5"/>
        <v>2006</v>
      </c>
      <c r="X22" s="18" t="s">
        <v>189</v>
      </c>
      <c r="Y22" s="36">
        <v>2000</v>
      </c>
      <c r="Z22" s="36"/>
      <c r="AA22" s="36">
        <v>5</v>
      </c>
      <c r="AB22" s="36">
        <v>2000</v>
      </c>
      <c r="AC22" s="36">
        <v>2000</v>
      </c>
      <c r="AD22" s="18">
        <v>0</v>
      </c>
      <c r="AE22" s="18">
        <v>2000</v>
      </c>
      <c r="AF22" s="18" t="s">
        <v>167</v>
      </c>
      <c r="AG22" s="37" t="s">
        <v>190</v>
      </c>
      <c r="AH22" s="36">
        <v>95</v>
      </c>
      <c r="AI22" s="36">
        <v>0</v>
      </c>
      <c r="AJ22" s="18">
        <v>0</v>
      </c>
      <c r="AK22" s="18">
        <v>0</v>
      </c>
      <c r="AL22" s="36">
        <v>30</v>
      </c>
      <c r="AM22" s="36">
        <v>0</v>
      </c>
      <c r="AN22" s="36" t="s">
        <v>191</v>
      </c>
      <c r="AO22" s="36" t="s">
        <v>192</v>
      </c>
      <c r="AP22" s="36" t="s">
        <v>193</v>
      </c>
      <c r="AQ22" s="36" t="s">
        <v>185</v>
      </c>
      <c r="AR22" s="18">
        <v>120</v>
      </c>
      <c r="AS22" s="18">
        <v>0</v>
      </c>
      <c r="AT22" s="18">
        <v>32</v>
      </c>
      <c r="AU22" s="18">
        <v>38</v>
      </c>
      <c r="AV22" s="18"/>
      <c r="AW22" s="18"/>
      <c r="AX22" s="36">
        <v>3</v>
      </c>
      <c r="AY22" s="18">
        <v>9</v>
      </c>
      <c r="AZ22" s="18">
        <v>105</v>
      </c>
      <c r="BA22" s="36"/>
      <c r="BB22" s="18">
        <v>304</v>
      </c>
      <c r="BC22" s="18">
        <v>404</v>
      </c>
      <c r="BD22" s="18">
        <v>0</v>
      </c>
      <c r="BE22" s="18">
        <v>0</v>
      </c>
      <c r="BF22" s="36">
        <v>6</v>
      </c>
      <c r="BG22" s="36">
        <v>924</v>
      </c>
      <c r="BH22" s="18">
        <v>1</v>
      </c>
      <c r="BI22" s="36">
        <v>1</v>
      </c>
      <c r="BJ22" s="36">
        <v>1</v>
      </c>
      <c r="BK22" s="36" t="s">
        <v>194</v>
      </c>
      <c r="BL22" s="36">
        <v>8</v>
      </c>
      <c r="BM22" s="36">
        <v>1</v>
      </c>
      <c r="BN22" s="36" t="s">
        <v>195</v>
      </c>
      <c r="BO22" s="35">
        <v>100000</v>
      </c>
      <c r="BP22" s="35"/>
    </row>
    <row r="23" spans="1:68" ht="15.75" x14ac:dyDescent="0.25">
      <c r="A23" s="33" t="s">
        <v>511</v>
      </c>
      <c r="B23" s="18">
        <v>400</v>
      </c>
      <c r="C23" s="16">
        <v>2014</v>
      </c>
      <c r="D23" s="32" t="s">
        <v>510</v>
      </c>
      <c r="E23" s="18" t="s">
        <v>187</v>
      </c>
      <c r="F23" s="18" t="s">
        <v>188</v>
      </c>
      <c r="G23" s="18">
        <v>0</v>
      </c>
      <c r="H23" s="15">
        <v>5</v>
      </c>
      <c r="I23" s="40">
        <v>10300604</v>
      </c>
      <c r="J23" s="18">
        <v>2</v>
      </c>
      <c r="K23" s="18">
        <v>2000</v>
      </c>
      <c r="L23" s="18">
        <v>4000</v>
      </c>
      <c r="M23" s="18"/>
      <c r="N23" s="18"/>
      <c r="O23" s="18"/>
      <c r="P23" s="18"/>
      <c r="Q23" s="43">
        <v>13</v>
      </c>
      <c r="R23" s="36">
        <v>5</v>
      </c>
      <c r="S23" s="36">
        <v>1</v>
      </c>
      <c r="T23" s="36">
        <v>0</v>
      </c>
      <c r="U23" s="35">
        <v>2100</v>
      </c>
      <c r="V23" s="44" t="s">
        <v>506</v>
      </c>
      <c r="W23" s="16">
        <f t="shared" si="5"/>
        <v>2016</v>
      </c>
      <c r="X23" s="18" t="s">
        <v>189</v>
      </c>
      <c r="Y23" s="36">
        <v>2000</v>
      </c>
      <c r="Z23" s="36"/>
      <c r="AA23" s="36">
        <v>5</v>
      </c>
      <c r="AB23" s="36">
        <v>2000</v>
      </c>
      <c r="AC23" s="36">
        <v>2000</v>
      </c>
      <c r="AD23" s="18">
        <v>0</v>
      </c>
      <c r="AE23" s="18">
        <v>2000</v>
      </c>
      <c r="AF23" s="18" t="s">
        <v>167</v>
      </c>
      <c r="AG23" s="37" t="s">
        <v>190</v>
      </c>
      <c r="AH23" s="36">
        <v>95</v>
      </c>
      <c r="AI23" s="36">
        <v>0</v>
      </c>
      <c r="AJ23" s="18">
        <v>0</v>
      </c>
      <c r="AK23" s="18">
        <v>0</v>
      </c>
      <c r="AL23" s="36">
        <v>30</v>
      </c>
      <c r="AM23" s="36">
        <v>0</v>
      </c>
      <c r="AN23" s="36" t="s">
        <v>191</v>
      </c>
      <c r="AO23" s="36" t="s">
        <v>192</v>
      </c>
      <c r="AP23" s="36" t="s">
        <v>193</v>
      </c>
      <c r="AQ23" s="36" t="s">
        <v>185</v>
      </c>
      <c r="AR23" s="18">
        <v>120</v>
      </c>
      <c r="AS23" s="18">
        <v>0</v>
      </c>
      <c r="AT23" s="18">
        <v>32</v>
      </c>
      <c r="AU23" s="18">
        <v>38</v>
      </c>
      <c r="AV23" s="18"/>
      <c r="AW23" s="18"/>
      <c r="AX23" s="36">
        <v>3</v>
      </c>
      <c r="AY23" s="18">
        <v>9</v>
      </c>
      <c r="AZ23" s="18">
        <v>105</v>
      </c>
      <c r="BA23" s="36"/>
      <c r="BB23" s="18">
        <v>304</v>
      </c>
      <c r="BC23" s="18">
        <v>404</v>
      </c>
      <c r="BD23" s="18">
        <v>0</v>
      </c>
      <c r="BE23" s="18">
        <v>0</v>
      </c>
      <c r="BF23" s="36">
        <v>4</v>
      </c>
      <c r="BG23" s="36">
        <v>924</v>
      </c>
      <c r="BH23" s="18">
        <v>1</v>
      </c>
      <c r="BI23" s="36">
        <v>1</v>
      </c>
      <c r="BJ23" s="36">
        <v>1</v>
      </c>
      <c r="BK23" s="36" t="s">
        <v>194</v>
      </c>
      <c r="BL23" s="36">
        <v>8</v>
      </c>
      <c r="BM23" s="36">
        <v>1</v>
      </c>
      <c r="BN23" s="36" t="s">
        <v>195</v>
      </c>
      <c r="BO23" s="35">
        <v>100000</v>
      </c>
      <c r="BP23" s="35"/>
    </row>
    <row r="24" spans="1:68" ht="15.75" x14ac:dyDescent="0.25">
      <c r="A24" s="33" t="s">
        <v>512</v>
      </c>
      <c r="B24" s="18">
        <v>401</v>
      </c>
      <c r="C24" s="16">
        <v>2014</v>
      </c>
      <c r="D24" s="32" t="s">
        <v>510</v>
      </c>
      <c r="E24" s="18" t="s">
        <v>187</v>
      </c>
      <c r="F24" s="18" t="s">
        <v>188</v>
      </c>
      <c r="G24" s="18">
        <v>0</v>
      </c>
      <c r="H24" s="15">
        <v>202</v>
      </c>
      <c r="I24" s="40">
        <v>10300806</v>
      </c>
      <c r="J24" s="18">
        <v>2</v>
      </c>
      <c r="K24" s="18">
        <v>2000</v>
      </c>
      <c r="L24" s="18">
        <v>4000</v>
      </c>
      <c r="M24" s="18"/>
      <c r="N24" s="18"/>
      <c r="O24" s="18"/>
      <c r="P24" s="18"/>
      <c r="Q24" s="43">
        <v>14</v>
      </c>
      <c r="R24" s="36">
        <v>5</v>
      </c>
      <c r="S24" s="36">
        <v>1</v>
      </c>
      <c r="T24" s="36">
        <v>0</v>
      </c>
      <c r="U24" s="35">
        <v>2100</v>
      </c>
      <c r="V24" s="44" t="s">
        <v>506</v>
      </c>
      <c r="W24" s="16">
        <f t="shared" ref="W24:W25" si="6">C24+2</f>
        <v>2016</v>
      </c>
      <c r="X24" s="18" t="s">
        <v>189</v>
      </c>
      <c r="Y24" s="36">
        <v>2000</v>
      </c>
      <c r="Z24" s="36"/>
      <c r="AA24" s="36">
        <v>5</v>
      </c>
      <c r="AB24" s="36">
        <v>2000</v>
      </c>
      <c r="AC24" s="36">
        <v>2000</v>
      </c>
      <c r="AD24" s="18">
        <v>0</v>
      </c>
      <c r="AE24" s="18">
        <v>2000</v>
      </c>
      <c r="AF24" s="18" t="s">
        <v>167</v>
      </c>
      <c r="AG24" s="37" t="s">
        <v>190</v>
      </c>
      <c r="AH24" s="36">
        <v>95</v>
      </c>
      <c r="AI24" s="36">
        <v>0</v>
      </c>
      <c r="AJ24" s="18">
        <v>0</v>
      </c>
      <c r="AK24" s="18">
        <v>0</v>
      </c>
      <c r="AL24" s="36">
        <v>30</v>
      </c>
      <c r="AM24" s="36">
        <v>0</v>
      </c>
      <c r="AN24" s="36" t="s">
        <v>191</v>
      </c>
      <c r="AO24" s="36" t="s">
        <v>192</v>
      </c>
      <c r="AP24" s="36" t="s">
        <v>193</v>
      </c>
      <c r="AQ24" s="36" t="s">
        <v>185</v>
      </c>
      <c r="AR24" s="18">
        <v>120</v>
      </c>
      <c r="AS24" s="18">
        <v>0</v>
      </c>
      <c r="AT24" s="18">
        <v>32</v>
      </c>
      <c r="AU24" s="18">
        <v>38</v>
      </c>
      <c r="AV24" s="18"/>
      <c r="AW24" s="18"/>
      <c r="AX24" s="36">
        <v>3</v>
      </c>
      <c r="AY24" s="18">
        <v>9</v>
      </c>
      <c r="AZ24" s="18">
        <v>105</v>
      </c>
      <c r="BA24" s="36"/>
      <c r="BB24" s="18">
        <v>304</v>
      </c>
      <c r="BC24" s="18">
        <v>404</v>
      </c>
      <c r="BD24" s="18">
        <v>0</v>
      </c>
      <c r="BE24" s="18">
        <v>0</v>
      </c>
      <c r="BF24" s="36">
        <v>5</v>
      </c>
      <c r="BG24" s="36">
        <v>924</v>
      </c>
      <c r="BH24" s="18">
        <v>1</v>
      </c>
      <c r="BI24" s="36">
        <v>1</v>
      </c>
      <c r="BJ24" s="36">
        <v>1</v>
      </c>
      <c r="BK24" s="36" t="s">
        <v>194</v>
      </c>
      <c r="BL24" s="36">
        <v>8</v>
      </c>
      <c r="BM24" s="36">
        <v>1</v>
      </c>
      <c r="BN24" s="36" t="s">
        <v>195</v>
      </c>
      <c r="BO24" s="35">
        <v>100000</v>
      </c>
      <c r="BP24" s="35"/>
    </row>
    <row r="25" spans="1:68" ht="15.75" x14ac:dyDescent="0.25">
      <c r="A25" s="33" t="s">
        <v>513</v>
      </c>
      <c r="B25" s="18">
        <v>402</v>
      </c>
      <c r="C25" s="16">
        <v>2014</v>
      </c>
      <c r="D25" s="32" t="s">
        <v>510</v>
      </c>
      <c r="E25" s="18" t="s">
        <v>187</v>
      </c>
      <c r="F25" s="18" t="s">
        <v>188</v>
      </c>
      <c r="G25" s="18">
        <v>0</v>
      </c>
      <c r="H25" s="15">
        <v>302</v>
      </c>
      <c r="I25" s="40">
        <v>10301105</v>
      </c>
      <c r="J25" s="18">
        <v>2</v>
      </c>
      <c r="K25" s="18">
        <v>2000</v>
      </c>
      <c r="L25" s="18">
        <v>4000</v>
      </c>
      <c r="M25" s="18"/>
      <c r="N25" s="18"/>
      <c r="O25" s="18"/>
      <c r="P25" s="18"/>
      <c r="Q25" s="43">
        <v>15</v>
      </c>
      <c r="R25" s="36">
        <v>5</v>
      </c>
      <c r="S25" s="36">
        <v>1</v>
      </c>
      <c r="T25" s="36">
        <v>0</v>
      </c>
      <c r="U25" s="35">
        <v>2100</v>
      </c>
      <c r="V25" s="44" t="s">
        <v>506</v>
      </c>
      <c r="W25" s="16">
        <f t="shared" si="6"/>
        <v>2016</v>
      </c>
      <c r="X25" s="18" t="s">
        <v>189</v>
      </c>
      <c r="Y25" s="36">
        <v>2000</v>
      </c>
      <c r="Z25" s="36"/>
      <c r="AA25" s="36">
        <v>5</v>
      </c>
      <c r="AB25" s="36">
        <v>2000</v>
      </c>
      <c r="AC25" s="36">
        <v>2000</v>
      </c>
      <c r="AD25" s="18">
        <v>0</v>
      </c>
      <c r="AE25" s="18">
        <v>2000</v>
      </c>
      <c r="AF25" s="18" t="s">
        <v>167</v>
      </c>
      <c r="AG25" s="37" t="s">
        <v>190</v>
      </c>
      <c r="AH25" s="36">
        <v>95</v>
      </c>
      <c r="AI25" s="36">
        <v>0</v>
      </c>
      <c r="AJ25" s="18">
        <v>0</v>
      </c>
      <c r="AK25" s="18">
        <v>0</v>
      </c>
      <c r="AL25" s="36">
        <v>30</v>
      </c>
      <c r="AM25" s="36">
        <v>0</v>
      </c>
      <c r="AN25" s="36" t="s">
        <v>191</v>
      </c>
      <c r="AO25" s="36" t="s">
        <v>192</v>
      </c>
      <c r="AP25" s="36" t="s">
        <v>193</v>
      </c>
      <c r="AQ25" s="36" t="s">
        <v>185</v>
      </c>
      <c r="AR25" s="18">
        <v>120</v>
      </c>
      <c r="AS25" s="18">
        <v>0</v>
      </c>
      <c r="AT25" s="18">
        <v>32</v>
      </c>
      <c r="AU25" s="18">
        <v>38</v>
      </c>
      <c r="AV25" s="18"/>
      <c r="AW25" s="18"/>
      <c r="AX25" s="36">
        <v>3</v>
      </c>
      <c r="AY25" s="18">
        <v>9</v>
      </c>
      <c r="AZ25" s="18">
        <v>105</v>
      </c>
      <c r="BA25" s="36"/>
      <c r="BB25" s="18">
        <v>304</v>
      </c>
      <c r="BC25" s="18">
        <v>404</v>
      </c>
      <c r="BD25" s="18">
        <v>0</v>
      </c>
      <c r="BE25" s="18">
        <v>0</v>
      </c>
      <c r="BF25" s="36">
        <v>6</v>
      </c>
      <c r="BG25" s="36">
        <v>924</v>
      </c>
      <c r="BH25" s="18">
        <v>1</v>
      </c>
      <c r="BI25" s="36">
        <v>1</v>
      </c>
      <c r="BJ25" s="36">
        <v>1</v>
      </c>
      <c r="BK25" s="36" t="s">
        <v>194</v>
      </c>
      <c r="BL25" s="36">
        <v>8</v>
      </c>
      <c r="BM25" s="36">
        <v>1</v>
      </c>
      <c r="BN25" s="36" t="s">
        <v>195</v>
      </c>
      <c r="BO25" s="35">
        <v>100000</v>
      </c>
      <c r="BP25" s="35"/>
    </row>
    <row r="26" spans="1:68" ht="15.75" x14ac:dyDescent="0.25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2"/>
      <c r="R26" s="18"/>
      <c r="S26" s="18"/>
      <c r="T26" s="18"/>
      <c r="U26" s="18"/>
      <c r="V26" s="18"/>
      <c r="X26" s="18"/>
      <c r="Y26" s="18"/>
      <c r="Z26" s="18"/>
      <c r="AA26" s="18"/>
      <c r="AB26" s="18"/>
      <c r="AC26" s="18"/>
      <c r="AD26" s="18"/>
      <c r="AE26" s="18"/>
      <c r="AF26" s="18"/>
      <c r="AG26" s="24"/>
      <c r="AH26" s="18"/>
      <c r="AI26" s="18"/>
      <c r="AJ26" s="18"/>
      <c r="AK26" s="18"/>
      <c r="AL26" s="18"/>
      <c r="AM26" s="18"/>
      <c r="AN26" s="31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</row>
    <row r="37" spans="20:21" ht="15.75" x14ac:dyDescent="0.25">
      <c r="T37" s="18"/>
      <c r="U37" s="18"/>
    </row>
    <row r="40" spans="20:21" ht="15.75" x14ac:dyDescent="0.25">
      <c r="T40" s="18"/>
      <c r="U40" s="18"/>
    </row>
    <row r="43" spans="20:21" ht="15.75" x14ac:dyDescent="0.25">
      <c r="T43" s="18"/>
      <c r="U43" s="18"/>
    </row>
    <row r="46" spans="20:21" ht="15.75" x14ac:dyDescent="0.25">
      <c r="T46" s="18"/>
      <c r="U46" s="18"/>
    </row>
    <row r="49" spans="20:21" ht="15.75" x14ac:dyDescent="0.25">
      <c r="T49" s="18"/>
      <c r="U49" s="18"/>
    </row>
    <row r="52" spans="20:21" ht="15.75" x14ac:dyDescent="0.25">
      <c r="T52" s="18"/>
      <c r="U52" s="18"/>
    </row>
    <row r="55" spans="20:21" ht="15.75" x14ac:dyDescent="0.25">
      <c r="T55" s="18"/>
      <c r="U55" s="18"/>
    </row>
    <row r="58" spans="20:21" ht="15.75" x14ac:dyDescent="0.25">
      <c r="T58" s="18"/>
      <c r="U58" s="18"/>
    </row>
    <row r="61" spans="20:21" ht="15.75" x14ac:dyDescent="0.25">
      <c r="T61" s="18"/>
      <c r="U61" s="18"/>
    </row>
    <row r="64" spans="20:21" ht="15.75" x14ac:dyDescent="0.25">
      <c r="T64" s="18"/>
      <c r="U64" s="18"/>
    </row>
    <row r="67" spans="20:21" ht="15.75" x14ac:dyDescent="0.25">
      <c r="T67" s="18"/>
      <c r="U67" s="18"/>
    </row>
  </sheetData>
  <phoneticPr fontId="8" type="noConversion"/>
  <conditionalFormatting sqref="C11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G26" sqref="G26"/>
    </sheetView>
  </sheetViews>
  <sheetFormatPr defaultColWidth="9" defaultRowHeight="14.25" x14ac:dyDescent="0.2"/>
  <cols>
    <col min="1" max="1" width="13" customWidth="1"/>
    <col min="2" max="2" width="15.5" customWidth="1"/>
    <col min="3" max="3" width="13.25" customWidth="1"/>
    <col min="4" max="4" width="15.5" customWidth="1"/>
    <col min="5" max="5" width="22.75" customWidth="1"/>
    <col min="6" max="6" width="17" customWidth="1"/>
    <col min="7" max="7" width="19.375" style="15" customWidth="1"/>
    <col min="8" max="8" width="18" style="15" customWidth="1"/>
    <col min="9" max="9" width="19.375" style="16" customWidth="1"/>
  </cols>
  <sheetData>
    <row r="1" spans="1:9" ht="15.75" x14ac:dyDescent="0.25">
      <c r="A1" t="s">
        <v>0</v>
      </c>
      <c r="B1" s="12" t="s">
        <v>196</v>
      </c>
      <c r="C1" s="12" t="s">
        <v>197</v>
      </c>
      <c r="D1" s="12" t="s">
        <v>198</v>
      </c>
      <c r="E1" s="12" t="s">
        <v>199</v>
      </c>
      <c r="F1" s="12" t="s">
        <v>200</v>
      </c>
      <c r="G1" s="17" t="s">
        <v>201</v>
      </c>
      <c r="H1" s="15" t="s">
        <v>202</v>
      </c>
      <c r="I1" s="18" t="s">
        <v>203</v>
      </c>
    </row>
    <row r="2" spans="1:9" ht="15.75" x14ac:dyDescent="0.25">
      <c r="A2" t="s">
        <v>9</v>
      </c>
      <c r="B2" s="4" t="s">
        <v>10</v>
      </c>
      <c r="C2" s="4" t="s">
        <v>98</v>
      </c>
      <c r="D2" s="4" t="s">
        <v>204</v>
      </c>
      <c r="E2" s="19" t="s">
        <v>13</v>
      </c>
      <c r="F2" s="4" t="s">
        <v>205</v>
      </c>
      <c r="G2" s="20" t="s">
        <v>206</v>
      </c>
      <c r="H2" s="20" t="s">
        <v>207</v>
      </c>
      <c r="I2" s="21" t="s">
        <v>208</v>
      </c>
    </row>
    <row r="3" spans="1:9" ht="15.75" x14ac:dyDescent="0.25">
      <c r="A3" t="s">
        <v>19</v>
      </c>
      <c r="B3" s="4" t="s">
        <v>20</v>
      </c>
      <c r="C3" s="4" t="s">
        <v>20</v>
      </c>
      <c r="D3" s="4" t="s">
        <v>20</v>
      </c>
      <c r="E3" s="19" t="s">
        <v>21</v>
      </c>
      <c r="F3" s="4" t="s">
        <v>21</v>
      </c>
      <c r="G3" s="22" t="s">
        <v>22</v>
      </c>
      <c r="H3" s="22" t="s">
        <v>22</v>
      </c>
      <c r="I3" s="21" t="s">
        <v>20</v>
      </c>
    </row>
    <row r="4" spans="1:9" ht="15.75" x14ac:dyDescent="0.25">
      <c r="A4" t="s">
        <v>23</v>
      </c>
      <c r="B4" s="4" t="s">
        <v>24</v>
      </c>
      <c r="C4" s="4" t="s">
        <v>24</v>
      </c>
      <c r="D4" s="4" t="s">
        <v>24</v>
      </c>
      <c r="E4" s="19"/>
      <c r="F4" s="4" t="s">
        <v>24</v>
      </c>
      <c r="G4" s="20" t="s">
        <v>24</v>
      </c>
      <c r="H4" s="20" t="s">
        <v>24</v>
      </c>
      <c r="I4" s="21" t="s">
        <v>24</v>
      </c>
    </row>
    <row r="5" spans="1:9" ht="15.75" x14ac:dyDescent="0.25">
      <c r="A5" t="s">
        <v>26</v>
      </c>
      <c r="B5" s="4"/>
      <c r="C5" s="4">
        <v>1</v>
      </c>
      <c r="D5" s="4">
        <v>0</v>
      </c>
      <c r="E5" s="19"/>
      <c r="F5" s="4"/>
      <c r="G5" s="20">
        <v>0</v>
      </c>
      <c r="H5" s="20">
        <v>0</v>
      </c>
      <c r="I5" s="21">
        <v>0</v>
      </c>
    </row>
    <row r="6" spans="1:9" ht="15.75" x14ac:dyDescent="0.25">
      <c r="A6" t="s">
        <v>26</v>
      </c>
      <c r="B6" s="12">
        <v>1</v>
      </c>
      <c r="C6" s="12">
        <v>1</v>
      </c>
      <c r="D6" s="12">
        <v>110019</v>
      </c>
      <c r="E6" s="12" t="s">
        <v>209</v>
      </c>
      <c r="F6" s="12" t="s">
        <v>210</v>
      </c>
      <c r="G6" s="17" t="s">
        <v>211</v>
      </c>
      <c r="H6" s="15" t="s">
        <v>212</v>
      </c>
      <c r="I6" s="18">
        <v>1</v>
      </c>
    </row>
    <row r="7" spans="1:9" ht="15.75" x14ac:dyDescent="0.25">
      <c r="B7" s="12">
        <v>2</v>
      </c>
      <c r="C7" s="12">
        <v>2</v>
      </c>
      <c r="D7" s="12">
        <v>110029</v>
      </c>
      <c r="E7" s="12" t="s">
        <v>32</v>
      </c>
      <c r="F7" s="12" t="s">
        <v>213</v>
      </c>
      <c r="G7" s="17" t="s">
        <v>211</v>
      </c>
      <c r="H7" s="15" t="s">
        <v>212</v>
      </c>
      <c r="I7" s="18">
        <v>0</v>
      </c>
    </row>
    <row r="8" spans="1:9" ht="15.75" x14ac:dyDescent="0.25">
      <c r="B8" s="12">
        <v>3</v>
      </c>
      <c r="C8">
        <v>3</v>
      </c>
      <c r="D8" s="12">
        <v>110039</v>
      </c>
      <c r="E8" s="12" t="s">
        <v>33</v>
      </c>
      <c r="F8" s="12" t="s">
        <v>214</v>
      </c>
      <c r="G8" s="17" t="s">
        <v>211</v>
      </c>
      <c r="H8" s="15" t="s">
        <v>212</v>
      </c>
      <c r="I8" s="16">
        <v>0</v>
      </c>
    </row>
  </sheetData>
  <phoneticPr fontId="8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E31" sqref="E31"/>
    </sheetView>
  </sheetViews>
  <sheetFormatPr defaultColWidth="9" defaultRowHeight="14.25" x14ac:dyDescent="0.2"/>
  <cols>
    <col min="1" max="1" width="13" customWidth="1"/>
    <col min="2" max="2" width="16.625" customWidth="1"/>
    <col min="3" max="3" width="12.375" customWidth="1"/>
    <col min="4" max="4" width="17.875" customWidth="1"/>
    <col min="5" max="5" width="12.375" customWidth="1"/>
  </cols>
  <sheetData>
    <row r="1" spans="1:5" ht="15.75" x14ac:dyDescent="0.25">
      <c r="A1" t="s">
        <v>0</v>
      </c>
      <c r="B1" s="12" t="s">
        <v>215</v>
      </c>
      <c r="C1" s="12" t="s">
        <v>4</v>
      </c>
      <c r="D1" s="12" t="s">
        <v>216</v>
      </c>
      <c r="E1" s="12" t="s">
        <v>217</v>
      </c>
    </row>
    <row r="2" spans="1:5" ht="15.75" x14ac:dyDescent="0.25">
      <c r="A2" t="s">
        <v>9</v>
      </c>
      <c r="B2" s="4" t="s">
        <v>10</v>
      </c>
      <c r="C2" s="4" t="s">
        <v>14</v>
      </c>
      <c r="D2" s="4" t="s">
        <v>218</v>
      </c>
      <c r="E2" s="4" t="s">
        <v>219</v>
      </c>
    </row>
    <row r="3" spans="1:5" ht="15.75" x14ac:dyDescent="0.25">
      <c r="A3" t="s">
        <v>19</v>
      </c>
      <c r="B3" s="4" t="s">
        <v>20</v>
      </c>
      <c r="C3" s="4" t="s">
        <v>20</v>
      </c>
      <c r="D3" s="4" t="s">
        <v>20</v>
      </c>
      <c r="E3" s="4" t="s">
        <v>20</v>
      </c>
    </row>
    <row r="4" spans="1:5" ht="15.75" x14ac:dyDescent="0.25">
      <c r="A4" t="s">
        <v>23</v>
      </c>
      <c r="B4" s="4" t="s">
        <v>24</v>
      </c>
      <c r="C4" s="4" t="s">
        <v>24</v>
      </c>
      <c r="D4" s="4" t="s">
        <v>24</v>
      </c>
      <c r="E4" s="4" t="s">
        <v>24</v>
      </c>
    </row>
    <row r="5" spans="1:5" ht="15.75" x14ac:dyDescent="0.25">
      <c r="A5" t="s">
        <v>26</v>
      </c>
      <c r="B5" s="4"/>
      <c r="C5" s="4">
        <v>0</v>
      </c>
      <c r="D5" s="4">
        <v>0</v>
      </c>
      <c r="E5" s="4">
        <v>0</v>
      </c>
    </row>
    <row r="6" spans="1:5" ht="15.75" x14ac:dyDescent="0.25">
      <c r="B6" s="12">
        <v>201</v>
      </c>
      <c r="C6" s="12">
        <v>4</v>
      </c>
      <c r="D6" s="12">
        <v>10</v>
      </c>
      <c r="E6" s="12">
        <v>101</v>
      </c>
    </row>
    <row r="7" spans="1:5" ht="15.75" x14ac:dyDescent="0.25">
      <c r="B7" s="12">
        <v>202</v>
      </c>
      <c r="C7" s="12">
        <v>6</v>
      </c>
      <c r="D7" s="12">
        <v>5</v>
      </c>
      <c r="E7" s="12">
        <v>102</v>
      </c>
    </row>
    <row r="8" spans="1:5" ht="15.75" x14ac:dyDescent="0.25">
      <c r="B8" s="12">
        <v>203</v>
      </c>
      <c r="C8" s="12">
        <v>8</v>
      </c>
      <c r="D8" s="12">
        <v>5</v>
      </c>
      <c r="E8" s="12">
        <v>103</v>
      </c>
    </row>
    <row r="9" spans="1:5" ht="15.75" x14ac:dyDescent="0.25">
      <c r="B9" s="12">
        <v>204</v>
      </c>
      <c r="C9" s="12">
        <v>12</v>
      </c>
      <c r="D9" s="12">
        <v>3</v>
      </c>
      <c r="E9" s="12">
        <v>104</v>
      </c>
    </row>
  </sheetData>
  <phoneticPr fontId="8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D3" sqref="D3"/>
    </sheetView>
  </sheetViews>
  <sheetFormatPr defaultColWidth="9" defaultRowHeight="14.25" x14ac:dyDescent="0.2"/>
  <cols>
    <col min="1" max="1" width="13" customWidth="1"/>
    <col min="2" max="2" width="15.125" customWidth="1"/>
    <col min="3" max="3" width="26.125" customWidth="1"/>
    <col min="4" max="4" width="30.625" customWidth="1"/>
    <col min="5" max="5" width="29.5" customWidth="1"/>
  </cols>
  <sheetData>
    <row r="1" spans="1:5" x14ac:dyDescent="0.2">
      <c r="A1" t="s">
        <v>0</v>
      </c>
      <c r="B1" t="s">
        <v>220</v>
      </c>
      <c r="C1" t="s">
        <v>221</v>
      </c>
      <c r="D1" t="s">
        <v>222</v>
      </c>
    </row>
    <row r="2" spans="1:5" x14ac:dyDescent="0.2">
      <c r="A2" t="s">
        <v>9</v>
      </c>
      <c r="B2" s="2" t="s">
        <v>10</v>
      </c>
      <c r="C2" s="3"/>
      <c r="D2" s="2" t="s">
        <v>223</v>
      </c>
      <c r="E2" s="2" t="s">
        <v>224</v>
      </c>
    </row>
    <row r="3" spans="1:5" x14ac:dyDescent="0.2">
      <c r="A3" t="s">
        <v>19</v>
      </c>
      <c r="B3" s="2" t="s">
        <v>20</v>
      </c>
      <c r="C3" s="3"/>
      <c r="D3" s="2" t="s">
        <v>22</v>
      </c>
      <c r="E3" s="2" t="s">
        <v>157</v>
      </c>
    </row>
    <row r="4" spans="1:5" ht="15.75" x14ac:dyDescent="0.25">
      <c r="A4" t="s">
        <v>23</v>
      </c>
      <c r="B4" s="4" t="s">
        <v>24</v>
      </c>
      <c r="C4" s="3"/>
      <c r="D4" s="4" t="s">
        <v>24</v>
      </c>
      <c r="E4" s="4" t="s">
        <v>24</v>
      </c>
    </row>
    <row r="5" spans="1:5" x14ac:dyDescent="0.2">
      <c r="A5" t="s">
        <v>26</v>
      </c>
      <c r="B5" s="2"/>
      <c r="C5" s="3"/>
      <c r="D5" s="2" t="s">
        <v>163</v>
      </c>
      <c r="E5" s="2" t="s">
        <v>163</v>
      </c>
    </row>
    <row r="6" spans="1:5" x14ac:dyDescent="0.2">
      <c r="B6">
        <v>1</v>
      </c>
      <c r="C6" t="s">
        <v>225</v>
      </c>
      <c r="D6" s="13" t="s">
        <v>226</v>
      </c>
    </row>
    <row r="7" spans="1:5" x14ac:dyDescent="0.2">
      <c r="B7">
        <v>2</v>
      </c>
      <c r="C7" t="s">
        <v>227</v>
      </c>
      <c r="D7" s="13" t="s">
        <v>228</v>
      </c>
    </row>
    <row r="8" spans="1:5" x14ac:dyDescent="0.2">
      <c r="B8">
        <v>3</v>
      </c>
      <c r="C8" t="s">
        <v>229</v>
      </c>
      <c r="D8" s="13" t="s">
        <v>230</v>
      </c>
    </row>
    <row r="9" spans="1:5" x14ac:dyDescent="0.2">
      <c r="B9">
        <v>4</v>
      </c>
      <c r="C9" t="s">
        <v>231</v>
      </c>
      <c r="D9" s="13" t="s">
        <v>232</v>
      </c>
    </row>
    <row r="10" spans="1:5" x14ac:dyDescent="0.2">
      <c r="B10">
        <v>5</v>
      </c>
      <c r="C10" t="s">
        <v>233</v>
      </c>
      <c r="D10" s="13" t="s">
        <v>232</v>
      </c>
    </row>
    <row r="11" spans="1:5" x14ac:dyDescent="0.2">
      <c r="B11">
        <v>6</v>
      </c>
      <c r="C11" t="s">
        <v>234</v>
      </c>
      <c r="D11" s="13" t="s">
        <v>235</v>
      </c>
    </row>
    <row r="12" spans="1:5" x14ac:dyDescent="0.2">
      <c r="B12">
        <v>7</v>
      </c>
      <c r="C12" t="s">
        <v>236</v>
      </c>
      <c r="D12" s="13" t="s">
        <v>237</v>
      </c>
    </row>
    <row r="13" spans="1:5" x14ac:dyDescent="0.2">
      <c r="B13">
        <v>8</v>
      </c>
      <c r="C13" t="s">
        <v>238</v>
      </c>
      <c r="D13" s="13" t="s">
        <v>239</v>
      </c>
    </row>
    <row r="14" spans="1:5" x14ac:dyDescent="0.2">
      <c r="B14">
        <v>9</v>
      </c>
      <c r="C14" t="s">
        <v>240</v>
      </c>
      <c r="D14" s="13" t="s">
        <v>241</v>
      </c>
    </row>
    <row r="15" spans="1:5" x14ac:dyDescent="0.2">
      <c r="B15">
        <v>10</v>
      </c>
      <c r="C15" t="s">
        <v>242</v>
      </c>
      <c r="D15" s="13" t="s">
        <v>239</v>
      </c>
    </row>
    <row r="16" spans="1:5" x14ac:dyDescent="0.2">
      <c r="B16">
        <v>11</v>
      </c>
      <c r="C16" t="s">
        <v>243</v>
      </c>
      <c r="D16" s="13" t="s">
        <v>244</v>
      </c>
      <c r="E16" s="13"/>
    </row>
    <row r="17" spans="2:5" x14ac:dyDescent="0.2">
      <c r="B17">
        <v>12</v>
      </c>
      <c r="C17" t="s">
        <v>245</v>
      </c>
      <c r="D17" s="13" t="s">
        <v>246</v>
      </c>
    </row>
    <row r="18" spans="2:5" x14ac:dyDescent="0.2">
      <c r="B18">
        <v>13</v>
      </c>
      <c r="C18" t="s">
        <v>247</v>
      </c>
      <c r="D18" s="13" t="s">
        <v>248</v>
      </c>
    </row>
    <row r="19" spans="2:5" x14ac:dyDescent="0.2">
      <c r="B19">
        <v>14</v>
      </c>
      <c r="C19" t="s">
        <v>249</v>
      </c>
      <c r="D19" s="13" t="s">
        <v>244</v>
      </c>
    </row>
    <row r="20" spans="2:5" x14ac:dyDescent="0.2">
      <c r="B20">
        <v>15</v>
      </c>
      <c r="C20" t="s">
        <v>250</v>
      </c>
      <c r="E20" s="13" t="s">
        <v>251</v>
      </c>
    </row>
    <row r="21" spans="2:5" x14ac:dyDescent="0.2">
      <c r="B21">
        <v>16</v>
      </c>
      <c r="C21" t="s">
        <v>252</v>
      </c>
      <c r="E21" s="13" t="s">
        <v>251</v>
      </c>
    </row>
    <row r="22" spans="2:5" x14ac:dyDescent="0.2">
      <c r="B22">
        <v>17</v>
      </c>
      <c r="C22" t="s">
        <v>253</v>
      </c>
      <c r="E22" s="13" t="s">
        <v>251</v>
      </c>
    </row>
    <row r="23" spans="2:5" x14ac:dyDescent="0.2">
      <c r="B23">
        <v>18</v>
      </c>
      <c r="C23" t="s">
        <v>254</v>
      </c>
      <c r="E23" s="13" t="s">
        <v>251</v>
      </c>
    </row>
  </sheetData>
  <phoneticPr fontId="8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E35"/>
  <sheetViews>
    <sheetView workbookViewId="0">
      <selection activeCell="E39" sqref="E39"/>
    </sheetView>
  </sheetViews>
  <sheetFormatPr defaultColWidth="9" defaultRowHeight="14.25" x14ac:dyDescent="0.2"/>
  <cols>
    <col min="1" max="1" width="13" customWidth="1"/>
    <col min="2" max="2" width="15.125" customWidth="1"/>
    <col min="3" max="3" width="35.25" customWidth="1"/>
    <col min="4" max="4" width="42.375" customWidth="1"/>
    <col min="5" max="5" width="39.25" customWidth="1"/>
  </cols>
  <sheetData>
    <row r="1" spans="1:5" x14ac:dyDescent="0.2">
      <c r="A1" t="s">
        <v>0</v>
      </c>
      <c r="B1" t="s">
        <v>220</v>
      </c>
      <c r="C1" t="s">
        <v>221</v>
      </c>
      <c r="D1" t="s">
        <v>222</v>
      </c>
    </row>
    <row r="2" spans="1:5" x14ac:dyDescent="0.2">
      <c r="A2" t="s">
        <v>9</v>
      </c>
      <c r="B2" s="2" t="s">
        <v>10</v>
      </c>
      <c r="C2" s="3"/>
      <c r="D2" s="2" t="s">
        <v>223</v>
      </c>
      <c r="E2" s="2" t="s">
        <v>224</v>
      </c>
    </row>
    <row r="3" spans="1:5" x14ac:dyDescent="0.2">
      <c r="A3" t="s">
        <v>19</v>
      </c>
      <c r="B3" s="2" t="s">
        <v>20</v>
      </c>
      <c r="C3" s="3"/>
      <c r="D3" s="2" t="s">
        <v>22</v>
      </c>
      <c r="E3" s="2" t="s">
        <v>157</v>
      </c>
    </row>
    <row r="4" spans="1:5" ht="15.75" x14ac:dyDescent="0.25">
      <c r="A4" t="s">
        <v>23</v>
      </c>
      <c r="B4" s="4" t="s">
        <v>24</v>
      </c>
      <c r="C4" s="3"/>
      <c r="D4" s="4" t="s">
        <v>24</v>
      </c>
      <c r="E4" s="4" t="s">
        <v>24</v>
      </c>
    </row>
    <row r="5" spans="1:5" x14ac:dyDescent="0.2">
      <c r="A5" t="s">
        <v>26</v>
      </c>
      <c r="B5" s="2"/>
      <c r="C5" s="3"/>
      <c r="D5" s="2" t="s">
        <v>163</v>
      </c>
      <c r="E5" s="2" t="s">
        <v>163</v>
      </c>
    </row>
    <row r="6" spans="1:5" x14ac:dyDescent="0.2">
      <c r="B6">
        <v>1</v>
      </c>
      <c r="C6" t="s">
        <v>225</v>
      </c>
      <c r="D6" s="13" t="s">
        <v>226</v>
      </c>
    </row>
    <row r="7" spans="1:5" x14ac:dyDescent="0.2">
      <c r="B7">
        <v>2</v>
      </c>
      <c r="C7" t="s">
        <v>227</v>
      </c>
      <c r="D7" s="13" t="s">
        <v>228</v>
      </c>
    </row>
    <row r="8" spans="1:5" x14ac:dyDescent="0.2">
      <c r="B8">
        <v>3</v>
      </c>
      <c r="C8" t="s">
        <v>229</v>
      </c>
      <c r="D8" s="13" t="s">
        <v>230</v>
      </c>
    </row>
    <row r="9" spans="1:5" x14ac:dyDescent="0.2">
      <c r="B9">
        <v>4</v>
      </c>
      <c r="C9" t="s">
        <v>231</v>
      </c>
      <c r="D9" s="13" t="s">
        <v>232</v>
      </c>
    </row>
    <row r="10" spans="1:5" x14ac:dyDescent="0.2">
      <c r="B10">
        <v>5</v>
      </c>
      <c r="C10" t="s">
        <v>233</v>
      </c>
      <c r="D10" s="13" t="s">
        <v>232</v>
      </c>
    </row>
    <row r="11" spans="1:5" x14ac:dyDescent="0.2">
      <c r="B11">
        <v>6</v>
      </c>
      <c r="C11" t="s">
        <v>234</v>
      </c>
      <c r="D11" s="13" t="s">
        <v>255</v>
      </c>
    </row>
    <row r="12" spans="1:5" x14ac:dyDescent="0.2">
      <c r="B12">
        <v>7</v>
      </c>
      <c r="C12" t="s">
        <v>236</v>
      </c>
      <c r="D12" s="13" t="s">
        <v>237</v>
      </c>
    </row>
    <row r="13" spans="1:5" x14ac:dyDescent="0.2">
      <c r="B13">
        <v>8</v>
      </c>
      <c r="C13" t="s">
        <v>238</v>
      </c>
      <c r="D13" s="13" t="s">
        <v>239</v>
      </c>
    </row>
    <row r="14" spans="1:5" x14ac:dyDescent="0.2">
      <c r="B14">
        <v>9</v>
      </c>
      <c r="C14" t="s">
        <v>240</v>
      </c>
      <c r="D14" s="13" t="s">
        <v>241</v>
      </c>
    </row>
    <row r="15" spans="1:5" x14ac:dyDescent="0.2">
      <c r="B15">
        <v>10</v>
      </c>
      <c r="C15" t="s">
        <v>242</v>
      </c>
      <c r="D15" s="13" t="s">
        <v>239</v>
      </c>
    </row>
    <row r="16" spans="1:5" x14ac:dyDescent="0.2">
      <c r="B16">
        <v>11</v>
      </c>
      <c r="C16" t="s">
        <v>243</v>
      </c>
      <c r="D16" s="13" t="s">
        <v>244</v>
      </c>
    </row>
    <row r="17" spans="2:5" x14ac:dyDescent="0.2">
      <c r="B17">
        <v>12</v>
      </c>
      <c r="C17" t="s">
        <v>256</v>
      </c>
      <c r="D17" s="13" t="s">
        <v>257</v>
      </c>
    </row>
    <row r="18" spans="2:5" x14ac:dyDescent="0.2">
      <c r="B18">
        <v>13</v>
      </c>
      <c r="C18" t="s">
        <v>247</v>
      </c>
      <c r="D18" s="13" t="s">
        <v>258</v>
      </c>
    </row>
    <row r="19" spans="2:5" x14ac:dyDescent="0.2">
      <c r="B19">
        <v>14</v>
      </c>
      <c r="C19" t="s">
        <v>249</v>
      </c>
      <c r="D19" s="13" t="s">
        <v>244</v>
      </c>
    </row>
    <row r="20" spans="2:5" x14ac:dyDescent="0.2">
      <c r="B20">
        <v>15</v>
      </c>
      <c r="C20" t="s">
        <v>250</v>
      </c>
      <c r="E20" s="13" t="s">
        <v>251</v>
      </c>
    </row>
    <row r="21" spans="2:5" x14ac:dyDescent="0.2">
      <c r="B21">
        <v>16</v>
      </c>
      <c r="C21" t="s">
        <v>252</v>
      </c>
      <c r="E21" s="13" t="s">
        <v>251</v>
      </c>
    </row>
    <row r="22" spans="2:5" x14ac:dyDescent="0.2">
      <c r="B22">
        <v>17</v>
      </c>
      <c r="C22" t="s">
        <v>253</v>
      </c>
      <c r="E22" s="13" t="s">
        <v>251</v>
      </c>
    </row>
    <row r="23" spans="2:5" x14ac:dyDescent="0.2">
      <c r="B23">
        <v>18</v>
      </c>
      <c r="C23" t="s">
        <v>254</v>
      </c>
      <c r="E23" s="13" t="s">
        <v>251</v>
      </c>
    </row>
    <row r="24" spans="2:5" x14ac:dyDescent="0.2">
      <c r="B24">
        <v>21</v>
      </c>
      <c r="C24" t="s">
        <v>259</v>
      </c>
      <c r="D24" s="13" t="s">
        <v>260</v>
      </c>
    </row>
    <row r="25" spans="2:5" x14ac:dyDescent="0.2">
      <c r="B25">
        <v>22</v>
      </c>
      <c r="C25" t="s">
        <v>261</v>
      </c>
      <c r="D25" s="13" t="s">
        <v>262</v>
      </c>
    </row>
    <row r="26" spans="2:5" x14ac:dyDescent="0.2">
      <c r="B26">
        <v>23</v>
      </c>
      <c r="C26" t="s">
        <v>263</v>
      </c>
      <c r="D26" s="13" t="s">
        <v>262</v>
      </c>
    </row>
    <row r="27" spans="2:5" x14ac:dyDescent="0.2">
      <c r="B27">
        <v>24</v>
      </c>
      <c r="C27" t="s">
        <v>264</v>
      </c>
      <c r="D27" s="13" t="s">
        <v>232</v>
      </c>
    </row>
    <row r="28" spans="2:5" x14ac:dyDescent="0.2">
      <c r="B28">
        <v>25</v>
      </c>
      <c r="C28" t="s">
        <v>265</v>
      </c>
      <c r="E28" s="13" t="s">
        <v>266</v>
      </c>
    </row>
    <row r="29" spans="2:5" x14ac:dyDescent="0.2">
      <c r="B29">
        <v>26</v>
      </c>
      <c r="C29" t="s">
        <v>267</v>
      </c>
      <c r="D29" s="13" t="s">
        <v>268</v>
      </c>
    </row>
    <row r="30" spans="2:5" x14ac:dyDescent="0.2">
      <c r="B30">
        <v>27</v>
      </c>
      <c r="C30" t="s">
        <v>269</v>
      </c>
      <c r="D30" s="13" t="s">
        <v>270</v>
      </c>
    </row>
    <row r="31" spans="2:5" x14ac:dyDescent="0.2">
      <c r="B31">
        <v>28</v>
      </c>
      <c r="C31" t="s">
        <v>271</v>
      </c>
      <c r="D31" s="13" t="s">
        <v>270</v>
      </c>
    </row>
    <row r="32" spans="2:5" x14ac:dyDescent="0.2">
      <c r="B32">
        <v>29</v>
      </c>
      <c r="C32" t="s">
        <v>272</v>
      </c>
      <c r="D32">
        <v>3</v>
      </c>
    </row>
    <row r="33" spans="2:5" x14ac:dyDescent="0.2">
      <c r="B33">
        <v>30</v>
      </c>
      <c r="C33" t="s">
        <v>273</v>
      </c>
      <c r="D33">
        <v>20</v>
      </c>
    </row>
    <row r="34" spans="2:5" x14ac:dyDescent="0.2">
      <c r="B34">
        <v>31</v>
      </c>
      <c r="C34" t="s">
        <v>274</v>
      </c>
      <c r="D34">
        <v>0</v>
      </c>
    </row>
    <row r="35" spans="2:5" x14ac:dyDescent="0.2">
      <c r="B35">
        <v>32</v>
      </c>
      <c r="C35" t="s">
        <v>275</v>
      </c>
      <c r="E35" t="s">
        <v>276</v>
      </c>
    </row>
  </sheetData>
  <phoneticPr fontId="8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D21" sqref="D21"/>
    </sheetView>
  </sheetViews>
  <sheetFormatPr defaultColWidth="9" defaultRowHeight="14.25" x14ac:dyDescent="0.2"/>
  <cols>
    <col min="1" max="1" width="13" customWidth="1"/>
    <col min="2" max="2" width="15.125" customWidth="1"/>
    <col min="3" max="3" width="23.75" customWidth="1"/>
    <col min="4" max="4" width="33.75" customWidth="1"/>
    <col min="5" max="5" width="33.875" customWidth="1"/>
  </cols>
  <sheetData>
    <row r="1" spans="1:5" x14ac:dyDescent="0.2">
      <c r="A1" t="s">
        <v>0</v>
      </c>
      <c r="B1" t="s">
        <v>220</v>
      </c>
      <c r="C1" t="s">
        <v>221</v>
      </c>
      <c r="D1" t="s">
        <v>222</v>
      </c>
    </row>
    <row r="2" spans="1:5" x14ac:dyDescent="0.2">
      <c r="A2" t="s">
        <v>9</v>
      </c>
      <c r="B2" s="2" t="s">
        <v>10</v>
      </c>
      <c r="C2" s="3"/>
      <c r="D2" s="2" t="s">
        <v>277</v>
      </c>
      <c r="E2" s="2" t="s">
        <v>278</v>
      </c>
    </row>
    <row r="3" spans="1:5" x14ac:dyDescent="0.2">
      <c r="A3" t="s">
        <v>19</v>
      </c>
      <c r="B3" s="2" t="s">
        <v>20</v>
      </c>
      <c r="C3" s="3"/>
      <c r="D3" s="2" t="s">
        <v>22</v>
      </c>
      <c r="E3" s="2" t="s">
        <v>157</v>
      </c>
    </row>
    <row r="4" spans="1:5" ht="15.75" x14ac:dyDescent="0.25">
      <c r="A4" t="s">
        <v>23</v>
      </c>
      <c r="B4" s="4" t="s">
        <v>24</v>
      </c>
      <c r="C4" s="3"/>
      <c r="D4" s="4" t="s">
        <v>24</v>
      </c>
      <c r="E4" s="4" t="s">
        <v>24</v>
      </c>
    </row>
    <row r="5" spans="1:5" x14ac:dyDescent="0.2">
      <c r="A5" t="s">
        <v>26</v>
      </c>
      <c r="B5" s="2"/>
      <c r="C5" s="3"/>
      <c r="D5" s="2"/>
      <c r="E5" s="2" t="s">
        <v>279</v>
      </c>
    </row>
    <row r="6" spans="1:5" x14ac:dyDescent="0.2">
      <c r="B6">
        <v>1</v>
      </c>
      <c r="C6" t="s">
        <v>280</v>
      </c>
      <c r="D6" s="13" t="s">
        <v>281</v>
      </c>
    </row>
    <row r="7" spans="1:5" x14ac:dyDescent="0.2">
      <c r="B7">
        <v>2</v>
      </c>
      <c r="C7" t="s">
        <v>282</v>
      </c>
      <c r="D7" s="13" t="s">
        <v>258</v>
      </c>
    </row>
    <row r="8" spans="1:5" x14ac:dyDescent="0.2">
      <c r="B8">
        <v>3</v>
      </c>
      <c r="C8" t="s">
        <v>283</v>
      </c>
      <c r="D8" s="13" t="s">
        <v>260</v>
      </c>
    </row>
    <row r="9" spans="1:5" x14ac:dyDescent="0.2">
      <c r="B9">
        <v>4</v>
      </c>
      <c r="C9" t="s">
        <v>284</v>
      </c>
      <c r="D9" s="13" t="s">
        <v>228</v>
      </c>
    </row>
    <row r="10" spans="1:5" x14ac:dyDescent="0.2">
      <c r="B10">
        <v>5</v>
      </c>
      <c r="C10" t="s">
        <v>285</v>
      </c>
      <c r="D10" s="13" t="s">
        <v>228</v>
      </c>
    </row>
    <row r="11" spans="1:5" x14ac:dyDescent="0.2">
      <c r="B11">
        <v>6</v>
      </c>
      <c r="C11" t="s">
        <v>286</v>
      </c>
      <c r="E11" s="13" t="s">
        <v>287</v>
      </c>
    </row>
    <row r="12" spans="1:5" x14ac:dyDescent="0.2">
      <c r="B12">
        <v>7</v>
      </c>
      <c r="C12" t="s">
        <v>288</v>
      </c>
      <c r="D12" s="14">
        <v>40</v>
      </c>
    </row>
    <row r="13" spans="1:5" x14ac:dyDescent="0.2">
      <c r="B13">
        <v>8</v>
      </c>
      <c r="C13" t="s">
        <v>289</v>
      </c>
      <c r="D13" s="13" t="s">
        <v>248</v>
      </c>
    </row>
  </sheetData>
  <phoneticPr fontId="8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>
      <selection activeCell="D30" sqref="D30"/>
    </sheetView>
  </sheetViews>
  <sheetFormatPr defaultColWidth="9" defaultRowHeight="14.25" x14ac:dyDescent="0.2"/>
  <cols>
    <col min="1" max="1" width="13" customWidth="1"/>
    <col min="2" max="2" width="16.625" customWidth="1"/>
    <col min="3" max="3" width="16.25" customWidth="1"/>
    <col min="4" max="4" width="81.875" customWidth="1"/>
    <col min="5" max="5" width="17.875" customWidth="1"/>
  </cols>
  <sheetData>
    <row r="1" spans="1:5" ht="15.75" x14ac:dyDescent="0.25">
      <c r="A1" t="s">
        <v>0</v>
      </c>
      <c r="B1" s="12" t="s">
        <v>215</v>
      </c>
      <c r="C1" s="12" t="s">
        <v>290</v>
      </c>
      <c r="D1" s="12" t="s">
        <v>291</v>
      </c>
      <c r="E1" s="12" t="s">
        <v>292</v>
      </c>
    </row>
    <row r="2" spans="1:5" ht="15.75" x14ac:dyDescent="0.25">
      <c r="A2" t="s">
        <v>9</v>
      </c>
      <c r="B2" s="4" t="s">
        <v>10</v>
      </c>
      <c r="C2" s="4" t="s">
        <v>293</v>
      </c>
      <c r="D2" s="4" t="s">
        <v>294</v>
      </c>
      <c r="E2" s="4" t="s">
        <v>295</v>
      </c>
    </row>
    <row r="3" spans="1:5" ht="15.75" x14ac:dyDescent="0.25">
      <c r="A3" t="s">
        <v>19</v>
      </c>
      <c r="B3" s="4" t="s">
        <v>20</v>
      </c>
      <c r="C3" s="4" t="s">
        <v>22</v>
      </c>
      <c r="D3" s="4" t="s">
        <v>157</v>
      </c>
      <c r="E3" s="4" t="s">
        <v>20</v>
      </c>
    </row>
    <row r="4" spans="1:5" ht="15.75" x14ac:dyDescent="0.25">
      <c r="A4" t="s">
        <v>23</v>
      </c>
      <c r="B4" s="4" t="s">
        <v>24</v>
      </c>
      <c r="C4" s="4" t="s">
        <v>24</v>
      </c>
      <c r="D4" s="4" t="s">
        <v>24</v>
      </c>
      <c r="E4" s="4" t="s">
        <v>24</v>
      </c>
    </row>
    <row r="5" spans="1:5" ht="15.75" x14ac:dyDescent="0.25">
      <c r="A5" t="s">
        <v>26</v>
      </c>
      <c r="B5" s="4"/>
      <c r="C5" s="4" t="s">
        <v>163</v>
      </c>
      <c r="D5" s="4" t="s">
        <v>163</v>
      </c>
      <c r="E5" s="4">
        <v>0</v>
      </c>
    </row>
    <row r="6" spans="1:5" ht="15.75" x14ac:dyDescent="0.25">
      <c r="B6" s="12">
        <v>1</v>
      </c>
      <c r="C6" s="12" t="s">
        <v>296</v>
      </c>
      <c r="D6" s="12" t="s">
        <v>297</v>
      </c>
      <c r="E6" s="12">
        <v>80</v>
      </c>
    </row>
    <row r="7" spans="1:5" ht="15.75" x14ac:dyDescent="0.25">
      <c r="B7" s="12">
        <v>2</v>
      </c>
      <c r="C7" s="12" t="s">
        <v>298</v>
      </c>
      <c r="D7" s="12" t="s">
        <v>297</v>
      </c>
      <c r="E7" s="12">
        <v>50</v>
      </c>
    </row>
    <row r="8" spans="1:5" ht="15.75" x14ac:dyDescent="0.25">
      <c r="B8" s="12">
        <v>3</v>
      </c>
      <c r="C8" s="12" t="s">
        <v>299</v>
      </c>
      <c r="D8" s="12" t="s">
        <v>297</v>
      </c>
      <c r="E8" s="12">
        <v>20</v>
      </c>
    </row>
    <row r="9" spans="1:5" ht="15.75" x14ac:dyDescent="0.25">
      <c r="B9" s="12">
        <v>4</v>
      </c>
      <c r="C9" s="12" t="s">
        <v>300</v>
      </c>
      <c r="D9" s="12" t="s">
        <v>297</v>
      </c>
      <c r="E9" s="12">
        <v>20</v>
      </c>
    </row>
    <row r="10" spans="1:5" ht="15.75" x14ac:dyDescent="0.25">
      <c r="B10" s="12">
        <v>5</v>
      </c>
      <c r="C10" s="12" t="s">
        <v>301</v>
      </c>
      <c r="D10" s="12" t="s">
        <v>297</v>
      </c>
      <c r="E10" s="12">
        <v>0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>
      <selection activeCell="C40" sqref="C40"/>
    </sheetView>
  </sheetViews>
  <sheetFormatPr defaultColWidth="9" defaultRowHeight="14.25" x14ac:dyDescent="0.2"/>
  <cols>
    <col min="1" max="1" width="13" customWidth="1"/>
    <col min="2" max="2" width="16.625" customWidth="1"/>
    <col min="3" max="3" width="21.375" customWidth="1"/>
    <col min="4" max="8" width="26.5" customWidth="1"/>
  </cols>
  <sheetData>
    <row r="1" spans="1:8" ht="15.75" x14ac:dyDescent="0.25">
      <c r="A1" t="s">
        <v>0</v>
      </c>
      <c r="B1" s="12" t="s">
        <v>302</v>
      </c>
      <c r="C1" s="12" t="s">
        <v>303</v>
      </c>
      <c r="D1" s="12" t="s">
        <v>304</v>
      </c>
      <c r="E1" s="12" t="s">
        <v>305</v>
      </c>
      <c r="F1" s="12" t="s">
        <v>306</v>
      </c>
      <c r="G1" s="12" t="s">
        <v>307</v>
      </c>
      <c r="H1" s="12" t="s">
        <v>308</v>
      </c>
    </row>
    <row r="2" spans="1:8" ht="15.75" x14ac:dyDescent="0.25">
      <c r="A2" t="s">
        <v>9</v>
      </c>
      <c r="B2" s="4" t="s">
        <v>10</v>
      </c>
      <c r="C2" s="4" t="s">
        <v>309</v>
      </c>
      <c r="D2" s="4" t="s">
        <v>310</v>
      </c>
      <c r="E2" s="4" t="s">
        <v>311</v>
      </c>
      <c r="F2" s="4" t="s">
        <v>312</v>
      </c>
      <c r="G2" s="4" t="s">
        <v>313</v>
      </c>
      <c r="H2" s="4" t="s">
        <v>314</v>
      </c>
    </row>
    <row r="3" spans="1:8" ht="15.75" x14ac:dyDescent="0.25">
      <c r="A3" t="s">
        <v>19</v>
      </c>
      <c r="B3" s="4" t="s">
        <v>20</v>
      </c>
      <c r="C3" s="4" t="s">
        <v>157</v>
      </c>
      <c r="D3" s="4" t="s">
        <v>157</v>
      </c>
      <c r="E3" s="4" t="s">
        <v>157</v>
      </c>
      <c r="F3" s="4" t="s">
        <v>157</v>
      </c>
      <c r="G3" s="4" t="s">
        <v>157</v>
      </c>
      <c r="H3" s="4" t="s">
        <v>157</v>
      </c>
    </row>
    <row r="4" spans="1:8" ht="15.75" x14ac:dyDescent="0.25">
      <c r="A4" t="s">
        <v>23</v>
      </c>
      <c r="B4" s="4" t="s">
        <v>24</v>
      </c>
      <c r="C4" s="4" t="s">
        <v>24</v>
      </c>
      <c r="D4" s="4" t="s">
        <v>24</v>
      </c>
      <c r="E4" s="4" t="s">
        <v>24</v>
      </c>
      <c r="F4" s="4" t="s">
        <v>24</v>
      </c>
      <c r="G4" s="4" t="s">
        <v>24</v>
      </c>
      <c r="H4" s="4" t="s">
        <v>24</v>
      </c>
    </row>
    <row r="5" spans="1:8" ht="15.75" x14ac:dyDescent="0.25">
      <c r="A5" t="s">
        <v>26</v>
      </c>
      <c r="B5" s="4"/>
      <c r="C5" s="4" t="s">
        <v>163</v>
      </c>
      <c r="D5" s="4" t="s">
        <v>163</v>
      </c>
      <c r="E5" s="4" t="s">
        <v>163</v>
      </c>
      <c r="F5" s="4" t="s">
        <v>163</v>
      </c>
      <c r="G5" s="4" t="s">
        <v>163</v>
      </c>
      <c r="H5" s="4" t="s">
        <v>163</v>
      </c>
    </row>
    <row r="6" spans="1:8" ht="15.75" x14ac:dyDescent="0.25">
      <c r="B6" s="12">
        <v>1</v>
      </c>
      <c r="C6" s="12" t="s">
        <v>315</v>
      </c>
      <c r="D6" s="12" t="s">
        <v>316</v>
      </c>
      <c r="E6" s="12" t="s">
        <v>317</v>
      </c>
      <c r="F6" s="12" t="s">
        <v>318</v>
      </c>
      <c r="G6" s="12" t="s">
        <v>319</v>
      </c>
      <c r="H6" s="12" t="s">
        <v>320</v>
      </c>
    </row>
    <row r="7" spans="1:8" ht="15.75" x14ac:dyDescent="0.25">
      <c r="B7" s="12">
        <v>2</v>
      </c>
      <c r="C7" s="12" t="s">
        <v>321</v>
      </c>
      <c r="D7" s="12" t="s">
        <v>322</v>
      </c>
      <c r="E7" s="12" t="s">
        <v>322</v>
      </c>
      <c r="F7" s="12" t="s">
        <v>322</v>
      </c>
      <c r="G7" s="12" t="s">
        <v>322</v>
      </c>
      <c r="H7" s="12" t="s">
        <v>322</v>
      </c>
    </row>
    <row r="8" spans="1:8" ht="15.75" x14ac:dyDescent="0.25">
      <c r="B8" s="12">
        <v>3</v>
      </c>
      <c r="C8" s="12" t="s">
        <v>323</v>
      </c>
      <c r="D8" s="12"/>
      <c r="E8" s="12"/>
      <c r="F8" s="12"/>
      <c r="G8" s="12"/>
      <c r="H8" s="12"/>
    </row>
    <row r="9" spans="1:8" ht="15.75" x14ac:dyDescent="0.25">
      <c r="B9" s="12">
        <v>4</v>
      </c>
      <c r="C9" s="12" t="s">
        <v>324</v>
      </c>
      <c r="D9" s="12"/>
      <c r="E9" s="12"/>
      <c r="F9" s="12"/>
      <c r="G9" s="12"/>
      <c r="H9" s="12"/>
    </row>
    <row r="10" spans="1:8" ht="15.75" x14ac:dyDescent="0.25">
      <c r="B10" s="12">
        <v>5</v>
      </c>
      <c r="C10" s="12" t="s">
        <v>324</v>
      </c>
      <c r="D10" s="12"/>
      <c r="E10" s="12"/>
      <c r="F10" s="12"/>
      <c r="G10" s="12"/>
      <c r="H10" s="12"/>
    </row>
  </sheetData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34998626667073579"/>
  </sheetPr>
  <dimension ref="A1:Q8"/>
  <sheetViews>
    <sheetView workbookViewId="0">
      <selection activeCell="K13" sqref="K13"/>
    </sheetView>
  </sheetViews>
  <sheetFormatPr defaultColWidth="9" defaultRowHeight="14.25" x14ac:dyDescent="0.2"/>
  <cols>
    <col min="1" max="1" width="13" customWidth="1"/>
    <col min="2" max="2" width="16.625" customWidth="1"/>
    <col min="3" max="4" width="27.75" customWidth="1"/>
    <col min="5" max="6" width="21.5" customWidth="1"/>
    <col min="7" max="7" width="15.375" customWidth="1"/>
    <col min="8" max="8" width="19.25" customWidth="1"/>
    <col min="9" max="9" width="12.875" customWidth="1"/>
    <col min="10" max="10" width="10.5" customWidth="1"/>
    <col min="11" max="11" width="15.5" customWidth="1"/>
    <col min="12" max="13" width="28.75" customWidth="1"/>
    <col min="14" max="16" width="22.75" customWidth="1"/>
    <col min="17" max="17" width="99.5" customWidth="1"/>
  </cols>
  <sheetData>
    <row r="1" spans="1:17" ht="15.75" x14ac:dyDescent="0.25">
      <c r="A1" t="s">
        <v>0</v>
      </c>
      <c r="B1" s="9" t="s">
        <v>325</v>
      </c>
      <c r="C1" s="9" t="s">
        <v>326</v>
      </c>
      <c r="D1" s="9" t="s">
        <v>327</v>
      </c>
      <c r="E1" s="9" t="s">
        <v>328</v>
      </c>
      <c r="F1" s="9" t="s">
        <v>329</v>
      </c>
      <c r="G1" s="9" t="s">
        <v>330</v>
      </c>
      <c r="H1" s="9" t="s">
        <v>331</v>
      </c>
      <c r="I1" s="9" t="s">
        <v>332</v>
      </c>
      <c r="J1" s="9" t="s">
        <v>333</v>
      </c>
      <c r="K1" s="9" t="s">
        <v>259</v>
      </c>
      <c r="L1" s="9" t="s">
        <v>334</v>
      </c>
      <c r="M1" s="9" t="s">
        <v>335</v>
      </c>
      <c r="N1" s="9" t="s">
        <v>336</v>
      </c>
      <c r="O1" s="9" t="s">
        <v>337</v>
      </c>
      <c r="P1" s="9" t="s">
        <v>338</v>
      </c>
      <c r="Q1" s="9" t="s">
        <v>339</v>
      </c>
    </row>
    <row r="2" spans="1:17" ht="15.75" x14ac:dyDescent="0.25">
      <c r="A2" t="s">
        <v>9</v>
      </c>
      <c r="B2" s="10" t="s">
        <v>10</v>
      </c>
      <c r="C2" s="10" t="s">
        <v>340</v>
      </c>
      <c r="D2" s="10" t="s">
        <v>341</v>
      </c>
      <c r="E2" s="10" t="s">
        <v>342</v>
      </c>
      <c r="F2" s="10" t="s">
        <v>343</v>
      </c>
      <c r="G2" s="10" t="s">
        <v>344</v>
      </c>
      <c r="H2" s="10" t="s">
        <v>345</v>
      </c>
      <c r="I2" s="10" t="s">
        <v>346</v>
      </c>
      <c r="J2" s="10" t="s">
        <v>347</v>
      </c>
      <c r="K2" s="10" t="s">
        <v>348</v>
      </c>
      <c r="L2" s="10" t="s">
        <v>293</v>
      </c>
      <c r="M2" s="10" t="s">
        <v>349</v>
      </c>
      <c r="N2" s="10" t="s">
        <v>350</v>
      </c>
      <c r="O2" s="10" t="s">
        <v>351</v>
      </c>
      <c r="P2" s="10" t="s">
        <v>352</v>
      </c>
      <c r="Q2" s="10" t="s">
        <v>353</v>
      </c>
    </row>
    <row r="3" spans="1:17" ht="15.75" x14ac:dyDescent="0.25">
      <c r="A3" t="s">
        <v>19</v>
      </c>
      <c r="B3" s="10" t="s">
        <v>20</v>
      </c>
      <c r="C3" s="4" t="s">
        <v>157</v>
      </c>
      <c r="D3" s="4" t="s">
        <v>157</v>
      </c>
      <c r="E3" s="4" t="s">
        <v>22</v>
      </c>
      <c r="F3" s="4" t="s">
        <v>22</v>
      </c>
      <c r="G3" s="4" t="s">
        <v>22</v>
      </c>
      <c r="H3" s="4" t="s">
        <v>22</v>
      </c>
      <c r="I3" s="10" t="s">
        <v>20</v>
      </c>
      <c r="J3" s="10" t="s">
        <v>20</v>
      </c>
      <c r="K3" s="10" t="s">
        <v>20</v>
      </c>
      <c r="L3" s="4" t="s">
        <v>22</v>
      </c>
      <c r="M3" s="4" t="s">
        <v>20</v>
      </c>
      <c r="N3" s="4" t="s">
        <v>22</v>
      </c>
      <c r="O3" s="4" t="s">
        <v>20</v>
      </c>
      <c r="P3" s="4" t="s">
        <v>20</v>
      </c>
      <c r="Q3" s="4" t="s">
        <v>157</v>
      </c>
    </row>
    <row r="4" spans="1:17" ht="15.75" x14ac:dyDescent="0.25">
      <c r="A4" t="s">
        <v>23</v>
      </c>
      <c r="B4" s="4" t="s">
        <v>24</v>
      </c>
      <c r="C4" s="4" t="s">
        <v>24</v>
      </c>
      <c r="D4" s="4" t="s">
        <v>24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354</v>
      </c>
      <c r="N4" s="4" t="s">
        <v>24</v>
      </c>
      <c r="O4" s="4" t="s">
        <v>24</v>
      </c>
      <c r="P4" s="4" t="s">
        <v>24</v>
      </c>
      <c r="Q4" s="4" t="s">
        <v>24</v>
      </c>
    </row>
    <row r="5" spans="1:17" ht="15.75" x14ac:dyDescent="0.25">
      <c r="A5" t="s">
        <v>26</v>
      </c>
      <c r="B5" s="10"/>
      <c r="C5" s="10" t="s">
        <v>163</v>
      </c>
      <c r="D5" s="10" t="s">
        <v>163</v>
      </c>
      <c r="E5" s="10" t="s">
        <v>163</v>
      </c>
      <c r="F5" s="10" t="s">
        <v>163</v>
      </c>
      <c r="G5" s="10" t="s">
        <v>163</v>
      </c>
      <c r="H5" s="10" t="s">
        <v>163</v>
      </c>
      <c r="I5" s="10">
        <v>7</v>
      </c>
      <c r="J5" s="10"/>
      <c r="K5" s="10">
        <v>1</v>
      </c>
      <c r="L5" s="10" t="s">
        <v>163</v>
      </c>
      <c r="M5" s="10"/>
      <c r="N5" s="10" t="s">
        <v>163</v>
      </c>
      <c r="O5" s="10">
        <v>0</v>
      </c>
      <c r="P5" s="10">
        <v>0</v>
      </c>
      <c r="Q5" s="10" t="s">
        <v>163</v>
      </c>
    </row>
    <row r="6" spans="1:17" ht="15.75" x14ac:dyDescent="0.25">
      <c r="B6" s="9">
        <v>201</v>
      </c>
      <c r="C6" s="9" t="s">
        <v>355</v>
      </c>
      <c r="D6" s="9" t="s">
        <v>356</v>
      </c>
      <c r="E6" s="9" t="s">
        <v>357</v>
      </c>
      <c r="F6" s="9" t="s">
        <v>358</v>
      </c>
      <c r="G6" s="9" t="s">
        <v>359</v>
      </c>
      <c r="H6" s="9" t="s">
        <v>360</v>
      </c>
      <c r="I6" s="9">
        <v>7</v>
      </c>
      <c r="J6" s="9">
        <v>15000</v>
      </c>
      <c r="K6" s="9">
        <v>3</v>
      </c>
      <c r="L6" s="11" t="s">
        <v>361</v>
      </c>
      <c r="M6" s="11" t="s">
        <v>362</v>
      </c>
      <c r="N6" s="11" t="s">
        <v>363</v>
      </c>
      <c r="O6" s="11" t="s">
        <v>232</v>
      </c>
      <c r="P6" s="11" t="s">
        <v>262</v>
      </c>
      <c r="Q6" s="9" t="s">
        <v>364</v>
      </c>
    </row>
    <row r="7" spans="1:17" ht="15.75" x14ac:dyDescent="0.25">
      <c r="B7" s="9">
        <v>202</v>
      </c>
      <c r="C7" s="9" t="s">
        <v>355</v>
      </c>
      <c r="D7" s="9" t="s">
        <v>356</v>
      </c>
      <c r="E7" s="9" t="s">
        <v>357</v>
      </c>
      <c r="F7" s="9" t="s">
        <v>358</v>
      </c>
      <c r="G7" s="9" t="s">
        <v>359</v>
      </c>
      <c r="H7" s="9" t="s">
        <v>360</v>
      </c>
      <c r="I7" s="9">
        <v>7</v>
      </c>
      <c r="J7" s="9">
        <v>30000</v>
      </c>
      <c r="K7" s="9">
        <v>3</v>
      </c>
      <c r="L7" s="11" t="s">
        <v>365</v>
      </c>
      <c r="M7" s="11" t="s">
        <v>366</v>
      </c>
      <c r="N7" s="11" t="s">
        <v>367</v>
      </c>
      <c r="O7" s="11" t="s">
        <v>232</v>
      </c>
      <c r="P7" s="11" t="s">
        <v>260</v>
      </c>
      <c r="Q7" s="9" t="s">
        <v>368</v>
      </c>
    </row>
    <row r="8" spans="1:17" ht="15.75" x14ac:dyDescent="0.25">
      <c r="B8" s="9">
        <v>203</v>
      </c>
      <c r="C8" s="9" t="s">
        <v>369</v>
      </c>
      <c r="D8" s="9" t="s">
        <v>370</v>
      </c>
      <c r="E8" s="9" t="s">
        <v>371</v>
      </c>
      <c r="F8" s="9" t="s">
        <v>358</v>
      </c>
      <c r="G8" s="9" t="s">
        <v>372</v>
      </c>
      <c r="H8" s="9" t="s">
        <v>360</v>
      </c>
      <c r="I8" s="9">
        <v>7</v>
      </c>
      <c r="J8" s="9">
        <v>80000</v>
      </c>
      <c r="K8" s="9">
        <v>3</v>
      </c>
      <c r="L8" s="11" t="s">
        <v>373</v>
      </c>
      <c r="M8" s="11" t="s">
        <v>374</v>
      </c>
      <c r="N8" s="11" t="s">
        <v>375</v>
      </c>
      <c r="O8" s="11" t="s">
        <v>281</v>
      </c>
      <c r="P8" s="11" t="s">
        <v>376</v>
      </c>
      <c r="Q8" s="9" t="s">
        <v>377</v>
      </c>
    </row>
  </sheetData>
  <phoneticPr fontId="8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34998626667073579"/>
  </sheetPr>
  <dimension ref="A1:L9"/>
  <sheetViews>
    <sheetView workbookViewId="0">
      <selection activeCell="N13" sqref="N13"/>
    </sheetView>
  </sheetViews>
  <sheetFormatPr defaultColWidth="9" defaultRowHeight="14.25" x14ac:dyDescent="0.2"/>
  <cols>
    <col min="1" max="1" width="13" customWidth="1"/>
    <col min="2" max="3" width="11.75" customWidth="1"/>
    <col min="4" max="4" width="5.75" customWidth="1"/>
    <col min="5" max="5" width="10" customWidth="1"/>
    <col min="6" max="6" width="14.5" customWidth="1"/>
    <col min="7" max="9" width="10" customWidth="1"/>
    <col min="10" max="10" width="14.5" customWidth="1"/>
    <col min="11" max="12" width="12.25" customWidth="1"/>
  </cols>
  <sheetData>
    <row r="1" spans="1:12" x14ac:dyDescent="0.2">
      <c r="A1" t="s">
        <v>0</v>
      </c>
      <c r="B1" t="s">
        <v>220</v>
      </c>
      <c r="C1" t="s">
        <v>378</v>
      </c>
      <c r="E1" t="s">
        <v>379</v>
      </c>
      <c r="F1" t="s">
        <v>380</v>
      </c>
      <c r="G1" t="s">
        <v>381</v>
      </c>
      <c r="H1" t="s">
        <v>382</v>
      </c>
      <c r="J1" t="s">
        <v>383</v>
      </c>
      <c r="K1" t="s">
        <v>384</v>
      </c>
      <c r="L1" t="s">
        <v>385</v>
      </c>
    </row>
    <row r="2" spans="1:12" x14ac:dyDescent="0.2">
      <c r="A2" t="s">
        <v>9</v>
      </c>
      <c r="B2" s="2" t="s">
        <v>10</v>
      </c>
      <c r="C2" s="2" t="s">
        <v>386</v>
      </c>
      <c r="D2" s="3"/>
      <c r="E2" s="2" t="s">
        <v>387</v>
      </c>
      <c r="F2" s="2" t="s">
        <v>388</v>
      </c>
      <c r="G2" s="3"/>
      <c r="H2" s="2" t="s">
        <v>389</v>
      </c>
      <c r="I2" s="7"/>
      <c r="J2" s="2" t="s">
        <v>390</v>
      </c>
      <c r="K2" s="2" t="s">
        <v>391</v>
      </c>
      <c r="L2" s="2" t="s">
        <v>392</v>
      </c>
    </row>
    <row r="3" spans="1:12" x14ac:dyDescent="0.2">
      <c r="A3" t="s">
        <v>19</v>
      </c>
      <c r="B3" s="2" t="s">
        <v>20</v>
      </c>
      <c r="C3" s="2" t="s">
        <v>20</v>
      </c>
      <c r="D3" s="3"/>
      <c r="E3" s="2" t="s">
        <v>20</v>
      </c>
      <c r="F3" s="2" t="s">
        <v>20</v>
      </c>
      <c r="G3" s="3"/>
      <c r="H3" s="2" t="s">
        <v>21</v>
      </c>
      <c r="I3" s="7"/>
      <c r="J3" s="2" t="s">
        <v>20</v>
      </c>
      <c r="K3" s="2" t="s">
        <v>21</v>
      </c>
      <c r="L3" s="2" t="s">
        <v>21</v>
      </c>
    </row>
    <row r="4" spans="1:12" ht="15.75" x14ac:dyDescent="0.25">
      <c r="A4" t="s">
        <v>23</v>
      </c>
      <c r="B4" s="4" t="s">
        <v>24</v>
      </c>
      <c r="C4" s="4" t="s">
        <v>393</v>
      </c>
      <c r="D4" s="3"/>
      <c r="E4" s="4" t="s">
        <v>24</v>
      </c>
      <c r="F4" s="4" t="s">
        <v>24</v>
      </c>
      <c r="G4" s="3"/>
      <c r="H4" s="4" t="s">
        <v>24</v>
      </c>
      <c r="I4" s="8"/>
      <c r="J4" s="4" t="s">
        <v>393</v>
      </c>
      <c r="K4" s="4" t="s">
        <v>24</v>
      </c>
      <c r="L4" s="4" t="s">
        <v>24</v>
      </c>
    </row>
    <row r="5" spans="1:12" x14ac:dyDescent="0.2">
      <c r="A5" t="s">
        <v>26</v>
      </c>
      <c r="B5" s="2"/>
      <c r="C5" s="2"/>
      <c r="D5" s="3"/>
      <c r="E5" s="2">
        <v>0</v>
      </c>
      <c r="F5" s="2">
        <v>0</v>
      </c>
      <c r="G5" s="3"/>
      <c r="H5" s="2">
        <v>0</v>
      </c>
      <c r="I5" s="7"/>
      <c r="J5" s="2"/>
      <c r="K5" s="2">
        <v>0</v>
      </c>
      <c r="L5" s="2">
        <v>0</v>
      </c>
    </row>
    <row r="6" spans="1:12" x14ac:dyDescent="0.2">
      <c r="B6">
        <v>1</v>
      </c>
      <c r="C6">
        <v>6027</v>
      </c>
      <c r="D6" t="s">
        <v>394</v>
      </c>
      <c r="E6">
        <v>1</v>
      </c>
      <c r="F6">
        <v>0</v>
      </c>
      <c r="G6">
        <v>0</v>
      </c>
    </row>
    <row r="7" spans="1:12" x14ac:dyDescent="0.2">
      <c r="B7">
        <v>2</v>
      </c>
      <c r="C7">
        <v>6028</v>
      </c>
      <c r="D7" t="s">
        <v>395</v>
      </c>
      <c r="E7">
        <v>10</v>
      </c>
      <c r="F7">
        <v>20</v>
      </c>
      <c r="G7">
        <v>0.2</v>
      </c>
      <c r="H7" t="s">
        <v>396</v>
      </c>
      <c r="I7" t="s">
        <v>397</v>
      </c>
      <c r="J7">
        <v>600</v>
      </c>
    </row>
    <row r="8" spans="1:12" x14ac:dyDescent="0.2">
      <c r="B8">
        <v>3</v>
      </c>
      <c r="C8">
        <v>6029</v>
      </c>
      <c r="D8" t="s">
        <v>398</v>
      </c>
      <c r="E8">
        <v>15</v>
      </c>
      <c r="F8">
        <v>50</v>
      </c>
      <c r="G8">
        <v>0.5</v>
      </c>
      <c r="H8" t="s">
        <v>399</v>
      </c>
      <c r="I8" t="s">
        <v>400</v>
      </c>
      <c r="J8">
        <v>3000</v>
      </c>
    </row>
    <row r="9" spans="1:12" x14ac:dyDescent="0.2">
      <c r="B9">
        <v>4</v>
      </c>
      <c r="C9">
        <v>6030</v>
      </c>
      <c r="D9" t="s">
        <v>401</v>
      </c>
      <c r="E9">
        <v>25</v>
      </c>
      <c r="F9">
        <v>100</v>
      </c>
      <c r="G9">
        <v>1</v>
      </c>
      <c r="H9" t="s">
        <v>402</v>
      </c>
      <c r="I9" t="s">
        <v>403</v>
      </c>
      <c r="J9">
        <v>12000</v>
      </c>
    </row>
  </sheetData>
  <phoneticPr fontId="8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I32"/>
  <sheetViews>
    <sheetView workbookViewId="0">
      <selection activeCell="G37" sqref="G37"/>
    </sheetView>
  </sheetViews>
  <sheetFormatPr defaultColWidth="9" defaultRowHeight="14.25" x14ac:dyDescent="0.2"/>
  <cols>
    <col min="1" max="1" width="13" customWidth="1"/>
    <col min="3" max="3" width="26.25" customWidth="1"/>
    <col min="4" max="4" width="10.5" customWidth="1"/>
    <col min="5" max="5" width="18.875" customWidth="1"/>
    <col min="6" max="6" width="14.25" customWidth="1"/>
    <col min="7" max="7" width="42.75" customWidth="1"/>
    <col min="8" max="8" width="32.25" customWidth="1"/>
    <col min="9" max="9" width="32.75" customWidth="1"/>
  </cols>
  <sheetData>
    <row r="1" spans="1:9" x14ac:dyDescent="0.2">
      <c r="A1" t="s">
        <v>0</v>
      </c>
      <c r="B1" t="s">
        <v>404</v>
      </c>
      <c r="D1" t="s">
        <v>405</v>
      </c>
      <c r="E1" t="s">
        <v>406</v>
      </c>
      <c r="F1" t="s">
        <v>407</v>
      </c>
      <c r="G1" t="s">
        <v>408</v>
      </c>
      <c r="H1" t="s">
        <v>409</v>
      </c>
      <c r="I1" t="s">
        <v>410</v>
      </c>
    </row>
    <row r="2" spans="1:9" x14ac:dyDescent="0.2">
      <c r="A2" t="s">
        <v>9</v>
      </c>
      <c r="B2" s="2" t="s">
        <v>10</v>
      </c>
      <c r="C2" s="3"/>
      <c r="D2" s="2" t="s">
        <v>411</v>
      </c>
      <c r="E2" s="2" t="s">
        <v>412</v>
      </c>
      <c r="F2" s="2" t="s">
        <v>413</v>
      </c>
      <c r="G2" s="2" t="s">
        <v>414</v>
      </c>
      <c r="H2" s="2" t="s">
        <v>415</v>
      </c>
      <c r="I2" s="2" t="s">
        <v>416</v>
      </c>
    </row>
    <row r="3" spans="1:9" ht="15.75" x14ac:dyDescent="0.25">
      <c r="A3" t="s">
        <v>19</v>
      </c>
      <c r="B3" s="2" t="s">
        <v>20</v>
      </c>
      <c r="C3" s="3"/>
      <c r="D3" s="2" t="s">
        <v>20</v>
      </c>
      <c r="E3" s="4" t="s">
        <v>157</v>
      </c>
      <c r="F3" s="4" t="s">
        <v>22</v>
      </c>
      <c r="G3" s="4" t="s">
        <v>157</v>
      </c>
      <c r="H3" s="4" t="s">
        <v>157</v>
      </c>
      <c r="I3" s="4" t="s">
        <v>157</v>
      </c>
    </row>
    <row r="4" spans="1:9" ht="15.75" x14ac:dyDescent="0.25">
      <c r="A4" t="s">
        <v>23</v>
      </c>
      <c r="B4" s="4" t="s">
        <v>24</v>
      </c>
      <c r="C4" s="3"/>
      <c r="D4" s="4" t="s">
        <v>24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24</v>
      </c>
    </row>
    <row r="5" spans="1:9" x14ac:dyDescent="0.2">
      <c r="A5" t="s">
        <v>26</v>
      </c>
      <c r="B5" s="2"/>
      <c r="C5" s="3"/>
      <c r="D5" s="2">
        <v>0</v>
      </c>
      <c r="E5" s="2" t="s">
        <v>163</v>
      </c>
      <c r="F5" s="2" t="s">
        <v>163</v>
      </c>
      <c r="G5" s="2" t="s">
        <v>163</v>
      </c>
      <c r="H5" s="2" t="s">
        <v>163</v>
      </c>
      <c r="I5" s="2" t="s">
        <v>163</v>
      </c>
    </row>
    <row r="6" spans="1:9" x14ac:dyDescent="0.2">
      <c r="B6">
        <v>101</v>
      </c>
      <c r="C6" t="s">
        <v>417</v>
      </c>
      <c r="D6">
        <v>1</v>
      </c>
      <c r="E6" t="s">
        <v>418</v>
      </c>
      <c r="F6" t="s">
        <v>419</v>
      </c>
      <c r="G6" s="5" t="s">
        <v>420</v>
      </c>
      <c r="H6" s="5" t="s">
        <v>421</v>
      </c>
      <c r="I6" s="5" t="s">
        <v>422</v>
      </c>
    </row>
    <row r="7" spans="1:9" x14ac:dyDescent="0.2">
      <c r="B7">
        <v>102</v>
      </c>
      <c r="C7" t="s">
        <v>423</v>
      </c>
      <c r="D7">
        <v>1</v>
      </c>
      <c r="E7" t="s">
        <v>418</v>
      </c>
      <c r="F7" t="s">
        <v>419</v>
      </c>
      <c r="G7" s="5" t="s">
        <v>424</v>
      </c>
      <c r="H7" s="5" t="s">
        <v>425</v>
      </c>
      <c r="I7" s="5" t="s">
        <v>426</v>
      </c>
    </row>
    <row r="8" spans="1:9" x14ac:dyDescent="0.2">
      <c r="B8">
        <v>103</v>
      </c>
      <c r="C8" t="s">
        <v>427</v>
      </c>
      <c r="D8">
        <v>1</v>
      </c>
      <c r="E8" t="s">
        <v>428</v>
      </c>
      <c r="F8" t="s">
        <v>419</v>
      </c>
      <c r="G8" s="5" t="s">
        <v>429</v>
      </c>
      <c r="H8" s="5" t="s">
        <v>430</v>
      </c>
      <c r="I8" s="5" t="s">
        <v>431</v>
      </c>
    </row>
    <row r="9" spans="1:9" x14ac:dyDescent="0.2">
      <c r="B9">
        <v>201</v>
      </c>
      <c r="C9" t="s">
        <v>432</v>
      </c>
      <c r="D9">
        <v>2</v>
      </c>
      <c r="E9" t="s">
        <v>433</v>
      </c>
      <c r="F9" t="s">
        <v>419</v>
      </c>
      <c r="G9" s="5" t="s">
        <v>434</v>
      </c>
      <c r="H9" s="5" t="s">
        <v>435</v>
      </c>
      <c r="I9" s="5" t="s">
        <v>436</v>
      </c>
    </row>
    <row r="10" spans="1:9" s="1" customFormat="1" x14ac:dyDescent="0.2">
      <c r="B10" s="1">
        <v>202</v>
      </c>
      <c r="C10" s="1" t="s">
        <v>437</v>
      </c>
      <c r="D10" s="1">
        <v>2</v>
      </c>
      <c r="E10" s="1" t="s">
        <v>438</v>
      </c>
      <c r="F10" s="1" t="s">
        <v>419</v>
      </c>
      <c r="G10" s="6" t="s">
        <v>439</v>
      </c>
      <c r="H10" s="6" t="s">
        <v>440</v>
      </c>
      <c r="I10" s="6" t="s">
        <v>441</v>
      </c>
    </row>
    <row r="11" spans="1:9" s="1" customFormat="1" x14ac:dyDescent="0.2">
      <c r="B11">
        <v>203</v>
      </c>
      <c r="C11" s="1" t="s">
        <v>442</v>
      </c>
      <c r="D11" s="1">
        <v>2</v>
      </c>
      <c r="E11" s="1" t="s">
        <v>438</v>
      </c>
      <c r="F11" s="1" t="s">
        <v>419</v>
      </c>
      <c r="G11" s="6" t="s">
        <v>439</v>
      </c>
      <c r="H11" s="6" t="s">
        <v>440</v>
      </c>
      <c r="I11" s="6" t="s">
        <v>441</v>
      </c>
    </row>
    <row r="12" spans="1:9" x14ac:dyDescent="0.2">
      <c r="B12">
        <v>301</v>
      </c>
      <c r="C12" t="s">
        <v>443</v>
      </c>
      <c r="D12">
        <v>3</v>
      </c>
      <c r="E12" t="s">
        <v>418</v>
      </c>
      <c r="F12" t="s">
        <v>444</v>
      </c>
      <c r="G12" s="5" t="s">
        <v>445</v>
      </c>
      <c r="H12" s="5" t="s">
        <v>446</v>
      </c>
      <c r="I12" s="5" t="s">
        <v>447</v>
      </c>
    </row>
    <row r="13" spans="1:9" s="1" customFormat="1" x14ac:dyDescent="0.2">
      <c r="B13" s="1">
        <v>302</v>
      </c>
      <c r="C13" s="1" t="s">
        <v>448</v>
      </c>
      <c r="D13" s="1">
        <v>3</v>
      </c>
      <c r="E13" s="1" t="s">
        <v>449</v>
      </c>
      <c r="F13" s="1" t="s">
        <v>450</v>
      </c>
      <c r="G13" s="6" t="s">
        <v>451</v>
      </c>
      <c r="H13" s="6" t="s">
        <v>452</v>
      </c>
      <c r="I13" s="6" t="s">
        <v>453</v>
      </c>
    </row>
    <row r="14" spans="1:9" s="1" customFormat="1" x14ac:dyDescent="0.2">
      <c r="B14" s="1">
        <v>303</v>
      </c>
      <c r="C14" s="1" t="s">
        <v>454</v>
      </c>
      <c r="D14" s="1">
        <v>3</v>
      </c>
      <c r="E14" s="1" t="s">
        <v>449</v>
      </c>
      <c r="F14" s="1" t="s">
        <v>450</v>
      </c>
      <c r="G14" s="6" t="s">
        <v>451</v>
      </c>
      <c r="H14" s="6" t="s">
        <v>452</v>
      </c>
      <c r="I14" s="6" t="s">
        <v>453</v>
      </c>
    </row>
    <row r="15" spans="1:9" x14ac:dyDescent="0.2">
      <c r="B15">
        <v>401</v>
      </c>
      <c r="C15" t="s">
        <v>455</v>
      </c>
      <c r="D15">
        <v>4</v>
      </c>
      <c r="E15" t="s">
        <v>418</v>
      </c>
      <c r="F15" t="s">
        <v>419</v>
      </c>
      <c r="G15" s="5" t="s">
        <v>434</v>
      </c>
      <c r="H15" s="5" t="s">
        <v>435</v>
      </c>
      <c r="I15" s="5" t="s">
        <v>436</v>
      </c>
    </row>
    <row r="16" spans="1:9" x14ac:dyDescent="0.2">
      <c r="B16">
        <v>402</v>
      </c>
      <c r="C16" t="s">
        <v>456</v>
      </c>
      <c r="D16">
        <v>4</v>
      </c>
      <c r="E16" t="s">
        <v>418</v>
      </c>
      <c r="F16" t="s">
        <v>419</v>
      </c>
      <c r="G16" s="5" t="s">
        <v>457</v>
      </c>
      <c r="H16" s="5" t="s">
        <v>458</v>
      </c>
      <c r="I16" s="5" t="s">
        <v>459</v>
      </c>
    </row>
    <row r="17" spans="2:9" x14ac:dyDescent="0.2">
      <c r="B17">
        <v>403</v>
      </c>
      <c r="C17" t="s">
        <v>460</v>
      </c>
      <c r="D17">
        <v>4</v>
      </c>
      <c r="E17" t="s">
        <v>418</v>
      </c>
      <c r="F17" t="s">
        <v>419</v>
      </c>
      <c r="G17" s="5" t="s">
        <v>457</v>
      </c>
      <c r="H17" s="5" t="s">
        <v>458</v>
      </c>
      <c r="I17" s="5" t="s">
        <v>459</v>
      </c>
    </row>
    <row r="18" spans="2:9" x14ac:dyDescent="0.2">
      <c r="B18">
        <v>501</v>
      </c>
      <c r="C18" t="s">
        <v>461</v>
      </c>
      <c r="D18">
        <v>5</v>
      </c>
      <c r="E18" t="s">
        <v>418</v>
      </c>
      <c r="F18" t="s">
        <v>419</v>
      </c>
      <c r="G18" s="5" t="s">
        <v>420</v>
      </c>
      <c r="H18" s="5" t="s">
        <v>421</v>
      </c>
      <c r="I18" s="5" t="s">
        <v>422</v>
      </c>
    </row>
    <row r="19" spans="2:9" x14ac:dyDescent="0.2">
      <c r="B19">
        <v>502</v>
      </c>
      <c r="C19" t="s">
        <v>462</v>
      </c>
      <c r="D19">
        <v>5</v>
      </c>
      <c r="E19" t="s">
        <v>418</v>
      </c>
      <c r="F19" t="s">
        <v>419</v>
      </c>
      <c r="G19" s="5" t="s">
        <v>424</v>
      </c>
      <c r="H19" s="5" t="s">
        <v>425</v>
      </c>
      <c r="I19" s="5" t="s">
        <v>426</v>
      </c>
    </row>
    <row r="20" spans="2:9" x14ac:dyDescent="0.2">
      <c r="B20">
        <v>503</v>
      </c>
      <c r="C20" t="s">
        <v>463</v>
      </c>
      <c r="D20">
        <v>5</v>
      </c>
      <c r="E20" t="s">
        <v>418</v>
      </c>
      <c r="F20" t="s">
        <v>419</v>
      </c>
      <c r="G20" s="5" t="s">
        <v>424</v>
      </c>
      <c r="H20" s="5" t="s">
        <v>425</v>
      </c>
      <c r="I20" s="5" t="s">
        <v>426</v>
      </c>
    </row>
    <row r="21" spans="2:9" x14ac:dyDescent="0.2">
      <c r="B21">
        <v>601</v>
      </c>
      <c r="C21" t="s">
        <v>464</v>
      </c>
      <c r="D21">
        <v>6</v>
      </c>
      <c r="E21" t="s">
        <v>433</v>
      </c>
      <c r="F21" t="s">
        <v>465</v>
      </c>
      <c r="G21" s="5" t="s">
        <v>434</v>
      </c>
      <c r="H21" s="5" t="s">
        <v>435</v>
      </c>
      <c r="I21" s="5" t="s">
        <v>436</v>
      </c>
    </row>
    <row r="22" spans="2:9" x14ac:dyDescent="0.2">
      <c r="B22">
        <v>602</v>
      </c>
      <c r="C22" t="s">
        <v>466</v>
      </c>
      <c r="D22">
        <v>6</v>
      </c>
      <c r="E22" t="s">
        <v>433</v>
      </c>
      <c r="F22" t="s">
        <v>465</v>
      </c>
      <c r="G22" s="5" t="s">
        <v>457</v>
      </c>
      <c r="H22" s="5" t="s">
        <v>458</v>
      </c>
      <c r="I22" s="5" t="s">
        <v>467</v>
      </c>
    </row>
    <row r="23" spans="2:9" x14ac:dyDescent="0.2">
      <c r="B23">
        <v>603</v>
      </c>
      <c r="C23" t="s">
        <v>468</v>
      </c>
      <c r="D23">
        <v>6</v>
      </c>
      <c r="E23" t="s">
        <v>433</v>
      </c>
      <c r="F23" t="s">
        <v>465</v>
      </c>
      <c r="G23" s="5" t="s">
        <v>457</v>
      </c>
      <c r="H23" s="5" t="s">
        <v>458</v>
      </c>
      <c r="I23" s="5" t="s">
        <v>467</v>
      </c>
    </row>
    <row r="24" spans="2:9" x14ac:dyDescent="0.2">
      <c r="B24">
        <v>701</v>
      </c>
      <c r="C24" t="s">
        <v>469</v>
      </c>
      <c r="D24">
        <v>7</v>
      </c>
      <c r="E24" t="s">
        <v>433</v>
      </c>
      <c r="F24" t="s">
        <v>465</v>
      </c>
      <c r="G24" s="5" t="s">
        <v>434</v>
      </c>
      <c r="H24" s="5" t="s">
        <v>435</v>
      </c>
      <c r="I24" s="5" t="s">
        <v>436</v>
      </c>
    </row>
    <row r="25" spans="2:9" x14ac:dyDescent="0.2">
      <c r="B25">
        <v>702</v>
      </c>
      <c r="C25" t="s">
        <v>470</v>
      </c>
      <c r="D25">
        <v>7</v>
      </c>
      <c r="E25" t="s">
        <v>433</v>
      </c>
      <c r="F25" t="s">
        <v>465</v>
      </c>
      <c r="G25" s="5" t="s">
        <v>457</v>
      </c>
      <c r="H25" s="5" t="s">
        <v>458</v>
      </c>
      <c r="I25" s="5" t="s">
        <v>467</v>
      </c>
    </row>
    <row r="26" spans="2:9" x14ac:dyDescent="0.2">
      <c r="B26">
        <v>703</v>
      </c>
      <c r="C26" t="s">
        <v>471</v>
      </c>
      <c r="D26">
        <v>7</v>
      </c>
      <c r="E26" t="s">
        <v>433</v>
      </c>
      <c r="F26" t="s">
        <v>465</v>
      </c>
      <c r="G26" s="5" t="s">
        <v>457</v>
      </c>
      <c r="H26" s="5" t="s">
        <v>458</v>
      </c>
      <c r="I26" s="5" t="s">
        <v>467</v>
      </c>
    </row>
    <row r="27" spans="2:9" x14ac:dyDescent="0.2">
      <c r="B27">
        <v>801</v>
      </c>
      <c r="C27" t="s">
        <v>472</v>
      </c>
      <c r="D27">
        <v>8</v>
      </c>
      <c r="E27" t="s">
        <v>433</v>
      </c>
      <c r="F27" t="s">
        <v>465</v>
      </c>
      <c r="G27" s="5" t="s">
        <v>434</v>
      </c>
      <c r="H27" s="5" t="s">
        <v>435</v>
      </c>
      <c r="I27" s="5" t="s">
        <v>436</v>
      </c>
    </row>
    <row r="28" spans="2:9" x14ac:dyDescent="0.2">
      <c r="B28">
        <v>802</v>
      </c>
      <c r="C28" t="s">
        <v>473</v>
      </c>
      <c r="D28">
        <v>8</v>
      </c>
      <c r="E28" t="s">
        <v>433</v>
      </c>
      <c r="F28" t="s">
        <v>465</v>
      </c>
      <c r="G28" s="5" t="s">
        <v>457</v>
      </c>
      <c r="H28" s="5" t="s">
        <v>458</v>
      </c>
      <c r="I28" s="5" t="s">
        <v>467</v>
      </c>
    </row>
    <row r="29" spans="2:9" x14ac:dyDescent="0.2">
      <c r="B29">
        <v>803</v>
      </c>
      <c r="C29" t="s">
        <v>474</v>
      </c>
      <c r="D29">
        <v>8</v>
      </c>
      <c r="E29" t="s">
        <v>433</v>
      </c>
      <c r="F29" t="s">
        <v>465</v>
      </c>
      <c r="G29" s="5" t="s">
        <v>457</v>
      </c>
      <c r="H29" s="5" t="s">
        <v>458</v>
      </c>
      <c r="I29" s="5" t="s">
        <v>467</v>
      </c>
    </row>
    <row r="30" spans="2:9" x14ac:dyDescent="0.2">
      <c r="B30">
        <v>901</v>
      </c>
      <c r="C30" t="s">
        <v>475</v>
      </c>
      <c r="D30">
        <v>9</v>
      </c>
      <c r="E30" t="s">
        <v>476</v>
      </c>
      <c r="F30" t="s">
        <v>419</v>
      </c>
      <c r="G30" t="s">
        <v>420</v>
      </c>
      <c r="H30" t="s">
        <v>421</v>
      </c>
      <c r="I30" t="s">
        <v>422</v>
      </c>
    </row>
    <row r="31" spans="2:9" x14ac:dyDescent="0.2">
      <c r="B31">
        <v>902</v>
      </c>
      <c r="C31" t="s">
        <v>477</v>
      </c>
      <c r="D31">
        <v>9</v>
      </c>
      <c r="E31" t="s">
        <v>476</v>
      </c>
      <c r="F31" t="s">
        <v>419</v>
      </c>
      <c r="G31" t="s">
        <v>424</v>
      </c>
      <c r="H31" t="s">
        <v>425</v>
      </c>
      <c r="I31" t="s">
        <v>426</v>
      </c>
    </row>
    <row r="32" spans="2:9" x14ac:dyDescent="0.2">
      <c r="B32">
        <v>903</v>
      </c>
      <c r="C32" t="s">
        <v>478</v>
      </c>
      <c r="D32">
        <v>9</v>
      </c>
      <c r="E32" t="s">
        <v>476</v>
      </c>
      <c r="F32" t="s">
        <v>419</v>
      </c>
      <c r="G32" t="s">
        <v>429</v>
      </c>
      <c r="H32" t="s">
        <v>430</v>
      </c>
      <c r="I32" t="s">
        <v>479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mode_game</vt:lpstr>
      <vt:lpstr>room</vt:lpstr>
      <vt:lpstr>room_friend</vt:lpstr>
      <vt:lpstr>room_reward</vt:lpstr>
      <vt:lpstr>blood_other</vt:lpstr>
      <vt:lpstr>crazy_blood_other</vt:lpstr>
      <vt:lpstr>super_ai_other</vt:lpstr>
      <vt:lpstr>profit_group</vt:lpstr>
      <vt:lpstr>profit_reward</vt:lpstr>
      <vt:lpstr>blood_room</vt:lpstr>
      <vt:lpstr>multiple</vt:lpstr>
      <vt:lpstr>multiple_level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Administrator</cp:lastModifiedBy>
  <dcterms:created xsi:type="dcterms:W3CDTF">2015-06-05T18:19:00Z</dcterms:created>
  <dcterms:modified xsi:type="dcterms:W3CDTF">2026-03-06T09:46:05Z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1925B98E215C4CAB8C174F61897F83A7_12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