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F:\gitproject\mini_gs_config\Datas\"/>
    </mc:Choice>
  </mc:AlternateContent>
  <xr:revisionPtr revIDLastSave="0" documentId="13_ncr:1_{121B209B-B63F-4EDF-9079-5AA4A5F71D94}" xr6:coauthVersionLast="47" xr6:coauthVersionMax="47" xr10:uidLastSave="{00000000-0000-0000-0000-000000000000}"/>
  <bookViews>
    <workbookView xWindow="-26970" yWindow="2700" windowWidth="21600" windowHeight="11235" tabRatio="832" activeTab="1" xr2:uid="{00000000-000D-0000-FFFF-FFFF00000000}"/>
  </bookViews>
  <sheets>
    <sheet name="activity_id" sheetId="1" r:id="rId1"/>
    <sheet name="mode_type1" sheetId="16" r:id="rId2"/>
    <sheet name="mode_type2" sheetId="17" r:id="rId3"/>
    <sheet name="mode_type3" sheetId="18" r:id="rId4"/>
    <sheet name="mode_type4" sheetId="20" r:id="rId5"/>
    <sheet name="mode_type5" sheetId="22" r:id="rId6"/>
    <sheet name="mode_type6" sheetId="23" r:id="rId7"/>
    <sheet name="mode_login" sheetId="24" r:id="rId8"/>
    <sheet name="mode_weekend" sheetId="25" r:id="rId9"/>
    <sheet name="circle_quest" sheetId="26" r:id="rId10"/>
    <sheet name="daily_pass" sheetId="27" r:id="rId11"/>
    <sheet name="任务类型" sheetId="2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23" l="1"/>
  <c r="B76" i="23"/>
  <c r="B75" i="23"/>
  <c r="B74" i="23"/>
  <c r="B73" i="23"/>
  <c r="B72" i="23"/>
  <c r="B71" i="23"/>
  <c r="B70" i="23"/>
  <c r="B69" i="23"/>
  <c r="B68" i="23"/>
  <c r="B67" i="23"/>
  <c r="B66" i="23"/>
  <c r="B65" i="23"/>
  <c r="B64" i="23"/>
  <c r="B63" i="23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23" i="1"/>
  <c r="B22" i="1"/>
  <c r="B21" i="1"/>
  <c r="B20" i="1"/>
  <c r="B19" i="1"/>
  <c r="B18" i="1"/>
  <c r="B17" i="1"/>
  <c r="B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B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活动标签语言包指定id
</t>
        </r>
      </text>
    </comment>
    <comment ref="C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0：特殊活动，无模板
1：模板1
2：模板2
3：模板3
4：模板4</t>
        </r>
      </text>
    </comment>
    <comment ref="F1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商店分页从左到右排序，根据order由小到大排序
order相同时根据模式id由小到大排序</t>
        </r>
      </text>
    </comment>
    <comment ref="H12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0:不刷新
1：每日刷新</t>
        </r>
      </text>
    </comment>
    <comment ref="I1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J12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  <comment ref="K12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首次打开时是否该分页标签按钮有小红点
0：默认无
1：有</t>
        </r>
      </text>
    </comment>
    <comment ref="L12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显示在活动或公告
0：活动
1：公告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对应活动页签表中的活动id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对应活动页签表中的活动id</t>
        </r>
      </text>
    </comment>
    <comment ref="D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E2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  <comment ref="F2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[[物品id,数量],[物品id,数量],…]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C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对应活动页签表中的活动id</t>
        </r>
      </text>
    </comment>
    <comment ref="G1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0表示不显示
其他数字表示要求次数</t>
        </r>
      </text>
    </comment>
    <comment ref="K1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未满足任务条件前，按钮的文案</t>
        </r>
      </text>
    </comment>
    <comment ref="I2" authorId="1" shapeId="0" xr:uid="{00000000-0006-0000-03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J2" authorId="1" shapeId="0" xr:uid="{00000000-0006-0000-03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C1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对应活动页签表中的活动id</t>
        </r>
      </text>
    </comment>
    <comment ref="G1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0表示不显示
其他数字表示要求次数</t>
        </r>
      </text>
    </comment>
    <comment ref="K1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未满足任务条件前，按钮的文案</t>
        </r>
      </text>
    </comment>
    <comment ref="I2" authorId="1" shapeId="0" xr:uid="{00000000-0006-0000-04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J2" authorId="1" shapeId="0" xr:uid="{00000000-0006-0000-04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对应活动页签表中的活动id</t>
        </r>
      </text>
    </comment>
    <comment ref="G2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/t：空格
/n：换行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对应活动页签表中的活动id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0表示不显示
其他数字表示要求次数</t>
        </r>
      </text>
    </comment>
    <comment ref="M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未满足任务条件前，按钮的文案</t>
        </r>
      </text>
    </comment>
    <comment ref="D2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101：三位id表示进度条任务
1：1位id表示非进度条任务</t>
        </r>
      </text>
    </comment>
    <comment ref="J2" authorId="0" shapeId="0" xr:uid="{00000000-0006-0000-06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0:不刷新
1：每日刷新</t>
        </r>
      </text>
    </comment>
    <comment ref="K2" authorId="1" shapeId="0" xr:uid="{00000000-0006-0000-06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L2" authorId="1" shapeId="0" xr:uid="{00000000-0006-0000-06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2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1：周六
2：周日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Carys</author>
  </authors>
  <commentList>
    <comment ref="B2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101：三位id表示进度条任务
1：1位id表示非进度条任务</t>
        </r>
      </text>
    </comment>
    <comment ref="G2" authorId="1" shapeId="0" xr:uid="{00000000-0006-0000-0900-000002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【物品id，物品数量】</t>
        </r>
      </text>
    </comment>
    <comment ref="I2" authorId="1" shapeId="0" xr:uid="{00000000-0006-0000-0900-000003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0:不刷新，领取一次后不能再领取
1：每日刷新</t>
        </r>
      </text>
    </comment>
  </commentList>
</comments>
</file>

<file path=xl/sharedStrings.xml><?xml version="1.0" encoding="utf-8"?>
<sst xmlns="http://schemas.openxmlformats.org/spreadsheetml/2006/main" count="744" uniqueCount="259">
  <si>
    <t>CONFIG_NAME</t>
  </si>
  <si>
    <t>配置名, 如果没有这个字段, 则这个Sheet不会导出</t>
  </si>
  <si>
    <t>CONFIG_DESCRIPTION</t>
  </si>
  <si>
    <t>活动分页配置表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</si>
  <si>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</si>
  <si>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</si>
  <si>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</si>
  <si>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</si>
  <si>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</si>
  <si>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</si>
  <si>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</si>
  <si>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</si>
  <si>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</si>
  <si>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</si>
  <si>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</si>
  <si>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</si>
  <si>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活动标签序号</t>
  </si>
  <si>
    <t>活动标签名</t>
  </si>
  <si>
    <t>参考中文名</t>
  </si>
  <si>
    <t>活动模板</t>
  </si>
  <si>
    <t>活动序号</t>
  </si>
  <si>
    <t>活动排序</t>
  </si>
  <si>
    <t>活动背景图</t>
  </si>
  <si>
    <t>任务刷新类型</t>
  </si>
  <si>
    <t>出现时间</t>
  </si>
  <si>
    <t>消失时间</t>
  </si>
  <si>
    <t>小红点</t>
  </si>
  <si>
    <t>分页</t>
  </si>
  <si>
    <t>跳转</t>
  </si>
  <si>
    <t>id</t>
  </si>
  <si>
    <t>name</t>
  </si>
  <si>
    <t>name_ch</t>
  </si>
  <si>
    <t>mode_type</t>
  </si>
  <si>
    <t>mode_id</t>
  </si>
  <si>
    <t>order</t>
  </si>
  <si>
    <t>activity_bg</t>
  </si>
  <si>
    <t>task_refresh</t>
  </si>
  <si>
    <t>time_up</t>
  </si>
  <si>
    <t>time_down</t>
  </si>
  <si>
    <t>point_red</t>
  </si>
  <si>
    <t>type_title</t>
  </si>
  <si>
    <t>link</t>
  </si>
  <si>
    <t>int32</t>
  </si>
  <si>
    <t>string</t>
  </si>
  <si>
    <t>key,lua,pb,json</t>
  </si>
  <si>
    <t>lua,pb,json</t>
  </si>
  <si>
    <t>bg_1</t>
  </si>
  <si>
    <t>实名认证</t>
  </si>
  <si>
    <t>手机绑定</t>
  </si>
  <si>
    <t>bg_2</t>
  </si>
  <si>
    <t>欢迎公告</t>
  </si>
  <si>
    <t>bg_3</t>
  </si>
  <si>
    <t>累计充值</t>
  </si>
  <si>
    <t>bg_4</t>
  </si>
  <si>
    <t>消费活动</t>
  </si>
  <si>
    <t>bg_5</t>
  </si>
  <si>
    <t>兑换活动</t>
  </si>
  <si>
    <t>bg_6</t>
  </si>
  <si>
    <t>在线有奖</t>
  </si>
  <si>
    <t>bg_7</t>
  </si>
  <si>
    <t>首充送豪礼</t>
  </si>
  <si>
    <t>bg_8</t>
  </si>
  <si>
    <t>对局送金币</t>
  </si>
  <si>
    <t>bg_9</t>
  </si>
  <si>
    <t>##comment</t>
  </si>
  <si>
    <t>活动id</t>
  </si>
  <si>
    <t>任务标签名</t>
  </si>
  <si>
    <t>任务类型</t>
  </si>
  <si>
    <t>解释字段</t>
  </si>
  <si>
    <t>活动开始时间</t>
  </si>
  <si>
    <t>活动结束时间</t>
  </si>
  <si>
    <t>按钮状态1</t>
  </si>
  <si>
    <t>按钮状态2</t>
  </si>
  <si>
    <t>按钮状态3</t>
  </si>
  <si>
    <t>任务奖励</t>
  </si>
  <si>
    <t>##var</t>
  </si>
  <si>
    <t>name_task</t>
  </si>
  <si>
    <t>#name_task_ch</t>
  </si>
  <si>
    <t>type_task</t>
  </si>
  <si>
    <t>explain</t>
  </si>
  <si>
    <t>time_start</t>
  </si>
  <si>
    <t>time_end</t>
  </si>
  <si>
    <t>name_button1</t>
  </si>
  <si>
    <t>#name_button1_ch</t>
  </si>
  <si>
    <t>name_button2</t>
  </si>
  <si>
    <t>#name_button2_ch</t>
  </si>
  <si>
    <t>name_button3</t>
  </si>
  <si>
    <t>#name_button3_ch</t>
  </si>
  <si>
    <t>task_reward</t>
  </si>
  <si>
    <t>##type</t>
  </si>
  <si>
    <t>##group</t>
  </si>
  <si>
    <t>c,s</t>
  </si>
  <si>
    <t>vb</t>
  </si>
  <si>
    <t>##</t>
  </si>
  <si>
    <t>时间未到</t>
  </si>
  <si>
    <t>累计登录2天</t>
  </si>
  <si>
    <t>累计登录5天</t>
  </si>
  <si>
    <t>兑换消耗物品</t>
  </si>
  <si>
    <t>兑换奖励</t>
  </si>
  <si>
    <t>兑换次数</t>
  </si>
  <si>
    <t>change_use</t>
  </si>
  <si>
    <t>change_reward</t>
  </si>
  <si>
    <t>change_time</t>
  </si>
  <si>
    <t>[[]]</t>
  </si>
  <si>
    <t>[[710001,1]]</t>
  </si>
  <si>
    <t>[[710001,10]]</t>
  </si>
  <si>
    <t>[[710001,30]]</t>
  </si>
  <si>
    <t>[[710001,60]]</t>
  </si>
  <si>
    <t>[[710001,80]]</t>
  </si>
  <si>
    <t>10月1日当天登录游戏</t>
  </si>
  <si>
    <t>领 取</t>
  </si>
  <si>
    <t>已领取</t>
  </si>
  <si>
    <t>每日分享一次</t>
  </si>
  <si>
    <t>去分享</t>
  </si>
  <si>
    <t>除夕当天登录游戏</t>
  </si>
  <si>
    <t>累充活动配置表</t>
  </si>
  <si>
    <t>累计充值60钻石</t>
  </si>
  <si>
    <t>去充值</t>
  </si>
  <si>
    <t>累计充值300钻石</t>
  </si>
  <si>
    <t>累计充值680钻石</t>
  </si>
  <si>
    <t>累计充值1280钻石</t>
  </si>
  <si>
    <t>累计充值3280钻石</t>
  </si>
  <si>
    <t>累计充值6480钻石</t>
  </si>
  <si>
    <t>累计充值12880钻石</t>
  </si>
  <si>
    <t>累计充值28880钻石</t>
  </si>
  <si>
    <t>累计充值58880钻石</t>
  </si>
  <si>
    <t>公告标题</t>
  </si>
  <si>
    <t>公告内容</t>
  </si>
  <si>
    <t>name_title</t>
  </si>
  <si>
    <t>#name_title_ch</t>
  </si>
  <si>
    <t>name_notice</t>
  </si>
  <si>
    <t>#name_notice_ch</t>
  </si>
  <si>
    <t>健康游戏公告</t>
  </si>
  <si>
    <t>/n尊敬的台球王者：/n抵制不良游戏，拒绝盗版游戏。/n注意自我保护，谨防受骗上当。/n适度游戏益脑，沉迷游戏伤身。/n合理安排时间，享受健康生活。</t>
  </si>
  <si>
    <t>比赛违规声明</t>
  </si>
  <si>
    <t>/n尊敬的台球王者：/n/n      台球王者比赛一直遵循着公平竞技的原则，为保证所有台球玩家的利益，为大家提供公平公正的比赛环境，将通过禁赛、封号等措施，全面打击非正常比赛行为。具体措施如下：/n/n    在对局过程中，一旦监测出有玩家使用外挂、或其他非正常比赛的行为（包括但不限于故意拖延时间、故意输赢等），根据情节严重程度，暂时或永久性地禁止参赛或登录。情节严重的将移交有关行政管理机关给与行政处罚，或者追究刑事责任。/n/n  严厉打击倒卖游戏金币等虚拟货币的内容，有一些玩家私下倒卖金币，后面将严厉查处，一旦发现违规，永久封号/n/n《台球王者》官方运营团队</t>
  </si>
  <si>
    <t>封号说明</t>
  </si>
  <si>
    <t>/n    部分玩家利用非正常方式进行游戏并获取利益，严重干扰和破坏游戏环境以及正常玩家的游戏体验。/n    为了保护游戏环境和所有正常玩家的游戏利益，决定对以下账号进行永久封号处理！部分做清除钻石处理！/n/n   77848407，14545212，39425621，23238590，26633504，32054605，98374560，92640642，12316482，71841363，19839961，35428942，51590140，9673538016372248，77756726，71000361，38229044，77528321，90487086，21253624，74231255，19183205，44102204，79255437/n/n    对以上玩家，情节严重者，官方保留追究法律责任！/n    后续项目团队将持续公布处理情况，同时如您在游戏内发现该类非法行为，欢迎通过客服平台进行举报提交！/n    净化网络环境，从你我做起！</t>
  </si>
  <si>
    <t>第三届《台球王者》俱乐部联赛通知</t>
  </si>
  <si>
    <t>/n    尊敬的各位玩家朋友：/n第三届《台球王者》俱乐部联赛火爆来袭，激动时刻马上来临，球友们是不是已经蓄势待发了呢！本次俱乐部联赛将以邀请赛方式进行，参赛资格将通过8月6日至8月12日，以及8月13日至19日的共两周的周盈利榜单和双周盈利榜单作为基础条件，最终邀请8支俱乐部进行BCL2的冠军争夺，届时将会通过微信视频号《台球王者》为球友们开启一场球技盛宴。新的战火即将点燃，为冠军荣誉而战！更多赛事详情可通过游戏大厅的【俱乐部联赛】了解噢~/n台球王者官方交流QQ群1：730425457/n台球王者官方交流QQ群2：769641923</t>
  </si>
  <si>
    <t>更新公告</t>
  </si>
  <si>
    <t>/n    &lt;color=#FFEF00&gt;为了玩家能有更好的对局体验，我们调整了如下相关功能与游戏内容&lt;/color&gt;/n    &lt;color=#FFEF00&gt;1. 我们将在5月1日开启【劳动闪耀季】活动&lt;/color&gt;/n    &lt;color=#FFEF00&gt;2. 我们将在5月开启【青涩回忆】活动&lt;/color&gt;/n    &lt;color=#FFEF00&gt;3. 我们将在5月1日推出【枫叶团扇】礼包&lt;/color&gt; /n    &lt;color=#FFEF00&gt;4. 我们将在5月1日推出【充值好礼】礼包&lt;/color&gt;/n    &lt;color=#FFEF00&gt;5. 我们将在5月1日推出【材料补给】礼包&lt;/color&gt;/n    &lt;color=#FFEF00&gt;6. 我们将在5月1日推出【虎啸风生】礼包&lt;/color&gt;/n    &lt;color=#FFEF00&gt;7. 我们修复一些BUG和优化部分游戏体验&lt;/color&gt;/n我们一直以来都十分重视玩家对游戏的反馈，如玩家有任何建议或意见，欢迎大家通过从各个渠道向我们反馈，预祝各位玩家游戏愉快！</t>
  </si>
  <si>
    <t>官方公告</t>
  </si>
  <si>
    <t>亲爱的台球王者全体玩家：/n  我们一直以来都十分重视玩家对游戏的反馈，并致力于为玩家打造文明、优质的游戏环境。近期，有大量玩家反馈在使用俱乐部红包时出现玩家乱抢红包，导致产生纠纷等情况，经过对玩家反馈信息的收集和分析调查，为保证玩家的游戏体验，我们经讨论决定自2023年6月26日起关闭“我要发红包”功能，在功能关闭期间，我们将会对红包发放和领取进行优化，力求在根本上解决影响玩家体验的问题。/n  同时，为保证玩家的整体游戏体验，红包页签仍会在俱乐部中保留，各位玩家仍然可以在该页签领取充值红包等其他红包。由此给您带来的不变，研发团队深表歉意！我们会努力对游戏进行优化，并持续保持关注玩家的反馈和建议，再次敬请您的谅解与支持。/n/n  台球王者团队/n  2023年6月25日</t>
  </si>
  <si>
    <t>文明公约</t>
  </si>
  <si>
    <t>尊敬的玩家：/n 我们一直致力于为广大玩家提供一个健康、和谐的游戏环境。为了进一步规范游戏行为，维护游戏公平公正，我们特此发布本公告。/n 一、文明游戏，尊重他人/n请各位玩家在游戏中保持文明行为，不得使用侮辱、谩骂等不文明语言攻击他人。我们希望每个玩家都能以友好的态度进行交流，共同营造一个和谐的游戏社区。/n二、禁言规定，严明纪律/n若发现玩家在游戏中使用侮辱、谩骂等不文明语言，我们将对其进行禁言处罚。禁言期限将根据违规行为的严重程度而定。被禁言的玩家在禁言期间将无法在游戏中进行文字交流。/n三、封号处罚，严肃追责/n对于使用侮辱、谩骂等不文明语言攻击他人，且情节严重的玩家，我们将对其进行封号处罚。封号期限将根据违规行为的严重程度而定。被封号的玩家将无法登录游戏并进行任何操作。/n四、举报机制，保障公平/n我们鼓励广大玩家积极举报使用不文明语言的玩家。若您在游戏中遇到违规行为，请及时向我们的客服团队进行举报。我们将对举报内容进行核实，并严肃处理违规行为。/n请各位玩家认真遵守本公告内容，共同维护一个健康、和谐的游戏环境。感谢大家的理解与支持！</t>
  </si>
  <si>
    <t>封号处罚公告</t>
  </si>
  <si>
    <t>为保障各位玩家的正常游戏体验，打造绿色健康休闲竞技台球游戏，台球运营团队通过游戏内检测和玩家反馈，定期对一些违规行为的账号进行包含但不限于禁言、封号、清号等处罚。/n本游戏为休闲体育竞技游戏，游戏内禁止辱骂，挑起对立，禁止使用第三方违规软件，禁止一切涉黄涉赌等不文明行为，请自觉抵制和远离，如有主动涉及造成的后果与平台无关。/n欢迎广大玩家向平台反馈举报，共同维护绿色健康环境。情节特别严重者，根据实际情况会采取相关的法律措施。/n/n以下是处罚名单，含清号，封号和禁言：/468499**,757889**,805695**,594493**,821845**,641724**,499039**,488209**,631780**,236305**,931859**,239237**,958325**,999817**,139651**,261421**,538872**,360458**,763416**,998574**,515712**,222695**,851677**,108101**,816820**,939833**,642130**,491741**,240333**,917633**,674907**,700427**,889216**,623191**,837277**,480844**,296891**,481264**,423775**,665206**,414707**,314339**,188038**,896461**,581703**,339155**,944360**,643960**,783336**,164058**,726106**,661989**,136232**,534815**,534815**,736046**,273215**,452127**,546506**,292896**,385881**,823282**,962323**,839386**,266571**,546196**,236305**,490381**,452093**,807641**468499**/n/n让我们共同努力，共建绿色健康平台！祝大家游戏开心!</t>
  </si>
  <si>
    <t>俱乐部联赛开启通知</t>
  </si>
  <si>
    <t>/n    各位台球爱好者们，热血沸腾的《台球王者》年度争霸赛重磅开启！战火将于 2024 年 12 月 7 日至 12 月 20 日迎来扣人心弦的名额争夺！想登上这荣耀赛场、与各路高手一决雌雄吗？机会来了！只要你所在的俱乐部能跻身双周盈利榜前八，就能成功晋级本次年度争霸盛事，参与千元大奖的激烈角逐！更多详细赛制、规则以及专属福利，烦请移步至联赛页面仔细查阅，每一处细节都不容错过，精彩对决，就等你来！</t>
  </si>
  <si>
    <t>致全体玩家</t>
  </si>
  <si>
    <t>/n尊敬的台球王者：/n瑞雪辞旧岁，福蛇报新春。在这辞旧迎新的美好时刻，[台球王者官方] 全体成员真诚的向一直以来支持和热爱 [台球王者] 的每一位玩家，送上最诚挚、最热烈的新春祝福！/n感谢大家一路相伴，让游戏绽放光彩、持续进步 。值此新春佳节，我们为大家精心准备了一系列丰富多彩的春节活动，有机会赢取珍稀道具、限定皮肤等丰厚奖励。/n最后祝各位玩家新春快乐，身体健康，阖家美满。愿新的一年事业顺遂、学业有成，在游戏中尽享乐趣，把把清台，收获荣耀成就！/n/n台球王者官方全体成员</t>
  </si>
  <si>
    <t>尊敬的台球王者：/n为维护公平健康的游戏环境，保障玩家权益，《台球王者》运营团队始终秉持“零容忍”态度，严厉打击任何外挂、脚本、第三方非法程序等作弊行为。被检测出作弊的账号将被封号处罚，公示如下：/n111301**、157082**、170644**、207949**、379254**、394543**、403239**、436491**、445606**、458595**、498949**、524570**、565593**、571255**、690910**、709801**、747189**、748262**、754902**、827804**、854887**、960257**、994302**、133335**、137278**、162334**、181331**、221873**、229400**、235040**、271974**、275238**、284216**、288719**、310754**、345253**、376859**、394598**、407932**、417444**、423161**、436565**、461134**/n/n我们呼吁全体玩家共同监督，携手净化游戏环境！/n《台球王者》运营团队/n2025年3月3日</t>
  </si>
  <si>
    <t>/n    球桌上的勇士们，激动人心的《台球王者》春季赛即将拉开帷幕！2025年3月8日至3月22日，我们将迎来一场激烈的名额争夺战！你是否渴望站上这荣耀的舞台，与顶尖高手一较高下？现在，机会就在眼前！只要你的俱乐部能在双周盈利榜中跻身前八，即可成功晋级这场年度巅峰对决，争夺千元大奖！精彩对决，期待你的加入！详细规则可在“游戏主界面-赛事”进行查看</t>
  </si>
  <si>
    <t>任务序号</t>
  </si>
  <si>
    <t>任务说明</t>
  </si>
  <si>
    <t>任务中文名</t>
  </si>
  <si>
    <t>task</t>
  </si>
  <si>
    <t>累计登录10天</t>
  </si>
  <si>
    <t>累计登录15天</t>
  </si>
  <si>
    <t>累计登录21天</t>
  </si>
  <si>
    <t>每日登录</t>
  </si>
  <si>
    <t>邀请一位好友进入游戏</t>
  </si>
  <si>
    <t>去邀请</t>
  </si>
  <si>
    <t>累计邀请2位好友进入游戏</t>
  </si>
  <si>
    <t>累计邀请5位好友进入游戏</t>
  </si>
  <si>
    <t>累计邀请10位好友进入游戏</t>
  </si>
  <si>
    <t>累计邀请20位好友进入游戏</t>
  </si>
  <si>
    <t>登录开始时间</t>
  </si>
  <si>
    <t>登录结束时间</t>
  </si>
  <si>
    <t>类型解释字段</t>
  </si>
  <si>
    <t>任务奖励组</t>
  </si>
  <si>
    <t>start_time</t>
  </si>
  <si>
    <t>end_time</t>
  </si>
  <si>
    <t>reward</t>
  </si>
  <si>
    <t>定时登录礼</t>
  </si>
  <si>
    <t>任务天数</t>
  </si>
  <si>
    <t>任务标题名</t>
  </si>
  <si>
    <t>参考中文</t>
  </si>
  <si>
    <t>任务说明名</t>
  </si>
  <si>
    <t>兑换券奖励</t>
  </si>
  <si>
    <t>day</t>
  </si>
  <si>
    <t>#name_title</t>
  </si>
  <si>
    <t>reward1</t>
  </si>
  <si>
    <t>reward2</t>
  </si>
  <si>
    <t>周末福利站配置表</t>
  </si>
  <si>
    <t>周六登录</t>
  </si>
  <si>
    <t>登录1次游戏</t>
  </si>
  <si>
    <t>周六在线</t>
  </si>
  <si>
    <t>累计在线10分钟</t>
  </si>
  <si>
    <t>周六对局</t>
  </si>
  <si>
    <t>完成任意3次对局</t>
  </si>
  <si>
    <t>周日登录</t>
  </si>
  <si>
    <t>周日在线</t>
  </si>
  <si>
    <t>周日对局</t>
  </si>
  <si>
    <t>进度</t>
  </si>
  <si>
    <t>奖励</t>
  </si>
  <si>
    <t>progress</t>
  </si>
  <si>
    <t>(list#sep=;),int</t>
  </si>
  <si>
    <t>游戏圈任务</t>
  </si>
  <si>
    <t>加入游戏圈即可获得好礼！</t>
  </si>
  <si>
    <t>1;1</t>
  </si>
  <si>
    <t>在游戏圈中发布1个帖子</t>
  </si>
  <si>
    <t>600001;1</t>
  </si>
  <si>
    <t>在游戏圈中评论1个帖子</t>
  </si>
  <si>
    <t>13;1</t>
  </si>
  <si>
    <t>在游戏圈中点赞2个帖子</t>
  </si>
  <si>
    <t>12;500</t>
  </si>
  <si>
    <t>任务id</t>
  </si>
  <si>
    <t>字段说明</t>
  </si>
  <si>
    <t>所有对局：累计玩多少局8球对局</t>
  </si>
  <si>
    <t>局数</t>
  </si>
  <si>
    <t>累计登录：累计登录多少天</t>
  </si>
  <si>
    <t>天数</t>
  </si>
  <si>
    <t>指定日期登录：某天登录游戏</t>
  </si>
  <si>
    <t>日期</t>
  </si>
  <si>
    <t>累计充值：累计充值多少金额</t>
  </si>
  <si>
    <t>充值数量</t>
  </si>
  <si>
    <t>元</t>
  </si>
  <si>
    <t>分享</t>
  </si>
  <si>
    <t>次数</t>
  </si>
  <si>
    <t>闯关：累计玩多少局闯关</t>
  </si>
  <si>
    <t>一周内某天登录</t>
  </si>
  <si>
    <t>一杆多球 x 次</t>
  </si>
  <si>
    <t>a，b</t>
  </si>
  <si>
    <t>（a表示一杆a球；b表示b次）</t>
  </si>
  <si>
    <t>8球模式在某场次及以上对局 x 局</t>
  </si>
  <si>
    <t>（a表示room_id &gt;= a的8球房间；b表示局数）</t>
  </si>
  <si>
    <t>8球模式 n 连杆 x 次</t>
  </si>
  <si>
    <t>（a表示a连杆；b表示次数）</t>
  </si>
  <si>
    <t>8球模式一杆清台 x 次</t>
  </si>
  <si>
    <t>8球模式特殊球 x 次</t>
  </si>
  <si>
    <t>特殊球id，次数</t>
  </si>
  <si>
    <t>1解球，2灌球，3借球，5组合球</t>
  </si>
  <si>
    <t>8球模式开球打进 x 颗</t>
  </si>
  <si>
    <t>个数</t>
  </si>
  <si>
    <t>8球模式连胜 x 局</t>
  </si>
  <si>
    <t>8球模式连败 x 局</t>
  </si>
  <si>
    <t>累计消费 x 钻石</t>
  </si>
  <si>
    <t>消耗数量</t>
  </si>
  <si>
    <t>任意模式添彩 x 次</t>
  </si>
  <si>
    <t>累计看广告 x 次</t>
  </si>
  <si>
    <t>累计签到 x 次</t>
  </si>
  <si>
    <t>累计充值 x 天</t>
  </si>
  <si>
    <t>对局：xx模式累计玩x局</t>
  </si>
  <si>
    <t>模式，局数</t>
  </si>
  <si>
    <t>天数</t>
    <phoneticPr fontId="6" type="noConversion"/>
  </si>
  <si>
    <t>高级版奖励</t>
    <phoneticPr fontId="6" type="noConversion"/>
  </si>
  <si>
    <t>base_reward</t>
    <phoneticPr fontId="6" type="noConversion"/>
  </si>
  <si>
    <t>pro_reward</t>
    <phoneticPr fontId="6" type="noConversion"/>
  </si>
  <si>
    <t>(list#sep=;),(list#sep=,),int</t>
  </si>
  <si>
    <t>2,10000;1,60</t>
    <phoneticPr fontId="6" type="noConversion"/>
  </si>
  <si>
    <t>2,10000</t>
    <phoneticPr fontId="6" type="noConversion"/>
  </si>
  <si>
    <t>基础版奖励</t>
    <phoneticPr fontId="6" type="noConversion"/>
  </si>
  <si>
    <t>活动任务</t>
    <phoneticPr fontId="8" type="noConversion"/>
  </si>
  <si>
    <t>1,2,3</t>
    <phoneticPr fontId="8" type="noConversion"/>
  </si>
  <si>
    <t>taskgroup</t>
    <phoneticPr fontId="8" type="noConversion"/>
  </si>
  <si>
    <t>c,s</t>
    <phoneticPr fontId="8" type="noConversion"/>
  </si>
  <si>
    <t>(list#sep=,),int32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</si>
</sst>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9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3">
    <xf numFmtId="0" fontId="0" fillId="0" borderId="0" xfId="0"/>
    <xf numFmtId="0" fontId="3" fillId="0" borderId="0" xfId="4"/>
    <xf numFmtId="0" fontId="3" fillId="0" borderId="0" xfId="4" applyAlignment="1">
      <alignment vertical="center"/>
    </xf>
    <xf numFmtId="0" fontId="3" fillId="2" borderId="0" xfId="4" applyFill="1"/>
    <xf numFmtId="0" fontId="3" fillId="3" borderId="0" xfId="4" applyFill="1"/>
    <xf numFmtId="0" fontId="3" fillId="2" borderId="0" xfId="5" applyFill="1"/>
    <xf numFmtId="0" fontId="0" fillId="2" borderId="0" xfId="0" applyFill="1"/>
    <xf numFmtId="0" fontId="3" fillId="0" borderId="0" xfId="5"/>
    <xf numFmtId="0" fontId="3" fillId="0" borderId="0" xfId="3"/>
    <xf numFmtId="0" fontId="0" fillId="0" borderId="0" xfId="0" applyAlignment="1">
      <alignment vertical="center"/>
    </xf>
    <xf numFmtId="0" fontId="0" fillId="3" borderId="0" xfId="0" applyFill="1"/>
    <xf numFmtId="0" fontId="1" fillId="2" borderId="0" xfId="0" applyFont="1" applyFill="1"/>
    <xf numFmtId="176" fontId="0" fillId="0" borderId="0" xfId="0" applyNumberFormat="1"/>
    <xf numFmtId="20" fontId="0" fillId="2" borderId="0" xfId="0" applyNumberFormat="1" applyFill="1"/>
    <xf numFmtId="20" fontId="0" fillId="0" borderId="0" xfId="0" applyNumberFormat="1" applyAlignment="1">
      <alignment vertical="center"/>
    </xf>
    <xf numFmtId="20" fontId="0" fillId="0" borderId="0" xfId="0" applyNumberFormat="1"/>
    <xf numFmtId="176" fontId="0" fillId="2" borderId="0" xfId="0" applyNumberFormat="1" applyFill="1"/>
    <xf numFmtId="176" fontId="1" fillId="2" borderId="0" xfId="0" applyNumberFormat="1" applyFont="1" applyFill="1"/>
    <xf numFmtId="17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1" applyFont="1"/>
    <xf numFmtId="0" fontId="1" fillId="0" borderId="0" xfId="1"/>
    <xf numFmtId="0" fontId="0" fillId="4" borderId="0" xfId="0" applyFill="1"/>
    <xf numFmtId="0" fontId="7" fillId="0" borderId="0" xfId="4" applyFont="1" applyAlignment="1">
      <alignment vertical="center"/>
    </xf>
    <xf numFmtId="0" fontId="7" fillId="2" borderId="0" xfId="4" applyFont="1" applyFill="1"/>
    <xf numFmtId="3" fontId="3" fillId="0" borderId="0" xfId="4" applyNumberFormat="1" applyAlignment="1">
      <alignment vertical="center"/>
    </xf>
    <xf numFmtId="0" fontId="7" fillId="0" borderId="0" xfId="5" applyFont="1"/>
    <xf numFmtId="49" fontId="7" fillId="0" borderId="0" xfId="4" applyNumberFormat="1" applyFont="1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2" borderId="0" xfId="0" applyFont="1" applyFill="1"/>
  </cellXfs>
  <cellStyles count="6">
    <cellStyle name="常规" xfId="0" builtinId="0"/>
    <cellStyle name="常规 2" xfId="1" xr:uid="{00000000-0005-0000-0000-000031000000}"/>
    <cellStyle name="常规 3" xfId="2" xr:uid="{00000000-0005-0000-0000-000032000000}"/>
    <cellStyle name="常规 3 2" xfId="3" xr:uid="{00000000-0005-0000-0000-000033000000}"/>
    <cellStyle name="常规 4" xfId="4" xr:uid="{00000000-0005-0000-0000-000034000000}"/>
    <cellStyle name="常规 5" xfId="5" xr:uid="{00000000-0005-0000-0000-000035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E16" sqref="E16"/>
    </sheetView>
  </sheetViews>
  <sheetFormatPr defaultColWidth="11" defaultRowHeight="13.8" x14ac:dyDescent="0.25"/>
  <cols>
    <col min="1" max="1" width="26.88671875" style="9" customWidth="1"/>
    <col min="2" max="2" width="12.33203125" style="9" customWidth="1"/>
    <col min="3" max="5" width="11" style="9" customWidth="1"/>
    <col min="6" max="8" width="15.44140625" style="9" customWidth="1"/>
    <col min="9" max="9" width="17.109375" style="18" customWidth="1"/>
    <col min="10" max="10" width="13.33203125" style="9" customWidth="1"/>
    <col min="11" max="11" width="11" style="9" customWidth="1"/>
    <col min="12" max="16384" width="11" style="9"/>
  </cols>
  <sheetData>
    <row r="1" spans="1:13" x14ac:dyDescent="0.25">
      <c r="A1" s="24" t="s">
        <v>0</v>
      </c>
      <c r="C1" s="9" t="s">
        <v>1</v>
      </c>
    </row>
    <row r="2" spans="1:13" x14ac:dyDescent="0.25">
      <c r="A2" s="24" t="s">
        <v>2</v>
      </c>
      <c r="B2" s="9" t="s">
        <v>3</v>
      </c>
      <c r="C2" s="9" t="s">
        <v>4</v>
      </c>
    </row>
    <row r="3" spans="1:13" x14ac:dyDescent="0.25">
      <c r="A3" s="24" t="s">
        <v>5</v>
      </c>
      <c r="B3" s="10" t="s">
        <v>6</v>
      </c>
      <c r="C3" s="9" t="s">
        <v>7</v>
      </c>
    </row>
    <row r="4" spans="1:13" x14ac:dyDescent="0.25">
      <c r="A4" s="24" t="s">
        <v>8</v>
      </c>
      <c r="B4" s="6" t="s">
        <v>9</v>
      </c>
    </row>
    <row r="5" spans="1:13" x14ac:dyDescent="0.25">
      <c r="A5" s="24" t="s">
        <v>10</v>
      </c>
      <c r="C5" s="9" t="s">
        <v>11</v>
      </c>
    </row>
    <row r="6" spans="1:13" x14ac:dyDescent="0.25">
      <c r="A6" s="24" t="s">
        <v>12</v>
      </c>
      <c r="B6" s="9">
        <v>4</v>
      </c>
      <c r="C6" s="9" t="s">
        <v>13</v>
      </c>
    </row>
    <row r="7" spans="1:13" x14ac:dyDescent="0.25">
      <c r="A7" s="24" t="s">
        <v>14</v>
      </c>
    </row>
    <row r="8" spans="1:13" x14ac:dyDescent="0.25">
      <c r="A8" s="24" t="s">
        <v>15</v>
      </c>
    </row>
    <row r="9" spans="1:13" x14ac:dyDescent="0.25">
      <c r="I9" s="9"/>
    </row>
    <row r="10" spans="1:13" x14ac:dyDescent="0.25">
      <c r="I10" s="9"/>
    </row>
    <row r="11" spans="1:13" x14ac:dyDescent="0.25">
      <c r="A11" s="9" t="s">
        <v>16</v>
      </c>
      <c r="B11" s="9" t="s">
        <v>17</v>
      </c>
      <c r="C11" s="9" t="s">
        <v>18</v>
      </c>
      <c r="D11" s="9" t="s">
        <v>19</v>
      </c>
      <c r="E11" s="9" t="s">
        <v>20</v>
      </c>
      <c r="F11" s="9" t="s">
        <v>21</v>
      </c>
      <c r="G11" s="9" t="s">
        <v>22</v>
      </c>
      <c r="H11" t="s">
        <v>23</v>
      </c>
      <c r="I11" s="12" t="s">
        <v>24</v>
      </c>
      <c r="J11" s="12" t="s">
        <v>25</v>
      </c>
      <c r="K11" s="9" t="s">
        <v>26</v>
      </c>
      <c r="L11" s="9" t="s">
        <v>27</v>
      </c>
      <c r="M11" s="9" t="s">
        <v>28</v>
      </c>
    </row>
    <row r="12" spans="1:13" ht="15.6" x14ac:dyDescent="0.3">
      <c r="A12" s="6" t="s">
        <v>29</v>
      </c>
      <c r="B12" s="6" t="s">
        <v>30</v>
      </c>
      <c r="C12" s="10" t="s">
        <v>31</v>
      </c>
      <c r="D12" s="11" t="s">
        <v>32</v>
      </c>
      <c r="E12" s="11" t="s">
        <v>33</v>
      </c>
      <c r="F12" s="6" t="s">
        <v>34</v>
      </c>
      <c r="G12" s="6" t="s">
        <v>35</v>
      </c>
      <c r="H12" s="6" t="s">
        <v>36</v>
      </c>
      <c r="I12" s="16" t="s">
        <v>37</v>
      </c>
      <c r="J12" s="16" t="s">
        <v>38</v>
      </c>
      <c r="K12" s="6" t="s">
        <v>39</v>
      </c>
      <c r="L12" s="6" t="s">
        <v>40</v>
      </c>
      <c r="M12" s="11" t="s">
        <v>41</v>
      </c>
    </row>
    <row r="13" spans="1:13" ht="15.6" x14ac:dyDescent="0.3">
      <c r="A13" s="6" t="s">
        <v>42</v>
      </c>
      <c r="B13" s="6" t="s">
        <v>42</v>
      </c>
      <c r="C13" s="10" t="s">
        <v>43</v>
      </c>
      <c r="D13" s="11" t="s">
        <v>42</v>
      </c>
      <c r="E13" s="11" t="s">
        <v>42</v>
      </c>
      <c r="F13" s="6" t="s">
        <v>42</v>
      </c>
      <c r="G13" s="6" t="s">
        <v>43</v>
      </c>
      <c r="H13" s="6" t="s">
        <v>42</v>
      </c>
      <c r="I13" s="17" t="s">
        <v>43</v>
      </c>
      <c r="J13" s="17" t="s">
        <v>43</v>
      </c>
      <c r="K13" s="6" t="s">
        <v>42</v>
      </c>
      <c r="L13" s="11" t="s">
        <v>42</v>
      </c>
      <c r="M13" s="11" t="s">
        <v>42</v>
      </c>
    </row>
    <row r="14" spans="1:13" ht="15.6" x14ac:dyDescent="0.3">
      <c r="A14" s="6" t="s">
        <v>44</v>
      </c>
      <c r="B14" s="6" t="s">
        <v>45</v>
      </c>
      <c r="C14" s="10"/>
      <c r="D14" s="11" t="s">
        <v>45</v>
      </c>
      <c r="E14" s="11" t="s">
        <v>45</v>
      </c>
      <c r="F14" s="6" t="s">
        <v>45</v>
      </c>
      <c r="G14" s="6" t="s">
        <v>45</v>
      </c>
      <c r="H14" s="6" t="s">
        <v>45</v>
      </c>
      <c r="I14" s="16" t="s">
        <v>45</v>
      </c>
      <c r="J14" s="16" t="s">
        <v>45</v>
      </c>
      <c r="K14" s="6" t="s">
        <v>45</v>
      </c>
      <c r="L14" s="11" t="s">
        <v>45</v>
      </c>
      <c r="M14" s="11" t="s">
        <v>45</v>
      </c>
    </row>
    <row r="15" spans="1:13" ht="15.6" x14ac:dyDescent="0.3">
      <c r="A15" s="6"/>
      <c r="B15" s="6">
        <v>0</v>
      </c>
      <c r="C15" s="10">
        <v>0</v>
      </c>
      <c r="D15" s="11">
        <v>0</v>
      </c>
      <c r="E15" s="11">
        <v>0</v>
      </c>
      <c r="F15" s="6">
        <v>0</v>
      </c>
      <c r="G15" s="6" t="s">
        <v>46</v>
      </c>
      <c r="H15" s="6">
        <v>0</v>
      </c>
      <c r="I15" s="16">
        <v>36526</v>
      </c>
      <c r="J15" s="17">
        <v>72686</v>
      </c>
      <c r="K15" s="6">
        <v>0</v>
      </c>
      <c r="L15" s="11">
        <v>0</v>
      </c>
      <c r="M15" s="11">
        <v>0</v>
      </c>
    </row>
    <row r="16" spans="1:13" ht="15.6" x14ac:dyDescent="0.3">
      <c r="A16">
        <v>1</v>
      </c>
      <c r="B16" s="9">
        <f t="shared" ref="B16:B23" si="0">(8000*10+A16)*10+1</f>
        <v>800011</v>
      </c>
      <c r="C16" s="23" t="s">
        <v>47</v>
      </c>
      <c r="D16" s="23">
        <v>0</v>
      </c>
      <c r="E16" s="23">
        <v>0</v>
      </c>
      <c r="F16" s="9">
        <v>2</v>
      </c>
      <c r="G16" s="9" t="s">
        <v>46</v>
      </c>
      <c r="H16" s="9">
        <v>0</v>
      </c>
      <c r="I16" s="18">
        <v>43748</v>
      </c>
      <c r="J16" s="18">
        <v>72686</v>
      </c>
      <c r="K16" s="9">
        <v>0</v>
      </c>
      <c r="L16" s="9">
        <v>1</v>
      </c>
    </row>
    <row r="17" spans="1:12" ht="15.6" x14ac:dyDescent="0.3">
      <c r="A17">
        <v>2</v>
      </c>
      <c r="B17" s="9">
        <f t="shared" si="0"/>
        <v>800021</v>
      </c>
      <c r="C17" s="23" t="s">
        <v>48</v>
      </c>
      <c r="D17" s="23">
        <v>0</v>
      </c>
      <c r="E17" s="23">
        <v>0</v>
      </c>
      <c r="F17" s="9">
        <v>3</v>
      </c>
      <c r="G17" s="9" t="s">
        <v>49</v>
      </c>
      <c r="H17" s="9">
        <v>0</v>
      </c>
      <c r="I17" s="18">
        <v>43749</v>
      </c>
      <c r="J17" s="18">
        <v>72686</v>
      </c>
      <c r="K17" s="9">
        <v>0</v>
      </c>
      <c r="L17" s="9">
        <v>0</v>
      </c>
    </row>
    <row r="18" spans="1:12" ht="15.6" x14ac:dyDescent="0.3">
      <c r="A18" s="9">
        <v>3</v>
      </c>
      <c r="B18" s="9">
        <f t="shared" si="0"/>
        <v>800031</v>
      </c>
      <c r="C18" s="23" t="s">
        <v>50</v>
      </c>
      <c r="D18" s="23">
        <v>0</v>
      </c>
      <c r="E18" s="23">
        <v>0</v>
      </c>
      <c r="F18" s="9">
        <v>1</v>
      </c>
      <c r="G18" s="9" t="s">
        <v>51</v>
      </c>
      <c r="H18" s="9">
        <v>0</v>
      </c>
      <c r="I18" s="18">
        <v>43749</v>
      </c>
      <c r="J18" s="18">
        <v>72686</v>
      </c>
      <c r="K18" s="23">
        <v>1</v>
      </c>
      <c r="L18" s="23">
        <v>1</v>
      </c>
    </row>
    <row r="19" spans="1:12" ht="15.6" x14ac:dyDescent="0.3">
      <c r="A19">
        <v>4</v>
      </c>
      <c r="B19" s="9">
        <f t="shared" si="0"/>
        <v>800041</v>
      </c>
      <c r="C19" s="23" t="s">
        <v>52</v>
      </c>
      <c r="D19" s="23">
        <v>4</v>
      </c>
      <c r="E19" s="9">
        <v>1</v>
      </c>
      <c r="F19" s="9">
        <v>2</v>
      </c>
      <c r="G19" s="9" t="s">
        <v>53</v>
      </c>
      <c r="H19" s="9">
        <v>0</v>
      </c>
      <c r="I19" s="18">
        <v>43749</v>
      </c>
      <c r="J19" s="18">
        <v>72686</v>
      </c>
      <c r="K19" s="23">
        <v>1</v>
      </c>
      <c r="L19" s="23">
        <v>0</v>
      </c>
    </row>
    <row r="20" spans="1:12" ht="15.6" x14ac:dyDescent="0.3">
      <c r="A20" s="10">
        <v>5</v>
      </c>
      <c r="B20" s="9">
        <f t="shared" si="0"/>
        <v>800051</v>
      </c>
      <c r="C20" s="23" t="s">
        <v>54</v>
      </c>
      <c r="D20" s="23">
        <v>0</v>
      </c>
      <c r="E20" s="9">
        <v>0</v>
      </c>
      <c r="F20" s="9">
        <v>6</v>
      </c>
      <c r="G20" s="9" t="s">
        <v>55</v>
      </c>
      <c r="H20" s="9">
        <v>0</v>
      </c>
      <c r="I20" s="18">
        <v>43749</v>
      </c>
      <c r="J20" s="18">
        <v>72686</v>
      </c>
      <c r="K20" s="23">
        <v>1</v>
      </c>
      <c r="L20" s="23">
        <v>0</v>
      </c>
    </row>
    <row r="21" spans="1:12" ht="15.6" x14ac:dyDescent="0.3">
      <c r="A21">
        <v>6</v>
      </c>
      <c r="B21" s="9">
        <f t="shared" si="0"/>
        <v>800061</v>
      </c>
      <c r="C21" s="23" t="s">
        <v>56</v>
      </c>
      <c r="D21" s="23">
        <v>2</v>
      </c>
      <c r="E21" s="9">
        <v>1</v>
      </c>
      <c r="F21" s="9">
        <v>4</v>
      </c>
      <c r="G21" s="9" t="s">
        <v>57</v>
      </c>
      <c r="H21" s="9">
        <v>0</v>
      </c>
      <c r="I21" s="18">
        <v>43749</v>
      </c>
      <c r="J21" s="18">
        <v>72686</v>
      </c>
      <c r="K21" s="23">
        <v>1</v>
      </c>
      <c r="L21" s="23">
        <v>0</v>
      </c>
    </row>
    <row r="22" spans="1:12" ht="15.6" x14ac:dyDescent="0.3">
      <c r="A22" s="10">
        <v>7</v>
      </c>
      <c r="B22" s="9">
        <f t="shared" si="0"/>
        <v>800071</v>
      </c>
      <c r="C22" s="23" t="s">
        <v>58</v>
      </c>
      <c r="D22" s="23">
        <v>0</v>
      </c>
      <c r="E22" s="9">
        <v>0</v>
      </c>
      <c r="F22" s="9">
        <v>1</v>
      </c>
      <c r="G22" s="9" t="s">
        <v>59</v>
      </c>
      <c r="H22" s="9">
        <v>0</v>
      </c>
      <c r="I22" s="18">
        <v>43749</v>
      </c>
      <c r="J22" s="18">
        <v>72686</v>
      </c>
      <c r="K22" s="23">
        <v>1</v>
      </c>
      <c r="L22" s="23">
        <v>0</v>
      </c>
    </row>
    <row r="23" spans="1:12" ht="15.6" x14ac:dyDescent="0.3">
      <c r="A23" s="9">
        <v>8</v>
      </c>
      <c r="B23" s="9">
        <f t="shared" si="0"/>
        <v>800081</v>
      </c>
      <c r="C23" s="23" t="s">
        <v>60</v>
      </c>
      <c r="D23" s="23">
        <v>0</v>
      </c>
      <c r="E23" s="9">
        <v>0</v>
      </c>
      <c r="F23" s="9">
        <v>1</v>
      </c>
      <c r="G23" s="9" t="s">
        <v>61</v>
      </c>
      <c r="H23" s="9">
        <v>0</v>
      </c>
      <c r="I23" s="18">
        <v>43749</v>
      </c>
      <c r="J23" s="18">
        <v>72686</v>
      </c>
      <c r="K23" s="9">
        <v>1</v>
      </c>
      <c r="L23" s="9">
        <v>0</v>
      </c>
    </row>
    <row r="24" spans="1:12" ht="15.6" x14ac:dyDescent="0.3">
      <c r="A24" s="9">
        <v>9</v>
      </c>
      <c r="B24" s="9">
        <v>800091</v>
      </c>
      <c r="C24" s="23" t="s">
        <v>62</v>
      </c>
      <c r="D24" s="23">
        <v>1</v>
      </c>
      <c r="E24" s="9">
        <v>1</v>
      </c>
      <c r="F24" s="9">
        <v>5</v>
      </c>
      <c r="G24" s="9" t="s">
        <v>63</v>
      </c>
      <c r="H24" s="9">
        <v>1</v>
      </c>
      <c r="I24" s="18">
        <v>43749</v>
      </c>
      <c r="J24" s="18">
        <v>72686</v>
      </c>
      <c r="K24" s="9">
        <v>0</v>
      </c>
      <c r="L24" s="9">
        <v>0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activeCell="C4" sqref="C4"/>
    </sheetView>
  </sheetViews>
  <sheetFormatPr defaultColWidth="11" defaultRowHeight="13.8" x14ac:dyDescent="0.25"/>
  <cols>
    <col min="1" max="1" width="15.44140625" style="9" customWidth="1"/>
    <col min="2" max="2" width="11" style="9"/>
    <col min="3" max="3" width="49.44140625" style="9" customWidth="1"/>
    <col min="4" max="16384" width="11" style="9"/>
  </cols>
  <sheetData>
    <row r="1" spans="1:3" x14ac:dyDescent="0.25">
      <c r="A1" t="s">
        <v>64</v>
      </c>
      <c r="B1" s="9" t="s">
        <v>65</v>
      </c>
      <c r="C1" s="30" t="s">
        <v>254</v>
      </c>
    </row>
    <row r="2" spans="1:3" x14ac:dyDescent="0.25">
      <c r="A2" t="s">
        <v>75</v>
      </c>
      <c r="B2" s="6" t="s">
        <v>33</v>
      </c>
      <c r="C2" s="32" t="s">
        <v>256</v>
      </c>
    </row>
    <row r="3" spans="1:3" x14ac:dyDescent="0.25">
      <c r="A3" t="s">
        <v>89</v>
      </c>
      <c r="B3" s="6" t="s">
        <v>42</v>
      </c>
      <c r="C3" s="32" t="s">
        <v>258</v>
      </c>
    </row>
    <row r="4" spans="1:3" x14ac:dyDescent="0.25">
      <c r="A4" t="s">
        <v>90</v>
      </c>
      <c r="B4" s="6" t="s">
        <v>91</v>
      </c>
      <c r="C4" s="32" t="s">
        <v>257</v>
      </c>
    </row>
    <row r="5" spans="1:3" x14ac:dyDescent="0.25">
      <c r="A5" t="s">
        <v>93</v>
      </c>
      <c r="B5" s="6">
        <v>0</v>
      </c>
      <c r="C5" s="6">
        <v>0</v>
      </c>
    </row>
    <row r="6" spans="1:3" x14ac:dyDescent="0.25">
      <c r="A6" s="9" t="s">
        <v>3</v>
      </c>
      <c r="B6" s="9">
        <v>1</v>
      </c>
      <c r="C6" s="31" t="s">
        <v>255</v>
      </c>
    </row>
    <row r="7" spans="1:3" x14ac:dyDescent="0.25">
      <c r="B7">
        <v>2</v>
      </c>
      <c r="C7" s="31" t="s">
        <v>255</v>
      </c>
    </row>
    <row r="8" spans="1:3" x14ac:dyDescent="0.25">
      <c r="B8" s="9">
        <v>3</v>
      </c>
      <c r="C8" s="31" t="s">
        <v>255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F22" sqref="F22"/>
    </sheetView>
  </sheetViews>
  <sheetFormatPr defaultColWidth="11" defaultRowHeight="13.8" x14ac:dyDescent="0.25"/>
  <cols>
    <col min="1" max="1" width="11" style="9" customWidth="1"/>
    <col min="2" max="16384" width="11" style="9"/>
  </cols>
  <sheetData>
    <row r="1" spans="1:8" x14ac:dyDescent="0.25">
      <c r="A1" t="s">
        <v>64</v>
      </c>
      <c r="B1" s="9" t="s">
        <v>20</v>
      </c>
      <c r="C1" s="9" t="s">
        <v>65</v>
      </c>
      <c r="D1" s="12" t="s">
        <v>69</v>
      </c>
      <c r="E1" s="12" t="s">
        <v>70</v>
      </c>
      <c r="F1" s="9" t="s">
        <v>97</v>
      </c>
      <c r="G1" s="9" t="s">
        <v>98</v>
      </c>
      <c r="H1" s="9" t="s">
        <v>99</v>
      </c>
    </row>
    <row r="2" spans="1:8" x14ac:dyDescent="0.25">
      <c r="A2" t="s">
        <v>75</v>
      </c>
      <c r="B2" s="6" t="s">
        <v>29</v>
      </c>
      <c r="C2" s="6" t="s">
        <v>33</v>
      </c>
      <c r="D2" s="16" t="s">
        <v>80</v>
      </c>
      <c r="E2" s="16" t="s">
        <v>81</v>
      </c>
      <c r="F2" s="6" t="s">
        <v>100</v>
      </c>
      <c r="G2" s="6" t="s">
        <v>101</v>
      </c>
      <c r="H2" s="6" t="s">
        <v>102</v>
      </c>
    </row>
    <row r="3" spans="1:8" ht="15.6" x14ac:dyDescent="0.3">
      <c r="A3" t="s">
        <v>89</v>
      </c>
      <c r="B3" s="6" t="s">
        <v>42</v>
      </c>
      <c r="C3" s="6" t="s">
        <v>42</v>
      </c>
      <c r="D3" s="17" t="s">
        <v>43</v>
      </c>
      <c r="E3" s="17" t="s">
        <v>43</v>
      </c>
      <c r="F3" s="11" t="s">
        <v>43</v>
      </c>
      <c r="G3" s="6" t="s">
        <v>42</v>
      </c>
      <c r="H3" s="6" t="s">
        <v>42</v>
      </c>
    </row>
    <row r="4" spans="1:8" x14ac:dyDescent="0.25">
      <c r="A4" t="s">
        <v>90</v>
      </c>
      <c r="B4" s="6" t="s">
        <v>91</v>
      </c>
      <c r="C4" s="6" t="s">
        <v>91</v>
      </c>
      <c r="D4" s="6" t="s">
        <v>91</v>
      </c>
      <c r="E4" s="6" t="s">
        <v>91</v>
      </c>
      <c r="F4" s="6" t="s">
        <v>91</v>
      </c>
      <c r="G4" s="6" t="s">
        <v>91</v>
      </c>
      <c r="H4" s="6" t="s">
        <v>91</v>
      </c>
    </row>
    <row r="5" spans="1:8" ht="15.6" x14ac:dyDescent="0.3">
      <c r="A5" t="s">
        <v>93</v>
      </c>
      <c r="B5" s="6"/>
      <c r="C5" s="6">
        <v>0</v>
      </c>
      <c r="D5" s="16">
        <v>36526</v>
      </c>
      <c r="E5" s="17">
        <v>72686</v>
      </c>
      <c r="F5" s="6" t="s">
        <v>103</v>
      </c>
      <c r="G5" s="6">
        <v>0</v>
      </c>
      <c r="H5" s="6">
        <v>0</v>
      </c>
    </row>
    <row r="6" spans="1:8" x14ac:dyDescent="0.25">
      <c r="A6" s="9" t="s">
        <v>3</v>
      </c>
      <c r="B6" s="9">
        <v>101</v>
      </c>
      <c r="C6" s="9">
        <v>1</v>
      </c>
      <c r="D6" s="18">
        <v>43748</v>
      </c>
      <c r="E6" s="18">
        <v>72686</v>
      </c>
      <c r="F6" s="9" t="s">
        <v>104</v>
      </c>
      <c r="G6" s="9">
        <v>20011</v>
      </c>
      <c r="H6" s="9">
        <v>20</v>
      </c>
    </row>
    <row r="7" spans="1:8" x14ac:dyDescent="0.25">
      <c r="B7" s="9">
        <v>102</v>
      </c>
      <c r="C7" s="9">
        <v>1</v>
      </c>
      <c r="D7" s="18">
        <v>43748</v>
      </c>
      <c r="E7" s="18">
        <v>72686</v>
      </c>
      <c r="F7" s="9" t="s">
        <v>105</v>
      </c>
      <c r="G7" s="9">
        <v>20012</v>
      </c>
      <c r="H7" s="9">
        <v>10</v>
      </c>
    </row>
    <row r="8" spans="1:8" x14ac:dyDescent="0.25">
      <c r="B8" s="9">
        <v>103</v>
      </c>
      <c r="C8" s="9">
        <v>1</v>
      </c>
      <c r="D8" s="18">
        <v>43748</v>
      </c>
      <c r="E8" s="18">
        <v>72686</v>
      </c>
      <c r="F8" s="9" t="s">
        <v>106</v>
      </c>
      <c r="G8" s="9">
        <v>20013</v>
      </c>
      <c r="H8" s="9">
        <v>10</v>
      </c>
    </row>
    <row r="9" spans="1:8" x14ac:dyDescent="0.25">
      <c r="B9" s="9">
        <v>104</v>
      </c>
      <c r="C9" s="9">
        <v>1</v>
      </c>
      <c r="D9" s="18">
        <v>43748</v>
      </c>
      <c r="E9" s="18">
        <v>72686</v>
      </c>
      <c r="F9" s="9" t="s">
        <v>107</v>
      </c>
      <c r="G9" s="9">
        <v>20014</v>
      </c>
      <c r="H9" s="9">
        <v>10</v>
      </c>
    </row>
    <row r="10" spans="1:8" x14ac:dyDescent="0.25">
      <c r="B10" s="9">
        <v>105</v>
      </c>
      <c r="C10" s="9">
        <v>1</v>
      </c>
      <c r="D10" s="18">
        <v>43748</v>
      </c>
      <c r="E10" s="18">
        <v>72686</v>
      </c>
      <c r="F10" s="9" t="s">
        <v>108</v>
      </c>
      <c r="G10" s="9">
        <v>20015</v>
      </c>
      <c r="H10" s="9">
        <v>10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"/>
  <sheetViews>
    <sheetView workbookViewId="0">
      <selection activeCell="Q4" sqref="Q4"/>
    </sheetView>
  </sheetViews>
  <sheetFormatPr defaultColWidth="11" defaultRowHeight="13.8" x14ac:dyDescent="0.25"/>
  <cols>
    <col min="1" max="16384" width="11" style="9"/>
  </cols>
  <sheetData>
    <row r="1" spans="1:17" x14ac:dyDescent="0.25">
      <c r="A1" t="s">
        <v>64</v>
      </c>
      <c r="B1" s="9" t="s">
        <v>20</v>
      </c>
      <c r="C1" s="9" t="s">
        <v>65</v>
      </c>
      <c r="D1" s="9" t="s">
        <v>66</v>
      </c>
      <c r="E1" s="9" t="s">
        <v>18</v>
      </c>
      <c r="F1" s="9" t="s">
        <v>67</v>
      </c>
      <c r="G1" s="9" t="s">
        <v>68</v>
      </c>
      <c r="H1" s="9" t="s">
        <v>28</v>
      </c>
      <c r="I1" s="12" t="s">
        <v>69</v>
      </c>
      <c r="J1" s="12" t="s">
        <v>70</v>
      </c>
      <c r="K1" s="9" t="s">
        <v>71</v>
      </c>
      <c r="L1" s="9" t="s">
        <v>18</v>
      </c>
      <c r="M1" s="9" t="s">
        <v>72</v>
      </c>
      <c r="N1" s="9" t="s">
        <v>18</v>
      </c>
      <c r="O1" s="9" t="s">
        <v>73</v>
      </c>
      <c r="P1" s="9" t="s">
        <v>18</v>
      </c>
      <c r="Q1" s="9" t="s">
        <v>74</v>
      </c>
    </row>
    <row r="2" spans="1:17" ht="15.6" x14ac:dyDescent="0.3">
      <c r="A2" t="s">
        <v>75</v>
      </c>
      <c r="B2" s="6" t="s">
        <v>29</v>
      </c>
      <c r="C2" s="6" t="s">
        <v>33</v>
      </c>
      <c r="D2" s="11" t="s">
        <v>76</v>
      </c>
      <c r="E2" s="10" t="s">
        <v>77</v>
      </c>
      <c r="F2" s="6" t="s">
        <v>78</v>
      </c>
      <c r="G2" s="6" t="s">
        <v>79</v>
      </c>
      <c r="H2" s="6" t="s">
        <v>41</v>
      </c>
      <c r="I2" s="16" t="s">
        <v>80</v>
      </c>
      <c r="J2" s="16" t="s">
        <v>81</v>
      </c>
      <c r="K2" s="6" t="s">
        <v>82</v>
      </c>
      <c r="L2" s="10" t="s">
        <v>83</v>
      </c>
      <c r="M2" s="6" t="s">
        <v>84</v>
      </c>
      <c r="N2" s="10" t="s">
        <v>85</v>
      </c>
      <c r="O2" s="6" t="s">
        <v>86</v>
      </c>
      <c r="P2" s="10" t="s">
        <v>87</v>
      </c>
      <c r="Q2" s="6" t="s">
        <v>88</v>
      </c>
    </row>
    <row r="3" spans="1:17" ht="15.6" x14ac:dyDescent="0.3">
      <c r="A3" t="s">
        <v>89</v>
      </c>
      <c r="B3" s="6" t="s">
        <v>42</v>
      </c>
      <c r="C3" s="6" t="s">
        <v>42</v>
      </c>
      <c r="D3" s="11" t="s">
        <v>42</v>
      </c>
      <c r="E3" s="10" t="s">
        <v>43</v>
      </c>
      <c r="F3" s="6" t="s">
        <v>42</v>
      </c>
      <c r="G3" s="6" t="s">
        <v>42</v>
      </c>
      <c r="H3" s="6" t="s">
        <v>42</v>
      </c>
      <c r="I3" s="17" t="s">
        <v>43</v>
      </c>
      <c r="J3" s="17" t="s">
        <v>43</v>
      </c>
      <c r="K3" s="6" t="s">
        <v>42</v>
      </c>
      <c r="L3" s="10" t="s">
        <v>43</v>
      </c>
      <c r="M3" s="6" t="s">
        <v>42</v>
      </c>
      <c r="N3" s="10" t="s">
        <v>43</v>
      </c>
      <c r="O3" s="6" t="s">
        <v>42</v>
      </c>
      <c r="P3" s="10" t="s">
        <v>43</v>
      </c>
      <c r="Q3" s="11" t="s">
        <v>42</v>
      </c>
    </row>
    <row r="4" spans="1:17" x14ac:dyDescent="0.25">
      <c r="A4" t="s">
        <v>90</v>
      </c>
      <c r="B4" s="6" t="s">
        <v>91</v>
      </c>
      <c r="C4" s="6" t="s">
        <v>91</v>
      </c>
      <c r="D4" s="6" t="s">
        <v>91</v>
      </c>
      <c r="E4" s="10" t="s">
        <v>92</v>
      </c>
      <c r="F4" s="6" t="s">
        <v>91</v>
      </c>
      <c r="G4" s="6" t="s">
        <v>91</v>
      </c>
      <c r="H4" s="6" t="s">
        <v>91</v>
      </c>
      <c r="I4" s="6" t="s">
        <v>91</v>
      </c>
      <c r="J4" s="6" t="s">
        <v>91</v>
      </c>
      <c r="K4" s="6" t="s">
        <v>91</v>
      </c>
      <c r="L4" s="10" t="s">
        <v>92</v>
      </c>
      <c r="M4" s="6" t="s">
        <v>91</v>
      </c>
      <c r="N4" s="10" t="s">
        <v>92</v>
      </c>
      <c r="O4" s="6" t="s">
        <v>91</v>
      </c>
      <c r="P4" s="10" t="s">
        <v>92</v>
      </c>
      <c r="Q4" s="6" t="s">
        <v>91</v>
      </c>
    </row>
    <row r="5" spans="1:17" ht="15.6" x14ac:dyDescent="0.3">
      <c r="A5" t="s">
        <v>93</v>
      </c>
      <c r="B5" s="6"/>
      <c r="C5" s="6">
        <v>0</v>
      </c>
      <c r="D5" s="11">
        <v>0</v>
      </c>
      <c r="E5" s="10"/>
      <c r="F5" s="6">
        <v>0</v>
      </c>
      <c r="G5" s="6">
        <v>0</v>
      </c>
      <c r="H5" s="6">
        <v>0</v>
      </c>
      <c r="I5" s="16">
        <v>36526</v>
      </c>
      <c r="J5" s="17">
        <v>72686</v>
      </c>
      <c r="K5" s="6">
        <v>0</v>
      </c>
      <c r="L5" s="10"/>
      <c r="M5" s="6">
        <v>0</v>
      </c>
      <c r="N5" s="10"/>
      <c r="O5" s="6">
        <v>0</v>
      </c>
      <c r="P5" s="10"/>
      <c r="Q5" s="6">
        <v>0</v>
      </c>
    </row>
    <row r="6" spans="1:17" ht="15.6" x14ac:dyDescent="0.3">
      <c r="A6" s="9" t="s">
        <v>3</v>
      </c>
      <c r="B6" s="9">
        <v>101</v>
      </c>
      <c r="C6" s="9">
        <v>1</v>
      </c>
      <c r="D6" s="23">
        <v>420011</v>
      </c>
      <c r="E6" s="9" t="s">
        <v>109</v>
      </c>
      <c r="F6" s="9">
        <v>3</v>
      </c>
      <c r="G6" s="9">
        <v>0</v>
      </c>
      <c r="H6" s="9">
        <v>0</v>
      </c>
      <c r="I6" s="18">
        <v>43748</v>
      </c>
      <c r="J6" s="18">
        <v>44562</v>
      </c>
      <c r="K6" s="9">
        <v>420012</v>
      </c>
      <c r="L6" s="9" t="s">
        <v>94</v>
      </c>
      <c r="M6" s="9">
        <v>420013</v>
      </c>
      <c r="N6" s="9" t="s">
        <v>110</v>
      </c>
      <c r="O6" s="9">
        <v>420014</v>
      </c>
      <c r="P6" s="9" t="s">
        <v>111</v>
      </c>
      <c r="Q6" s="9">
        <v>30011</v>
      </c>
    </row>
    <row r="7" spans="1:17" x14ac:dyDescent="0.25">
      <c r="B7" s="9">
        <v>201</v>
      </c>
      <c r="C7" s="9">
        <v>2</v>
      </c>
      <c r="D7" s="9">
        <v>420021</v>
      </c>
      <c r="E7" s="9" t="s">
        <v>112</v>
      </c>
      <c r="F7" s="9">
        <v>5</v>
      </c>
      <c r="G7" s="9">
        <v>1</v>
      </c>
      <c r="H7" s="9">
        <v>2</v>
      </c>
      <c r="I7" s="18">
        <v>43748</v>
      </c>
      <c r="J7" s="18">
        <v>44562</v>
      </c>
      <c r="K7" s="9">
        <v>420022</v>
      </c>
      <c r="L7" s="9" t="s">
        <v>113</v>
      </c>
      <c r="M7" s="9">
        <v>420013</v>
      </c>
      <c r="O7" s="9">
        <v>420014</v>
      </c>
      <c r="Q7" s="9">
        <v>30012</v>
      </c>
    </row>
    <row r="8" spans="1:17" ht="15.6" x14ac:dyDescent="0.3">
      <c r="B8" s="9">
        <v>303</v>
      </c>
      <c r="C8" s="9">
        <v>3</v>
      </c>
      <c r="D8" s="23">
        <v>420031</v>
      </c>
      <c r="E8" s="9" t="s">
        <v>114</v>
      </c>
      <c r="F8" s="9">
        <v>2</v>
      </c>
      <c r="G8" s="9">
        <v>1</v>
      </c>
      <c r="H8" s="9">
        <v>0</v>
      </c>
      <c r="I8" s="18">
        <v>44947</v>
      </c>
      <c r="J8" s="18">
        <v>44947.999988425901</v>
      </c>
      <c r="K8" s="9">
        <v>420012</v>
      </c>
      <c r="L8" s="9" t="s">
        <v>94</v>
      </c>
      <c r="M8" s="9">
        <v>420013</v>
      </c>
      <c r="N8" s="9" t="s">
        <v>110</v>
      </c>
      <c r="O8" s="9">
        <v>420014</v>
      </c>
      <c r="P8" s="9" t="s">
        <v>111</v>
      </c>
      <c r="Q8" s="9">
        <v>30013</v>
      </c>
    </row>
    <row r="9" spans="1:17" ht="15.6" x14ac:dyDescent="0.3">
      <c r="B9" s="9">
        <v>401</v>
      </c>
      <c r="C9" s="9">
        <v>4</v>
      </c>
      <c r="D9" s="23">
        <v>420031</v>
      </c>
      <c r="E9" s="9" t="s">
        <v>114</v>
      </c>
      <c r="F9" s="9">
        <v>2</v>
      </c>
      <c r="G9" s="9">
        <v>1</v>
      </c>
      <c r="H9" s="9">
        <v>0</v>
      </c>
      <c r="I9" s="18">
        <v>45331</v>
      </c>
      <c r="J9" s="18">
        <v>45331.999988425901</v>
      </c>
      <c r="K9" s="9">
        <v>420012</v>
      </c>
      <c r="L9" s="9" t="s">
        <v>94</v>
      </c>
      <c r="M9" s="9">
        <v>420013</v>
      </c>
      <c r="N9" s="9" t="s">
        <v>110</v>
      </c>
      <c r="O9" s="9">
        <v>420014</v>
      </c>
      <c r="P9" s="9" t="s">
        <v>111</v>
      </c>
      <c r="Q9" s="9">
        <v>30014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"/>
  <sheetViews>
    <sheetView workbookViewId="0">
      <selection activeCell="M4" sqref="M4"/>
    </sheetView>
  </sheetViews>
  <sheetFormatPr defaultColWidth="11" defaultRowHeight="13.8" x14ac:dyDescent="0.25"/>
  <cols>
    <col min="1" max="1" width="15.44140625" style="9" customWidth="1"/>
    <col min="2" max="2" width="11" style="9" customWidth="1"/>
    <col min="3" max="16384" width="11" style="9"/>
  </cols>
  <sheetData>
    <row r="1" spans="1:13" x14ac:dyDescent="0.25">
      <c r="A1" t="s">
        <v>64</v>
      </c>
      <c r="B1" s="9" t="s">
        <v>20</v>
      </c>
      <c r="C1" s="9" t="s">
        <v>65</v>
      </c>
      <c r="D1" s="9" t="s">
        <v>66</v>
      </c>
      <c r="E1" s="9" t="s">
        <v>18</v>
      </c>
      <c r="F1" s="9" t="s">
        <v>67</v>
      </c>
      <c r="G1" s="9" t="s">
        <v>68</v>
      </c>
      <c r="H1" s="9" t="s">
        <v>28</v>
      </c>
      <c r="I1" s="12" t="s">
        <v>69</v>
      </c>
      <c r="J1" s="12" t="s">
        <v>70</v>
      </c>
      <c r="K1" s="9" t="s">
        <v>71</v>
      </c>
      <c r="L1" s="9" t="s">
        <v>18</v>
      </c>
      <c r="M1" s="9" t="s">
        <v>74</v>
      </c>
    </row>
    <row r="2" spans="1:13" ht="15.6" x14ac:dyDescent="0.3">
      <c r="A2" t="s">
        <v>75</v>
      </c>
      <c r="B2" s="6" t="s">
        <v>29</v>
      </c>
      <c r="C2" s="6" t="s">
        <v>33</v>
      </c>
      <c r="D2" s="11" t="s">
        <v>76</v>
      </c>
      <c r="E2" s="10" t="s">
        <v>77</v>
      </c>
      <c r="F2" s="6" t="s">
        <v>78</v>
      </c>
      <c r="G2" s="6" t="s">
        <v>79</v>
      </c>
      <c r="H2" s="6" t="s">
        <v>41</v>
      </c>
      <c r="I2" s="16" t="s">
        <v>80</v>
      </c>
      <c r="J2" s="16" t="s">
        <v>81</v>
      </c>
      <c r="K2" s="6" t="s">
        <v>82</v>
      </c>
      <c r="L2" s="10" t="s">
        <v>83</v>
      </c>
      <c r="M2" s="6" t="s">
        <v>88</v>
      </c>
    </row>
    <row r="3" spans="1:13" ht="15.6" x14ac:dyDescent="0.3">
      <c r="A3" t="s">
        <v>89</v>
      </c>
      <c r="B3" s="6" t="s">
        <v>42</v>
      </c>
      <c r="C3" s="6" t="s">
        <v>42</v>
      </c>
      <c r="D3" s="11" t="s">
        <v>42</v>
      </c>
      <c r="E3" s="10" t="s">
        <v>43</v>
      </c>
      <c r="F3" s="6" t="s">
        <v>42</v>
      </c>
      <c r="G3" s="6" t="s">
        <v>42</v>
      </c>
      <c r="H3" s="6" t="s">
        <v>42</v>
      </c>
      <c r="I3" s="17" t="s">
        <v>43</v>
      </c>
      <c r="J3" s="17" t="s">
        <v>43</v>
      </c>
      <c r="K3" s="6" t="s">
        <v>42</v>
      </c>
      <c r="L3" s="10" t="s">
        <v>43</v>
      </c>
      <c r="M3" s="11" t="s">
        <v>42</v>
      </c>
    </row>
    <row r="4" spans="1:13" x14ac:dyDescent="0.25">
      <c r="A4" t="s">
        <v>90</v>
      </c>
      <c r="B4" s="6" t="s">
        <v>91</v>
      </c>
      <c r="C4" s="6" t="s">
        <v>91</v>
      </c>
      <c r="D4" s="6" t="s">
        <v>91</v>
      </c>
      <c r="E4" s="10" t="s">
        <v>92</v>
      </c>
      <c r="F4" s="6" t="s">
        <v>91</v>
      </c>
      <c r="G4" s="6" t="s">
        <v>91</v>
      </c>
      <c r="H4" s="6" t="s">
        <v>91</v>
      </c>
      <c r="I4" s="6" t="s">
        <v>91</v>
      </c>
      <c r="J4" s="6" t="s">
        <v>91</v>
      </c>
      <c r="K4" s="6" t="s">
        <v>91</v>
      </c>
      <c r="L4" s="10" t="s">
        <v>92</v>
      </c>
      <c r="M4" s="6" t="s">
        <v>91</v>
      </c>
    </row>
    <row r="5" spans="1:13" ht="15.6" x14ac:dyDescent="0.3">
      <c r="A5" t="s">
        <v>93</v>
      </c>
      <c r="B5" s="6"/>
      <c r="C5" s="6">
        <v>0</v>
      </c>
      <c r="D5" s="11">
        <v>0</v>
      </c>
      <c r="E5" s="10"/>
      <c r="F5" s="6">
        <v>0</v>
      </c>
      <c r="G5" s="6">
        <v>0</v>
      </c>
      <c r="H5" s="6">
        <v>0</v>
      </c>
      <c r="I5" s="16">
        <v>36526</v>
      </c>
      <c r="J5" s="17">
        <v>72686</v>
      </c>
      <c r="K5" s="6">
        <v>0</v>
      </c>
      <c r="L5" s="10"/>
      <c r="M5" s="6">
        <v>0</v>
      </c>
    </row>
    <row r="6" spans="1:13" ht="15.6" x14ac:dyDescent="0.3">
      <c r="A6" t="s">
        <v>115</v>
      </c>
      <c r="B6" s="21">
        <v>101</v>
      </c>
      <c r="C6" s="20">
        <v>1</v>
      </c>
      <c r="D6" s="22">
        <v>430011</v>
      </c>
      <c r="E6" s="20" t="s">
        <v>116</v>
      </c>
      <c r="F6" s="20">
        <v>4</v>
      </c>
      <c r="G6" s="20">
        <v>60</v>
      </c>
      <c r="H6" s="20">
        <v>20</v>
      </c>
      <c r="I6" s="18">
        <v>43748</v>
      </c>
      <c r="J6" s="18">
        <v>72686</v>
      </c>
      <c r="K6" s="20">
        <v>430012</v>
      </c>
      <c r="L6" s="20" t="s">
        <v>117</v>
      </c>
      <c r="M6" s="20">
        <v>40011</v>
      </c>
    </row>
    <row r="7" spans="1:13" ht="15.6" x14ac:dyDescent="0.3">
      <c r="B7" s="21">
        <v>102</v>
      </c>
      <c r="C7" s="21">
        <v>1</v>
      </c>
      <c r="D7" s="21">
        <v>430021</v>
      </c>
      <c r="E7" s="20" t="s">
        <v>118</v>
      </c>
      <c r="F7" s="20">
        <v>4</v>
      </c>
      <c r="G7" s="20">
        <v>330</v>
      </c>
      <c r="H7" s="20">
        <v>20</v>
      </c>
      <c r="I7" s="18">
        <v>43748</v>
      </c>
      <c r="J7" s="18">
        <v>72686</v>
      </c>
      <c r="K7" s="20">
        <v>430012</v>
      </c>
      <c r="L7" s="20"/>
      <c r="M7" s="20">
        <v>40012</v>
      </c>
    </row>
    <row r="8" spans="1:13" ht="15.6" x14ac:dyDescent="0.3">
      <c r="B8" s="21">
        <v>103</v>
      </c>
      <c r="C8" s="20">
        <v>1</v>
      </c>
      <c r="D8" s="22">
        <v>430031</v>
      </c>
      <c r="E8" s="20" t="s">
        <v>119</v>
      </c>
      <c r="F8" s="20">
        <v>4</v>
      </c>
      <c r="G8" s="20">
        <v>680</v>
      </c>
      <c r="H8" s="20">
        <v>20</v>
      </c>
      <c r="I8" s="18">
        <v>43748</v>
      </c>
      <c r="J8" s="18">
        <v>72686</v>
      </c>
      <c r="K8" s="20">
        <v>430012</v>
      </c>
      <c r="L8" s="20"/>
      <c r="M8" s="20">
        <v>40013</v>
      </c>
    </row>
    <row r="9" spans="1:13" ht="15.6" x14ac:dyDescent="0.3">
      <c r="B9" s="21">
        <v>104</v>
      </c>
      <c r="C9" s="20">
        <v>1</v>
      </c>
      <c r="D9" s="21">
        <v>430041</v>
      </c>
      <c r="E9" s="20" t="s">
        <v>120</v>
      </c>
      <c r="F9" s="20">
        <v>4</v>
      </c>
      <c r="G9" s="20">
        <v>1280</v>
      </c>
      <c r="H9" s="20">
        <v>20</v>
      </c>
      <c r="I9" s="18">
        <v>43748</v>
      </c>
      <c r="J9" s="18">
        <v>72686</v>
      </c>
      <c r="K9" s="20">
        <v>430012</v>
      </c>
      <c r="L9" s="20"/>
      <c r="M9" s="20">
        <v>40014</v>
      </c>
    </row>
    <row r="10" spans="1:13" ht="15.6" x14ac:dyDescent="0.3">
      <c r="B10" s="21">
        <v>105</v>
      </c>
      <c r="C10" s="21">
        <v>1</v>
      </c>
      <c r="D10" s="22">
        <v>430051</v>
      </c>
      <c r="E10" s="20" t="s">
        <v>121</v>
      </c>
      <c r="F10" s="20">
        <v>4</v>
      </c>
      <c r="G10" s="20">
        <v>3280</v>
      </c>
      <c r="H10" s="20">
        <v>20</v>
      </c>
      <c r="I10" s="18">
        <v>43748</v>
      </c>
      <c r="J10" s="18">
        <v>72686</v>
      </c>
      <c r="K10" s="20">
        <v>430012</v>
      </c>
      <c r="L10" s="20"/>
      <c r="M10" s="20">
        <v>40015</v>
      </c>
    </row>
    <row r="11" spans="1:13" ht="15.6" x14ac:dyDescent="0.3">
      <c r="B11" s="21">
        <v>106</v>
      </c>
      <c r="C11" s="20">
        <v>1</v>
      </c>
      <c r="D11" s="22">
        <v>430061</v>
      </c>
      <c r="E11" s="20" t="s">
        <v>122</v>
      </c>
      <c r="F11" s="20">
        <v>4</v>
      </c>
      <c r="G11" s="20">
        <v>6480</v>
      </c>
      <c r="H11" s="20">
        <v>20</v>
      </c>
      <c r="I11" s="18">
        <v>43748</v>
      </c>
      <c r="J11" s="18">
        <v>72686</v>
      </c>
      <c r="K11" s="20">
        <v>430012</v>
      </c>
      <c r="L11" s="20"/>
      <c r="M11" s="20">
        <v>40016</v>
      </c>
    </row>
    <row r="12" spans="1:13" ht="15.6" x14ac:dyDescent="0.3">
      <c r="B12" s="21">
        <v>107</v>
      </c>
      <c r="C12" s="21">
        <v>1</v>
      </c>
      <c r="D12" s="21">
        <v>430071</v>
      </c>
      <c r="E12" s="20" t="s">
        <v>123</v>
      </c>
      <c r="F12" s="20">
        <v>4</v>
      </c>
      <c r="G12" s="20">
        <v>12880</v>
      </c>
      <c r="H12" s="20">
        <v>20</v>
      </c>
      <c r="I12" s="18">
        <v>43748</v>
      </c>
      <c r="J12" s="18">
        <v>72686</v>
      </c>
      <c r="K12" s="20">
        <v>430012</v>
      </c>
      <c r="L12" s="20"/>
      <c r="M12" s="20">
        <v>40017</v>
      </c>
    </row>
    <row r="13" spans="1:13" ht="15.6" x14ac:dyDescent="0.3">
      <c r="B13" s="21">
        <v>108</v>
      </c>
      <c r="C13" s="20">
        <v>1</v>
      </c>
      <c r="D13" s="22">
        <v>430081</v>
      </c>
      <c r="E13" s="20" t="s">
        <v>124</v>
      </c>
      <c r="F13" s="20">
        <v>4</v>
      </c>
      <c r="G13" s="20">
        <v>28880</v>
      </c>
      <c r="H13" s="20">
        <v>20</v>
      </c>
      <c r="I13" s="18">
        <v>43748</v>
      </c>
      <c r="J13" s="18">
        <v>72686</v>
      </c>
      <c r="K13" s="20">
        <v>430012</v>
      </c>
      <c r="L13" s="20"/>
      <c r="M13" s="20">
        <v>40018</v>
      </c>
    </row>
    <row r="14" spans="1:13" ht="15.6" x14ac:dyDescent="0.3">
      <c r="B14" s="21">
        <v>109</v>
      </c>
      <c r="C14" s="20">
        <v>1</v>
      </c>
      <c r="D14" s="21">
        <v>430091</v>
      </c>
      <c r="E14" s="20" t="s">
        <v>125</v>
      </c>
      <c r="F14" s="20">
        <v>4</v>
      </c>
      <c r="G14" s="20">
        <v>58880</v>
      </c>
      <c r="H14" s="20">
        <v>20</v>
      </c>
      <c r="I14" s="18">
        <v>43748</v>
      </c>
      <c r="J14" s="18">
        <v>72686</v>
      </c>
      <c r="K14" s="20">
        <v>430012</v>
      </c>
      <c r="L14" s="20"/>
      <c r="M14" s="20">
        <v>40019</v>
      </c>
    </row>
    <row r="16" spans="1:13" s="20" customFormat="1" ht="15.6" x14ac:dyDescent="0.25"/>
    <row r="17" s="20" customFormat="1" ht="15.6" x14ac:dyDescent="0.25"/>
    <row r="18" s="20" customFormat="1" ht="15.6" x14ac:dyDescent="0.25"/>
    <row r="19" s="20" customFormat="1" ht="15.6" x14ac:dyDescent="0.25"/>
    <row r="20" s="20" customFormat="1" ht="15.6" x14ac:dyDescent="0.25"/>
    <row r="21" s="20" customFormat="1" ht="15.6" x14ac:dyDescent="0.25"/>
    <row r="22" s="20" customFormat="1" ht="15.6" x14ac:dyDescent="0.25"/>
    <row r="23" s="20" customFormat="1" ht="15.6" x14ac:dyDescent="0.25"/>
    <row r="24" s="20" customFormat="1" ht="15.6" x14ac:dyDescent="0.25"/>
  </sheetData>
  <phoneticPr fontId="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workbookViewId="0">
      <selection activeCell="F22" sqref="F22"/>
    </sheetView>
  </sheetViews>
  <sheetFormatPr defaultColWidth="11" defaultRowHeight="13.8" x14ac:dyDescent="0.25"/>
  <cols>
    <col min="1" max="1" width="13.6640625" style="9" customWidth="1"/>
    <col min="2" max="2" width="11" style="9" customWidth="1"/>
    <col min="3" max="4" width="11" style="9"/>
    <col min="5" max="5" width="22.77734375" style="9" customWidth="1"/>
    <col min="6" max="16384" width="11" style="9"/>
  </cols>
  <sheetData>
    <row r="1" spans="1:7" x14ac:dyDescent="0.25">
      <c r="A1" t="s">
        <v>64</v>
      </c>
      <c r="B1" s="9" t="s">
        <v>20</v>
      </c>
      <c r="C1" s="9" t="s">
        <v>65</v>
      </c>
      <c r="D1" s="9" t="s">
        <v>126</v>
      </c>
      <c r="E1" s="9" t="s">
        <v>18</v>
      </c>
      <c r="F1" s="9" t="s">
        <v>127</v>
      </c>
      <c r="G1" s="9" t="s">
        <v>18</v>
      </c>
    </row>
    <row r="2" spans="1:7" x14ac:dyDescent="0.25">
      <c r="A2" t="s">
        <v>75</v>
      </c>
      <c r="B2" s="6" t="s">
        <v>29</v>
      </c>
      <c r="C2" s="6" t="s">
        <v>33</v>
      </c>
      <c r="D2" s="6" t="s">
        <v>128</v>
      </c>
      <c r="E2" s="10" t="s">
        <v>129</v>
      </c>
      <c r="F2" s="6" t="s">
        <v>130</v>
      </c>
      <c r="G2" s="10" t="s">
        <v>131</v>
      </c>
    </row>
    <row r="3" spans="1:7" x14ac:dyDescent="0.25">
      <c r="A3" t="s">
        <v>89</v>
      </c>
      <c r="B3" s="6" t="s">
        <v>42</v>
      </c>
      <c r="C3" s="6" t="s">
        <v>42</v>
      </c>
      <c r="D3" s="6" t="s">
        <v>42</v>
      </c>
      <c r="E3" s="10" t="s">
        <v>43</v>
      </c>
      <c r="F3" s="6" t="s">
        <v>42</v>
      </c>
      <c r="G3" s="10" t="s">
        <v>43</v>
      </c>
    </row>
    <row r="4" spans="1:7" x14ac:dyDescent="0.25">
      <c r="A4" t="s">
        <v>90</v>
      </c>
      <c r="B4" s="6" t="s">
        <v>91</v>
      </c>
      <c r="C4" s="6" t="s">
        <v>91</v>
      </c>
      <c r="D4" s="6" t="s">
        <v>91</v>
      </c>
      <c r="E4" s="10" t="s">
        <v>92</v>
      </c>
      <c r="F4" s="6" t="s">
        <v>91</v>
      </c>
      <c r="G4" s="10" t="s">
        <v>92</v>
      </c>
    </row>
    <row r="5" spans="1:7" x14ac:dyDescent="0.25">
      <c r="A5" t="s">
        <v>93</v>
      </c>
      <c r="B5" s="6"/>
      <c r="C5" s="6">
        <v>0</v>
      </c>
      <c r="D5" s="6">
        <v>0</v>
      </c>
      <c r="E5" s="10">
        <v>0</v>
      </c>
      <c r="F5" s="6">
        <v>0</v>
      </c>
      <c r="G5" s="10"/>
    </row>
    <row r="6" spans="1:7" x14ac:dyDescent="0.25">
      <c r="A6" t="s">
        <v>93</v>
      </c>
      <c r="B6" s="10">
        <v>101</v>
      </c>
      <c r="C6" s="9">
        <v>1</v>
      </c>
      <c r="D6" s="9">
        <v>440011</v>
      </c>
      <c r="E6" s="9" t="s">
        <v>132</v>
      </c>
      <c r="F6" s="9">
        <v>440012</v>
      </c>
      <c r="G6" s="9" t="s">
        <v>133</v>
      </c>
    </row>
    <row r="7" spans="1:7" x14ac:dyDescent="0.25">
      <c r="A7" t="s">
        <v>93</v>
      </c>
      <c r="B7" s="10">
        <v>201</v>
      </c>
      <c r="C7" s="9">
        <v>2</v>
      </c>
      <c r="D7" s="9">
        <v>440021</v>
      </c>
      <c r="E7" s="9" t="s">
        <v>134</v>
      </c>
      <c r="F7" s="9">
        <v>440022</v>
      </c>
      <c r="G7" s="9" t="s">
        <v>135</v>
      </c>
    </row>
    <row r="8" spans="1:7" x14ac:dyDescent="0.25">
      <c r="A8" s="9" t="s">
        <v>3</v>
      </c>
      <c r="B8" s="9">
        <v>301</v>
      </c>
      <c r="C8" s="9">
        <v>3</v>
      </c>
      <c r="D8" s="9">
        <v>440031</v>
      </c>
      <c r="E8" s="9" t="s">
        <v>136</v>
      </c>
      <c r="F8" s="9">
        <v>440032</v>
      </c>
      <c r="G8" s="9" t="s">
        <v>137</v>
      </c>
    </row>
    <row r="9" spans="1:7" x14ac:dyDescent="0.25">
      <c r="B9" s="9">
        <v>401</v>
      </c>
      <c r="C9" s="9">
        <v>4</v>
      </c>
      <c r="D9" s="9">
        <v>440041</v>
      </c>
      <c r="E9" s="9" t="s">
        <v>138</v>
      </c>
      <c r="F9" s="9">
        <v>440042</v>
      </c>
      <c r="G9" s="9" t="s">
        <v>139</v>
      </c>
    </row>
    <row r="10" spans="1:7" ht="15.6" x14ac:dyDescent="0.25">
      <c r="B10" s="9">
        <v>501</v>
      </c>
      <c r="C10" s="9">
        <v>5</v>
      </c>
      <c r="D10" s="9">
        <v>440051</v>
      </c>
      <c r="E10" s="9" t="s">
        <v>140</v>
      </c>
      <c r="F10" s="9">
        <v>440052</v>
      </c>
      <c r="G10" s="19" t="s">
        <v>141</v>
      </c>
    </row>
    <row r="11" spans="1:7" ht="15.6" x14ac:dyDescent="0.25">
      <c r="A11" t="s">
        <v>93</v>
      </c>
      <c r="B11" s="10">
        <v>601</v>
      </c>
      <c r="C11" s="9">
        <v>6</v>
      </c>
      <c r="D11" s="9">
        <v>440061</v>
      </c>
      <c r="E11" s="19" t="s">
        <v>142</v>
      </c>
      <c r="F11" s="9">
        <v>440062</v>
      </c>
      <c r="G11" s="19" t="s">
        <v>143</v>
      </c>
    </row>
    <row r="12" spans="1:7" x14ac:dyDescent="0.25">
      <c r="B12" s="9">
        <v>701</v>
      </c>
      <c r="C12" s="9">
        <v>7</v>
      </c>
      <c r="D12" s="9">
        <v>440071</v>
      </c>
      <c r="E12" s="9" t="s">
        <v>144</v>
      </c>
      <c r="F12" s="9">
        <v>440072</v>
      </c>
      <c r="G12" s="9" t="s">
        <v>145</v>
      </c>
    </row>
    <row r="13" spans="1:7" x14ac:dyDescent="0.25">
      <c r="B13" s="9">
        <v>801</v>
      </c>
      <c r="C13" s="9">
        <v>8</v>
      </c>
      <c r="D13" s="9">
        <v>440081</v>
      </c>
      <c r="E13" s="9" t="s">
        <v>146</v>
      </c>
      <c r="F13" s="9">
        <v>440082</v>
      </c>
      <c r="G13" s="9" t="s">
        <v>147</v>
      </c>
    </row>
    <row r="14" spans="1:7" x14ac:dyDescent="0.25">
      <c r="B14" s="9">
        <v>901</v>
      </c>
      <c r="C14" s="9">
        <v>9</v>
      </c>
      <c r="D14" s="9">
        <v>440091</v>
      </c>
      <c r="E14" s="9" t="s">
        <v>148</v>
      </c>
      <c r="F14" s="9">
        <v>440092</v>
      </c>
      <c r="G14" s="9" t="s">
        <v>149</v>
      </c>
    </row>
    <row r="15" spans="1:7" x14ac:dyDescent="0.25">
      <c r="B15" s="9">
        <v>1001</v>
      </c>
      <c r="C15" s="9">
        <v>10</v>
      </c>
      <c r="D15" s="9">
        <v>440101</v>
      </c>
      <c r="E15" s="9" t="s">
        <v>150</v>
      </c>
      <c r="F15" s="9">
        <v>440102</v>
      </c>
      <c r="G15" s="9" t="s">
        <v>151</v>
      </c>
    </row>
    <row r="16" spans="1:7" x14ac:dyDescent="0.25">
      <c r="B16" s="9">
        <v>1101</v>
      </c>
      <c r="C16" s="9">
        <v>11</v>
      </c>
      <c r="D16" s="9">
        <v>440111</v>
      </c>
      <c r="E16" s="9" t="s">
        <v>146</v>
      </c>
      <c r="F16" s="9">
        <v>440112</v>
      </c>
      <c r="G16" s="9" t="s">
        <v>152</v>
      </c>
    </row>
    <row r="17" spans="2:7" x14ac:dyDescent="0.25">
      <c r="B17" s="9">
        <v>1201</v>
      </c>
      <c r="C17" s="9">
        <v>12</v>
      </c>
      <c r="D17" s="9">
        <v>440111</v>
      </c>
      <c r="E17" s="9" t="s">
        <v>146</v>
      </c>
      <c r="F17" s="9">
        <v>440112</v>
      </c>
    </row>
    <row r="18" spans="2:7" x14ac:dyDescent="0.25">
      <c r="B18" s="9">
        <v>1301</v>
      </c>
      <c r="C18" s="9">
        <v>13</v>
      </c>
      <c r="D18" s="9">
        <v>440121</v>
      </c>
      <c r="E18" s="9" t="s">
        <v>148</v>
      </c>
      <c r="F18" s="9">
        <v>440122</v>
      </c>
      <c r="G18" s="9" t="s">
        <v>153</v>
      </c>
    </row>
  </sheetData>
  <phoneticPr fontId="8" type="noConversion"/>
  <conditionalFormatting sqref="D18">
    <cfRule type="duplicateValues" dxfId="3" priority="3"/>
    <cfRule type="duplicateValues" dxfId="2" priority="4"/>
  </conditionalFormatting>
  <conditionalFormatting sqref="F18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2"/>
  <sheetViews>
    <sheetView workbookViewId="0">
      <pane ySplit="5" topLeftCell="A30" activePane="bottomLeft" state="frozen"/>
      <selection pane="bottomLeft" activeCell="B17" sqref="B17"/>
    </sheetView>
  </sheetViews>
  <sheetFormatPr defaultColWidth="11" defaultRowHeight="13.8" x14ac:dyDescent="0.25"/>
  <cols>
    <col min="1" max="1" width="13" style="9" customWidth="1"/>
    <col min="2" max="2" width="16.77734375" style="9" customWidth="1"/>
    <col min="3" max="3" width="9.5546875" style="9" customWidth="1"/>
    <col min="4" max="4" width="10" style="9" customWidth="1"/>
    <col min="5" max="5" width="11" style="9"/>
    <col min="6" max="6" width="16.109375" style="9" customWidth="1"/>
    <col min="7" max="7" width="10.109375" style="9" customWidth="1"/>
    <col min="8" max="8" width="10" style="9" customWidth="1"/>
    <col min="9" max="9" width="6.109375" style="9" customWidth="1"/>
    <col min="10" max="10" width="11" style="9"/>
    <col min="11" max="11" width="15.77734375" style="9" customWidth="1"/>
    <col min="12" max="12" width="18.33203125" style="9" customWidth="1"/>
    <col min="13" max="16384" width="11" style="9"/>
  </cols>
  <sheetData>
    <row r="1" spans="1:19" x14ac:dyDescent="0.25">
      <c r="A1" t="s">
        <v>64</v>
      </c>
      <c r="B1" s="9" t="s">
        <v>20</v>
      </c>
      <c r="C1" s="9" t="s">
        <v>65</v>
      </c>
      <c r="D1" s="9" t="s">
        <v>154</v>
      </c>
      <c r="E1" s="9" t="s">
        <v>155</v>
      </c>
      <c r="F1" s="9" t="s">
        <v>156</v>
      </c>
      <c r="G1" s="9" t="s">
        <v>67</v>
      </c>
      <c r="H1" s="9" t="s">
        <v>68</v>
      </c>
      <c r="I1" s="9" t="s">
        <v>28</v>
      </c>
      <c r="J1" t="s">
        <v>23</v>
      </c>
      <c r="K1" s="12" t="s">
        <v>69</v>
      </c>
      <c r="L1" s="12" t="s">
        <v>70</v>
      </c>
      <c r="M1" s="9" t="s">
        <v>71</v>
      </c>
      <c r="N1" s="9" t="s">
        <v>18</v>
      </c>
      <c r="O1" s="9" t="s">
        <v>72</v>
      </c>
      <c r="P1" s="9" t="s">
        <v>18</v>
      </c>
      <c r="Q1" s="9" t="s">
        <v>73</v>
      </c>
      <c r="R1" s="9" t="s">
        <v>18</v>
      </c>
      <c r="S1" s="9" t="s">
        <v>74</v>
      </c>
    </row>
    <row r="2" spans="1:19" x14ac:dyDescent="0.25">
      <c r="A2" t="s">
        <v>75</v>
      </c>
      <c r="B2" s="6" t="s">
        <v>29</v>
      </c>
      <c r="C2" s="6" t="s">
        <v>33</v>
      </c>
      <c r="D2" s="6" t="s">
        <v>157</v>
      </c>
      <c r="E2" s="6" t="s">
        <v>76</v>
      </c>
      <c r="F2" s="10" t="s">
        <v>77</v>
      </c>
      <c r="G2" s="6" t="s">
        <v>78</v>
      </c>
      <c r="H2" s="6" t="s">
        <v>79</v>
      </c>
      <c r="I2" s="6" t="s">
        <v>41</v>
      </c>
      <c r="J2" s="6" t="s">
        <v>36</v>
      </c>
      <c r="K2" s="16" t="s">
        <v>80</v>
      </c>
      <c r="L2" s="16" t="s">
        <v>81</v>
      </c>
      <c r="M2" s="6" t="s">
        <v>82</v>
      </c>
      <c r="N2" s="10" t="s">
        <v>83</v>
      </c>
      <c r="O2" s="6" t="s">
        <v>84</v>
      </c>
      <c r="P2" s="10" t="s">
        <v>85</v>
      </c>
      <c r="Q2" s="6" t="s">
        <v>86</v>
      </c>
      <c r="R2" s="10" t="s">
        <v>87</v>
      </c>
      <c r="S2" s="6" t="s">
        <v>88</v>
      </c>
    </row>
    <row r="3" spans="1:19" ht="15.6" x14ac:dyDescent="0.3">
      <c r="A3" t="s">
        <v>89</v>
      </c>
      <c r="B3" s="6" t="s">
        <v>42</v>
      </c>
      <c r="C3" s="6" t="s">
        <v>42</v>
      </c>
      <c r="D3" s="6" t="s">
        <v>42</v>
      </c>
      <c r="E3" s="6" t="s">
        <v>42</v>
      </c>
      <c r="F3" s="10" t="s">
        <v>43</v>
      </c>
      <c r="G3" s="6" t="s">
        <v>42</v>
      </c>
      <c r="H3" s="6" t="s">
        <v>43</v>
      </c>
      <c r="I3" s="6" t="s">
        <v>42</v>
      </c>
      <c r="J3" s="6" t="s">
        <v>42</v>
      </c>
      <c r="K3" s="17" t="s">
        <v>43</v>
      </c>
      <c r="L3" s="17" t="s">
        <v>43</v>
      </c>
      <c r="M3" s="6" t="s">
        <v>42</v>
      </c>
      <c r="N3" s="10" t="s">
        <v>43</v>
      </c>
      <c r="O3" s="6" t="s">
        <v>42</v>
      </c>
      <c r="P3" s="10" t="s">
        <v>43</v>
      </c>
      <c r="Q3" s="6" t="s">
        <v>42</v>
      </c>
      <c r="R3" s="10" t="s">
        <v>43</v>
      </c>
      <c r="S3" s="11" t="s">
        <v>42</v>
      </c>
    </row>
    <row r="4" spans="1:19" x14ac:dyDescent="0.25">
      <c r="A4" t="s">
        <v>90</v>
      </c>
      <c r="B4" s="6" t="s">
        <v>91</v>
      </c>
      <c r="C4" s="6" t="s">
        <v>91</v>
      </c>
      <c r="D4" s="6" t="s">
        <v>91</v>
      </c>
      <c r="E4" s="6" t="s">
        <v>91</v>
      </c>
      <c r="F4" s="10" t="s">
        <v>92</v>
      </c>
      <c r="G4" s="6" t="s">
        <v>91</v>
      </c>
      <c r="H4" s="6" t="s">
        <v>91</v>
      </c>
      <c r="I4" s="6" t="s">
        <v>91</v>
      </c>
      <c r="J4" s="6" t="s">
        <v>91</v>
      </c>
      <c r="K4" s="6" t="s">
        <v>91</v>
      </c>
      <c r="L4" s="6" t="s">
        <v>91</v>
      </c>
      <c r="M4" s="6" t="s">
        <v>91</v>
      </c>
      <c r="N4" s="10" t="s">
        <v>92</v>
      </c>
      <c r="O4" s="6" t="s">
        <v>91</v>
      </c>
      <c r="P4" s="10" t="s">
        <v>92</v>
      </c>
      <c r="Q4" s="6" t="s">
        <v>91</v>
      </c>
      <c r="R4" s="10" t="s">
        <v>92</v>
      </c>
      <c r="S4" s="6" t="s">
        <v>91</v>
      </c>
    </row>
    <row r="5" spans="1:19" ht="15.6" x14ac:dyDescent="0.3">
      <c r="A5" t="s">
        <v>93</v>
      </c>
      <c r="B5" s="6" t="s">
        <v>3</v>
      </c>
      <c r="C5" s="6">
        <v>0</v>
      </c>
      <c r="D5" s="6">
        <v>0</v>
      </c>
      <c r="E5" s="6">
        <v>0</v>
      </c>
      <c r="F5" s="10"/>
      <c r="G5" s="6">
        <v>0</v>
      </c>
      <c r="H5" s="6">
        <v>0</v>
      </c>
      <c r="I5" s="6">
        <v>0</v>
      </c>
      <c r="J5" s="6">
        <v>0</v>
      </c>
      <c r="K5" s="16">
        <v>36526</v>
      </c>
      <c r="L5" s="17">
        <v>72686</v>
      </c>
      <c r="M5" s="6">
        <v>0</v>
      </c>
      <c r="N5" s="10"/>
      <c r="O5" s="6">
        <v>0</v>
      </c>
      <c r="P5" s="10"/>
      <c r="Q5" s="6">
        <v>0</v>
      </c>
      <c r="R5" s="10"/>
      <c r="S5" s="6">
        <v>0</v>
      </c>
    </row>
    <row r="6" spans="1:19" x14ac:dyDescent="0.25">
      <c r="B6" s="9">
        <v>1001</v>
      </c>
      <c r="C6" s="9">
        <v>13</v>
      </c>
      <c r="D6" s="9">
        <v>101</v>
      </c>
      <c r="E6" s="9">
        <v>450011</v>
      </c>
      <c r="F6" s="9" t="s">
        <v>95</v>
      </c>
      <c r="G6" s="9">
        <v>2</v>
      </c>
      <c r="H6" s="9">
        <v>2</v>
      </c>
      <c r="I6" s="9">
        <v>0</v>
      </c>
      <c r="J6" s="9">
        <v>0</v>
      </c>
      <c r="K6" s="18">
        <v>45658</v>
      </c>
      <c r="L6" s="18">
        <v>45688.999988425901</v>
      </c>
      <c r="M6" s="9">
        <v>450012</v>
      </c>
      <c r="N6" s="9" t="s">
        <v>94</v>
      </c>
      <c r="O6" s="9">
        <v>450013</v>
      </c>
      <c r="P6" s="9" t="s">
        <v>110</v>
      </c>
      <c r="Q6" s="9">
        <v>450014</v>
      </c>
      <c r="R6" s="9" t="s">
        <v>111</v>
      </c>
      <c r="S6" s="9">
        <v>45011</v>
      </c>
    </row>
    <row r="7" spans="1:19" x14ac:dyDescent="0.25">
      <c r="B7" s="9">
        <v>1002</v>
      </c>
      <c r="C7" s="9">
        <v>13</v>
      </c>
      <c r="D7" s="9">
        <v>102</v>
      </c>
      <c r="E7" s="9">
        <v>450021</v>
      </c>
      <c r="F7" s="9" t="s">
        <v>96</v>
      </c>
      <c r="G7" s="9">
        <v>2</v>
      </c>
      <c r="H7" s="9">
        <v>5</v>
      </c>
      <c r="I7" s="9">
        <v>0</v>
      </c>
      <c r="J7" s="9">
        <v>0</v>
      </c>
      <c r="K7" s="18">
        <v>45658</v>
      </c>
      <c r="L7" s="18">
        <v>45688.999988425901</v>
      </c>
      <c r="M7" s="9">
        <v>450012</v>
      </c>
      <c r="O7" s="9">
        <v>450013</v>
      </c>
      <c r="Q7" s="9">
        <v>450014</v>
      </c>
      <c r="S7" s="9">
        <v>45012</v>
      </c>
    </row>
    <row r="8" spans="1:19" x14ac:dyDescent="0.25">
      <c r="B8" s="9">
        <v>1003</v>
      </c>
      <c r="C8" s="9">
        <v>13</v>
      </c>
      <c r="D8" s="9">
        <v>103</v>
      </c>
      <c r="E8" s="9">
        <v>450031</v>
      </c>
      <c r="F8" s="9" t="s">
        <v>158</v>
      </c>
      <c r="G8" s="9">
        <v>2</v>
      </c>
      <c r="H8" s="9">
        <v>10</v>
      </c>
      <c r="I8" s="9">
        <v>0</v>
      </c>
      <c r="J8" s="9">
        <v>0</v>
      </c>
      <c r="K8" s="18">
        <v>45658</v>
      </c>
      <c r="L8" s="18">
        <v>45688.999988425901</v>
      </c>
      <c r="M8" s="9">
        <v>450012</v>
      </c>
      <c r="O8" s="9">
        <v>450013</v>
      </c>
      <c r="Q8" s="9">
        <v>450014</v>
      </c>
      <c r="S8" s="9">
        <v>45013</v>
      </c>
    </row>
    <row r="9" spans="1:19" x14ac:dyDescent="0.25">
      <c r="B9" s="9">
        <v>1004</v>
      </c>
      <c r="C9" s="9">
        <v>13</v>
      </c>
      <c r="D9" s="9">
        <v>104</v>
      </c>
      <c r="E9" s="9">
        <v>450041</v>
      </c>
      <c r="F9" s="9" t="s">
        <v>159</v>
      </c>
      <c r="G9" s="9">
        <v>2</v>
      </c>
      <c r="H9" s="9">
        <v>15</v>
      </c>
      <c r="I9" s="9">
        <v>0</v>
      </c>
      <c r="J9" s="9">
        <v>0</v>
      </c>
      <c r="K9" s="18">
        <v>45658</v>
      </c>
      <c r="L9" s="18">
        <v>45688.999988425901</v>
      </c>
      <c r="M9" s="9">
        <v>450012</v>
      </c>
      <c r="O9" s="9">
        <v>450013</v>
      </c>
      <c r="Q9" s="9">
        <v>450014</v>
      </c>
      <c r="S9" s="9">
        <v>45014</v>
      </c>
    </row>
    <row r="10" spans="1:19" x14ac:dyDescent="0.25">
      <c r="B10" s="9">
        <v>1005</v>
      </c>
      <c r="C10" s="9">
        <v>13</v>
      </c>
      <c r="D10" s="9">
        <v>105</v>
      </c>
      <c r="E10" s="9">
        <v>450051</v>
      </c>
      <c r="F10" s="9" t="s">
        <v>160</v>
      </c>
      <c r="G10" s="9">
        <v>2</v>
      </c>
      <c r="H10" s="9">
        <v>21</v>
      </c>
      <c r="I10" s="9">
        <v>0</v>
      </c>
      <c r="J10" s="9">
        <v>0</v>
      </c>
      <c r="K10" s="18">
        <v>45658</v>
      </c>
      <c r="L10" s="18">
        <v>45688.999988425901</v>
      </c>
      <c r="M10" s="9">
        <v>450012</v>
      </c>
      <c r="O10" s="9">
        <v>450013</v>
      </c>
      <c r="Q10" s="9">
        <v>450014</v>
      </c>
      <c r="S10" s="9">
        <v>45015</v>
      </c>
    </row>
    <row r="11" spans="1:19" x14ac:dyDescent="0.25">
      <c r="B11" s="9">
        <v>1006</v>
      </c>
      <c r="C11" s="9">
        <v>13</v>
      </c>
      <c r="D11" s="9">
        <v>2</v>
      </c>
      <c r="E11" s="9">
        <v>450061</v>
      </c>
      <c r="F11" s="9" t="s">
        <v>161</v>
      </c>
      <c r="G11" s="9">
        <v>2</v>
      </c>
      <c r="H11" s="9">
        <v>1</v>
      </c>
      <c r="I11" s="9">
        <v>0</v>
      </c>
      <c r="J11" s="9">
        <v>1</v>
      </c>
      <c r="K11" s="18">
        <v>45658</v>
      </c>
      <c r="L11" s="18">
        <v>45688.999988425901</v>
      </c>
      <c r="M11" s="9">
        <v>450012</v>
      </c>
      <c r="O11" s="9">
        <v>450013</v>
      </c>
      <c r="Q11" s="9">
        <v>450014</v>
      </c>
      <c r="S11" s="9">
        <v>45016</v>
      </c>
    </row>
    <row r="12" spans="1:19" x14ac:dyDescent="0.25">
      <c r="B12" s="9">
        <f>B6+1000</f>
        <v>2001</v>
      </c>
      <c r="C12" s="9">
        <v>2</v>
      </c>
      <c r="D12" s="9">
        <v>101</v>
      </c>
      <c r="E12" s="9">
        <v>450011</v>
      </c>
      <c r="F12" s="9" t="s">
        <v>95</v>
      </c>
      <c r="G12" s="9">
        <v>2</v>
      </c>
      <c r="H12" s="9">
        <v>2</v>
      </c>
      <c r="I12" s="9">
        <v>0</v>
      </c>
      <c r="J12" s="9">
        <v>0</v>
      </c>
      <c r="K12" s="18">
        <v>45689</v>
      </c>
      <c r="L12" s="18">
        <v>45716.999988425901</v>
      </c>
      <c r="M12" s="9">
        <v>450012</v>
      </c>
      <c r="N12" s="9" t="s">
        <v>94</v>
      </c>
      <c r="O12" s="9">
        <v>450013</v>
      </c>
      <c r="P12" s="9" t="s">
        <v>110</v>
      </c>
      <c r="Q12" s="9">
        <v>450014</v>
      </c>
      <c r="R12" s="9" t="s">
        <v>111</v>
      </c>
      <c r="S12" s="9">
        <v>45011</v>
      </c>
    </row>
    <row r="13" spans="1:19" x14ac:dyDescent="0.25">
      <c r="B13" s="9">
        <f t="shared" ref="B13:B76" si="0">B7+1000</f>
        <v>2002</v>
      </c>
      <c r="C13" s="9">
        <v>2</v>
      </c>
      <c r="D13" s="9">
        <v>102</v>
      </c>
      <c r="E13" s="9">
        <v>450021</v>
      </c>
      <c r="F13" s="9" t="s">
        <v>96</v>
      </c>
      <c r="G13" s="9">
        <v>2</v>
      </c>
      <c r="H13" s="9">
        <v>5</v>
      </c>
      <c r="I13" s="9">
        <v>0</v>
      </c>
      <c r="J13" s="9">
        <v>0</v>
      </c>
      <c r="K13" s="18">
        <v>45689</v>
      </c>
      <c r="L13" s="18">
        <v>45716.999988425901</v>
      </c>
      <c r="M13" s="9">
        <v>450012</v>
      </c>
      <c r="O13" s="9">
        <v>450013</v>
      </c>
      <c r="Q13" s="9">
        <v>450014</v>
      </c>
      <c r="S13" s="9">
        <v>45012</v>
      </c>
    </row>
    <row r="14" spans="1:19" x14ac:dyDescent="0.25">
      <c r="B14" s="9">
        <f t="shared" si="0"/>
        <v>2003</v>
      </c>
      <c r="C14" s="9">
        <v>2</v>
      </c>
      <c r="D14" s="9">
        <v>103</v>
      </c>
      <c r="E14" s="9">
        <v>450031</v>
      </c>
      <c r="F14" s="9" t="s">
        <v>158</v>
      </c>
      <c r="G14" s="9">
        <v>2</v>
      </c>
      <c r="H14" s="9">
        <v>10</v>
      </c>
      <c r="I14" s="9">
        <v>0</v>
      </c>
      <c r="J14" s="9">
        <v>0</v>
      </c>
      <c r="K14" s="18">
        <v>45689</v>
      </c>
      <c r="L14" s="18">
        <v>45716.999988425901</v>
      </c>
      <c r="M14" s="9">
        <v>450012</v>
      </c>
      <c r="O14" s="9">
        <v>450013</v>
      </c>
      <c r="Q14" s="9">
        <v>450014</v>
      </c>
      <c r="S14" s="9">
        <v>45013</v>
      </c>
    </row>
    <row r="15" spans="1:19" x14ac:dyDescent="0.25">
      <c r="B15" s="9">
        <f t="shared" si="0"/>
        <v>2004</v>
      </c>
      <c r="C15" s="9">
        <v>2</v>
      </c>
      <c r="D15" s="9">
        <v>104</v>
      </c>
      <c r="E15" s="9">
        <v>450041</v>
      </c>
      <c r="F15" s="9" t="s">
        <v>159</v>
      </c>
      <c r="G15" s="9">
        <v>2</v>
      </c>
      <c r="H15" s="9">
        <v>15</v>
      </c>
      <c r="I15" s="9">
        <v>0</v>
      </c>
      <c r="J15" s="9">
        <v>0</v>
      </c>
      <c r="K15" s="18">
        <v>45689</v>
      </c>
      <c r="L15" s="18">
        <v>45716.999988425901</v>
      </c>
      <c r="M15" s="9">
        <v>450012</v>
      </c>
      <c r="O15" s="9">
        <v>450013</v>
      </c>
      <c r="Q15" s="9">
        <v>450014</v>
      </c>
      <c r="S15" s="9">
        <v>45014</v>
      </c>
    </row>
    <row r="16" spans="1:19" x14ac:dyDescent="0.25">
      <c r="B16" s="9">
        <f t="shared" si="0"/>
        <v>2005</v>
      </c>
      <c r="C16" s="9">
        <v>2</v>
      </c>
      <c r="D16" s="9">
        <v>105</v>
      </c>
      <c r="E16" s="9">
        <v>450051</v>
      </c>
      <c r="F16" s="9" t="s">
        <v>160</v>
      </c>
      <c r="G16" s="9">
        <v>2</v>
      </c>
      <c r="H16" s="9">
        <v>21</v>
      </c>
      <c r="I16" s="9">
        <v>0</v>
      </c>
      <c r="J16" s="9">
        <v>0</v>
      </c>
      <c r="K16" s="18">
        <v>45689</v>
      </c>
      <c r="L16" s="18">
        <v>45716.999988425901</v>
      </c>
      <c r="M16" s="9">
        <v>450012</v>
      </c>
      <c r="O16" s="9">
        <v>450013</v>
      </c>
      <c r="Q16" s="9">
        <v>450014</v>
      </c>
      <c r="S16" s="9">
        <v>45015</v>
      </c>
    </row>
    <row r="17" spans="2:19" x14ac:dyDescent="0.25">
      <c r="B17" s="9">
        <f t="shared" si="0"/>
        <v>2006</v>
      </c>
      <c r="C17" s="9">
        <v>2</v>
      </c>
      <c r="D17" s="9">
        <v>2</v>
      </c>
      <c r="E17" s="9">
        <v>450061</v>
      </c>
      <c r="F17" s="9" t="s">
        <v>161</v>
      </c>
      <c r="G17" s="9">
        <v>2</v>
      </c>
      <c r="H17" s="9">
        <v>1</v>
      </c>
      <c r="I17" s="9">
        <v>0</v>
      </c>
      <c r="J17" s="9">
        <v>1</v>
      </c>
      <c r="K17" s="18">
        <v>45689</v>
      </c>
      <c r="L17" s="18">
        <v>45716.999988425901</v>
      </c>
      <c r="M17" s="9">
        <v>450012</v>
      </c>
      <c r="O17" s="9">
        <v>450013</v>
      </c>
      <c r="Q17" s="9">
        <v>450014</v>
      </c>
      <c r="S17" s="9">
        <v>45016</v>
      </c>
    </row>
    <row r="18" spans="2:19" x14ac:dyDescent="0.25">
      <c r="B18" s="9">
        <f t="shared" si="0"/>
        <v>3001</v>
      </c>
      <c r="C18" s="9">
        <v>3</v>
      </c>
      <c r="D18" s="9">
        <v>101</v>
      </c>
      <c r="E18" s="9">
        <v>450011</v>
      </c>
      <c r="F18" s="9" t="s">
        <v>95</v>
      </c>
      <c r="G18" s="9">
        <v>2</v>
      </c>
      <c r="H18" s="9">
        <v>2</v>
      </c>
      <c r="I18" s="9">
        <v>0</v>
      </c>
      <c r="J18" s="9">
        <v>0</v>
      </c>
      <c r="K18" s="18">
        <v>45717</v>
      </c>
      <c r="L18" s="18">
        <v>45747.999988425901</v>
      </c>
      <c r="M18" s="9">
        <v>450012</v>
      </c>
      <c r="N18" s="9" t="s">
        <v>94</v>
      </c>
      <c r="O18" s="9">
        <v>450013</v>
      </c>
      <c r="P18" s="9" t="s">
        <v>110</v>
      </c>
      <c r="Q18" s="9">
        <v>450014</v>
      </c>
      <c r="R18" s="9" t="s">
        <v>111</v>
      </c>
      <c r="S18" s="9">
        <v>45011</v>
      </c>
    </row>
    <row r="19" spans="2:19" x14ac:dyDescent="0.25">
      <c r="B19" s="9">
        <f t="shared" si="0"/>
        <v>3002</v>
      </c>
      <c r="C19" s="9">
        <v>3</v>
      </c>
      <c r="D19" s="9">
        <v>102</v>
      </c>
      <c r="E19" s="9">
        <v>450021</v>
      </c>
      <c r="F19" s="9" t="s">
        <v>96</v>
      </c>
      <c r="G19" s="9">
        <v>2</v>
      </c>
      <c r="H19" s="9">
        <v>5</v>
      </c>
      <c r="I19" s="9">
        <v>0</v>
      </c>
      <c r="J19" s="9">
        <v>0</v>
      </c>
      <c r="K19" s="18">
        <v>45717</v>
      </c>
      <c r="L19" s="18">
        <v>45747.999988425901</v>
      </c>
      <c r="M19" s="9">
        <v>450012</v>
      </c>
      <c r="O19" s="9">
        <v>450013</v>
      </c>
      <c r="Q19" s="9">
        <v>450014</v>
      </c>
      <c r="S19" s="9">
        <v>45012</v>
      </c>
    </row>
    <row r="20" spans="2:19" x14ac:dyDescent="0.25">
      <c r="B20" s="9">
        <f t="shared" si="0"/>
        <v>3003</v>
      </c>
      <c r="C20" s="9">
        <v>3</v>
      </c>
      <c r="D20" s="9">
        <v>103</v>
      </c>
      <c r="E20" s="9">
        <v>450031</v>
      </c>
      <c r="F20" s="9" t="s">
        <v>158</v>
      </c>
      <c r="G20" s="9">
        <v>2</v>
      </c>
      <c r="H20" s="9">
        <v>10</v>
      </c>
      <c r="I20" s="9">
        <v>0</v>
      </c>
      <c r="J20" s="9">
        <v>0</v>
      </c>
      <c r="K20" s="18">
        <v>45717</v>
      </c>
      <c r="L20" s="18">
        <v>45747.999988425901</v>
      </c>
      <c r="M20" s="9">
        <v>450012</v>
      </c>
      <c r="O20" s="9">
        <v>450013</v>
      </c>
      <c r="Q20" s="9">
        <v>450014</v>
      </c>
      <c r="S20" s="9">
        <v>45013</v>
      </c>
    </row>
    <row r="21" spans="2:19" x14ac:dyDescent="0.25">
      <c r="B21" s="9">
        <f t="shared" si="0"/>
        <v>3004</v>
      </c>
      <c r="C21" s="9">
        <v>3</v>
      </c>
      <c r="D21" s="9">
        <v>104</v>
      </c>
      <c r="E21" s="9">
        <v>450041</v>
      </c>
      <c r="F21" s="9" t="s">
        <v>159</v>
      </c>
      <c r="G21" s="9">
        <v>2</v>
      </c>
      <c r="H21" s="9">
        <v>15</v>
      </c>
      <c r="I21" s="9">
        <v>0</v>
      </c>
      <c r="J21" s="9">
        <v>0</v>
      </c>
      <c r="K21" s="18">
        <v>45717</v>
      </c>
      <c r="L21" s="18">
        <v>45747.999988425901</v>
      </c>
      <c r="M21" s="9">
        <v>450012</v>
      </c>
      <c r="O21" s="9">
        <v>450013</v>
      </c>
      <c r="Q21" s="9">
        <v>450014</v>
      </c>
      <c r="S21" s="9">
        <v>45014</v>
      </c>
    </row>
    <row r="22" spans="2:19" x14ac:dyDescent="0.25">
      <c r="B22" s="9">
        <f t="shared" si="0"/>
        <v>3005</v>
      </c>
      <c r="C22" s="9">
        <v>3</v>
      </c>
      <c r="D22" s="9">
        <v>105</v>
      </c>
      <c r="E22" s="9">
        <v>450051</v>
      </c>
      <c r="F22" s="9" t="s">
        <v>160</v>
      </c>
      <c r="G22" s="9">
        <v>2</v>
      </c>
      <c r="H22" s="9">
        <v>21</v>
      </c>
      <c r="I22" s="9">
        <v>0</v>
      </c>
      <c r="J22" s="9">
        <v>0</v>
      </c>
      <c r="K22" s="18">
        <v>45717</v>
      </c>
      <c r="L22" s="18">
        <v>45747.999988425901</v>
      </c>
      <c r="M22" s="9">
        <v>450012</v>
      </c>
      <c r="O22" s="9">
        <v>450013</v>
      </c>
      <c r="Q22" s="9">
        <v>450014</v>
      </c>
      <c r="S22" s="9">
        <v>45015</v>
      </c>
    </row>
    <row r="23" spans="2:19" x14ac:dyDescent="0.25">
      <c r="B23" s="9">
        <f t="shared" si="0"/>
        <v>3006</v>
      </c>
      <c r="C23" s="9">
        <v>3</v>
      </c>
      <c r="D23" s="9">
        <v>2</v>
      </c>
      <c r="E23" s="9">
        <v>450061</v>
      </c>
      <c r="F23" s="9" t="s">
        <v>161</v>
      </c>
      <c r="G23" s="9">
        <v>2</v>
      </c>
      <c r="H23" s="9">
        <v>1</v>
      </c>
      <c r="I23" s="9">
        <v>0</v>
      </c>
      <c r="J23" s="9">
        <v>1</v>
      </c>
      <c r="K23" s="18">
        <v>45717</v>
      </c>
      <c r="L23" s="18">
        <v>45747.999988425901</v>
      </c>
      <c r="M23" s="9">
        <v>450012</v>
      </c>
      <c r="O23" s="9">
        <v>450013</v>
      </c>
      <c r="Q23" s="9">
        <v>450014</v>
      </c>
      <c r="S23" s="9">
        <v>45016</v>
      </c>
    </row>
    <row r="24" spans="2:19" x14ac:dyDescent="0.25">
      <c r="B24" s="9">
        <f t="shared" si="0"/>
        <v>4001</v>
      </c>
      <c r="C24" s="9">
        <v>4</v>
      </c>
      <c r="D24" s="9">
        <v>101</v>
      </c>
      <c r="E24" s="9">
        <v>450011</v>
      </c>
      <c r="F24" s="9" t="s">
        <v>95</v>
      </c>
      <c r="G24" s="9">
        <v>2</v>
      </c>
      <c r="H24" s="9">
        <v>2</v>
      </c>
      <c r="I24" s="9">
        <v>0</v>
      </c>
      <c r="J24" s="9">
        <v>0</v>
      </c>
      <c r="K24" s="18">
        <v>45748</v>
      </c>
      <c r="L24" s="18">
        <v>45777.999988425901</v>
      </c>
      <c r="M24" s="9">
        <v>450012</v>
      </c>
      <c r="N24" s="9" t="s">
        <v>94</v>
      </c>
      <c r="O24" s="9">
        <v>450013</v>
      </c>
      <c r="P24" s="9" t="s">
        <v>110</v>
      </c>
      <c r="Q24" s="9">
        <v>450014</v>
      </c>
      <c r="R24" s="9" t="s">
        <v>111</v>
      </c>
      <c r="S24" s="9">
        <v>45011</v>
      </c>
    </row>
    <row r="25" spans="2:19" x14ac:dyDescent="0.25">
      <c r="B25" s="9">
        <f t="shared" si="0"/>
        <v>4002</v>
      </c>
      <c r="C25" s="9">
        <v>4</v>
      </c>
      <c r="D25" s="9">
        <v>102</v>
      </c>
      <c r="E25" s="9">
        <v>450021</v>
      </c>
      <c r="F25" s="9" t="s">
        <v>96</v>
      </c>
      <c r="G25" s="9">
        <v>2</v>
      </c>
      <c r="H25" s="9">
        <v>5</v>
      </c>
      <c r="I25" s="9">
        <v>0</v>
      </c>
      <c r="J25" s="9">
        <v>0</v>
      </c>
      <c r="K25" s="18">
        <v>45748</v>
      </c>
      <c r="L25" s="18">
        <v>45777.999988425901</v>
      </c>
      <c r="M25" s="9">
        <v>450012</v>
      </c>
      <c r="O25" s="9">
        <v>450013</v>
      </c>
      <c r="Q25" s="9">
        <v>450014</v>
      </c>
      <c r="S25" s="9">
        <v>45012</v>
      </c>
    </row>
    <row r="26" spans="2:19" x14ac:dyDescent="0.25">
      <c r="B26" s="9">
        <f t="shared" si="0"/>
        <v>4003</v>
      </c>
      <c r="C26" s="9">
        <v>4</v>
      </c>
      <c r="D26" s="9">
        <v>103</v>
      </c>
      <c r="E26" s="9">
        <v>450031</v>
      </c>
      <c r="F26" s="9" t="s">
        <v>158</v>
      </c>
      <c r="G26" s="9">
        <v>2</v>
      </c>
      <c r="H26" s="9">
        <v>10</v>
      </c>
      <c r="I26" s="9">
        <v>0</v>
      </c>
      <c r="J26" s="9">
        <v>0</v>
      </c>
      <c r="K26" s="18">
        <v>45748</v>
      </c>
      <c r="L26" s="18">
        <v>45777.999988425901</v>
      </c>
      <c r="M26" s="9">
        <v>450012</v>
      </c>
      <c r="O26" s="9">
        <v>450013</v>
      </c>
      <c r="Q26" s="9">
        <v>450014</v>
      </c>
      <c r="S26" s="9">
        <v>45013</v>
      </c>
    </row>
    <row r="27" spans="2:19" x14ac:dyDescent="0.25">
      <c r="B27" s="9">
        <f t="shared" si="0"/>
        <v>4004</v>
      </c>
      <c r="C27" s="9">
        <v>4</v>
      </c>
      <c r="D27" s="9">
        <v>104</v>
      </c>
      <c r="E27" s="9">
        <v>450041</v>
      </c>
      <c r="F27" s="9" t="s">
        <v>159</v>
      </c>
      <c r="G27" s="9">
        <v>2</v>
      </c>
      <c r="H27" s="9">
        <v>15</v>
      </c>
      <c r="I27" s="9">
        <v>0</v>
      </c>
      <c r="J27" s="9">
        <v>0</v>
      </c>
      <c r="K27" s="18">
        <v>45748</v>
      </c>
      <c r="L27" s="18">
        <v>45777.999988425901</v>
      </c>
      <c r="M27" s="9">
        <v>450012</v>
      </c>
      <c r="O27" s="9">
        <v>450013</v>
      </c>
      <c r="Q27" s="9">
        <v>450014</v>
      </c>
      <c r="S27" s="9">
        <v>45014</v>
      </c>
    </row>
    <row r="28" spans="2:19" x14ac:dyDescent="0.25">
      <c r="B28" s="9">
        <f t="shared" si="0"/>
        <v>4005</v>
      </c>
      <c r="C28" s="9">
        <v>4</v>
      </c>
      <c r="D28" s="9">
        <v>105</v>
      </c>
      <c r="E28" s="9">
        <v>450051</v>
      </c>
      <c r="F28" s="9" t="s">
        <v>160</v>
      </c>
      <c r="G28" s="9">
        <v>2</v>
      </c>
      <c r="H28" s="9">
        <v>21</v>
      </c>
      <c r="I28" s="9">
        <v>0</v>
      </c>
      <c r="J28" s="9">
        <v>0</v>
      </c>
      <c r="K28" s="18">
        <v>45748</v>
      </c>
      <c r="L28" s="18">
        <v>45777.999988425901</v>
      </c>
      <c r="M28" s="9">
        <v>450012</v>
      </c>
      <c r="O28" s="9">
        <v>450013</v>
      </c>
      <c r="Q28" s="9">
        <v>450014</v>
      </c>
      <c r="S28" s="9">
        <v>45015</v>
      </c>
    </row>
    <row r="29" spans="2:19" x14ac:dyDescent="0.25">
      <c r="B29" s="9">
        <f t="shared" si="0"/>
        <v>4006</v>
      </c>
      <c r="C29" s="9">
        <v>4</v>
      </c>
      <c r="D29" s="9">
        <v>2</v>
      </c>
      <c r="E29" s="9">
        <v>450061</v>
      </c>
      <c r="F29" s="9" t="s">
        <v>161</v>
      </c>
      <c r="G29" s="9">
        <v>2</v>
      </c>
      <c r="H29" s="9">
        <v>1</v>
      </c>
      <c r="I29" s="9">
        <v>0</v>
      </c>
      <c r="J29" s="9">
        <v>1</v>
      </c>
      <c r="K29" s="18">
        <v>45748</v>
      </c>
      <c r="L29" s="18">
        <v>45777.999988425901</v>
      </c>
      <c r="M29" s="9">
        <v>450012</v>
      </c>
      <c r="O29" s="9">
        <v>450013</v>
      </c>
      <c r="Q29" s="9">
        <v>450014</v>
      </c>
      <c r="S29" s="9">
        <v>45016</v>
      </c>
    </row>
    <row r="30" spans="2:19" x14ac:dyDescent="0.25">
      <c r="B30" s="9">
        <f t="shared" si="0"/>
        <v>5001</v>
      </c>
      <c r="C30" s="9">
        <v>5</v>
      </c>
      <c r="D30" s="9">
        <v>101</v>
      </c>
      <c r="E30" s="9">
        <v>450011</v>
      </c>
      <c r="F30" s="9" t="s">
        <v>95</v>
      </c>
      <c r="G30" s="9">
        <v>2</v>
      </c>
      <c r="H30" s="9">
        <v>2</v>
      </c>
      <c r="I30" s="9">
        <v>0</v>
      </c>
      <c r="J30" s="9">
        <v>0</v>
      </c>
      <c r="K30" s="18">
        <v>45778</v>
      </c>
      <c r="L30" s="18">
        <v>45808.999988425901</v>
      </c>
      <c r="M30" s="9">
        <v>450012</v>
      </c>
      <c r="N30" s="9" t="s">
        <v>94</v>
      </c>
      <c r="O30" s="9">
        <v>450013</v>
      </c>
      <c r="P30" s="9" t="s">
        <v>110</v>
      </c>
      <c r="Q30" s="9">
        <v>450014</v>
      </c>
      <c r="R30" s="9" t="s">
        <v>111</v>
      </c>
      <c r="S30" s="9">
        <v>45011</v>
      </c>
    </row>
    <row r="31" spans="2:19" x14ac:dyDescent="0.25">
      <c r="B31" s="9">
        <f t="shared" si="0"/>
        <v>5002</v>
      </c>
      <c r="C31" s="9">
        <v>5</v>
      </c>
      <c r="D31" s="9">
        <v>102</v>
      </c>
      <c r="E31" s="9">
        <v>450021</v>
      </c>
      <c r="F31" s="9" t="s">
        <v>96</v>
      </c>
      <c r="G31" s="9">
        <v>2</v>
      </c>
      <c r="H31" s="9">
        <v>5</v>
      </c>
      <c r="I31" s="9">
        <v>0</v>
      </c>
      <c r="J31" s="9">
        <v>0</v>
      </c>
      <c r="K31" s="18">
        <v>45778</v>
      </c>
      <c r="L31" s="18">
        <v>45808.999988425901</v>
      </c>
      <c r="M31" s="9">
        <v>450012</v>
      </c>
      <c r="O31" s="9">
        <v>450013</v>
      </c>
      <c r="Q31" s="9">
        <v>450014</v>
      </c>
      <c r="S31" s="9">
        <v>45012</v>
      </c>
    </row>
    <row r="32" spans="2:19" x14ac:dyDescent="0.25">
      <c r="B32" s="9">
        <f t="shared" si="0"/>
        <v>5003</v>
      </c>
      <c r="C32" s="9">
        <v>5</v>
      </c>
      <c r="D32" s="9">
        <v>103</v>
      </c>
      <c r="E32" s="9">
        <v>450031</v>
      </c>
      <c r="F32" s="9" t="s">
        <v>158</v>
      </c>
      <c r="G32" s="9">
        <v>2</v>
      </c>
      <c r="H32" s="9">
        <v>10</v>
      </c>
      <c r="I32" s="9">
        <v>0</v>
      </c>
      <c r="J32" s="9">
        <v>0</v>
      </c>
      <c r="K32" s="18">
        <v>45778</v>
      </c>
      <c r="L32" s="18">
        <v>45808.999988425901</v>
      </c>
      <c r="M32" s="9">
        <v>450012</v>
      </c>
      <c r="O32" s="9">
        <v>450013</v>
      </c>
      <c r="Q32" s="9">
        <v>450014</v>
      </c>
      <c r="S32" s="9">
        <v>45013</v>
      </c>
    </row>
    <row r="33" spans="2:19" x14ac:dyDescent="0.25">
      <c r="B33" s="9">
        <f t="shared" si="0"/>
        <v>5004</v>
      </c>
      <c r="C33" s="9">
        <v>5</v>
      </c>
      <c r="D33" s="9">
        <v>104</v>
      </c>
      <c r="E33" s="9">
        <v>450041</v>
      </c>
      <c r="F33" s="9" t="s">
        <v>159</v>
      </c>
      <c r="G33" s="9">
        <v>2</v>
      </c>
      <c r="H33" s="9">
        <v>15</v>
      </c>
      <c r="I33" s="9">
        <v>0</v>
      </c>
      <c r="J33" s="9">
        <v>0</v>
      </c>
      <c r="K33" s="18">
        <v>45778</v>
      </c>
      <c r="L33" s="18">
        <v>45808.999988425901</v>
      </c>
      <c r="M33" s="9">
        <v>450012</v>
      </c>
      <c r="O33" s="9">
        <v>450013</v>
      </c>
      <c r="Q33" s="9">
        <v>450014</v>
      </c>
      <c r="S33" s="9">
        <v>45014</v>
      </c>
    </row>
    <row r="34" spans="2:19" x14ac:dyDescent="0.25">
      <c r="B34" s="9">
        <f t="shared" si="0"/>
        <v>5005</v>
      </c>
      <c r="C34" s="9">
        <v>5</v>
      </c>
      <c r="D34" s="9">
        <v>105</v>
      </c>
      <c r="E34" s="9">
        <v>450051</v>
      </c>
      <c r="F34" s="9" t="s">
        <v>160</v>
      </c>
      <c r="G34" s="9">
        <v>2</v>
      </c>
      <c r="H34" s="9">
        <v>21</v>
      </c>
      <c r="I34" s="9">
        <v>0</v>
      </c>
      <c r="J34" s="9">
        <v>0</v>
      </c>
      <c r="K34" s="18">
        <v>45778</v>
      </c>
      <c r="L34" s="18">
        <v>45808.999988425901</v>
      </c>
      <c r="M34" s="9">
        <v>450012</v>
      </c>
      <c r="O34" s="9">
        <v>450013</v>
      </c>
      <c r="Q34" s="9">
        <v>450014</v>
      </c>
      <c r="S34" s="9">
        <v>45015</v>
      </c>
    </row>
    <row r="35" spans="2:19" x14ac:dyDescent="0.25">
      <c r="B35" s="9">
        <f t="shared" si="0"/>
        <v>5006</v>
      </c>
      <c r="C35" s="9">
        <v>5</v>
      </c>
      <c r="D35" s="9">
        <v>2</v>
      </c>
      <c r="E35" s="9">
        <v>450061</v>
      </c>
      <c r="F35" s="9" t="s">
        <v>161</v>
      </c>
      <c r="G35" s="9">
        <v>2</v>
      </c>
      <c r="H35" s="9">
        <v>1</v>
      </c>
      <c r="I35" s="9">
        <v>0</v>
      </c>
      <c r="J35" s="9">
        <v>1</v>
      </c>
      <c r="K35" s="18">
        <v>45778</v>
      </c>
      <c r="L35" s="18">
        <v>45808.999988425901</v>
      </c>
      <c r="M35" s="9">
        <v>450012</v>
      </c>
      <c r="O35" s="9">
        <v>450013</v>
      </c>
      <c r="Q35" s="9">
        <v>450014</v>
      </c>
      <c r="S35" s="9">
        <v>45016</v>
      </c>
    </row>
    <row r="36" spans="2:19" x14ac:dyDescent="0.25">
      <c r="B36" s="9">
        <f t="shared" si="0"/>
        <v>6001</v>
      </c>
      <c r="C36" s="9">
        <v>6</v>
      </c>
      <c r="D36" s="9">
        <v>101</v>
      </c>
      <c r="E36" s="9">
        <v>450011</v>
      </c>
      <c r="F36" s="9" t="s">
        <v>95</v>
      </c>
      <c r="G36" s="9">
        <v>2</v>
      </c>
      <c r="H36" s="9">
        <v>2</v>
      </c>
      <c r="I36" s="9">
        <v>0</v>
      </c>
      <c r="J36" s="9">
        <v>0</v>
      </c>
      <c r="K36" s="18">
        <v>45809</v>
      </c>
      <c r="L36" s="18">
        <v>45838.999988425901</v>
      </c>
      <c r="M36" s="9">
        <v>450012</v>
      </c>
      <c r="N36" s="9" t="s">
        <v>94</v>
      </c>
      <c r="O36" s="9">
        <v>450013</v>
      </c>
      <c r="P36" s="9" t="s">
        <v>110</v>
      </c>
      <c r="Q36" s="9">
        <v>450014</v>
      </c>
      <c r="R36" s="9" t="s">
        <v>111</v>
      </c>
      <c r="S36" s="9">
        <v>45011</v>
      </c>
    </row>
    <row r="37" spans="2:19" x14ac:dyDescent="0.25">
      <c r="B37" s="9">
        <f t="shared" si="0"/>
        <v>6002</v>
      </c>
      <c r="C37" s="9">
        <v>6</v>
      </c>
      <c r="D37" s="9">
        <v>102</v>
      </c>
      <c r="E37" s="9">
        <v>450021</v>
      </c>
      <c r="F37" s="9" t="s">
        <v>96</v>
      </c>
      <c r="G37" s="9">
        <v>2</v>
      </c>
      <c r="H37" s="9">
        <v>5</v>
      </c>
      <c r="I37" s="9">
        <v>0</v>
      </c>
      <c r="J37" s="9">
        <v>0</v>
      </c>
      <c r="K37" s="18">
        <v>45809</v>
      </c>
      <c r="L37" s="18">
        <v>45838.999988425901</v>
      </c>
      <c r="M37" s="9">
        <v>450012</v>
      </c>
      <c r="O37" s="9">
        <v>450013</v>
      </c>
      <c r="Q37" s="9">
        <v>450014</v>
      </c>
      <c r="S37" s="9">
        <v>45012</v>
      </c>
    </row>
    <row r="38" spans="2:19" x14ac:dyDescent="0.25">
      <c r="B38" s="9">
        <f t="shared" si="0"/>
        <v>6003</v>
      </c>
      <c r="C38" s="9">
        <v>6</v>
      </c>
      <c r="D38" s="9">
        <v>103</v>
      </c>
      <c r="E38" s="9">
        <v>450031</v>
      </c>
      <c r="F38" s="9" t="s">
        <v>158</v>
      </c>
      <c r="G38" s="9">
        <v>2</v>
      </c>
      <c r="H38" s="9">
        <v>10</v>
      </c>
      <c r="I38" s="9">
        <v>0</v>
      </c>
      <c r="J38" s="9">
        <v>0</v>
      </c>
      <c r="K38" s="18">
        <v>45809</v>
      </c>
      <c r="L38" s="18">
        <v>45838.999988425901</v>
      </c>
      <c r="M38" s="9">
        <v>450012</v>
      </c>
      <c r="O38" s="9">
        <v>450013</v>
      </c>
      <c r="Q38" s="9">
        <v>450014</v>
      </c>
      <c r="S38" s="9">
        <v>45013</v>
      </c>
    </row>
    <row r="39" spans="2:19" x14ac:dyDescent="0.25">
      <c r="B39" s="9">
        <f t="shared" si="0"/>
        <v>6004</v>
      </c>
      <c r="C39" s="9">
        <v>6</v>
      </c>
      <c r="D39" s="9">
        <v>104</v>
      </c>
      <c r="E39" s="9">
        <v>450041</v>
      </c>
      <c r="F39" s="9" t="s">
        <v>159</v>
      </c>
      <c r="G39" s="9">
        <v>2</v>
      </c>
      <c r="H39" s="9">
        <v>15</v>
      </c>
      <c r="I39" s="9">
        <v>0</v>
      </c>
      <c r="J39" s="9">
        <v>0</v>
      </c>
      <c r="K39" s="18">
        <v>45809</v>
      </c>
      <c r="L39" s="18">
        <v>45838.999988425901</v>
      </c>
      <c r="M39" s="9">
        <v>450012</v>
      </c>
      <c r="O39" s="9">
        <v>450013</v>
      </c>
      <c r="Q39" s="9">
        <v>450014</v>
      </c>
      <c r="S39" s="9">
        <v>45014</v>
      </c>
    </row>
    <row r="40" spans="2:19" x14ac:dyDescent="0.25">
      <c r="B40" s="9">
        <f t="shared" si="0"/>
        <v>6005</v>
      </c>
      <c r="C40" s="9">
        <v>6</v>
      </c>
      <c r="D40" s="9">
        <v>105</v>
      </c>
      <c r="E40" s="9">
        <v>450051</v>
      </c>
      <c r="F40" s="9" t="s">
        <v>160</v>
      </c>
      <c r="G40" s="9">
        <v>2</v>
      </c>
      <c r="H40" s="9">
        <v>21</v>
      </c>
      <c r="I40" s="9">
        <v>0</v>
      </c>
      <c r="J40" s="9">
        <v>0</v>
      </c>
      <c r="K40" s="18">
        <v>45809</v>
      </c>
      <c r="L40" s="18">
        <v>45838.999988425901</v>
      </c>
      <c r="M40" s="9">
        <v>450012</v>
      </c>
      <c r="O40" s="9">
        <v>450013</v>
      </c>
      <c r="Q40" s="9">
        <v>450014</v>
      </c>
      <c r="S40" s="9">
        <v>45015</v>
      </c>
    </row>
    <row r="41" spans="2:19" x14ac:dyDescent="0.25">
      <c r="B41" s="9">
        <f t="shared" si="0"/>
        <v>6006</v>
      </c>
      <c r="C41" s="9">
        <v>6</v>
      </c>
      <c r="D41" s="9">
        <v>2</v>
      </c>
      <c r="E41" s="9">
        <v>450061</v>
      </c>
      <c r="F41" s="9" t="s">
        <v>161</v>
      </c>
      <c r="G41" s="9">
        <v>2</v>
      </c>
      <c r="H41" s="9">
        <v>1</v>
      </c>
      <c r="I41" s="9">
        <v>0</v>
      </c>
      <c r="J41" s="9">
        <v>1</v>
      </c>
      <c r="K41" s="18">
        <v>45809</v>
      </c>
      <c r="L41" s="18">
        <v>45838.999988425901</v>
      </c>
      <c r="M41" s="9">
        <v>450012</v>
      </c>
      <c r="O41" s="9">
        <v>450013</v>
      </c>
      <c r="Q41" s="9">
        <v>450014</v>
      </c>
      <c r="S41" s="9">
        <v>45016</v>
      </c>
    </row>
    <row r="42" spans="2:19" x14ac:dyDescent="0.25">
      <c r="B42" s="9">
        <f t="shared" si="0"/>
        <v>7001</v>
      </c>
      <c r="C42" s="9">
        <v>7</v>
      </c>
      <c r="D42" s="9">
        <v>101</v>
      </c>
      <c r="E42" s="9">
        <v>450011</v>
      </c>
      <c r="F42" s="9" t="s">
        <v>95</v>
      </c>
      <c r="G42" s="9">
        <v>2</v>
      </c>
      <c r="H42" s="9">
        <v>2</v>
      </c>
      <c r="I42" s="9">
        <v>0</v>
      </c>
      <c r="J42" s="9">
        <v>0</v>
      </c>
      <c r="K42" s="18">
        <v>45839</v>
      </c>
      <c r="L42" s="18">
        <v>45869.999988425901</v>
      </c>
      <c r="M42" s="9">
        <v>450012</v>
      </c>
      <c r="N42" s="9" t="s">
        <v>94</v>
      </c>
      <c r="O42" s="9">
        <v>450013</v>
      </c>
      <c r="P42" s="9" t="s">
        <v>110</v>
      </c>
      <c r="Q42" s="9">
        <v>450014</v>
      </c>
      <c r="R42" s="9" t="s">
        <v>111</v>
      </c>
      <c r="S42" s="9">
        <v>45011</v>
      </c>
    </row>
    <row r="43" spans="2:19" x14ac:dyDescent="0.25">
      <c r="B43" s="9">
        <f t="shared" si="0"/>
        <v>7002</v>
      </c>
      <c r="C43" s="9">
        <v>7</v>
      </c>
      <c r="D43" s="9">
        <v>102</v>
      </c>
      <c r="E43" s="9">
        <v>450021</v>
      </c>
      <c r="F43" s="9" t="s">
        <v>96</v>
      </c>
      <c r="G43" s="9">
        <v>2</v>
      </c>
      <c r="H43" s="9">
        <v>5</v>
      </c>
      <c r="I43" s="9">
        <v>0</v>
      </c>
      <c r="J43" s="9">
        <v>0</v>
      </c>
      <c r="K43" s="18">
        <v>45839</v>
      </c>
      <c r="L43" s="18">
        <v>45869.999988425901</v>
      </c>
      <c r="M43" s="9">
        <v>450012</v>
      </c>
      <c r="O43" s="9">
        <v>450013</v>
      </c>
      <c r="Q43" s="9">
        <v>450014</v>
      </c>
      <c r="S43" s="9">
        <v>45012</v>
      </c>
    </row>
    <row r="44" spans="2:19" x14ac:dyDescent="0.25">
      <c r="B44" s="9">
        <f t="shared" si="0"/>
        <v>7003</v>
      </c>
      <c r="C44" s="9">
        <v>7</v>
      </c>
      <c r="D44" s="9">
        <v>103</v>
      </c>
      <c r="E44" s="9">
        <v>450031</v>
      </c>
      <c r="F44" s="9" t="s">
        <v>158</v>
      </c>
      <c r="G44" s="9">
        <v>2</v>
      </c>
      <c r="H44" s="9">
        <v>10</v>
      </c>
      <c r="I44" s="9">
        <v>0</v>
      </c>
      <c r="J44" s="9">
        <v>0</v>
      </c>
      <c r="K44" s="18">
        <v>45839</v>
      </c>
      <c r="L44" s="18">
        <v>45869.999988425901</v>
      </c>
      <c r="M44" s="9">
        <v>450012</v>
      </c>
      <c r="O44" s="9">
        <v>450013</v>
      </c>
      <c r="Q44" s="9">
        <v>450014</v>
      </c>
      <c r="S44" s="9">
        <v>45013</v>
      </c>
    </row>
    <row r="45" spans="2:19" x14ac:dyDescent="0.25">
      <c r="B45" s="9">
        <f t="shared" si="0"/>
        <v>7004</v>
      </c>
      <c r="C45" s="9">
        <v>7</v>
      </c>
      <c r="D45" s="9">
        <v>104</v>
      </c>
      <c r="E45" s="9">
        <v>450041</v>
      </c>
      <c r="F45" s="9" t="s">
        <v>159</v>
      </c>
      <c r="G45" s="9">
        <v>2</v>
      </c>
      <c r="H45" s="9">
        <v>15</v>
      </c>
      <c r="I45" s="9">
        <v>0</v>
      </c>
      <c r="J45" s="9">
        <v>0</v>
      </c>
      <c r="K45" s="18">
        <v>45839</v>
      </c>
      <c r="L45" s="18">
        <v>45869.999988425901</v>
      </c>
      <c r="M45" s="9">
        <v>450012</v>
      </c>
      <c r="O45" s="9">
        <v>450013</v>
      </c>
      <c r="Q45" s="9">
        <v>450014</v>
      </c>
      <c r="S45" s="9">
        <v>45014</v>
      </c>
    </row>
    <row r="46" spans="2:19" x14ac:dyDescent="0.25">
      <c r="B46" s="9">
        <f t="shared" si="0"/>
        <v>7005</v>
      </c>
      <c r="C46" s="9">
        <v>7</v>
      </c>
      <c r="D46" s="9">
        <v>105</v>
      </c>
      <c r="E46" s="9">
        <v>450051</v>
      </c>
      <c r="F46" s="9" t="s">
        <v>160</v>
      </c>
      <c r="G46" s="9">
        <v>2</v>
      </c>
      <c r="H46" s="9">
        <v>21</v>
      </c>
      <c r="I46" s="9">
        <v>0</v>
      </c>
      <c r="J46" s="9">
        <v>0</v>
      </c>
      <c r="K46" s="18">
        <v>45839</v>
      </c>
      <c r="L46" s="18">
        <v>45869.999988425901</v>
      </c>
      <c r="M46" s="9">
        <v>450012</v>
      </c>
      <c r="O46" s="9">
        <v>450013</v>
      </c>
      <c r="Q46" s="9">
        <v>450014</v>
      </c>
      <c r="S46" s="9">
        <v>45015</v>
      </c>
    </row>
    <row r="47" spans="2:19" x14ac:dyDescent="0.25">
      <c r="B47" s="9">
        <f t="shared" si="0"/>
        <v>7006</v>
      </c>
      <c r="C47" s="9">
        <v>7</v>
      </c>
      <c r="D47" s="9">
        <v>2</v>
      </c>
      <c r="E47" s="9">
        <v>450061</v>
      </c>
      <c r="F47" s="9" t="s">
        <v>161</v>
      </c>
      <c r="G47" s="9">
        <v>2</v>
      </c>
      <c r="H47" s="9">
        <v>1</v>
      </c>
      <c r="I47" s="9">
        <v>0</v>
      </c>
      <c r="J47" s="9">
        <v>1</v>
      </c>
      <c r="K47" s="18">
        <v>45839</v>
      </c>
      <c r="L47" s="18">
        <v>45869.999988425901</v>
      </c>
      <c r="M47" s="9">
        <v>450012</v>
      </c>
      <c r="O47" s="9">
        <v>450013</v>
      </c>
      <c r="Q47" s="9">
        <v>450014</v>
      </c>
      <c r="S47" s="9">
        <v>45016</v>
      </c>
    </row>
    <row r="48" spans="2:19" x14ac:dyDescent="0.25">
      <c r="B48" s="9">
        <f t="shared" si="0"/>
        <v>8001</v>
      </c>
      <c r="C48" s="9">
        <v>8</v>
      </c>
      <c r="D48" s="9">
        <v>101</v>
      </c>
      <c r="E48" s="9">
        <v>450011</v>
      </c>
      <c r="F48" s="9" t="s">
        <v>95</v>
      </c>
      <c r="G48" s="9">
        <v>2</v>
      </c>
      <c r="H48" s="9">
        <v>2</v>
      </c>
      <c r="I48" s="9">
        <v>0</v>
      </c>
      <c r="J48" s="9">
        <v>0</v>
      </c>
      <c r="K48" s="18">
        <v>45870</v>
      </c>
      <c r="L48" s="18">
        <v>45900.999988425901</v>
      </c>
      <c r="M48" s="9">
        <v>450012</v>
      </c>
      <c r="N48" s="9" t="s">
        <v>94</v>
      </c>
      <c r="O48" s="9">
        <v>450013</v>
      </c>
      <c r="P48" s="9" t="s">
        <v>110</v>
      </c>
      <c r="Q48" s="9">
        <v>450014</v>
      </c>
      <c r="R48" s="9" t="s">
        <v>111</v>
      </c>
      <c r="S48" s="9">
        <v>45011</v>
      </c>
    </row>
    <row r="49" spans="2:19" x14ac:dyDescent="0.25">
      <c r="B49" s="9">
        <f t="shared" si="0"/>
        <v>8002</v>
      </c>
      <c r="C49" s="9">
        <v>8</v>
      </c>
      <c r="D49" s="9">
        <v>102</v>
      </c>
      <c r="E49" s="9">
        <v>450021</v>
      </c>
      <c r="F49" s="9" t="s">
        <v>96</v>
      </c>
      <c r="G49" s="9">
        <v>2</v>
      </c>
      <c r="H49" s="9">
        <v>5</v>
      </c>
      <c r="I49" s="9">
        <v>0</v>
      </c>
      <c r="J49" s="9">
        <v>0</v>
      </c>
      <c r="K49" s="18">
        <v>45870</v>
      </c>
      <c r="L49" s="18">
        <v>45900.999988425901</v>
      </c>
      <c r="M49" s="9">
        <v>450012</v>
      </c>
      <c r="O49" s="9">
        <v>450013</v>
      </c>
      <c r="Q49" s="9">
        <v>450014</v>
      </c>
      <c r="S49" s="9">
        <v>45012</v>
      </c>
    </row>
    <row r="50" spans="2:19" x14ac:dyDescent="0.25">
      <c r="B50" s="9">
        <f t="shared" si="0"/>
        <v>8003</v>
      </c>
      <c r="C50" s="9">
        <v>8</v>
      </c>
      <c r="D50" s="9">
        <v>103</v>
      </c>
      <c r="E50" s="9">
        <v>450031</v>
      </c>
      <c r="F50" s="9" t="s">
        <v>158</v>
      </c>
      <c r="G50" s="9">
        <v>2</v>
      </c>
      <c r="H50" s="9">
        <v>10</v>
      </c>
      <c r="I50" s="9">
        <v>0</v>
      </c>
      <c r="J50" s="9">
        <v>0</v>
      </c>
      <c r="K50" s="18">
        <v>45870</v>
      </c>
      <c r="L50" s="18">
        <v>45900.999988425901</v>
      </c>
      <c r="M50" s="9">
        <v>450012</v>
      </c>
      <c r="O50" s="9">
        <v>450013</v>
      </c>
      <c r="Q50" s="9">
        <v>450014</v>
      </c>
      <c r="S50" s="9">
        <v>45013</v>
      </c>
    </row>
    <row r="51" spans="2:19" x14ac:dyDescent="0.25">
      <c r="B51" s="9">
        <f t="shared" si="0"/>
        <v>8004</v>
      </c>
      <c r="C51" s="9">
        <v>8</v>
      </c>
      <c r="D51" s="9">
        <v>104</v>
      </c>
      <c r="E51" s="9">
        <v>450041</v>
      </c>
      <c r="F51" s="9" t="s">
        <v>159</v>
      </c>
      <c r="G51" s="9">
        <v>2</v>
      </c>
      <c r="H51" s="9">
        <v>15</v>
      </c>
      <c r="I51" s="9">
        <v>0</v>
      </c>
      <c r="J51" s="9">
        <v>0</v>
      </c>
      <c r="K51" s="18">
        <v>45870</v>
      </c>
      <c r="L51" s="18">
        <v>45900.999988425901</v>
      </c>
      <c r="M51" s="9">
        <v>450012</v>
      </c>
      <c r="O51" s="9">
        <v>450013</v>
      </c>
      <c r="Q51" s="9">
        <v>450014</v>
      </c>
      <c r="S51" s="9">
        <v>45014</v>
      </c>
    </row>
    <row r="52" spans="2:19" x14ac:dyDescent="0.25">
      <c r="B52" s="9">
        <f t="shared" si="0"/>
        <v>8005</v>
      </c>
      <c r="C52" s="9">
        <v>8</v>
      </c>
      <c r="D52" s="9">
        <v>105</v>
      </c>
      <c r="E52" s="9">
        <v>450051</v>
      </c>
      <c r="F52" s="9" t="s">
        <v>160</v>
      </c>
      <c r="G52" s="9">
        <v>2</v>
      </c>
      <c r="H52" s="9">
        <v>21</v>
      </c>
      <c r="I52" s="9">
        <v>0</v>
      </c>
      <c r="J52" s="9">
        <v>0</v>
      </c>
      <c r="K52" s="18">
        <v>45870</v>
      </c>
      <c r="L52" s="18">
        <v>45900.999988425901</v>
      </c>
      <c r="M52" s="9">
        <v>450012</v>
      </c>
      <c r="O52" s="9">
        <v>450013</v>
      </c>
      <c r="Q52" s="9">
        <v>450014</v>
      </c>
      <c r="S52" s="9">
        <v>45015</v>
      </c>
    </row>
    <row r="53" spans="2:19" x14ac:dyDescent="0.25">
      <c r="B53" s="9">
        <f t="shared" si="0"/>
        <v>8006</v>
      </c>
      <c r="C53" s="9">
        <v>8</v>
      </c>
      <c r="D53" s="9">
        <v>2</v>
      </c>
      <c r="E53" s="9">
        <v>450061</v>
      </c>
      <c r="F53" s="9" t="s">
        <v>161</v>
      </c>
      <c r="G53" s="9">
        <v>2</v>
      </c>
      <c r="H53" s="9">
        <v>1</v>
      </c>
      <c r="I53" s="9">
        <v>0</v>
      </c>
      <c r="J53" s="9">
        <v>1</v>
      </c>
      <c r="K53" s="18">
        <v>45870</v>
      </c>
      <c r="L53" s="18">
        <v>45900.999988425901</v>
      </c>
      <c r="M53" s="9">
        <v>450012</v>
      </c>
      <c r="O53" s="9">
        <v>450013</v>
      </c>
      <c r="Q53" s="9">
        <v>450014</v>
      </c>
      <c r="S53" s="9">
        <v>45016</v>
      </c>
    </row>
    <row r="54" spans="2:19" x14ac:dyDescent="0.25">
      <c r="B54" s="9">
        <f t="shared" si="0"/>
        <v>9001</v>
      </c>
      <c r="C54" s="9">
        <v>9</v>
      </c>
      <c r="D54" s="9">
        <v>101</v>
      </c>
      <c r="E54" s="9">
        <v>450011</v>
      </c>
      <c r="F54" s="9" t="s">
        <v>95</v>
      </c>
      <c r="G54" s="9">
        <v>2</v>
      </c>
      <c r="H54" s="9">
        <v>2</v>
      </c>
      <c r="I54" s="9">
        <v>0</v>
      </c>
      <c r="J54" s="9">
        <v>0</v>
      </c>
      <c r="K54" s="18">
        <v>45901</v>
      </c>
      <c r="L54" s="18">
        <v>45930.999988425901</v>
      </c>
      <c r="M54" s="9">
        <v>450012</v>
      </c>
      <c r="N54" s="9" t="s">
        <v>94</v>
      </c>
      <c r="O54" s="9">
        <v>450013</v>
      </c>
      <c r="P54" s="9" t="s">
        <v>110</v>
      </c>
      <c r="Q54" s="9">
        <v>450014</v>
      </c>
      <c r="R54" s="9" t="s">
        <v>111</v>
      </c>
      <c r="S54" s="9">
        <v>45011</v>
      </c>
    </row>
    <row r="55" spans="2:19" x14ac:dyDescent="0.25">
      <c r="B55" s="9">
        <f t="shared" si="0"/>
        <v>9002</v>
      </c>
      <c r="C55" s="9">
        <v>9</v>
      </c>
      <c r="D55" s="9">
        <v>102</v>
      </c>
      <c r="E55" s="9">
        <v>450021</v>
      </c>
      <c r="F55" s="9" t="s">
        <v>96</v>
      </c>
      <c r="G55" s="9">
        <v>2</v>
      </c>
      <c r="H55" s="9">
        <v>5</v>
      </c>
      <c r="I55" s="9">
        <v>0</v>
      </c>
      <c r="J55" s="9">
        <v>0</v>
      </c>
      <c r="K55" s="18">
        <v>45901</v>
      </c>
      <c r="L55" s="18">
        <v>45930.999988425901</v>
      </c>
      <c r="M55" s="9">
        <v>450012</v>
      </c>
      <c r="O55" s="9">
        <v>450013</v>
      </c>
      <c r="Q55" s="9">
        <v>450014</v>
      </c>
      <c r="S55" s="9">
        <v>45012</v>
      </c>
    </row>
    <row r="56" spans="2:19" x14ac:dyDescent="0.25">
      <c r="B56" s="9">
        <f t="shared" si="0"/>
        <v>9003</v>
      </c>
      <c r="C56" s="9">
        <v>9</v>
      </c>
      <c r="D56" s="9">
        <v>103</v>
      </c>
      <c r="E56" s="9">
        <v>450031</v>
      </c>
      <c r="F56" s="9" t="s">
        <v>158</v>
      </c>
      <c r="G56" s="9">
        <v>2</v>
      </c>
      <c r="H56" s="9">
        <v>10</v>
      </c>
      <c r="I56" s="9">
        <v>0</v>
      </c>
      <c r="J56" s="9">
        <v>0</v>
      </c>
      <c r="K56" s="18">
        <v>45901</v>
      </c>
      <c r="L56" s="18">
        <v>45930.999988425901</v>
      </c>
      <c r="M56" s="9">
        <v>450012</v>
      </c>
      <c r="O56" s="9">
        <v>450013</v>
      </c>
      <c r="Q56" s="9">
        <v>450014</v>
      </c>
      <c r="S56" s="9">
        <v>45013</v>
      </c>
    </row>
    <row r="57" spans="2:19" x14ac:dyDescent="0.25">
      <c r="B57" s="9">
        <f t="shared" si="0"/>
        <v>9004</v>
      </c>
      <c r="C57" s="9">
        <v>9</v>
      </c>
      <c r="D57" s="9">
        <v>104</v>
      </c>
      <c r="E57" s="9">
        <v>450041</v>
      </c>
      <c r="F57" s="9" t="s">
        <v>159</v>
      </c>
      <c r="G57" s="9">
        <v>2</v>
      </c>
      <c r="H57" s="9">
        <v>15</v>
      </c>
      <c r="I57" s="9">
        <v>0</v>
      </c>
      <c r="J57" s="9">
        <v>0</v>
      </c>
      <c r="K57" s="18">
        <v>45901</v>
      </c>
      <c r="L57" s="18">
        <v>45930.999988425901</v>
      </c>
      <c r="M57" s="9">
        <v>450012</v>
      </c>
      <c r="O57" s="9">
        <v>450013</v>
      </c>
      <c r="Q57" s="9">
        <v>450014</v>
      </c>
      <c r="S57" s="9">
        <v>45014</v>
      </c>
    </row>
    <row r="58" spans="2:19" x14ac:dyDescent="0.25">
      <c r="B58" s="9">
        <f t="shared" si="0"/>
        <v>9005</v>
      </c>
      <c r="C58" s="9">
        <v>9</v>
      </c>
      <c r="D58" s="9">
        <v>105</v>
      </c>
      <c r="E58" s="9">
        <v>450051</v>
      </c>
      <c r="F58" s="9" t="s">
        <v>160</v>
      </c>
      <c r="G58" s="9">
        <v>2</v>
      </c>
      <c r="H58" s="9">
        <v>21</v>
      </c>
      <c r="I58" s="9">
        <v>0</v>
      </c>
      <c r="J58" s="9">
        <v>0</v>
      </c>
      <c r="K58" s="18">
        <v>45901</v>
      </c>
      <c r="L58" s="18">
        <v>45930.999988425901</v>
      </c>
      <c r="M58" s="9">
        <v>450012</v>
      </c>
      <c r="O58" s="9">
        <v>450013</v>
      </c>
      <c r="Q58" s="9">
        <v>450014</v>
      </c>
      <c r="S58" s="9">
        <v>45015</v>
      </c>
    </row>
    <row r="59" spans="2:19" x14ac:dyDescent="0.25">
      <c r="B59" s="9">
        <f t="shared" si="0"/>
        <v>9006</v>
      </c>
      <c r="C59" s="9">
        <v>9</v>
      </c>
      <c r="D59" s="9">
        <v>2</v>
      </c>
      <c r="E59" s="9">
        <v>450061</v>
      </c>
      <c r="F59" s="9" t="s">
        <v>161</v>
      </c>
      <c r="G59" s="9">
        <v>2</v>
      </c>
      <c r="H59" s="9">
        <v>1</v>
      </c>
      <c r="I59" s="9">
        <v>0</v>
      </c>
      <c r="J59" s="9">
        <v>1</v>
      </c>
      <c r="K59" s="18">
        <v>45901</v>
      </c>
      <c r="L59" s="18">
        <v>45930.999988425901</v>
      </c>
      <c r="M59" s="9">
        <v>450012</v>
      </c>
      <c r="O59" s="9">
        <v>450013</v>
      </c>
      <c r="Q59" s="9">
        <v>450014</v>
      </c>
      <c r="S59" s="9">
        <v>45016</v>
      </c>
    </row>
    <row r="60" spans="2:19" x14ac:dyDescent="0.25">
      <c r="B60" s="9">
        <f t="shared" si="0"/>
        <v>10001</v>
      </c>
      <c r="C60" s="9">
        <v>10</v>
      </c>
      <c r="D60" s="9">
        <v>101</v>
      </c>
      <c r="E60" s="9">
        <v>450011</v>
      </c>
      <c r="F60" s="9" t="s">
        <v>95</v>
      </c>
      <c r="G60" s="9">
        <v>2</v>
      </c>
      <c r="H60" s="9">
        <v>2</v>
      </c>
      <c r="I60" s="9">
        <v>0</v>
      </c>
      <c r="J60" s="9">
        <v>0</v>
      </c>
      <c r="K60" s="18">
        <v>45931</v>
      </c>
      <c r="L60" s="18">
        <v>45961.999988425901</v>
      </c>
      <c r="M60" s="9">
        <v>450012</v>
      </c>
      <c r="N60" s="9" t="s">
        <v>94</v>
      </c>
      <c r="O60" s="9">
        <v>450013</v>
      </c>
      <c r="P60" s="9" t="s">
        <v>110</v>
      </c>
      <c r="Q60" s="9">
        <v>450014</v>
      </c>
      <c r="R60" s="9" t="s">
        <v>111</v>
      </c>
      <c r="S60" s="9">
        <v>45011</v>
      </c>
    </row>
    <row r="61" spans="2:19" x14ac:dyDescent="0.25">
      <c r="B61" s="9">
        <f t="shared" si="0"/>
        <v>10002</v>
      </c>
      <c r="C61" s="9">
        <v>10</v>
      </c>
      <c r="D61" s="9">
        <v>102</v>
      </c>
      <c r="E61" s="9">
        <v>450021</v>
      </c>
      <c r="F61" s="9" t="s">
        <v>96</v>
      </c>
      <c r="G61" s="9">
        <v>2</v>
      </c>
      <c r="H61" s="9">
        <v>5</v>
      </c>
      <c r="I61" s="9">
        <v>0</v>
      </c>
      <c r="J61" s="9">
        <v>0</v>
      </c>
      <c r="K61" s="18">
        <v>45931</v>
      </c>
      <c r="L61" s="18">
        <v>45961.999988425901</v>
      </c>
      <c r="M61" s="9">
        <v>450012</v>
      </c>
      <c r="O61" s="9">
        <v>450013</v>
      </c>
      <c r="Q61" s="9">
        <v>450014</v>
      </c>
      <c r="S61" s="9">
        <v>45012</v>
      </c>
    </row>
    <row r="62" spans="2:19" x14ac:dyDescent="0.25">
      <c r="B62" s="9">
        <f t="shared" si="0"/>
        <v>10003</v>
      </c>
      <c r="C62" s="9">
        <v>10</v>
      </c>
      <c r="D62" s="9">
        <v>103</v>
      </c>
      <c r="E62" s="9">
        <v>450031</v>
      </c>
      <c r="F62" s="9" t="s">
        <v>158</v>
      </c>
      <c r="G62" s="9">
        <v>2</v>
      </c>
      <c r="H62" s="9">
        <v>10</v>
      </c>
      <c r="I62" s="9">
        <v>0</v>
      </c>
      <c r="J62" s="9">
        <v>0</v>
      </c>
      <c r="K62" s="18">
        <v>45931</v>
      </c>
      <c r="L62" s="18">
        <v>45961.999988425901</v>
      </c>
      <c r="M62" s="9">
        <v>450012</v>
      </c>
      <c r="O62" s="9">
        <v>450013</v>
      </c>
      <c r="Q62" s="9">
        <v>450014</v>
      </c>
      <c r="S62" s="9">
        <v>45013</v>
      </c>
    </row>
    <row r="63" spans="2:19" x14ac:dyDescent="0.25">
      <c r="B63" s="9">
        <f t="shared" si="0"/>
        <v>10004</v>
      </c>
      <c r="C63" s="9">
        <v>10</v>
      </c>
      <c r="D63" s="9">
        <v>104</v>
      </c>
      <c r="E63" s="9">
        <v>450041</v>
      </c>
      <c r="F63" s="9" t="s">
        <v>159</v>
      </c>
      <c r="G63" s="9">
        <v>2</v>
      </c>
      <c r="H63" s="9">
        <v>15</v>
      </c>
      <c r="I63" s="9">
        <v>0</v>
      </c>
      <c r="J63" s="9">
        <v>0</v>
      </c>
      <c r="K63" s="18">
        <v>45931</v>
      </c>
      <c r="L63" s="18">
        <v>45961.999988425901</v>
      </c>
      <c r="M63" s="9">
        <v>450012</v>
      </c>
      <c r="O63" s="9">
        <v>450013</v>
      </c>
      <c r="Q63" s="9">
        <v>450014</v>
      </c>
      <c r="S63" s="9">
        <v>45014</v>
      </c>
    </row>
    <row r="64" spans="2:19" x14ac:dyDescent="0.25">
      <c r="B64" s="9">
        <f t="shared" si="0"/>
        <v>10005</v>
      </c>
      <c r="C64" s="9">
        <v>10</v>
      </c>
      <c r="D64" s="9">
        <v>105</v>
      </c>
      <c r="E64" s="9">
        <v>450051</v>
      </c>
      <c r="F64" s="9" t="s">
        <v>160</v>
      </c>
      <c r="G64" s="9">
        <v>2</v>
      </c>
      <c r="H64" s="9">
        <v>21</v>
      </c>
      <c r="I64" s="9">
        <v>0</v>
      </c>
      <c r="J64" s="9">
        <v>0</v>
      </c>
      <c r="K64" s="18">
        <v>45931</v>
      </c>
      <c r="L64" s="18">
        <v>45961.999988425901</v>
      </c>
      <c r="M64" s="9">
        <v>450012</v>
      </c>
      <c r="O64" s="9">
        <v>450013</v>
      </c>
      <c r="Q64" s="9">
        <v>450014</v>
      </c>
      <c r="S64" s="9">
        <v>45015</v>
      </c>
    </row>
    <row r="65" spans="2:19" x14ac:dyDescent="0.25">
      <c r="B65" s="9">
        <f t="shared" si="0"/>
        <v>10006</v>
      </c>
      <c r="C65" s="9">
        <v>10</v>
      </c>
      <c r="D65" s="9">
        <v>2</v>
      </c>
      <c r="E65" s="9">
        <v>450061</v>
      </c>
      <c r="F65" s="9" t="s">
        <v>161</v>
      </c>
      <c r="G65" s="9">
        <v>2</v>
      </c>
      <c r="H65" s="9">
        <v>1</v>
      </c>
      <c r="I65" s="9">
        <v>0</v>
      </c>
      <c r="J65" s="9">
        <v>1</v>
      </c>
      <c r="K65" s="18">
        <v>45931</v>
      </c>
      <c r="L65" s="18">
        <v>45961.999988425901</v>
      </c>
      <c r="M65" s="9">
        <v>450012</v>
      </c>
      <c r="O65" s="9">
        <v>450013</v>
      </c>
      <c r="Q65" s="9">
        <v>450014</v>
      </c>
      <c r="S65" s="9">
        <v>45016</v>
      </c>
    </row>
    <row r="66" spans="2:19" x14ac:dyDescent="0.25">
      <c r="B66" s="9">
        <f t="shared" si="0"/>
        <v>11001</v>
      </c>
      <c r="C66" s="9">
        <v>11</v>
      </c>
      <c r="D66" s="9">
        <v>101</v>
      </c>
      <c r="E66" s="9">
        <v>450011</v>
      </c>
      <c r="F66" s="9" t="s">
        <v>95</v>
      </c>
      <c r="G66" s="9">
        <v>2</v>
      </c>
      <c r="H66" s="9">
        <v>2</v>
      </c>
      <c r="I66" s="9">
        <v>0</v>
      </c>
      <c r="J66" s="9">
        <v>0</v>
      </c>
      <c r="K66" s="18">
        <v>45962</v>
      </c>
      <c r="L66" s="18">
        <v>45991.999988425901</v>
      </c>
      <c r="M66" s="9">
        <v>450012</v>
      </c>
      <c r="N66" s="9" t="s">
        <v>94</v>
      </c>
      <c r="O66" s="9">
        <v>450013</v>
      </c>
      <c r="P66" s="9" t="s">
        <v>110</v>
      </c>
      <c r="Q66" s="9">
        <v>450014</v>
      </c>
      <c r="R66" s="9" t="s">
        <v>111</v>
      </c>
      <c r="S66" s="9">
        <v>45011</v>
      </c>
    </row>
    <row r="67" spans="2:19" x14ac:dyDescent="0.25">
      <c r="B67" s="9">
        <f t="shared" si="0"/>
        <v>11002</v>
      </c>
      <c r="C67" s="9">
        <v>11</v>
      </c>
      <c r="D67" s="9">
        <v>102</v>
      </c>
      <c r="E67" s="9">
        <v>450021</v>
      </c>
      <c r="F67" s="9" t="s">
        <v>96</v>
      </c>
      <c r="G67" s="9">
        <v>2</v>
      </c>
      <c r="H67" s="9">
        <v>5</v>
      </c>
      <c r="I67" s="9">
        <v>0</v>
      </c>
      <c r="J67" s="9">
        <v>0</v>
      </c>
      <c r="K67" s="18">
        <v>45962</v>
      </c>
      <c r="L67" s="18">
        <v>45991.999988425901</v>
      </c>
      <c r="M67" s="9">
        <v>450012</v>
      </c>
      <c r="O67" s="9">
        <v>450013</v>
      </c>
      <c r="Q67" s="9">
        <v>450014</v>
      </c>
      <c r="S67" s="9">
        <v>45012</v>
      </c>
    </row>
    <row r="68" spans="2:19" x14ac:dyDescent="0.25">
      <c r="B68" s="9">
        <f t="shared" si="0"/>
        <v>11003</v>
      </c>
      <c r="C68" s="9">
        <v>11</v>
      </c>
      <c r="D68" s="9">
        <v>103</v>
      </c>
      <c r="E68" s="9">
        <v>450031</v>
      </c>
      <c r="F68" s="9" t="s">
        <v>158</v>
      </c>
      <c r="G68" s="9">
        <v>2</v>
      </c>
      <c r="H68" s="9">
        <v>10</v>
      </c>
      <c r="I68" s="9">
        <v>0</v>
      </c>
      <c r="J68" s="9">
        <v>0</v>
      </c>
      <c r="K68" s="18">
        <v>45962</v>
      </c>
      <c r="L68" s="18">
        <v>45991.999988425901</v>
      </c>
      <c r="M68" s="9">
        <v>450012</v>
      </c>
      <c r="O68" s="9">
        <v>450013</v>
      </c>
      <c r="Q68" s="9">
        <v>450014</v>
      </c>
      <c r="S68" s="9">
        <v>45013</v>
      </c>
    </row>
    <row r="69" spans="2:19" x14ac:dyDescent="0.25">
      <c r="B69" s="9">
        <f t="shared" si="0"/>
        <v>11004</v>
      </c>
      <c r="C69" s="9">
        <v>11</v>
      </c>
      <c r="D69" s="9">
        <v>104</v>
      </c>
      <c r="E69" s="9">
        <v>450041</v>
      </c>
      <c r="F69" s="9" t="s">
        <v>159</v>
      </c>
      <c r="G69" s="9">
        <v>2</v>
      </c>
      <c r="H69" s="9">
        <v>15</v>
      </c>
      <c r="I69" s="9">
        <v>0</v>
      </c>
      <c r="J69" s="9">
        <v>0</v>
      </c>
      <c r="K69" s="18">
        <v>45962</v>
      </c>
      <c r="L69" s="18">
        <v>45991.999988425901</v>
      </c>
      <c r="M69" s="9">
        <v>450012</v>
      </c>
      <c r="O69" s="9">
        <v>450013</v>
      </c>
      <c r="Q69" s="9">
        <v>450014</v>
      </c>
      <c r="S69" s="9">
        <v>45014</v>
      </c>
    </row>
    <row r="70" spans="2:19" x14ac:dyDescent="0.25">
      <c r="B70" s="9">
        <f t="shared" si="0"/>
        <v>11005</v>
      </c>
      <c r="C70" s="9">
        <v>11</v>
      </c>
      <c r="D70" s="9">
        <v>105</v>
      </c>
      <c r="E70" s="9">
        <v>450051</v>
      </c>
      <c r="F70" s="9" t="s">
        <v>160</v>
      </c>
      <c r="G70" s="9">
        <v>2</v>
      </c>
      <c r="H70" s="9">
        <v>21</v>
      </c>
      <c r="I70" s="9">
        <v>0</v>
      </c>
      <c r="J70" s="9">
        <v>0</v>
      </c>
      <c r="K70" s="18">
        <v>45962</v>
      </c>
      <c r="L70" s="18">
        <v>45991.999988425901</v>
      </c>
      <c r="M70" s="9">
        <v>450012</v>
      </c>
      <c r="O70" s="9">
        <v>450013</v>
      </c>
      <c r="Q70" s="9">
        <v>450014</v>
      </c>
      <c r="S70" s="9">
        <v>45015</v>
      </c>
    </row>
    <row r="71" spans="2:19" x14ac:dyDescent="0.25">
      <c r="B71" s="9">
        <f t="shared" si="0"/>
        <v>11006</v>
      </c>
      <c r="C71" s="9">
        <v>11</v>
      </c>
      <c r="D71" s="9">
        <v>2</v>
      </c>
      <c r="E71" s="9">
        <v>450061</v>
      </c>
      <c r="F71" s="9" t="s">
        <v>161</v>
      </c>
      <c r="G71" s="9">
        <v>2</v>
      </c>
      <c r="H71" s="9">
        <v>1</v>
      </c>
      <c r="I71" s="9">
        <v>0</v>
      </c>
      <c r="J71" s="9">
        <v>1</v>
      </c>
      <c r="K71" s="18">
        <v>45962</v>
      </c>
      <c r="L71" s="18">
        <v>45991.999988425901</v>
      </c>
      <c r="M71" s="9">
        <v>450012</v>
      </c>
      <c r="O71" s="9">
        <v>450013</v>
      </c>
      <c r="Q71" s="9">
        <v>450014</v>
      </c>
      <c r="S71" s="9">
        <v>45016</v>
      </c>
    </row>
    <row r="72" spans="2:19" x14ac:dyDescent="0.25">
      <c r="B72" s="9">
        <f t="shared" si="0"/>
        <v>12001</v>
      </c>
      <c r="C72" s="9">
        <v>12</v>
      </c>
      <c r="D72" s="9">
        <v>101</v>
      </c>
      <c r="E72" s="9">
        <v>450011</v>
      </c>
      <c r="F72" s="9" t="s">
        <v>95</v>
      </c>
      <c r="G72" s="9">
        <v>2</v>
      </c>
      <c r="H72" s="9">
        <v>2</v>
      </c>
      <c r="I72" s="9">
        <v>0</v>
      </c>
      <c r="J72" s="9">
        <v>0</v>
      </c>
      <c r="K72" s="18">
        <v>45992</v>
      </c>
      <c r="L72" s="18">
        <v>46022.999988425901</v>
      </c>
      <c r="M72" s="9">
        <v>450012</v>
      </c>
      <c r="N72" s="9" t="s">
        <v>94</v>
      </c>
      <c r="O72" s="9">
        <v>450013</v>
      </c>
      <c r="P72" s="9" t="s">
        <v>110</v>
      </c>
      <c r="Q72" s="9">
        <v>450014</v>
      </c>
      <c r="R72" s="9" t="s">
        <v>111</v>
      </c>
      <c r="S72" s="9">
        <v>45011</v>
      </c>
    </row>
    <row r="73" spans="2:19" x14ac:dyDescent="0.25">
      <c r="B73" s="9">
        <f t="shared" si="0"/>
        <v>12002</v>
      </c>
      <c r="C73" s="9">
        <v>12</v>
      </c>
      <c r="D73" s="9">
        <v>102</v>
      </c>
      <c r="E73" s="9">
        <v>450021</v>
      </c>
      <c r="F73" s="9" t="s">
        <v>96</v>
      </c>
      <c r="G73" s="9">
        <v>2</v>
      </c>
      <c r="H73" s="9">
        <v>5</v>
      </c>
      <c r="I73" s="9">
        <v>0</v>
      </c>
      <c r="J73" s="9">
        <v>0</v>
      </c>
      <c r="K73" s="18">
        <v>45992</v>
      </c>
      <c r="L73" s="18">
        <v>46022.999988425901</v>
      </c>
      <c r="M73" s="9">
        <v>450012</v>
      </c>
      <c r="O73" s="9">
        <v>450013</v>
      </c>
      <c r="Q73" s="9">
        <v>450014</v>
      </c>
      <c r="S73" s="9">
        <v>45012</v>
      </c>
    </row>
    <row r="74" spans="2:19" x14ac:dyDescent="0.25">
      <c r="B74" s="9">
        <f t="shared" si="0"/>
        <v>12003</v>
      </c>
      <c r="C74" s="9">
        <v>12</v>
      </c>
      <c r="D74" s="9">
        <v>103</v>
      </c>
      <c r="E74" s="9">
        <v>450031</v>
      </c>
      <c r="F74" s="9" t="s">
        <v>158</v>
      </c>
      <c r="G74" s="9">
        <v>2</v>
      </c>
      <c r="H74" s="9">
        <v>10</v>
      </c>
      <c r="I74" s="9">
        <v>0</v>
      </c>
      <c r="J74" s="9">
        <v>0</v>
      </c>
      <c r="K74" s="18">
        <v>45992</v>
      </c>
      <c r="L74" s="18">
        <v>46022.999988425901</v>
      </c>
      <c r="M74" s="9">
        <v>450012</v>
      </c>
      <c r="O74" s="9">
        <v>450013</v>
      </c>
      <c r="Q74" s="9">
        <v>450014</v>
      </c>
      <c r="S74" s="9">
        <v>45013</v>
      </c>
    </row>
    <row r="75" spans="2:19" x14ac:dyDescent="0.25">
      <c r="B75" s="9">
        <f t="shared" si="0"/>
        <v>12004</v>
      </c>
      <c r="C75" s="9">
        <v>12</v>
      </c>
      <c r="D75" s="9">
        <v>104</v>
      </c>
      <c r="E75" s="9">
        <v>450041</v>
      </c>
      <c r="F75" s="9" t="s">
        <v>159</v>
      </c>
      <c r="G75" s="9">
        <v>2</v>
      </c>
      <c r="H75" s="9">
        <v>15</v>
      </c>
      <c r="I75" s="9">
        <v>0</v>
      </c>
      <c r="J75" s="9">
        <v>0</v>
      </c>
      <c r="K75" s="18">
        <v>45992</v>
      </c>
      <c r="L75" s="18">
        <v>46022.999988425901</v>
      </c>
      <c r="M75" s="9">
        <v>450012</v>
      </c>
      <c r="O75" s="9">
        <v>450013</v>
      </c>
      <c r="Q75" s="9">
        <v>450014</v>
      </c>
      <c r="S75" s="9">
        <v>45014</v>
      </c>
    </row>
    <row r="76" spans="2:19" x14ac:dyDescent="0.25">
      <c r="B76" s="9">
        <f t="shared" si="0"/>
        <v>12005</v>
      </c>
      <c r="C76" s="9">
        <v>12</v>
      </c>
      <c r="D76" s="9">
        <v>105</v>
      </c>
      <c r="E76" s="9">
        <v>450051</v>
      </c>
      <c r="F76" s="9" t="s">
        <v>160</v>
      </c>
      <c r="G76" s="9">
        <v>2</v>
      </c>
      <c r="H76" s="9">
        <v>21</v>
      </c>
      <c r="I76" s="9">
        <v>0</v>
      </c>
      <c r="J76" s="9">
        <v>0</v>
      </c>
      <c r="K76" s="18">
        <v>45992</v>
      </c>
      <c r="L76" s="18">
        <v>46022.999988425901</v>
      </c>
      <c r="M76" s="9">
        <v>450012</v>
      </c>
      <c r="O76" s="9">
        <v>450013</v>
      </c>
      <c r="Q76" s="9">
        <v>450014</v>
      </c>
      <c r="S76" s="9">
        <v>45015</v>
      </c>
    </row>
    <row r="77" spans="2:19" x14ac:dyDescent="0.25">
      <c r="B77" s="9">
        <f>B71+1000</f>
        <v>12006</v>
      </c>
      <c r="C77" s="9">
        <v>12</v>
      </c>
      <c r="D77" s="9">
        <v>2</v>
      </c>
      <c r="E77" s="9">
        <v>450061</v>
      </c>
      <c r="F77" s="9" t="s">
        <v>161</v>
      </c>
      <c r="G77" s="9">
        <v>2</v>
      </c>
      <c r="H77" s="9">
        <v>1</v>
      </c>
      <c r="I77" s="9">
        <v>0</v>
      </c>
      <c r="J77" s="9">
        <v>1</v>
      </c>
      <c r="K77" s="18">
        <v>45992</v>
      </c>
      <c r="L77" s="18">
        <v>46022.999988425901</v>
      </c>
      <c r="M77" s="9">
        <v>450012</v>
      </c>
      <c r="O77" s="9">
        <v>450013</v>
      </c>
      <c r="Q77" s="9">
        <v>450014</v>
      </c>
      <c r="S77" s="9">
        <v>45016</v>
      </c>
    </row>
    <row r="78" spans="2:19" x14ac:dyDescent="0.25">
      <c r="B78">
        <v>14001</v>
      </c>
      <c r="C78" s="9">
        <v>14</v>
      </c>
      <c r="D78" s="9">
        <v>1</v>
      </c>
      <c r="E78" s="9">
        <v>450411</v>
      </c>
      <c r="F78" s="9" t="s">
        <v>162</v>
      </c>
      <c r="H78" s="9">
        <v>1</v>
      </c>
      <c r="I78" s="9">
        <v>0</v>
      </c>
      <c r="J78" s="9">
        <v>1</v>
      </c>
      <c r="K78" s="18">
        <v>45332</v>
      </c>
      <c r="L78" s="18">
        <v>45338.999988425901</v>
      </c>
      <c r="M78" s="9">
        <v>450032</v>
      </c>
      <c r="N78" s="9" t="s">
        <v>163</v>
      </c>
      <c r="O78" s="9">
        <v>450013</v>
      </c>
      <c r="Q78" s="9">
        <v>450014</v>
      </c>
      <c r="S78" s="9">
        <v>45071</v>
      </c>
    </row>
    <row r="79" spans="2:19" x14ac:dyDescent="0.25">
      <c r="B79">
        <v>14002</v>
      </c>
      <c r="C79" s="9">
        <v>14</v>
      </c>
      <c r="D79" s="9">
        <v>101</v>
      </c>
      <c r="E79" s="9">
        <v>450421</v>
      </c>
      <c r="F79" s="9" t="s">
        <v>164</v>
      </c>
      <c r="H79" s="9">
        <v>2</v>
      </c>
      <c r="I79" s="9">
        <v>0</v>
      </c>
      <c r="J79" s="9">
        <v>0</v>
      </c>
      <c r="K79" s="18">
        <v>45332</v>
      </c>
      <c r="L79" s="18">
        <v>45338.999988425901</v>
      </c>
      <c r="M79" s="9">
        <v>450032</v>
      </c>
      <c r="O79" s="9">
        <v>450013</v>
      </c>
      <c r="Q79" s="9">
        <v>450014</v>
      </c>
      <c r="S79" s="9">
        <v>45072</v>
      </c>
    </row>
    <row r="80" spans="2:19" x14ac:dyDescent="0.25">
      <c r="B80">
        <v>14003</v>
      </c>
      <c r="C80" s="9">
        <v>14</v>
      </c>
      <c r="D80" s="9">
        <v>102</v>
      </c>
      <c r="E80" s="9">
        <v>450431</v>
      </c>
      <c r="F80" s="9" t="s">
        <v>165</v>
      </c>
      <c r="H80" s="9">
        <v>5</v>
      </c>
      <c r="I80" s="9">
        <v>0</v>
      </c>
      <c r="J80" s="9">
        <v>0</v>
      </c>
      <c r="K80" s="18">
        <v>45332</v>
      </c>
      <c r="L80" s="18">
        <v>45338.999988425901</v>
      </c>
      <c r="M80" s="9">
        <v>450032</v>
      </c>
      <c r="O80" s="9">
        <v>450013</v>
      </c>
      <c r="Q80" s="9">
        <v>450014</v>
      </c>
      <c r="S80" s="9">
        <v>45073</v>
      </c>
    </row>
    <row r="81" spans="2:19" x14ac:dyDescent="0.25">
      <c r="B81">
        <v>14004</v>
      </c>
      <c r="C81" s="9">
        <v>14</v>
      </c>
      <c r="D81" s="9">
        <v>103</v>
      </c>
      <c r="E81" s="9">
        <v>450441</v>
      </c>
      <c r="F81" s="9" t="s">
        <v>166</v>
      </c>
      <c r="H81" s="9">
        <v>10</v>
      </c>
      <c r="I81" s="9">
        <v>0</v>
      </c>
      <c r="J81" s="9">
        <v>0</v>
      </c>
      <c r="K81" s="18">
        <v>45332</v>
      </c>
      <c r="L81" s="18">
        <v>45338.999988425901</v>
      </c>
      <c r="M81" s="9">
        <v>450032</v>
      </c>
      <c r="O81" s="9">
        <v>450013</v>
      </c>
      <c r="Q81" s="9">
        <v>450014</v>
      </c>
      <c r="S81" s="9">
        <v>45074</v>
      </c>
    </row>
    <row r="82" spans="2:19" x14ac:dyDescent="0.25">
      <c r="B82">
        <v>14005</v>
      </c>
      <c r="C82" s="9">
        <v>14</v>
      </c>
      <c r="D82" s="9">
        <v>104</v>
      </c>
      <c r="E82" s="9">
        <v>450451</v>
      </c>
      <c r="F82" s="9" t="s">
        <v>167</v>
      </c>
      <c r="H82" s="9">
        <v>20</v>
      </c>
      <c r="I82" s="9">
        <v>0</v>
      </c>
      <c r="J82" s="9">
        <v>0</v>
      </c>
      <c r="K82" s="18">
        <v>45332</v>
      </c>
      <c r="L82" s="18">
        <v>45338.999988425901</v>
      </c>
      <c r="M82" s="9">
        <v>450032</v>
      </c>
      <c r="O82" s="9">
        <v>450013</v>
      </c>
      <c r="Q82" s="9">
        <v>450014</v>
      </c>
      <c r="S82" s="9">
        <v>45075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selection activeCell="B4" sqref="B4:G4"/>
    </sheetView>
  </sheetViews>
  <sheetFormatPr defaultColWidth="11" defaultRowHeight="13.8" x14ac:dyDescent="0.25"/>
  <cols>
    <col min="1" max="16384" width="11" style="9"/>
  </cols>
  <sheetData>
    <row r="1" spans="1:7" x14ac:dyDescent="0.25">
      <c r="A1" t="s">
        <v>64</v>
      </c>
      <c r="B1" s="9" t="s">
        <v>20</v>
      </c>
      <c r="C1" s="9" t="s">
        <v>168</v>
      </c>
      <c r="D1" s="9" t="s">
        <v>169</v>
      </c>
      <c r="E1" s="12" t="s">
        <v>67</v>
      </c>
      <c r="F1" t="s">
        <v>170</v>
      </c>
      <c r="G1" t="s">
        <v>171</v>
      </c>
    </row>
    <row r="2" spans="1:7" x14ac:dyDescent="0.25">
      <c r="A2" t="s">
        <v>75</v>
      </c>
      <c r="B2" s="6" t="s">
        <v>29</v>
      </c>
      <c r="C2" s="6" t="s">
        <v>172</v>
      </c>
      <c r="D2" s="6" t="s">
        <v>173</v>
      </c>
      <c r="E2" s="6" t="s">
        <v>78</v>
      </c>
      <c r="F2" s="6" t="s">
        <v>79</v>
      </c>
      <c r="G2" s="6" t="s">
        <v>174</v>
      </c>
    </row>
    <row r="3" spans="1:7" ht="15.6" x14ac:dyDescent="0.3">
      <c r="A3" t="s">
        <v>89</v>
      </c>
      <c r="B3" s="6" t="s">
        <v>42</v>
      </c>
      <c r="C3" s="6" t="s">
        <v>43</v>
      </c>
      <c r="D3" s="6" t="s">
        <v>43</v>
      </c>
      <c r="E3" s="11" t="s">
        <v>42</v>
      </c>
      <c r="F3" s="11" t="s">
        <v>42</v>
      </c>
      <c r="G3" s="11" t="s">
        <v>42</v>
      </c>
    </row>
    <row r="4" spans="1:7" x14ac:dyDescent="0.25">
      <c r="A4" t="s">
        <v>90</v>
      </c>
      <c r="B4" s="6" t="s">
        <v>91</v>
      </c>
      <c r="C4" s="6" t="s">
        <v>91</v>
      </c>
      <c r="D4" s="6" t="s">
        <v>91</v>
      </c>
      <c r="E4" s="6" t="s">
        <v>91</v>
      </c>
      <c r="F4" s="6" t="s">
        <v>91</v>
      </c>
      <c r="G4" s="6" t="s">
        <v>91</v>
      </c>
    </row>
    <row r="5" spans="1:7" ht="15.6" x14ac:dyDescent="0.3">
      <c r="A5" t="s">
        <v>93</v>
      </c>
      <c r="B5" s="6"/>
      <c r="C5" s="13">
        <v>0.5</v>
      </c>
      <c r="D5" s="13">
        <v>0.5</v>
      </c>
      <c r="E5" s="6">
        <v>0</v>
      </c>
      <c r="F5" s="11">
        <v>0</v>
      </c>
      <c r="G5" s="6">
        <v>0</v>
      </c>
    </row>
    <row r="6" spans="1:7" x14ac:dyDescent="0.25">
      <c r="A6" t="s">
        <v>175</v>
      </c>
      <c r="B6" s="9">
        <v>1</v>
      </c>
      <c r="C6" s="14">
        <v>0.5</v>
      </c>
      <c r="D6" s="15">
        <v>0.58333333333333304</v>
      </c>
      <c r="F6" s="9">
        <v>0</v>
      </c>
    </row>
    <row r="7" spans="1:7" x14ac:dyDescent="0.25">
      <c r="B7" s="9">
        <v>2</v>
      </c>
      <c r="C7" s="15">
        <v>0.77083333333333304</v>
      </c>
      <c r="D7" s="15">
        <v>0.85416666666666696</v>
      </c>
      <c r="F7" s="9">
        <v>0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>
      <selection activeCell="K33" sqref="K33"/>
    </sheetView>
  </sheetViews>
  <sheetFormatPr defaultColWidth="11" defaultRowHeight="13.8" x14ac:dyDescent="0.25"/>
  <cols>
    <col min="1" max="16384" width="11" style="9"/>
  </cols>
  <sheetData>
    <row r="1" spans="1:11" x14ac:dyDescent="0.25">
      <c r="A1" t="s">
        <v>64</v>
      </c>
      <c r="B1" t="s">
        <v>20</v>
      </c>
      <c r="C1" s="9" t="s">
        <v>176</v>
      </c>
      <c r="D1" t="s">
        <v>177</v>
      </c>
      <c r="E1" t="s">
        <v>178</v>
      </c>
      <c r="F1" t="s">
        <v>179</v>
      </c>
      <c r="G1" s="9" t="s">
        <v>18</v>
      </c>
      <c r="H1" s="9" t="s">
        <v>67</v>
      </c>
      <c r="I1" s="9" t="s">
        <v>68</v>
      </c>
      <c r="J1" s="9" t="s">
        <v>74</v>
      </c>
      <c r="K1" s="9" t="s">
        <v>180</v>
      </c>
    </row>
    <row r="2" spans="1:11" x14ac:dyDescent="0.25">
      <c r="A2" t="s">
        <v>75</v>
      </c>
      <c r="B2" s="6" t="s">
        <v>29</v>
      </c>
      <c r="C2" s="6" t="s">
        <v>181</v>
      </c>
      <c r="D2" s="6" t="s">
        <v>128</v>
      </c>
      <c r="E2" s="10" t="s">
        <v>182</v>
      </c>
      <c r="F2" s="6" t="s">
        <v>76</v>
      </c>
      <c r="G2" s="10" t="s">
        <v>77</v>
      </c>
      <c r="H2" s="6" t="s">
        <v>78</v>
      </c>
      <c r="I2" s="6" t="s">
        <v>79</v>
      </c>
      <c r="J2" s="6" t="s">
        <v>183</v>
      </c>
      <c r="K2" s="6" t="s">
        <v>184</v>
      </c>
    </row>
    <row r="3" spans="1:11" ht="15.6" x14ac:dyDescent="0.3">
      <c r="A3" t="s">
        <v>89</v>
      </c>
      <c r="B3" s="6" t="s">
        <v>42</v>
      </c>
      <c r="C3" s="6" t="s">
        <v>42</v>
      </c>
      <c r="D3" s="11" t="s">
        <v>42</v>
      </c>
      <c r="E3" s="10" t="s">
        <v>43</v>
      </c>
      <c r="F3" s="11" t="s">
        <v>42</v>
      </c>
      <c r="G3" s="10" t="s">
        <v>43</v>
      </c>
      <c r="H3" s="6" t="s">
        <v>42</v>
      </c>
      <c r="I3" s="6" t="s">
        <v>42</v>
      </c>
      <c r="J3" s="6" t="s">
        <v>42</v>
      </c>
      <c r="K3" s="6" t="s">
        <v>42</v>
      </c>
    </row>
    <row r="4" spans="1:11" x14ac:dyDescent="0.25">
      <c r="A4" t="s">
        <v>90</v>
      </c>
      <c r="B4" s="6" t="s">
        <v>91</v>
      </c>
      <c r="C4" s="6" t="s">
        <v>91</v>
      </c>
      <c r="D4" s="6" t="s">
        <v>91</v>
      </c>
      <c r="E4" s="10" t="s">
        <v>92</v>
      </c>
      <c r="F4" s="6" t="s">
        <v>91</v>
      </c>
      <c r="G4" s="10" t="s">
        <v>92</v>
      </c>
      <c r="H4" s="6" t="s">
        <v>91</v>
      </c>
      <c r="I4" s="6" t="s">
        <v>91</v>
      </c>
      <c r="J4" s="6" t="s">
        <v>91</v>
      </c>
      <c r="K4" s="6" t="s">
        <v>91</v>
      </c>
    </row>
    <row r="5" spans="1:11" x14ac:dyDescent="0.25">
      <c r="A5" t="s">
        <v>93</v>
      </c>
      <c r="B5" s="6"/>
      <c r="C5" s="6">
        <v>0</v>
      </c>
      <c r="D5" s="6">
        <v>0</v>
      </c>
      <c r="E5" s="10"/>
      <c r="F5" s="6">
        <v>0</v>
      </c>
      <c r="G5" s="10"/>
      <c r="H5" s="6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185</v>
      </c>
      <c r="B6" s="9">
        <v>101</v>
      </c>
      <c r="C6" s="9">
        <v>1</v>
      </c>
      <c r="D6" s="9">
        <v>492011</v>
      </c>
      <c r="E6" s="9" t="s">
        <v>186</v>
      </c>
      <c r="F6" s="9">
        <v>492012</v>
      </c>
      <c r="G6" s="9" t="s">
        <v>187</v>
      </c>
      <c r="I6" s="9">
        <v>1</v>
      </c>
      <c r="K6" s="9">
        <v>50</v>
      </c>
    </row>
    <row r="7" spans="1:11" x14ac:dyDescent="0.25">
      <c r="B7" s="9">
        <v>102</v>
      </c>
      <c r="C7" s="9">
        <v>1</v>
      </c>
      <c r="D7" s="9">
        <v>492021</v>
      </c>
      <c r="E7" s="9" t="s">
        <v>188</v>
      </c>
      <c r="F7" s="9">
        <v>492022</v>
      </c>
      <c r="G7" s="9" t="s">
        <v>189</v>
      </c>
      <c r="I7" s="9">
        <v>10</v>
      </c>
      <c r="K7" s="9">
        <v>50</v>
      </c>
    </row>
    <row r="8" spans="1:11" x14ac:dyDescent="0.25">
      <c r="B8" s="9">
        <v>103</v>
      </c>
      <c r="C8" s="9">
        <v>1</v>
      </c>
      <c r="D8" s="9">
        <v>492031</v>
      </c>
      <c r="E8" s="9" t="s">
        <v>190</v>
      </c>
      <c r="F8" s="9">
        <v>492032</v>
      </c>
      <c r="G8" s="9" t="s">
        <v>191</v>
      </c>
      <c r="I8" s="9">
        <v>3</v>
      </c>
      <c r="K8" s="9">
        <v>50</v>
      </c>
    </row>
    <row r="9" spans="1:11" x14ac:dyDescent="0.25">
      <c r="B9" s="9">
        <v>201</v>
      </c>
      <c r="C9" s="9">
        <v>2</v>
      </c>
      <c r="D9" s="9">
        <v>492041</v>
      </c>
      <c r="E9" s="9" t="s">
        <v>192</v>
      </c>
      <c r="F9" s="9">
        <v>492042</v>
      </c>
      <c r="G9" s="9" t="s">
        <v>187</v>
      </c>
      <c r="I9" s="9">
        <v>1</v>
      </c>
      <c r="K9" s="9">
        <v>50</v>
      </c>
    </row>
    <row r="10" spans="1:11" x14ac:dyDescent="0.25">
      <c r="B10" s="9">
        <v>202</v>
      </c>
      <c r="C10" s="9">
        <v>2</v>
      </c>
      <c r="D10" s="9">
        <v>492051</v>
      </c>
      <c r="E10" s="9" t="s">
        <v>193</v>
      </c>
      <c r="F10" s="9">
        <v>492052</v>
      </c>
      <c r="G10" s="9" t="s">
        <v>189</v>
      </c>
      <c r="I10" s="9">
        <v>10</v>
      </c>
      <c r="K10" s="9">
        <v>50</v>
      </c>
    </row>
    <row r="11" spans="1:11" x14ac:dyDescent="0.25">
      <c r="B11" s="9">
        <v>203</v>
      </c>
      <c r="C11" s="9">
        <v>2</v>
      </c>
      <c r="D11" s="9">
        <v>492061</v>
      </c>
      <c r="E11" s="9" t="s">
        <v>194</v>
      </c>
      <c r="F11" s="9">
        <v>492062</v>
      </c>
      <c r="G11" s="9" t="s">
        <v>191</v>
      </c>
      <c r="I11" s="9">
        <v>3</v>
      </c>
      <c r="K11" s="9">
        <v>50</v>
      </c>
    </row>
  </sheetData>
  <phoneticPr fontId="8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workbookViewId="0">
      <selection activeCell="G3" sqref="G3"/>
    </sheetView>
  </sheetViews>
  <sheetFormatPr defaultColWidth="9" defaultRowHeight="13.8" x14ac:dyDescent="0.25"/>
  <cols>
    <col min="1" max="1" width="13.44140625" style="1" customWidth="1"/>
    <col min="2" max="2" width="15.33203125" style="1" customWidth="1"/>
    <col min="3" max="3" width="12.6640625" style="1" customWidth="1"/>
    <col min="4" max="4" width="10.44140625" style="1" customWidth="1"/>
    <col min="5" max="16384" width="9" style="1"/>
  </cols>
  <sheetData>
    <row r="1" spans="1:9" x14ac:dyDescent="0.25">
      <c r="A1" t="s">
        <v>64</v>
      </c>
      <c r="B1" s="2" t="s">
        <v>154</v>
      </c>
      <c r="C1" s="2" t="s">
        <v>155</v>
      </c>
      <c r="D1" s="2" t="s">
        <v>156</v>
      </c>
      <c r="E1" s="2" t="s">
        <v>67</v>
      </c>
      <c r="F1" s="2" t="s">
        <v>195</v>
      </c>
      <c r="G1" s="2" t="s">
        <v>196</v>
      </c>
      <c r="H1" s="2" t="s">
        <v>28</v>
      </c>
      <c r="I1" s="1" t="s">
        <v>23</v>
      </c>
    </row>
    <row r="2" spans="1:9" x14ac:dyDescent="0.25">
      <c r="A2" t="s">
        <v>75</v>
      </c>
      <c r="B2" s="3" t="s">
        <v>29</v>
      </c>
      <c r="C2" s="3" t="s">
        <v>76</v>
      </c>
      <c r="D2" s="4" t="s">
        <v>77</v>
      </c>
      <c r="E2" s="3" t="s">
        <v>78</v>
      </c>
      <c r="F2" s="3" t="s">
        <v>197</v>
      </c>
      <c r="G2" s="5" t="s">
        <v>174</v>
      </c>
      <c r="H2" s="3" t="s">
        <v>41</v>
      </c>
      <c r="I2" s="3" t="s">
        <v>36</v>
      </c>
    </row>
    <row r="3" spans="1:9" x14ac:dyDescent="0.25">
      <c r="A3" t="s">
        <v>89</v>
      </c>
      <c r="B3" s="3" t="s">
        <v>42</v>
      </c>
      <c r="C3" s="3" t="s">
        <v>42</v>
      </c>
      <c r="D3" s="4" t="s">
        <v>43</v>
      </c>
      <c r="E3" s="3" t="s">
        <v>42</v>
      </c>
      <c r="F3" s="3" t="s">
        <v>43</v>
      </c>
      <c r="G3" s="3" t="s">
        <v>198</v>
      </c>
      <c r="H3" s="3" t="s">
        <v>42</v>
      </c>
      <c r="I3" s="3" t="s">
        <v>42</v>
      </c>
    </row>
    <row r="4" spans="1:9" x14ac:dyDescent="0.25">
      <c r="A4" t="s">
        <v>90</v>
      </c>
      <c r="B4" s="6" t="s">
        <v>91</v>
      </c>
      <c r="C4" s="6" t="s">
        <v>91</v>
      </c>
      <c r="D4" s="4" t="s">
        <v>92</v>
      </c>
      <c r="E4" s="6" t="s">
        <v>91</v>
      </c>
      <c r="F4" s="6" t="s">
        <v>91</v>
      </c>
      <c r="G4" s="6" t="s">
        <v>91</v>
      </c>
      <c r="H4" s="6" t="s">
        <v>91</v>
      </c>
      <c r="I4" s="6" t="s">
        <v>91</v>
      </c>
    </row>
    <row r="5" spans="1:9" x14ac:dyDescent="0.25">
      <c r="A5" t="s">
        <v>93</v>
      </c>
      <c r="B5" s="3">
        <v>0</v>
      </c>
      <c r="C5" s="3">
        <v>0</v>
      </c>
      <c r="D5" s="4"/>
      <c r="E5" s="3">
        <v>0</v>
      </c>
      <c r="F5" s="3">
        <v>0</v>
      </c>
      <c r="G5" s="5">
        <v>0</v>
      </c>
      <c r="H5" s="3">
        <v>0</v>
      </c>
      <c r="I5" s="3">
        <v>0</v>
      </c>
    </row>
    <row r="6" spans="1:9" x14ac:dyDescent="0.25">
      <c r="A6" s="7" t="s">
        <v>199</v>
      </c>
      <c r="B6" s="8">
        <v>1</v>
      </c>
      <c r="C6" s="2">
        <v>497001</v>
      </c>
      <c r="D6" s="7" t="s">
        <v>200</v>
      </c>
      <c r="E6" s="7">
        <v>22</v>
      </c>
      <c r="F6" s="1">
        <v>1</v>
      </c>
      <c r="G6" s="1" t="s">
        <v>201</v>
      </c>
      <c r="H6" s="1">
        <v>1002</v>
      </c>
      <c r="I6" s="1">
        <v>0</v>
      </c>
    </row>
    <row r="7" spans="1:9" x14ac:dyDescent="0.25">
      <c r="B7" s="8">
        <v>2</v>
      </c>
      <c r="C7" s="2">
        <v>497002</v>
      </c>
      <c r="D7" s="7" t="s">
        <v>202</v>
      </c>
      <c r="E7" s="1">
        <v>23</v>
      </c>
      <c r="F7" s="1">
        <v>1</v>
      </c>
      <c r="G7" s="1" t="s">
        <v>203</v>
      </c>
      <c r="H7" s="1">
        <v>1002</v>
      </c>
      <c r="I7" s="1">
        <v>1</v>
      </c>
    </row>
    <row r="8" spans="1:9" x14ac:dyDescent="0.25">
      <c r="B8" s="8">
        <v>3</v>
      </c>
      <c r="C8" s="2">
        <v>497003</v>
      </c>
      <c r="D8" s="7" t="s">
        <v>204</v>
      </c>
      <c r="E8" s="1">
        <v>24</v>
      </c>
      <c r="F8" s="1">
        <v>1</v>
      </c>
      <c r="G8" s="1" t="s">
        <v>205</v>
      </c>
      <c r="H8" s="1">
        <v>1002</v>
      </c>
      <c r="I8" s="1">
        <v>1</v>
      </c>
    </row>
    <row r="9" spans="1:9" x14ac:dyDescent="0.25">
      <c r="B9" s="8">
        <v>4</v>
      </c>
      <c r="C9" s="2">
        <v>497004</v>
      </c>
      <c r="D9" s="7" t="s">
        <v>206</v>
      </c>
      <c r="E9" s="7">
        <v>25</v>
      </c>
      <c r="F9" s="1">
        <v>2</v>
      </c>
      <c r="G9" s="1" t="s">
        <v>207</v>
      </c>
      <c r="H9" s="1">
        <v>1002</v>
      </c>
      <c r="I9" s="1">
        <v>1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5A45-D91E-4B83-8201-D3940F8081DD}">
  <dimension ref="A1:D12"/>
  <sheetViews>
    <sheetView workbookViewId="0">
      <selection activeCell="D1" sqref="D1"/>
    </sheetView>
  </sheetViews>
  <sheetFormatPr defaultRowHeight="13.8" x14ac:dyDescent="0.25"/>
  <cols>
    <col min="2" max="2" width="10" bestFit="1" customWidth="1"/>
    <col min="3" max="4" width="25.5546875" bestFit="1" customWidth="1"/>
  </cols>
  <sheetData>
    <row r="1" spans="1:4" x14ac:dyDescent="0.25">
      <c r="B1" s="25" t="s">
        <v>246</v>
      </c>
      <c r="C1" s="25" t="s">
        <v>253</v>
      </c>
      <c r="D1" s="25" t="s">
        <v>247</v>
      </c>
    </row>
    <row r="2" spans="1:4" x14ac:dyDescent="0.25">
      <c r="B2" s="3" t="s">
        <v>29</v>
      </c>
      <c r="C2" s="26" t="s">
        <v>248</v>
      </c>
      <c r="D2" s="26" t="s">
        <v>249</v>
      </c>
    </row>
    <row r="3" spans="1:4" x14ac:dyDescent="0.25">
      <c r="B3" s="3" t="s">
        <v>42</v>
      </c>
      <c r="C3" s="3" t="s">
        <v>250</v>
      </c>
      <c r="D3" s="3" t="s">
        <v>250</v>
      </c>
    </row>
    <row r="4" spans="1:4" x14ac:dyDescent="0.25">
      <c r="B4" s="6" t="s">
        <v>91</v>
      </c>
      <c r="C4" s="6" t="s">
        <v>91</v>
      </c>
      <c r="D4" s="6" t="s">
        <v>91</v>
      </c>
    </row>
    <row r="5" spans="1:4" x14ac:dyDescent="0.25">
      <c r="B5" s="3">
        <v>0</v>
      </c>
      <c r="C5" s="3">
        <v>0</v>
      </c>
      <c r="D5" s="3">
        <v>0</v>
      </c>
    </row>
    <row r="6" spans="1:4" x14ac:dyDescent="0.25">
      <c r="A6" s="7"/>
      <c r="B6" s="8">
        <v>1</v>
      </c>
      <c r="C6" s="27">
        <v>2100</v>
      </c>
      <c r="D6" s="28" t="s">
        <v>251</v>
      </c>
    </row>
    <row r="7" spans="1:4" x14ac:dyDescent="0.25">
      <c r="A7" s="1"/>
      <c r="B7" s="8">
        <v>2</v>
      </c>
      <c r="C7" s="27">
        <v>2100</v>
      </c>
      <c r="D7" s="29" t="s">
        <v>252</v>
      </c>
    </row>
    <row r="8" spans="1:4" x14ac:dyDescent="0.25">
      <c r="A8" s="1"/>
      <c r="B8" s="8">
        <v>3</v>
      </c>
      <c r="C8" s="27">
        <v>2100</v>
      </c>
      <c r="D8" s="29" t="s">
        <v>252</v>
      </c>
    </row>
    <row r="9" spans="1:4" x14ac:dyDescent="0.25">
      <c r="A9" s="1"/>
      <c r="B9" s="8">
        <v>4</v>
      </c>
      <c r="C9" s="27">
        <v>2100</v>
      </c>
      <c r="D9" s="29" t="s">
        <v>252</v>
      </c>
    </row>
    <row r="10" spans="1:4" x14ac:dyDescent="0.25">
      <c r="B10" s="8">
        <v>5</v>
      </c>
      <c r="C10" s="27">
        <v>2100</v>
      </c>
      <c r="D10" s="29" t="s">
        <v>252</v>
      </c>
    </row>
    <row r="11" spans="1:4" x14ac:dyDescent="0.25">
      <c r="B11" s="8">
        <v>6</v>
      </c>
      <c r="C11" s="27">
        <v>2100</v>
      </c>
      <c r="D11" s="29" t="s">
        <v>252</v>
      </c>
    </row>
    <row r="12" spans="1:4" x14ac:dyDescent="0.25">
      <c r="B12" s="8">
        <v>7</v>
      </c>
      <c r="C12" s="27">
        <v>2100</v>
      </c>
      <c r="D12" s="29" t="s">
        <v>252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2"/>
  <sheetViews>
    <sheetView workbookViewId="0">
      <selection activeCell="B2" sqref="B2"/>
    </sheetView>
  </sheetViews>
  <sheetFormatPr defaultColWidth="9" defaultRowHeight="13.8" x14ac:dyDescent="0.25"/>
  <cols>
    <col min="2" max="2" width="29.88671875" customWidth="1"/>
    <col min="3" max="3" width="14.77734375" customWidth="1"/>
  </cols>
  <sheetData>
    <row r="1" spans="1:4" x14ac:dyDescent="0.25">
      <c r="A1" t="s">
        <v>208</v>
      </c>
      <c r="B1" t="s">
        <v>155</v>
      </c>
      <c r="C1" t="s">
        <v>209</v>
      </c>
    </row>
    <row r="2" spans="1:4" x14ac:dyDescent="0.25">
      <c r="A2">
        <v>1</v>
      </c>
      <c r="B2" t="s">
        <v>210</v>
      </c>
      <c r="C2" t="s">
        <v>211</v>
      </c>
    </row>
    <row r="3" spans="1:4" x14ac:dyDescent="0.25">
      <c r="A3">
        <v>2</v>
      </c>
      <c r="B3" t="s">
        <v>212</v>
      </c>
      <c r="C3" t="s">
        <v>213</v>
      </c>
    </row>
    <row r="4" spans="1:4" x14ac:dyDescent="0.25">
      <c r="A4">
        <v>3</v>
      </c>
      <c r="B4" t="s">
        <v>214</v>
      </c>
      <c r="C4" t="s">
        <v>215</v>
      </c>
    </row>
    <row r="5" spans="1:4" x14ac:dyDescent="0.25">
      <c r="A5">
        <v>4</v>
      </c>
      <c r="B5" t="s">
        <v>216</v>
      </c>
      <c r="C5" t="s">
        <v>217</v>
      </c>
      <c r="D5" t="s">
        <v>218</v>
      </c>
    </row>
    <row r="6" spans="1:4" x14ac:dyDescent="0.25">
      <c r="A6">
        <v>5</v>
      </c>
      <c r="B6" t="s">
        <v>219</v>
      </c>
      <c r="C6" t="s">
        <v>220</v>
      </c>
    </row>
    <row r="7" spans="1:4" x14ac:dyDescent="0.25">
      <c r="A7">
        <v>6</v>
      </c>
      <c r="B7" t="s">
        <v>221</v>
      </c>
      <c r="C7" t="s">
        <v>220</v>
      </c>
    </row>
    <row r="8" spans="1:4" x14ac:dyDescent="0.25">
      <c r="A8">
        <v>7</v>
      </c>
      <c r="B8" t="s">
        <v>222</v>
      </c>
      <c r="C8" t="s">
        <v>215</v>
      </c>
    </row>
    <row r="9" spans="1:4" x14ac:dyDescent="0.25">
      <c r="A9">
        <v>8</v>
      </c>
      <c r="B9" t="s">
        <v>223</v>
      </c>
      <c r="C9" t="s">
        <v>224</v>
      </c>
      <c r="D9" t="s">
        <v>225</v>
      </c>
    </row>
    <row r="10" spans="1:4" x14ac:dyDescent="0.25">
      <c r="A10">
        <v>9</v>
      </c>
      <c r="B10" t="s">
        <v>226</v>
      </c>
      <c r="C10" t="s">
        <v>224</v>
      </c>
      <c r="D10" t="s">
        <v>227</v>
      </c>
    </row>
    <row r="11" spans="1:4" x14ac:dyDescent="0.25">
      <c r="A11">
        <v>10</v>
      </c>
      <c r="B11" t="s">
        <v>228</v>
      </c>
      <c r="C11" t="s">
        <v>224</v>
      </c>
      <c r="D11" t="s">
        <v>229</v>
      </c>
    </row>
    <row r="12" spans="1:4" x14ac:dyDescent="0.25">
      <c r="A12">
        <v>11</v>
      </c>
      <c r="B12" t="s">
        <v>230</v>
      </c>
      <c r="C12" t="s">
        <v>220</v>
      </c>
    </row>
    <row r="13" spans="1:4" x14ac:dyDescent="0.25">
      <c r="A13">
        <v>12</v>
      </c>
      <c r="B13" t="s">
        <v>231</v>
      </c>
      <c r="C13" t="s">
        <v>232</v>
      </c>
      <c r="D13" t="s">
        <v>233</v>
      </c>
    </row>
    <row r="14" spans="1:4" x14ac:dyDescent="0.25">
      <c r="A14">
        <v>13</v>
      </c>
      <c r="B14" t="s">
        <v>234</v>
      </c>
      <c r="C14" t="s">
        <v>235</v>
      </c>
    </row>
    <row r="15" spans="1:4" x14ac:dyDescent="0.25">
      <c r="A15">
        <v>14</v>
      </c>
      <c r="B15" t="s">
        <v>236</v>
      </c>
      <c r="C15" t="s">
        <v>211</v>
      </c>
    </row>
    <row r="16" spans="1:4" x14ac:dyDescent="0.25">
      <c r="A16">
        <v>15</v>
      </c>
      <c r="B16" t="s">
        <v>237</v>
      </c>
      <c r="C16" t="s">
        <v>211</v>
      </c>
    </row>
    <row r="17" spans="1:3" x14ac:dyDescent="0.25">
      <c r="A17">
        <v>16</v>
      </c>
      <c r="B17" t="s">
        <v>238</v>
      </c>
      <c r="C17" t="s">
        <v>239</v>
      </c>
    </row>
    <row r="18" spans="1:3" x14ac:dyDescent="0.25">
      <c r="A18">
        <v>17</v>
      </c>
      <c r="B18" t="s">
        <v>240</v>
      </c>
      <c r="C18" t="s">
        <v>220</v>
      </c>
    </row>
    <row r="19" spans="1:3" x14ac:dyDescent="0.25">
      <c r="A19">
        <v>18</v>
      </c>
      <c r="B19" t="s">
        <v>241</v>
      </c>
      <c r="C19" t="s">
        <v>220</v>
      </c>
    </row>
    <row r="20" spans="1:3" x14ac:dyDescent="0.25">
      <c r="A20">
        <v>19</v>
      </c>
      <c r="B20" t="s">
        <v>242</v>
      </c>
      <c r="C20" t="s">
        <v>220</v>
      </c>
    </row>
    <row r="21" spans="1:3" x14ac:dyDescent="0.25">
      <c r="A21">
        <v>20</v>
      </c>
      <c r="B21" t="s">
        <v>243</v>
      </c>
      <c r="C21" t="s">
        <v>213</v>
      </c>
    </row>
    <row r="22" spans="1:3" x14ac:dyDescent="0.25">
      <c r="A22">
        <v>21</v>
      </c>
      <c r="B22" t="s">
        <v>244</v>
      </c>
      <c r="C22" t="s">
        <v>245</v>
      </c>
    </row>
  </sheetData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activity_id</vt:lpstr>
      <vt:lpstr>mode_type1</vt:lpstr>
      <vt:lpstr>mode_type2</vt:lpstr>
      <vt:lpstr>mode_type3</vt:lpstr>
      <vt:lpstr>mode_type4</vt:lpstr>
      <vt:lpstr>mode_type5</vt:lpstr>
      <vt:lpstr>mode_type6</vt:lpstr>
      <vt:lpstr>mode_login</vt:lpstr>
      <vt:lpstr>mode_weekend</vt:lpstr>
      <vt:lpstr>circle_quest</vt:lpstr>
      <vt:lpstr>daily_pass</vt:lpstr>
      <vt:lpstr>任务类型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2025-06-10T14:51:30Z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982A5F706AA84C82B1F85ECB1B373F03_12</vt:lpwstr>
  </property>
</Properties>
</file>