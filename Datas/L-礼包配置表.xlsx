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git2\Datas\"/>
    </mc:Choice>
  </mc:AlternateContent>
  <xr:revisionPtr revIDLastSave="0" documentId="13_ncr:1_{4727D30C-EE52-4528-8870-2EC8B1E00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_time" sheetId="8" r:id="rId1"/>
    <sheet name="gift_one" sheetId="2" r:id="rId2"/>
    <sheet name="gift_two" sheetId="5" r:id="rId3"/>
    <sheet name="gift_three" sheetId="6" r:id="rId4"/>
    <sheet name="gift_four" sheetId="10" r:id="rId5"/>
    <sheet name="gift_five" sheetId="12" r:id="rId6"/>
    <sheet name="gift_six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8" l="1"/>
  <c r="E6" i="8" s="1"/>
  <c r="I9" i="8" a="1"/>
  <c r="I9" i="8" s="1"/>
  <c r="E9" i="8" s="1"/>
  <c r="I8" i="8" a="1"/>
  <c r="I8" i="8" s="1"/>
  <c r="E8" i="8" s="1"/>
  <c r="I7" i="8" a="1"/>
  <c r="I7" i="8" s="1"/>
  <c r="E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Administrator</author>
  </authors>
  <commentList>
    <comment ref="C2" authorId="0" shapeId="0" xr:uid="{00000000-0006-0000-0000-000001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配置时间格式，自动转为时间戳
当前时间&gt;=出现时间时，活动开始</t>
        </r>
      </text>
    </comment>
    <comment ref="D2" authorId="0" shapeId="0" xr:uid="{00000000-0006-0000-0000-000002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配置时间格式，自动转为时间戳
当前时间&gt;=消失时间时，活动结束</t>
        </r>
      </text>
    </comment>
    <comment ref="E2" authorId="1" shapeId="0" xr:uid="{00000000-0006-0000-0000-000003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活动时间重叠情况下
1.开启的礼包不允许有同一个充值id
2.不允许出现同一模板下同一个模板id
后续一个id对应一个礼包配置id，方便调整各个礼包
[[a,b],...]
a为球杆礼包模板类型：
1为模板1；
2为模板2；
3为模板3；
b为读取对应模板类型的id</t>
        </r>
      </text>
    </comment>
    <comment ref="F2" authorId="1" shapeId="0" xr:uid="{930AC668-9B81-4E1C-8F3B-8F647F0B3459}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主界面的banner入口轮播</t>
        </r>
      </text>
    </comment>
    <comment ref="G2" authorId="1" shapeId="0" xr:uid="{00000000-0006-0000-0000-000004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数字越小的，排在前面
1开头为Z杆、服饰、球桌礼包
2开头为球杆礼包
3开头为三选一礼包
4开头为材料礼包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86131</author>
    <author>Administrator</author>
    <author>Aki</author>
  </authors>
  <commentList>
    <comment ref="B2" authorId="0" shapeId="0" xr:uid="{00000000-0006-0000-0100-000001000000}">
      <text>
        <r>
          <rPr>
            <b/>
            <sz val="9"/>
            <rFont val="宋体"/>
            <charset val="134"/>
          </rPr>
          <t>Visom:</t>
        </r>
        <r>
          <rPr>
            <sz val="9"/>
            <rFont val="宋体"/>
            <charset val="134"/>
          </rPr>
          <t xml:space="preserve">
和充值表id对应</t>
        </r>
      </text>
    </comment>
    <comment ref="D2" authorId="1" shapeId="0" xr:uid="{00000000-0006-0000-0100-000002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直售礼包的奖励</t>
        </r>
      </text>
    </comment>
    <comment ref="F2" authorId="1" shapeId="0" xr:uid="{00000000-0006-0000-0100-000003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售卖球杆的属性值
[力度，加塞，瞄准，魅力]</t>
        </r>
      </text>
    </comment>
    <comment ref="G2" authorId="1" shapeId="0" xr:uid="{00000000-0006-0000-0100-000004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球杆属性和属性上限的比值，为礼包展示属性值的长度
[力度，加塞，瞄准，魅力]</t>
        </r>
      </text>
    </comment>
    <comment ref="H2" authorId="2" shapeId="0" xr:uid="{00000000-0006-0000-0100-000005000000}">
      <text>
        <r>
          <rPr>
            <sz val="9"/>
            <rFont val="宋体"/>
            <charset val="134"/>
          </rPr>
          <t xml:space="preserve">10表示没有折扣显示
9、8、7·····0表示对应的折扣显示
</t>
        </r>
      </text>
    </comment>
    <comment ref="I2" authorId="2" shapeId="0" xr:uid="{00000000-0006-0000-0100-000006000000}">
      <text>
        <r>
          <rPr>
            <sz val="9"/>
            <rFont val="宋体"/>
            <charset val="134"/>
          </rPr>
          <t xml:space="preserve">仅做对应档位的数字显示
</t>
        </r>
      </text>
    </comment>
    <comment ref="J2" authorId="2" shapeId="0" xr:uid="{00000000-0006-0000-0100-000007000000}">
      <text>
        <r>
          <rPr>
            <sz val="9"/>
            <rFont val="宋体"/>
            <charset val="134"/>
          </rPr>
          <t xml:space="preserve">仅做折扣的原价显示
0为不显示原价
</t>
        </r>
      </text>
    </comment>
    <comment ref="K2" authorId="1" shapeId="0" xr:uid="{00000000-0006-0000-0100-000008000000}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礼包背景图</t>
        </r>
      </text>
    </comment>
    <comment ref="L2" authorId="1" shapeId="0" xr:uid="{00000000-0006-0000-0100-000009000000}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主界面的banner入口轮播</t>
        </r>
      </text>
    </comment>
    <comment ref="M2" authorId="1" shapeId="0" xr:uid="{00000000-0006-0000-0100-00000A000000}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礼包的进度条资源配置</t>
        </r>
      </text>
    </comment>
    <comment ref="N2" authorId="1" shapeId="0" xr:uid="{00000000-0006-0000-0100-00000B000000}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礼包的主属性资源配置</t>
        </r>
      </text>
    </comment>
    <comment ref="O2" authorId="1" shapeId="0" xr:uid="{00000000-0006-0000-0100-00000C000000}">
      <text>
        <r>
          <rPr>
            <b/>
            <sz val="9"/>
            <rFont val="宋体"/>
            <charset val="134"/>
          </rPr>
          <t>Dan:
属性</t>
        </r>
        <r>
          <rPr>
            <sz val="9"/>
            <rFont val="宋体"/>
            <charset val="134"/>
          </rPr>
          <t>得数字颜色</t>
        </r>
      </text>
    </comment>
    <comment ref="P2" authorId="1" shapeId="0" xr:uid="{00000000-0006-0000-0100-00000D000000}">
      <text>
        <r>
          <rPr>
            <b/>
            <sz val="9"/>
            <rFont val="宋体"/>
            <charset val="134"/>
          </rPr>
          <t>Dan
主属性</t>
        </r>
        <r>
          <rPr>
            <sz val="9"/>
            <rFont val="宋体"/>
            <charset val="134"/>
          </rPr>
          <t>得数字颜色</t>
        </r>
      </text>
    </comment>
    <comment ref="Q2" authorId="1" shapeId="0" xr:uid="{00000000-0006-0000-0100-00000E000000}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购买按钮得数字颜色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tony1</author>
    <author>Aki</author>
  </authors>
  <commentList>
    <comment ref="B2" authorId="0" shapeId="0" xr:uid="{B9FAD620-C126-4D98-8F0B-19D4AD76D3B5}">
      <text>
        <r>
          <rPr>
            <b/>
            <sz val="9"/>
            <rFont val="等线"/>
            <family val="3"/>
            <charset val="134"/>
            <scheme val="minor"/>
          </rPr>
          <t>Dan:</t>
        </r>
        <r>
          <rPr>
            <sz val="9"/>
            <rFont val="等线"/>
            <family val="3"/>
            <charset val="134"/>
            <scheme val="minor"/>
          </rPr>
          <t xml:space="preserve">
级</t>
        </r>
      </text>
    </comment>
    <comment ref="C2" authorId="1" shapeId="0" xr:uid="{74E6C3FB-FFD9-46E7-801B-1D4F667B3321}">
      <text>
        <r>
          <rPr>
            <b/>
            <sz val="9"/>
            <rFont val="等线"/>
            <family val="3"/>
            <charset val="134"/>
            <scheme val="minor"/>
          </rPr>
          <t>tony1:</t>
        </r>
        <r>
          <rPr>
            <sz val="9"/>
            <rFont val="等线"/>
            <family val="3"/>
            <charset val="134"/>
            <scheme val="minor"/>
          </rPr>
          <t xml:space="preserve">
大奖发放每期需要改充值表</t>
        </r>
      </text>
    </comment>
    <comment ref="D2" authorId="0" shapeId="0" xr:uid="{EBB6D7A0-1DDD-400B-914C-CFBE83AA572C}">
      <text>
        <r>
          <rPr>
            <b/>
            <sz val="9"/>
            <rFont val="等线"/>
            <family val="3"/>
            <charset val="134"/>
            <scheme val="minor"/>
          </rPr>
          <t>Dan:</t>
        </r>
        <r>
          <rPr>
            <sz val="9"/>
            <rFont val="等线"/>
            <family val="3"/>
            <charset val="134"/>
            <scheme val="minor"/>
          </rPr>
          <t xml:space="preserve">
直售礼包的奖励</t>
        </r>
      </text>
    </comment>
    <comment ref="F2" authorId="0" shapeId="0" xr:uid="{8EEE1BC4-0565-4638-9E8D-7E9515A7F3FC}">
      <text>
        <r>
          <rPr>
            <b/>
            <sz val="9"/>
            <rFont val="等线"/>
            <family val="3"/>
            <charset val="134"/>
            <scheme val="minor"/>
          </rPr>
          <t>Dan:</t>
        </r>
        <r>
          <rPr>
            <sz val="9"/>
            <rFont val="等线"/>
            <family val="3"/>
            <charset val="134"/>
            <scheme val="minor"/>
          </rPr>
          <t xml:space="preserve">
售卖球杆的属性值
[力度，加塞，瞄准，魅力]</t>
        </r>
      </text>
    </comment>
    <comment ref="G2" authorId="0" shapeId="0" xr:uid="{CCC9B27B-4FB0-47AA-B5BB-DD4C5899F928}">
      <text>
        <r>
          <rPr>
            <b/>
            <sz val="9"/>
            <rFont val="等线"/>
            <family val="3"/>
            <charset val="134"/>
            <scheme val="minor"/>
          </rPr>
          <t>Dan:</t>
        </r>
        <r>
          <rPr>
            <sz val="9"/>
            <rFont val="等线"/>
            <family val="3"/>
            <charset val="134"/>
            <scheme val="minor"/>
          </rPr>
          <t xml:space="preserve">
球杆属性和属性上限的比值，为礼包展示属性值的长度
[力度，加塞，瞄准，魅力]</t>
        </r>
      </text>
    </comment>
    <comment ref="H2" authorId="2" shapeId="0" xr:uid="{872354E7-3FDC-44D5-8499-57B58B3B8386}">
      <text>
        <r>
          <rPr>
            <sz val="9"/>
            <rFont val="等线"/>
            <family val="3"/>
            <charset val="134"/>
            <scheme val="minor"/>
          </rPr>
          <t xml:space="preserve">仅做对应档位的数字显示
</t>
        </r>
      </text>
    </comment>
    <comment ref="I2" authorId="0" shapeId="0" xr:uid="{837E4A0F-9A7B-4FAA-869C-ADE52F7FEF8E}">
      <text>
        <r>
          <rPr>
            <b/>
            <sz val="9"/>
            <rFont val="等线"/>
            <family val="3"/>
            <charset val="134"/>
            <scheme val="minor"/>
          </rPr>
          <t xml:space="preserve">Dan:
</t>
        </r>
        <r>
          <rPr>
            <sz val="9"/>
            <rFont val="等线"/>
            <family val="3"/>
            <charset val="134"/>
            <scheme val="minor"/>
          </rPr>
          <t>礼包背景图</t>
        </r>
      </text>
    </comment>
    <comment ref="J2" authorId="0" shapeId="0" xr:uid="{2F9580B0-D030-42F1-B35E-F53609184ACD}">
      <text>
        <r>
          <rPr>
            <b/>
            <sz val="9"/>
            <rFont val="等线"/>
            <family val="3"/>
            <charset val="134"/>
            <scheme val="minor"/>
          </rPr>
          <t xml:space="preserve">Dan:
</t>
        </r>
        <r>
          <rPr>
            <sz val="9"/>
            <rFont val="等线"/>
            <family val="3"/>
            <charset val="134"/>
            <scheme val="minor"/>
          </rPr>
          <t>主界面的banner入口轮播</t>
        </r>
      </text>
    </comment>
    <comment ref="K2" authorId="0" shapeId="0" xr:uid="{A91D1666-214F-483F-BB06-A5766FC4CF33}">
      <text>
        <r>
          <rPr>
            <b/>
            <sz val="9"/>
            <rFont val="等线"/>
            <family val="3"/>
            <charset val="134"/>
            <scheme val="minor"/>
          </rPr>
          <t xml:space="preserve">Dan:
</t>
        </r>
        <r>
          <rPr>
            <sz val="9"/>
            <rFont val="等线"/>
            <family val="3"/>
            <charset val="134"/>
            <scheme val="minor"/>
          </rPr>
          <t>礼包的进度条资源配置</t>
        </r>
      </text>
    </comment>
    <comment ref="L2" authorId="0" shapeId="0" xr:uid="{7D6135A8-7829-45F8-8B4A-9D0EC008157E}">
      <text>
        <r>
          <rPr>
            <b/>
            <sz val="9"/>
            <rFont val="等线"/>
            <family val="3"/>
            <charset val="134"/>
            <scheme val="minor"/>
          </rPr>
          <t xml:space="preserve">Dan:
</t>
        </r>
        <r>
          <rPr>
            <sz val="9"/>
            <rFont val="等线"/>
            <family val="3"/>
            <charset val="134"/>
            <scheme val="minor"/>
          </rPr>
          <t>礼包的主属性资源配置</t>
        </r>
      </text>
    </comment>
    <comment ref="M2" authorId="0" shapeId="0" xr:uid="{5DE1BB58-06B6-48AC-9E25-F9E38A632071}">
      <text>
        <r>
          <rPr>
            <b/>
            <sz val="9"/>
            <rFont val="等线"/>
            <family val="3"/>
            <charset val="134"/>
            <scheme val="minor"/>
          </rPr>
          <t xml:space="preserve">Dan:
</t>
        </r>
        <r>
          <rPr>
            <sz val="9"/>
            <rFont val="等线"/>
            <family val="3"/>
            <charset val="134"/>
            <scheme val="minor"/>
          </rPr>
          <t>购买按钮得数字颜色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Aki</author>
  </authors>
  <commentList>
    <comment ref="B2" authorId="0" shapeId="0" xr:uid="{00000000-0006-0000-0300-000001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级</t>
        </r>
      </text>
    </comment>
    <comment ref="C2" authorId="0" shapeId="0" xr:uid="{00000000-0006-0000-0300-000002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【s杆充值id，SS杆充值id，SSS杆充值id】</t>
        </r>
      </text>
    </comment>
    <comment ref="D2" authorId="0" shapeId="0" xr:uid="{00000000-0006-0000-0300-000003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直售礼包的奖励</t>
        </r>
      </text>
    </comment>
    <comment ref="F2" authorId="0" shapeId="0" xr:uid="{00000000-0006-0000-0300-000004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售卖S球杆的属性值
[力度，加塞，瞄准，魅力]</t>
        </r>
      </text>
    </comment>
    <comment ref="G2" authorId="0" shapeId="0" xr:uid="{00000000-0006-0000-0300-000005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售卖SS球杆的属性值
[力度，加塞，瞄准，魅力]
与S球杆属性的差值为提升值</t>
        </r>
      </text>
    </comment>
    <comment ref="H2" authorId="0" shapeId="0" xr:uid="{00000000-0006-0000-0300-000006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售卖SSS球杆的属性值
[力度，加塞，瞄准，魅力]、
与S球杆的差值为提升值</t>
        </r>
      </text>
    </comment>
    <comment ref="I2" authorId="1" shapeId="0" xr:uid="{00000000-0006-0000-0300-000007000000}">
      <text>
        <r>
          <rPr>
            <sz val="9"/>
            <rFont val="宋体"/>
            <charset val="134"/>
          </rPr>
          <t>Dan：
[[S原价,S现价],[SS原价,SS现价],[SSS原价,SSS现价]]</t>
        </r>
      </text>
    </comment>
    <comment ref="J2" authorId="0" shapeId="0" xr:uid="{00000000-0006-0000-0300-000008000000}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礼包背景图</t>
        </r>
      </text>
    </comment>
    <comment ref="K2" authorId="0" shapeId="0" xr:uid="{00000000-0006-0000-0300-000009000000}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主界面的banner入口轮播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Aki</author>
  </authors>
  <commentList>
    <comment ref="B2" authorId="0" shapeId="0" xr:uid="{61410966-AF74-43F0-ABF1-06F39A4B1248}">
      <text>
        <r>
          <rPr>
            <b/>
            <sz val="9"/>
            <rFont val="等线"/>
            <family val="3"/>
            <charset val="134"/>
            <scheme val="minor"/>
          </rPr>
          <t>Dan:</t>
        </r>
        <r>
          <rPr>
            <sz val="9"/>
            <rFont val="等线"/>
            <family val="3"/>
            <charset val="134"/>
            <scheme val="minor"/>
          </rPr>
          <t xml:space="preserve">
级</t>
        </r>
      </text>
    </comment>
    <comment ref="C2" authorId="1" shapeId="0" xr:uid="{1F2E1C91-B8B4-497E-8845-2E73871C1275}">
      <text>
        <r>
          <rPr>
            <sz val="9"/>
            <rFont val="等线"/>
            <family val="3"/>
            <charset val="134"/>
            <scheme val="minor"/>
          </rPr>
          <t xml:space="preserve">Dan：
同一个组号为同一个id
</t>
        </r>
      </text>
    </comment>
    <comment ref="D2" authorId="1" shapeId="0" xr:uid="{1CA689AA-8835-4D19-B30E-CC2D80EE340E}">
      <text>
        <r>
          <rPr>
            <sz val="9"/>
            <rFont val="等线"/>
            <family val="3"/>
            <charset val="134"/>
            <scheme val="minor"/>
          </rPr>
          <t>Dan:
1：单个购买
2：打包购买剩余一个
3：打包购买剩余两个
4：打包购买三个</t>
        </r>
      </text>
    </comment>
    <comment ref="E2" authorId="0" shapeId="0" xr:uid="{E1BFB052-C87A-4B67-A544-5E3D7174BB76}">
      <text>
        <r>
          <rPr>
            <b/>
            <sz val="9"/>
            <rFont val="等线"/>
            <family val="3"/>
            <charset val="134"/>
            <scheme val="minor"/>
          </rPr>
          <t>Dan:</t>
        </r>
        <r>
          <rPr>
            <sz val="9"/>
            <rFont val="等线"/>
            <family val="3"/>
            <charset val="134"/>
            <scheme val="minor"/>
          </rPr>
          <t xml:space="preserve">
直售礼包的奖励</t>
        </r>
      </text>
    </comment>
    <comment ref="G2" authorId="1" shapeId="0" xr:uid="{EC9847C0-D5CF-4DB4-A107-D3ED16808C6A}">
      <text>
        <r>
          <rPr>
            <sz val="9"/>
            <rFont val="等线"/>
            <family val="3"/>
            <charset val="134"/>
            <scheme val="minor"/>
          </rPr>
          <t xml:space="preserve">10表示没有折扣显示
9、8、7·····0表示对应的折扣显示
</t>
        </r>
      </text>
    </comment>
    <comment ref="H2" authorId="1" shapeId="0" xr:uid="{97B3D8F9-A124-45EB-AB14-9EE2EAA81B52}">
      <text>
        <r>
          <rPr>
            <sz val="9"/>
            <rFont val="等线"/>
            <family val="3"/>
            <charset val="134"/>
            <scheme val="minor"/>
          </rPr>
          <t xml:space="preserve">仅做对应档位的数字显示
</t>
        </r>
      </text>
    </comment>
    <comment ref="I2" authorId="0" shapeId="0" xr:uid="{FA86A06B-9C23-4768-8123-3109AFD7962A}">
      <text>
        <r>
          <rPr>
            <b/>
            <sz val="9"/>
            <rFont val="等线"/>
            <family val="3"/>
            <charset val="134"/>
            <scheme val="minor"/>
          </rPr>
          <t>Dan:</t>
        </r>
        <r>
          <rPr>
            <sz val="9"/>
            <rFont val="等线"/>
            <family val="3"/>
            <charset val="134"/>
            <scheme val="minor"/>
          </rPr>
          <t xml:space="preserve">
【s杆充值id，SS杆充值id，SSS杆充值id】</t>
        </r>
      </text>
    </comment>
    <comment ref="J2" authorId="0" shapeId="0" xr:uid="{94E66554-C358-4E5B-B36D-E57D68DC507F}">
      <text>
        <r>
          <rPr>
            <b/>
            <sz val="9"/>
            <rFont val="等线"/>
            <family val="3"/>
            <charset val="134"/>
            <scheme val="minor"/>
          </rPr>
          <t xml:space="preserve">Dan:
</t>
        </r>
        <r>
          <rPr>
            <sz val="9"/>
            <rFont val="等线"/>
            <family val="3"/>
            <charset val="134"/>
            <scheme val="minor"/>
          </rPr>
          <t>礼包背景图</t>
        </r>
      </text>
    </comment>
    <comment ref="K2" authorId="0" shapeId="0" xr:uid="{BFFFE8E0-C618-43C8-AAB7-6CEB68E4A6A6}">
      <text>
        <r>
          <rPr>
            <b/>
            <sz val="9"/>
            <rFont val="等线"/>
            <family val="3"/>
            <charset val="134"/>
            <scheme val="minor"/>
          </rPr>
          <t xml:space="preserve">Dan:
</t>
        </r>
        <r>
          <rPr>
            <sz val="9"/>
            <rFont val="等线"/>
            <family val="3"/>
            <charset val="134"/>
            <scheme val="minor"/>
          </rPr>
          <t>主界面的banner入口轮播</t>
        </r>
      </text>
    </comment>
    <comment ref="L2" authorId="0" shapeId="0" xr:uid="{60873DD7-1215-41D6-8114-0FEC467CC2B3}">
      <text>
        <r>
          <rPr>
            <b/>
            <sz val="9"/>
            <rFont val="等线"/>
            <family val="3"/>
            <charset val="134"/>
            <scheme val="minor"/>
          </rPr>
          <t xml:space="preserve">Dan:
</t>
        </r>
        <r>
          <rPr>
            <sz val="9"/>
            <rFont val="等线"/>
            <family val="3"/>
            <charset val="134"/>
            <scheme val="minor"/>
          </rPr>
          <t>奖励的展示图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Administrator</author>
  </authors>
  <commentList>
    <comment ref="G2" authorId="0" shapeId="0" xr:uid="{00000000-0006-0000-0500-000001000000}">
      <text>
        <r>
          <rPr>
            <sz val="9"/>
            <rFont val="宋体"/>
            <charset val="134"/>
          </rPr>
          <t xml:space="preserve">Dan：
同一个组号为同一个id
</t>
        </r>
      </text>
    </comment>
    <comment ref="J2" authorId="1" shapeId="0" xr:uid="{00000000-0006-0000-0500-000002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【【材料1，材料2】，。。。】</t>
        </r>
      </text>
    </comment>
    <comment ref="L2" authorId="1" shapeId="0" xr:uid="{00000000-0006-0000-0500-000003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【【充值id，唯一id】，。。。】
5001为全部购买唯一id
5101为分页签首个唯一id
5201为分页第二个唯一id
。。。
【【充值id，唯一id】，。。。】
5002为全部购买唯一id
5102为分页签首个唯一id
5202为分页第二个唯一id
。。。
保持唯一id不重复,最后一个为大礼包</t>
        </r>
      </text>
    </comment>
    <comment ref="M2" authorId="1" shapeId="0" xr:uid="{00000000-0006-0000-0500-000004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点击左下角礼包时跳出的tips内容</t>
        </r>
      </text>
    </comment>
    <comment ref="O2" authorId="0" shapeId="0" xr:uid="{00000000-0006-0000-0500-000005000000}">
      <text>
        <r>
          <rPr>
            <sz val="9"/>
            <rFont val="宋体"/>
            <charset val="134"/>
          </rPr>
          <t xml:space="preserve">10表示没有折扣显示
9、8、7·····0表示对应的折扣显示
</t>
        </r>
      </text>
    </comment>
    <comment ref="P2" authorId="0" shapeId="0" xr:uid="{00000000-0006-0000-0500-000006000000}">
      <text>
        <r>
          <rPr>
            <sz val="9"/>
            <rFont val="宋体"/>
            <charset val="134"/>
          </rPr>
          <t xml:space="preserve">仅做对应档位的数字显示
</t>
        </r>
      </text>
    </comment>
    <comment ref="Q2" authorId="1" shapeId="0" xr:uid="{00000000-0006-0000-0500-000007000000}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礼包背景图</t>
        </r>
      </text>
    </comment>
    <comment ref="R2" authorId="1" shapeId="0" xr:uid="{00000000-0006-0000-0500-000008000000}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主界面的banner入口轮播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Aki</author>
  </authors>
  <commentList>
    <comment ref="B2" authorId="0" shapeId="0" xr:uid="{00000000-0006-0000-0600-000001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级</t>
        </r>
      </text>
    </comment>
    <comment ref="C2" authorId="0" shapeId="0" xr:uid="{00000000-0006-0000-0600-000002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【s杆充值id，SS杆充值id，SSS杆充值id】</t>
        </r>
      </text>
    </comment>
    <comment ref="D2" authorId="0" shapeId="0" xr:uid="{00000000-0006-0000-0600-000003000000}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根据展示礼包的奖励个数
2个奖励展示2个展示框
3个奖励展示3个展示框</t>
        </r>
      </text>
    </comment>
    <comment ref="F2" authorId="1" shapeId="0" xr:uid="{00000000-0006-0000-0600-000004000000}">
      <text>
        <r>
          <rPr>
            <sz val="9"/>
            <rFont val="宋体"/>
            <charset val="134"/>
          </rPr>
          <t xml:space="preserve">10表示没有折扣显示
9、8、7·····0表示对应的折扣显示
</t>
        </r>
      </text>
    </comment>
    <comment ref="G2" authorId="1" shapeId="0" xr:uid="{00000000-0006-0000-0600-000005000000}">
      <text>
        <r>
          <rPr>
            <sz val="9"/>
            <rFont val="宋体"/>
            <charset val="134"/>
          </rPr>
          <t xml:space="preserve">仅做对应档位的数字显示
</t>
        </r>
      </text>
    </comment>
    <comment ref="H2" authorId="1" shapeId="0" xr:uid="{00000000-0006-0000-0600-000006000000}">
      <text>
        <r>
          <rPr>
            <sz val="9"/>
            <rFont val="宋体"/>
            <charset val="134"/>
          </rPr>
          <t xml:space="preserve">仅做折扣的原价显示
0为不显示原价
</t>
        </r>
      </text>
    </comment>
    <comment ref="I2" authorId="0" shapeId="0" xr:uid="{00000000-0006-0000-0600-000007000000}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礼包背景图</t>
        </r>
      </text>
    </comment>
    <comment ref="J2" authorId="0" shapeId="0" xr:uid="{00000000-0006-0000-0600-000008000000}">
      <text>
        <r>
          <rPr>
            <b/>
            <sz val="9"/>
            <rFont val="宋体"/>
            <charset val="134"/>
          </rPr>
          <t xml:space="preserve">Dan:
</t>
        </r>
        <r>
          <rPr>
            <sz val="9"/>
            <rFont val="宋体"/>
            <charset val="134"/>
          </rPr>
          <t>主界面的banner入口轮播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<sst xmlns="http://schemas.openxmlformats.org/spreadsheetml/2006/main" count="711" uniqueCount="206">
  <si>
    <t>##comment</t>
  </si>
  <si>
    <t>id</t>
  </si>
  <si>
    <t>开始时间</t>
  </si>
  <si>
    <t>结束时间</t>
  </si>
  <si>
    <t>礼包配置id</t>
  </si>
  <si>
    <t>顺序</t>
  </si>
  <si>
    <t>对应的充值、推送配置同步更改</t>
  </si>
  <si>
    <t>##var</t>
  </si>
  <si>
    <t>start_time</t>
  </si>
  <si>
    <t>end_time</t>
  </si>
  <si>
    <t>gift_id</t>
  </si>
  <si>
    <t>order</t>
  </si>
  <si>
    <t>##type</t>
  </si>
  <si>
    <t>int32</t>
  </si>
  <si>
    <t>string</t>
  </si>
  <si>
    <t>(list#sep=;),(list#sep=,),int</t>
  </si>
  <si>
    <t>##group</t>
  </si>
  <si>
    <t>c,s</t>
  </si>
  <si>
    <t>##</t>
  </si>
  <si>
    <t>[]</t>
  </si>
  <si>
    <t>礼包时间控制</t>
  </si>
  <si>
    <t>金戈铁马</t>
  </si>
  <si>
    <t>球桌</t>
  </si>
  <si>
    <t>墨染山河</t>
  </si>
  <si>
    <t>服饰</t>
  </si>
  <si>
    <t>川流之径</t>
  </si>
  <si>
    <t>三选一</t>
  </si>
  <si>
    <t>5,5001;5,5002;5,5003</t>
  </si>
  <si>
    <t>ID</t>
  </si>
  <si>
    <t>充值表对应id</t>
  </si>
  <si>
    <t>礼包奖励展示</t>
  </si>
  <si>
    <t>参考中文名</t>
  </si>
  <si>
    <t>球杆属性</t>
  </si>
  <si>
    <t>属性上限</t>
  </si>
  <si>
    <t>折扣</t>
  </si>
  <si>
    <t>现价</t>
  </si>
  <si>
    <t>原价</t>
  </si>
  <si>
    <t>背景图</t>
  </si>
  <si>
    <t>入口轮播图</t>
  </si>
  <si>
    <t>进度功能条</t>
  </si>
  <si>
    <t>主属性进度条</t>
  </si>
  <si>
    <t>属性数字颜色</t>
  </si>
  <si>
    <t>主属性数字颜色</t>
  </si>
  <si>
    <t>充值数字颜色</t>
  </si>
  <si>
    <t>charge_id</t>
  </si>
  <si>
    <t>reward</t>
  </si>
  <si>
    <t>cue_attribute</t>
  </si>
  <si>
    <t>attribute</t>
  </si>
  <si>
    <t>discount</t>
  </si>
  <si>
    <t>price</t>
  </si>
  <si>
    <t>orgin_price</t>
  </si>
  <si>
    <t>background</t>
  </si>
  <si>
    <t>banner</t>
  </si>
  <si>
    <t>bar</t>
  </si>
  <si>
    <t>bar_main</t>
  </si>
  <si>
    <t>color</t>
  </si>
  <si>
    <t>color_main</t>
  </si>
  <si>
    <t>color_recharge</t>
  </si>
  <si>
    <t>(list#sep=;),int</t>
  </si>
  <si>
    <t>球杆直售模板1（SSS杆）</t>
  </si>
  <si>
    <t>101104,1;600001,10;440173,1</t>
  </si>
  <si>
    <t>688;645;78;21000</t>
  </si>
  <si>
    <t>810;810;110;50000</t>
  </si>
  <si>
    <t>ui_bg_zslb_clzj</t>
  </si>
  <si>
    <t>ui_lbt_44</t>
  </si>
  <si>
    <t>ui_zslb_jdt_2</t>
  </si>
  <si>
    <t>ui_zslb_jdt_1</t>
  </si>
  <si>
    <t>#1797C6</t>
  </si>
  <si>
    <t>#FFBA34</t>
  </si>
  <si>
    <t>#723900</t>
  </si>
  <si>
    <t>测试</t>
  </si>
  <si>
    <t>S级球杆属性</t>
  </si>
  <si>
    <t>SS级球杆属性</t>
  </si>
  <si>
    <t>SSS级球杆属性</t>
  </si>
  <si>
    <t>价格</t>
  </si>
  <si>
    <t>s_attribute</t>
  </si>
  <si>
    <t>ss_attribute</t>
  </si>
  <si>
    <t>sss_attribute</t>
  </si>
  <si>
    <t>球杆直售模板3（三选一）</t>
  </si>
  <si>
    <t>3001;3002;3003</t>
  </si>
  <si>
    <t>101102,1;101103,1;101104,1</t>
  </si>
  <si>
    <t>582;555;52;10500</t>
  </si>
  <si>
    <t>628;605;65;15000</t>
  </si>
  <si>
    <t>98,78;198,128;288,168</t>
  </si>
  <si>
    <t>ui_bg_zslb_czxg_base</t>
  </si>
  <si>
    <t>ui_lbt_100944</t>
  </si>
  <si>
    <t>300020,1;970013,1;980423,1</t>
  </si>
  <si>
    <t>ui_bg_zslb_jgtm</t>
  </si>
  <si>
    <t>ui_lbt_300020</t>
  </si>
  <si>
    <t>组号</t>
  </si>
  <si>
    <t>限购次数</t>
  </si>
  <si>
    <t>品质</t>
  </si>
  <si>
    <t>奖励</t>
  </si>
  <si>
    <t>总内容语言包</t>
  </si>
  <si>
    <t>总购买折扣</t>
  </si>
  <si>
    <t>group</t>
  </si>
  <si>
    <t>buy_limit</t>
  </si>
  <si>
    <t>quality</t>
  </si>
  <si>
    <t>name</t>
  </si>
  <si>
    <t>(list#sep=,),int</t>
  </si>
  <si>
    <t>(list#sep=|),(list#sep=;),(list#sep=,),int</t>
  </si>
  <si>
    <t>模板5材料礼包</t>
  </si>
  <si>
    <t>2,3,4,5</t>
  </si>
  <si>
    <t>13,800;600001,180|13,800;600001,220|13,800;600001,250|13,800;600001,290|13,800;600001,320|13,800;600006,200</t>
  </si>
  <si>
    <t>S球杆</t>
  </si>
  <si>
    <t>5001,100;5002,101;5003,102;5004,103;5005,104;5006,105;5007,106</t>
  </si>
  <si>
    <t>强化币*4800/n升星木*1260/nS级升阶木*200</t>
  </si>
  <si>
    <t>13,1500;600001,540|13,1500;600001,660|13,1500;600001,750|13,1500;600001,870|13,1500;600001,960|13,1500;600007,200</t>
  </si>
  <si>
    <t>SS球杆</t>
  </si>
  <si>
    <t>5008,107;5009,108;5010,109;5011,110;5012,111;5013,112;5014,113</t>
  </si>
  <si>
    <t>强化币*9000/n升星木*3780/nSS级升阶木*200</t>
  </si>
  <si>
    <t>7,8</t>
  </si>
  <si>
    <t>13,2000;600001,1620|13,2000;600001,1950|13,2000;600001,2260|13,2000;600001,2600|13,2000;600001,2910</t>
  </si>
  <si>
    <t>SSS球杆</t>
  </si>
  <si>
    <t>5015,114;5016,115;5017,116;5018,117;5019,118;5020,119</t>
  </si>
  <si>
    <t>强化币*10000/n升星木*11340</t>
  </si>
  <si>
    <t>ui_zybjb_db</t>
  </si>
  <si>
    <t>ui_lbt_11</t>
  </si>
  <si>
    <t>模板6服装礼包</t>
  </si>
  <si>
    <t>200024,1;440105,1;460203,1</t>
  </si>
  <si>
    <t>ui_bg_zslb_mrsh</t>
  </si>
  <si>
    <t>ui_lbt_200003</t>
  </si>
  <si>
    <t>12,12,12,18,18,30,78</t>
    <phoneticPr fontId="13" type="noConversion"/>
  </si>
  <si>
    <t>25,30,30,30,40,60,188</t>
    <phoneticPr fontId="13" type="noConversion"/>
  </si>
  <si>
    <t>60,68,73,88,98,328</t>
    <phoneticPr fontId="13" type="noConversion"/>
  </si>
  <si>
    <t>礼包名语言包id</t>
    <phoneticPr fontId="13" type="noConversion"/>
  </si>
  <si>
    <t>礼包说明语言包id</t>
    <phoneticPr fontId="13" type="noConversion"/>
  </si>
  <si>
    <t>gift_name</t>
    <phoneticPr fontId="13" type="noConversion"/>
  </si>
  <si>
    <t>gift_rec</t>
    <phoneticPr fontId="13" type="noConversion"/>
  </si>
  <si>
    <t>S杆材料补给礼包</t>
    <phoneticPr fontId="13" type="noConversion"/>
  </si>
  <si>
    <t>SS杆材料补给礼包</t>
    <phoneticPr fontId="13" type="noConversion"/>
  </si>
  <si>
    <t>SSS杆材料补给礼包</t>
    <phoneticPr fontId="13" type="noConversion"/>
  </si>
  <si>
    <t>S杆直升SS杆</t>
    <phoneticPr fontId="13" type="noConversion"/>
  </si>
  <si>
    <t>SS杆直升SSS杆</t>
    <phoneticPr fontId="13" type="noConversion"/>
  </si>
  <si>
    <t>SSS杆直升满星</t>
    <phoneticPr fontId="13" type="noConversion"/>
  </si>
  <si>
    <t>进度条灰底</t>
  </si>
  <si>
    <t>球杆直售模板2</t>
  </si>
  <si>
    <t>1,1078;100011,1</t>
  </si>
  <si>
    <t>充值得砖石，送永久球杆</t>
  </si>
  <si>
    <t>526;490;41;6000</t>
  </si>
  <si>
    <t>810;810;110;30000</t>
  </si>
  <si>
    <t>ui_banner_dyh</t>
  </si>
  <si>
    <t>ui_lbt_2</t>
  </si>
  <si>
    <t>ui_dyh_jdt_1</t>
  </si>
  <si>
    <t>ui_dyh_jdt_2</t>
  </si>
  <si>
    <t>#EDD595</t>
  </si>
  <si>
    <t>1,1078;100771,1</t>
  </si>
  <si>
    <t>星空璀璨</t>
  </si>
  <si>
    <t>475;519;46;6000</t>
  </si>
  <si>
    <t>ui_banner_ccxk</t>
  </si>
  <si>
    <t>ui_lbt_7</t>
  </si>
  <si>
    <t>ui_ccxk_jdt_1</t>
  </si>
  <si>
    <t>ui_ccxk_jdt_2</t>
  </si>
  <si>
    <t>#69211D</t>
  </si>
  <si>
    <t>1,1078;100681,1</t>
  </si>
  <si>
    <t>七彩宝石</t>
  </si>
  <si>
    <t>518;482;45;6000</t>
  </si>
  <si>
    <t>ui_banner_qcbs</t>
  </si>
  <si>
    <t>ui_lbt_13</t>
  </si>
  <si>
    <t>1,980;100661,1</t>
  </si>
  <si>
    <t>凛冽冰川</t>
  </si>
  <si>
    <t>489;517;46;6000</t>
  </si>
  <si>
    <t>ui_banner_ccxk_llbc</t>
  </si>
  <si>
    <t>ui_lbt_16</t>
  </si>
  <si>
    <t>1,980;100671,1</t>
  </si>
  <si>
    <t>炽热火焰</t>
  </si>
  <si>
    <t>490;520;48;6000</t>
  </si>
  <si>
    <t>ui_banner_crhy</t>
  </si>
  <si>
    <t>ui_lbt_22</t>
  </si>
  <si>
    <t>1,980;100691,1</t>
  </si>
  <si>
    <t>青花瓷</t>
  </si>
  <si>
    <t>523;482;44;6000</t>
  </si>
  <si>
    <t>ui_banner_ccxk_qhc</t>
  </si>
  <si>
    <t>ui_lbt_28</t>
  </si>
  <si>
    <t>ui_qhc_jdt_1</t>
  </si>
  <si>
    <t>1,980;100681,1</t>
  </si>
  <si>
    <t>ui_lbt_47</t>
  </si>
  <si>
    <t>ui_lbt_59</t>
  </si>
  <si>
    <t>ui_lbt_66</t>
  </si>
  <si>
    <t>类型</t>
  </si>
  <si>
    <t>奖励展示图</t>
  </si>
  <si>
    <t>type</t>
  </si>
  <si>
    <t>show</t>
  </si>
  <si>
    <t>球杆直售模板4</t>
  </si>
  <si>
    <t>100071,1</t>
  </si>
  <si>
    <t>葫芦</t>
  </si>
  <si>
    <t>100091,1</t>
  </si>
  <si>
    <t>吉他</t>
  </si>
  <si>
    <t>100081,1</t>
  </si>
  <si>
    <t>琴</t>
  </si>
  <si>
    <t>100071,1;100081,1;100091,1</t>
  </si>
  <si>
    <t>购买剩下一个</t>
  </si>
  <si>
    <t>购买剩下两个</t>
  </si>
  <si>
    <t>购买全部三个</t>
  </si>
  <si>
    <t>ui_qgdps_bg</t>
  </si>
  <si>
    <t>ui_lbt_6</t>
  </si>
  <si>
    <t>ui_qgdps_qqd</t>
  </si>
  <si>
    <t>100382,1</t>
  </si>
  <si>
    <t>DBA悟道</t>
  </si>
  <si>
    <t>100421,1</t>
  </si>
  <si>
    <t>乌木球杆</t>
  </si>
  <si>
    <t>100341,1</t>
  </si>
  <si>
    <t>法老权杖</t>
  </si>
  <si>
    <t>100382,1;100421,1;100341,1</t>
  </si>
  <si>
    <t>ui_lbt_49</t>
  </si>
  <si>
    <t>球杆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</si>
</sst>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21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.5"/>
      <color rgb="FF2F2E3F"/>
      <name val="Helvetica"/>
      <family val="2"/>
    </font>
    <font>
      <sz val="12"/>
      <color theme="1"/>
      <name val="等线"/>
      <charset val="134"/>
      <scheme val="minor"/>
    </font>
    <font>
      <sz val="9.75"/>
      <color rgb="FF2F2E3F"/>
      <name val="Helvetica"/>
      <family val="2"/>
    </font>
    <font>
      <sz val="12"/>
      <name val="等线"/>
      <charset val="134"/>
      <scheme val="minor"/>
    </font>
    <font>
      <sz val="11"/>
      <color rgb="FF7030A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FF0000"/>
      <name val="等线"/>
      <charset val="134"/>
    </font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name val="等线"/>
      <family val="3"/>
      <charset val="134"/>
    </font>
    <font>
      <sz val="12"/>
      <color indexed="8"/>
      <name val="等线"/>
      <family val="3"/>
      <charset val="134"/>
    </font>
    <font>
      <sz val="12"/>
      <name val="等线"/>
      <family val="3"/>
      <charset val="134"/>
    </font>
    <font>
      <sz val="11"/>
      <color indexed="53"/>
      <name val="等线"/>
      <family val="3"/>
      <charset val="134"/>
    </font>
    <font>
      <b/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BDBDB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0" fillId="0" borderId="0"/>
    <xf numFmtId="0" fontId="4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57">
    <xf numFmtId="0" fontId="0" fillId="0" borderId="0" xfId="0"/>
    <xf numFmtId="0" fontId="1" fillId="0" borderId="0" xfId="0" applyFont="1"/>
    <xf numFmtId="0" fontId="10" fillId="0" borderId="0" xfId="7"/>
    <xf numFmtId="0" fontId="10" fillId="2" borderId="0" xfId="7" applyFill="1"/>
    <xf numFmtId="0" fontId="10" fillId="3" borderId="0" xfId="7" applyFill="1"/>
    <xf numFmtId="0" fontId="1" fillId="0" borderId="0" xfId="7" applyFont="1"/>
    <xf numFmtId="0" fontId="1" fillId="0" borderId="0" xfId="4" applyFont="1"/>
    <xf numFmtId="0" fontId="0" fillId="2" borderId="0" xfId="0" applyFill="1"/>
    <xf numFmtId="0" fontId="2" fillId="0" borderId="0" xfId="7" applyFont="1"/>
    <xf numFmtId="0" fontId="10" fillId="0" borderId="0" xfId="7" applyAlignment="1">
      <alignment horizontal="right"/>
    </xf>
    <xf numFmtId="0" fontId="10" fillId="0" borderId="0" xfId="4"/>
    <xf numFmtId="0" fontId="3" fillId="0" borderId="0" xfId="0" applyFont="1"/>
    <xf numFmtId="49" fontId="4" fillId="0" borderId="0" xfId="0" applyNumberFormat="1" applyFont="1"/>
    <xf numFmtId="0" fontId="4" fillId="0" borderId="0" xfId="0" applyFont="1"/>
    <xf numFmtId="0" fontId="10" fillId="4" borderId="0" xfId="7" applyFill="1"/>
    <xf numFmtId="0" fontId="10" fillId="2" borderId="0" xfId="8" applyFill="1"/>
    <xf numFmtId="0" fontId="5" fillId="0" borderId="0" xfId="0" applyFont="1"/>
    <xf numFmtId="0" fontId="10" fillId="5" borderId="0" xfId="7" applyFill="1"/>
    <xf numFmtId="0" fontId="4" fillId="0" borderId="0" xfId="2"/>
    <xf numFmtId="176" fontId="0" fillId="0" borderId="0" xfId="2" applyNumberFormat="1" applyFont="1"/>
    <xf numFmtId="176" fontId="10" fillId="0" borderId="0" xfId="6" applyNumberFormat="1"/>
    <xf numFmtId="0" fontId="10" fillId="0" borderId="0" xfId="6"/>
    <xf numFmtId="0" fontId="0" fillId="0" borderId="0" xfId="0" applyAlignment="1">
      <alignment horizontal="center"/>
    </xf>
    <xf numFmtId="0" fontId="4" fillId="3" borderId="0" xfId="2" applyFill="1"/>
    <xf numFmtId="0" fontId="4" fillId="2" borderId="0" xfId="2" applyFill="1"/>
    <xf numFmtId="176" fontId="0" fillId="2" borderId="0" xfId="2" applyNumberFormat="1" applyFont="1" applyFill="1"/>
    <xf numFmtId="176" fontId="10" fillId="2" borderId="0" xfId="6" applyNumberFormat="1" applyFill="1"/>
    <xf numFmtId="0" fontId="10" fillId="2" borderId="0" xfId="5" applyFill="1"/>
    <xf numFmtId="0" fontId="10" fillId="2" borderId="0" xfId="5" applyFill="1" applyAlignment="1">
      <alignment horizontal="center"/>
    </xf>
    <xf numFmtId="176" fontId="4" fillId="2" borderId="0" xfId="2" applyNumberFormat="1" applyFill="1"/>
    <xf numFmtId="176" fontId="4" fillId="2" borderId="0" xfId="6" applyNumberFormat="1" applyFont="1" applyFill="1"/>
    <xf numFmtId="176" fontId="6" fillId="0" borderId="0" xfId="1" applyNumberFormat="1" applyFont="1" applyAlignment="1">
      <alignment vertical="center"/>
    </xf>
    <xf numFmtId="0" fontId="7" fillId="0" borderId="0" xfId="0" applyFont="1" applyAlignment="1">
      <alignment horizontal="center"/>
    </xf>
    <xf numFmtId="176" fontId="8" fillId="0" borderId="0" xfId="1" applyNumberFormat="1" applyFont="1" applyAlignment="1">
      <alignment vertical="center"/>
    </xf>
    <xf numFmtId="49" fontId="2" fillId="0" borderId="0" xfId="5" applyNumberFormat="1" applyFont="1"/>
    <xf numFmtId="0" fontId="2" fillId="0" borderId="0" xfId="0" applyFont="1" applyAlignment="1">
      <alignment horizontal="center"/>
    </xf>
    <xf numFmtId="176" fontId="9" fillId="0" borderId="0" xfId="0" applyNumberFormat="1" applyFont="1" applyAlignment="1">
      <alignment horizontal="right" vertical="center"/>
    </xf>
    <xf numFmtId="0" fontId="0" fillId="4" borderId="0" xfId="0" applyFill="1"/>
    <xf numFmtId="0" fontId="14" fillId="0" borderId="0" xfId="7" applyFont="1"/>
    <xf numFmtId="0" fontId="14" fillId="2" borderId="0" xfId="7" applyFont="1" applyFill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NumberFormat="1" applyFont="1" applyFill="1" applyBorder="1" applyAlignment="1" applyProtection="1"/>
    <xf numFmtId="0" fontId="15" fillId="6" borderId="0" xfId="0" applyNumberFormat="1" applyFont="1" applyFill="1" applyBorder="1" applyAlignment="1" applyProtection="1"/>
    <xf numFmtId="0" fontId="15" fillId="7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>
      <alignment vertical="center"/>
    </xf>
    <xf numFmtId="176" fontId="18" fillId="0" borderId="0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wrapText="1"/>
    </xf>
    <xf numFmtId="0" fontId="16" fillId="0" borderId="0" xfId="0" applyNumberFormat="1" applyFont="1" applyFill="1" applyBorder="1" applyAlignment="1" applyProtection="1"/>
    <xf numFmtId="0" fontId="16" fillId="0" borderId="0" xfId="0" applyNumberFormat="1" applyFont="1" applyFill="1" applyBorder="1" applyAlignment="1" applyProtection="1">
      <alignment wrapText="1"/>
    </xf>
    <xf numFmtId="0" fontId="17" fillId="7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>
      <alignment wrapText="1"/>
    </xf>
    <xf numFmtId="176" fontId="16" fillId="0" borderId="0" xfId="0" applyNumberFormat="1" applyFont="1" applyFill="1" applyBorder="1" applyAlignment="1" applyProtection="1">
      <alignment vertical="center"/>
    </xf>
    <xf numFmtId="176" fontId="15" fillId="0" borderId="0" xfId="0" applyNumberFormat="1" applyFont="1" applyFill="1" applyBorder="1" applyAlignment="1" applyProtection="1">
      <alignment vertical="center"/>
    </xf>
    <xf numFmtId="176" fontId="19" fillId="0" borderId="0" xfId="0" applyNumberFormat="1" applyFont="1" applyFill="1" applyBorder="1" applyAlignment="1" applyProtection="1">
      <alignment vertical="center"/>
    </xf>
    <xf numFmtId="0" fontId="14" fillId="4" borderId="0" xfId="0" applyFont="1" applyFill="1"/>
  </cellXfs>
  <cellStyles count="9">
    <cellStyle name="常规" xfId="0" builtinId="0"/>
    <cellStyle name="常规 2" xfId="1" xr:uid="{00000000-0005-0000-0000-000031000000}"/>
    <cellStyle name="常规 2 2 2" xfId="2" xr:uid="{00000000-0005-0000-0000-000032000000}"/>
    <cellStyle name="常规 3" xfId="3" xr:uid="{00000000-0005-0000-0000-000033000000}"/>
    <cellStyle name="常规 3 2" xfId="4" xr:uid="{00000000-0005-0000-0000-000034000000}"/>
    <cellStyle name="常规 3 2 2" xfId="5" xr:uid="{00000000-0005-0000-0000-000035000000}"/>
    <cellStyle name="常规 4" xfId="6" xr:uid="{00000000-0005-0000-0000-000036000000}"/>
    <cellStyle name="常规 5" xfId="7" xr:uid="{00000000-0005-0000-0000-000037000000}"/>
    <cellStyle name="常规 7" xfId="8" xr:uid="{00000000-0005-0000-0000-000038000000}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I14" sqref="I14"/>
    </sheetView>
  </sheetViews>
  <sheetFormatPr defaultColWidth="9" defaultRowHeight="14.25" x14ac:dyDescent="0.2"/>
  <cols>
    <col min="1" max="1" width="14.375" customWidth="1"/>
    <col min="3" max="3" width="18.5" customWidth="1"/>
    <col min="4" max="4" width="19.875" customWidth="1"/>
    <col min="5" max="5" width="46.125" customWidth="1"/>
    <col min="6" max="6" width="18.625" customWidth="1"/>
  </cols>
  <sheetData>
    <row r="1" spans="1:11" ht="15.75" x14ac:dyDescent="0.25">
      <c r="A1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" t="s">
        <v>38</v>
      </c>
      <c r="G1" s="22" t="s">
        <v>5</v>
      </c>
      <c r="H1" s="23" t="s">
        <v>6</v>
      </c>
      <c r="I1" s="23"/>
      <c r="J1" s="23"/>
      <c r="K1" s="23"/>
    </row>
    <row r="2" spans="1:11" ht="15.75" x14ac:dyDescent="0.25">
      <c r="A2" t="s">
        <v>7</v>
      </c>
      <c r="B2" s="24" t="s">
        <v>1</v>
      </c>
      <c r="C2" s="25" t="s">
        <v>8</v>
      </c>
      <c r="D2" s="26" t="s">
        <v>9</v>
      </c>
      <c r="E2" s="27" t="s">
        <v>10</v>
      </c>
      <c r="F2" s="7" t="s">
        <v>52</v>
      </c>
      <c r="G2" s="28" t="s">
        <v>11</v>
      </c>
    </row>
    <row r="3" spans="1:11" ht="15.75" x14ac:dyDescent="0.25">
      <c r="A3" t="s">
        <v>12</v>
      </c>
      <c r="B3" s="24" t="s">
        <v>13</v>
      </c>
      <c r="C3" s="29" t="s">
        <v>14</v>
      </c>
      <c r="D3" s="30" t="s">
        <v>14</v>
      </c>
      <c r="E3" s="27" t="s">
        <v>15</v>
      </c>
      <c r="F3" s="7" t="s">
        <v>14</v>
      </c>
      <c r="G3" s="28" t="s">
        <v>13</v>
      </c>
    </row>
    <row r="4" spans="1:11" ht="15.75" x14ac:dyDescent="0.25">
      <c r="A4" t="s">
        <v>16</v>
      </c>
      <c r="B4" s="24" t="s">
        <v>17</v>
      </c>
      <c r="C4" s="24" t="s">
        <v>17</v>
      </c>
      <c r="D4" s="24" t="s">
        <v>17</v>
      </c>
      <c r="E4" s="24" t="s">
        <v>17</v>
      </c>
      <c r="F4" s="3" t="s">
        <v>17</v>
      </c>
      <c r="G4" s="24" t="s">
        <v>17</v>
      </c>
    </row>
    <row r="5" spans="1:11" ht="15.75" x14ac:dyDescent="0.25">
      <c r="A5" t="s">
        <v>18</v>
      </c>
      <c r="B5" s="24"/>
      <c r="C5" s="29">
        <v>36526</v>
      </c>
      <c r="D5" s="30">
        <v>36526</v>
      </c>
      <c r="E5" s="27" t="s">
        <v>19</v>
      </c>
      <c r="F5" s="7">
        <v>0</v>
      </c>
      <c r="G5" s="28">
        <v>0</v>
      </c>
    </row>
    <row r="6" spans="1:11" ht="15.75" x14ac:dyDescent="0.25">
      <c r="A6" s="18" t="s">
        <v>20</v>
      </c>
      <c r="B6">
        <v>1</v>
      </c>
      <c r="C6" s="31">
        <v>45839</v>
      </c>
      <c r="D6" s="31">
        <v>45868.999305555553</v>
      </c>
      <c r="E6" t="str">
        <f>QUOTIENT(I6,1000)&amp;", "&amp;I6</f>
        <v>6, 6002</v>
      </c>
      <c r="F6" s="1" t="s">
        <v>88</v>
      </c>
      <c r="G6" s="32">
        <v>101</v>
      </c>
      <c r="H6" s="6" t="s">
        <v>21</v>
      </c>
      <c r="I6">
        <f>INDEX(gift_six!B:B,MATCH(gift_time!H6,gift_six!E:E,0))</f>
        <v>6002</v>
      </c>
      <c r="J6" s="37" t="s">
        <v>22</v>
      </c>
    </row>
    <row r="7" spans="1:11" ht="15.75" x14ac:dyDescent="0.2">
      <c r="B7">
        <v>2</v>
      </c>
      <c r="C7" s="31">
        <v>45839</v>
      </c>
      <c r="D7" s="31">
        <v>45868.999305555553</v>
      </c>
      <c r="E7" t="str">
        <f>QUOTIENT(I7,1000)&amp;", "&amp;I7</f>
        <v>6, 6001</v>
      </c>
      <c r="F7" s="1" t="s">
        <v>121</v>
      </c>
      <c r="G7" s="32">
        <v>102</v>
      </c>
      <c r="H7" s="6" t="s">
        <v>23</v>
      </c>
      <c r="I7" cm="1">
        <f t="array" ref="I7">INDEX(gift_six!B:B,MATCH(gift_time!H7,gift_six!E:E,0))</f>
        <v>6001</v>
      </c>
      <c r="J7" s="37" t="s">
        <v>24</v>
      </c>
    </row>
    <row r="8" spans="1:11" ht="15.75" x14ac:dyDescent="0.2">
      <c r="B8">
        <v>3</v>
      </c>
      <c r="C8" s="31">
        <v>45839</v>
      </c>
      <c r="D8" s="31">
        <v>45868.999305555553</v>
      </c>
      <c r="E8" t="str">
        <f>QUOTIENT(I8,1000)&amp;", "&amp;I8</f>
        <v>1, 1001</v>
      </c>
      <c r="F8" s="2" t="s">
        <v>64</v>
      </c>
      <c r="G8" s="32">
        <v>201</v>
      </c>
      <c r="H8" s="2" t="s">
        <v>25</v>
      </c>
      <c r="I8" cm="1">
        <f t="array" ref="I8">INDEX(gift_one!B:B,MATCH(gift_time!H8,gift_one!E:E,0))</f>
        <v>1001</v>
      </c>
      <c r="J8" s="56" t="s">
        <v>205</v>
      </c>
    </row>
    <row r="9" spans="1:11" ht="15.75" x14ac:dyDescent="0.2">
      <c r="B9">
        <v>4</v>
      </c>
      <c r="C9" s="31">
        <v>45839</v>
      </c>
      <c r="D9" s="31">
        <v>45868.999305555553</v>
      </c>
      <c r="E9" t="str">
        <f>QUOTIENT(I9,1000)&amp;", "&amp;I9</f>
        <v>3, 3001</v>
      </c>
      <c r="F9" s="2" t="s">
        <v>64</v>
      </c>
      <c r="G9" s="32">
        <v>301</v>
      </c>
      <c r="H9" s="2" t="s">
        <v>25</v>
      </c>
      <c r="I9" cm="1">
        <f t="array" ref="I9">INDEX(gift_three!B:B,MATCH(gift_time!H9,gift_three!E:E,0))</f>
        <v>3001</v>
      </c>
      <c r="J9" s="37" t="s">
        <v>26</v>
      </c>
    </row>
    <row r="10" spans="1:11" ht="15.75" x14ac:dyDescent="0.25">
      <c r="B10">
        <v>5</v>
      </c>
      <c r="C10" s="31">
        <v>45839</v>
      </c>
      <c r="D10" s="31">
        <v>45868.999305555553</v>
      </c>
      <c r="E10" s="34" t="s">
        <v>27</v>
      </c>
      <c r="F10" t="s">
        <v>117</v>
      </c>
      <c r="G10" s="35">
        <v>401</v>
      </c>
      <c r="K10" s="13"/>
    </row>
    <row r="12" spans="1:11" ht="15.75" x14ac:dyDescent="0.2">
      <c r="C12" s="36"/>
      <c r="D12" s="36"/>
      <c r="E12" s="36"/>
      <c r="F12" s="34"/>
      <c r="G12" s="35"/>
    </row>
    <row r="13" spans="1:11" ht="15.75" x14ac:dyDescent="0.2">
      <c r="C13" s="33"/>
      <c r="D13" s="33"/>
      <c r="E13" s="33"/>
      <c r="F13" s="34"/>
      <c r="G13" s="35"/>
    </row>
    <row r="14" spans="1:11" ht="15.75" x14ac:dyDescent="0.2">
      <c r="C14" s="33"/>
      <c r="D14" s="33"/>
      <c r="E14" s="33"/>
      <c r="F14" s="34"/>
      <c r="G14" s="35"/>
    </row>
    <row r="15" spans="1:11" ht="15.75" x14ac:dyDescent="0.2">
      <c r="C15" s="33"/>
      <c r="D15" s="33"/>
      <c r="E15" s="33"/>
      <c r="F15" s="34"/>
      <c r="G15" s="35"/>
    </row>
    <row r="16" spans="1:11" ht="15.75" x14ac:dyDescent="0.2">
      <c r="C16" s="33"/>
      <c r="D16" s="33"/>
      <c r="E16" s="33"/>
      <c r="F16" s="34"/>
      <c r="G16" s="35"/>
    </row>
  </sheetData>
  <phoneticPr fontId="1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workbookViewId="0">
      <selection activeCell="L1" sqref="L1:L6"/>
    </sheetView>
  </sheetViews>
  <sheetFormatPr defaultColWidth="9" defaultRowHeight="14.25" x14ac:dyDescent="0.2"/>
  <cols>
    <col min="1" max="3" width="9" style="2"/>
    <col min="4" max="4" width="23.5" style="2" customWidth="1"/>
    <col min="5" max="5" width="9" style="2"/>
    <col min="6" max="6" width="19.5" style="2" customWidth="1"/>
    <col min="7" max="7" width="20" style="2" customWidth="1"/>
    <col min="8" max="16384" width="9" style="2"/>
  </cols>
  <sheetData>
    <row r="1" spans="1:18" x14ac:dyDescent="0.2">
      <c r="A1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</row>
    <row r="2" spans="1:18" x14ac:dyDescent="0.2">
      <c r="A2" t="s">
        <v>7</v>
      </c>
      <c r="B2" s="3" t="s">
        <v>1</v>
      </c>
      <c r="C2" s="3" t="s">
        <v>44</v>
      </c>
      <c r="D2" s="3" t="s">
        <v>45</v>
      </c>
      <c r="E2" s="4"/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7" t="s">
        <v>51</v>
      </c>
      <c r="L2" s="7" t="s">
        <v>52</v>
      </c>
      <c r="M2" s="7" t="s">
        <v>53</v>
      </c>
      <c r="N2" s="7" t="s">
        <v>54</v>
      </c>
      <c r="O2" s="15" t="s">
        <v>55</v>
      </c>
      <c r="P2" s="15" t="s">
        <v>56</v>
      </c>
      <c r="Q2" s="15" t="s">
        <v>57</v>
      </c>
    </row>
    <row r="3" spans="1:18" x14ac:dyDescent="0.2">
      <c r="A3" t="s">
        <v>12</v>
      </c>
      <c r="B3" s="3" t="s">
        <v>13</v>
      </c>
      <c r="C3" s="3" t="s">
        <v>13</v>
      </c>
      <c r="D3" s="3" t="s">
        <v>15</v>
      </c>
      <c r="E3" s="4" t="s">
        <v>14</v>
      </c>
      <c r="F3" s="3" t="s">
        <v>58</v>
      </c>
      <c r="G3" s="3" t="s">
        <v>58</v>
      </c>
      <c r="H3" s="3" t="s">
        <v>13</v>
      </c>
      <c r="I3" s="3" t="s">
        <v>13</v>
      </c>
      <c r="J3" s="3" t="s">
        <v>13</v>
      </c>
      <c r="K3" s="7" t="s">
        <v>14</v>
      </c>
      <c r="L3" s="7" t="s">
        <v>14</v>
      </c>
      <c r="M3" s="7" t="s">
        <v>14</v>
      </c>
      <c r="N3" s="7" t="s">
        <v>14</v>
      </c>
      <c r="O3" s="15" t="s">
        <v>14</v>
      </c>
      <c r="P3" s="15" t="s">
        <v>14</v>
      </c>
      <c r="Q3" s="15" t="s">
        <v>14</v>
      </c>
    </row>
    <row r="4" spans="1:18" x14ac:dyDescent="0.2">
      <c r="A4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  <c r="N4" s="3" t="s">
        <v>17</v>
      </c>
      <c r="O4" s="3" t="s">
        <v>17</v>
      </c>
      <c r="P4" s="3" t="s">
        <v>17</v>
      </c>
      <c r="Q4" s="3" t="s">
        <v>17</v>
      </c>
    </row>
    <row r="5" spans="1:18" x14ac:dyDescent="0.2">
      <c r="A5" t="s">
        <v>18</v>
      </c>
      <c r="B5" s="3"/>
      <c r="C5" s="3">
        <v>0</v>
      </c>
      <c r="D5" s="3" t="s">
        <v>19</v>
      </c>
      <c r="E5" s="4"/>
      <c r="F5" s="3" t="s">
        <v>19</v>
      </c>
      <c r="G5" s="3" t="s">
        <v>19</v>
      </c>
      <c r="H5" s="3">
        <v>10</v>
      </c>
      <c r="I5" s="3"/>
      <c r="J5" s="3">
        <v>0</v>
      </c>
      <c r="K5" s="7">
        <v>0</v>
      </c>
      <c r="L5" s="7">
        <v>0</v>
      </c>
      <c r="M5" s="7">
        <v>0</v>
      </c>
      <c r="N5" s="7">
        <v>0</v>
      </c>
      <c r="O5" s="15">
        <v>0</v>
      </c>
      <c r="P5" s="15">
        <v>0</v>
      </c>
      <c r="Q5" s="15">
        <v>0</v>
      </c>
    </row>
    <row r="6" spans="1:18" ht="15.75" x14ac:dyDescent="0.25">
      <c r="A6" s="2" t="s">
        <v>59</v>
      </c>
      <c r="B6" s="2">
        <v>1001</v>
      </c>
      <c r="C6" s="2">
        <v>1001</v>
      </c>
      <c r="D6" s="2" t="s">
        <v>60</v>
      </c>
      <c r="E6" s="2" t="s">
        <v>25</v>
      </c>
      <c r="F6" s="13" t="s">
        <v>61</v>
      </c>
      <c r="G6" s="2" t="s">
        <v>62</v>
      </c>
      <c r="H6" s="2">
        <v>6</v>
      </c>
      <c r="I6" s="2">
        <v>168</v>
      </c>
      <c r="J6" s="2">
        <v>288</v>
      </c>
      <c r="K6" s="11" t="s">
        <v>63</v>
      </c>
      <c r="L6" s="2" t="s">
        <v>64</v>
      </c>
      <c r="M6" s="11" t="s">
        <v>65</v>
      </c>
      <c r="N6" s="11" t="s">
        <v>66</v>
      </c>
      <c r="O6" s="2" t="s">
        <v>67</v>
      </c>
      <c r="P6" s="2" t="s">
        <v>68</v>
      </c>
      <c r="Q6" s="2" t="s">
        <v>69</v>
      </c>
      <c r="R6" s="17" t="s">
        <v>70</v>
      </c>
    </row>
    <row r="7" spans="1:18" x14ac:dyDescent="0.2">
      <c r="H7"/>
      <c r="I7"/>
      <c r="K7" s="11"/>
      <c r="L7" s="11"/>
      <c r="M7" s="11"/>
      <c r="N7" s="11"/>
      <c r="O7" s="16"/>
      <c r="P7" s="16"/>
      <c r="Q7" s="16"/>
    </row>
  </sheetData>
  <phoneticPr fontId="13" type="noConversion"/>
  <conditionalFormatting sqref="A6">
    <cfRule type="duplicateValues" dxfId="7" priority="1"/>
  </conditionalFormatting>
  <conditionalFormatting sqref="C1:C7">
    <cfRule type="duplicateValues" dxfId="6" priority="5"/>
  </conditionalFormatting>
  <conditionalFormatting sqref="E1:E7">
    <cfRule type="duplicateValues" dxfId="5" priority="4"/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workbookViewId="0">
      <selection activeCell="G26" sqref="G26"/>
    </sheetView>
  </sheetViews>
  <sheetFormatPr defaultColWidth="9" defaultRowHeight="14.25" x14ac:dyDescent="0.2"/>
  <cols>
    <col min="1" max="3" width="9" style="2"/>
    <col min="4" max="4" width="23.5" style="2" customWidth="1"/>
    <col min="5" max="5" width="9" style="2"/>
    <col min="6" max="6" width="19.5" style="2" customWidth="1"/>
    <col min="7" max="7" width="20" style="2" customWidth="1"/>
    <col min="8" max="16384" width="9" style="2"/>
  </cols>
  <sheetData>
    <row r="1" spans="1:13" x14ac:dyDescent="0.2">
      <c r="A1" s="42" t="s">
        <v>0</v>
      </c>
      <c r="B1" s="42" t="s">
        <v>28</v>
      </c>
      <c r="C1" s="42" t="s">
        <v>29</v>
      </c>
      <c r="D1" s="42" t="s">
        <v>30</v>
      </c>
      <c r="E1" s="42" t="s">
        <v>31</v>
      </c>
      <c r="F1" s="42" t="s">
        <v>32</v>
      </c>
      <c r="G1" s="42" t="s">
        <v>33</v>
      </c>
      <c r="H1" s="42" t="s">
        <v>74</v>
      </c>
      <c r="I1" s="42" t="s">
        <v>37</v>
      </c>
      <c r="J1" s="42" t="s">
        <v>38</v>
      </c>
      <c r="K1" s="42" t="s">
        <v>39</v>
      </c>
      <c r="L1" s="42" t="s">
        <v>135</v>
      </c>
      <c r="M1" s="42" t="s">
        <v>43</v>
      </c>
    </row>
    <row r="2" spans="1:13" x14ac:dyDescent="0.2">
      <c r="A2" s="42" t="s">
        <v>7</v>
      </c>
      <c r="B2" s="43" t="s">
        <v>1</v>
      </c>
      <c r="C2" s="43" t="s">
        <v>44</v>
      </c>
      <c r="D2" s="43" t="s">
        <v>45</v>
      </c>
      <c r="E2" s="44"/>
      <c r="F2" s="43" t="s">
        <v>46</v>
      </c>
      <c r="G2" s="43" t="s">
        <v>47</v>
      </c>
      <c r="H2" s="43" t="s">
        <v>49</v>
      </c>
      <c r="I2" s="43" t="s">
        <v>51</v>
      </c>
      <c r="J2" s="43" t="s">
        <v>52</v>
      </c>
      <c r="K2" s="43" t="s">
        <v>53</v>
      </c>
      <c r="L2" s="43" t="s">
        <v>54</v>
      </c>
      <c r="M2" s="43" t="s">
        <v>55</v>
      </c>
    </row>
    <row r="3" spans="1:13" x14ac:dyDescent="0.2">
      <c r="A3" s="42" t="s">
        <v>12</v>
      </c>
      <c r="B3" s="43" t="s">
        <v>13</v>
      </c>
      <c r="C3" s="43" t="s">
        <v>13</v>
      </c>
      <c r="D3" s="43" t="s">
        <v>15</v>
      </c>
      <c r="E3" s="44" t="s">
        <v>14</v>
      </c>
      <c r="F3" s="43" t="s">
        <v>58</v>
      </c>
      <c r="G3" s="43" t="s">
        <v>58</v>
      </c>
      <c r="H3" s="43" t="s">
        <v>13</v>
      </c>
      <c r="I3" s="43" t="s">
        <v>14</v>
      </c>
      <c r="J3" s="43" t="s">
        <v>14</v>
      </c>
      <c r="K3" s="43" t="s">
        <v>14</v>
      </c>
      <c r="L3" s="43" t="s">
        <v>14</v>
      </c>
      <c r="M3" s="43" t="s">
        <v>14</v>
      </c>
    </row>
    <row r="4" spans="1:13" x14ac:dyDescent="0.2">
      <c r="A4" s="42" t="s">
        <v>16</v>
      </c>
      <c r="B4" s="43" t="s">
        <v>17</v>
      </c>
      <c r="C4" s="43" t="s">
        <v>17</v>
      </c>
      <c r="D4" s="43" t="s">
        <v>17</v>
      </c>
      <c r="E4" s="43" t="s">
        <v>17</v>
      </c>
      <c r="F4" s="43" t="s">
        <v>17</v>
      </c>
      <c r="G4" s="43" t="s">
        <v>17</v>
      </c>
      <c r="H4" s="43" t="s">
        <v>17</v>
      </c>
      <c r="I4" s="43" t="s">
        <v>17</v>
      </c>
      <c r="J4" s="43" t="s">
        <v>17</v>
      </c>
      <c r="K4" s="43" t="s">
        <v>17</v>
      </c>
      <c r="L4" s="43" t="s">
        <v>17</v>
      </c>
      <c r="M4" s="43" t="s">
        <v>17</v>
      </c>
    </row>
    <row r="5" spans="1:13" x14ac:dyDescent="0.2">
      <c r="A5" s="42" t="s">
        <v>18</v>
      </c>
      <c r="B5" s="43"/>
      <c r="C5" s="43">
        <v>0</v>
      </c>
      <c r="D5" s="43" t="s">
        <v>19</v>
      </c>
      <c r="E5" s="44"/>
      <c r="F5" s="43" t="s">
        <v>19</v>
      </c>
      <c r="G5" s="43" t="s">
        <v>19</v>
      </c>
      <c r="H5" s="43"/>
      <c r="I5" s="43">
        <v>0</v>
      </c>
      <c r="J5" s="43">
        <v>0</v>
      </c>
      <c r="K5" s="43">
        <v>0</v>
      </c>
      <c r="L5" s="43">
        <v>0</v>
      </c>
      <c r="M5" s="43">
        <v>0</v>
      </c>
    </row>
    <row r="6" spans="1:13" x14ac:dyDescent="0.2">
      <c r="A6" s="42" t="s">
        <v>136</v>
      </c>
      <c r="B6" s="42">
        <v>2001</v>
      </c>
      <c r="C6" s="42"/>
      <c r="D6" s="42" t="s">
        <v>137</v>
      </c>
      <c r="E6" s="42" t="s">
        <v>138</v>
      </c>
      <c r="F6" s="42" t="s">
        <v>139</v>
      </c>
      <c r="G6" s="42" t="s">
        <v>140</v>
      </c>
      <c r="H6" s="42">
        <v>98</v>
      </c>
      <c r="I6" s="42" t="s">
        <v>141</v>
      </c>
      <c r="J6" s="42" t="s">
        <v>142</v>
      </c>
      <c r="K6" s="45" t="s">
        <v>143</v>
      </c>
      <c r="L6" s="42" t="s">
        <v>144</v>
      </c>
      <c r="M6" s="42" t="s">
        <v>145</v>
      </c>
    </row>
    <row r="7" spans="1:13" x14ac:dyDescent="0.2">
      <c r="A7" s="42"/>
      <c r="B7" s="42">
        <v>2002</v>
      </c>
      <c r="C7" s="42"/>
      <c r="D7" s="42" t="s">
        <v>137</v>
      </c>
      <c r="E7" s="42" t="s">
        <v>138</v>
      </c>
      <c r="F7" s="42" t="s">
        <v>139</v>
      </c>
      <c r="G7" s="42" t="s">
        <v>140</v>
      </c>
      <c r="H7" s="42">
        <v>98</v>
      </c>
      <c r="I7" s="42" t="s">
        <v>141</v>
      </c>
      <c r="J7" s="42" t="s">
        <v>142</v>
      </c>
      <c r="K7" s="45" t="s">
        <v>143</v>
      </c>
      <c r="L7" s="42" t="s">
        <v>144</v>
      </c>
      <c r="M7" s="42" t="s">
        <v>145</v>
      </c>
    </row>
    <row r="8" spans="1:13" x14ac:dyDescent="0.2">
      <c r="A8" s="42"/>
      <c r="B8" s="42">
        <v>2003</v>
      </c>
      <c r="C8" s="42"/>
      <c r="D8" s="42" t="s">
        <v>146</v>
      </c>
      <c r="E8" s="42" t="s">
        <v>147</v>
      </c>
      <c r="F8" s="42" t="s">
        <v>148</v>
      </c>
      <c r="G8" s="42" t="s">
        <v>140</v>
      </c>
      <c r="H8" s="42">
        <v>98</v>
      </c>
      <c r="I8" s="42" t="s">
        <v>149</v>
      </c>
      <c r="J8" s="42" t="s">
        <v>150</v>
      </c>
      <c r="K8" s="42" t="s">
        <v>151</v>
      </c>
      <c r="L8" s="42" t="s">
        <v>152</v>
      </c>
      <c r="M8" s="42" t="s">
        <v>153</v>
      </c>
    </row>
    <row r="9" spans="1:13" ht="15.75" x14ac:dyDescent="0.2">
      <c r="A9" s="42"/>
      <c r="B9" s="42">
        <v>2004</v>
      </c>
      <c r="C9" s="42"/>
      <c r="D9" s="42" t="s">
        <v>154</v>
      </c>
      <c r="E9" s="46" t="s">
        <v>155</v>
      </c>
      <c r="F9" s="42" t="s">
        <v>156</v>
      </c>
      <c r="G9" s="42" t="s">
        <v>140</v>
      </c>
      <c r="H9" s="42">
        <v>98</v>
      </c>
      <c r="I9" s="42" t="s">
        <v>157</v>
      </c>
      <c r="J9" s="42" t="s">
        <v>158</v>
      </c>
      <c r="K9" s="42" t="s">
        <v>151</v>
      </c>
      <c r="L9" s="42" t="s">
        <v>152</v>
      </c>
      <c r="M9" s="42" t="s">
        <v>153</v>
      </c>
    </row>
    <row r="10" spans="1:13" ht="15.75" x14ac:dyDescent="0.2">
      <c r="A10" s="42"/>
      <c r="B10" s="42">
        <v>2005</v>
      </c>
      <c r="C10" s="42"/>
      <c r="D10" s="42" t="s">
        <v>159</v>
      </c>
      <c r="E10" s="46" t="s">
        <v>160</v>
      </c>
      <c r="F10" s="42" t="s">
        <v>161</v>
      </c>
      <c r="G10" s="42" t="s">
        <v>140</v>
      </c>
      <c r="H10" s="42">
        <v>98</v>
      </c>
      <c r="I10" s="42" t="s">
        <v>162</v>
      </c>
      <c r="J10" s="47" t="s">
        <v>163</v>
      </c>
      <c r="K10" s="42" t="s">
        <v>151</v>
      </c>
      <c r="L10" s="42" t="s">
        <v>152</v>
      </c>
      <c r="M10" s="42" t="s">
        <v>153</v>
      </c>
    </row>
    <row r="11" spans="1:13" x14ac:dyDescent="0.2">
      <c r="A11" s="42"/>
      <c r="B11" s="42">
        <v>2006</v>
      </c>
      <c r="C11" s="42">
        <v>147</v>
      </c>
      <c r="D11" s="42" t="s">
        <v>164</v>
      </c>
      <c r="E11" s="42" t="s">
        <v>165</v>
      </c>
      <c r="F11" s="42" t="s">
        <v>166</v>
      </c>
      <c r="G11" s="42" t="s">
        <v>140</v>
      </c>
      <c r="H11" s="42">
        <v>98</v>
      </c>
      <c r="I11" s="42" t="s">
        <v>167</v>
      </c>
      <c r="J11" s="47" t="s">
        <v>168</v>
      </c>
      <c r="K11" s="42" t="s">
        <v>151</v>
      </c>
      <c r="L11" s="42" t="s">
        <v>152</v>
      </c>
      <c r="M11" s="42" t="s">
        <v>153</v>
      </c>
    </row>
    <row r="12" spans="1:13" x14ac:dyDescent="0.2">
      <c r="A12" s="42"/>
      <c r="B12" s="42">
        <v>2007</v>
      </c>
      <c r="C12" s="42">
        <v>2057</v>
      </c>
      <c r="D12" s="42" t="s">
        <v>169</v>
      </c>
      <c r="E12" s="42" t="s">
        <v>170</v>
      </c>
      <c r="F12" s="42" t="s">
        <v>171</v>
      </c>
      <c r="G12" s="42" t="s">
        <v>140</v>
      </c>
      <c r="H12" s="42">
        <v>98</v>
      </c>
      <c r="I12" s="42" t="s">
        <v>172</v>
      </c>
      <c r="J12" s="42" t="s">
        <v>173</v>
      </c>
      <c r="K12" s="42" t="s">
        <v>174</v>
      </c>
      <c r="L12" s="42" t="s">
        <v>152</v>
      </c>
      <c r="M12" s="42" t="s">
        <v>153</v>
      </c>
    </row>
    <row r="13" spans="1:13" ht="15.75" x14ac:dyDescent="0.2">
      <c r="A13" s="42"/>
      <c r="B13" s="48">
        <v>2008</v>
      </c>
      <c r="C13" s="48">
        <v>2061</v>
      </c>
      <c r="D13" s="48" t="s">
        <v>159</v>
      </c>
      <c r="E13" s="46" t="s">
        <v>160</v>
      </c>
      <c r="F13" s="48" t="s">
        <v>161</v>
      </c>
      <c r="G13" s="48" t="s">
        <v>140</v>
      </c>
      <c r="H13" s="48">
        <v>98</v>
      </c>
      <c r="I13" s="48" t="s">
        <v>162</v>
      </c>
      <c r="J13" s="49" t="s">
        <v>163</v>
      </c>
      <c r="K13" s="48" t="s">
        <v>151</v>
      </c>
      <c r="L13" s="48" t="s">
        <v>152</v>
      </c>
      <c r="M13" s="48" t="s">
        <v>153</v>
      </c>
    </row>
    <row r="14" spans="1:13" ht="15.75" x14ac:dyDescent="0.2">
      <c r="A14" s="42"/>
      <c r="B14" s="48">
        <v>2009</v>
      </c>
      <c r="C14" s="48">
        <v>2083</v>
      </c>
      <c r="D14" s="48" t="s">
        <v>175</v>
      </c>
      <c r="E14" s="46" t="s">
        <v>155</v>
      </c>
      <c r="F14" s="48" t="s">
        <v>156</v>
      </c>
      <c r="G14" s="48" t="s">
        <v>140</v>
      </c>
      <c r="H14" s="48">
        <v>98</v>
      </c>
      <c r="I14" s="48" t="s">
        <v>157</v>
      </c>
      <c r="J14" s="48" t="s">
        <v>176</v>
      </c>
      <c r="K14" s="48" t="s">
        <v>151</v>
      </c>
      <c r="L14" s="48" t="s">
        <v>152</v>
      </c>
      <c r="M14" s="48" t="s">
        <v>153</v>
      </c>
    </row>
    <row r="15" spans="1:13" x14ac:dyDescent="0.2">
      <c r="A15" s="42"/>
      <c r="B15" s="48">
        <v>2010</v>
      </c>
      <c r="C15" s="48">
        <v>147</v>
      </c>
      <c r="D15" s="48" t="s">
        <v>164</v>
      </c>
      <c r="E15" s="48" t="s">
        <v>165</v>
      </c>
      <c r="F15" s="48" t="s">
        <v>166</v>
      </c>
      <c r="G15" s="48" t="s">
        <v>140</v>
      </c>
      <c r="H15" s="48">
        <v>98</v>
      </c>
      <c r="I15" s="48" t="s">
        <v>167</v>
      </c>
      <c r="J15" s="49" t="s">
        <v>177</v>
      </c>
      <c r="K15" s="48" t="s">
        <v>151</v>
      </c>
      <c r="L15" s="48" t="s">
        <v>152</v>
      </c>
      <c r="M15" s="48" t="s">
        <v>153</v>
      </c>
    </row>
    <row r="16" spans="1:13" ht="15.75" x14ac:dyDescent="0.25">
      <c r="A16" s="50"/>
      <c r="B16" s="48">
        <v>2011</v>
      </c>
      <c r="C16" s="48">
        <v>2061</v>
      </c>
      <c r="D16" s="48" t="s">
        <v>159</v>
      </c>
      <c r="E16" s="46" t="s">
        <v>160</v>
      </c>
      <c r="F16" s="48" t="s">
        <v>161</v>
      </c>
      <c r="G16" s="48" t="s">
        <v>140</v>
      </c>
      <c r="H16" s="48">
        <v>98</v>
      </c>
      <c r="I16" s="48" t="s">
        <v>162</v>
      </c>
      <c r="J16" s="49" t="s">
        <v>178</v>
      </c>
      <c r="K16" s="48" t="s">
        <v>151</v>
      </c>
      <c r="L16" s="48" t="s">
        <v>152</v>
      </c>
      <c r="M16" s="48" t="s">
        <v>153</v>
      </c>
    </row>
    <row r="17" spans="1:13" ht="15.75" x14ac:dyDescent="0.2">
      <c r="A17" s="42"/>
      <c r="B17" s="48">
        <v>2012</v>
      </c>
      <c r="C17" s="48">
        <v>2083</v>
      </c>
      <c r="D17" s="48" t="s">
        <v>175</v>
      </c>
      <c r="E17" s="46" t="s">
        <v>155</v>
      </c>
      <c r="F17" s="48" t="s">
        <v>156</v>
      </c>
      <c r="G17" s="48" t="s">
        <v>140</v>
      </c>
      <c r="H17" s="48">
        <v>98</v>
      </c>
      <c r="I17" s="48" t="s">
        <v>157</v>
      </c>
      <c r="J17" s="48" t="s">
        <v>176</v>
      </c>
      <c r="K17" s="48" t="s">
        <v>151</v>
      </c>
      <c r="L17" s="48" t="s">
        <v>152</v>
      </c>
      <c r="M17" s="48" t="s">
        <v>153</v>
      </c>
    </row>
    <row r="18" spans="1:13" x14ac:dyDescent="0.2">
      <c r="A18" s="42"/>
      <c r="B18" s="51">
        <v>2013</v>
      </c>
      <c r="C18" s="51">
        <v>147</v>
      </c>
      <c r="D18" s="51" t="s">
        <v>164</v>
      </c>
      <c r="E18" s="51" t="s">
        <v>165</v>
      </c>
      <c r="F18" s="51" t="s">
        <v>166</v>
      </c>
      <c r="G18" s="51" t="s">
        <v>140</v>
      </c>
      <c r="H18" s="51">
        <v>98</v>
      </c>
      <c r="I18" s="51" t="s">
        <v>167</v>
      </c>
      <c r="J18" s="52" t="s">
        <v>177</v>
      </c>
      <c r="K18" s="51" t="s">
        <v>151</v>
      </c>
      <c r="L18" s="51" t="s">
        <v>152</v>
      </c>
      <c r="M18" s="51" t="s">
        <v>153</v>
      </c>
    </row>
    <row r="19" spans="1:13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</row>
  </sheetData>
  <phoneticPr fontId="1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workbookViewId="0">
      <selection activeCell="D6" sqref="D6"/>
    </sheetView>
  </sheetViews>
  <sheetFormatPr defaultColWidth="9" defaultRowHeight="14.25" x14ac:dyDescent="0.2"/>
  <cols>
    <col min="1" max="1" width="12.625" style="2" customWidth="1"/>
    <col min="2" max="2" width="9" style="2"/>
    <col min="3" max="3" width="26.25" style="2" customWidth="1"/>
    <col min="4" max="4" width="23.875" style="2" customWidth="1"/>
    <col min="5" max="5" width="14.625" style="2" customWidth="1"/>
    <col min="6" max="6" width="23.5" style="2" customWidth="1"/>
    <col min="7" max="7" width="15.25" style="2" customWidth="1"/>
    <col min="8" max="8" width="22.875" style="2" customWidth="1"/>
    <col min="9" max="9" width="20.125" style="2" customWidth="1"/>
    <col min="10" max="10" width="9" style="2"/>
    <col min="11" max="11" width="12.5" style="2" customWidth="1"/>
    <col min="12" max="16384" width="9" style="2"/>
  </cols>
  <sheetData>
    <row r="1" spans="1:12" x14ac:dyDescent="0.2">
      <c r="A1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71</v>
      </c>
      <c r="G1" s="2" t="s">
        <v>72</v>
      </c>
      <c r="H1" s="2" t="s">
        <v>73</v>
      </c>
      <c r="I1" s="2" t="s">
        <v>74</v>
      </c>
      <c r="J1" t="s">
        <v>37</v>
      </c>
      <c r="K1" s="2" t="s">
        <v>38</v>
      </c>
    </row>
    <row r="2" spans="1:12" x14ac:dyDescent="0.2">
      <c r="A2" t="s">
        <v>7</v>
      </c>
      <c r="B2" s="3" t="s">
        <v>1</v>
      </c>
      <c r="C2" s="3" t="s">
        <v>44</v>
      </c>
      <c r="D2" s="3" t="s">
        <v>45</v>
      </c>
      <c r="E2" s="4"/>
      <c r="F2" s="3" t="s">
        <v>75</v>
      </c>
      <c r="G2" s="3" t="s">
        <v>76</v>
      </c>
      <c r="H2" s="3" t="s">
        <v>77</v>
      </c>
      <c r="I2" s="3" t="s">
        <v>49</v>
      </c>
      <c r="J2" s="7" t="s">
        <v>51</v>
      </c>
      <c r="K2" s="7" t="s">
        <v>52</v>
      </c>
    </row>
    <row r="3" spans="1:12" x14ac:dyDescent="0.2">
      <c r="A3" t="s">
        <v>12</v>
      </c>
      <c r="B3" s="3" t="s">
        <v>13</v>
      </c>
      <c r="C3" s="3" t="s">
        <v>58</v>
      </c>
      <c r="D3" s="3" t="s">
        <v>15</v>
      </c>
      <c r="E3" s="4" t="s">
        <v>14</v>
      </c>
      <c r="F3" s="3" t="s">
        <v>58</v>
      </c>
      <c r="G3" s="3" t="s">
        <v>58</v>
      </c>
      <c r="H3" s="3" t="s">
        <v>58</v>
      </c>
      <c r="I3" s="3" t="s">
        <v>15</v>
      </c>
      <c r="J3" s="7" t="s">
        <v>14</v>
      </c>
      <c r="K3" s="7" t="s">
        <v>14</v>
      </c>
    </row>
    <row r="4" spans="1:12" x14ac:dyDescent="0.2">
      <c r="A4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</row>
    <row r="5" spans="1:12" x14ac:dyDescent="0.2">
      <c r="A5" t="s">
        <v>18</v>
      </c>
      <c r="B5" s="3"/>
      <c r="C5" s="3" t="s">
        <v>19</v>
      </c>
      <c r="D5" s="3" t="s">
        <v>19</v>
      </c>
      <c r="E5" s="4"/>
      <c r="F5" s="3" t="s">
        <v>19</v>
      </c>
      <c r="G5" s="3" t="s">
        <v>19</v>
      </c>
      <c r="H5" s="3" t="s">
        <v>19</v>
      </c>
      <c r="I5" s="3" t="s">
        <v>19</v>
      </c>
      <c r="J5" s="7">
        <v>0</v>
      </c>
      <c r="K5" s="7">
        <v>0</v>
      </c>
    </row>
    <row r="6" spans="1:12" ht="15.75" x14ac:dyDescent="0.25">
      <c r="A6" s="2" t="s">
        <v>78</v>
      </c>
      <c r="B6" s="2">
        <v>3001</v>
      </c>
      <c r="C6" s="12" t="s">
        <v>79</v>
      </c>
      <c r="D6" s="2" t="s">
        <v>80</v>
      </c>
      <c r="E6" s="13" t="s">
        <v>25</v>
      </c>
      <c r="F6" s="2" t="s">
        <v>81</v>
      </c>
      <c r="G6" s="2" t="s">
        <v>82</v>
      </c>
      <c r="H6" s="2" t="s">
        <v>61</v>
      </c>
      <c r="I6" s="2" t="s">
        <v>83</v>
      </c>
      <c r="J6" s="11" t="s">
        <v>84</v>
      </c>
      <c r="K6" s="2" t="s">
        <v>85</v>
      </c>
      <c r="L6" s="14" t="s">
        <v>70</v>
      </c>
    </row>
    <row r="8" spans="1:12" s="5" customFormat="1" x14ac:dyDescent="0.2"/>
    <row r="9" spans="1:12" s="5" customFormat="1" x14ac:dyDescent="0.2"/>
    <row r="10" spans="1:12" s="5" customFormat="1" x14ac:dyDescent="0.2"/>
    <row r="11" spans="1:12" s="5" customFormat="1" x14ac:dyDescent="0.2"/>
    <row r="12" spans="1:12" s="5" customFormat="1" x14ac:dyDescent="0.2"/>
    <row r="13" spans="1:12" s="5" customFormat="1" x14ac:dyDescent="0.2"/>
  </sheetData>
  <phoneticPr fontId="13" type="noConversion"/>
  <conditionalFormatting sqref="A6">
    <cfRule type="duplicateValues" dxfId="1" priority="1"/>
  </conditionalFormatting>
  <conditionalFormatting sqref="C1:C6">
    <cfRule type="duplicateValues" dxfId="0" priority="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9"/>
  <sheetViews>
    <sheetView workbookViewId="0">
      <selection activeCell="O12" sqref="O12"/>
    </sheetView>
  </sheetViews>
  <sheetFormatPr defaultColWidth="9" defaultRowHeight="14.25" x14ac:dyDescent="0.2"/>
  <cols>
    <col min="1" max="3" width="9" style="42"/>
    <col min="4" max="4" width="21" style="42" customWidth="1"/>
    <col min="5" max="12" width="9" style="42"/>
  </cols>
  <sheetData>
    <row r="1" spans="1:12" x14ac:dyDescent="0.2">
      <c r="A1" s="42" t="s">
        <v>0</v>
      </c>
      <c r="B1" s="42" t="s">
        <v>28</v>
      </c>
      <c r="C1" s="42" t="s">
        <v>89</v>
      </c>
      <c r="D1" s="42" t="s">
        <v>179</v>
      </c>
      <c r="E1" s="42" t="s">
        <v>30</v>
      </c>
      <c r="F1" s="42" t="s">
        <v>31</v>
      </c>
      <c r="G1" s="42" t="s">
        <v>34</v>
      </c>
      <c r="H1" s="42" t="s">
        <v>35</v>
      </c>
      <c r="I1" s="42" t="s">
        <v>29</v>
      </c>
      <c r="J1" s="42" t="s">
        <v>37</v>
      </c>
      <c r="K1" s="42" t="s">
        <v>38</v>
      </c>
      <c r="L1" s="42" t="s">
        <v>180</v>
      </c>
    </row>
    <row r="2" spans="1:12" x14ac:dyDescent="0.2">
      <c r="A2" s="42" t="s">
        <v>7</v>
      </c>
      <c r="B2" s="43" t="s">
        <v>1</v>
      </c>
      <c r="C2" s="43" t="s">
        <v>95</v>
      </c>
      <c r="D2" s="43" t="s">
        <v>181</v>
      </c>
      <c r="E2" s="43" t="s">
        <v>45</v>
      </c>
      <c r="F2" s="44"/>
      <c r="G2" s="43" t="s">
        <v>48</v>
      </c>
      <c r="H2" s="43" t="s">
        <v>49</v>
      </c>
      <c r="I2" s="43" t="s">
        <v>44</v>
      </c>
      <c r="J2" s="43" t="s">
        <v>51</v>
      </c>
      <c r="K2" s="43" t="s">
        <v>52</v>
      </c>
      <c r="L2" s="43" t="s">
        <v>182</v>
      </c>
    </row>
    <row r="3" spans="1:12" x14ac:dyDescent="0.2">
      <c r="A3" s="42" t="s">
        <v>12</v>
      </c>
      <c r="B3" s="43" t="s">
        <v>13</v>
      </c>
      <c r="C3" s="43" t="s">
        <v>13</v>
      </c>
      <c r="D3" s="43" t="s">
        <v>13</v>
      </c>
      <c r="E3" s="43" t="s">
        <v>15</v>
      </c>
      <c r="F3" s="44" t="s">
        <v>14</v>
      </c>
      <c r="G3" s="43" t="s">
        <v>13</v>
      </c>
      <c r="H3" s="43" t="s">
        <v>13</v>
      </c>
      <c r="I3" s="43" t="s">
        <v>13</v>
      </c>
      <c r="J3" s="43" t="s">
        <v>14</v>
      </c>
      <c r="K3" s="43" t="s">
        <v>14</v>
      </c>
      <c r="L3" s="43" t="s">
        <v>14</v>
      </c>
    </row>
    <row r="4" spans="1:12" x14ac:dyDescent="0.2">
      <c r="A4" s="42" t="s">
        <v>16</v>
      </c>
      <c r="B4" s="43" t="s">
        <v>17</v>
      </c>
      <c r="C4" s="43" t="s">
        <v>17</v>
      </c>
      <c r="D4" s="43" t="s">
        <v>17</v>
      </c>
      <c r="E4" s="43" t="s">
        <v>17</v>
      </c>
      <c r="F4" s="43" t="s">
        <v>17</v>
      </c>
      <c r="G4" s="43" t="s">
        <v>17</v>
      </c>
      <c r="H4" s="43" t="s">
        <v>17</v>
      </c>
      <c r="I4" s="43" t="s">
        <v>17</v>
      </c>
      <c r="J4" s="43" t="s">
        <v>17</v>
      </c>
      <c r="K4" s="43" t="s">
        <v>17</v>
      </c>
      <c r="L4" s="43" t="s">
        <v>17</v>
      </c>
    </row>
    <row r="5" spans="1:12" x14ac:dyDescent="0.2">
      <c r="A5" s="42" t="s">
        <v>18</v>
      </c>
      <c r="B5" s="43">
        <v>0</v>
      </c>
      <c r="C5" s="43">
        <v>0</v>
      </c>
      <c r="D5" s="43">
        <v>0</v>
      </c>
      <c r="E5" s="43" t="s">
        <v>19</v>
      </c>
      <c r="F5" s="44"/>
      <c r="G5" s="43">
        <v>10</v>
      </c>
      <c r="H5" s="43"/>
      <c r="I5" s="43">
        <v>0</v>
      </c>
      <c r="J5" s="43">
        <v>0</v>
      </c>
      <c r="K5" s="43">
        <v>0</v>
      </c>
      <c r="L5" s="43">
        <v>0</v>
      </c>
    </row>
    <row r="6" spans="1:12" x14ac:dyDescent="0.2">
      <c r="A6" s="42" t="s">
        <v>183</v>
      </c>
      <c r="B6" s="42">
        <v>4001</v>
      </c>
      <c r="C6" s="42">
        <v>401</v>
      </c>
      <c r="D6" s="42">
        <v>1</v>
      </c>
      <c r="E6" s="42" t="s">
        <v>184</v>
      </c>
      <c r="F6" s="42" t="s">
        <v>185</v>
      </c>
      <c r="G6" s="42">
        <v>8</v>
      </c>
      <c r="H6" s="42">
        <v>78</v>
      </c>
      <c r="I6" s="42">
        <v>2005</v>
      </c>
    </row>
    <row r="7" spans="1:12" x14ac:dyDescent="0.2">
      <c r="B7" s="42">
        <v>4002</v>
      </c>
      <c r="C7" s="42">
        <v>401</v>
      </c>
      <c r="D7" s="42">
        <v>1</v>
      </c>
      <c r="E7" s="42" t="s">
        <v>186</v>
      </c>
      <c r="F7" s="42" t="s">
        <v>187</v>
      </c>
      <c r="G7" s="42">
        <v>8</v>
      </c>
      <c r="H7" s="42">
        <v>78</v>
      </c>
      <c r="I7" s="42">
        <v>2006</v>
      </c>
    </row>
    <row r="8" spans="1:12" x14ac:dyDescent="0.2">
      <c r="B8" s="42">
        <v>4003</v>
      </c>
      <c r="C8" s="42">
        <v>401</v>
      </c>
      <c r="D8" s="42">
        <v>1</v>
      </c>
      <c r="E8" s="42" t="s">
        <v>188</v>
      </c>
      <c r="F8" s="42" t="s">
        <v>189</v>
      </c>
      <c r="G8" s="42">
        <v>8</v>
      </c>
      <c r="H8" s="42">
        <v>78</v>
      </c>
      <c r="I8" s="42">
        <v>2007</v>
      </c>
    </row>
    <row r="9" spans="1:12" x14ac:dyDescent="0.2">
      <c r="B9" s="42">
        <v>4004</v>
      </c>
      <c r="C9" s="42">
        <v>401</v>
      </c>
      <c r="D9" s="42">
        <v>2</v>
      </c>
      <c r="E9" s="42" t="s">
        <v>190</v>
      </c>
      <c r="F9" s="42" t="s">
        <v>191</v>
      </c>
      <c r="G9" s="42">
        <v>6</v>
      </c>
      <c r="H9" s="42">
        <v>30</v>
      </c>
      <c r="I9" s="42">
        <v>2008</v>
      </c>
    </row>
    <row r="10" spans="1:12" x14ac:dyDescent="0.2">
      <c r="B10" s="42">
        <v>4005</v>
      </c>
      <c r="C10" s="42">
        <v>401</v>
      </c>
      <c r="D10" s="42">
        <v>3</v>
      </c>
      <c r="E10" s="42" t="s">
        <v>190</v>
      </c>
      <c r="F10" s="42" t="s">
        <v>192</v>
      </c>
      <c r="G10" s="42">
        <v>6</v>
      </c>
      <c r="H10" s="42">
        <v>108</v>
      </c>
      <c r="I10" s="42">
        <v>2009</v>
      </c>
    </row>
    <row r="11" spans="1:12" x14ac:dyDescent="0.2">
      <c r="B11" s="42">
        <v>4006</v>
      </c>
      <c r="C11" s="42">
        <v>401</v>
      </c>
      <c r="D11" s="42">
        <v>4</v>
      </c>
      <c r="E11" s="42" t="s">
        <v>190</v>
      </c>
      <c r="F11" s="53" t="s">
        <v>193</v>
      </c>
      <c r="G11" s="42">
        <v>6</v>
      </c>
      <c r="H11" s="42">
        <v>188</v>
      </c>
      <c r="I11" s="42">
        <v>2010</v>
      </c>
      <c r="J11" s="42" t="s">
        <v>194</v>
      </c>
      <c r="K11" s="42" t="s">
        <v>195</v>
      </c>
      <c r="L11" s="42" t="s">
        <v>196</v>
      </c>
    </row>
    <row r="12" spans="1:12" x14ac:dyDescent="0.2">
      <c r="B12" s="42">
        <v>4007</v>
      </c>
      <c r="C12" s="42">
        <v>402</v>
      </c>
      <c r="D12" s="42">
        <v>1</v>
      </c>
      <c r="E12" s="42" t="s">
        <v>197</v>
      </c>
      <c r="F12" s="42" t="s">
        <v>198</v>
      </c>
      <c r="G12" s="42">
        <v>8</v>
      </c>
      <c r="H12" s="42">
        <v>78</v>
      </c>
      <c r="I12" s="42">
        <v>2005</v>
      </c>
    </row>
    <row r="13" spans="1:12" x14ac:dyDescent="0.2">
      <c r="B13" s="42">
        <v>4008</v>
      </c>
      <c r="C13" s="42">
        <v>402</v>
      </c>
      <c r="D13" s="42">
        <v>1</v>
      </c>
      <c r="E13" s="42" t="s">
        <v>199</v>
      </c>
      <c r="F13" s="42" t="s">
        <v>200</v>
      </c>
      <c r="G13" s="42">
        <v>8</v>
      </c>
      <c r="H13" s="42">
        <v>78</v>
      </c>
      <c r="I13" s="42">
        <v>2006</v>
      </c>
    </row>
    <row r="14" spans="1:12" x14ac:dyDescent="0.2">
      <c r="B14" s="42">
        <v>4009</v>
      </c>
      <c r="C14" s="42">
        <v>402</v>
      </c>
      <c r="D14" s="42">
        <v>1</v>
      </c>
      <c r="E14" s="42" t="s">
        <v>201</v>
      </c>
      <c r="F14" s="42" t="s">
        <v>202</v>
      </c>
      <c r="G14" s="42">
        <v>8</v>
      </c>
      <c r="H14" s="42">
        <v>78</v>
      </c>
      <c r="I14" s="42">
        <v>2007</v>
      </c>
    </row>
    <row r="15" spans="1:12" x14ac:dyDescent="0.2">
      <c r="B15" s="42">
        <v>4010</v>
      </c>
      <c r="C15" s="42">
        <v>402</v>
      </c>
      <c r="D15" s="42">
        <v>2</v>
      </c>
      <c r="E15" s="42" t="s">
        <v>203</v>
      </c>
      <c r="F15" s="42" t="s">
        <v>191</v>
      </c>
      <c r="G15" s="42">
        <v>6</v>
      </c>
      <c r="H15" s="42">
        <v>30</v>
      </c>
      <c r="I15" s="42">
        <v>2008</v>
      </c>
    </row>
    <row r="16" spans="1:12" x14ac:dyDescent="0.2">
      <c r="B16" s="42">
        <v>4011</v>
      </c>
      <c r="C16" s="42">
        <v>402</v>
      </c>
      <c r="D16" s="42">
        <v>3</v>
      </c>
      <c r="E16" s="42" t="s">
        <v>203</v>
      </c>
      <c r="F16" s="42" t="s">
        <v>192</v>
      </c>
      <c r="G16" s="42">
        <v>6</v>
      </c>
      <c r="H16" s="42">
        <v>108</v>
      </c>
      <c r="I16" s="42">
        <v>2009</v>
      </c>
    </row>
    <row r="17" spans="1:12" x14ac:dyDescent="0.2">
      <c r="B17" s="42">
        <v>4012</v>
      </c>
      <c r="C17" s="42">
        <v>402</v>
      </c>
      <c r="D17" s="42">
        <v>4</v>
      </c>
      <c r="E17" s="42" t="s">
        <v>203</v>
      </c>
      <c r="F17" s="53" t="s">
        <v>193</v>
      </c>
      <c r="G17" s="42">
        <v>6</v>
      </c>
      <c r="H17" s="42">
        <v>188</v>
      </c>
      <c r="I17" s="42">
        <v>2010</v>
      </c>
      <c r="J17" s="42" t="s">
        <v>194</v>
      </c>
      <c r="K17" s="42" t="s">
        <v>195</v>
      </c>
      <c r="L17" s="42" t="s">
        <v>196</v>
      </c>
    </row>
    <row r="18" spans="1:12" s="1" customFormat="1" x14ac:dyDescent="0.2">
      <c r="A18" s="42"/>
      <c r="B18" s="42">
        <v>4013</v>
      </c>
      <c r="C18" s="42">
        <v>403</v>
      </c>
      <c r="D18" s="42">
        <v>1</v>
      </c>
      <c r="E18" s="42" t="s">
        <v>184</v>
      </c>
      <c r="F18" s="42" t="s">
        <v>185</v>
      </c>
      <c r="G18" s="42">
        <v>8</v>
      </c>
      <c r="H18" s="42">
        <v>78</v>
      </c>
      <c r="I18" s="42">
        <v>2005</v>
      </c>
      <c r="J18" s="42"/>
      <c r="K18" s="42"/>
      <c r="L18" s="42"/>
    </row>
    <row r="19" spans="1:12" s="1" customFormat="1" x14ac:dyDescent="0.2">
      <c r="A19" s="42"/>
      <c r="B19" s="42">
        <v>4014</v>
      </c>
      <c r="C19" s="42">
        <v>403</v>
      </c>
      <c r="D19" s="42">
        <v>1</v>
      </c>
      <c r="E19" s="42" t="s">
        <v>186</v>
      </c>
      <c r="F19" s="42" t="s">
        <v>187</v>
      </c>
      <c r="G19" s="42">
        <v>8</v>
      </c>
      <c r="H19" s="42">
        <v>78</v>
      </c>
      <c r="I19" s="42">
        <v>2006</v>
      </c>
      <c r="J19" s="42"/>
      <c r="K19" s="42"/>
      <c r="L19" s="42"/>
    </row>
    <row r="20" spans="1:12" s="1" customFormat="1" x14ac:dyDescent="0.2">
      <c r="A20" s="42"/>
      <c r="B20" s="42">
        <v>4015</v>
      </c>
      <c r="C20" s="42">
        <v>403</v>
      </c>
      <c r="D20" s="42">
        <v>1</v>
      </c>
      <c r="E20" s="42" t="s">
        <v>188</v>
      </c>
      <c r="F20" s="42" t="s">
        <v>189</v>
      </c>
      <c r="G20" s="42">
        <v>8</v>
      </c>
      <c r="H20" s="42">
        <v>78</v>
      </c>
      <c r="I20" s="42">
        <v>2007</v>
      </c>
      <c r="J20" s="42"/>
      <c r="K20" s="42"/>
      <c r="L20" s="42"/>
    </row>
    <row r="21" spans="1:12" s="1" customFormat="1" x14ac:dyDescent="0.2">
      <c r="A21" s="42"/>
      <c r="B21" s="42">
        <v>4016</v>
      </c>
      <c r="C21" s="42">
        <v>403</v>
      </c>
      <c r="D21" s="42">
        <v>2</v>
      </c>
      <c r="E21" s="42" t="s">
        <v>190</v>
      </c>
      <c r="F21" s="42" t="s">
        <v>191</v>
      </c>
      <c r="G21" s="42">
        <v>6</v>
      </c>
      <c r="H21" s="42">
        <v>30</v>
      </c>
      <c r="I21" s="42">
        <v>2008</v>
      </c>
      <c r="J21" s="42"/>
      <c r="K21" s="42"/>
      <c r="L21" s="42"/>
    </row>
    <row r="22" spans="1:12" x14ac:dyDescent="0.2">
      <c r="B22" s="42">
        <v>4017</v>
      </c>
      <c r="C22" s="42">
        <v>403</v>
      </c>
      <c r="D22" s="42">
        <v>3</v>
      </c>
      <c r="E22" s="42" t="s">
        <v>190</v>
      </c>
      <c r="F22" s="42" t="s">
        <v>192</v>
      </c>
      <c r="G22" s="42">
        <v>6</v>
      </c>
      <c r="H22" s="42">
        <v>108</v>
      </c>
      <c r="I22" s="42">
        <v>2009</v>
      </c>
    </row>
    <row r="23" spans="1:12" x14ac:dyDescent="0.2">
      <c r="B23" s="42">
        <v>4018</v>
      </c>
      <c r="C23" s="42">
        <v>403</v>
      </c>
      <c r="D23" s="42">
        <v>4</v>
      </c>
      <c r="E23" s="42" t="s">
        <v>190</v>
      </c>
      <c r="F23" s="54" t="s">
        <v>193</v>
      </c>
      <c r="G23" s="42">
        <v>6</v>
      </c>
      <c r="H23" s="42">
        <v>188</v>
      </c>
      <c r="I23" s="42">
        <v>2010</v>
      </c>
      <c r="J23" s="42" t="s">
        <v>194</v>
      </c>
      <c r="K23" s="42" t="s">
        <v>195</v>
      </c>
      <c r="L23" s="42" t="s">
        <v>196</v>
      </c>
    </row>
    <row r="24" spans="1:12" x14ac:dyDescent="0.2">
      <c r="B24" s="42">
        <v>4019</v>
      </c>
      <c r="C24" s="42">
        <v>404</v>
      </c>
      <c r="D24" s="42">
        <v>1</v>
      </c>
      <c r="E24" s="42" t="s">
        <v>197</v>
      </c>
      <c r="F24" s="42" t="s">
        <v>198</v>
      </c>
      <c r="G24" s="42">
        <v>8</v>
      </c>
      <c r="H24" s="42">
        <v>78</v>
      </c>
      <c r="I24" s="42">
        <v>2005</v>
      </c>
    </row>
    <row r="25" spans="1:12" x14ac:dyDescent="0.2">
      <c r="B25" s="42">
        <v>4020</v>
      </c>
      <c r="C25" s="42">
        <v>404</v>
      </c>
      <c r="D25" s="42">
        <v>1</v>
      </c>
      <c r="E25" s="42" t="s">
        <v>199</v>
      </c>
      <c r="F25" s="42" t="s">
        <v>200</v>
      </c>
      <c r="G25" s="42">
        <v>8</v>
      </c>
      <c r="H25" s="42">
        <v>78</v>
      </c>
      <c r="I25" s="42">
        <v>2006</v>
      </c>
    </row>
    <row r="26" spans="1:12" x14ac:dyDescent="0.2">
      <c r="B26" s="42">
        <v>4021</v>
      </c>
      <c r="C26" s="42">
        <v>404</v>
      </c>
      <c r="D26" s="42">
        <v>1</v>
      </c>
      <c r="E26" s="42" t="s">
        <v>201</v>
      </c>
      <c r="F26" s="42" t="s">
        <v>202</v>
      </c>
      <c r="G26" s="42">
        <v>8</v>
      </c>
      <c r="H26" s="42">
        <v>78</v>
      </c>
      <c r="I26" s="42">
        <v>2007</v>
      </c>
    </row>
    <row r="27" spans="1:12" x14ac:dyDescent="0.2">
      <c r="B27" s="42">
        <v>4022</v>
      </c>
      <c r="C27" s="42">
        <v>404</v>
      </c>
      <c r="D27" s="42">
        <v>2</v>
      </c>
      <c r="E27" s="42" t="s">
        <v>203</v>
      </c>
      <c r="F27" s="42" t="s">
        <v>191</v>
      </c>
      <c r="G27" s="42">
        <v>6</v>
      </c>
      <c r="H27" s="42">
        <v>30</v>
      </c>
      <c r="I27" s="42">
        <v>2008</v>
      </c>
    </row>
    <row r="28" spans="1:12" x14ac:dyDescent="0.2">
      <c r="B28" s="42">
        <v>4023</v>
      </c>
      <c r="C28" s="42">
        <v>404</v>
      </c>
      <c r="D28" s="42">
        <v>3</v>
      </c>
      <c r="E28" s="42" t="s">
        <v>203</v>
      </c>
      <c r="F28" s="42" t="s">
        <v>192</v>
      </c>
      <c r="G28" s="42">
        <v>6</v>
      </c>
      <c r="H28" s="42">
        <v>108</v>
      </c>
      <c r="I28" s="42">
        <v>2009</v>
      </c>
    </row>
    <row r="29" spans="1:12" x14ac:dyDescent="0.2">
      <c r="B29" s="42">
        <v>4024</v>
      </c>
      <c r="C29" s="42">
        <v>404</v>
      </c>
      <c r="D29" s="42">
        <v>4</v>
      </c>
      <c r="E29" s="42" t="s">
        <v>203</v>
      </c>
      <c r="F29" s="54" t="s">
        <v>193</v>
      </c>
      <c r="G29" s="42">
        <v>6</v>
      </c>
      <c r="H29" s="42">
        <v>188</v>
      </c>
      <c r="I29" s="42">
        <v>2010</v>
      </c>
      <c r="J29" s="42" t="s">
        <v>194</v>
      </c>
      <c r="K29" s="42" t="s">
        <v>195</v>
      </c>
      <c r="L29" s="42" t="s">
        <v>196</v>
      </c>
    </row>
    <row r="30" spans="1:12" x14ac:dyDescent="0.2">
      <c r="B30" s="48">
        <v>4025</v>
      </c>
      <c r="C30" s="48">
        <v>405</v>
      </c>
      <c r="D30" s="48">
        <v>1</v>
      </c>
      <c r="E30" s="48" t="s">
        <v>184</v>
      </c>
      <c r="F30" s="48" t="s">
        <v>185</v>
      </c>
      <c r="G30" s="48">
        <v>8</v>
      </c>
      <c r="H30" s="48">
        <v>78</v>
      </c>
      <c r="I30" s="48">
        <v>2005</v>
      </c>
      <c r="J30" s="48"/>
      <c r="K30" s="48"/>
      <c r="L30" s="48"/>
    </row>
    <row r="31" spans="1:12" x14ac:dyDescent="0.2">
      <c r="B31" s="48">
        <v>4026</v>
      </c>
      <c r="C31" s="48">
        <v>405</v>
      </c>
      <c r="D31" s="48">
        <v>1</v>
      </c>
      <c r="E31" s="48" t="s">
        <v>186</v>
      </c>
      <c r="F31" s="48" t="s">
        <v>187</v>
      </c>
      <c r="G31" s="48">
        <v>8</v>
      </c>
      <c r="H31" s="48">
        <v>78</v>
      </c>
      <c r="I31" s="48">
        <v>2006</v>
      </c>
      <c r="J31" s="48"/>
      <c r="K31" s="48"/>
      <c r="L31" s="48"/>
    </row>
    <row r="32" spans="1:12" x14ac:dyDescent="0.2">
      <c r="B32" s="48">
        <v>4027</v>
      </c>
      <c r="C32" s="48">
        <v>405</v>
      </c>
      <c r="D32" s="48">
        <v>1</v>
      </c>
      <c r="E32" s="48" t="s">
        <v>188</v>
      </c>
      <c r="F32" s="48" t="s">
        <v>189</v>
      </c>
      <c r="G32" s="48">
        <v>8</v>
      </c>
      <c r="H32" s="48">
        <v>78</v>
      </c>
      <c r="I32" s="48">
        <v>2007</v>
      </c>
      <c r="J32" s="48"/>
      <c r="K32" s="48"/>
      <c r="L32" s="48"/>
    </row>
    <row r="33" spans="1:12" x14ac:dyDescent="0.2">
      <c r="B33" s="48">
        <v>4028</v>
      </c>
      <c r="C33" s="48">
        <v>405</v>
      </c>
      <c r="D33" s="48">
        <v>2</v>
      </c>
      <c r="E33" s="48" t="s">
        <v>190</v>
      </c>
      <c r="F33" s="48" t="s">
        <v>191</v>
      </c>
      <c r="G33" s="48">
        <v>6</v>
      </c>
      <c r="H33" s="48">
        <v>30</v>
      </c>
      <c r="I33" s="48">
        <v>2008</v>
      </c>
      <c r="J33" s="48"/>
      <c r="K33" s="48"/>
      <c r="L33" s="48"/>
    </row>
    <row r="34" spans="1:12" x14ac:dyDescent="0.2">
      <c r="B34" s="48">
        <v>4029</v>
      </c>
      <c r="C34" s="48">
        <v>405</v>
      </c>
      <c r="D34" s="48">
        <v>3</v>
      </c>
      <c r="E34" s="48" t="s">
        <v>190</v>
      </c>
      <c r="F34" s="48" t="s">
        <v>192</v>
      </c>
      <c r="G34" s="48">
        <v>6</v>
      </c>
      <c r="H34" s="48">
        <v>108</v>
      </c>
      <c r="I34" s="48">
        <v>2009</v>
      </c>
      <c r="J34" s="48"/>
      <c r="K34" s="48"/>
      <c r="L34" s="48"/>
    </row>
    <row r="35" spans="1:12" x14ac:dyDescent="0.2">
      <c r="B35" s="48">
        <v>4030</v>
      </c>
      <c r="C35" s="48">
        <v>405</v>
      </c>
      <c r="D35" s="48">
        <v>4</v>
      </c>
      <c r="E35" s="48" t="s">
        <v>190</v>
      </c>
      <c r="F35" s="53" t="s">
        <v>193</v>
      </c>
      <c r="G35" s="48">
        <v>6</v>
      </c>
      <c r="H35" s="48">
        <v>188</v>
      </c>
      <c r="I35" s="48">
        <v>2010</v>
      </c>
      <c r="J35" s="48" t="s">
        <v>194</v>
      </c>
      <c r="K35" s="48" t="s">
        <v>204</v>
      </c>
      <c r="L35" s="48" t="s">
        <v>196</v>
      </c>
    </row>
    <row r="36" spans="1:12" x14ac:dyDescent="0.2">
      <c r="B36" s="48">
        <v>4031</v>
      </c>
      <c r="C36" s="48">
        <v>406</v>
      </c>
      <c r="D36" s="48">
        <v>1</v>
      </c>
      <c r="E36" s="48" t="s">
        <v>197</v>
      </c>
      <c r="F36" s="48" t="s">
        <v>198</v>
      </c>
      <c r="G36" s="48">
        <v>8</v>
      </c>
      <c r="H36" s="48">
        <v>78</v>
      </c>
      <c r="I36" s="48">
        <v>2005</v>
      </c>
      <c r="J36" s="48"/>
      <c r="K36" s="48"/>
      <c r="L36" s="48"/>
    </row>
    <row r="37" spans="1:12" x14ac:dyDescent="0.2">
      <c r="B37" s="48">
        <v>4032</v>
      </c>
      <c r="C37" s="48">
        <v>406</v>
      </c>
      <c r="D37" s="48">
        <v>1</v>
      </c>
      <c r="E37" s="48" t="s">
        <v>199</v>
      </c>
      <c r="F37" s="48" t="s">
        <v>200</v>
      </c>
      <c r="G37" s="48">
        <v>8</v>
      </c>
      <c r="H37" s="48">
        <v>78</v>
      </c>
      <c r="I37" s="48">
        <v>2006</v>
      </c>
      <c r="J37" s="48"/>
      <c r="K37" s="48"/>
      <c r="L37" s="48"/>
    </row>
    <row r="38" spans="1:12" x14ac:dyDescent="0.2">
      <c r="B38" s="48">
        <v>4033</v>
      </c>
      <c r="C38" s="48">
        <v>406</v>
      </c>
      <c r="D38" s="48">
        <v>1</v>
      </c>
      <c r="E38" s="48" t="s">
        <v>201</v>
      </c>
      <c r="F38" s="48" t="s">
        <v>202</v>
      </c>
      <c r="G38" s="48">
        <v>8</v>
      </c>
      <c r="H38" s="48">
        <v>78</v>
      </c>
      <c r="I38" s="48">
        <v>2007</v>
      </c>
      <c r="J38" s="48"/>
      <c r="K38" s="48"/>
      <c r="L38" s="48"/>
    </row>
    <row r="39" spans="1:12" x14ac:dyDescent="0.2">
      <c r="B39" s="48">
        <v>4034</v>
      </c>
      <c r="C39" s="48">
        <v>406</v>
      </c>
      <c r="D39" s="48">
        <v>2</v>
      </c>
      <c r="E39" s="48" t="s">
        <v>203</v>
      </c>
      <c r="F39" s="48" t="s">
        <v>191</v>
      </c>
      <c r="G39" s="48">
        <v>6</v>
      </c>
      <c r="H39" s="48">
        <v>30</v>
      </c>
      <c r="I39" s="48">
        <v>2008</v>
      </c>
      <c r="J39" s="48"/>
      <c r="K39" s="48"/>
      <c r="L39" s="48"/>
    </row>
    <row r="40" spans="1:12" x14ac:dyDescent="0.2">
      <c r="A40" s="48"/>
      <c r="B40" s="48">
        <v>4035</v>
      </c>
      <c r="C40" s="48">
        <v>406</v>
      </c>
      <c r="D40" s="48">
        <v>3</v>
      </c>
      <c r="E40" s="48" t="s">
        <v>203</v>
      </c>
      <c r="F40" s="48" t="s">
        <v>192</v>
      </c>
      <c r="G40" s="48">
        <v>6</v>
      </c>
      <c r="H40" s="48">
        <v>108</v>
      </c>
      <c r="I40" s="48">
        <v>2009</v>
      </c>
      <c r="J40" s="48"/>
      <c r="K40" s="48"/>
      <c r="L40" s="48"/>
    </row>
    <row r="41" spans="1:12" x14ac:dyDescent="0.2">
      <c r="A41" s="48"/>
      <c r="B41" s="48">
        <v>4036</v>
      </c>
      <c r="C41" s="48">
        <v>406</v>
      </c>
      <c r="D41" s="48">
        <v>4</v>
      </c>
      <c r="E41" s="48" t="s">
        <v>203</v>
      </c>
      <c r="F41" s="53" t="s">
        <v>193</v>
      </c>
      <c r="G41" s="48">
        <v>6</v>
      </c>
      <c r="H41" s="48">
        <v>188</v>
      </c>
      <c r="I41" s="48">
        <v>2010</v>
      </c>
      <c r="J41" s="48" t="s">
        <v>194</v>
      </c>
      <c r="K41" s="48" t="s">
        <v>204</v>
      </c>
      <c r="L41" s="48" t="s">
        <v>196</v>
      </c>
    </row>
    <row r="42" spans="1:12" x14ac:dyDescent="0.2">
      <c r="A42" s="48"/>
      <c r="B42" s="48">
        <v>4037</v>
      </c>
      <c r="C42" s="48">
        <v>407</v>
      </c>
      <c r="D42" s="48">
        <v>1</v>
      </c>
      <c r="E42" s="48" t="s">
        <v>197</v>
      </c>
      <c r="F42" s="48" t="s">
        <v>198</v>
      </c>
      <c r="G42" s="48">
        <v>8</v>
      </c>
      <c r="H42" s="48">
        <v>78</v>
      </c>
      <c r="I42" s="48">
        <v>2005</v>
      </c>
      <c r="J42" s="48"/>
      <c r="K42" s="48"/>
      <c r="L42" s="48"/>
    </row>
    <row r="43" spans="1:12" x14ac:dyDescent="0.2">
      <c r="A43" s="48"/>
      <c r="B43" s="48">
        <v>4038</v>
      </c>
      <c r="C43" s="48">
        <v>407</v>
      </c>
      <c r="D43" s="48">
        <v>1</v>
      </c>
      <c r="E43" s="48" t="s">
        <v>199</v>
      </c>
      <c r="F43" s="48" t="s">
        <v>200</v>
      </c>
      <c r="G43" s="48">
        <v>8</v>
      </c>
      <c r="H43" s="48">
        <v>78</v>
      </c>
      <c r="I43" s="48">
        <v>2006</v>
      </c>
      <c r="J43" s="48"/>
      <c r="K43" s="48"/>
      <c r="L43" s="48"/>
    </row>
    <row r="44" spans="1:12" x14ac:dyDescent="0.2">
      <c r="A44" s="48"/>
      <c r="B44" s="48">
        <v>4039</v>
      </c>
      <c r="C44" s="48">
        <v>407</v>
      </c>
      <c r="D44" s="48">
        <v>1</v>
      </c>
      <c r="E44" s="48" t="s">
        <v>201</v>
      </c>
      <c r="F44" s="48" t="s">
        <v>202</v>
      </c>
      <c r="G44" s="48">
        <v>8</v>
      </c>
      <c r="H44" s="48">
        <v>78</v>
      </c>
      <c r="I44" s="48">
        <v>2007</v>
      </c>
      <c r="J44" s="48"/>
      <c r="K44" s="48"/>
      <c r="L44" s="48"/>
    </row>
    <row r="45" spans="1:12" x14ac:dyDescent="0.2">
      <c r="A45" s="48"/>
      <c r="B45" s="48">
        <v>4040</v>
      </c>
      <c r="C45" s="48">
        <v>407</v>
      </c>
      <c r="D45" s="48">
        <v>2</v>
      </c>
      <c r="E45" s="48" t="s">
        <v>203</v>
      </c>
      <c r="F45" s="48" t="s">
        <v>191</v>
      </c>
      <c r="G45" s="48">
        <v>6</v>
      </c>
      <c r="H45" s="48">
        <v>30</v>
      </c>
      <c r="I45" s="48">
        <v>2008</v>
      </c>
      <c r="J45" s="48"/>
      <c r="K45" s="48"/>
      <c r="L45" s="48"/>
    </row>
    <row r="46" spans="1:12" x14ac:dyDescent="0.2">
      <c r="A46" s="48"/>
      <c r="B46" s="48">
        <v>4041</v>
      </c>
      <c r="C46" s="48">
        <v>407</v>
      </c>
      <c r="D46" s="48">
        <v>3</v>
      </c>
      <c r="E46" s="48" t="s">
        <v>203</v>
      </c>
      <c r="F46" s="48" t="s">
        <v>192</v>
      </c>
      <c r="G46" s="48">
        <v>6</v>
      </c>
      <c r="H46" s="48">
        <v>108</v>
      </c>
      <c r="I46" s="48">
        <v>2009</v>
      </c>
      <c r="J46" s="48"/>
      <c r="K46" s="48"/>
      <c r="L46" s="48"/>
    </row>
    <row r="47" spans="1:12" x14ac:dyDescent="0.2">
      <c r="A47" s="48"/>
      <c r="B47" s="48">
        <v>4042</v>
      </c>
      <c r="C47" s="48">
        <v>407</v>
      </c>
      <c r="D47" s="48">
        <v>4</v>
      </c>
      <c r="E47" s="48" t="s">
        <v>203</v>
      </c>
      <c r="F47" s="53" t="s">
        <v>193</v>
      </c>
      <c r="G47" s="48">
        <v>6</v>
      </c>
      <c r="H47" s="48">
        <v>188</v>
      </c>
      <c r="I47" s="48">
        <v>2010</v>
      </c>
      <c r="J47" s="48" t="s">
        <v>194</v>
      </c>
      <c r="K47" s="48" t="s">
        <v>204</v>
      </c>
      <c r="L47" s="48" t="s">
        <v>196</v>
      </c>
    </row>
    <row r="48" spans="1:12" x14ac:dyDescent="0.2">
      <c r="A48" s="48"/>
      <c r="B48" s="48">
        <v>4043</v>
      </c>
      <c r="C48" s="48">
        <v>408</v>
      </c>
      <c r="D48" s="48">
        <v>1</v>
      </c>
      <c r="E48" s="48" t="s">
        <v>197</v>
      </c>
      <c r="F48" s="48" t="s">
        <v>198</v>
      </c>
      <c r="G48" s="48">
        <v>8</v>
      </c>
      <c r="H48" s="48">
        <v>78</v>
      </c>
      <c r="I48" s="48">
        <v>2005</v>
      </c>
      <c r="J48" s="48"/>
      <c r="K48" s="48"/>
      <c r="L48" s="48"/>
    </row>
    <row r="49" spans="1:12" x14ac:dyDescent="0.2">
      <c r="A49" s="48"/>
      <c r="B49" s="48">
        <v>4044</v>
      </c>
      <c r="C49" s="48">
        <v>408</v>
      </c>
      <c r="D49" s="48">
        <v>1</v>
      </c>
      <c r="E49" s="48" t="s">
        <v>199</v>
      </c>
      <c r="F49" s="48" t="s">
        <v>200</v>
      </c>
      <c r="G49" s="48">
        <v>8</v>
      </c>
      <c r="H49" s="48">
        <v>78</v>
      </c>
      <c r="I49" s="48">
        <v>2006</v>
      </c>
      <c r="J49" s="48"/>
      <c r="K49" s="48"/>
      <c r="L49" s="48"/>
    </row>
    <row r="50" spans="1:12" x14ac:dyDescent="0.2">
      <c r="A50" s="48"/>
      <c r="B50" s="48">
        <v>4045</v>
      </c>
      <c r="C50" s="48">
        <v>408</v>
      </c>
      <c r="D50" s="48">
        <v>1</v>
      </c>
      <c r="E50" s="48" t="s">
        <v>201</v>
      </c>
      <c r="F50" s="48" t="s">
        <v>202</v>
      </c>
      <c r="G50" s="48">
        <v>8</v>
      </c>
      <c r="H50" s="48">
        <v>78</v>
      </c>
      <c r="I50" s="48">
        <v>2007</v>
      </c>
      <c r="J50" s="48"/>
      <c r="K50" s="48"/>
      <c r="L50" s="48"/>
    </row>
    <row r="51" spans="1:12" x14ac:dyDescent="0.2">
      <c r="A51" s="48"/>
      <c r="B51" s="48">
        <v>4046</v>
      </c>
      <c r="C51" s="48">
        <v>408</v>
      </c>
      <c r="D51" s="48">
        <v>2</v>
      </c>
      <c r="E51" s="48" t="s">
        <v>203</v>
      </c>
      <c r="F51" s="48" t="s">
        <v>191</v>
      </c>
      <c r="G51" s="48">
        <v>6</v>
      </c>
      <c r="H51" s="48">
        <v>30</v>
      </c>
      <c r="I51" s="48">
        <v>2008</v>
      </c>
      <c r="J51" s="48"/>
      <c r="K51" s="48"/>
      <c r="L51" s="48"/>
    </row>
    <row r="52" spans="1:12" x14ac:dyDescent="0.2">
      <c r="A52" s="48"/>
      <c r="B52" s="48">
        <v>4047</v>
      </c>
      <c r="C52" s="48">
        <v>408</v>
      </c>
      <c r="D52" s="48">
        <v>3</v>
      </c>
      <c r="E52" s="48" t="s">
        <v>203</v>
      </c>
      <c r="F52" s="48" t="s">
        <v>192</v>
      </c>
      <c r="G52" s="48">
        <v>6</v>
      </c>
      <c r="H52" s="48">
        <v>108</v>
      </c>
      <c r="I52" s="48">
        <v>2009</v>
      </c>
      <c r="J52" s="48"/>
      <c r="K52" s="48"/>
      <c r="L52" s="48"/>
    </row>
    <row r="53" spans="1:12" x14ac:dyDescent="0.2">
      <c r="A53" s="48"/>
      <c r="B53" s="48">
        <v>4048</v>
      </c>
      <c r="C53" s="48">
        <v>408</v>
      </c>
      <c r="D53" s="48">
        <v>4</v>
      </c>
      <c r="E53" s="48" t="s">
        <v>203</v>
      </c>
      <c r="F53" s="53" t="s">
        <v>193</v>
      </c>
      <c r="G53" s="48">
        <v>6</v>
      </c>
      <c r="H53" s="48">
        <v>188</v>
      </c>
      <c r="I53" s="48">
        <v>2010</v>
      </c>
      <c r="J53" s="48" t="s">
        <v>194</v>
      </c>
      <c r="K53" s="48" t="s">
        <v>204</v>
      </c>
      <c r="L53" s="48" t="s">
        <v>196</v>
      </c>
    </row>
    <row r="54" spans="1:12" x14ac:dyDescent="0.2">
      <c r="A54" s="48"/>
      <c r="B54" s="51">
        <v>4049</v>
      </c>
      <c r="C54" s="51">
        <v>409</v>
      </c>
      <c r="D54" s="51">
        <v>1</v>
      </c>
      <c r="E54" s="51" t="s">
        <v>197</v>
      </c>
      <c r="F54" s="51" t="s">
        <v>198</v>
      </c>
      <c r="G54" s="51">
        <v>8</v>
      </c>
      <c r="H54" s="51">
        <v>78</v>
      </c>
      <c r="I54" s="51">
        <v>2005</v>
      </c>
      <c r="J54" s="51"/>
      <c r="K54" s="51"/>
      <c r="L54" s="51"/>
    </row>
    <row r="55" spans="1:12" x14ac:dyDescent="0.2">
      <c r="A55" s="48"/>
      <c r="B55" s="51">
        <v>4050</v>
      </c>
      <c r="C55" s="51">
        <v>409</v>
      </c>
      <c r="D55" s="51">
        <v>1</v>
      </c>
      <c r="E55" s="51" t="s">
        <v>199</v>
      </c>
      <c r="F55" s="51" t="s">
        <v>200</v>
      </c>
      <c r="G55" s="51">
        <v>8</v>
      </c>
      <c r="H55" s="51">
        <v>78</v>
      </c>
      <c r="I55" s="51">
        <v>2006</v>
      </c>
      <c r="J55" s="51"/>
      <c r="K55" s="51"/>
      <c r="L55" s="51"/>
    </row>
    <row r="56" spans="1:12" x14ac:dyDescent="0.2">
      <c r="A56" s="48"/>
      <c r="B56" s="51">
        <v>4051</v>
      </c>
      <c r="C56" s="51">
        <v>409</v>
      </c>
      <c r="D56" s="51">
        <v>1</v>
      </c>
      <c r="E56" s="51" t="s">
        <v>201</v>
      </c>
      <c r="F56" s="51" t="s">
        <v>202</v>
      </c>
      <c r="G56" s="51">
        <v>8</v>
      </c>
      <c r="H56" s="51">
        <v>78</v>
      </c>
      <c r="I56" s="51">
        <v>2007</v>
      </c>
      <c r="J56" s="51"/>
      <c r="K56" s="51"/>
      <c r="L56" s="51"/>
    </row>
    <row r="57" spans="1:12" x14ac:dyDescent="0.2">
      <c r="A57" s="48"/>
      <c r="B57" s="51">
        <v>4052</v>
      </c>
      <c r="C57" s="51">
        <v>409</v>
      </c>
      <c r="D57" s="51">
        <v>2</v>
      </c>
      <c r="E57" s="51" t="s">
        <v>203</v>
      </c>
      <c r="F57" s="51" t="s">
        <v>191</v>
      </c>
      <c r="G57" s="51">
        <v>6</v>
      </c>
      <c r="H57" s="51">
        <v>30</v>
      </c>
      <c r="I57" s="51">
        <v>2008</v>
      </c>
      <c r="J57" s="51"/>
      <c r="K57" s="51"/>
      <c r="L57" s="51"/>
    </row>
    <row r="58" spans="1:12" x14ac:dyDescent="0.2">
      <c r="A58" s="48"/>
      <c r="B58" s="51">
        <v>4053</v>
      </c>
      <c r="C58" s="51">
        <v>409</v>
      </c>
      <c r="D58" s="51">
        <v>3</v>
      </c>
      <c r="E58" s="51" t="s">
        <v>203</v>
      </c>
      <c r="F58" s="51" t="s">
        <v>192</v>
      </c>
      <c r="G58" s="51">
        <v>6</v>
      </c>
      <c r="H58" s="51">
        <v>108</v>
      </c>
      <c r="I58" s="51">
        <v>2009</v>
      </c>
      <c r="J58" s="51"/>
      <c r="K58" s="51"/>
      <c r="L58" s="51"/>
    </row>
    <row r="59" spans="1:12" x14ac:dyDescent="0.2">
      <c r="A59" s="48"/>
      <c r="B59" s="51">
        <v>4054</v>
      </c>
      <c r="C59" s="51">
        <v>409</v>
      </c>
      <c r="D59" s="51">
        <v>4</v>
      </c>
      <c r="E59" s="51" t="s">
        <v>203</v>
      </c>
      <c r="F59" s="55" t="s">
        <v>193</v>
      </c>
      <c r="G59" s="51">
        <v>6</v>
      </c>
      <c r="H59" s="51">
        <v>188</v>
      </c>
      <c r="I59" s="51">
        <v>2010</v>
      </c>
      <c r="J59" s="51" t="s">
        <v>194</v>
      </c>
      <c r="K59" s="51" t="s">
        <v>204</v>
      </c>
      <c r="L59" s="51" t="s">
        <v>196</v>
      </c>
    </row>
    <row r="60" spans="1:12" x14ac:dyDescent="0.2">
      <c r="A60" s="48"/>
      <c r="B60" s="48">
        <v>4055</v>
      </c>
      <c r="C60" s="48">
        <v>410</v>
      </c>
      <c r="D60" s="48">
        <v>1</v>
      </c>
      <c r="E60" s="48" t="s">
        <v>184</v>
      </c>
      <c r="F60" s="48" t="s">
        <v>185</v>
      </c>
      <c r="G60" s="48">
        <v>8</v>
      </c>
      <c r="H60" s="48">
        <v>78</v>
      </c>
      <c r="I60" s="48">
        <v>2005</v>
      </c>
      <c r="J60" s="48"/>
      <c r="K60" s="48"/>
      <c r="L60" s="48"/>
    </row>
    <row r="61" spans="1:12" x14ac:dyDescent="0.2">
      <c r="A61" s="48"/>
      <c r="B61" s="48">
        <v>4056</v>
      </c>
      <c r="C61" s="48">
        <v>410</v>
      </c>
      <c r="D61" s="48">
        <v>1</v>
      </c>
      <c r="E61" s="48" t="s">
        <v>186</v>
      </c>
      <c r="F61" s="48" t="s">
        <v>187</v>
      </c>
      <c r="G61" s="48">
        <v>8</v>
      </c>
      <c r="H61" s="48">
        <v>78</v>
      </c>
      <c r="I61" s="48">
        <v>2006</v>
      </c>
      <c r="J61" s="48"/>
      <c r="K61" s="48"/>
      <c r="L61" s="48"/>
    </row>
    <row r="62" spans="1:12" x14ac:dyDescent="0.2">
      <c r="A62" s="48"/>
      <c r="B62" s="48">
        <v>4057</v>
      </c>
      <c r="C62" s="48">
        <v>410</v>
      </c>
      <c r="D62" s="48">
        <v>1</v>
      </c>
      <c r="E62" s="48" t="s">
        <v>188</v>
      </c>
      <c r="F62" s="48" t="s">
        <v>189</v>
      </c>
      <c r="G62" s="48">
        <v>8</v>
      </c>
      <c r="H62" s="48">
        <v>78</v>
      </c>
      <c r="I62" s="48">
        <v>2007</v>
      </c>
      <c r="J62" s="48"/>
      <c r="K62" s="48"/>
      <c r="L62" s="48"/>
    </row>
    <row r="63" spans="1:12" x14ac:dyDescent="0.2">
      <c r="A63" s="48"/>
      <c r="B63" s="48">
        <v>4058</v>
      </c>
      <c r="C63" s="48">
        <v>410</v>
      </c>
      <c r="D63" s="48">
        <v>2</v>
      </c>
      <c r="E63" s="48" t="s">
        <v>190</v>
      </c>
      <c r="F63" s="48" t="s">
        <v>191</v>
      </c>
      <c r="G63" s="48">
        <v>6</v>
      </c>
      <c r="H63" s="48">
        <v>30</v>
      </c>
      <c r="I63" s="48">
        <v>2008</v>
      </c>
      <c r="J63" s="48"/>
      <c r="K63" s="48"/>
      <c r="L63" s="48"/>
    </row>
    <row r="64" spans="1:12" x14ac:dyDescent="0.2">
      <c r="A64" s="51"/>
      <c r="B64" s="48">
        <v>4059</v>
      </c>
      <c r="C64" s="48">
        <v>410</v>
      </c>
      <c r="D64" s="48">
        <v>3</v>
      </c>
      <c r="E64" s="48" t="s">
        <v>190</v>
      </c>
      <c r="F64" s="48" t="s">
        <v>192</v>
      </c>
      <c r="G64" s="48">
        <v>6</v>
      </c>
      <c r="H64" s="48">
        <v>108</v>
      </c>
      <c r="I64" s="48">
        <v>2009</v>
      </c>
      <c r="J64" s="48"/>
      <c r="K64" s="48"/>
      <c r="L64" s="48"/>
    </row>
    <row r="65" spans="1:12" x14ac:dyDescent="0.2">
      <c r="A65" s="51"/>
      <c r="B65" s="48">
        <v>4060</v>
      </c>
      <c r="C65" s="48">
        <v>410</v>
      </c>
      <c r="D65" s="48">
        <v>4</v>
      </c>
      <c r="E65" s="48" t="s">
        <v>190</v>
      </c>
      <c r="F65" s="53" t="s">
        <v>193</v>
      </c>
      <c r="G65" s="48">
        <v>6</v>
      </c>
      <c r="H65" s="48">
        <v>188</v>
      </c>
      <c r="I65" s="48">
        <v>2010</v>
      </c>
      <c r="J65" s="48" t="s">
        <v>194</v>
      </c>
      <c r="K65" s="48" t="s">
        <v>204</v>
      </c>
      <c r="L65" s="48" t="s">
        <v>196</v>
      </c>
    </row>
    <row r="66" spans="1:12" x14ac:dyDescent="0.2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</row>
    <row r="67" spans="1:12" x14ac:dyDescent="0.2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</row>
    <row r="68" spans="1:12" x14ac:dyDescent="0.2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</row>
    <row r="69" spans="1:12" x14ac:dyDescent="0.2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</row>
  </sheetData>
  <phoneticPr fontId="1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"/>
  <sheetViews>
    <sheetView workbookViewId="0">
      <selection activeCell="R8" sqref="R8"/>
    </sheetView>
  </sheetViews>
  <sheetFormatPr defaultColWidth="9" defaultRowHeight="14.25" x14ac:dyDescent="0.2"/>
  <cols>
    <col min="1" max="2" width="9" style="2"/>
    <col min="3" max="3" width="14.125" style="2" customWidth="1"/>
    <col min="4" max="4" width="15.125" style="2" customWidth="1"/>
    <col min="5" max="5" width="16.5" style="2" customWidth="1"/>
    <col min="6" max="6" width="14.25" customWidth="1"/>
    <col min="7" max="7" width="9" style="2"/>
    <col min="8" max="10" width="13.75" style="2" customWidth="1"/>
    <col min="11" max="11" width="9.125" style="2" customWidth="1"/>
    <col min="12" max="12" width="24" style="2" customWidth="1"/>
    <col min="13" max="15" width="9" style="2"/>
    <col min="16" max="16" width="26" style="2" customWidth="1"/>
    <col min="17" max="16384" width="9" style="2"/>
  </cols>
  <sheetData>
    <row r="1" spans="1:18" x14ac:dyDescent="0.2">
      <c r="A1" t="s">
        <v>0</v>
      </c>
      <c r="B1" s="2" t="s">
        <v>28</v>
      </c>
      <c r="C1" s="38" t="s">
        <v>125</v>
      </c>
      <c r="D1" s="2" t="s">
        <v>31</v>
      </c>
      <c r="E1" s="38" t="s">
        <v>126</v>
      </c>
      <c r="F1" s="2" t="s">
        <v>31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31</v>
      </c>
      <c r="L1" s="2" t="s">
        <v>29</v>
      </c>
      <c r="M1" s="2" t="s">
        <v>93</v>
      </c>
      <c r="N1" s="2" t="s">
        <v>31</v>
      </c>
      <c r="O1" s="2" t="s">
        <v>94</v>
      </c>
      <c r="P1" s="2" t="s">
        <v>35</v>
      </c>
      <c r="Q1" t="s">
        <v>37</v>
      </c>
      <c r="R1" s="2" t="s">
        <v>38</v>
      </c>
    </row>
    <row r="2" spans="1:18" x14ac:dyDescent="0.2">
      <c r="A2" t="s">
        <v>7</v>
      </c>
      <c r="B2" s="3" t="s">
        <v>1</v>
      </c>
      <c r="C2" s="39" t="s">
        <v>127</v>
      </c>
      <c r="D2" s="4"/>
      <c r="E2" s="39" t="s">
        <v>128</v>
      </c>
      <c r="F2" s="4"/>
      <c r="G2" s="3" t="s">
        <v>95</v>
      </c>
      <c r="H2" s="3" t="s">
        <v>96</v>
      </c>
      <c r="I2" s="3" t="s">
        <v>97</v>
      </c>
      <c r="J2" s="3" t="s">
        <v>45</v>
      </c>
      <c r="K2" s="4"/>
      <c r="L2" s="3" t="s">
        <v>44</v>
      </c>
      <c r="M2" s="3" t="s">
        <v>98</v>
      </c>
      <c r="N2" s="4"/>
      <c r="O2" s="3" t="s">
        <v>48</v>
      </c>
      <c r="P2" s="3" t="s">
        <v>49</v>
      </c>
      <c r="Q2" s="7" t="s">
        <v>51</v>
      </c>
      <c r="R2" s="7" t="s">
        <v>52</v>
      </c>
    </row>
    <row r="3" spans="1:18" x14ac:dyDescent="0.2">
      <c r="A3" t="s">
        <v>12</v>
      </c>
      <c r="B3" s="3" t="s">
        <v>13</v>
      </c>
      <c r="C3" s="3" t="s">
        <v>13</v>
      </c>
      <c r="D3" s="4" t="s">
        <v>14</v>
      </c>
      <c r="E3" s="3" t="s">
        <v>13</v>
      </c>
      <c r="F3" s="4" t="s">
        <v>14</v>
      </c>
      <c r="G3" s="3" t="s">
        <v>13</v>
      </c>
      <c r="H3" s="3" t="s">
        <v>13</v>
      </c>
      <c r="I3" s="3" t="s">
        <v>99</v>
      </c>
      <c r="J3" s="3" t="s">
        <v>100</v>
      </c>
      <c r="K3" s="4" t="s">
        <v>14</v>
      </c>
      <c r="L3" s="3" t="s">
        <v>15</v>
      </c>
      <c r="M3" s="3" t="s">
        <v>13</v>
      </c>
      <c r="N3" s="4" t="s">
        <v>14</v>
      </c>
      <c r="O3" s="3" t="s">
        <v>14</v>
      </c>
      <c r="P3" s="3" t="s">
        <v>99</v>
      </c>
      <c r="Q3" s="7" t="s">
        <v>14</v>
      </c>
      <c r="R3" s="7" t="s">
        <v>14</v>
      </c>
    </row>
    <row r="4" spans="1:18" x14ac:dyDescent="0.2">
      <c r="A4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  <c r="N4" s="3" t="s">
        <v>17</v>
      </c>
      <c r="O4" s="3" t="s">
        <v>17</v>
      </c>
      <c r="P4" s="3" t="s">
        <v>17</v>
      </c>
      <c r="Q4" s="3" t="s">
        <v>17</v>
      </c>
      <c r="R4" s="3" t="s">
        <v>17</v>
      </c>
    </row>
    <row r="5" spans="1:18" x14ac:dyDescent="0.2">
      <c r="A5" t="s">
        <v>18</v>
      </c>
      <c r="B5" s="3">
        <v>0</v>
      </c>
      <c r="C5" s="3">
        <v>0</v>
      </c>
      <c r="D5" s="4"/>
      <c r="E5" s="3">
        <v>0</v>
      </c>
      <c r="F5" s="4"/>
      <c r="G5" s="3">
        <v>1</v>
      </c>
      <c r="H5" s="3">
        <v>1</v>
      </c>
      <c r="I5" s="3">
        <v>1</v>
      </c>
      <c r="J5" s="3" t="s">
        <v>19</v>
      </c>
      <c r="K5" s="4"/>
      <c r="L5" s="3" t="s">
        <v>19</v>
      </c>
      <c r="M5" s="3"/>
      <c r="N5" s="4">
        <v>0</v>
      </c>
      <c r="O5" s="3">
        <v>10</v>
      </c>
      <c r="P5" s="3"/>
      <c r="Q5" s="7">
        <v>0</v>
      </c>
      <c r="R5" s="7">
        <v>0</v>
      </c>
    </row>
    <row r="6" spans="1:18" x14ac:dyDescent="0.2">
      <c r="A6" s="2" t="s">
        <v>101</v>
      </c>
      <c r="B6" s="2">
        <v>5001</v>
      </c>
      <c r="C6" s="41">
        <v>200011</v>
      </c>
      <c r="D6" s="38" t="s">
        <v>129</v>
      </c>
      <c r="E6" s="41">
        <v>200012</v>
      </c>
      <c r="F6" s="2" t="s">
        <v>132</v>
      </c>
      <c r="G6" s="2">
        <v>501</v>
      </c>
      <c r="H6" s="2">
        <v>1</v>
      </c>
      <c r="I6" s="9" t="s">
        <v>102</v>
      </c>
      <c r="J6" s="2" t="s">
        <v>103</v>
      </c>
      <c r="K6" s="10" t="s">
        <v>104</v>
      </c>
      <c r="L6" s="2" t="s">
        <v>105</v>
      </c>
      <c r="M6" s="2">
        <v>200013</v>
      </c>
      <c r="N6" s="2" t="s">
        <v>106</v>
      </c>
      <c r="O6" s="2">
        <v>0.5</v>
      </c>
      <c r="P6" s="38" t="s">
        <v>122</v>
      </c>
    </row>
    <row r="7" spans="1:18" x14ac:dyDescent="0.2">
      <c r="B7" s="2">
        <v>5002</v>
      </c>
      <c r="C7" s="41">
        <v>200021</v>
      </c>
      <c r="D7" s="38" t="s">
        <v>130</v>
      </c>
      <c r="E7" s="41">
        <v>200022</v>
      </c>
      <c r="F7" s="2" t="s">
        <v>133</v>
      </c>
      <c r="G7" s="2">
        <v>501</v>
      </c>
      <c r="H7" s="2">
        <v>1</v>
      </c>
      <c r="I7" s="9">
        <v>6</v>
      </c>
      <c r="J7" s="2" t="s">
        <v>107</v>
      </c>
      <c r="K7" s="10" t="s">
        <v>108</v>
      </c>
      <c r="L7" s="2" t="s">
        <v>109</v>
      </c>
      <c r="M7" s="2">
        <v>200023</v>
      </c>
      <c r="N7" s="2" t="s">
        <v>110</v>
      </c>
      <c r="O7" s="2">
        <v>0.5</v>
      </c>
      <c r="P7" s="38" t="s">
        <v>123</v>
      </c>
    </row>
    <row r="8" spans="1:18" x14ac:dyDescent="0.2">
      <c r="B8" s="2">
        <v>5003</v>
      </c>
      <c r="C8" s="41">
        <v>200031</v>
      </c>
      <c r="D8" s="38" t="s">
        <v>131</v>
      </c>
      <c r="E8" s="41">
        <v>200032</v>
      </c>
      <c r="F8" s="2" t="s">
        <v>134</v>
      </c>
      <c r="G8" s="2">
        <v>501</v>
      </c>
      <c r="H8" s="2">
        <v>1</v>
      </c>
      <c r="I8" s="9" t="s">
        <v>111</v>
      </c>
      <c r="J8" s="2" t="s">
        <v>112</v>
      </c>
      <c r="K8" s="10" t="s">
        <v>113</v>
      </c>
      <c r="L8" s="2" t="s">
        <v>114</v>
      </c>
      <c r="M8" s="2">
        <v>200033</v>
      </c>
      <c r="N8" s="2" t="s">
        <v>115</v>
      </c>
      <c r="O8" s="2">
        <v>0.5</v>
      </c>
      <c r="P8" s="38" t="s">
        <v>124</v>
      </c>
      <c r="Q8" t="s">
        <v>116</v>
      </c>
      <c r="R8" t="s">
        <v>117</v>
      </c>
    </row>
    <row r="9" spans="1:18" s="8" customFormat="1" x14ac:dyDescent="0.2">
      <c r="C9" s="40"/>
      <c r="E9" s="40"/>
    </row>
    <row r="10" spans="1:18" s="8" customFormat="1" x14ac:dyDescent="0.2"/>
    <row r="11" spans="1:18" s="8" customFormat="1" x14ac:dyDescent="0.2"/>
    <row r="12" spans="1:18" s="8" customFormat="1" x14ac:dyDescent="0.2"/>
    <row r="13" spans="1:18" s="8" customFormat="1" x14ac:dyDescent="0.2"/>
    <row r="14" spans="1:18" s="8" customFormat="1" x14ac:dyDescent="0.2"/>
    <row r="15" spans="1:18" s="8" customFormat="1" x14ac:dyDescent="0.2"/>
    <row r="16" spans="1:18" s="8" customFormat="1" x14ac:dyDescent="0.2"/>
    <row r="17" spans="17:17" s="8" customFormat="1" x14ac:dyDescent="0.2"/>
    <row r="18" spans="17:17" s="8" customFormat="1" x14ac:dyDescent="0.2"/>
    <row r="19" spans="17:17" x14ac:dyDescent="0.2">
      <c r="Q19" s="8"/>
    </row>
  </sheetData>
  <phoneticPr fontId="13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workbookViewId="0">
      <selection activeCell="J6" sqref="J6:J7"/>
    </sheetView>
  </sheetViews>
  <sheetFormatPr defaultColWidth="9" defaultRowHeight="14.25" x14ac:dyDescent="0.2"/>
  <cols>
    <col min="4" max="4" width="21" customWidth="1"/>
  </cols>
  <sheetData>
    <row r="1" spans="1:10" x14ac:dyDescent="0.2">
      <c r="A1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34</v>
      </c>
      <c r="G1" s="2" t="s">
        <v>35</v>
      </c>
      <c r="H1" s="2" t="s">
        <v>36</v>
      </c>
      <c r="I1" t="s">
        <v>37</v>
      </c>
      <c r="J1" s="2" t="s">
        <v>38</v>
      </c>
    </row>
    <row r="2" spans="1:10" x14ac:dyDescent="0.2">
      <c r="A2" t="s">
        <v>7</v>
      </c>
      <c r="B2" s="3" t="s">
        <v>1</v>
      </c>
      <c r="C2" s="3" t="s">
        <v>44</v>
      </c>
      <c r="D2" s="3" t="s">
        <v>45</v>
      </c>
      <c r="E2" s="4"/>
      <c r="F2" s="3" t="s">
        <v>48</v>
      </c>
      <c r="G2" s="3" t="s">
        <v>49</v>
      </c>
      <c r="H2" s="3" t="s">
        <v>50</v>
      </c>
      <c r="I2" s="7" t="s">
        <v>51</v>
      </c>
      <c r="J2" s="7" t="s">
        <v>52</v>
      </c>
    </row>
    <row r="3" spans="1:10" x14ac:dyDescent="0.2">
      <c r="A3" t="s">
        <v>12</v>
      </c>
      <c r="B3" s="3" t="s">
        <v>13</v>
      </c>
      <c r="C3" s="3" t="s">
        <v>13</v>
      </c>
      <c r="D3" s="3" t="s">
        <v>15</v>
      </c>
      <c r="E3" s="4" t="s">
        <v>14</v>
      </c>
      <c r="F3" s="3" t="s">
        <v>13</v>
      </c>
      <c r="G3" s="3" t="s">
        <v>13</v>
      </c>
      <c r="H3" s="3" t="s">
        <v>13</v>
      </c>
      <c r="I3" s="7" t="s">
        <v>14</v>
      </c>
      <c r="J3" s="7" t="s">
        <v>14</v>
      </c>
    </row>
    <row r="4" spans="1:10" x14ac:dyDescent="0.2">
      <c r="A4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</row>
    <row r="5" spans="1:10" x14ac:dyDescent="0.2">
      <c r="A5" t="s">
        <v>18</v>
      </c>
      <c r="B5" s="3"/>
      <c r="C5" s="3">
        <v>0</v>
      </c>
      <c r="D5" s="3" t="s">
        <v>19</v>
      </c>
      <c r="E5" s="4"/>
      <c r="F5" s="3">
        <v>10</v>
      </c>
      <c r="G5" s="3">
        <v>0</v>
      </c>
      <c r="H5" s="3">
        <v>0</v>
      </c>
      <c r="I5" s="7">
        <v>0</v>
      </c>
      <c r="J5" s="7">
        <v>0</v>
      </c>
    </row>
    <row r="6" spans="1:10" x14ac:dyDescent="0.2">
      <c r="A6" s="2" t="s">
        <v>118</v>
      </c>
      <c r="B6" s="2">
        <v>6001</v>
      </c>
      <c r="C6" s="2">
        <v>6001</v>
      </c>
      <c r="D6" s="5" t="s">
        <v>119</v>
      </c>
      <c r="E6" s="6" t="s">
        <v>23</v>
      </c>
      <c r="F6" s="1">
        <v>7</v>
      </c>
      <c r="G6" s="1">
        <v>198</v>
      </c>
      <c r="H6">
        <v>288</v>
      </c>
      <c r="I6" s="1" t="s">
        <v>120</v>
      </c>
      <c r="J6" s="1" t="s">
        <v>121</v>
      </c>
    </row>
    <row r="7" spans="1:10" x14ac:dyDescent="0.2">
      <c r="B7" s="2">
        <v>6002</v>
      </c>
      <c r="C7" s="2">
        <v>6002</v>
      </c>
      <c r="D7" s="5" t="s">
        <v>86</v>
      </c>
      <c r="E7" s="6" t="s">
        <v>21</v>
      </c>
      <c r="F7" s="1">
        <v>7</v>
      </c>
      <c r="G7" s="1">
        <v>98</v>
      </c>
      <c r="H7">
        <v>138</v>
      </c>
      <c r="I7" s="11" t="s">
        <v>87</v>
      </c>
      <c r="J7" s="1" t="s">
        <v>88</v>
      </c>
    </row>
    <row r="8" spans="1:10" x14ac:dyDescent="0.2">
      <c r="B8" s="1"/>
      <c r="C8" s="1"/>
      <c r="D8" s="5"/>
      <c r="E8" s="6"/>
      <c r="F8" s="1"/>
      <c r="G8" s="1"/>
      <c r="H8" s="1"/>
      <c r="I8" s="1"/>
      <c r="J8" s="1"/>
    </row>
    <row r="9" spans="1:10" x14ac:dyDescent="0.2">
      <c r="B9" s="1"/>
      <c r="C9" s="1"/>
      <c r="D9" s="5"/>
      <c r="E9" s="6"/>
      <c r="F9" s="5"/>
      <c r="G9" s="1"/>
      <c r="H9" s="5"/>
      <c r="I9" s="1"/>
      <c r="J9" s="1"/>
    </row>
    <row r="10" spans="1:10" x14ac:dyDescent="0.2">
      <c r="B10" s="1"/>
      <c r="C10" s="1"/>
      <c r="D10" s="5"/>
      <c r="E10" s="6"/>
      <c r="F10" s="1"/>
      <c r="G10" s="1"/>
      <c r="H10" s="1"/>
      <c r="I10" s="1"/>
      <c r="J10" s="1"/>
    </row>
    <row r="11" spans="1:10" x14ac:dyDescent="0.2">
      <c r="B11" s="1"/>
      <c r="C11" s="1"/>
      <c r="E11" s="6"/>
      <c r="G11" s="1"/>
      <c r="H11" s="1"/>
      <c r="I11" s="1"/>
      <c r="J11" s="1"/>
    </row>
    <row r="17" s="1" customFormat="1" x14ac:dyDescent="0.2"/>
    <row r="18" s="1" customFormat="1" x14ac:dyDescent="0.2"/>
    <row r="19" s="1" customFormat="1" x14ac:dyDescent="0.2"/>
    <row r="20" s="1" customFormat="1" x14ac:dyDescent="0.2"/>
  </sheetData>
  <phoneticPr fontId="1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gift_time</vt:lpstr>
      <vt:lpstr>gift_one</vt:lpstr>
      <vt:lpstr>gift_two</vt:lpstr>
      <vt:lpstr>gift_three</vt:lpstr>
      <vt:lpstr>gift_four</vt:lpstr>
      <vt:lpstr>gift_five</vt:lpstr>
      <vt:lpstr>gift_six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 Visom</cp:lastModifiedBy>
  <dcterms:created xsi:type="dcterms:W3CDTF">2015-06-05T18:19:00Z</dcterms:created>
  <dcterms:modified xsi:type="dcterms:W3CDTF">2025-07-01T06:15:11Z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DF09880CEC3C46A8B8A5F6587F359A0C_12</vt:lpwstr>
  </property>
  <property fmtid="{D5CDD505-2E9C-101B-9397-08002B2CF9AE}" pid="3" name="KSOProductBuildVer">
    <vt:lpwstr>2052-12.1.0.21541</vt:lpwstr>
  </property>
</Properties>
</file>