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F:\gitproject\mini_gs_config\Datas\"/>
    </mc:Choice>
  </mc:AlternateContent>
  <xr:revisionPtr revIDLastSave="0" documentId="13_ncr:1_{F180EE5E-224E-4E31-BEF0-06784D76B03A}" xr6:coauthVersionLast="47" xr6:coauthVersionMax="47" xr10:uidLastSave="{00000000-0000-0000-0000-000000000000}"/>
  <bookViews>
    <workbookView xWindow="-28920" yWindow="750" windowWidth="29040" windowHeight="15720" tabRatio="680" xr2:uid="{00000000-000D-0000-FFFF-FFFF00000000}"/>
  </bookViews>
  <sheets>
    <sheet name="activity_id" sheetId="1" r:id="rId1"/>
    <sheet name="sign_in_new" sheetId="38" r:id="rId2"/>
    <sheet name="lucky_shot" sheetId="6" r:id="rId3"/>
    <sheet name="lucky_shot_count" sheetId="9" r:id="rId4"/>
    <sheet name="first_charge_new" sheetId="65" r:id="rId5"/>
    <sheet name="daily_gift" sheetId="26" r:id="rId6"/>
    <sheet name="daily_giftios" sheetId="37" r:id="rId7"/>
    <sheet name="daily_gift_crazy" sheetId="63" r:id="rId8"/>
    <sheet name="one_value_shop" sheetId="30" r:id="rId9"/>
    <sheet name="one_value_shop_time" sheetId="31" r:id="rId10"/>
    <sheet name="piggy_bank" sheetId="60" r:id="rId11"/>
    <sheet name="coin_bank" sheetId="34" r:id="rId12"/>
    <sheet name="coin_bank_time" sheetId="35" r:id="rId13"/>
    <sheet name="recharge_welfare" sheetId="36" r:id="rId14"/>
    <sheet name="comeback_reward" sheetId="33" r:id="rId15"/>
    <sheet name="comeback_task" sheetId="43" r:id="rId16"/>
    <sheet name="comeback_activity" sheetId="67" r:id="rId17"/>
    <sheet name="comeback_bank" sheetId="44" r:id="rId18"/>
    <sheet name="comeback_guide" sheetId="66" r:id="rId19"/>
    <sheet name="turntable_money" sheetId="46" r:id="rId20"/>
    <sheet name="turntable_lucky" sheetId="47" r:id="rId21"/>
    <sheet name="daily_reward" sheetId="50" r:id="rId22"/>
    <sheet name="turn_ball" sheetId="51" r:id="rId23"/>
    <sheet name="lucky_one" sheetId="52" r:id="rId24"/>
    <sheet name="lucky_one_time" sheetId="53" r:id="rId25"/>
    <sheet name="live_rank" sheetId="54" r:id="rId26"/>
    <sheet name="desktop_cue" sheetId="57" r:id="rId27"/>
    <sheet name="scrape" sheetId="58" r:id="rId28"/>
    <sheet name="fresh_cue" sheetId="61" r:id="rId29"/>
    <sheet name="free_gem" sheetId="64" r:id="rId30"/>
    <sheet name="recharge_item" sheetId="40" r:id="rId31"/>
    <sheet name="live_reward" sheetId="49" r:id="rId32"/>
    <sheet name="weekly_gift" sheetId="45" r:id="rId33"/>
    <sheet name="match_cue_task" sheetId="41" r:id="rId34"/>
    <sheet name="turntable_new" sheetId="39" r:id="rId35"/>
    <sheet name="turntable" sheetId="28" r:id="rId36"/>
    <sheet name="free_shop_time" sheetId="25" r:id="rId37"/>
    <sheet name="coin_video" sheetId="27" r:id="rId38"/>
    <sheet name="free_shop" sheetId="24" r:id="rId39"/>
    <sheet name="egg_task" sheetId="22" r:id="rId40"/>
    <sheet name="egg_award_show" sheetId="32" r:id="rId41"/>
    <sheet name="egg_award" sheetId="23" r:id="rId42"/>
    <sheet name="video_count_award" sheetId="21" r:id="rId43"/>
    <sheet name="shop_video" sheetId="20" r:id="rId44"/>
    <sheet name="invitation_friend" sheetId="16" r:id="rId45"/>
    <sheet name="first_charge" sheetId="15" r:id="rId46"/>
    <sheet name="coin_free" sheetId="7" r:id="rId47"/>
    <sheet name="sign_in_bank" sheetId="10" r:id="rId48"/>
    <sheet name="sign_in" sheetId="12" r:id="rId49"/>
    <sheet name="novice_task_2" sheetId="19" r:id="rId50"/>
    <sheet name="novice_loading_2" sheetId="18" r:id="rId51"/>
    <sheet name="sign_in_total" sheetId="11"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7" l="1"/>
  <c r="J22" i="7"/>
  <c r="L21" i="7"/>
  <c r="J21" i="7"/>
  <c r="L20" i="7"/>
  <c r="J20" i="7"/>
  <c r="L19" i="7"/>
  <c r="J19" i="7"/>
  <c r="L18" i="7"/>
  <c r="J18" i="7"/>
  <c r="L17" i="7"/>
  <c r="J17" i="7"/>
  <c r="G23" i="27"/>
  <c r="J22" i="27"/>
  <c r="I22" i="27"/>
  <c r="H22" i="27"/>
  <c r="G22" i="27"/>
  <c r="S32" i="28"/>
  <c r="Q32" i="28"/>
  <c r="N32" i="28"/>
  <c r="S31" i="28"/>
  <c r="R31" i="28"/>
  <c r="Q31" i="28"/>
  <c r="O26" i="28"/>
  <c r="K21" i="39"/>
  <c r="N20" i="39"/>
  <c r="K20" i="39"/>
  <c r="K19" i="39"/>
  <c r="O18" i="39"/>
  <c r="K18" i="39"/>
  <c r="K17" i="39"/>
  <c r="K16" i="39"/>
  <c r="P15" i="39"/>
  <c r="O15" i="39"/>
  <c r="N15" i="39"/>
  <c r="M15" i="39"/>
  <c r="L15" i="39"/>
  <c r="O6" i="39"/>
  <c r="N6" i="39"/>
  <c r="C180" i="30"/>
  <c r="C179" i="30"/>
  <c r="C178" i="30"/>
  <c r="C177" i="30"/>
  <c r="C176" i="30"/>
  <c r="C175" i="30"/>
  <c r="C174" i="30"/>
  <c r="C173" i="30"/>
  <c r="C172" i="30"/>
  <c r="C171" i="30"/>
  <c r="C170" i="30"/>
  <c r="C169" i="30"/>
  <c r="C168" i="30"/>
  <c r="C167" i="30"/>
  <c r="C166" i="30"/>
  <c r="C165" i="30"/>
  <c r="C164" i="30"/>
  <c r="C163" i="30"/>
  <c r="C162" i="30"/>
  <c r="C161" i="30"/>
  <c r="C160" i="30"/>
  <c r="C159" i="30"/>
  <c r="C158" i="30"/>
  <c r="C157" i="30"/>
  <c r="C156" i="30"/>
  <c r="C155" i="30"/>
  <c r="C154" i="30"/>
  <c r="C153" i="30"/>
  <c r="C152" i="30"/>
  <c r="C151" i="30"/>
  <c r="C150" i="30"/>
  <c r="C149" i="30"/>
  <c r="C148" i="30"/>
  <c r="C147" i="30"/>
  <c r="C146" i="30"/>
  <c r="C145" i="30"/>
  <c r="C144" i="30"/>
  <c r="C143" i="30"/>
  <c r="C142" i="30"/>
  <c r="C141" i="30"/>
  <c r="C140" i="30"/>
  <c r="C139" i="30"/>
  <c r="C138" i="30"/>
  <c r="C137" i="30"/>
  <c r="C136" i="30"/>
  <c r="C135" i="30"/>
  <c r="C134" i="30"/>
  <c r="C133" i="30"/>
  <c r="C132" i="30"/>
  <c r="C131" i="30"/>
  <c r="C130" i="30"/>
  <c r="C129" i="30"/>
  <c r="C128" i="30"/>
  <c r="C127" i="30"/>
  <c r="C126" i="30"/>
  <c r="C125" i="30"/>
  <c r="C124" i="30"/>
  <c r="C123" i="30"/>
  <c r="C122" i="30"/>
  <c r="C121" i="30"/>
  <c r="C120" i="30"/>
  <c r="C119" i="30"/>
  <c r="C118" i="30"/>
  <c r="C117" i="30"/>
  <c r="C116" i="30"/>
  <c r="C115" i="30"/>
  <c r="C114" i="30"/>
  <c r="C113" i="30"/>
  <c r="C112" i="30"/>
  <c r="C111" i="30"/>
  <c r="B40" i="30"/>
  <c r="B39" i="30"/>
  <c r="B38" i="30"/>
  <c r="B37" i="30"/>
  <c r="B36" i="30"/>
  <c r="B35" i="30"/>
  <c r="B34" i="30"/>
  <c r="B33" i="30"/>
  <c r="B32" i="30"/>
  <c r="B31" i="30"/>
  <c r="B30" i="30"/>
  <c r="B29" i="30"/>
  <c r="B28" i="30"/>
  <c r="B27"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Administrator</author>
  </authors>
  <commentList>
    <comment ref="C2" authorId="0" shapeId="0" xr:uid="{00000000-0006-0000-0000-000001000000}">
      <text>
        <r>
          <rPr>
            <b/>
            <sz val="9"/>
            <rFont val="宋体"/>
            <charset val="134"/>
          </rPr>
          <t>杨宗水:</t>
        </r>
        <r>
          <rPr>
            <sz val="9"/>
            <rFont val="宋体"/>
            <charset val="134"/>
          </rPr>
          <t xml:space="preserve">
活动标签语言包指定id
</t>
        </r>
      </text>
    </comment>
    <comment ref="D2" authorId="0" shapeId="0" xr:uid="{00000000-0006-0000-0000-000002000000}">
      <text>
        <r>
          <rPr>
            <b/>
            <sz val="9"/>
            <rFont val="宋体"/>
            <charset val="134"/>
          </rPr>
          <t>杨宗水:</t>
        </r>
        <r>
          <rPr>
            <sz val="9"/>
            <rFont val="宋体"/>
            <charset val="134"/>
          </rPr>
          <t xml:space="preserve">
中文名
方便策划维护</t>
        </r>
      </text>
    </comment>
    <comment ref="F2" authorId="1" shapeId="0" xr:uid="{00000000-0006-0000-0000-000003000000}">
      <text>
        <r>
          <rPr>
            <b/>
            <sz val="9"/>
            <rFont val="宋体"/>
            <charset val="134"/>
          </rPr>
          <t>zhouzhen:</t>
        </r>
        <r>
          <rPr>
            <sz val="9"/>
            <rFont val="宋体"/>
            <charset val="134"/>
          </rPr>
          <t xml:space="preserve">
0：纯图片
1：模板1
2：模板2
3：模板3
4：模板4
5：模板5
10：特殊活动：实名认证
11：特殊活动：手机绑定
12：特殊活动：首充
13：特殊活动：名师高徒
14：特殊活动：每日签到
15：特殊活动：兑换中心
16：特殊活动：看广告送金币
17:1元超值购
18：邀请好友得球杆
19：邀请好友得金币
20:10倍钻石返利
21:10元夺宝
22:对局领球杆杆
23：超级宝藏
24：关注客服领金币
25：加入游戏圈</t>
        </r>
      </text>
    </comment>
    <comment ref="I2" authorId="0" shapeId="0" xr:uid="{00000000-0006-0000-0000-000004000000}">
      <text>
        <r>
          <rPr>
            <b/>
            <sz val="9"/>
            <rFont val="宋体"/>
            <charset val="134"/>
          </rPr>
          <t>杨宗水:</t>
        </r>
        <r>
          <rPr>
            <sz val="9"/>
            <rFont val="宋体"/>
            <charset val="134"/>
          </rPr>
          <t xml:space="preserve">
右侧排版的底图，同一个排版类型下也有不同背景的区别</t>
        </r>
      </text>
    </comment>
    <comment ref="J2" authorId="1" shapeId="0" xr:uid="{00000000-0006-0000-0000-000005000000}">
      <text>
        <r>
          <rPr>
            <b/>
            <sz val="9"/>
            <rFont val="宋体"/>
            <charset val="134"/>
          </rPr>
          <t>zhouzhen:</t>
        </r>
        <r>
          <rPr>
            <sz val="9"/>
            <rFont val="宋体"/>
            <charset val="134"/>
          </rPr>
          <t xml:space="preserve">
0:不刷新
1：每日刷新</t>
        </r>
      </text>
    </comment>
    <comment ref="K2" authorId="0" shapeId="0" xr:uid="{00000000-0006-0000-0000-000006000000}">
      <text>
        <r>
          <rPr>
            <b/>
            <sz val="9"/>
            <rFont val="宋体"/>
            <charset val="134"/>
          </rPr>
          <t>杨宗水:</t>
        </r>
        <r>
          <rPr>
            <sz val="9"/>
            <rFont val="宋体"/>
            <charset val="134"/>
          </rPr>
          <t xml:space="preserve">
商店分页从左到右排序，根据order由小到大排序
order相同时根据模式id由小到大排序</t>
        </r>
      </text>
    </comment>
    <comment ref="L2" authorId="0" shapeId="0" xr:uid="{00000000-0006-0000-0000-000007000000}">
      <text>
        <r>
          <rPr>
            <b/>
            <sz val="9"/>
            <rFont val="宋体"/>
            <charset val="134"/>
          </rPr>
          <t>杨宗水:</t>
        </r>
        <r>
          <rPr>
            <sz val="9"/>
            <rFont val="宋体"/>
            <charset val="134"/>
          </rPr>
          <t xml:space="preserve">
配置时间格式，自动转为时间戳
当前时间&gt;=出现时间时，该商店分页出现</t>
        </r>
      </text>
    </comment>
    <comment ref="M2" authorId="0" shapeId="0" xr:uid="{00000000-0006-0000-0000-000008000000}">
      <text>
        <r>
          <rPr>
            <b/>
            <sz val="9"/>
            <rFont val="宋体"/>
            <charset val="134"/>
          </rPr>
          <t>杨宗水:</t>
        </r>
        <r>
          <rPr>
            <sz val="9"/>
            <rFont val="宋体"/>
            <charset val="134"/>
          </rPr>
          <t xml:space="preserve">
配置时间格式，自动转为时间戳
当前时间&gt;=消失时间时，商店分页消失</t>
        </r>
      </text>
    </comment>
    <comment ref="N2" authorId="0" shapeId="0" xr:uid="{00000000-0006-0000-0000-000009000000}">
      <text>
        <r>
          <rPr>
            <b/>
            <sz val="9"/>
            <rFont val="宋体"/>
            <charset val="134"/>
          </rPr>
          <t>杨宗水:</t>
        </r>
        <r>
          <rPr>
            <sz val="9"/>
            <rFont val="宋体"/>
            <charset val="134"/>
          </rPr>
          <t xml:space="preserve">
小红点类型
0：默认无
1：每日首次登录
2：每次登录
3：终生一次</t>
        </r>
      </text>
    </comment>
    <comment ref="O2" authorId="0" shapeId="0" xr:uid="{00000000-0006-0000-0000-00000A000000}">
      <text>
        <r>
          <rPr>
            <b/>
            <sz val="9"/>
            <rFont val="宋体"/>
            <charset val="134"/>
          </rPr>
          <t>杨宗水:</t>
        </r>
        <r>
          <rPr>
            <sz val="9"/>
            <rFont val="宋体"/>
            <charset val="134"/>
          </rPr>
          <t xml:space="preserve">
显示在活动或公告
0：活动
1：公告</t>
        </r>
      </text>
    </comment>
    <comment ref="P2" authorId="1" shapeId="0" xr:uid="{00000000-0006-0000-0000-00000B000000}">
      <text>
        <r>
          <rPr>
            <b/>
            <sz val="9"/>
            <rFont val="宋体"/>
            <charset val="134"/>
          </rPr>
          <t>zhouzhen:</t>
        </r>
        <r>
          <rPr>
            <sz val="9"/>
            <rFont val="宋体"/>
            <charset val="134"/>
          </rPr>
          <t xml:space="preserve">
0：无跳转</t>
        </r>
      </text>
    </comment>
    <comment ref="D20" authorId="2" shapeId="0" xr:uid="{00000000-0006-0000-0000-00000C000000}">
      <text>
        <r>
          <rPr>
            <b/>
            <sz val="9"/>
            <rFont val="宋体"/>
            <charset val="134"/>
          </rPr>
          <t>Dan:</t>
        </r>
        <r>
          <rPr>
            <sz val="9"/>
            <rFont val="宋体"/>
            <charset val="134"/>
          </rPr>
          <t xml:space="preserve">
6元超值购的结束时间必须得比期数结束时间+7（延后7天）</t>
        </r>
      </text>
    </comment>
    <comment ref="D26" authorId="2" shapeId="0" xr:uid="{00000000-0006-0000-0000-00000D000000}">
      <text>
        <r>
          <rPr>
            <b/>
            <sz val="9"/>
            <rFont val="宋体"/>
            <charset val="134"/>
          </rPr>
          <t>Dan:</t>
        </r>
        <r>
          <rPr>
            <sz val="9"/>
            <rFont val="宋体"/>
            <charset val="134"/>
          </rPr>
          <t xml:space="preserve">
6元超值购的结束时间必须得比期数结束时间+7（延后7天）</t>
        </r>
      </text>
    </comment>
    <comment ref="B61" authorId="2" shapeId="0" xr:uid="{00000000-0006-0000-0000-00000E000000}">
      <text>
        <r>
          <rPr>
            <b/>
            <sz val="9"/>
            <rFont val="宋体"/>
            <charset val="134"/>
          </rPr>
          <t xml:space="preserve">Dan：
</t>
        </r>
        <r>
          <rPr>
            <sz val="9"/>
            <rFont val="宋体"/>
            <charset val="134"/>
          </rPr>
          <t>暂时置灰</t>
        </r>
      </text>
    </comment>
    <comment ref="B64" authorId="2" shapeId="0" xr:uid="{00000000-0006-0000-0000-00000F000000}">
      <text>
        <r>
          <rPr>
            <b/>
            <sz val="9"/>
            <rFont val="宋体"/>
            <charset val="134"/>
          </rPr>
          <t xml:space="preserve">Dan：
</t>
        </r>
        <r>
          <rPr>
            <sz val="9"/>
            <rFont val="宋体"/>
            <charset val="134"/>
          </rPr>
          <t>暂时置灰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F2" authorId="0" shapeId="0" xr:uid="{00000000-0006-0000-0100-000001000000}">
      <text>
        <r>
          <rPr>
            <b/>
            <sz val="9"/>
            <rFont val="宋体"/>
            <charset val="134"/>
          </rPr>
          <t>Aki:</t>
        </r>
        <r>
          <rPr>
            <sz val="9"/>
            <rFont val="宋体"/>
            <charset val="134"/>
          </rPr>
          <t xml:space="preserve">
0：普通奖励
1：稀有奖励</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C2" authorId="0" shapeId="0" xr:uid="{00000000-0006-0000-0300-000001000000}">
      <text>
        <r>
          <rPr>
            <b/>
            <sz val="9"/>
            <rFont val="宋体"/>
            <charset val="134"/>
          </rPr>
          <t>zhouzhen:</t>
        </r>
        <r>
          <rPr>
            <sz val="9"/>
            <rFont val="宋体"/>
            <charset val="134"/>
          </rPr>
          <t xml:space="preserve">
一次购买的杆数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Carys</author>
    <author>zhouzhen</author>
    <author>Administrator</author>
  </authors>
  <commentList>
    <comment ref="B2" authorId="0" shapeId="0" xr:uid="{00000000-0006-0000-0400-000001000000}">
      <text>
        <r>
          <rPr>
            <b/>
            <sz val="9"/>
            <rFont val="宋体"/>
            <charset val="134"/>
          </rPr>
          <t>Carys:</t>
        </r>
        <r>
          <rPr>
            <sz val="9"/>
            <rFont val="宋体"/>
            <charset val="134"/>
          </rPr>
          <t xml:space="preserve">
相同数字为一档</t>
        </r>
      </text>
    </comment>
    <comment ref="C2" authorId="0" shapeId="0" xr:uid="{00000000-0006-0000-0400-000002000000}">
      <text>
        <r>
          <rPr>
            <b/>
            <sz val="9"/>
            <rFont val="宋体"/>
            <charset val="134"/>
          </rPr>
          <t>Carys:</t>
        </r>
        <r>
          <rPr>
            <sz val="9"/>
            <rFont val="宋体"/>
            <charset val="134"/>
          </rPr>
          <t xml:space="preserve">
球杆id</t>
        </r>
      </text>
    </comment>
    <comment ref="E2" authorId="1" shapeId="0" xr:uid="{00000000-0006-0000-0400-000003000000}">
      <text>
        <r>
          <rPr>
            <b/>
            <sz val="9"/>
            <rFont val="宋体"/>
            <charset val="134"/>
          </rPr>
          <t>zhouzhen:</t>
        </r>
        <r>
          <rPr>
            <sz val="9"/>
            <rFont val="宋体"/>
            <charset val="134"/>
          </rPr>
          <t xml:space="preserve">
充值表的充值id，单位：rmb</t>
        </r>
      </text>
    </comment>
    <comment ref="F2" authorId="2" shapeId="0" xr:uid="{00000000-0006-0000-0400-000004000000}">
      <text>
        <r>
          <rPr>
            <sz val="9"/>
            <rFont val="宋体"/>
            <charset val="134"/>
          </rPr>
          <t>代表x折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zhouzhen</author>
    <author>Aki</author>
  </authors>
  <commentList>
    <comment ref="G2" authorId="0" shapeId="0" xr:uid="{00000000-0006-0000-0500-000001000000}">
      <text>
        <r>
          <rPr>
            <b/>
            <sz val="9"/>
            <rFont val="宋体"/>
            <charset val="134"/>
          </rPr>
          <t>zhouzhen:</t>
        </r>
        <r>
          <rPr>
            <sz val="9"/>
            <rFont val="宋体"/>
            <charset val="134"/>
          </rPr>
          <t xml:space="preserve">
礼包1配置奖励组</t>
        </r>
      </text>
    </comment>
    <comment ref="H2" authorId="1" shapeId="0" xr:uid="{00000000-0006-0000-0500-000002000000}">
      <text>
        <r>
          <rPr>
            <b/>
            <sz val="9"/>
            <rFont val="宋体"/>
            <charset val="134"/>
          </rPr>
          <t>Aki:</t>
        </r>
        <r>
          <rPr>
            <sz val="9"/>
            <rFont val="宋体"/>
            <charset val="134"/>
          </rPr>
          <t xml:space="preserve">
0：人民币
1：转发
2：视频
3：钻石
4：金币</t>
        </r>
      </text>
    </comment>
    <comment ref="I2" authorId="1" shapeId="0" xr:uid="{00000000-0006-0000-0500-000003000000}">
      <text>
        <r>
          <rPr>
            <b/>
            <sz val="9"/>
            <rFont val="宋体"/>
            <charset val="134"/>
          </rPr>
          <t>Aki:</t>
        </r>
        <r>
          <rPr>
            <sz val="9"/>
            <rFont val="宋体"/>
            <charset val="134"/>
          </rPr>
          <t xml:space="preserve">
0：人民币
1：转发
2：视频
3：钻石
4：金币</t>
        </r>
      </text>
    </comment>
    <comment ref="J2" authorId="0" shapeId="0" xr:uid="{00000000-0006-0000-0500-000004000000}">
      <text>
        <r>
          <rPr>
            <b/>
            <sz val="9"/>
            <rFont val="宋体"/>
            <charset val="134"/>
          </rPr>
          <t>zhouzhen:</t>
        </r>
        <r>
          <rPr>
            <sz val="9"/>
            <rFont val="宋体"/>
            <charset val="134"/>
          </rPr>
          <t xml:space="preserve">
礼包1配置奖励组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Aki</author>
    <author>zhouzhen</author>
  </authors>
  <commentList>
    <comment ref="F2" authorId="0" shapeId="0" xr:uid="{00000000-0006-0000-0600-000001000000}">
      <text>
        <r>
          <rPr>
            <b/>
            <sz val="9"/>
            <rFont val="宋体"/>
            <charset val="134"/>
          </rPr>
          <t>Aki:</t>
        </r>
        <r>
          <rPr>
            <sz val="9"/>
            <rFont val="宋体"/>
            <charset val="134"/>
          </rPr>
          <t xml:space="preserve">
0：人民币
1：转发
2：视频</t>
        </r>
      </text>
    </comment>
    <comment ref="G2" authorId="1" shapeId="0" xr:uid="{00000000-0006-0000-0600-000002000000}">
      <text>
        <r>
          <rPr>
            <b/>
            <sz val="9"/>
            <rFont val="宋体"/>
            <charset val="134"/>
          </rPr>
          <t>zhouzhen:</t>
        </r>
        <r>
          <rPr>
            <sz val="9"/>
            <rFont val="宋体"/>
            <charset val="134"/>
          </rPr>
          <t xml:space="preserve">
礼包1配置奖励组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Aki</author>
    <author>zhouzhen</author>
  </authors>
  <commentList>
    <comment ref="G2" authorId="0" shapeId="0" xr:uid="{00000000-0006-0000-0700-000001000000}">
      <text>
        <r>
          <rPr>
            <b/>
            <sz val="9"/>
            <rFont val="宋体"/>
            <charset val="134"/>
          </rPr>
          <t>Aki:</t>
        </r>
        <r>
          <rPr>
            <sz val="9"/>
            <rFont val="宋体"/>
            <charset val="134"/>
          </rPr>
          <t xml:space="preserve">
0：人民币
1：转发
2：视频
3：钻石
4：金币</t>
        </r>
      </text>
    </comment>
    <comment ref="H2" authorId="1" shapeId="0" xr:uid="{00000000-0006-0000-0700-000002000000}">
      <text>
        <r>
          <rPr>
            <b/>
            <sz val="9"/>
            <rFont val="宋体"/>
            <charset val="134"/>
          </rPr>
          <t>zhouzhen:</t>
        </r>
        <r>
          <rPr>
            <sz val="9"/>
            <rFont val="宋体"/>
            <charset val="134"/>
          </rPr>
          <t xml:space="preserve">
礼包1配置奖励组</t>
        </r>
      </text>
    </comment>
    <comment ref="I2" authorId="1" shapeId="0" xr:uid="{00000000-0006-0000-0700-000003000000}">
      <text>
        <r>
          <rPr>
            <b/>
            <sz val="9"/>
            <rFont val="宋体"/>
            <charset val="134"/>
          </rPr>
          <t>zhouzhen:</t>
        </r>
        <r>
          <rPr>
            <sz val="9"/>
            <rFont val="宋体"/>
            <charset val="134"/>
          </rPr>
          <t xml:space="preserve">
礼包1配置奖励组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2" authorId="0" shapeId="0" xr:uid="{00000000-0006-0000-0800-000001000000}">
      <text>
        <r>
          <rPr>
            <b/>
            <sz val="9"/>
            <rFont val="宋体"/>
            <charset val="134"/>
          </rPr>
          <t>Dan:</t>
        </r>
        <r>
          <rPr>
            <sz val="9"/>
            <rFont val="宋体"/>
            <charset val="134"/>
          </rPr>
          <t xml:space="preserve">
奖励id不可断开
每一期领奖的起始id = (期数id - 1) * 7 + 1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E2" authorId="0" shapeId="0" xr:uid="{00000000-0006-0000-0900-000001000000}">
      <text>
        <r>
          <rPr>
            <b/>
            <sz val="9"/>
            <rFont val="宋体"/>
            <charset val="134"/>
          </rPr>
          <t>杨宗水:</t>
        </r>
        <r>
          <rPr>
            <sz val="9"/>
            <rFont val="宋体"/>
            <charset val="134"/>
          </rPr>
          <t xml:space="preserve">
配置时间格式，自动转为时间戳
当前时间&gt;=出现时间时，活动开始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Administrator</author>
    <author>杨宗水</author>
  </authors>
  <commentList>
    <comment ref="B2" authorId="0" shapeId="0" xr:uid="{00000000-0006-0000-0A00-000001000000}">
      <text>
        <r>
          <rPr>
            <b/>
            <sz val="9"/>
            <rFont val="宋体"/>
            <charset val="134"/>
          </rPr>
          <t>Dan:</t>
        </r>
        <r>
          <rPr>
            <sz val="9"/>
            <rFont val="宋体"/>
            <charset val="134"/>
          </rPr>
          <t xml:space="preserve">
存钱罐对应的等级</t>
        </r>
      </text>
    </comment>
    <comment ref="C2" authorId="0" shapeId="0" xr:uid="{00000000-0006-0000-0A00-000002000000}">
      <text>
        <r>
          <rPr>
            <b/>
            <sz val="9"/>
            <rFont val="宋体"/>
            <charset val="134"/>
          </rPr>
          <t>Dan:</t>
        </r>
        <r>
          <rPr>
            <sz val="9"/>
            <rFont val="宋体"/>
            <charset val="134"/>
          </rPr>
          <t xml:space="preserve">
存钱罐对应等级可存储的最大奖励</t>
        </r>
      </text>
    </comment>
    <comment ref="D2" authorId="1" shapeId="0" xr:uid="{00000000-0006-0000-0A00-000003000000}">
      <text>
        <r>
          <rPr>
            <b/>
            <sz val="9"/>
            <rFont val="宋体"/>
            <charset val="134"/>
          </rPr>
          <t>Dan:</t>
        </r>
        <r>
          <rPr>
            <sz val="9"/>
            <rFont val="宋体"/>
            <charset val="134"/>
          </rPr>
          <t xml:space="preserve">
匹配模式，提醒在哪种对局生效，用","隔开
1：8球；
2：血流；
3：斯诺克。</t>
        </r>
      </text>
    </comment>
    <comment ref="E2" authorId="0" shapeId="0" xr:uid="{00000000-0006-0000-0A00-000004000000}">
      <text>
        <r>
          <rPr>
            <b/>
            <sz val="9"/>
            <rFont val="宋体"/>
            <charset val="134"/>
          </rPr>
          <t xml:space="preserve">Dan:
</t>
        </r>
        <r>
          <rPr>
            <sz val="9"/>
            <rFont val="宋体"/>
            <charset val="134"/>
          </rPr>
          <t>对应的比赛房间场次所增加的进度数
[[比赛选场房间id,进度数]...]</t>
        </r>
      </text>
    </comment>
    <comment ref="F2" authorId="0" shapeId="0" xr:uid="{00000000-0006-0000-0A00-000005000000}">
      <text>
        <r>
          <rPr>
            <b/>
            <sz val="9"/>
            <rFont val="宋体"/>
            <charset val="134"/>
          </rPr>
          <t>Dan:</t>
        </r>
        <r>
          <rPr>
            <sz val="9"/>
            <rFont val="宋体"/>
            <charset val="134"/>
          </rPr>
          <t xml:space="preserve">
每个等级的存钱罐的进度上限
</t>
        </r>
      </text>
    </comment>
    <comment ref="G2" authorId="0" shapeId="0" xr:uid="{00000000-0006-0000-0A00-000006000000}">
      <text>
        <r>
          <rPr>
            <b/>
            <sz val="9"/>
            <rFont val="宋体"/>
            <charset val="134"/>
          </rPr>
          <t>Dan:</t>
        </r>
        <r>
          <rPr>
            <sz val="9"/>
            <rFont val="宋体"/>
            <charset val="134"/>
          </rPr>
          <t xml:space="preserve">
开启奖励时所需要的钻石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E2" authorId="0" shapeId="0" xr:uid="{00000000-0006-0000-0C00-000001000000}">
      <text>
        <r>
          <rPr>
            <b/>
            <sz val="9"/>
            <rFont val="宋体"/>
            <charset val="134"/>
          </rPr>
          <t>杨宗水:</t>
        </r>
        <r>
          <rPr>
            <sz val="9"/>
            <rFont val="宋体"/>
            <charset val="134"/>
          </rPr>
          <t xml:space="preserve">
配置时间格式，自动转为时间戳
当前时间&gt;=出现时间时，活动开始</t>
        </r>
      </text>
    </comment>
    <comment ref="F2" authorId="0" shapeId="0" xr:uid="{00000000-0006-0000-0C00-000002000000}">
      <text>
        <r>
          <rPr>
            <b/>
            <sz val="9"/>
            <rFont val="宋体"/>
            <charset val="134"/>
          </rPr>
          <t>杨宗水:</t>
        </r>
        <r>
          <rPr>
            <sz val="9"/>
            <rFont val="宋体"/>
            <charset val="134"/>
          </rPr>
          <t xml:space="preserve">
配置时间格式，自动转为时间戳
当前时间&gt;=消失时间时，活动结束</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G2" authorId="0" shapeId="0" xr:uid="{00000000-0006-0000-0D00-000001000000}">
      <text>
        <r>
          <rPr>
            <b/>
            <sz val="9"/>
            <rFont val="宋体"/>
            <charset val="134"/>
          </rPr>
          <t>杨宗水:</t>
        </r>
        <r>
          <rPr>
            <sz val="9"/>
            <rFont val="宋体"/>
            <charset val="134"/>
          </rPr>
          <t xml:space="preserve">
配置时间格式，自动转为时间戳
当前时间&gt;=出现时间时，活动开始</t>
        </r>
      </text>
    </comment>
    <comment ref="H2" authorId="0" shapeId="0" xr:uid="{00000000-0006-0000-0D00-000002000000}">
      <text>
        <r>
          <rPr>
            <b/>
            <sz val="9"/>
            <rFont val="宋体"/>
            <charset val="134"/>
          </rPr>
          <t>杨宗水:</t>
        </r>
        <r>
          <rPr>
            <sz val="9"/>
            <rFont val="宋体"/>
            <charset val="134"/>
          </rPr>
          <t xml:space="preserve">
配置时间格式，自动转为时间戳
当前时间&gt;=消失时间时，活动结束</t>
        </r>
      </text>
    </comment>
    <comment ref="I2" authorId="0" shapeId="0" xr:uid="{00000000-0006-0000-0D00-000003000000}">
      <text>
        <r>
          <rPr>
            <b/>
            <sz val="9"/>
            <rFont val="宋体"/>
            <charset val="134"/>
          </rPr>
          <t>杨宗水:</t>
        </r>
        <r>
          <rPr>
            <sz val="9"/>
            <rFont val="宋体"/>
            <charset val="134"/>
          </rPr>
          <t xml:space="preserve">
配置时间格式，自动转为时间戳
当前时间&gt;=消失时间时，活动结束</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0E00-000001000000}">
      <text>
        <r>
          <rPr>
            <b/>
            <sz val="9"/>
            <rFont val="宋体"/>
            <charset val="134"/>
          </rPr>
          <t>Aki:</t>
        </r>
        <r>
          <rPr>
            <sz val="9"/>
            <rFont val="宋体"/>
            <charset val="134"/>
          </rPr>
          <t xml:space="preserve">
视频奖励</t>
        </r>
      </text>
    </comment>
    <comment ref="D2" authorId="0" shapeId="0" xr:uid="{00000000-0006-0000-0E00-000002000000}">
      <text>
        <r>
          <rPr>
            <b/>
            <sz val="9"/>
            <rFont val="宋体"/>
            <charset val="134"/>
          </rPr>
          <t>Aki:</t>
        </r>
        <r>
          <rPr>
            <sz val="9"/>
            <rFont val="宋体"/>
            <charset val="134"/>
          </rPr>
          <t xml:space="preserve">
视频奖励</t>
        </r>
      </text>
    </comment>
    <comment ref="E2" authorId="0" shapeId="0" xr:uid="{00000000-0006-0000-0E00-000003000000}">
      <text>
        <r>
          <rPr>
            <b/>
            <sz val="9"/>
            <rFont val="宋体"/>
            <charset val="134"/>
          </rPr>
          <t>Aki:</t>
        </r>
        <r>
          <rPr>
            <sz val="9"/>
            <rFont val="宋体"/>
            <charset val="134"/>
          </rPr>
          <t xml:space="preserve">
普通奖励</t>
        </r>
      </text>
    </comment>
    <comment ref="I2" authorId="0" shapeId="0" xr:uid="{00000000-0006-0000-0E00-000004000000}">
      <text>
        <r>
          <rPr>
            <b/>
            <sz val="9"/>
            <rFont val="宋体"/>
            <charset val="134"/>
          </rPr>
          <t xml:space="preserve">1：30元档
</t>
        </r>
        <r>
          <rPr>
            <sz val="9"/>
            <rFont val="宋体"/>
            <charset val="134"/>
          </rPr>
          <t>2：6元档</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0F00-000001000000}">
      <text>
        <r>
          <rPr>
            <b/>
            <sz val="9"/>
            <rFont val="宋体"/>
            <charset val="134"/>
          </rPr>
          <t>Aki:</t>
        </r>
        <r>
          <rPr>
            <sz val="9"/>
            <rFont val="宋体"/>
            <charset val="134"/>
          </rPr>
          <t xml:space="preserve">
天数</t>
        </r>
      </text>
    </comment>
    <comment ref="D2" authorId="0" shapeId="0" xr:uid="{00000000-0006-0000-0F00-000002000000}">
      <text>
        <r>
          <rPr>
            <b/>
            <sz val="9"/>
            <rFont val="宋体"/>
            <charset val="134"/>
          </rPr>
          <t>Aki:</t>
        </r>
        <r>
          <rPr>
            <sz val="9"/>
            <rFont val="宋体"/>
            <charset val="134"/>
          </rPr>
          <t xml:space="preserve">
1：PVP比赛次数X-----次数
2：累积登录：累积登录多少天-----次数
3：指定日期登录：登录游戏（未做）
4：累积充值：累积充值多少-----金额（元）
5：分享（未做）
6：闯关：累积玩多少局闯关-----次数
7：一周内某天登录：周几登录游戏(0-6:周日-周六）   
8：玩家一杆N球M次-----次数，次数
9：8球模式在某场次及以上的对局X局-----数量，次数
10：玩家8球连杆击数目X-----次数
11：玩家8球一杆清台的次数X-----次数
12:任意8球比赛X特殊进球次数X-----类型id，次数
13:8球模式开球打进X颗-----次数
14:8球模式连胜X局-----次数
15:8球模式连输X局-----次数
16：累积消费X钻石-----数量
17：任意模式加注X次-----次数
18：看任意的视频X次-----次数
19：签到X次-----次数
20：累积充值X天-----次数
21：PVP比赛XX模式次数X-----类型id，次数
22：周几累积在线时间      
23：周几PVP比赛次数X     
24：参加好友约战的次数X-----次数
25：参加幸运夺宝的次数X-----次数
26：PVP比赛获胜次数X-----次数
27：PVP比赛累积进球次数X-----次数
28：X金币场及以上场次比赛次数X-----金币数，次数
29：X金币场及以上场次比赛获胜次数X-----金币数，次数
30：X金币场及以上场次比赛进球次数X-----金币数，次数</t>
        </r>
      </text>
    </comment>
    <comment ref="F2" authorId="0" shapeId="0" xr:uid="{00000000-0006-0000-0F00-000003000000}">
      <text>
        <r>
          <rPr>
            <b/>
            <sz val="9"/>
            <rFont val="宋体"/>
            <charset val="134"/>
          </rPr>
          <t>Aki:</t>
        </r>
        <r>
          <rPr>
            <sz val="9"/>
            <rFont val="宋体"/>
            <charset val="134"/>
          </rPr>
          <t xml:space="preserve">
物品id,数量</t>
        </r>
      </text>
    </comment>
    <comment ref="G2" authorId="0" shapeId="0" xr:uid="{00000000-0006-0000-0F00-000004000000}">
      <text>
        <r>
          <rPr>
            <b/>
            <sz val="9"/>
            <rFont val="宋体"/>
            <charset val="134"/>
          </rPr>
          <t>Aki:</t>
        </r>
        <r>
          <rPr>
            <sz val="9"/>
            <rFont val="宋体"/>
            <charset val="134"/>
          </rPr>
          <t xml:space="preserve">
语言包id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Aki</author>
    <author>Administrator</author>
  </authors>
  <commentList>
    <comment ref="C2" authorId="0" shapeId="0" xr:uid="{00000000-0006-0000-1100-000001000000}">
      <text>
        <r>
          <rPr>
            <sz val="9"/>
            <rFont val="宋体"/>
            <charset val="134"/>
          </rPr>
          <t xml:space="preserve">1：对局x局
2：对局进阶版解锁状态判断，解释字段里0为未解锁，1为解锁
</t>
        </r>
      </text>
    </comment>
    <comment ref="F2" authorId="1" shapeId="0" xr:uid="{00000000-0006-0000-1100-000002000000}">
      <text>
        <r>
          <rPr>
            <sz val="9"/>
            <rFont val="宋体"/>
            <charset val="134"/>
          </rPr>
          <t xml:space="preserve">1：钻石
2：金币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D1" authorId="0" shapeId="0" xr:uid="{00000000-0006-0000-1200-000001000000}">
      <text>
        <r>
          <rPr>
            <sz val="9"/>
            <rFont val="宋体"/>
            <charset val="134"/>
          </rPr>
          <t>读跳转链接配置表</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1500-000001000000}">
      <text>
        <r>
          <rPr>
            <b/>
            <sz val="9"/>
            <rFont val="宋体"/>
            <charset val="134"/>
          </rPr>
          <t>Aki:</t>
        </r>
        <r>
          <rPr>
            <sz val="9"/>
            <rFont val="宋体"/>
            <charset val="134"/>
          </rPr>
          <t xml:space="preserve">
[物品id，数量]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1600-000001000000}">
      <text>
        <r>
          <rPr>
            <b/>
            <sz val="9"/>
            <rFont val="宋体"/>
            <charset val="134"/>
          </rPr>
          <t>Aki:</t>
        </r>
        <r>
          <rPr>
            <sz val="9"/>
            <rFont val="宋体"/>
            <charset val="134"/>
          </rPr>
          <t xml:space="preserve">
1.视频领取
2.钻石领取
3.支付领取</t>
        </r>
      </text>
    </comment>
    <comment ref="F2" authorId="0" shapeId="0" xr:uid="{00000000-0006-0000-1600-000002000000}">
      <text>
        <r>
          <rPr>
            <b/>
            <sz val="9"/>
            <rFont val="宋体"/>
            <charset val="134"/>
          </rPr>
          <t>Aki:</t>
        </r>
        <r>
          <rPr>
            <sz val="9"/>
            <rFont val="宋体"/>
            <charset val="134"/>
          </rPr>
          <t xml:space="preserve">
[[台球号码,权重],[]]
台球是不放回抽取。</t>
        </r>
      </text>
    </comment>
    <comment ref="H2" authorId="0" shapeId="0" xr:uid="{00000000-0006-0000-1600-000003000000}">
      <text>
        <r>
          <rPr>
            <b/>
            <sz val="9"/>
            <rFont val="宋体"/>
            <charset val="134"/>
          </rPr>
          <t>Aki:</t>
        </r>
        <r>
          <rPr>
            <sz val="9"/>
            <rFont val="宋体"/>
            <charset val="134"/>
          </rPr>
          <t xml:space="preserve">
语言包id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1700-000001000000}">
      <text>
        <r>
          <rPr>
            <b/>
            <sz val="9"/>
            <rFont val="宋体"/>
            <charset val="134"/>
          </rPr>
          <t>Aki:</t>
        </r>
        <r>
          <rPr>
            <sz val="9"/>
            <rFont val="宋体"/>
            <charset val="134"/>
          </rPr>
          <t xml:space="preserve">
奖励组id，必得</t>
        </r>
      </text>
    </comment>
    <comment ref="D2" authorId="0" shapeId="0" xr:uid="{00000000-0006-0000-1700-000002000000}">
      <text>
        <r>
          <rPr>
            <b/>
            <sz val="9"/>
            <rFont val="宋体"/>
            <charset val="134"/>
          </rPr>
          <t>Aki:</t>
        </r>
        <r>
          <rPr>
            <sz val="9"/>
            <rFont val="宋体"/>
            <charset val="134"/>
          </rPr>
          <t xml:space="preserve">
奖励组id，按权重掉落</t>
        </r>
      </text>
    </comment>
    <comment ref="F2" authorId="0" shapeId="0" xr:uid="{00000000-0006-0000-1700-000003000000}">
      <text>
        <r>
          <rPr>
            <b/>
            <sz val="9"/>
            <rFont val="宋体"/>
            <charset val="134"/>
          </rPr>
          <t>Aki:</t>
        </r>
        <r>
          <rPr>
            <sz val="9"/>
            <rFont val="宋体"/>
            <charset val="134"/>
          </rPr>
          <t xml:space="preserve">
用于前端显示</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C2" authorId="0" shapeId="0" xr:uid="{00000000-0006-0000-1800-000001000000}">
      <text>
        <r>
          <rPr>
            <b/>
            <sz val="9"/>
            <rFont val="宋体"/>
            <charset val="134"/>
          </rPr>
          <t>Aki:</t>
        </r>
        <r>
          <rPr>
            <sz val="9"/>
            <rFont val="宋体"/>
            <charset val="134"/>
          </rPr>
          <t xml:space="preserve">
当前推荐页的展示时间</t>
        </r>
      </text>
    </comment>
    <comment ref="E2" authorId="0" shapeId="0" xr:uid="{00000000-0006-0000-1800-000002000000}">
      <text>
        <r>
          <rPr>
            <b/>
            <sz val="9"/>
            <rFont val="宋体"/>
            <charset val="134"/>
          </rPr>
          <t>Aki:</t>
        </r>
        <r>
          <rPr>
            <sz val="9"/>
            <rFont val="宋体"/>
            <charset val="134"/>
          </rPr>
          <t xml:space="preserve">
lucky_one表id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C2" authorId="0" shapeId="0" xr:uid="{00000000-0006-0000-1900-000001000000}">
      <text>
        <r>
          <rPr>
            <b/>
            <sz val="9"/>
            <rFont val="宋体"/>
            <charset val="134"/>
          </rPr>
          <t>Dan:</t>
        </r>
        <r>
          <rPr>
            <sz val="9"/>
            <rFont val="宋体"/>
            <charset val="134"/>
          </rPr>
          <t xml:space="preserve">
大于等于</t>
        </r>
      </text>
    </comment>
    <comment ref="D2" authorId="0" shapeId="0" xr:uid="{00000000-0006-0000-1900-000002000000}">
      <text>
        <r>
          <rPr>
            <b/>
            <sz val="9"/>
            <rFont val="宋体"/>
            <charset val="134"/>
          </rPr>
          <t>Dan:</t>
        </r>
        <r>
          <rPr>
            <sz val="9"/>
            <rFont val="宋体"/>
            <charset val="134"/>
          </rPr>
          <t xml:space="preserve">
小于等于</t>
        </r>
      </text>
    </comment>
    <comment ref="E2" authorId="0" shapeId="0" xr:uid="{00000000-0006-0000-1900-000003000000}">
      <text>
        <r>
          <rPr>
            <b/>
            <sz val="9"/>
            <rFont val="宋体"/>
            <charset val="134"/>
          </rPr>
          <t>Dan:</t>
        </r>
        <r>
          <rPr>
            <sz val="9"/>
            <rFont val="宋体"/>
            <charset val="134"/>
          </rPr>
          <t xml:space="preserve">
[[奖励id，数量],…]</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2" authorId="0" shapeId="0" xr:uid="{00000000-0006-0000-1A00-000001000000}">
      <text>
        <r>
          <rPr>
            <b/>
            <sz val="9"/>
            <rFont val="宋体"/>
            <charset val="134"/>
          </rPr>
          <t>Dan:</t>
        </r>
        <r>
          <rPr>
            <sz val="9"/>
            <rFont val="宋体"/>
            <charset val="134"/>
          </rPr>
          <t xml:space="preserve">
奖励组配置表id</t>
        </r>
      </text>
    </comment>
    <comment ref="D2" authorId="0" shapeId="0" xr:uid="{00000000-0006-0000-1A00-000002000000}">
      <text>
        <r>
          <rPr>
            <b/>
            <sz val="9"/>
            <rFont val="宋体"/>
            <charset val="134"/>
          </rPr>
          <t>Dan:</t>
        </r>
        <r>
          <rPr>
            <sz val="9"/>
            <rFont val="宋体"/>
            <charset val="134"/>
          </rPr>
          <t xml:space="preserve">
界面展示球杆物品id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2" authorId="0" shapeId="0" xr:uid="{00000000-0006-0000-1B00-000001000000}">
      <text>
        <r>
          <rPr>
            <b/>
            <sz val="9"/>
            <rFont val="宋体"/>
            <charset val="134"/>
          </rPr>
          <t>Dan:</t>
        </r>
        <r>
          <rPr>
            <sz val="9"/>
            <rFont val="宋体"/>
            <charset val="134"/>
          </rPr>
          <t xml:space="preserve">
1.视频刮奖奖励池，每天只可刮奖1次
2.刮刮券刮奖奖励池，通过消耗刮刮券来刮奖</t>
        </r>
      </text>
    </comment>
    <comment ref="D2" authorId="0" shapeId="0" xr:uid="{00000000-0006-0000-1B00-000002000000}">
      <text>
        <r>
          <rPr>
            <b/>
            <sz val="9"/>
            <rFont val="宋体"/>
            <charset val="134"/>
          </rPr>
          <t>Dan:</t>
        </r>
        <r>
          <rPr>
            <sz val="9"/>
            <rFont val="宋体"/>
            <charset val="134"/>
          </rPr>
          <t xml:space="preserve">
可获得的奖励在奖励组按权值分配</t>
        </r>
      </text>
    </comment>
    <comment ref="E2" authorId="0" shapeId="0" xr:uid="{00000000-0006-0000-1B00-000003000000}">
      <text>
        <r>
          <rPr>
            <b/>
            <sz val="9"/>
            <rFont val="宋体"/>
            <charset val="134"/>
          </rPr>
          <t>Dan:</t>
        </r>
        <r>
          <rPr>
            <sz val="9"/>
            <rFont val="宋体"/>
            <charset val="134"/>
          </rPr>
          <t xml:space="preserve">
5%的概率无奖励
</t>
        </r>
      </text>
    </comment>
    <comment ref="F2" authorId="0" shapeId="0" xr:uid="{00000000-0006-0000-1B00-000004000000}">
      <text>
        <r>
          <rPr>
            <b/>
            <sz val="9"/>
            <rFont val="宋体"/>
            <charset val="134"/>
          </rPr>
          <t>Dan:</t>
        </r>
        <r>
          <rPr>
            <sz val="9"/>
            <rFont val="宋体"/>
            <charset val="134"/>
          </rPr>
          <t xml:space="preserve">
界面展示球杆物品id</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Administrator</author>
    <author>Aki</author>
  </authors>
  <commentList>
    <comment ref="B2" authorId="0" shapeId="0" xr:uid="{00000000-0006-0000-1C00-000001000000}">
      <text>
        <r>
          <rPr>
            <b/>
            <sz val="9"/>
            <rFont val="宋体"/>
            <charset val="134"/>
          </rPr>
          <t>Dan:</t>
        </r>
        <r>
          <rPr>
            <sz val="9"/>
            <rFont val="宋体"/>
            <charset val="134"/>
          </rPr>
          <t xml:space="preserve">
级</t>
        </r>
      </text>
    </comment>
    <comment ref="C2" authorId="0" shapeId="0" xr:uid="{00000000-0006-0000-1C00-000002000000}">
      <text>
        <r>
          <rPr>
            <b/>
            <sz val="9"/>
            <rFont val="宋体"/>
            <charset val="134"/>
          </rPr>
          <t>Dan:</t>
        </r>
        <r>
          <rPr>
            <sz val="9"/>
            <rFont val="宋体"/>
            <charset val="134"/>
          </rPr>
          <t xml:space="preserve">
新手球杆的奖励</t>
        </r>
      </text>
    </comment>
    <comment ref="E2" authorId="0" shapeId="0" xr:uid="{00000000-0006-0000-1C00-000003000000}">
      <text>
        <r>
          <rPr>
            <b/>
            <sz val="9"/>
            <rFont val="宋体"/>
            <charset val="134"/>
          </rPr>
          <t>Dan:</t>
        </r>
        <r>
          <rPr>
            <sz val="9"/>
            <rFont val="宋体"/>
            <charset val="134"/>
          </rPr>
          <t xml:space="preserve">
售卖球杆的属性值
[力度，加塞，瞄准，魅力]</t>
        </r>
      </text>
    </comment>
    <comment ref="F2" authorId="0" shapeId="0" xr:uid="{00000000-0006-0000-1C00-000004000000}">
      <text>
        <r>
          <rPr>
            <b/>
            <sz val="9"/>
            <rFont val="宋体"/>
            <charset val="134"/>
          </rPr>
          <t>Dan:</t>
        </r>
        <r>
          <rPr>
            <sz val="9"/>
            <rFont val="宋体"/>
            <charset val="134"/>
          </rPr>
          <t xml:space="preserve">
球杆属性和属性上限的比值，为礼包展示属性值的长度
[力度，加塞，瞄准，魅力]</t>
        </r>
      </text>
    </comment>
    <comment ref="G2" authorId="0" shapeId="0" xr:uid="{00000000-0006-0000-1C00-000005000000}">
      <text>
        <r>
          <rPr>
            <b/>
            <sz val="9"/>
            <rFont val="宋体"/>
            <charset val="134"/>
          </rPr>
          <t>Dan:</t>
        </r>
        <r>
          <rPr>
            <sz val="9"/>
            <rFont val="宋体"/>
            <charset val="134"/>
          </rPr>
          <t xml:space="preserve">
前端通过c杆属性来显示出属性提升
属性提升：当前球杆属性减去c杆属性</t>
        </r>
      </text>
    </comment>
    <comment ref="H2" authorId="1" shapeId="0" xr:uid="{00000000-0006-0000-1C00-000006000000}">
      <text>
        <r>
          <rPr>
            <sz val="9"/>
            <rFont val="宋体"/>
            <charset val="134"/>
          </rPr>
          <t xml:space="preserve">10表示没有折扣显示
9、8、7·····0表示对应的折扣显示
</t>
        </r>
      </text>
    </comment>
    <comment ref="I2" authorId="1" shapeId="0" xr:uid="{00000000-0006-0000-1C00-000007000000}">
      <text>
        <r>
          <rPr>
            <sz val="9"/>
            <rFont val="宋体"/>
            <charset val="134"/>
          </rPr>
          <t xml:space="preserve">仅做对应档位的数字显示
</t>
        </r>
      </text>
    </comment>
    <comment ref="J2" authorId="1" shapeId="0" xr:uid="{00000000-0006-0000-1C00-000008000000}">
      <text>
        <r>
          <rPr>
            <sz val="9"/>
            <rFont val="宋体"/>
            <charset val="134"/>
          </rPr>
          <t xml:space="preserve">仅做折扣的原价显示
0为不显示原价
</t>
        </r>
      </text>
    </comment>
    <comment ref="L2" authorId="0" shapeId="0" xr:uid="{00000000-0006-0000-1C00-000009000000}">
      <text>
        <r>
          <rPr>
            <b/>
            <sz val="9"/>
            <rFont val="宋体"/>
            <charset val="134"/>
          </rPr>
          <t>Dan:</t>
        </r>
        <r>
          <rPr>
            <sz val="9"/>
            <rFont val="宋体"/>
            <charset val="134"/>
          </rPr>
          <t xml:space="preserve">
出发后开始倒计时
倒计时结束后入口关闭</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D2" authorId="0" shapeId="0" xr:uid="{00000000-0006-0000-1D00-000001000000}">
      <text>
        <r>
          <rPr>
            <b/>
            <sz val="9"/>
            <rFont val="宋体"/>
            <charset val="134"/>
          </rPr>
          <t>zhouzhen:</t>
        </r>
        <r>
          <rPr>
            <sz val="9"/>
            <rFont val="宋体"/>
            <charset val="134"/>
          </rPr>
          <t xml:space="preserve">
0：需要显示进度
1：不需要显示进度</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Piao Shengning</author>
  </authors>
  <commentList>
    <comment ref="B11" authorId="0" shapeId="0" xr:uid="{00000000-0006-0000-1E00-000001000000}">
      <text>
        <r>
          <rPr>
            <sz val="11"/>
            <color indexed="8"/>
            <rFont val="Helvetica"/>
            <family val="2"/>
          </rPr>
          <t>Piao Shengning:
字段名</t>
        </r>
      </text>
    </comment>
    <comment ref="B12" authorId="0" shapeId="0" xr:uid="{00000000-0006-0000-1E00-000002000000}">
      <text>
        <r>
          <rPr>
            <sz val="11"/>
            <color indexed="8"/>
            <rFont val="Helvetica"/>
            <family val="2"/>
          </rPr>
          <t>Piao Shengning:
字段类型</t>
        </r>
      </text>
    </comment>
    <comment ref="B13" authorId="0" shapeId="0" xr:uid="{00000000-0006-0000-1E00-000003000000}">
      <text>
        <r>
          <rPr>
            <sz val="11"/>
            <color rgb="FF000000"/>
            <rFont val="Helvetica"/>
            <family val="2"/>
          </rPr>
          <t>Piao Shengning:
属性描述. 是否为主键, 是否导出客户端, 是否导出服务端</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Aki</author>
    <author>杨宗水</author>
  </authors>
  <commentList>
    <comment ref="B12" authorId="0" shapeId="0" xr:uid="{00000000-0006-0000-1F00-000001000000}">
      <text>
        <r>
          <rPr>
            <b/>
            <sz val="9"/>
            <rFont val="宋体"/>
            <charset val="134"/>
          </rPr>
          <t>Aki:</t>
        </r>
        <r>
          <rPr>
            <sz val="9"/>
            <rFont val="宋体"/>
            <charset val="134"/>
          </rPr>
          <t xml:space="preserve">
1.每日对局时长
2.每日对局数
3.每周对局时长
4.每周对局数</t>
        </r>
      </text>
    </comment>
    <comment ref="C12" authorId="0" shapeId="0" xr:uid="{00000000-0006-0000-1F00-000002000000}">
      <text>
        <r>
          <rPr>
            <b/>
            <sz val="9"/>
            <rFont val="宋体"/>
            <charset val="134"/>
          </rPr>
          <t xml:space="preserve">Aki:
</t>
        </r>
        <r>
          <rPr>
            <sz val="9"/>
            <rFont val="宋体"/>
            <charset val="134"/>
          </rPr>
          <t>直播时长单位为分钟</t>
        </r>
      </text>
    </comment>
    <comment ref="D12" authorId="0" shapeId="0" xr:uid="{00000000-0006-0000-1F00-000003000000}">
      <text>
        <r>
          <rPr>
            <b/>
            <sz val="9"/>
            <rFont val="宋体"/>
            <charset val="134"/>
          </rPr>
          <t>Aki:</t>
        </r>
        <r>
          <rPr>
            <sz val="9"/>
            <rFont val="宋体"/>
            <charset val="134"/>
          </rPr>
          <t xml:space="preserve">
[[物品id，数量],…]</t>
        </r>
      </text>
    </comment>
    <comment ref="I12" authorId="1" shapeId="0" xr:uid="{00000000-0006-0000-1F00-000004000000}">
      <text>
        <r>
          <rPr>
            <b/>
            <sz val="9"/>
            <rFont val="宋体"/>
            <charset val="134"/>
          </rPr>
          <t>杨宗水:</t>
        </r>
        <r>
          <rPr>
            <sz val="9"/>
            <rFont val="宋体"/>
            <charset val="134"/>
          </rPr>
          <t xml:space="preserve">
item_id，显示id对应的物品icon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2" authorId="0" shapeId="0" xr:uid="{00000000-0006-0000-2100-000001000000}">
      <text>
        <r>
          <rPr>
            <sz val="9"/>
            <rFont val="宋体"/>
            <charset val="134"/>
          </rPr>
          <t>Gino:
1：PVP比赛次数X-----次数
2：累积登录：累积登录多少天-----次数
3：指定日期登录：登录游戏（未做）
4：累积充值：累积充值多少-----金额（元）
5：分享（未做）
6：闯关：累积玩多少局闯关-----次数
7：一周内某天登录：周几登录游戏(0-6:周日-周六）   
8：玩家一杆N球M次-----次数，次数
9：8球模式在某场次及以上的对局X局-----数量，次数
10：玩家8球连杆击数目X-----次数
11：玩家8球一杆清台的次数X-----次数
12:任意8球比赛X特殊进球次数X-----类型id，次数
13:8球模式开球打进X颗-----次数
14:8球模式连胜X局-----次数
15:8球模式连输X局-----次数
16：累积消费X钻石-----数量
17：任意模式加注X次-----次数
18：看任意的视频X次-----次数
19：签到X次-----次数
20：累积充值X天-----次数
21：PVP比赛XX模式次数X-----类型id，次数
22：周几累积在线时间      
23：周几PVP比赛次数X     
24：参加好友约战的次数X-----次数
25：参加幸运夺宝的次数X-----次数
26：PVP比赛获胜次数X-----次数
27：PVP比赛累积进球次数X-----次数
28：X金币场及以上场次比赛次数X-----金币数，次数
29：X金币场及以上场次比赛获胜次数X-----金币数，次数
30：X金币场及以上场次比赛进球次数X-----金币数，次数
31：X金币场完成X次比赛----金币数，次数</t>
        </r>
      </text>
    </comment>
    <comment ref="C12" authorId="0" shapeId="0" xr:uid="{00000000-0006-0000-2100-000002000000}">
      <text>
        <r>
          <rPr>
            <b/>
            <sz val="9"/>
            <rFont val="宋体"/>
            <charset val="134"/>
          </rPr>
          <t>作者:</t>
        </r>
        <r>
          <rPr>
            <sz val="9"/>
            <rFont val="宋体"/>
            <charset val="134"/>
          </rPr>
          <t xml:space="preserve">
金币数,场次</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2200-000001000000}">
      <text>
        <r>
          <rPr>
            <b/>
            <sz val="9"/>
            <rFont val="宋体"/>
            <charset val="134"/>
          </rPr>
          <t>zhouzhen:</t>
        </r>
        <r>
          <rPr>
            <sz val="9"/>
            <rFont val="宋体"/>
            <charset val="134"/>
          </rPr>
          <t xml:space="preserve">
item_id
0：下一次n倍</t>
        </r>
      </text>
    </comment>
    <comment ref="G12" authorId="0" shapeId="0" xr:uid="{00000000-0006-0000-2200-000002000000}">
      <text>
        <r>
          <rPr>
            <b/>
            <sz val="9"/>
            <rFont val="宋体"/>
            <charset val="134"/>
          </rPr>
          <t>zhouzhen:</t>
        </r>
        <r>
          <rPr>
            <sz val="9"/>
            <rFont val="宋体"/>
            <charset val="134"/>
          </rPr>
          <t xml:space="preserve">
item_id
0：下一次n倍</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2300-000001000000}">
      <text>
        <r>
          <rPr>
            <b/>
            <sz val="9"/>
            <rFont val="宋体"/>
            <charset val="134"/>
          </rPr>
          <t>zhouzhen:</t>
        </r>
        <r>
          <rPr>
            <sz val="9"/>
            <rFont val="宋体"/>
            <charset val="134"/>
          </rPr>
          <t xml:space="preserve">
item_id
0：下一次n倍</t>
        </r>
      </text>
    </comment>
    <comment ref="G12" authorId="0" shapeId="0" xr:uid="{00000000-0006-0000-2300-000002000000}">
      <text>
        <r>
          <rPr>
            <b/>
            <sz val="9"/>
            <rFont val="宋体"/>
            <charset val="134"/>
          </rPr>
          <t>zhouzhen:</t>
        </r>
        <r>
          <rPr>
            <sz val="9"/>
            <rFont val="宋体"/>
            <charset val="134"/>
          </rPr>
          <t xml:space="preserve">
0：普通奖励
1：高级奖励</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B12" authorId="0" shapeId="0" xr:uid="{00000000-0006-0000-2400-000001000000}">
      <text>
        <r>
          <rPr>
            <b/>
            <sz val="9"/>
            <rFont val="宋体"/>
            <charset val="134"/>
          </rPr>
          <t>杨宗水:</t>
        </r>
        <r>
          <rPr>
            <sz val="9"/>
            <rFont val="宋体"/>
            <charset val="134"/>
          </rPr>
          <t xml:space="preserve">
配置时间格式，自动转为时间戳
当前时间&gt;=出现时间时，活动开始</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2500-000001000000}">
      <text>
        <r>
          <rPr>
            <b/>
            <sz val="9"/>
            <rFont val="宋体"/>
            <charset val="134"/>
          </rPr>
          <t>zhouzhen:</t>
        </r>
        <r>
          <rPr>
            <sz val="9"/>
            <rFont val="宋体"/>
            <charset val="134"/>
          </rPr>
          <t xml:space="preserve">
item_id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H12" authorId="0" shapeId="0" xr:uid="{00000000-0006-0000-2600-000001000000}">
      <text>
        <r>
          <rPr>
            <b/>
            <sz val="9"/>
            <rFont val="宋体"/>
            <charset val="134"/>
          </rPr>
          <t>zhouzhen:</t>
        </r>
        <r>
          <rPr>
            <sz val="9"/>
            <rFont val="宋体"/>
            <charset val="134"/>
          </rPr>
          <t xml:space="preserve">
1、物品icon
2、特殊图片
3、球杆五维图</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a</author>
  </authors>
  <commentList>
    <comment ref="C12" authorId="0" shapeId="0" xr:uid="{00000000-0006-0000-2700-000001000000}">
      <text>
        <r>
          <rPr>
            <b/>
            <sz val="9"/>
            <rFont val="宋体"/>
            <charset val="134"/>
          </rPr>
          <t>杨宗水:</t>
        </r>
        <r>
          <rPr>
            <sz val="9"/>
            <rFont val="宋体"/>
            <charset val="134"/>
          </rPr>
          <t xml:space="preserve">
中文名
方便策划维护</t>
        </r>
      </text>
    </comment>
    <comment ref="D12" authorId="1" shapeId="0" xr:uid="{00000000-0006-0000-2700-000002000000}">
      <text>
        <r>
          <rPr>
            <b/>
            <sz val="9"/>
            <rFont val="宋体"/>
            <charset val="134"/>
          </rPr>
          <t>1、8球对局：在任意模式中进行8球对局 X 局
2、升级：等级达到 X 级
3、闯关：剧情模式达到 X 关(a,b:第a章第b关）
4、充值：累计充值x元
5、看广告：累计成功观看 X 次广告
6、幸运一击：累计进行 X 次幸运一击（普通算1次，付费也只算1次）
7、段位：段位达到 X （对应段位表的id)
8、初始球杆升到X品质
9、加入俱乐部1次
10、好友约战累计X次
11、领取VIP特权礼包累计X次
12、拥有X名好友
13、分享累计X次
14、视频签到累计X次
15、俱乐部打卡累计X次
16、观看在线奖励视频累计X次
17、14-1玩法累计玩X局
18、对局玩法加注累计X次
19、俱乐部赞助累计X次
20、收徒累计X人
21、徒弟出师累计X人
22、8球对局：在X厅累计Y局
23、8球对局：在x厅及以上累计对局Y局
24、累计登录x天
25、累计签到x天</t>
        </r>
      </text>
    </comment>
    <comment ref="E12" authorId="1" shapeId="0" xr:uid="{00000000-0006-0000-2700-000003000000}">
      <text>
        <r>
          <rPr>
            <b/>
            <sz val="9"/>
            <rFont val="宋体"/>
            <charset val="134"/>
          </rPr>
          <t>1、对局数
2、等级
3、a,b：第a章 第b关
4、次数
5、次数
6、次数
7、段位配置表id
8、球杆品质：1为C 2B 3A 4S 5SS 6SSS
9、次数
10、次数
11、次数
12、人数
13、次数
14、次数
15、次数
16、次数
17、次数
18、次数
19、次数
20、人数
21、人数
22、X,Y：0所有厅 1免费厅 2初级厅。。。,局数
23、X，Y：
24、天数</t>
        </r>
      </text>
    </comment>
    <comment ref="H12" authorId="2" shapeId="0" xr:uid="{00000000-0006-0000-2700-000004000000}">
      <text>
        <r>
          <rPr>
            <b/>
            <sz val="9"/>
            <rFont val="宋体"/>
            <charset val="134"/>
          </rPr>
          <t>1:初始
0：非初始</t>
        </r>
      </text>
    </comment>
    <comment ref="I12" authorId="1" shapeId="0" xr:uid="{00000000-0006-0000-2700-000005000000}">
      <text>
        <r>
          <rPr>
            <b/>
            <sz val="9"/>
            <rFont val="宋体"/>
            <charset val="134"/>
          </rPr>
          <t>zhouzhen:</t>
        </r>
        <r>
          <rPr>
            <sz val="9"/>
            <rFont val="宋体"/>
            <charset val="134"/>
          </rPr>
          <t xml:space="preserve">
点击【前往】跳转的对应界面链接
查看“跳转链接配置表”</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2800-000001000000}">
      <text>
        <r>
          <rPr>
            <b/>
            <sz val="9"/>
            <rFont val="宋体"/>
            <charset val="134"/>
          </rPr>
          <t>zhouzhen:</t>
        </r>
        <r>
          <rPr>
            <sz val="9"/>
            <rFont val="宋体"/>
            <charset val="134"/>
          </rPr>
          <t xml:space="preserve">
填写item_id</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C12" authorId="0" shapeId="0" xr:uid="{00000000-0006-0000-2C00-000001000000}">
      <text>
        <r>
          <rPr>
            <b/>
            <sz val="9"/>
            <rFont val="宋体"/>
            <charset val="134"/>
          </rPr>
          <t>杨宗水:</t>
        </r>
        <r>
          <rPr>
            <sz val="9"/>
            <rFont val="宋体"/>
            <charset val="134"/>
          </rPr>
          <t xml:space="preserve">
中文名
方便策划维护</t>
        </r>
      </text>
    </comment>
    <comment ref="D12" authorId="1" shapeId="0" xr:uid="{00000000-0006-0000-2C00-000002000000}">
      <text>
        <r>
          <rPr>
            <b/>
            <sz val="9"/>
            <rFont val="宋体"/>
            <charset val="134"/>
          </rPr>
          <t>zhouzhen:</t>
        </r>
        <r>
          <rPr>
            <sz val="9"/>
            <rFont val="宋体"/>
            <charset val="134"/>
          </rPr>
          <t xml:space="preserve">
1:徒弟出师
2：拜师
3：绑定手机号
4：累计玩xx局8球对局（约战、自由训练不算）</t>
        </r>
      </text>
    </comment>
    <comment ref="E12" authorId="1" shapeId="0" xr:uid="{00000000-0006-0000-2C00-000003000000}">
      <text>
        <r>
          <rPr>
            <b/>
            <sz val="9"/>
            <rFont val="宋体"/>
            <charset val="134"/>
          </rPr>
          <t>zhouzhen:</t>
        </r>
        <r>
          <rPr>
            <sz val="9"/>
            <rFont val="宋体"/>
            <charset val="134"/>
          </rPr>
          <t xml:space="preserve">
1、人数
2、
3、
4、局数</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zhouzhen</author>
    <author>Carys</author>
    <author>Admin</author>
  </authors>
  <commentList>
    <comment ref="A12" authorId="0" shapeId="0" xr:uid="{00000000-0006-0000-2D00-000001000000}">
      <text>
        <r>
          <rPr>
            <b/>
            <sz val="9"/>
            <rFont val="宋体"/>
            <charset val="134"/>
          </rPr>
          <t>zhouzhen:</t>
        </r>
        <r>
          <rPr>
            <sz val="9"/>
            <rFont val="宋体"/>
            <charset val="134"/>
          </rPr>
          <t xml:space="preserve">
1、第一档
2、第二档</t>
        </r>
      </text>
    </comment>
    <comment ref="B12" authorId="1" shapeId="0" xr:uid="{00000000-0006-0000-2D00-000002000000}">
      <text>
        <r>
          <rPr>
            <b/>
            <sz val="9"/>
            <rFont val="宋体"/>
            <charset val="134"/>
          </rPr>
          <t>Carys:</t>
        </r>
        <r>
          <rPr>
            <sz val="9"/>
            <rFont val="宋体"/>
            <charset val="134"/>
          </rPr>
          <t xml:space="preserve">
相同数字为同一个组。</t>
        </r>
      </text>
    </comment>
    <comment ref="C12" authorId="1" shapeId="0" xr:uid="{00000000-0006-0000-2D00-000003000000}">
      <text>
        <r>
          <rPr>
            <b/>
            <sz val="9"/>
            <rFont val="宋体"/>
            <charset val="134"/>
          </rPr>
          <t>Carys:</t>
        </r>
        <r>
          <rPr>
            <sz val="9"/>
            <rFont val="宋体"/>
            <charset val="134"/>
          </rPr>
          <t xml:space="preserve">
球杆id</t>
        </r>
      </text>
    </comment>
    <comment ref="D12" authorId="2" shapeId="0" xr:uid="{00000000-0006-0000-2D00-000004000000}">
      <text>
        <r>
          <rPr>
            <b/>
            <sz val="9"/>
            <rFont val="宋体"/>
            <charset val="134"/>
          </rPr>
          <t>Admin:</t>
        </r>
        <r>
          <rPr>
            <sz val="9"/>
            <rFont val="宋体"/>
            <charset val="134"/>
          </rPr>
          <t xml:space="preserve">
</t>
        </r>
      </text>
    </comment>
    <comment ref="E12" authorId="0" shapeId="0" xr:uid="{00000000-0006-0000-2D00-000005000000}">
      <text>
        <r>
          <rPr>
            <b/>
            <sz val="9"/>
            <rFont val="宋体"/>
            <charset val="134"/>
          </rPr>
          <t>zhouzhen:</t>
        </r>
        <r>
          <rPr>
            <sz val="9"/>
            <rFont val="宋体"/>
            <charset val="134"/>
          </rPr>
          <t xml:space="preserve">
单位：rmb</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B12" authorId="0" shapeId="0" xr:uid="{00000000-0006-0000-2E00-000001000000}">
      <text>
        <r>
          <rPr>
            <b/>
            <sz val="9"/>
            <rFont val="宋体"/>
            <charset val="134"/>
          </rPr>
          <t>杨宗水:</t>
        </r>
        <r>
          <rPr>
            <sz val="9"/>
            <rFont val="宋体"/>
            <charset val="134"/>
          </rPr>
          <t xml:space="preserve">
0：免费
1：广告</t>
        </r>
      </text>
    </comment>
    <comment ref="C12" authorId="0" shapeId="0" xr:uid="{00000000-0006-0000-2E00-000002000000}">
      <text>
        <r>
          <rPr>
            <b/>
            <sz val="9"/>
            <rFont val="宋体"/>
            <charset val="134"/>
          </rPr>
          <t>杨宗水:</t>
        </r>
        <r>
          <rPr>
            <sz val="9"/>
            <rFont val="宋体"/>
            <charset val="134"/>
          </rPr>
          <t xml:space="preserve">
配置分钟</t>
        </r>
      </text>
    </comment>
    <comment ref="C16" authorId="0" shapeId="0" xr:uid="{00000000-0006-0000-2E00-000003000000}">
      <text>
        <r>
          <rPr>
            <b/>
            <sz val="9"/>
            <rFont val="宋体"/>
            <charset val="134"/>
          </rPr>
          <t>杨宗水:</t>
        </r>
        <r>
          <rPr>
            <sz val="9"/>
            <rFont val="宋体"/>
            <charset val="134"/>
          </rPr>
          <t xml:space="preserve">
每日登录首次直接领</t>
        </r>
      </text>
    </comment>
    <comment ref="I16" authorId="0" shapeId="0" xr:uid="{00000000-0006-0000-2E00-000004000000}">
      <text>
        <r>
          <rPr>
            <b/>
            <sz val="9"/>
            <rFont val="宋体"/>
            <charset val="134"/>
          </rPr>
          <t>杨宗水:</t>
        </r>
        <r>
          <rPr>
            <sz val="9"/>
            <rFont val="宋体"/>
            <charset val="134"/>
          </rPr>
          <t xml:space="preserve">
每日登录首次直接领</t>
        </r>
      </text>
    </comment>
    <comment ref="K16" authorId="0" shapeId="0" xr:uid="{00000000-0006-0000-2E00-000005000000}">
      <text>
        <r>
          <rPr>
            <b/>
            <sz val="9"/>
            <rFont val="宋体"/>
            <charset val="134"/>
          </rPr>
          <t>杨宗水:</t>
        </r>
        <r>
          <rPr>
            <sz val="9"/>
            <rFont val="宋体"/>
            <charset val="134"/>
          </rPr>
          <t xml:space="preserve">
每日登录首次直接领</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A12" authorId="0" shapeId="0" xr:uid="{00000000-0006-0000-3000-000001000000}">
      <text>
        <r>
          <rPr>
            <b/>
            <sz val="9"/>
            <rFont val="宋体"/>
            <charset val="134"/>
          </rPr>
          <t>杨宗水:</t>
        </r>
        <r>
          <rPr>
            <sz val="9"/>
            <rFont val="宋体"/>
            <charset val="134"/>
          </rPr>
          <t xml:space="preserve">
商店分页唯一标识</t>
        </r>
      </text>
    </comment>
    <comment ref="B12" authorId="1" shapeId="0" xr:uid="{00000000-0006-0000-3000-000002000000}">
      <text>
        <r>
          <rPr>
            <b/>
            <sz val="9"/>
            <rFont val="宋体"/>
            <charset val="134"/>
          </rPr>
          <t>zhouzhen:</t>
        </r>
        <r>
          <rPr>
            <sz val="9"/>
            <rFont val="宋体"/>
            <charset val="134"/>
          </rPr>
          <t xml:space="preserve">
[[奖励组，掉落权重],[奖励组，掉落权重],…]</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D12" authorId="0" shapeId="0" xr:uid="{00000000-0006-0000-3100-000001000000}">
      <text>
        <r>
          <rPr>
            <b/>
            <sz val="9"/>
            <rFont val="宋体"/>
            <charset val="134"/>
          </rPr>
          <t>杨宗水:</t>
        </r>
        <r>
          <rPr>
            <sz val="9"/>
            <rFont val="宋体"/>
            <charset val="134"/>
          </rPr>
          <t xml:space="preserve">
中文名
方便策划维护</t>
        </r>
      </text>
    </comment>
    <comment ref="E12" authorId="1" shapeId="0" xr:uid="{00000000-0006-0000-3100-000002000000}">
      <text>
        <r>
          <rPr>
            <b/>
            <sz val="9"/>
            <rFont val="宋体"/>
            <charset val="134"/>
          </rPr>
          <t>zhouzhen:</t>
        </r>
        <r>
          <rPr>
            <sz val="9"/>
            <rFont val="宋体"/>
            <charset val="134"/>
          </rPr>
          <t xml:space="preserve">
1、8球对局：在任意模式中进行8球对局 X 局
2、升级：等级达到 X 级
3、</t>
        </r>
        <r>
          <rPr>
            <b/>
            <sz val="9"/>
            <rFont val="宋体"/>
            <charset val="134"/>
          </rPr>
          <t>闯关</t>
        </r>
        <r>
          <rPr>
            <sz val="9"/>
            <rFont val="宋体"/>
            <charset val="134"/>
          </rPr>
          <t>：剧情模式达到 X 关(a,b:第a章第b关）
4、充值：累计充值x元
5、看广告：累计成功观看 X 次广告
6、幸运一击：累计进行 X 次幸运一击（普通算1次，付费也只算1次）
7、</t>
        </r>
        <r>
          <rPr>
            <b/>
            <sz val="9"/>
            <rFont val="宋体"/>
            <charset val="134"/>
          </rPr>
          <t>段位</t>
        </r>
        <r>
          <rPr>
            <sz val="9"/>
            <rFont val="宋体"/>
            <charset val="134"/>
          </rPr>
          <t>：段位达到 X （对应段位表的id)
20200713-toby新增
8、</t>
        </r>
        <r>
          <rPr>
            <b/>
            <sz val="9"/>
            <rFont val="宋体"/>
            <charset val="134"/>
          </rPr>
          <t>初始球杆升到X品质</t>
        </r>
        <r>
          <rPr>
            <sz val="9"/>
            <rFont val="宋体"/>
            <charset val="134"/>
          </rPr>
          <t xml:space="preserve">
9、</t>
        </r>
        <r>
          <rPr>
            <b/>
            <sz val="9"/>
            <rFont val="宋体"/>
            <charset val="134"/>
          </rPr>
          <t>加入俱乐部1次</t>
        </r>
        <r>
          <rPr>
            <sz val="9"/>
            <rFont val="宋体"/>
            <charset val="134"/>
          </rPr>
          <t xml:space="preserve">
10、好友约战累计X次
11、领取VIP特权礼包累计X次
12、拥有X名好友
13、分享累计X次
14、视频签到累计X次
15、俱乐部打卡累计X次
16、观看在线奖励视频累计X次
17、14-1玩法累计玩X局
18、对局玩法加注累计X次
19、俱乐部赞助累计X次
20、收徒累计X人
21、徒弟出师累计X人</t>
        </r>
      </text>
    </comment>
    <comment ref="F12" authorId="1" shapeId="0" xr:uid="{00000000-0006-0000-3100-000003000000}">
      <text>
        <r>
          <rPr>
            <b/>
            <sz val="9"/>
            <rFont val="宋体"/>
            <charset val="134"/>
          </rPr>
          <t>zhouzhen:</t>
        </r>
        <r>
          <rPr>
            <sz val="9"/>
            <rFont val="宋体"/>
            <charset val="134"/>
          </rPr>
          <t xml:space="preserve">
1、对局数
2、等级
3、a,b：第a章 第b关
4、次数
5、次数
6、次数
7、段位配置表id
20200713-toby新增
8、球杆品质：1为C 2B 3A 4S 5SS 6SSS
9、次数
10、次数
11、次数
12、人数
13、次数
14、次数
15、次数
16、次数
17、次数
18、次数
19、次数
20、人数
21、人数
</t>
        </r>
      </text>
    </comment>
    <comment ref="G12" authorId="1" shapeId="0" xr:uid="{00000000-0006-0000-3100-000004000000}">
      <text>
        <r>
          <rPr>
            <b/>
            <sz val="9"/>
            <rFont val="宋体"/>
            <charset val="134"/>
          </rPr>
          <t>zhouzhen:</t>
        </r>
        <r>
          <rPr>
            <sz val="9"/>
            <rFont val="宋体"/>
            <charset val="134"/>
          </rPr>
          <t xml:space="preserve">
0：进度根据类型解释字段显示
1：进度只显示为1，未完成显示0/1，已完成显示1/1</t>
        </r>
      </text>
    </comment>
    <comment ref="I12" authorId="1" shapeId="0" xr:uid="{00000000-0006-0000-3100-000005000000}">
      <text>
        <r>
          <rPr>
            <b/>
            <sz val="9"/>
            <rFont val="宋体"/>
            <charset val="134"/>
          </rPr>
          <t>zhouzhen:</t>
        </r>
        <r>
          <rPr>
            <sz val="9"/>
            <rFont val="宋体"/>
            <charset val="134"/>
          </rPr>
          <t xml:space="preserve">
点击【前往】跳转的对应界面链接
查看“跳转链接配置表”</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A12" authorId="0" shapeId="0" xr:uid="{00000000-0006-0000-3200-000001000000}">
      <text>
        <r>
          <rPr>
            <b/>
            <sz val="9"/>
            <rFont val="宋体"/>
            <charset val="134"/>
          </rPr>
          <t>zhouzhen:</t>
        </r>
        <r>
          <rPr>
            <sz val="9"/>
            <rFont val="宋体"/>
            <charset val="134"/>
          </rPr>
          <t xml:space="preserve">
玩家累计登录的天数</t>
        </r>
      </text>
    </comment>
    <comment ref="C12" authorId="0" shapeId="0" xr:uid="{00000000-0006-0000-3200-000002000000}">
      <text>
        <r>
          <rPr>
            <b/>
            <sz val="9"/>
            <rFont val="宋体"/>
            <charset val="134"/>
          </rPr>
          <t>zhouzhen:</t>
        </r>
        <r>
          <rPr>
            <sz val="9"/>
            <rFont val="宋体"/>
            <charset val="134"/>
          </rPr>
          <t xml:space="preserve">
1、累计登录签到奖励
2、终极大奖</t>
        </r>
      </text>
    </comment>
    <comment ref="D12" authorId="0" shapeId="0" xr:uid="{00000000-0006-0000-3200-000003000000}">
      <text>
        <r>
          <rPr>
            <b/>
            <sz val="9"/>
            <rFont val="宋体"/>
            <charset val="134"/>
          </rPr>
          <t>zhouzhen:</t>
        </r>
        <r>
          <rPr>
            <sz val="9"/>
            <rFont val="宋体"/>
            <charset val="134"/>
          </rPr>
          <t xml:space="preserve">
1、登陆天数
2、需要活跃度数</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3300-000001000000}">
      <text>
        <r>
          <rPr>
            <b/>
            <sz val="9"/>
            <rFont val="宋体"/>
            <charset val="134"/>
          </rPr>
          <t>zhouzhen:</t>
        </r>
        <r>
          <rPr>
            <sz val="9"/>
            <rFont val="宋体"/>
            <charset val="134"/>
          </rPr>
          <t xml:space="preserve">
奖励组id</t>
        </r>
      </text>
    </comment>
  </commentList>
</comments>
</file>

<file path=xl/sharedStrings.xml><?xml version="1.0" encoding="utf-8"?>
<sst xmlns="http://schemas.openxmlformats.org/spreadsheetml/2006/main" count="2584" uniqueCount="832">
  <si>
    <t>##comment</t>
  </si>
  <si>
    <t>活动标签序号</t>
  </si>
  <si>
    <t>活动标签名</t>
  </si>
  <si>
    <t>参考中文名</t>
  </si>
  <si>
    <t>活动UI模板</t>
  </si>
  <si>
    <t>数据模版</t>
  </si>
  <si>
    <t>活动序号</t>
  </si>
  <si>
    <t>排版背景图</t>
  </si>
  <si>
    <t>任务刷新类型</t>
  </si>
  <si>
    <t>活动排序</t>
  </si>
  <si>
    <t>出现时间</t>
  </si>
  <si>
    <t>消失时间</t>
  </si>
  <si>
    <t>小红点</t>
  </si>
  <si>
    <t>分页</t>
  </si>
  <si>
    <t>跳转链接</t>
  </si>
  <si>
    <t>##var</t>
  </si>
  <si>
    <t>id</t>
  </si>
  <si>
    <t>name</t>
  </si>
  <si>
    <t>#name_ch</t>
  </si>
  <si>
    <t>mode_show</t>
  </si>
  <si>
    <t>mode_type</t>
  </si>
  <si>
    <t>mode_id</t>
  </si>
  <si>
    <t>typeImg</t>
  </si>
  <si>
    <t>order</t>
  </si>
  <si>
    <t>time_up</t>
  </si>
  <si>
    <t>time_down</t>
  </si>
  <si>
    <t>point_red</t>
  </si>
  <si>
    <t>type_title</t>
  </si>
  <si>
    <t>link</t>
  </si>
  <si>
    <t>##type</t>
  </si>
  <si>
    <t>int32</t>
  </si>
  <si>
    <t>string</t>
  </si>
  <si>
    <t>datetime</t>
  </si>
  <si>
    <t>##group</t>
  </si>
  <si>
    <t>c,s</t>
  </si>
  <si>
    <t>vb</t>
  </si>
  <si>
    <t>c</t>
  </si>
  <si>
    <t>s</t>
  </si>
  <si>
    <t>##</t>
  </si>
  <si>
    <t>活动分页配置表</t>
  </si>
  <si>
    <t>type_act</t>
  </si>
  <si>
    <t>[SSS]地狱火焰</t>
  </si>
  <si>
    <t>ui_image_dyhy</t>
  </si>
  <si>
    <t>首充送豪礼</t>
  </si>
  <si>
    <t>ui_image_hdzx_xsc</t>
  </si>
  <si>
    <t>名师高徒</t>
  </si>
  <si>
    <t>ui_image_st</t>
  </si>
  <si>
    <t>每日签到</t>
  </si>
  <si>
    <t>ui_image_qdyj</t>
  </si>
  <si>
    <t>看广告送金币</t>
  </si>
  <si>
    <t>ui_image_kgg</t>
  </si>
  <si>
    <t>订阅特权福利</t>
  </si>
  <si>
    <t>ui_image_dyzs</t>
  </si>
  <si>
    <t>欢乐三人血流</t>
  </si>
  <si>
    <t>ui_image_drxl</t>
  </si>
  <si>
    <t>球杆打造</t>
  </si>
  <si>
    <t>ui_image_qgdz</t>
  </si>
  <si>
    <t>免打扰礼包</t>
  </si>
  <si>
    <t>ui_image_mr zsfh</t>
  </si>
  <si>
    <t>3月登录礼</t>
  </si>
  <si>
    <t>ui_banner_yddll</t>
  </si>
  <si>
    <t>2V2对局礼</t>
  </si>
  <si>
    <t>ui_image_zdshl</t>
  </si>
  <si>
    <t>八球对局礼</t>
  </si>
  <si>
    <t>ui_image_8qdjl</t>
  </si>
  <si>
    <t>血流对局礼</t>
  </si>
  <si>
    <t>ui_image_xldjl</t>
  </si>
  <si>
    <t>斯诺克对局礼</t>
  </si>
  <si>
    <t>ui_image_snooker</t>
  </si>
  <si>
    <t>6元超值购</t>
  </si>
  <si>
    <t>ui_image_yyg</t>
  </si>
  <si>
    <t>7月登录礼</t>
  </si>
  <si>
    <t>关注公众号</t>
  </si>
  <si>
    <t>ui-image_gzgzhyl</t>
  </si>
  <si>
    <t>主播招募</t>
  </si>
  <si>
    <t>ui_zbzp</t>
  </si>
  <si>
    <t>关注客服领金币</t>
  </si>
  <si>
    <t>ui_gzljb_bg</t>
  </si>
  <si>
    <t>加入游戏圈</t>
  </si>
  <si>
    <t>ui_image_yxq_rw</t>
  </si>
  <si>
    <t>除夕送球杆</t>
  </si>
  <si>
    <t>ui_image_cxsqg</t>
  </si>
  <si>
    <t>邀请好友</t>
  </si>
  <si>
    <t>ui_banner_yqhyshl</t>
  </si>
  <si>
    <t>龙尊凤灵</t>
  </si>
  <si>
    <t>ui_image_lzfl</t>
  </si>
  <si>
    <t>墨染山河</t>
  </si>
  <si>
    <t>ui_hdzx_mrsh</t>
  </si>
  <si>
    <t>星海幻舞</t>
  </si>
  <si>
    <t>ui_image_xhhw</t>
  </si>
  <si>
    <t>蔚蓝夏日</t>
  </si>
  <si>
    <t>ui_hdzx_wlxr</t>
  </si>
  <si>
    <t>萌宠出击</t>
  </si>
  <si>
    <t>ui_image_mccj</t>
  </si>
  <si>
    <t>奇趣玩偶</t>
  </si>
  <si>
    <t>ui_image_qqwo</t>
  </si>
  <si>
    <t>古堡魔影</t>
  </si>
  <si>
    <t>ui_image_gbmy</t>
  </si>
  <si>
    <t>三尖两刃刀</t>
  </si>
  <si>
    <t>ui_image_sjlrd</t>
  </si>
  <si>
    <t>屠龙刀</t>
  </si>
  <si>
    <t>ui_image_tld</t>
  </si>
  <si>
    <t>冰境雪灵</t>
  </si>
  <si>
    <t>ui_image_bjxl</t>
  </si>
  <si>
    <t>赤鳞镇岁</t>
  </si>
  <si>
    <t>ui_image_clzs</t>
  </si>
  <si>
    <t>英雄耍大牌</t>
  </si>
  <si>
    <t>ui_hdzx_yxsdp</t>
  </si>
  <si>
    <t>魔仙初遇</t>
  </si>
  <si>
    <t>ui_image_mxcy</t>
  </si>
  <si>
    <t>拂柳追燕</t>
  </si>
  <si>
    <t>ui_image_flzy</t>
  </si>
  <si>
    <t>哪吒闹海</t>
  </si>
  <si>
    <t>ui_image_nznh</t>
  </si>
  <si>
    <t>仙缘觅宝</t>
  </si>
  <si>
    <t>ui_hdzx_xymb</t>
  </si>
  <si>
    <t>欢迎公告</t>
  </si>
  <si>
    <t>type_welcome</t>
  </si>
  <si>
    <t>兑换中心</t>
  </si>
  <si>
    <t>ui_image_dhzx</t>
  </si>
  <si>
    <t>违规声明</t>
  </si>
  <si>
    <t>实名认证</t>
  </si>
  <si>
    <t>手机绑定</t>
  </si>
  <si>
    <t>ui_image_bdsjh</t>
  </si>
  <si>
    <t>有奖问卷</t>
  </si>
  <si>
    <t>ui_image_yjwd</t>
  </si>
  <si>
    <t>反馈拿现金</t>
  </si>
  <si>
    <t>ui_image_fkyj</t>
  </si>
  <si>
    <t>领球杆</t>
  </si>
  <si>
    <t>领金币</t>
  </si>
  <si>
    <t>幸运夺宝</t>
  </si>
  <si>
    <t>ui_image_xydb</t>
  </si>
  <si>
    <t>10倍钻石返利</t>
  </si>
  <si>
    <t>赛事公告</t>
  </si>
  <si>
    <t>超级宝藏</t>
  </si>
  <si>
    <t>ui_image_cjbz</t>
  </si>
  <si>
    <t>探险迎新春</t>
  </si>
  <si>
    <t>ui_hdzx_dhd</t>
  </si>
  <si>
    <t>封号说明</t>
  </si>
  <si>
    <t>更新公告</t>
  </si>
  <si>
    <t>ui_image_gonggaodt</t>
  </si>
  <si>
    <t>虫虫大作战</t>
  </si>
  <si>
    <t>ui_image_ccd_greey</t>
  </si>
  <si>
    <t>寻金探宝</t>
  </si>
  <si>
    <t>ui_hdzx_xjdb</t>
  </si>
  <si>
    <t>玲珑夺宝</t>
  </si>
  <si>
    <t>ui_image_lldb</t>
  </si>
  <si>
    <t>ui_image_yxq</t>
  </si>
  <si>
    <t>如意金箍棒</t>
  </si>
  <si>
    <t>ui_image_mr sbcxz</t>
  </si>
  <si>
    <t>寻梦西游</t>
  </si>
  <si>
    <t>ui_hdzx_xmxy</t>
  </si>
  <si>
    <t>紫青宝剑</t>
  </si>
  <si>
    <t>ui_image_zqbj</t>
  </si>
  <si>
    <t>寻梦奇缘</t>
  </si>
  <si>
    <t>文明公约</t>
  </si>
  <si>
    <t>封号公告</t>
  </si>
  <si>
    <t>2V2组队上线</t>
  </si>
  <si>
    <t>ui_image_zdms</t>
  </si>
  <si>
    <t>致全体玩家</t>
  </si>
  <si>
    <t>累计签到天数</t>
  </si>
  <si>
    <t>不看广告的奖励组</t>
  </si>
  <si>
    <t>看广告的奖励组</t>
  </si>
  <si>
    <t>普通签到后再看视频的奖励组</t>
  </si>
  <si>
    <t>类型</t>
  </si>
  <si>
    <t>说明</t>
  </si>
  <si>
    <t>day_id</t>
  </si>
  <si>
    <t>reward</t>
  </si>
  <si>
    <t>reward_onAd</t>
  </si>
  <si>
    <t>reward_again</t>
  </si>
  <si>
    <t>type</t>
  </si>
  <si>
    <t>(list#sep=|),reward1</t>
  </si>
  <si>
    <t>签到配置表</t>
  </si>
  <si>
    <t>2,100</t>
  </si>
  <si>
    <t>2,1000|1,1|9,1</t>
  </si>
  <si>
    <t>2,900|1,1|9,1</t>
  </si>
  <si>
    <t>签到普通奖励1</t>
  </si>
  <si>
    <t>签到普通奖励2</t>
  </si>
  <si>
    <t>2,200</t>
  </si>
  <si>
    <t>2,1500|1,2|9,1</t>
  </si>
  <si>
    <t>2,1300|1,2|9,1</t>
  </si>
  <si>
    <t>签到稀有奖励1</t>
  </si>
  <si>
    <t>签到普通奖励3</t>
  </si>
  <si>
    <t>签到普通奖励4</t>
  </si>
  <si>
    <t>签到普通奖励5</t>
  </si>
  <si>
    <t>签到稀有奖励2</t>
  </si>
  <si>
    <t>靶心序号</t>
  </si>
  <si>
    <t>版心描述</t>
  </si>
  <si>
    <t>免费奖励</t>
  </si>
  <si>
    <t>付费奖励</t>
  </si>
  <si>
    <t>target_id</t>
  </si>
  <si>
    <t>#type</t>
  </si>
  <si>
    <t>reward_free</t>
  </si>
  <si>
    <t>reward_pay</t>
  </si>
  <si>
    <t>幸运一击配置表</t>
  </si>
  <si>
    <t>黄-最核心</t>
  </si>
  <si>
    <t>红</t>
  </si>
  <si>
    <t>蓝</t>
  </si>
  <si>
    <t>白-最外圈</t>
  </si>
  <si>
    <t>购买唯一id</t>
  </si>
  <si>
    <t>击球次数</t>
  </si>
  <si>
    <t>充值礼包id</t>
  </si>
  <si>
    <t>count</t>
  </si>
  <si>
    <t>charge_id</t>
  </si>
  <si>
    <t>幸运一击次数配置表</t>
  </si>
  <si>
    <t>档位</t>
  </si>
  <si>
    <t>三选1球杆</t>
  </si>
  <si>
    <t>其他奖励</t>
  </si>
  <si>
    <t>充值id</t>
  </si>
  <si>
    <t>折扣</t>
  </si>
  <si>
    <t>三选1球杆图片</t>
  </si>
  <si>
    <t>标题图片</t>
  </si>
  <si>
    <t>力度显示值</t>
  </si>
  <si>
    <t>显示文字</t>
  </si>
  <si>
    <t>瞄准线显示值</t>
  </si>
  <si>
    <t>cue_id</t>
  </si>
  <si>
    <t>discount_id</t>
  </si>
  <si>
    <t>icon</t>
  </si>
  <si>
    <t>title_icon</t>
  </si>
  <si>
    <t>force_txt</t>
  </si>
  <si>
    <t>aim_txt</t>
  </si>
  <si>
    <t>(list#sep=;),int</t>
  </si>
  <si>
    <t>[]</t>
  </si>
  <si>
    <t>首充配置表</t>
  </si>
  <si>
    <t>100172;100041;101491</t>
  </si>
  <si>
    <t>2,60000|9,2|810016,1</t>
  </si>
  <si>
    <t>ui_xsc_icon_3x1</t>
  </si>
  <si>
    <t>ui_sc_bt</t>
  </si>
  <si>
    <t>力度+100</t>
  </si>
  <si>
    <t>瞄准线 +120</t>
  </si>
  <si>
    <t>礼包序号</t>
  </si>
  <si>
    <t>礼包名称</t>
  </si>
  <si>
    <t>中文参考</t>
  </si>
  <si>
    <t>礼包原价</t>
  </si>
  <si>
    <t>礼包折扣</t>
  </si>
  <si>
    <t>礼包货币</t>
  </si>
  <si>
    <t>实际价格</t>
  </si>
  <si>
    <t>礼包奖励组id</t>
  </si>
  <si>
    <t>name_gift</t>
  </si>
  <si>
    <t>#name_gift_ch</t>
  </si>
  <si>
    <t>price</t>
  </si>
  <si>
    <t>discount</t>
  </si>
  <si>
    <t>currency</t>
  </si>
  <si>
    <t>act_price</t>
  </si>
  <si>
    <t>prize_id</t>
  </si>
  <si>
    <t>每日特惠礼包（安卓）</t>
  </si>
  <si>
    <t>每日免费礼包</t>
  </si>
  <si>
    <t>秒杀折扣礼包</t>
  </si>
  <si>
    <t>3元秒杀礼包</t>
  </si>
  <si>
    <t>惊喜折扣礼包</t>
  </si>
  <si>
    <t>6元惊喜礼包</t>
  </si>
  <si>
    <t>至尊折扣礼包</t>
  </si>
  <si>
    <t>30元至尊礼包</t>
  </si>
  <si>
    <t>每日特惠礼包（ios）</t>
  </si>
  <si>
    <t>视频金币礼包</t>
  </si>
  <si>
    <t>视频特惠礼包</t>
  </si>
  <si>
    <t>视频升星礼包</t>
  </si>
  <si>
    <t>疯狂每日特惠礼包</t>
  </si>
  <si>
    <t>6元秒杀礼包</t>
  </si>
  <si>
    <t>30元惊喜礼包</t>
  </si>
  <si>
    <t>98元至尊礼包</t>
  </si>
  <si>
    <t>奖励序号</t>
  </si>
  <si>
    <t>活动期数</t>
  </si>
  <si>
    <t>奖励id</t>
  </si>
  <si>
    <t>奖励数量</t>
  </si>
  <si>
    <t>cycle</t>
  </si>
  <si>
    <t>num_reward</t>
  </si>
  <si>
    <t>1元购奖励配置表</t>
  </si>
  <si>
    <t>原价</t>
  </si>
  <si>
    <t>活动开始时间</t>
  </si>
  <si>
    <t>购买结束时间</t>
  </si>
  <si>
    <t>time_start</t>
  </si>
  <si>
    <t>time_pay</t>
  </si>
  <si>
    <t>1元购周期配置表</t>
  </si>
  <si>
    <t>存钱罐等级序号</t>
  </si>
  <si>
    <t>最大奖励</t>
  </si>
  <si>
    <t>对局类型</t>
  </si>
  <si>
    <t>每次对局增加进度数</t>
  </si>
  <si>
    <t>进度数上限</t>
  </si>
  <si>
    <t>开启奖励钻石数</t>
  </si>
  <si>
    <t>schedule</t>
  </si>
  <si>
    <t>schedule_max</t>
  </si>
  <si>
    <t>diamond</t>
  </si>
  <si>
    <t>(list#sep=;),(list#sep=,),int</t>
  </si>
  <si>
    <t>存钱罐配置表</t>
  </si>
  <si>
    <t>1,200;2,10000;12,100;13,20</t>
  </si>
  <si>
    <t>1,2,3</t>
  </si>
  <si>
    <t>2,1;4,2;6,5;8,10;12,10;103,2;105,5;201,2;202,5;203,10</t>
  </si>
  <si>
    <t>1,600;2,20000;12,200;13,40</t>
  </si>
  <si>
    <t>1,1300;2,50000;12,300;13,60</t>
  </si>
  <si>
    <t>1,4000;2,100000;12,400;13,80</t>
  </si>
  <si>
    <t>1,7600;2,200000;12,500;13,100</t>
  </si>
  <si>
    <t>档位id</t>
  </si>
  <si>
    <t>活动id</t>
  </si>
  <si>
    <t>金币上限</t>
  </si>
  <si>
    <t>可开额度</t>
  </si>
  <si>
    <t>开启消耗钻石</t>
  </si>
  <si>
    <t>limit_coin</t>
  </si>
  <si>
    <t>limit_open</t>
  </si>
  <si>
    <t>expend</t>
  </si>
  <si>
    <t>活动规则说明</t>
  </si>
  <si>
    <t>活动结束时间</t>
  </si>
  <si>
    <t>rule_name</t>
  </si>
  <si>
    <t>time_end</t>
  </si>
  <si>
    <t>存钱罐周期配置表</t>
  </si>
  <si>
    <t>活动时间：&lt;color=#FFC000&gt;2021年2月1日~2021年3月28日&lt;/color&gt;/n规则说明：/n1、每次对局系统都将赠送额外的金币放入喵喵存钱罐中，金币达到指定数量即可打开存钱罐，打开后获得其中全部金币！/n2、喵喵存钱罐中的金币是系统额外赠送的金币，不影响正常的对局结算/n3、每局存的金币数量不同，对局赢的越多，存的金币越多（高场次、对局添彩都可以提高存币数量）/n4、存钱罐容量是有上限的，达到上限后将无法存储更多金币，请尽快开启哦！</t>
  </si>
  <si>
    <t>充值大奖</t>
  </si>
  <si>
    <t>充值金额</t>
  </si>
  <si>
    <t>开启所需参与次数</t>
  </si>
  <si>
    <t>单期参与次数上限</t>
  </si>
  <si>
    <t>期数停止增加时间</t>
  </si>
  <si>
    <t>award</t>
  </si>
  <si>
    <t>recharge</t>
  </si>
  <si>
    <t>times</t>
  </si>
  <si>
    <t>limit</t>
  </si>
  <si>
    <t>time_stop</t>
  </si>
  <si>
    <t>充值抽奖配置表</t>
  </si>
  <si>
    <t>[100071,100081,100091]</t>
  </si>
  <si>
    <t>栏位id</t>
  </si>
  <si>
    <t>累计对局</t>
  </si>
  <si>
    <t>描述语言序号</t>
  </si>
  <si>
    <t>免费版奖励</t>
  </si>
  <si>
    <t>豪华版奖励</t>
  </si>
  <si>
    <t>解锁奖励预览</t>
  </si>
  <si>
    <t>档位选择</t>
  </si>
  <si>
    <t>game_times</t>
  </si>
  <si>
    <t>des</t>
  </si>
  <si>
    <t>reward_1</t>
  </si>
  <si>
    <t>reward_2</t>
  </si>
  <si>
    <t>reward_3</t>
  </si>
  <si>
    <t>level</t>
  </si>
  <si>
    <t>回归惊喜对局奖励</t>
  </si>
  <si>
    <t>1局解锁</t>
  </si>
  <si>
    <t>420081,1</t>
  </si>
  <si>
    <t>1,300</t>
  </si>
  <si>
    <t>3局解锁</t>
  </si>
  <si>
    <t>2,1000</t>
  </si>
  <si>
    <t>2,50000</t>
  </si>
  <si>
    <t>5局解锁</t>
  </si>
  <si>
    <t>12,100</t>
  </si>
  <si>
    <t>12,500</t>
  </si>
  <si>
    <t>10局解锁</t>
  </si>
  <si>
    <t>15局解锁</t>
  </si>
  <si>
    <t>1,1</t>
  </si>
  <si>
    <t>49,1</t>
  </si>
  <si>
    <t>20局解锁</t>
  </si>
  <si>
    <t>2,2000</t>
  </si>
  <si>
    <t>25局解锁</t>
  </si>
  <si>
    <t>12,200</t>
  </si>
  <si>
    <t>12,1000</t>
  </si>
  <si>
    <t>30局解锁</t>
  </si>
  <si>
    <t>1,60</t>
  </si>
  <si>
    <t>2,10000</t>
  </si>
  <si>
    <t>970081,1</t>
  </si>
  <si>
    <t>1,10</t>
  </si>
  <si>
    <t>980061,1</t>
  </si>
  <si>
    <t>任务</t>
  </si>
  <si>
    <t>任务周期</t>
  </si>
  <si>
    <t>任务类型</t>
  </si>
  <si>
    <t>类型解释字段</t>
  </si>
  <si>
    <t>奖励</t>
  </si>
  <si>
    <t>任务标签名</t>
  </si>
  <si>
    <t>任务跳转</t>
  </si>
  <si>
    <t>day</t>
  </si>
  <si>
    <t>type_task</t>
  </si>
  <si>
    <t>explain</t>
  </si>
  <si>
    <t>name_task</t>
  </si>
  <si>
    <t>回归惊喜任务奖励</t>
  </si>
  <si>
    <t>邀请1名好友登陆游戏</t>
  </si>
  <si>
    <t>2,2</t>
  </si>
  <si>
    <t>世界聊天发送喇叭消息1次</t>
  </si>
  <si>
    <t>1000001,5</t>
  </si>
  <si>
    <t>赠送礼物给其他玩家1次</t>
  </si>
  <si>
    <t>游戏内发送表情1次</t>
  </si>
  <si>
    <t>90,1</t>
  </si>
  <si>
    <t>观看1次视频</t>
  </si>
  <si>
    <t>1000001,10</t>
  </si>
  <si>
    <t>添加5名好友</t>
  </si>
  <si>
    <t>420091,1</t>
  </si>
  <si>
    <t>累计观看10次视频</t>
  </si>
  <si>
    <t>400061,1</t>
  </si>
  <si>
    <t>邀请5名好友登陆游戏</t>
  </si>
  <si>
    <t>1,5</t>
  </si>
  <si>
    <t>拜师或收徒1次</t>
  </si>
  <si>
    <t>完成10次好友约战对局</t>
  </si>
  <si>
    <t>序号</t>
  </si>
  <si>
    <t>奖励组1</t>
  </si>
  <si>
    <t>奖励组2</t>
  </si>
  <si>
    <t>球杆id</t>
  </si>
  <si>
    <t>货币</t>
  </si>
  <si>
    <t>球杆原价</t>
  </si>
  <si>
    <t>折扣价格</t>
  </si>
  <si>
    <t>reward1</t>
  </si>
  <si>
    <t>reward2</t>
  </si>
  <si>
    <t>cud_id</t>
  </si>
  <si>
    <t>cud_price</t>
  </si>
  <si>
    <t>discount_price</t>
  </si>
  <si>
    <t>回归礼包</t>
  </si>
  <si>
    <t>解锁条件</t>
  </si>
  <si>
    <t>解释字段</t>
  </si>
  <si>
    <t>计时</t>
  </si>
  <si>
    <t>消耗数量</t>
  </si>
  <si>
    <t>档位图</t>
  </si>
  <si>
    <t>lock</t>
  </si>
  <si>
    <t>reason</t>
  </si>
  <si>
    <t>time</t>
  </si>
  <si>
    <t>level1</t>
  </si>
  <si>
    <t>回归惊喜钻石银行</t>
  </si>
  <si>
    <t>icon_coin_2</t>
  </si>
  <si>
    <t>icon_diamond_68</t>
  </si>
  <si>
    <t>icon_diamond_328</t>
  </si>
  <si>
    <t>栏位</t>
  </si>
  <si>
    <t>指引图</t>
  </si>
  <si>
    <t>按钮跳转</t>
  </si>
  <si>
    <t>guide</t>
  </si>
  <si>
    <t>回归惊喜最近更新</t>
  </si>
  <si>
    <t>ui_card_zjgx_blue</t>
  </si>
  <si>
    <t>ui_card_zjgx_red</t>
  </si>
  <si>
    <t>ui_card_zjgx_orange</t>
  </si>
  <si>
    <t>倍率</t>
  </si>
  <si>
    <t>概率</t>
  </si>
  <si>
    <t>multiple</t>
  </si>
  <si>
    <t>probability_money</t>
  </si>
  <si>
    <t>幸运转转乐配置表</t>
  </si>
  <si>
    <t>免费转盘奖励</t>
  </si>
  <si>
    <t>中奖概率</t>
  </si>
  <si>
    <t>参考中文</t>
  </si>
  <si>
    <t>付费转盘奖励</t>
  </si>
  <si>
    <t>free_lucky</t>
  </si>
  <si>
    <t>probability1_lucky</t>
  </si>
  <si>
    <t>pay_lucky</t>
  </si>
  <si>
    <t>probability2_lucky</t>
  </si>
  <si>
    <t>幸运转盘配置表</t>
  </si>
  <si>
    <t>2,555</t>
  </si>
  <si>
    <t>金币</t>
  </si>
  <si>
    <t>2,666</t>
  </si>
  <si>
    <t>2,12000</t>
  </si>
  <si>
    <t>2,888</t>
  </si>
  <si>
    <t>2,15000</t>
  </si>
  <si>
    <t>2,18000</t>
  </si>
  <si>
    <t>2,1500</t>
  </si>
  <si>
    <t>钻石</t>
  </si>
  <si>
    <t>1,15</t>
  </si>
  <si>
    <t>ID</t>
  </si>
  <si>
    <t>daily_reward</t>
  </si>
  <si>
    <t>每日奖励配置</t>
  </si>
  <si>
    <t>1;1</t>
  </si>
  <si>
    <t>1;3</t>
  </si>
  <si>
    <t>领取类型</t>
  </si>
  <si>
    <t>领取消耗钻石</t>
  </si>
  <si>
    <t>基数</t>
  </si>
  <si>
    <t>台球抽取概率</t>
  </si>
  <si>
    <t>最高可得</t>
  </si>
  <si>
    <t>规则语言包id</t>
  </si>
  <si>
    <t>规则说明</t>
  </si>
  <si>
    <t>receive_type</t>
  </si>
  <si>
    <t>diamond_need</t>
  </si>
  <si>
    <t>base</t>
  </si>
  <si>
    <t>ball_probability</t>
  </si>
  <si>
    <t>max_receive</t>
  </si>
  <si>
    <t>rule_id</t>
  </si>
  <si>
    <t>翻翻乐配置</t>
  </si>
  <si>
    <t>9,0;10,30;11,20;12,15;13,15;14,5;15,5</t>
  </si>
  <si>
    <t>每天两次翻球机会，根据翻开台球获得大量金币，本次翻球可翻到10-15号球</t>
  </si>
  <si>
    <t>必得奖励</t>
  </si>
  <si>
    <t>随机奖励</t>
  </si>
  <si>
    <t>must_reward</t>
  </si>
  <si>
    <t>random_reward</t>
  </si>
  <si>
    <t>original_price</t>
  </si>
  <si>
    <t>幸运1+1配置表</t>
  </si>
  <si>
    <t>期数</t>
  </si>
  <si>
    <t>开始时间</t>
  </si>
  <si>
    <t>结束时间</t>
  </si>
  <si>
    <t>礼包</t>
  </si>
  <si>
    <t>time_open</t>
  </si>
  <si>
    <t>time_close</t>
  </si>
  <si>
    <t>gift_id</t>
  </si>
  <si>
    <t>1;2;3;4;5;6;7;8;9;10</t>
  </si>
  <si>
    <t>幸运1+1周期配置表</t>
  </si>
  <si>
    <t>左区间</t>
  </si>
  <si>
    <t>右区间</t>
  </si>
  <si>
    <t>直播排名奖励</t>
  </si>
  <si>
    <t>reward_id</t>
  </si>
  <si>
    <t>left</t>
  </si>
  <si>
    <t>right</t>
  </si>
  <si>
    <t>live_rank_reward</t>
  </si>
  <si>
    <t>直播排行榜奖励配置</t>
  </si>
  <si>
    <t>1,100;2,1000000</t>
  </si>
  <si>
    <t>1,50;2,500000</t>
  </si>
  <si>
    <t>1,20;2,250000</t>
  </si>
  <si>
    <t>2,100000</t>
  </si>
  <si>
    <t>2,20000</t>
  </si>
  <si>
    <t>2,5000</t>
  </si>
  <si>
    <t>签到天数</t>
  </si>
  <si>
    <t>奖励配置（奖励组）</t>
  </si>
  <si>
    <t>展示球杆</t>
  </si>
  <si>
    <t>show_cue</t>
  </si>
  <si>
    <t>免费球杆配置表</t>
  </si>
  <si>
    <t>奖励池序号</t>
  </si>
  <si>
    <t>奖励组id</t>
  </si>
  <si>
    <t>无奖励概率（百分之）</t>
  </si>
  <si>
    <t>no_reward_prob</t>
  </si>
  <si>
    <t>刮刮乐奖励配置表</t>
  </si>
  <si>
    <t>视频刮奖</t>
  </si>
  <si>
    <t>刮刮券刮奖</t>
  </si>
  <si>
    <t>礼包奖励</t>
  </si>
  <si>
    <t>球杆属性</t>
  </si>
  <si>
    <t>属性上限</t>
  </si>
  <si>
    <t>c杆属性</t>
  </si>
  <si>
    <t>现价</t>
  </si>
  <si>
    <t>充值表对应id</t>
  </si>
  <si>
    <t>倒计时(s)</t>
  </si>
  <si>
    <t>cue_attribute</t>
  </si>
  <si>
    <t>attribute</t>
  </si>
  <si>
    <t>cue</t>
  </si>
  <si>
    <t>orgin_price</t>
  </si>
  <si>
    <t>新手球杆礼包</t>
  </si>
  <si>
    <t>100172;1</t>
  </si>
  <si>
    <t>A级龙回头球杆</t>
  </si>
  <si>
    <t>495;489;52;6000</t>
  </si>
  <si>
    <t>810;810;110;20000</t>
  </si>
  <si>
    <t>400;400;42;1000</t>
  </si>
  <si>
    <t>备注</t>
  </si>
  <si>
    <t>功能类型</t>
  </si>
  <si>
    <t>获取进度</t>
  </si>
  <si>
    <t>跳转</t>
  </si>
  <si>
    <t>progress</t>
  </si>
  <si>
    <t>免费钻石合集配置表</t>
  </si>
  <si>
    <t>每日任务</t>
  </si>
  <si>
    <t>1;1;2</t>
  </si>
  <si>
    <t>每日视频</t>
  </si>
  <si>
    <t>漂浮钻石</t>
  </si>
  <si>
    <t>2;2</t>
  </si>
  <si>
    <t>每日一关</t>
  </si>
  <si>
    <t>对局开宝箱</t>
  </si>
  <si>
    <t>幸运转盘</t>
  </si>
  <si>
    <t>神秘商店</t>
  </si>
  <si>
    <t>航海探险</t>
  </si>
  <si>
    <t>天降红包</t>
  </si>
  <si>
    <t>邀请领钻</t>
  </si>
  <si>
    <t>金币兑换</t>
  </si>
  <si>
    <t>VIP每日礼包</t>
  </si>
  <si>
    <t>成就</t>
  </si>
  <si>
    <t>幸运一击</t>
  </si>
  <si>
    <t>邀请领金币</t>
  </si>
  <si>
    <t>对局胜利</t>
  </si>
  <si>
    <t>CONFIG_NAME</t>
  </si>
  <si>
    <t>配置名, 如果没有这个字段, 则这个Sheet不会导出</t>
  </si>
  <si>
    <t>CONFIG_DESCRIPTION</t>
  </si>
  <si>
    <t>10元夺宝活动奖池</t>
  </si>
  <si>
    <t>可选, 配置文件描述.</t>
  </si>
  <si>
    <t>COLOR_COMMENT</t>
  </si>
  <si>
    <t>comment</t>
  </si>
  <si>
    <t>注释背景颜色</t>
  </si>
  <si>
    <t>COLOR_COLUMN_INFO</t>
  </si>
  <si>
    <t>column_info</t>
  </si>
  <si>
    <t>RELATED_CONFIG</t>
  </si>
  <si>
    <t>可选, 关联的表格</t>
  </si>
  <si>
    <t>TABLE_HEAD_LEN</t>
  </si>
  <si>
    <t>可选, 默认为3, 字段描述的长度.</t>
  </si>
  <si>
    <t>TABLE_PROPERTY</t>
  </si>
  <si>
    <t>TABLE_PROPERTY_RELATED</t>
  </si>
  <si>
    <t>保底次数</t>
  </si>
  <si>
    <t>保底奖励id</t>
  </si>
  <si>
    <t>数量</t>
  </si>
  <si>
    <t>充值10元赠送</t>
  </si>
  <si>
    <t>reward_group_id</t>
  </si>
  <si>
    <t>time_lottery</t>
  </si>
  <si>
    <t>id_item</t>
  </si>
  <si>
    <t>amount_item</t>
  </si>
  <si>
    <t>give_item</t>
  </si>
  <si>
    <t>amount_give</t>
  </si>
  <si>
    <t>begin_time</t>
  </si>
  <si>
    <t>end_time</t>
  </si>
  <si>
    <t>key,lua,pb,json</t>
  </si>
  <si>
    <t>lua,pb,json</t>
  </si>
  <si>
    <t>直播奖励配置</t>
  </si>
  <si>
    <t>参数</t>
  </si>
  <si>
    <t>奖励标题语言包id</t>
  </si>
  <si>
    <t>奖励标题中文参考</t>
  </si>
  <si>
    <t>奖励详情语言包id</t>
  </si>
  <si>
    <t>奖励详情中文参考</t>
  </si>
  <si>
    <t>宝箱icon</t>
  </si>
  <si>
    <t>args</t>
  </si>
  <si>
    <t>live_reward</t>
  </si>
  <si>
    <t>reward_title</t>
  </si>
  <si>
    <t>reward_title_ch</t>
  </si>
  <si>
    <t>reward_detail</t>
  </si>
  <si>
    <t>reward_detail_ch</t>
  </si>
  <si>
    <t>list</t>
  </si>
  <si>
    <t>[10]</t>
  </si>
  <si>
    <t>[[2,1000]]</t>
  </si>
  <si>
    <t>[30]</t>
  </si>
  <si>
    <t>[[2,1000],[860002,1]]</t>
  </si>
  <si>
    <t>[60]</t>
  </si>
  <si>
    <t>[[2,2000],[860003,1]]</t>
  </si>
  <si>
    <t>初级时长奖励</t>
  </si>
  <si>
    <t>领取可获得&lt;color=#fff442&gt;金币 x2000、十连炸弹x1&lt;/color&gt;</t>
  </si>
  <si>
    <t>[90]</t>
  </si>
  <si>
    <t>[[2,2000],[860004,1]]</t>
  </si>
  <si>
    <t>中级时长奖励</t>
  </si>
  <si>
    <t>领取可获得&lt;color=#fff442&gt;金币 x2000、十连鸡蛋&lt;/color&gt;</t>
  </si>
  <si>
    <t>[120]</t>
  </si>
  <si>
    <t>[[600006,2]]</t>
  </si>
  <si>
    <t>高级时长奖励</t>
  </si>
  <si>
    <t>领取可获得&lt;color=#fff442&gt;S级升阶木x2&lt;/color&gt;</t>
  </si>
  <si>
    <t>[150]</t>
  </si>
  <si>
    <t>[[600007,2]]</t>
  </si>
  <si>
    <t>终级时长奖励</t>
  </si>
  <si>
    <t>领取可获得&lt;color=#fff442&gt;SS级升阶木x2&lt;/color&gt;</t>
  </si>
  <si>
    <t>[1]</t>
  </si>
  <si>
    <t>[[2,2000]]</t>
  </si>
  <si>
    <t>[3]</t>
  </si>
  <si>
    <t>[[2,5000],[12,50]]</t>
  </si>
  <si>
    <t>[5]</t>
  </si>
  <si>
    <t>[[600001,2]]</t>
  </si>
  <si>
    <t>[[2,10000],[12,150]]</t>
  </si>
  <si>
    <t>初级对局奖励</t>
  </si>
  <si>
    <t>领取可获得&lt;color=#fff442&gt;金币 x10000、兑换券x150&lt;/color&gt;</t>
  </si>
  <si>
    <t>[20]</t>
  </si>
  <si>
    <t>[[2,10000],[12,200]]</t>
  </si>
  <si>
    <t>中级对局奖励</t>
  </si>
  <si>
    <t>领取可获得&lt;color=#fff442&gt;金币 x10000、兑换券x200&lt;/color&gt;</t>
  </si>
  <si>
    <t>[25]</t>
  </si>
  <si>
    <t>[[440063,1]]</t>
  </si>
  <si>
    <t>高级对局奖励</t>
  </si>
  <si>
    <t>领取可获得&lt;color=#fff442&gt;高级主播头像框（7天）&lt;/color&gt;</t>
  </si>
  <si>
    <t>[[600001,10]]</t>
  </si>
  <si>
    <t>终级对局奖励</t>
  </si>
  <si>
    <t>领取可获得&lt;color=#fff442&gt;升星木 x10&lt;/color&gt;</t>
  </si>
  <si>
    <t>每周限购礼包</t>
  </si>
  <si>
    <t>物品id</t>
  </si>
  <si>
    <t>物品数量</t>
  </si>
  <si>
    <t>item_id</t>
  </si>
  <si>
    <t>num</t>
  </si>
  <si>
    <t>recharge_id</t>
  </si>
  <si>
    <t>对局领球杆任务</t>
  </si>
  <si>
    <t>任务id</t>
  </si>
  <si>
    <t>num_item</t>
  </si>
  <si>
    <t>ch</t>
  </si>
  <si>
    <t>2000,5</t>
  </si>
  <si>
    <t>在2000金币场完成5场对局</t>
  </si>
  <si>
    <t>5000,3</t>
  </si>
  <si>
    <t>在5000金币场完成3场对局</t>
  </si>
  <si>
    <t>30000,2</t>
  </si>
  <si>
    <t>在30000金币场完成2场对局</t>
  </si>
  <si>
    <t>100000,1</t>
  </si>
  <si>
    <t>在100000金币场完成1场对局</t>
  </si>
  <si>
    <t>看广告送金币配置表</t>
  </si>
  <si>
    <t>抽中</t>
  </si>
  <si>
    <t>奖励权重</t>
  </si>
  <si>
    <t>奖励名称</t>
  </si>
  <si>
    <t>free_reward</t>
  </si>
  <si>
    <t>num1</t>
  </si>
  <si>
    <t>weight1</t>
  </si>
  <si>
    <t>name_reward1</t>
  </si>
  <si>
    <t>name_reward1_ch</t>
  </si>
  <si>
    <t>pay_reward</t>
  </si>
  <si>
    <t>num2</t>
  </si>
  <si>
    <t>weight2</t>
  </si>
  <si>
    <t>总权重</t>
  </si>
  <si>
    <t>升星木</t>
  </si>
  <si>
    <t>兑换券</t>
  </si>
  <si>
    <t>强化币</t>
  </si>
  <si>
    <t>兑换币</t>
  </si>
  <si>
    <t>甜心宝贝(1天)</t>
  </si>
  <si>
    <t>高级奖励</t>
  </si>
  <si>
    <t>super</t>
  </si>
  <si>
    <t>name_reward2</t>
  </si>
  <si>
    <t>name_reward2_ch</t>
  </si>
  <si>
    <t>pb,json</t>
  </si>
  <si>
    <t>原奖励数量</t>
  </si>
  <si>
    <t>熟练卡</t>
  </si>
  <si>
    <t>S升阶木</t>
  </si>
  <si>
    <t>A升阶木</t>
  </si>
  <si>
    <t>SS升阶木</t>
  </si>
  <si>
    <t>喵星物语(1天)</t>
  </si>
  <si>
    <t>0元购开放周期表</t>
  </si>
  <si>
    <t>活动时间(天）</t>
  </si>
  <si>
    <t>time_id</t>
  </si>
  <si>
    <t>number</t>
  </si>
  <si>
    <t>weight</t>
  </si>
  <si>
    <t>0元购商品表</t>
  </si>
  <si>
    <t>商品页签语言包id</t>
  </si>
  <si>
    <t>中文说明</t>
  </si>
  <si>
    <t>商品id</t>
  </si>
  <si>
    <t>商品数量</t>
  </si>
  <si>
    <t>货币类型</t>
  </si>
  <si>
    <t>商品价格</t>
  </si>
  <si>
    <t>图片类型</t>
  </si>
  <si>
    <t>礼包图片</t>
  </si>
  <si>
    <t>name_shop</t>
  </si>
  <si>
    <t>ch_name_shop</t>
  </si>
  <si>
    <t>type_money</t>
  </si>
  <si>
    <t>type_picture</t>
  </si>
  <si>
    <t>picture</t>
  </si>
  <si>
    <t>金币礼包</t>
  </si>
  <si>
    <t>ui_icon_coin_large</t>
  </si>
  <si>
    <t>icon_910002</t>
  </si>
  <si>
    <t>金币特惠</t>
  </si>
  <si>
    <t>S级球桌</t>
  </si>
  <si>
    <t>icon_300009</t>
  </si>
  <si>
    <t>金币秒杀</t>
  </si>
  <si>
    <t>S级球杆</t>
  </si>
  <si>
    <t>icon_100051</t>
  </si>
  <si>
    <t>砸金蛋任务配置表</t>
  </si>
  <si>
    <t>语言包id</t>
  </si>
  <si>
    <t>任务名称</t>
  </si>
  <si>
    <t>奖励金锤数</t>
  </si>
  <si>
    <t>后续任务id</t>
  </si>
  <si>
    <t>初始任务标志</t>
  </si>
  <si>
    <t>前往链接</t>
  </si>
  <si>
    <t>task_id</t>
  </si>
  <si>
    <t>name_ch</t>
  </si>
  <si>
    <t>task_type</t>
  </si>
  <si>
    <t>condition</t>
  </si>
  <si>
    <t>task_reward</t>
  </si>
  <si>
    <t>task_next_id</t>
  </si>
  <si>
    <t>initial_task</t>
  </si>
  <si>
    <t>累计充值6元</t>
  </si>
  <si>
    <t>累计充值18元</t>
  </si>
  <si>
    <t>累计充值38元</t>
  </si>
  <si>
    <t>累计充值68元</t>
  </si>
  <si>
    <t>累计充值108元</t>
  </si>
  <si>
    <t>累计充值198元</t>
  </si>
  <si>
    <t>累计充值328元</t>
  </si>
  <si>
    <t>累计充值648元</t>
  </si>
  <si>
    <t>在中级厅及以上玩10局</t>
  </si>
  <si>
    <t>3,10</t>
  </si>
  <si>
    <t>在中级厅及以上玩20局</t>
  </si>
  <si>
    <t>3,20</t>
  </si>
  <si>
    <t>在中级厅及以上玩30局</t>
  </si>
  <si>
    <t>3,30</t>
  </si>
  <si>
    <t>在中级厅及以上玩40局</t>
  </si>
  <si>
    <t>3,40</t>
  </si>
  <si>
    <t>在中级厅及以上玩50局</t>
  </si>
  <si>
    <t>3,50</t>
  </si>
  <si>
    <t>观看5次视频</t>
  </si>
  <si>
    <t>观看10次视频</t>
  </si>
  <si>
    <t>观看15次视频</t>
  </si>
  <si>
    <t>观看20次视频</t>
  </si>
  <si>
    <t>观看25次视频</t>
  </si>
  <si>
    <t>添彩5次</t>
  </si>
  <si>
    <t>添彩10次</t>
  </si>
  <si>
    <t>添彩15次</t>
  </si>
  <si>
    <t>添彩20次</t>
  </si>
  <si>
    <t>添彩25次</t>
  </si>
  <si>
    <t>好友约战5次</t>
  </si>
  <si>
    <t>好友约战10次</t>
  </si>
  <si>
    <t>好友约战15次</t>
  </si>
  <si>
    <t>累计签到1天</t>
  </si>
  <si>
    <t>累计签到2天</t>
  </si>
  <si>
    <t>累计签到3天</t>
  </si>
  <si>
    <t>砸金蛋奖励配置表</t>
  </si>
  <si>
    <t>奖励icon</t>
  </si>
  <si>
    <t>count_ch</t>
  </si>
  <si>
    <t>key,pb,json</t>
  </si>
  <si>
    <t>1天</t>
  </si>
  <si>
    <t>3~7天</t>
  </si>
  <si>
    <t>10-100</t>
  </si>
  <si>
    <t>500~5万</t>
  </si>
  <si>
    <t>任务奖励</t>
  </si>
  <si>
    <t>视频累计奖励活动配置表</t>
  </si>
  <si>
    <t>视频数</t>
  </si>
  <si>
    <t>视频商店配置表</t>
  </si>
  <si>
    <t>需要广告数</t>
  </si>
  <si>
    <t>每日限领次数</t>
  </si>
  <si>
    <t>ad_count</t>
  </si>
  <si>
    <t>limit_count</t>
  </si>
  <si>
    <t>师徒邀请配置表</t>
  </si>
  <si>
    <t>1位徒弟出师</t>
  </si>
  <si>
    <t>2位徒弟出师</t>
  </si>
  <si>
    <t>5位徒弟出师</t>
  </si>
  <si>
    <t>10位徒弟出师</t>
  </si>
  <si>
    <t>绑定手机号</t>
  </si>
  <si>
    <t>玩3局8球对局</t>
  </si>
  <si>
    <t>免费配置表</t>
  </si>
  <si>
    <t>组</t>
  </si>
  <si>
    <t>球杆</t>
  </si>
  <si>
    <t>解锁金额</t>
  </si>
  <si>
    <t>group</t>
  </si>
  <si>
    <t>领取倒计时</t>
  </si>
  <si>
    <t>免费金币数量</t>
  </si>
  <si>
    <t>视频金币数量</t>
  </si>
  <si>
    <t>倍数显示</t>
  </si>
  <si>
    <t>count_coin_free</t>
  </si>
  <si>
    <t>count_coin_video</t>
  </si>
  <si>
    <t>原配置</t>
  </si>
  <si>
    <t>增加金币数量</t>
  </si>
  <si>
    <t>看视频增加金币数量</t>
  </si>
  <si>
    <t>reward_ad</t>
  </si>
  <si>
    <t>签到奖励序号</t>
  </si>
  <si>
    <t>card_id</t>
  </si>
  <si>
    <t>[[3001,1]]</t>
  </si>
  <si>
    <t>[[3002,1]]</t>
  </si>
  <si>
    <t>[[3003,1]]</t>
  </si>
  <si>
    <t>7日目标2任务配置表</t>
  </si>
  <si>
    <t>新手任务id</t>
  </si>
  <si>
    <t>天数</t>
  </si>
  <si>
    <t>进度显示</t>
  </si>
  <si>
    <t>奖励组</t>
  </si>
  <si>
    <t>special_show</t>
  </si>
  <si>
    <t>玩10局8球对局</t>
  </si>
  <si>
    <t>收1名徒弟</t>
  </si>
  <si>
    <t>累计累计充值6元</t>
  </si>
  <si>
    <t>玩20局8球对局</t>
  </si>
  <si>
    <t>俱乐部赞助1次</t>
  </si>
  <si>
    <t>累计充值24元</t>
  </si>
  <si>
    <t>玩30局8球对局</t>
  </si>
  <si>
    <t>累计收3名徒弟</t>
  </si>
  <si>
    <t>累计充值32元</t>
  </si>
  <si>
    <t>玩40局8球对局</t>
  </si>
  <si>
    <t>累计充值48元</t>
  </si>
  <si>
    <t>玩50局8球对局</t>
  </si>
  <si>
    <t>1名徒弟成功出师</t>
  </si>
  <si>
    <t>玩60局8球对局</t>
  </si>
  <si>
    <t>累计收5名徒弟</t>
  </si>
  <si>
    <t>累计充值88元</t>
  </si>
  <si>
    <t>玩70局8球对局</t>
  </si>
  <si>
    <t>2名徒弟成功出师</t>
  </si>
  <si>
    <t>7日目标2配置表</t>
  </si>
  <si>
    <t>解锁条件类型</t>
  </si>
  <si>
    <t>ui_hd_xct</t>
    <phoneticPr fontId="20" type="noConversion"/>
  </si>
  <si>
    <t>ui__hd_bbgx_dk2</t>
    <phoneticPr fontId="20" type="noConversion"/>
  </si>
  <si>
    <t>ui_hd_hdyxct2</t>
    <phoneticPr fontId="20" type="noConversion"/>
  </si>
  <si>
    <t>#task_refresh</t>
    <phoneticPr fontId="20" type="noConversion"/>
  </si>
  <si>
    <t>活动页签图标</t>
    <phoneticPr fontId="20" type="noConversion"/>
  </si>
  <si>
    <t>icon</t>
    <phoneticPr fontId="20" type="noConversion"/>
  </si>
  <si>
    <t>string</t>
    <phoneticPr fontId="20" type="noConversion"/>
  </si>
  <si>
    <t>c</t>
    <phoneticPr fontId="20" type="noConversion"/>
  </si>
  <si>
    <t>ui_hd_dlltb1</t>
    <phoneticPr fontId="20" type="noConversion"/>
  </si>
  <si>
    <t>ui_hd_dltb</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</si>
</sst>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h:mm;@"/>
    <numFmt numFmtId="177" formatCode="0.0%"/>
    <numFmt numFmtId="178" formatCode="#,##0.00_ "/>
    <numFmt numFmtId="179" formatCode="#,##0_ "/>
  </numFmts>
  <fonts count="22" x14ac:knownFonts="1">
    <font>
      <sz val="11"/>
      <color theme="1"/>
      <name val="等线"/>
      <charset val="134"/>
      <scheme val="minor"/>
    </font>
    <font>
      <sz val="12"/>
      <color theme="1"/>
      <name val="等线"/>
      <charset val="134"/>
      <scheme val="minor"/>
    </font>
    <font>
      <sz val="11"/>
      <color rgb="FFFF0000"/>
      <name val="等线"/>
      <charset val="134"/>
      <scheme val="minor"/>
    </font>
    <font>
      <sz val="11"/>
      <name val="等线"/>
      <charset val="134"/>
      <scheme val="minor"/>
    </font>
    <font>
      <sz val="12"/>
      <color rgb="FFFF0000"/>
      <name val="等线"/>
      <charset val="134"/>
      <scheme val="minor"/>
    </font>
    <font>
      <b/>
      <sz val="11"/>
      <color rgb="FFFF0000"/>
      <name val="等线"/>
      <charset val="134"/>
      <scheme val="minor"/>
    </font>
    <font>
      <sz val="12"/>
      <name val="等线"/>
      <charset val="134"/>
      <scheme val="minor"/>
    </font>
    <font>
      <sz val="11"/>
      <color rgb="FF9C0006"/>
      <name val="等线"/>
      <charset val="134"/>
      <scheme val="minor"/>
    </font>
    <font>
      <sz val="11"/>
      <color rgb="FF006100"/>
      <name val="等线"/>
      <charset val="134"/>
      <scheme val="minor"/>
    </font>
    <font>
      <sz val="12"/>
      <color theme="1"/>
      <name val="等线"/>
      <charset val="134"/>
    </font>
    <font>
      <sz val="11"/>
      <color theme="1"/>
      <name val="等线"/>
      <charset val="134"/>
    </font>
    <font>
      <sz val="12"/>
      <color theme="5"/>
      <name val="等线"/>
      <charset val="134"/>
      <scheme val="minor"/>
    </font>
    <font>
      <sz val="11"/>
      <color theme="5"/>
      <name val="等线"/>
      <charset val="134"/>
      <scheme val="minor"/>
    </font>
    <font>
      <sz val="11"/>
      <color rgb="FF2F2E3F"/>
      <name val="Roboto"/>
    </font>
    <font>
      <sz val="10.5"/>
      <color rgb="FF2F2E3F"/>
      <name val="Helvetica"/>
      <family val="2"/>
    </font>
    <font>
      <sz val="11"/>
      <color theme="1"/>
      <name val="等线"/>
      <charset val="134"/>
      <scheme val="minor"/>
    </font>
    <font>
      <b/>
      <sz val="9"/>
      <name val="宋体"/>
      <charset val="134"/>
    </font>
    <font>
      <sz val="9"/>
      <name val="宋体"/>
      <charset val="134"/>
    </font>
    <font>
      <sz val="11"/>
      <color indexed="8"/>
      <name val="Helvetica"/>
      <family val="2"/>
    </font>
    <font>
      <sz val="11"/>
      <color rgb="FF000000"/>
      <name val="Helvetica"/>
      <family val="2"/>
    </font>
    <font>
      <sz val="9"/>
      <name val="等线"/>
      <family val="3"/>
      <charset val="134"/>
      <scheme val="minor"/>
    </font>
    <font>
      <sz val="11"/>
      <color theme="1"/>
      <name val="等线"/>
      <family val="3"/>
      <charset val="134"/>
      <scheme val="minor"/>
    </font>
  </fonts>
  <fills count="13">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C7CE"/>
        <bgColor indexed="64"/>
      </patternFill>
    </fill>
    <fill>
      <patternFill patternType="solid">
        <fgColor rgb="FFC6EFCE"/>
        <bgColor indexed="64"/>
      </patternFill>
    </fill>
    <fill>
      <patternFill patternType="solid">
        <fgColor rgb="FFB4C6E7"/>
        <bgColor indexed="64"/>
      </patternFill>
    </fill>
    <fill>
      <patternFill patternType="solid">
        <fgColor rgb="FFDBDBDB"/>
        <bgColor indexed="64"/>
      </patternFill>
    </fill>
    <fill>
      <patternFill patternType="solid">
        <fgColor rgb="FFFFE699"/>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0">
    <xf numFmtId="0" fontId="0" fillId="0" borderId="0"/>
    <xf numFmtId="0" fontId="8" fillId="6" borderId="0" applyNumberFormat="0" applyBorder="0" applyAlignment="0" applyProtection="0">
      <alignment vertical="center"/>
    </xf>
    <xf numFmtId="0" fontId="7" fillId="5" borderId="0" applyNumberFormat="0" applyBorder="0" applyAlignment="0" applyProtection="0">
      <alignment vertical="center"/>
    </xf>
    <xf numFmtId="0" fontId="1" fillId="0" borderId="0"/>
    <xf numFmtId="0" fontId="1" fillId="0" borderId="0"/>
    <xf numFmtId="0" fontId="15" fillId="0" borderId="0"/>
    <xf numFmtId="0" fontId="15" fillId="0" borderId="0"/>
    <xf numFmtId="0" fontId="15" fillId="0" borderId="0"/>
    <xf numFmtId="0" fontId="15" fillId="0" borderId="0"/>
    <xf numFmtId="0" fontId="15" fillId="0" borderId="0"/>
  </cellStyleXfs>
  <cellXfs count="136">
    <xf numFmtId="0" fontId="0" fillId="0" borderId="0" xfId="0"/>
    <xf numFmtId="0" fontId="0" fillId="0" borderId="0" xfId="0" applyAlignment="1">
      <alignment vertical="center"/>
    </xf>
    <xf numFmtId="176" fontId="0" fillId="0" borderId="0" xfId="0" applyNumberFormat="1" applyAlignment="1">
      <alignment vertical="center"/>
    </xf>
    <xf numFmtId="0" fontId="0" fillId="2" borderId="0" xfId="0" applyFill="1"/>
    <xf numFmtId="0" fontId="0" fillId="3" borderId="0" xfId="0" applyFill="1"/>
    <xf numFmtId="0" fontId="0" fillId="4" borderId="0" xfId="0" applyFill="1"/>
    <xf numFmtId="0" fontId="1" fillId="4" borderId="0" xfId="0" applyFont="1" applyFill="1"/>
    <xf numFmtId="0" fontId="1" fillId="0" borderId="0" xfId="0" applyFont="1"/>
    <xf numFmtId="0" fontId="1" fillId="0" borderId="0" xfId="3"/>
    <xf numFmtId="49" fontId="0" fillId="0" borderId="0" xfId="0" applyNumberFormat="1" applyAlignment="1">
      <alignment vertical="center"/>
    </xf>
    <xf numFmtId="0" fontId="2" fillId="0" borderId="0" xfId="0" applyFont="1"/>
    <xf numFmtId="0" fontId="3" fillId="0" borderId="0" xfId="0" applyFont="1"/>
    <xf numFmtId="0" fontId="4"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3" fillId="2" borderId="0" xfId="0" applyFont="1" applyFill="1"/>
    <xf numFmtId="0" fontId="3" fillId="0" borderId="0" xfId="0" applyFont="1" applyAlignment="1">
      <alignment vertical="center"/>
    </xf>
    <xf numFmtId="0" fontId="3" fillId="3" borderId="0" xfId="0" applyFont="1" applyFill="1"/>
    <xf numFmtId="0" fontId="3" fillId="4" borderId="0" xfId="0" applyFont="1" applyFill="1"/>
    <xf numFmtId="176" fontId="3" fillId="0" borderId="0" xfId="0" applyNumberFormat="1" applyFont="1" applyAlignment="1">
      <alignment vertical="center"/>
    </xf>
    <xf numFmtId="0" fontId="6" fillId="0" borderId="0" xfId="0" applyFont="1" applyAlignment="1">
      <alignment vertical="center"/>
    </xf>
    <xf numFmtId="176" fontId="0" fillId="0" borderId="0" xfId="0" applyNumberFormat="1"/>
    <xf numFmtId="176" fontId="0" fillId="4" borderId="0" xfId="0" applyNumberFormat="1" applyFill="1"/>
    <xf numFmtId="176" fontId="1" fillId="4" borderId="0" xfId="0" applyNumberFormat="1" applyFont="1" applyFill="1"/>
    <xf numFmtId="176" fontId="1" fillId="0" borderId="0" xfId="0" applyNumberFormat="1" applyFont="1"/>
    <xf numFmtId="0" fontId="7" fillId="5" borderId="0" xfId="2" applyAlignment="1"/>
    <xf numFmtId="0" fontId="8" fillId="6" borderId="0" xfId="1" applyAlignment="1"/>
    <xf numFmtId="9" fontId="0" fillId="0" borderId="0" xfId="0" applyNumberFormat="1"/>
    <xf numFmtId="177" fontId="0" fillId="0" borderId="0" xfId="0" applyNumberFormat="1"/>
    <xf numFmtId="178" fontId="0" fillId="0" borderId="0" xfId="0" applyNumberFormat="1"/>
    <xf numFmtId="179" fontId="0" fillId="0" borderId="0" xfId="0" applyNumberFormat="1"/>
    <xf numFmtId="0" fontId="9" fillId="7" borderId="0" xfId="0" applyFont="1" applyFill="1"/>
    <xf numFmtId="0" fontId="9" fillId="0" borderId="0" xfId="0" applyFont="1"/>
    <xf numFmtId="0" fontId="9" fillId="8" borderId="0" xfId="0" applyFont="1" applyFill="1"/>
    <xf numFmtId="0" fontId="9" fillId="9" borderId="0" xfId="0" applyFont="1" applyFill="1"/>
    <xf numFmtId="0" fontId="0" fillId="0" borderId="1" xfId="0" applyBorder="1" applyAlignment="1">
      <alignment vertical="center"/>
    </xf>
    <xf numFmtId="0" fontId="0" fillId="0" borderId="1" xfId="0" applyBorder="1" applyAlignment="1">
      <alignment horizontal="center"/>
    </xf>
    <xf numFmtId="0" fontId="0" fillId="9" borderId="1" xfId="0" applyFill="1" applyBorder="1"/>
    <xf numFmtId="0" fontId="0" fillId="8" borderId="1" xfId="0" applyFill="1" applyBorder="1" applyAlignment="1">
      <alignment horizontal="center"/>
    </xf>
    <xf numFmtId="49" fontId="0" fillId="4" borderId="0" xfId="0" applyNumberFormat="1" applyFill="1"/>
    <xf numFmtId="0" fontId="1" fillId="0" borderId="0" xfId="0" applyFont="1" applyAlignment="1">
      <alignment vertical="center"/>
    </xf>
    <xf numFmtId="0" fontId="10" fillId="0" borderId="0" xfId="0" applyFont="1" applyAlignment="1">
      <alignment vertical="center"/>
    </xf>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xf>
    <xf numFmtId="0" fontId="9" fillId="0" borderId="1" xfId="0" applyFont="1" applyBorder="1" applyAlignment="1">
      <alignment horizontal="center"/>
    </xf>
    <xf numFmtId="0" fontId="10" fillId="0" borderId="1" xfId="0" applyFont="1" applyBorder="1" applyAlignment="1">
      <alignment horizontal="center" vertical="center"/>
    </xf>
    <xf numFmtId="0" fontId="0" fillId="0" borderId="1" xfId="0" applyBorder="1"/>
    <xf numFmtId="0" fontId="9" fillId="9" borderId="1" xfId="0" applyFont="1" applyFill="1" applyBorder="1" applyAlignment="1">
      <alignment horizontal="center"/>
    </xf>
    <xf numFmtId="176" fontId="0" fillId="4" borderId="1" xfId="0" applyNumberFormat="1" applyFill="1" applyBorder="1"/>
    <xf numFmtId="176" fontId="0" fillId="10" borderId="1" xfId="0" applyNumberFormat="1" applyFill="1" applyBorder="1"/>
    <xf numFmtId="0" fontId="6" fillId="0" borderId="1" xfId="0" applyFont="1" applyBorder="1" applyAlignment="1">
      <alignment horizontal="center" vertical="center"/>
    </xf>
    <xf numFmtId="176" fontId="1" fillId="10" borderId="1" xfId="0" applyNumberFormat="1" applyFont="1" applyFill="1" applyBorder="1"/>
    <xf numFmtId="0" fontId="10" fillId="0" borderId="1" xfId="3" applyFont="1" applyBorder="1" applyAlignment="1">
      <alignment horizontal="center" vertical="center"/>
    </xf>
    <xf numFmtId="0" fontId="9" fillId="0" borderId="1" xfId="3" applyFont="1" applyBorder="1" applyAlignment="1">
      <alignment horizontal="center"/>
    </xf>
    <xf numFmtId="176" fontId="1" fillId="10" borderId="1" xfId="3" applyNumberFormat="1" applyFill="1" applyBorder="1"/>
    <xf numFmtId="0" fontId="9" fillId="0" borderId="1" xfId="4" applyFont="1" applyBorder="1" applyAlignment="1">
      <alignment horizontal="center" vertical="center"/>
    </xf>
    <xf numFmtId="0" fontId="10" fillId="0" borderId="1" xfId="4" applyFont="1" applyBorder="1" applyAlignment="1">
      <alignment horizontal="center" vertical="center"/>
    </xf>
    <xf numFmtId="0" fontId="9" fillId="0" borderId="1" xfId="4" applyFont="1" applyBorder="1" applyAlignment="1">
      <alignment horizontal="center"/>
    </xf>
    <xf numFmtId="176" fontId="1" fillId="10" borderId="1" xfId="4" applyNumberFormat="1" applyFill="1" applyBorder="1"/>
    <xf numFmtId="176" fontId="1" fillId="4" borderId="1" xfId="0" applyNumberFormat="1" applyFont="1" applyFill="1" applyBorder="1"/>
    <xf numFmtId="0" fontId="2" fillId="0" borderId="0" xfId="0" applyFont="1" applyAlignment="1">
      <alignment horizontal="center"/>
    </xf>
    <xf numFmtId="0" fontId="15" fillId="0" borderId="0" xfId="9"/>
    <xf numFmtId="0" fontId="15" fillId="4" borderId="0" xfId="9" applyFill="1"/>
    <xf numFmtId="0" fontId="15" fillId="0" borderId="0" xfId="6"/>
    <xf numFmtId="0" fontId="15" fillId="0" borderId="0" xfId="8"/>
    <xf numFmtId="0" fontId="15" fillId="4" borderId="0" xfId="8" applyFill="1"/>
    <xf numFmtId="0" fontId="15" fillId="3" borderId="0" xfId="8" applyFill="1"/>
    <xf numFmtId="0" fontId="6" fillId="0" borderId="0" xfId="8" applyFont="1" applyAlignment="1">
      <alignment vertical="center"/>
    </xf>
    <xf numFmtId="49" fontId="0" fillId="0" borderId="0" xfId="0" applyNumberFormat="1" applyAlignment="1">
      <alignment horizontal="right"/>
    </xf>
    <xf numFmtId="0" fontId="6" fillId="4" borderId="0" xfId="0" applyFont="1" applyFill="1"/>
    <xf numFmtId="0" fontId="6" fillId="0" borderId="0" xfId="0" applyFont="1"/>
    <xf numFmtId="22" fontId="0" fillId="0" borderId="0" xfId="0" applyNumberFormat="1" applyAlignment="1">
      <alignment vertical="center"/>
    </xf>
    <xf numFmtId="22" fontId="1" fillId="0" borderId="0" xfId="3" applyNumberFormat="1" applyAlignment="1">
      <alignment vertical="center"/>
    </xf>
    <xf numFmtId="22" fontId="1" fillId="0" borderId="0" xfId="4" applyNumberFormat="1" applyAlignment="1">
      <alignment vertical="center"/>
    </xf>
    <xf numFmtId="0" fontId="1" fillId="0" borderId="0" xfId="4"/>
    <xf numFmtId="0" fontId="15" fillId="0" borderId="0" xfId="5"/>
    <xf numFmtId="0" fontId="0" fillId="8" borderId="0" xfId="0" applyFill="1"/>
    <xf numFmtId="0" fontId="0" fillId="8" borderId="0" xfId="0" applyFill="1" applyAlignment="1">
      <alignment horizontal="left" vertical="top"/>
    </xf>
    <xf numFmtId="0" fontId="0" fillId="8" borderId="0" xfId="0" applyFill="1" applyAlignment="1">
      <alignment horizontal="center"/>
    </xf>
    <xf numFmtId="49" fontId="0" fillId="0" borderId="0" xfId="0" applyNumberFormat="1"/>
    <xf numFmtId="0" fontId="9" fillId="9" borderId="1" xfId="0" applyFont="1" applyFill="1" applyBorder="1"/>
    <xf numFmtId="0" fontId="0" fillId="4" borderId="1" xfId="0" applyFill="1" applyBorder="1" applyAlignment="1">
      <alignment horizontal="center"/>
    </xf>
    <xf numFmtId="0" fontId="1" fillId="4" borderId="0" xfId="3" applyFill="1"/>
    <xf numFmtId="0" fontId="0" fillId="4" borderId="2" xfId="0" applyFill="1" applyBorder="1" applyAlignment="1">
      <alignment horizontal="center"/>
    </xf>
    <xf numFmtId="49" fontId="0" fillId="0" borderId="1" xfId="0" applyNumberFormat="1" applyBorder="1" applyAlignment="1">
      <alignment horizontal="center"/>
    </xf>
    <xf numFmtId="0" fontId="3" fillId="0" borderId="1" xfId="5" applyFont="1" applyBorder="1"/>
    <xf numFmtId="0" fontId="3" fillId="0" borderId="1" xfId="0" applyFont="1" applyBorder="1"/>
    <xf numFmtId="0" fontId="0" fillId="3" borderId="0" xfId="0" applyFill="1" applyAlignment="1">
      <alignment horizontal="center"/>
    </xf>
    <xf numFmtId="0" fontId="0" fillId="0" borderId="3" xfId="0" applyBorder="1" applyAlignment="1">
      <alignment horizontal="center"/>
    </xf>
    <xf numFmtId="0" fontId="0" fillId="0" borderId="1" xfId="0" applyBorder="1" applyAlignment="1">
      <alignment horizontal="right" vertical="center"/>
    </xf>
    <xf numFmtId="0" fontId="0" fillId="0" borderId="1" xfId="0" applyBorder="1" applyAlignment="1">
      <alignment horizontal="left" vertical="center"/>
    </xf>
    <xf numFmtId="0" fontId="0" fillId="4" borderId="1" xfId="0" applyFill="1" applyBorder="1" applyAlignment="1">
      <alignment horizontal="right" vertical="center"/>
    </xf>
    <xf numFmtId="0" fontId="0" fillId="3" borderId="1" xfId="0" applyFill="1" applyBorder="1" applyAlignment="1">
      <alignment horizontal="left" vertical="center"/>
    </xf>
    <xf numFmtId="49" fontId="0" fillId="0" borderId="1" xfId="0" applyNumberFormat="1" applyBorder="1"/>
    <xf numFmtId="0" fontId="2" fillId="0" borderId="1" xfId="0" applyFont="1" applyBorder="1"/>
    <xf numFmtId="49" fontId="2" fillId="0" borderId="1" xfId="0" applyNumberFormat="1" applyFont="1" applyBorder="1"/>
    <xf numFmtId="0" fontId="1" fillId="4" borderId="0" xfId="4" applyFill="1"/>
    <xf numFmtId="0" fontId="15" fillId="0" borderId="0" xfId="9" applyAlignment="1">
      <alignment horizontal="center"/>
    </xf>
    <xf numFmtId="0" fontId="6" fillId="0" borderId="0" xfId="3" applyFont="1"/>
    <xf numFmtId="0" fontId="11" fillId="0" borderId="0" xfId="3" applyFont="1"/>
    <xf numFmtId="176" fontId="0" fillId="0" borderId="0" xfId="3" applyNumberFormat="1" applyFont="1"/>
    <xf numFmtId="176" fontId="0" fillId="4" borderId="0" xfId="3" applyNumberFormat="1" applyFont="1" applyFill="1"/>
    <xf numFmtId="176" fontId="1" fillId="4" borderId="0" xfId="3" applyNumberFormat="1" applyFill="1"/>
    <xf numFmtId="0" fontId="1" fillId="3" borderId="0" xfId="3" applyFill="1"/>
    <xf numFmtId="176" fontId="1" fillId="0" borderId="0" xfId="3" applyNumberFormat="1" applyAlignment="1">
      <alignment vertical="center"/>
    </xf>
    <xf numFmtId="176" fontId="12" fillId="0" borderId="0" xfId="0" applyNumberFormat="1" applyFont="1" applyAlignment="1">
      <alignment vertical="center"/>
    </xf>
    <xf numFmtId="0" fontId="0" fillId="0" borderId="0" xfId="0" applyAlignment="1">
      <alignment horizontal="left" vertical="center"/>
    </xf>
    <xf numFmtId="0" fontId="1" fillId="4" borderId="0" xfId="0" applyFont="1" applyFill="1" applyAlignment="1">
      <alignment horizontal="left"/>
    </xf>
    <xf numFmtId="0" fontId="0" fillId="4" borderId="0" xfId="0" applyFill="1" applyAlignment="1">
      <alignment horizontal="left"/>
    </xf>
    <xf numFmtId="0" fontId="13" fillId="0" borderId="0" xfId="0" applyFont="1"/>
    <xf numFmtId="0" fontId="13" fillId="0" borderId="0" xfId="0" applyFont="1" applyAlignment="1">
      <alignment horizontal="left"/>
    </xf>
    <xf numFmtId="0" fontId="15" fillId="0" borderId="0" xfId="5" applyAlignment="1">
      <alignment horizontal="left"/>
    </xf>
    <xf numFmtId="0" fontId="1" fillId="4" borderId="0" xfId="0" applyFont="1" applyFill="1" applyAlignment="1">
      <alignment horizontal="center"/>
    </xf>
    <xf numFmtId="0" fontId="0" fillId="0" borderId="0" xfId="0" applyAlignment="1">
      <alignment horizontal="center" vertical="center"/>
    </xf>
    <xf numFmtId="0" fontId="0" fillId="0" borderId="0" xfId="3" applyFont="1"/>
    <xf numFmtId="0" fontId="0" fillId="2" borderId="0" xfId="0" applyFill="1" applyAlignment="1">
      <alignment vertical="center"/>
    </xf>
    <xf numFmtId="0" fontId="0" fillId="2" borderId="0" xfId="3" applyFont="1" applyFill="1"/>
    <xf numFmtId="0" fontId="2" fillId="2" borderId="0" xfId="0" applyFont="1" applyFill="1" applyAlignment="1">
      <alignment vertical="center"/>
    </xf>
    <xf numFmtId="0" fontId="0" fillId="11" borderId="0" xfId="0" applyFill="1"/>
    <xf numFmtId="0" fontId="1" fillId="11" borderId="0" xfId="0" applyFont="1" applyFill="1" applyAlignment="1">
      <alignment vertical="center"/>
    </xf>
    <xf numFmtId="0" fontId="0" fillId="11" borderId="0" xfId="0" applyFill="1" applyAlignment="1">
      <alignment vertical="center"/>
    </xf>
    <xf numFmtId="0" fontId="3" fillId="0" borderId="0" xfId="3" applyFont="1"/>
    <xf numFmtId="0" fontId="2" fillId="0" borderId="0" xfId="3" applyFont="1"/>
    <xf numFmtId="0" fontId="14" fillId="0" borderId="0" xfId="0" applyFont="1"/>
    <xf numFmtId="176" fontId="0" fillId="2" borderId="0" xfId="0" applyNumberFormat="1" applyFill="1" applyAlignment="1">
      <alignment vertical="center"/>
    </xf>
    <xf numFmtId="176" fontId="2" fillId="0" borderId="0" xfId="0" applyNumberFormat="1" applyFont="1" applyAlignment="1">
      <alignment vertical="center"/>
    </xf>
    <xf numFmtId="176" fontId="0" fillId="12" borderId="0" xfId="0" applyNumberFormat="1" applyFill="1" applyAlignment="1">
      <alignment vertical="center"/>
    </xf>
    <xf numFmtId="176" fontId="2" fillId="2" borderId="0" xfId="0" applyNumberFormat="1" applyFont="1" applyFill="1" applyAlignment="1">
      <alignment vertical="center"/>
    </xf>
    <xf numFmtId="176" fontId="0" fillId="11" borderId="0" xfId="0" applyNumberFormat="1" applyFill="1" applyAlignment="1">
      <alignment vertical="center"/>
    </xf>
    <xf numFmtId="176" fontId="2" fillId="11" borderId="0" xfId="0" applyNumberFormat="1" applyFont="1" applyFill="1" applyAlignment="1">
      <alignment vertical="center"/>
    </xf>
    <xf numFmtId="0" fontId="21" fillId="0" borderId="0" xfId="0" applyFont="1" applyAlignment="1">
      <alignment vertical="center"/>
    </xf>
    <xf numFmtId="0" fontId="21" fillId="0" borderId="0" xfId="3" applyFont="1"/>
    <xf numFmtId="0" fontId="21" fillId="2" borderId="0" xfId="0" applyFont="1" applyFill="1" applyAlignment="1">
      <alignment vertical="center"/>
    </xf>
    <xf numFmtId="0" fontId="21" fillId="4" borderId="0" xfId="0" applyFont="1" applyFill="1"/>
    <xf numFmtId="0" fontId="21" fillId="2" borderId="0" xfId="3" applyFont="1" applyFill="1"/>
  </cellXfs>
  <cellStyles count="10">
    <cellStyle name="差" xfId="2" builtinId="27"/>
    <cellStyle name="常规" xfId="0" builtinId="0"/>
    <cellStyle name="常规 2" xfId="3" xr:uid="{00000000-0005-0000-0000-000031000000}"/>
    <cellStyle name="常规 2 2" xfId="4" xr:uid="{00000000-0005-0000-0000-000032000000}"/>
    <cellStyle name="常规 3" xfId="5" xr:uid="{00000000-0005-0000-0000-000033000000}"/>
    <cellStyle name="常规 3 2" xfId="6" xr:uid="{00000000-0005-0000-0000-000034000000}"/>
    <cellStyle name="常规 3 2 2" xfId="7" xr:uid="{00000000-0005-0000-0000-000035000000}"/>
    <cellStyle name="常规 4" xfId="8" xr:uid="{00000000-0005-0000-0000-000036000000}"/>
    <cellStyle name="常规 5" xfId="9" xr:uid="{00000000-0005-0000-0000-000037000000}"/>
    <cellStyle name="好" xfId="1" builtinId="26"/>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www.wps.cn/officeDocument/2023/relationships/customStorage" Target="customStorage/customStorage.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0"/>
  <sheetViews>
    <sheetView tabSelected="1" topLeftCell="A64" workbookViewId="0">
      <selection activeCell="G76" sqref="G76"/>
    </sheetView>
  </sheetViews>
  <sheetFormatPr defaultColWidth="11" defaultRowHeight="13.8" x14ac:dyDescent="0.25"/>
  <cols>
    <col min="1" max="1" width="15.33203125" style="1" customWidth="1"/>
    <col min="2" max="2" width="16.77734375" style="1" customWidth="1"/>
    <col min="3" max="3" width="11" style="1"/>
    <col min="4" max="4" width="16.77734375" style="1" customWidth="1"/>
    <col min="5" max="5" width="13.77734375" style="1" customWidth="1"/>
    <col min="6" max="6" width="12.5546875" style="1" customWidth="1"/>
    <col min="7" max="8" width="11" style="1"/>
    <col min="9" max="9" width="19.88671875" style="1" customWidth="1"/>
    <col min="10" max="10" width="14.6640625" style="1" customWidth="1"/>
    <col min="11" max="11" width="11" style="1"/>
    <col min="12" max="12" width="17.109375" style="1" customWidth="1"/>
    <col min="13" max="13" width="18.33203125" style="1" customWidth="1"/>
    <col min="14" max="16384" width="11" style="1"/>
  </cols>
  <sheetData>
    <row r="1" spans="1:16" x14ac:dyDescent="0.25">
      <c r="A1" t="s">
        <v>0</v>
      </c>
      <c r="B1" s="1" t="s">
        <v>1</v>
      </c>
      <c r="C1" s="1" t="s">
        <v>2</v>
      </c>
      <c r="D1" s="1" t="s">
        <v>3</v>
      </c>
      <c r="E1" s="131" t="s">
        <v>826</v>
      </c>
      <c r="F1" s="1" t="s">
        <v>4</v>
      </c>
      <c r="G1" s="1" t="s">
        <v>5</v>
      </c>
      <c r="H1" s="1" t="s">
        <v>6</v>
      </c>
      <c r="I1" s="1" t="s">
        <v>7</v>
      </c>
      <c r="J1" t="s">
        <v>8</v>
      </c>
      <c r="K1" t="s">
        <v>9</v>
      </c>
      <c r="L1" s="21" t="s">
        <v>10</v>
      </c>
      <c r="M1" s="21" t="s">
        <v>11</v>
      </c>
      <c r="N1" s="1" t="s">
        <v>12</v>
      </c>
      <c r="O1" s="1" t="s">
        <v>13</v>
      </c>
      <c r="P1" s="1" t="s">
        <v>14</v>
      </c>
    </row>
    <row r="2" spans="1:16" x14ac:dyDescent="0.25">
      <c r="A2" t="s">
        <v>15</v>
      </c>
      <c r="B2" s="5" t="s">
        <v>16</v>
      </c>
      <c r="C2" s="5" t="s">
        <v>17</v>
      </c>
      <c r="D2" s="4" t="s">
        <v>18</v>
      </c>
      <c r="E2" s="134" t="s">
        <v>827</v>
      </c>
      <c r="F2" s="5" t="s">
        <v>19</v>
      </c>
      <c r="G2" s="5" t="s">
        <v>20</v>
      </c>
      <c r="H2" s="5" t="s">
        <v>21</v>
      </c>
      <c r="I2" s="5" t="s">
        <v>22</v>
      </c>
      <c r="J2" s="134" t="s">
        <v>825</v>
      </c>
      <c r="K2" s="5" t="s">
        <v>23</v>
      </c>
      <c r="L2" s="22" t="s">
        <v>24</v>
      </c>
      <c r="M2" s="22" t="s">
        <v>25</v>
      </c>
      <c r="N2" s="5" t="s">
        <v>26</v>
      </c>
      <c r="O2" s="5" t="s">
        <v>27</v>
      </c>
      <c r="P2" s="5" t="s">
        <v>28</v>
      </c>
    </row>
    <row r="3" spans="1:16" x14ac:dyDescent="0.25">
      <c r="A3" t="s">
        <v>29</v>
      </c>
      <c r="B3" s="5" t="s">
        <v>30</v>
      </c>
      <c r="C3" s="5" t="s">
        <v>30</v>
      </c>
      <c r="D3" s="4" t="s">
        <v>31</v>
      </c>
      <c r="E3" s="134" t="s">
        <v>828</v>
      </c>
      <c r="F3" s="5" t="s">
        <v>30</v>
      </c>
      <c r="G3" s="5" t="s">
        <v>30</v>
      </c>
      <c r="H3" s="5" t="s">
        <v>30</v>
      </c>
      <c r="I3" s="5" t="s">
        <v>31</v>
      </c>
      <c r="J3" s="5" t="s">
        <v>30</v>
      </c>
      <c r="K3" s="5" t="s">
        <v>30</v>
      </c>
      <c r="L3" s="22" t="s">
        <v>32</v>
      </c>
      <c r="M3" s="22" t="s">
        <v>32</v>
      </c>
      <c r="N3" s="5" t="s">
        <v>30</v>
      </c>
      <c r="O3" s="5" t="s">
        <v>30</v>
      </c>
      <c r="P3" s="5" t="s">
        <v>30</v>
      </c>
    </row>
    <row r="4" spans="1:16" x14ac:dyDescent="0.25">
      <c r="A4" t="s">
        <v>33</v>
      </c>
      <c r="B4" s="5" t="s">
        <v>34</v>
      </c>
      <c r="C4" s="5" t="s">
        <v>34</v>
      </c>
      <c r="D4" s="4" t="s">
        <v>35</v>
      </c>
      <c r="E4" s="134" t="s">
        <v>829</v>
      </c>
      <c r="F4" s="5" t="s">
        <v>36</v>
      </c>
      <c r="G4" s="5" t="s">
        <v>37</v>
      </c>
      <c r="H4" s="5" t="s">
        <v>34</v>
      </c>
      <c r="I4" s="5" t="s">
        <v>34</v>
      </c>
      <c r="J4" s="5" t="s">
        <v>34</v>
      </c>
      <c r="K4" s="5" t="s">
        <v>34</v>
      </c>
      <c r="L4" s="5" t="s">
        <v>34</v>
      </c>
      <c r="M4" s="5" t="s">
        <v>34</v>
      </c>
      <c r="N4" s="5" t="s">
        <v>34</v>
      </c>
      <c r="O4" s="5" t="s">
        <v>34</v>
      </c>
      <c r="P4" s="5" t="s">
        <v>34</v>
      </c>
    </row>
    <row r="5" spans="1:16" x14ac:dyDescent="0.25">
      <c r="A5" t="s">
        <v>38</v>
      </c>
      <c r="B5" s="5" t="s">
        <v>39</v>
      </c>
      <c r="C5" s="5">
        <v>0</v>
      </c>
      <c r="D5" s="4">
        <v>0</v>
      </c>
      <c r="E5" s="5">
        <v>0</v>
      </c>
      <c r="F5" s="5">
        <v>0</v>
      </c>
      <c r="G5" s="5">
        <v>0</v>
      </c>
      <c r="H5" s="5">
        <v>0</v>
      </c>
      <c r="I5" s="5" t="s">
        <v>40</v>
      </c>
      <c r="J5" s="5">
        <v>0</v>
      </c>
      <c r="K5" s="5">
        <v>0</v>
      </c>
      <c r="L5" s="22">
        <v>36526</v>
      </c>
      <c r="M5" s="22">
        <v>72686</v>
      </c>
      <c r="N5" s="5">
        <v>0</v>
      </c>
      <c r="O5" s="5">
        <v>0</v>
      </c>
      <c r="P5" s="5">
        <v>0</v>
      </c>
    </row>
    <row r="6" spans="1:16" x14ac:dyDescent="0.25">
      <c r="A6" s="1" t="s">
        <v>38</v>
      </c>
      <c r="B6" s="4">
        <v>101</v>
      </c>
      <c r="C6" s="1">
        <v>800011</v>
      </c>
      <c r="D6" s="115" t="s">
        <v>41</v>
      </c>
      <c r="E6" s="115"/>
      <c r="F6" s="115">
        <v>1</v>
      </c>
      <c r="G6" s="115"/>
      <c r="H6" s="115">
        <v>3</v>
      </c>
      <c r="I6" s="2" t="s">
        <v>42</v>
      </c>
      <c r="J6" s="1">
        <v>0</v>
      </c>
      <c r="K6" s="1">
        <v>4</v>
      </c>
      <c r="L6" s="2">
        <v>44197</v>
      </c>
      <c r="M6" s="2">
        <v>44228</v>
      </c>
      <c r="N6" s="115">
        <v>1</v>
      </c>
      <c r="O6" s="1">
        <v>0</v>
      </c>
      <c r="P6" s="1">
        <v>0</v>
      </c>
    </row>
    <row r="7" spans="1:16" x14ac:dyDescent="0.25">
      <c r="A7" s="1" t="s">
        <v>38</v>
      </c>
      <c r="B7" s="3">
        <v>102</v>
      </c>
      <c r="C7" s="116">
        <v>800021</v>
      </c>
      <c r="D7" s="117" t="s">
        <v>43</v>
      </c>
      <c r="E7" s="117"/>
      <c r="F7" s="117">
        <v>12</v>
      </c>
      <c r="G7" s="117"/>
      <c r="H7" s="117">
        <v>0</v>
      </c>
      <c r="I7" s="116" t="s">
        <v>44</v>
      </c>
      <c r="J7" s="116">
        <v>0</v>
      </c>
      <c r="K7" s="116">
        <v>102</v>
      </c>
      <c r="L7" s="125">
        <v>43749</v>
      </c>
      <c r="M7" s="125">
        <v>72686</v>
      </c>
      <c r="N7" s="116">
        <v>1</v>
      </c>
      <c r="O7" s="116">
        <v>0</v>
      </c>
      <c r="P7" s="116">
        <v>107</v>
      </c>
    </row>
    <row r="8" spans="1:16" x14ac:dyDescent="0.25">
      <c r="A8" s="1" t="s">
        <v>38</v>
      </c>
      <c r="B8" s="4">
        <v>103</v>
      </c>
      <c r="C8" s="1">
        <v>800031</v>
      </c>
      <c r="D8" s="115" t="s">
        <v>45</v>
      </c>
      <c r="E8" s="115"/>
      <c r="F8" s="115">
        <v>13</v>
      </c>
      <c r="G8" s="115"/>
      <c r="H8" s="115">
        <v>0</v>
      </c>
      <c r="I8" s="1" t="s">
        <v>46</v>
      </c>
      <c r="J8" s="1">
        <v>0</v>
      </c>
      <c r="K8" s="1">
        <v>19</v>
      </c>
      <c r="L8" s="2">
        <v>43749</v>
      </c>
      <c r="M8" s="2">
        <v>72686</v>
      </c>
      <c r="N8" s="1">
        <v>1</v>
      </c>
      <c r="O8" s="1">
        <v>0</v>
      </c>
      <c r="P8" s="1">
        <v>36</v>
      </c>
    </row>
    <row r="9" spans="1:16" x14ac:dyDescent="0.25">
      <c r="A9" s="1" t="s">
        <v>38</v>
      </c>
      <c r="B9" s="4">
        <v>104</v>
      </c>
      <c r="C9" s="1">
        <v>800041</v>
      </c>
      <c r="D9" s="115" t="s">
        <v>47</v>
      </c>
      <c r="E9" s="115"/>
      <c r="F9" s="115">
        <v>14</v>
      </c>
      <c r="G9" s="115"/>
      <c r="H9" s="115">
        <v>0</v>
      </c>
      <c r="I9" t="s">
        <v>48</v>
      </c>
      <c r="J9" s="1">
        <v>0</v>
      </c>
      <c r="K9" s="1">
        <v>17</v>
      </c>
      <c r="L9" s="2">
        <v>43749</v>
      </c>
      <c r="M9" s="2">
        <v>72686</v>
      </c>
      <c r="N9" s="1">
        <v>0</v>
      </c>
      <c r="O9" s="1">
        <v>0</v>
      </c>
      <c r="P9" s="1">
        <v>14</v>
      </c>
    </row>
    <row r="10" spans="1:16" x14ac:dyDescent="0.25">
      <c r="A10" s="1" t="s">
        <v>38</v>
      </c>
      <c r="B10" s="3">
        <v>105</v>
      </c>
      <c r="C10" s="116">
        <v>800061</v>
      </c>
      <c r="D10" s="117" t="s">
        <v>49</v>
      </c>
      <c r="E10" s="117"/>
      <c r="F10" s="117">
        <v>16</v>
      </c>
      <c r="G10" s="117"/>
      <c r="H10" s="117">
        <v>0</v>
      </c>
      <c r="I10" s="116" t="s">
        <v>50</v>
      </c>
      <c r="J10" s="116">
        <v>0</v>
      </c>
      <c r="K10" s="116">
        <v>19</v>
      </c>
      <c r="L10" s="125">
        <v>43749</v>
      </c>
      <c r="M10" s="125">
        <v>43831</v>
      </c>
      <c r="N10" s="116">
        <v>1</v>
      </c>
      <c r="O10" s="116">
        <v>0</v>
      </c>
      <c r="P10" s="116">
        <v>0</v>
      </c>
    </row>
    <row r="11" spans="1:16" x14ac:dyDescent="0.25">
      <c r="A11" s="1" t="s">
        <v>38</v>
      </c>
      <c r="B11" s="3">
        <v>106</v>
      </c>
      <c r="C11" s="116">
        <v>800101</v>
      </c>
      <c r="D11" s="116" t="s">
        <v>51</v>
      </c>
      <c r="E11" s="116"/>
      <c r="F11" s="116">
        <v>0</v>
      </c>
      <c r="G11" s="116"/>
      <c r="H11" s="116">
        <v>0</v>
      </c>
      <c r="I11" s="116" t="s">
        <v>52</v>
      </c>
      <c r="J11" s="116">
        <v>0</v>
      </c>
      <c r="K11" s="116">
        <v>106</v>
      </c>
      <c r="L11" s="125">
        <v>43749</v>
      </c>
      <c r="M11" s="125">
        <v>72686</v>
      </c>
      <c r="N11" s="116">
        <v>1</v>
      </c>
      <c r="O11" s="116">
        <v>0</v>
      </c>
      <c r="P11" s="116">
        <v>55</v>
      </c>
    </row>
    <row r="12" spans="1:16" x14ac:dyDescent="0.25">
      <c r="A12" s="1" t="s">
        <v>38</v>
      </c>
      <c r="B12">
        <v>107</v>
      </c>
      <c r="C12" s="1">
        <v>800371</v>
      </c>
      <c r="D12" s="1" t="s">
        <v>53</v>
      </c>
      <c r="F12" s="1">
        <v>0</v>
      </c>
      <c r="H12" s="1">
        <v>0</v>
      </c>
      <c r="I12" t="s">
        <v>54</v>
      </c>
      <c r="J12" s="1">
        <v>0</v>
      </c>
      <c r="K12" s="1">
        <v>109</v>
      </c>
      <c r="L12" s="2">
        <v>43749</v>
      </c>
      <c r="M12" s="126">
        <v>72686</v>
      </c>
      <c r="N12" s="1">
        <v>1</v>
      </c>
      <c r="O12" s="1">
        <v>0</v>
      </c>
      <c r="P12" s="1">
        <v>84</v>
      </c>
    </row>
    <row r="13" spans="1:16" x14ac:dyDescent="0.25">
      <c r="A13" s="1" t="s">
        <v>38</v>
      </c>
      <c r="B13">
        <v>117</v>
      </c>
      <c r="C13" s="1">
        <v>800331</v>
      </c>
      <c r="D13" s="1" t="s">
        <v>55</v>
      </c>
      <c r="F13" s="1">
        <v>0</v>
      </c>
      <c r="H13" s="1">
        <v>0</v>
      </c>
      <c r="I13" t="s">
        <v>56</v>
      </c>
      <c r="J13" s="1">
        <v>0</v>
      </c>
      <c r="K13" s="1">
        <v>105</v>
      </c>
      <c r="L13" s="2">
        <v>43749</v>
      </c>
      <c r="M13" s="2">
        <v>72686</v>
      </c>
      <c r="N13" s="1">
        <v>1</v>
      </c>
      <c r="O13" s="1">
        <v>0</v>
      </c>
      <c r="P13" s="1">
        <v>105</v>
      </c>
    </row>
    <row r="14" spans="1:16" x14ac:dyDescent="0.25">
      <c r="A14" s="1" t="s">
        <v>38</v>
      </c>
      <c r="B14">
        <v>124</v>
      </c>
      <c r="C14" s="1">
        <v>800611</v>
      </c>
      <c r="D14" s="1" t="s">
        <v>57</v>
      </c>
      <c r="F14" s="1">
        <v>0</v>
      </c>
      <c r="H14" s="1">
        <v>0</v>
      </c>
      <c r="I14" t="s">
        <v>58</v>
      </c>
      <c r="J14" s="1">
        <v>0</v>
      </c>
      <c r="K14" s="1">
        <v>109</v>
      </c>
      <c r="L14" s="127">
        <v>43749</v>
      </c>
      <c r="M14" s="127">
        <v>44927.999988425901</v>
      </c>
      <c r="N14" s="1">
        <v>1</v>
      </c>
      <c r="O14" s="1">
        <v>0</v>
      </c>
      <c r="P14" s="1">
        <v>80</v>
      </c>
    </row>
    <row r="15" spans="1:16" x14ac:dyDescent="0.25">
      <c r="A15" s="1" t="s">
        <v>38</v>
      </c>
      <c r="B15" s="3">
        <v>130</v>
      </c>
      <c r="C15" s="118">
        <v>800471</v>
      </c>
      <c r="D15" s="118" t="s">
        <v>59</v>
      </c>
      <c r="E15" s="118"/>
      <c r="F15" s="116">
        <v>6</v>
      </c>
      <c r="G15" s="116"/>
      <c r="H15" s="118">
        <v>3</v>
      </c>
      <c r="I15" s="116" t="s">
        <v>60</v>
      </c>
      <c r="J15" s="116">
        <v>0</v>
      </c>
      <c r="K15" s="116">
        <v>107</v>
      </c>
      <c r="L15" s="128">
        <v>45689</v>
      </c>
      <c r="M15" s="128">
        <v>45689.999988425901</v>
      </c>
      <c r="N15" s="117">
        <v>0</v>
      </c>
      <c r="O15" s="116">
        <v>0</v>
      </c>
      <c r="P15" s="116">
        <v>0</v>
      </c>
    </row>
    <row r="16" spans="1:16" x14ac:dyDescent="0.25">
      <c r="A16" s="1" t="s">
        <v>38</v>
      </c>
      <c r="B16" s="3">
        <v>131</v>
      </c>
      <c r="C16" s="118">
        <v>800572</v>
      </c>
      <c r="D16" s="118" t="s">
        <v>61</v>
      </c>
      <c r="E16" s="118"/>
      <c r="F16" s="116">
        <v>1</v>
      </c>
      <c r="G16" s="116"/>
      <c r="H16" s="118">
        <v>71</v>
      </c>
      <c r="I16" s="118" t="s">
        <v>62</v>
      </c>
      <c r="J16" s="116">
        <v>0</v>
      </c>
      <c r="K16" s="116">
        <v>108</v>
      </c>
      <c r="L16" s="128">
        <v>45170</v>
      </c>
      <c r="M16" s="128">
        <v>45199.999988425901</v>
      </c>
      <c r="N16" s="117">
        <v>0</v>
      </c>
      <c r="O16" s="116">
        <v>0</v>
      </c>
      <c r="P16" s="116">
        <v>0</v>
      </c>
    </row>
    <row r="17" spans="1:16" x14ac:dyDescent="0.25">
      <c r="A17" s="1" t="s">
        <v>38</v>
      </c>
      <c r="B17" s="3">
        <v>132</v>
      </c>
      <c r="C17" s="116">
        <v>800571</v>
      </c>
      <c r="D17" s="116" t="s">
        <v>63</v>
      </c>
      <c r="E17" s="116"/>
      <c r="F17" s="116">
        <v>1</v>
      </c>
      <c r="G17" s="116"/>
      <c r="H17" s="118">
        <v>1</v>
      </c>
      <c r="I17" s="116" t="s">
        <v>64</v>
      </c>
      <c r="J17" s="116">
        <v>0</v>
      </c>
      <c r="K17" s="116">
        <v>108</v>
      </c>
      <c r="L17" s="128">
        <v>45689</v>
      </c>
      <c r="M17" s="128">
        <v>45689.999988425901</v>
      </c>
      <c r="N17" s="117">
        <v>0</v>
      </c>
      <c r="O17" s="116">
        <v>0</v>
      </c>
      <c r="P17" s="116">
        <v>0</v>
      </c>
    </row>
    <row r="18" spans="1:16" x14ac:dyDescent="0.25">
      <c r="A18" s="1" t="s">
        <v>38</v>
      </c>
      <c r="B18" s="3">
        <v>133</v>
      </c>
      <c r="C18" s="116">
        <v>800591</v>
      </c>
      <c r="D18" s="116" t="s">
        <v>65</v>
      </c>
      <c r="E18" s="116"/>
      <c r="F18" s="116">
        <v>1</v>
      </c>
      <c r="G18" s="116"/>
      <c r="H18" s="118">
        <v>73</v>
      </c>
      <c r="I18" s="116" t="s">
        <v>66</v>
      </c>
      <c r="J18" s="116">
        <v>0</v>
      </c>
      <c r="K18" s="116">
        <v>108</v>
      </c>
      <c r="L18" s="128">
        <v>45170</v>
      </c>
      <c r="M18" s="128">
        <v>45199.999988425901</v>
      </c>
      <c r="N18" s="117">
        <v>0</v>
      </c>
      <c r="O18" s="116">
        <v>0</v>
      </c>
      <c r="P18" s="116">
        <v>0</v>
      </c>
    </row>
    <row r="19" spans="1:16" x14ac:dyDescent="0.25">
      <c r="A19" s="1" t="s">
        <v>38</v>
      </c>
      <c r="B19" s="3">
        <v>134</v>
      </c>
      <c r="C19" s="118">
        <v>800581</v>
      </c>
      <c r="D19" s="118" t="s">
        <v>67</v>
      </c>
      <c r="E19" s="118"/>
      <c r="F19" s="116">
        <v>1</v>
      </c>
      <c r="G19" s="116"/>
      <c r="H19" s="118">
        <v>74</v>
      </c>
      <c r="I19" s="118" t="s">
        <v>68</v>
      </c>
      <c r="J19" s="116">
        <v>0</v>
      </c>
      <c r="K19" s="116">
        <v>108</v>
      </c>
      <c r="L19" s="128">
        <v>45170</v>
      </c>
      <c r="M19" s="128">
        <v>45199.999988425901</v>
      </c>
      <c r="N19" s="117">
        <v>0</v>
      </c>
      <c r="O19" s="116">
        <v>0</v>
      </c>
      <c r="P19" s="116">
        <v>0</v>
      </c>
    </row>
    <row r="20" spans="1:16" x14ac:dyDescent="0.25">
      <c r="A20" s="1" t="s">
        <v>38</v>
      </c>
      <c r="B20" s="3">
        <v>135</v>
      </c>
      <c r="C20" s="116">
        <v>800181</v>
      </c>
      <c r="D20" s="116" t="s">
        <v>69</v>
      </c>
      <c r="E20" s="116"/>
      <c r="F20" s="116">
        <v>17</v>
      </c>
      <c r="G20" s="116"/>
      <c r="H20" s="116">
        <v>0</v>
      </c>
      <c r="I20" s="116" t="s">
        <v>70</v>
      </c>
      <c r="J20" s="116">
        <v>0</v>
      </c>
      <c r="K20" s="116">
        <v>101</v>
      </c>
      <c r="L20" s="128">
        <v>45724</v>
      </c>
      <c r="M20" s="128">
        <v>45737.999988425901</v>
      </c>
      <c r="N20" s="116">
        <v>3</v>
      </c>
      <c r="O20" s="116">
        <v>0</v>
      </c>
      <c r="P20" s="116">
        <v>0</v>
      </c>
    </row>
    <row r="21" spans="1:16" x14ac:dyDescent="0.25">
      <c r="A21" s="1" t="s">
        <v>38</v>
      </c>
      <c r="B21" s="3">
        <v>136</v>
      </c>
      <c r="C21" s="116">
        <v>800511</v>
      </c>
      <c r="D21" s="116" t="s">
        <v>71</v>
      </c>
      <c r="E21" s="116"/>
      <c r="F21" s="116">
        <v>6</v>
      </c>
      <c r="G21" s="116"/>
      <c r="H21" s="116">
        <v>7</v>
      </c>
      <c r="I21" s="116" t="s">
        <v>60</v>
      </c>
      <c r="J21" s="116">
        <v>0</v>
      </c>
      <c r="K21" s="116">
        <v>107</v>
      </c>
      <c r="L21" s="125">
        <v>45474</v>
      </c>
      <c r="M21" s="125">
        <v>45504.999988425901</v>
      </c>
      <c r="N21" s="117">
        <v>0</v>
      </c>
      <c r="O21" s="116">
        <v>0</v>
      </c>
      <c r="P21" s="116">
        <v>0</v>
      </c>
    </row>
    <row r="22" spans="1:16" x14ac:dyDescent="0.25">
      <c r="A22" s="1" t="s">
        <v>38</v>
      </c>
      <c r="B22" s="3">
        <v>137</v>
      </c>
      <c r="C22" s="116">
        <v>800571</v>
      </c>
      <c r="D22" s="116" t="s">
        <v>63</v>
      </c>
      <c r="E22" s="116"/>
      <c r="F22" s="116">
        <v>1</v>
      </c>
      <c r="G22" s="116"/>
      <c r="H22" s="116">
        <v>63</v>
      </c>
      <c r="I22" s="116" t="s">
        <v>64</v>
      </c>
      <c r="J22" s="116">
        <v>0</v>
      </c>
      <c r="K22" s="116">
        <v>108</v>
      </c>
      <c r="L22" s="125">
        <v>45474</v>
      </c>
      <c r="M22" s="125">
        <v>45480.999988425901</v>
      </c>
      <c r="N22" s="117">
        <v>0</v>
      </c>
      <c r="O22" s="116">
        <v>0</v>
      </c>
      <c r="P22" s="116">
        <v>0</v>
      </c>
    </row>
    <row r="23" spans="1:16" x14ac:dyDescent="0.25">
      <c r="A23" s="1" t="s">
        <v>38</v>
      </c>
      <c r="B23" s="3">
        <v>138</v>
      </c>
      <c r="C23" s="116">
        <v>800591</v>
      </c>
      <c r="D23" s="116" t="s">
        <v>65</v>
      </c>
      <c r="E23" s="116"/>
      <c r="F23" s="116">
        <v>1</v>
      </c>
      <c r="G23" s="116"/>
      <c r="H23" s="116">
        <v>64</v>
      </c>
      <c r="I23" s="116" t="s">
        <v>66</v>
      </c>
      <c r="J23" s="116">
        <v>0</v>
      </c>
      <c r="K23" s="116">
        <v>108</v>
      </c>
      <c r="L23" s="125">
        <v>45481</v>
      </c>
      <c r="M23" s="125">
        <v>45487.999988425901</v>
      </c>
      <c r="N23" s="117">
        <v>0</v>
      </c>
      <c r="O23" s="116">
        <v>0</v>
      </c>
      <c r="P23" s="116">
        <v>0</v>
      </c>
    </row>
    <row r="24" spans="1:16" x14ac:dyDescent="0.25">
      <c r="A24" s="1" t="s">
        <v>38</v>
      </c>
      <c r="B24" s="3">
        <v>139</v>
      </c>
      <c r="C24" s="116">
        <v>800571</v>
      </c>
      <c r="D24" s="116" t="s">
        <v>63</v>
      </c>
      <c r="E24" s="116"/>
      <c r="F24" s="116">
        <v>1</v>
      </c>
      <c r="G24" s="116"/>
      <c r="H24" s="116">
        <v>65</v>
      </c>
      <c r="I24" s="116" t="s">
        <v>64</v>
      </c>
      <c r="J24" s="116">
        <v>0</v>
      </c>
      <c r="K24" s="116">
        <v>108</v>
      </c>
      <c r="L24" s="125">
        <v>45488</v>
      </c>
      <c r="M24" s="125">
        <v>45494.999988425901</v>
      </c>
      <c r="N24" s="117">
        <v>0</v>
      </c>
      <c r="O24" s="116">
        <v>0</v>
      </c>
      <c r="P24" s="116">
        <v>0</v>
      </c>
    </row>
    <row r="25" spans="1:16" x14ac:dyDescent="0.25">
      <c r="A25" s="1" t="s">
        <v>38</v>
      </c>
      <c r="B25" s="3">
        <v>140</v>
      </c>
      <c r="C25" s="116">
        <v>800591</v>
      </c>
      <c r="D25" s="116" t="s">
        <v>65</v>
      </c>
      <c r="E25" s="116"/>
      <c r="F25" s="116">
        <v>1</v>
      </c>
      <c r="G25" s="116"/>
      <c r="H25" s="116">
        <v>66</v>
      </c>
      <c r="I25" s="116" t="s">
        <v>66</v>
      </c>
      <c r="J25" s="116">
        <v>0</v>
      </c>
      <c r="K25" s="116">
        <v>108</v>
      </c>
      <c r="L25" s="125">
        <v>45495</v>
      </c>
      <c r="M25" s="125">
        <v>45501.999988425901</v>
      </c>
      <c r="N25" s="117">
        <v>0</v>
      </c>
      <c r="O25" s="116">
        <v>0</v>
      </c>
      <c r="P25" s="116">
        <v>0</v>
      </c>
    </row>
    <row r="26" spans="1:16" x14ac:dyDescent="0.25">
      <c r="A26" s="1" t="s">
        <v>38</v>
      </c>
      <c r="B26" s="3">
        <v>141</v>
      </c>
      <c r="C26" s="116">
        <v>800181</v>
      </c>
      <c r="D26" s="116" t="s">
        <v>69</v>
      </c>
      <c r="E26" s="116"/>
      <c r="F26" s="116">
        <v>17</v>
      </c>
      <c r="G26" s="116"/>
      <c r="H26" s="116">
        <v>0</v>
      </c>
      <c r="I26" s="116" t="s">
        <v>70</v>
      </c>
      <c r="J26" s="116">
        <v>0</v>
      </c>
      <c r="K26" s="116">
        <v>101</v>
      </c>
      <c r="L26" s="125">
        <v>45481</v>
      </c>
      <c r="M26" s="125">
        <v>45494.999988425901</v>
      </c>
      <c r="N26" s="116">
        <v>3</v>
      </c>
      <c r="O26" s="116">
        <v>0</v>
      </c>
      <c r="P26" s="116">
        <v>0</v>
      </c>
    </row>
    <row r="27" spans="1:16" x14ac:dyDescent="0.25">
      <c r="A27" s="1" t="s">
        <v>38</v>
      </c>
      <c r="B27">
        <v>142</v>
      </c>
      <c r="C27" s="1">
        <v>800621</v>
      </c>
      <c r="D27" s="1" t="s">
        <v>72</v>
      </c>
      <c r="F27" s="1">
        <v>0</v>
      </c>
      <c r="H27" s="1">
        <v>0</v>
      </c>
      <c r="I27" s="1" t="s">
        <v>73</v>
      </c>
      <c r="J27" s="1">
        <v>0</v>
      </c>
      <c r="K27" s="1">
        <v>21</v>
      </c>
      <c r="L27" s="2">
        <v>44302</v>
      </c>
      <c r="M27" s="2">
        <v>72686</v>
      </c>
      <c r="N27" s="1">
        <v>1</v>
      </c>
      <c r="O27" s="1">
        <v>0</v>
      </c>
      <c r="P27" s="1">
        <v>0</v>
      </c>
    </row>
    <row r="28" spans="1:16" x14ac:dyDescent="0.25">
      <c r="A28" s="1" t="s">
        <v>38</v>
      </c>
      <c r="B28" s="4">
        <v>145</v>
      </c>
      <c r="C28" s="1">
        <v>800361</v>
      </c>
      <c r="D28" s="1" t="s">
        <v>74</v>
      </c>
      <c r="F28" s="1">
        <v>0</v>
      </c>
      <c r="H28" s="1">
        <v>0</v>
      </c>
      <c r="I28" t="s">
        <v>75</v>
      </c>
      <c r="J28" s="1">
        <v>0</v>
      </c>
      <c r="K28" s="1">
        <v>110</v>
      </c>
      <c r="L28" s="2">
        <v>43749</v>
      </c>
      <c r="M28" s="2">
        <v>72686</v>
      </c>
      <c r="N28" s="1">
        <v>1</v>
      </c>
      <c r="O28" s="1">
        <v>0</v>
      </c>
      <c r="P28" s="1">
        <v>65</v>
      </c>
    </row>
    <row r="29" spans="1:16" x14ac:dyDescent="0.25">
      <c r="A29" s="1" t="s">
        <v>38</v>
      </c>
      <c r="B29">
        <v>146</v>
      </c>
      <c r="C29" s="1">
        <v>800381</v>
      </c>
      <c r="D29" s="1" t="s">
        <v>76</v>
      </c>
      <c r="F29" s="1">
        <v>24</v>
      </c>
      <c r="H29" s="1">
        <v>0</v>
      </c>
      <c r="I29" s="1" t="s">
        <v>77</v>
      </c>
      <c r="J29" s="1">
        <v>0</v>
      </c>
      <c r="K29" s="1">
        <v>10</v>
      </c>
      <c r="L29" s="2">
        <v>43749</v>
      </c>
      <c r="M29" s="2">
        <v>45524</v>
      </c>
      <c r="N29" s="1">
        <v>1</v>
      </c>
      <c r="O29" s="1">
        <v>0</v>
      </c>
      <c r="P29" s="1">
        <v>0</v>
      </c>
    </row>
    <row r="30" spans="1:16" ht="15.6" x14ac:dyDescent="0.25">
      <c r="A30" s="1" t="s">
        <v>38</v>
      </c>
      <c r="B30">
        <v>147</v>
      </c>
      <c r="C30" s="40">
        <v>800633</v>
      </c>
      <c r="D30" s="40" t="s">
        <v>78</v>
      </c>
      <c r="E30" s="40"/>
      <c r="F30" s="1">
        <v>26</v>
      </c>
      <c r="H30" s="1">
        <v>0</v>
      </c>
      <c r="I30" s="1" t="s">
        <v>79</v>
      </c>
      <c r="J30" s="1">
        <v>0</v>
      </c>
      <c r="K30" s="1">
        <v>1</v>
      </c>
      <c r="L30" s="2">
        <v>45261</v>
      </c>
      <c r="M30" s="2">
        <v>72686</v>
      </c>
      <c r="N30" s="1">
        <v>1</v>
      </c>
      <c r="O30" s="1">
        <v>0</v>
      </c>
      <c r="P30" s="1">
        <v>0</v>
      </c>
    </row>
    <row r="31" spans="1:16" ht="15.6" x14ac:dyDescent="0.25">
      <c r="A31" s="1" t="s">
        <v>38</v>
      </c>
      <c r="B31" s="119">
        <v>148</v>
      </c>
      <c r="C31" s="120">
        <v>800431</v>
      </c>
      <c r="D31" s="120" t="s">
        <v>80</v>
      </c>
      <c r="E31" s="120"/>
      <c r="F31" s="121">
        <v>3</v>
      </c>
      <c r="G31" s="121"/>
      <c r="H31" s="121">
        <v>4</v>
      </c>
      <c r="I31" s="121" t="s">
        <v>81</v>
      </c>
      <c r="J31" s="121">
        <v>0</v>
      </c>
      <c r="K31" s="121">
        <v>103</v>
      </c>
      <c r="L31" s="129">
        <v>45327</v>
      </c>
      <c r="M31" s="129">
        <v>45331.999988425901</v>
      </c>
      <c r="N31" s="121">
        <v>1</v>
      </c>
      <c r="O31" s="121">
        <v>0</v>
      </c>
      <c r="P31" s="121">
        <v>0</v>
      </c>
    </row>
    <row r="32" spans="1:16" ht="15.6" x14ac:dyDescent="0.25">
      <c r="A32" s="1" t="s">
        <v>38</v>
      </c>
      <c r="B32" s="4">
        <v>149</v>
      </c>
      <c r="C32" s="120">
        <v>800651</v>
      </c>
      <c r="D32" s="120" t="s">
        <v>82</v>
      </c>
      <c r="E32" s="120"/>
      <c r="F32" s="121">
        <v>6</v>
      </c>
      <c r="G32" s="121"/>
      <c r="H32" s="121">
        <v>14</v>
      </c>
      <c r="I32" s="121" t="s">
        <v>83</v>
      </c>
      <c r="J32" s="121">
        <v>0</v>
      </c>
      <c r="K32" s="121">
        <v>104</v>
      </c>
      <c r="L32" s="129">
        <v>45296</v>
      </c>
      <c r="M32" s="129">
        <v>45331.999988425901</v>
      </c>
      <c r="N32" s="121">
        <v>0</v>
      </c>
      <c r="O32" s="121">
        <v>0</v>
      </c>
      <c r="P32" s="121">
        <v>0</v>
      </c>
    </row>
    <row r="33" spans="1:18" ht="15.6" x14ac:dyDescent="0.25">
      <c r="A33" s="1" t="s">
        <v>38</v>
      </c>
      <c r="B33" s="119">
        <v>150</v>
      </c>
      <c r="C33" s="120">
        <v>800731</v>
      </c>
      <c r="D33" s="120" t="s">
        <v>84</v>
      </c>
      <c r="E33" s="120"/>
      <c r="F33" s="121">
        <v>0</v>
      </c>
      <c r="G33" s="121"/>
      <c r="H33" s="121">
        <v>0</v>
      </c>
      <c r="I33" s="121" t="s">
        <v>85</v>
      </c>
      <c r="J33" s="121">
        <v>0</v>
      </c>
      <c r="K33" s="121">
        <v>4</v>
      </c>
      <c r="L33" s="129">
        <v>45444</v>
      </c>
      <c r="M33" s="129">
        <v>45504.999988425901</v>
      </c>
      <c r="N33" s="121">
        <v>1</v>
      </c>
      <c r="O33" s="121">
        <v>0</v>
      </c>
      <c r="P33" s="121">
        <v>106</v>
      </c>
    </row>
    <row r="34" spans="1:18" ht="15.6" x14ac:dyDescent="0.25">
      <c r="A34" s="1" t="s">
        <v>38</v>
      </c>
      <c r="B34" s="119">
        <v>151</v>
      </c>
      <c r="C34" s="120">
        <v>800741</v>
      </c>
      <c r="D34" s="120" t="s">
        <v>86</v>
      </c>
      <c r="E34" s="120"/>
      <c r="F34" s="121">
        <v>0</v>
      </c>
      <c r="G34" s="121"/>
      <c r="H34" s="121">
        <v>0</v>
      </c>
      <c r="I34" s="121" t="s">
        <v>87</v>
      </c>
      <c r="J34" s="121">
        <v>0</v>
      </c>
      <c r="K34" s="121">
        <v>5</v>
      </c>
      <c r="L34" s="129">
        <v>45444</v>
      </c>
      <c r="M34" s="129">
        <v>45504.999988425901</v>
      </c>
      <c r="N34" s="121">
        <v>1</v>
      </c>
      <c r="O34" s="121">
        <v>0</v>
      </c>
      <c r="P34" s="121">
        <v>101</v>
      </c>
    </row>
    <row r="35" spans="1:18" ht="15.6" x14ac:dyDescent="0.25">
      <c r="A35" s="1" t="s">
        <v>38</v>
      </c>
      <c r="B35">
        <v>152</v>
      </c>
      <c r="C35" s="120">
        <v>800661</v>
      </c>
      <c r="D35" s="120" t="s">
        <v>88</v>
      </c>
      <c r="E35" s="120"/>
      <c r="F35" s="121">
        <v>0</v>
      </c>
      <c r="G35" s="121"/>
      <c r="H35" s="121">
        <v>0</v>
      </c>
      <c r="I35" s="121" t="s">
        <v>89</v>
      </c>
      <c r="J35" s="121">
        <v>0</v>
      </c>
      <c r="K35" s="121">
        <v>4</v>
      </c>
      <c r="L35" s="130">
        <v>45505</v>
      </c>
      <c r="M35" s="129">
        <v>45535.999988425901</v>
      </c>
      <c r="N35" s="121">
        <v>1</v>
      </c>
      <c r="O35" s="121">
        <v>0</v>
      </c>
      <c r="P35" s="121">
        <v>106</v>
      </c>
    </row>
    <row r="36" spans="1:18" ht="15.6" x14ac:dyDescent="0.25">
      <c r="A36" s="1" t="s">
        <v>38</v>
      </c>
      <c r="B36" s="119">
        <v>153</v>
      </c>
      <c r="C36" s="120">
        <v>800671</v>
      </c>
      <c r="D36" s="120" t="s">
        <v>90</v>
      </c>
      <c r="E36" s="120"/>
      <c r="F36" s="121">
        <v>0</v>
      </c>
      <c r="G36" s="121"/>
      <c r="H36" s="121">
        <v>0</v>
      </c>
      <c r="I36" s="121" t="s">
        <v>91</v>
      </c>
      <c r="J36" s="121">
        <v>0</v>
      </c>
      <c r="K36" s="121">
        <v>5</v>
      </c>
      <c r="L36" s="130">
        <v>45597</v>
      </c>
      <c r="M36" s="129">
        <v>45626.999988425901</v>
      </c>
      <c r="N36" s="121">
        <v>1</v>
      </c>
      <c r="O36" s="121">
        <v>0</v>
      </c>
      <c r="P36" s="121">
        <v>101</v>
      </c>
    </row>
    <row r="37" spans="1:18" x14ac:dyDescent="0.25">
      <c r="A37" s="1" t="s">
        <v>38</v>
      </c>
      <c r="B37" s="11">
        <v>154</v>
      </c>
      <c r="C37" s="16">
        <v>800761</v>
      </c>
      <c r="D37" s="122" t="s">
        <v>92</v>
      </c>
      <c r="E37" s="122"/>
      <c r="F37" s="122">
        <v>0</v>
      </c>
      <c r="G37" s="122"/>
      <c r="H37" s="122">
        <v>0</v>
      </c>
      <c r="I37" s="122" t="s">
        <v>93</v>
      </c>
      <c r="J37" s="16">
        <v>0</v>
      </c>
      <c r="K37" s="16">
        <v>4</v>
      </c>
      <c r="L37" s="19">
        <v>45536</v>
      </c>
      <c r="M37" s="19">
        <v>45565.999988425901</v>
      </c>
      <c r="N37" s="122">
        <v>1</v>
      </c>
      <c r="O37" s="16">
        <v>0</v>
      </c>
      <c r="P37" s="16">
        <v>106</v>
      </c>
    </row>
    <row r="38" spans="1:18" x14ac:dyDescent="0.25">
      <c r="A38" s="1" t="s">
        <v>38</v>
      </c>
      <c r="B38" s="11">
        <v>155</v>
      </c>
      <c r="C38" s="16">
        <v>800771</v>
      </c>
      <c r="D38" s="122" t="s">
        <v>94</v>
      </c>
      <c r="E38" s="122"/>
      <c r="F38" s="122">
        <v>0</v>
      </c>
      <c r="G38" s="122"/>
      <c r="H38" s="122">
        <v>0</v>
      </c>
      <c r="I38" s="122" t="s">
        <v>95</v>
      </c>
      <c r="J38" s="16">
        <v>0</v>
      </c>
      <c r="K38" s="16">
        <v>5</v>
      </c>
      <c r="L38" s="19">
        <v>45536</v>
      </c>
      <c r="M38" s="19">
        <v>45565.999988425901</v>
      </c>
      <c r="N38" s="122">
        <v>1</v>
      </c>
      <c r="O38" s="16">
        <v>0</v>
      </c>
      <c r="P38" s="16">
        <v>101</v>
      </c>
    </row>
    <row r="39" spans="1:18" x14ac:dyDescent="0.25">
      <c r="A39" s="1" t="s">
        <v>38</v>
      </c>
      <c r="B39" s="11">
        <v>156</v>
      </c>
      <c r="C39" s="13">
        <v>800781</v>
      </c>
      <c r="D39" s="123" t="s">
        <v>96</v>
      </c>
      <c r="E39" s="123"/>
      <c r="F39" s="123">
        <v>0</v>
      </c>
      <c r="G39" s="123"/>
      <c r="H39" s="123">
        <v>0</v>
      </c>
      <c r="I39" s="123" t="s">
        <v>97</v>
      </c>
      <c r="J39" s="13">
        <v>0</v>
      </c>
      <c r="K39" s="13">
        <v>4</v>
      </c>
      <c r="L39" s="126">
        <v>45566</v>
      </c>
      <c r="M39" s="126">
        <v>45596.999988425901</v>
      </c>
      <c r="N39" s="123">
        <v>1</v>
      </c>
      <c r="O39" s="13">
        <v>0</v>
      </c>
      <c r="P39" s="13">
        <v>106</v>
      </c>
    </row>
    <row r="40" spans="1:18" ht="15.6" x14ac:dyDescent="0.25">
      <c r="A40" s="1" t="s">
        <v>38</v>
      </c>
      <c r="B40" s="11">
        <v>157</v>
      </c>
      <c r="C40" s="20">
        <v>800791</v>
      </c>
      <c r="D40" s="20" t="s">
        <v>98</v>
      </c>
      <c r="E40" s="20"/>
      <c r="F40" s="123">
        <v>0</v>
      </c>
      <c r="G40" s="123"/>
      <c r="H40" s="123">
        <v>0</v>
      </c>
      <c r="I40" s="124" t="s">
        <v>99</v>
      </c>
      <c r="J40" s="13">
        <v>0</v>
      </c>
      <c r="K40" s="13">
        <v>4</v>
      </c>
      <c r="L40" s="126">
        <v>45597</v>
      </c>
      <c r="M40" s="126">
        <v>45626.999988425901</v>
      </c>
      <c r="N40" s="123">
        <v>1</v>
      </c>
      <c r="O40" s="13">
        <v>0</v>
      </c>
      <c r="P40" s="13">
        <v>106</v>
      </c>
    </row>
    <row r="41" spans="1:18" ht="15.6" x14ac:dyDescent="0.25">
      <c r="A41" s="1" t="s">
        <v>38</v>
      </c>
      <c r="B41" s="4">
        <v>158</v>
      </c>
      <c r="C41" s="20">
        <v>800801</v>
      </c>
      <c r="D41" s="20" t="s">
        <v>100</v>
      </c>
      <c r="E41" s="20"/>
      <c r="F41" s="123">
        <v>0</v>
      </c>
      <c r="G41" s="123"/>
      <c r="H41" s="123">
        <v>0</v>
      </c>
      <c r="I41" s="124" t="s">
        <v>101</v>
      </c>
      <c r="J41" s="13">
        <v>0</v>
      </c>
      <c r="K41" s="13">
        <v>4</v>
      </c>
      <c r="L41" s="126">
        <v>45627</v>
      </c>
      <c r="M41" s="126">
        <v>45657.999988425901</v>
      </c>
      <c r="N41" s="123">
        <v>1</v>
      </c>
      <c r="O41" s="13">
        <v>0</v>
      </c>
      <c r="P41" s="13">
        <v>106</v>
      </c>
    </row>
    <row r="42" spans="1:18" ht="15.6" x14ac:dyDescent="0.25">
      <c r="A42" s="1" t="s">
        <v>38</v>
      </c>
      <c r="B42" s="10">
        <v>159</v>
      </c>
      <c r="C42" s="20">
        <v>800811</v>
      </c>
      <c r="D42" s="20" t="s">
        <v>102</v>
      </c>
      <c r="E42" s="20"/>
      <c r="F42" s="123">
        <v>0</v>
      </c>
      <c r="G42" s="123"/>
      <c r="H42" s="123">
        <v>0</v>
      </c>
      <c r="I42" s="124" t="s">
        <v>103</v>
      </c>
      <c r="J42" s="13">
        <v>0</v>
      </c>
      <c r="K42" s="13">
        <v>4</v>
      </c>
      <c r="L42" s="126">
        <v>45658</v>
      </c>
      <c r="M42" s="126">
        <v>45685.999988425901</v>
      </c>
      <c r="N42" s="123">
        <v>1</v>
      </c>
      <c r="O42" s="13">
        <v>0</v>
      </c>
      <c r="P42" s="13">
        <v>106</v>
      </c>
    </row>
    <row r="43" spans="1:18" ht="15.6" x14ac:dyDescent="0.25">
      <c r="A43" s="1" t="s">
        <v>38</v>
      </c>
      <c r="B43" s="11">
        <v>160</v>
      </c>
      <c r="C43" s="20">
        <v>800821</v>
      </c>
      <c r="D43" s="20" t="s">
        <v>104</v>
      </c>
      <c r="E43" s="20"/>
      <c r="F43" s="123">
        <v>0</v>
      </c>
      <c r="G43" s="123"/>
      <c r="H43" s="123">
        <v>0</v>
      </c>
      <c r="I43" s="124" t="s">
        <v>105</v>
      </c>
      <c r="J43" s="13">
        <v>0</v>
      </c>
      <c r="K43" s="13">
        <v>4</v>
      </c>
      <c r="L43" s="126">
        <v>45686</v>
      </c>
      <c r="M43" s="126">
        <v>45716.999988425901</v>
      </c>
      <c r="N43" s="123">
        <v>1</v>
      </c>
      <c r="O43" s="13">
        <v>0</v>
      </c>
      <c r="P43" s="13">
        <v>106</v>
      </c>
    </row>
    <row r="44" spans="1:18" x14ac:dyDescent="0.25">
      <c r="A44" s="1" t="s">
        <v>38</v>
      </c>
      <c r="B44" s="11">
        <v>161</v>
      </c>
      <c r="C44" s="16">
        <v>800671</v>
      </c>
      <c r="D44" s="122" t="s">
        <v>90</v>
      </c>
      <c r="E44" s="122"/>
      <c r="F44" s="122">
        <v>0</v>
      </c>
      <c r="G44" s="122"/>
      <c r="H44" s="122">
        <v>0</v>
      </c>
      <c r="I44" s="122" t="s">
        <v>91</v>
      </c>
      <c r="J44" s="16">
        <v>0</v>
      </c>
      <c r="K44" s="16">
        <v>5</v>
      </c>
      <c r="L44" s="19">
        <v>45658</v>
      </c>
      <c r="M44" s="19">
        <v>45685.999988425901</v>
      </c>
      <c r="N44" s="122">
        <v>1</v>
      </c>
      <c r="O44" s="16">
        <v>0</v>
      </c>
      <c r="P44" s="16">
        <v>101</v>
      </c>
    </row>
    <row r="45" spans="1:18" x14ac:dyDescent="0.25">
      <c r="A45" s="1" t="s">
        <v>38</v>
      </c>
      <c r="B45" s="11">
        <v>162</v>
      </c>
      <c r="C45" s="16">
        <v>800831</v>
      </c>
      <c r="D45" s="122" t="s">
        <v>106</v>
      </c>
      <c r="E45" s="122"/>
      <c r="F45" s="122">
        <v>1</v>
      </c>
      <c r="G45" s="122"/>
      <c r="H45" s="122">
        <v>88</v>
      </c>
      <c r="I45" s="122" t="s">
        <v>107</v>
      </c>
      <c r="J45" s="16">
        <v>0</v>
      </c>
      <c r="K45" s="16">
        <v>107</v>
      </c>
      <c r="L45" s="19">
        <v>45677</v>
      </c>
      <c r="M45" s="19">
        <v>45681.999988425901</v>
      </c>
      <c r="N45" s="122">
        <v>1</v>
      </c>
      <c r="O45" s="16">
        <v>0</v>
      </c>
      <c r="P45" s="16">
        <v>1004</v>
      </c>
    </row>
    <row r="46" spans="1:18" ht="15.6" x14ac:dyDescent="0.25">
      <c r="A46" s="1" t="s">
        <v>38</v>
      </c>
      <c r="B46" s="11">
        <v>163</v>
      </c>
      <c r="C46" s="20">
        <v>800841</v>
      </c>
      <c r="D46" s="20" t="s">
        <v>108</v>
      </c>
      <c r="E46" s="20"/>
      <c r="F46" s="122">
        <v>0</v>
      </c>
      <c r="G46" s="122"/>
      <c r="H46" s="122">
        <v>0</v>
      </c>
      <c r="I46" s="122" t="s">
        <v>109</v>
      </c>
      <c r="J46" s="16">
        <v>0</v>
      </c>
      <c r="K46" s="16">
        <v>5</v>
      </c>
      <c r="L46" s="126">
        <v>45686</v>
      </c>
      <c r="M46" s="126">
        <v>45716.999988425901</v>
      </c>
      <c r="N46" s="122">
        <v>1</v>
      </c>
      <c r="O46" s="16">
        <v>0</v>
      </c>
      <c r="P46" s="16">
        <v>101</v>
      </c>
    </row>
    <row r="47" spans="1:18" s="16" customFormat="1" ht="15.6" x14ac:dyDescent="0.25">
      <c r="A47" s="1" t="s">
        <v>38</v>
      </c>
      <c r="B47" s="11">
        <v>164</v>
      </c>
      <c r="C47" s="20">
        <v>800861</v>
      </c>
      <c r="D47" s="20" t="s">
        <v>110</v>
      </c>
      <c r="E47" s="20"/>
      <c r="F47" s="123">
        <v>0</v>
      </c>
      <c r="G47" s="123"/>
      <c r="H47" s="123">
        <v>0</v>
      </c>
      <c r="I47" s="124" t="s">
        <v>111</v>
      </c>
      <c r="J47" s="13">
        <v>0</v>
      </c>
      <c r="K47" s="13">
        <v>4</v>
      </c>
      <c r="L47" s="126">
        <v>45748</v>
      </c>
      <c r="M47" s="126">
        <v>45777.999988425901</v>
      </c>
      <c r="N47" s="123">
        <v>1</v>
      </c>
      <c r="O47" s="13">
        <v>0</v>
      </c>
      <c r="P47" s="13">
        <v>106</v>
      </c>
      <c r="Q47" s="130"/>
      <c r="R47" s="129"/>
    </row>
    <row r="48" spans="1:18" s="16" customFormat="1" ht="15.6" x14ac:dyDescent="0.25">
      <c r="A48" s="1" t="s">
        <v>38</v>
      </c>
      <c r="B48" s="11">
        <v>165</v>
      </c>
      <c r="C48" s="20">
        <v>800871</v>
      </c>
      <c r="D48" s="20" t="s">
        <v>112</v>
      </c>
      <c r="E48" s="20"/>
      <c r="F48" s="122">
        <v>0</v>
      </c>
      <c r="G48" s="122"/>
      <c r="H48" s="122">
        <v>0</v>
      </c>
      <c r="I48" s="124" t="s">
        <v>113</v>
      </c>
      <c r="J48" s="13">
        <v>0</v>
      </c>
      <c r="K48" s="13">
        <v>4</v>
      </c>
      <c r="L48" s="126">
        <v>45717</v>
      </c>
      <c r="M48" s="126">
        <v>45747.999988425901</v>
      </c>
      <c r="N48" s="123">
        <v>1</v>
      </c>
      <c r="O48" s="13">
        <v>0</v>
      </c>
      <c r="P48" s="13">
        <v>106</v>
      </c>
      <c r="Q48" s="130"/>
      <c r="R48" s="129"/>
    </row>
    <row r="49" spans="1:18" s="16" customFormat="1" ht="15.6" x14ac:dyDescent="0.25">
      <c r="A49" s="1" t="s">
        <v>38</v>
      </c>
      <c r="B49" s="11">
        <v>166</v>
      </c>
      <c r="C49" s="20">
        <v>800691</v>
      </c>
      <c r="D49" s="20" t="s">
        <v>114</v>
      </c>
      <c r="E49" s="20"/>
      <c r="F49" s="122">
        <v>0</v>
      </c>
      <c r="G49" s="122"/>
      <c r="H49" s="122">
        <v>0</v>
      </c>
      <c r="I49" s="124" t="s">
        <v>115</v>
      </c>
      <c r="J49" s="13">
        <v>0</v>
      </c>
      <c r="K49" s="13">
        <v>5</v>
      </c>
      <c r="L49" s="126">
        <v>45748</v>
      </c>
      <c r="M49" s="126">
        <v>45777.999988425901</v>
      </c>
      <c r="N49" s="123">
        <v>1</v>
      </c>
      <c r="O49" s="13">
        <v>0</v>
      </c>
      <c r="P49" s="13">
        <v>101</v>
      </c>
      <c r="Q49" s="130"/>
      <c r="R49" s="129"/>
    </row>
    <row r="50" spans="1:18" s="16" customFormat="1" x14ac:dyDescent="0.25">
      <c r="A50" s="1" t="s">
        <v>38</v>
      </c>
      <c r="B50">
        <v>201</v>
      </c>
      <c r="C50" s="1">
        <v>800191</v>
      </c>
      <c r="D50" s="115" t="s">
        <v>116</v>
      </c>
      <c r="E50" s="115"/>
      <c r="F50" s="115">
        <v>0</v>
      </c>
      <c r="G50" s="115"/>
      <c r="H50" s="115">
        <v>0</v>
      </c>
      <c r="I50" s="115" t="s">
        <v>117</v>
      </c>
      <c r="J50" s="1">
        <v>0</v>
      </c>
      <c r="K50" s="1">
        <v>3</v>
      </c>
      <c r="L50" s="2">
        <v>43749</v>
      </c>
      <c r="M50" s="2">
        <v>72686</v>
      </c>
      <c r="N50" s="115">
        <v>0</v>
      </c>
      <c r="O50" s="1">
        <v>1</v>
      </c>
      <c r="P50" s="1">
        <v>2</v>
      </c>
    </row>
    <row r="51" spans="1:18" s="16" customFormat="1" x14ac:dyDescent="0.25">
      <c r="A51" s="1" t="s">
        <v>38</v>
      </c>
      <c r="B51" s="1">
        <v>202</v>
      </c>
      <c r="C51" s="1">
        <v>800201</v>
      </c>
      <c r="D51" s="115" t="s">
        <v>118</v>
      </c>
      <c r="E51" s="115"/>
      <c r="F51" s="115">
        <v>15</v>
      </c>
      <c r="G51" s="115"/>
      <c r="H51" s="115">
        <v>0</v>
      </c>
      <c r="I51" s="1" t="s">
        <v>119</v>
      </c>
      <c r="J51" s="1">
        <v>0</v>
      </c>
      <c r="K51" s="1">
        <v>4</v>
      </c>
      <c r="L51" s="2">
        <v>43749</v>
      </c>
      <c r="M51" s="2">
        <v>72686</v>
      </c>
      <c r="N51" s="1">
        <v>0</v>
      </c>
      <c r="O51" s="1">
        <v>1</v>
      </c>
      <c r="P51" s="1">
        <v>0</v>
      </c>
    </row>
    <row r="52" spans="1:18" s="13" customFormat="1" x14ac:dyDescent="0.25">
      <c r="A52" s="1" t="s">
        <v>38</v>
      </c>
      <c r="B52" s="4">
        <v>203</v>
      </c>
      <c r="C52" s="1">
        <v>800211</v>
      </c>
      <c r="D52" s="115" t="s">
        <v>120</v>
      </c>
      <c r="E52" s="115"/>
      <c r="F52" s="115">
        <v>5</v>
      </c>
      <c r="G52" s="115"/>
      <c r="H52" s="115">
        <v>2</v>
      </c>
      <c r="I52" s="115">
        <v>0</v>
      </c>
      <c r="J52" s="1">
        <v>0</v>
      </c>
      <c r="K52" s="1">
        <v>5</v>
      </c>
      <c r="L52" s="2">
        <v>43749</v>
      </c>
      <c r="M52" s="2">
        <v>72686</v>
      </c>
      <c r="N52" s="1">
        <v>3</v>
      </c>
      <c r="O52" s="1">
        <v>1</v>
      </c>
      <c r="P52" s="1">
        <v>0</v>
      </c>
    </row>
    <row r="53" spans="1:18" s="13" customFormat="1" x14ac:dyDescent="0.25">
      <c r="A53" s="1" t="s">
        <v>38</v>
      </c>
      <c r="B53" s="4">
        <v>204</v>
      </c>
      <c r="C53" s="1">
        <v>800221</v>
      </c>
      <c r="D53" s="115" t="s">
        <v>121</v>
      </c>
      <c r="E53" s="115"/>
      <c r="F53" s="115">
        <v>10</v>
      </c>
      <c r="G53" s="115"/>
      <c r="H53" s="115">
        <v>0</v>
      </c>
      <c r="I53" s="115" t="s">
        <v>40</v>
      </c>
      <c r="J53" s="1">
        <v>0</v>
      </c>
      <c r="K53" s="1">
        <v>6</v>
      </c>
      <c r="L53" s="2">
        <v>43749</v>
      </c>
      <c r="M53" s="2">
        <v>72686</v>
      </c>
      <c r="N53" s="1">
        <v>1</v>
      </c>
      <c r="O53" s="1">
        <v>1</v>
      </c>
      <c r="P53" s="1">
        <v>0</v>
      </c>
    </row>
    <row r="54" spans="1:18" s="13" customFormat="1" x14ac:dyDescent="0.25">
      <c r="A54" s="1" t="s">
        <v>38</v>
      </c>
      <c r="B54" s="4">
        <v>205</v>
      </c>
      <c r="C54" s="1">
        <v>800231</v>
      </c>
      <c r="D54" s="115" t="s">
        <v>122</v>
      </c>
      <c r="E54" s="115"/>
      <c r="F54" s="115">
        <v>11</v>
      </c>
      <c r="G54" s="115"/>
      <c r="H54" s="115">
        <v>0</v>
      </c>
      <c r="I54" s="115" t="s">
        <v>123</v>
      </c>
      <c r="J54" s="1">
        <v>0</v>
      </c>
      <c r="K54" s="1">
        <v>7</v>
      </c>
      <c r="L54" s="2">
        <v>43749</v>
      </c>
      <c r="M54" s="2">
        <v>72686</v>
      </c>
      <c r="N54" s="1">
        <v>1</v>
      </c>
      <c r="O54" s="1">
        <v>1</v>
      </c>
      <c r="P54" s="1">
        <v>0</v>
      </c>
    </row>
    <row r="55" spans="1:18" s="13" customFormat="1" x14ac:dyDescent="0.25">
      <c r="A55" s="1" t="s">
        <v>38</v>
      </c>
      <c r="B55">
        <v>206</v>
      </c>
      <c r="C55" s="1">
        <v>800241</v>
      </c>
      <c r="D55" s="1" t="s">
        <v>124</v>
      </c>
      <c r="E55" s="1"/>
      <c r="F55" s="1">
        <v>0</v>
      </c>
      <c r="G55" s="1"/>
      <c r="H55" s="1">
        <v>0</v>
      </c>
      <c r="I55" s="115" t="s">
        <v>125</v>
      </c>
      <c r="J55" s="1">
        <v>0</v>
      </c>
      <c r="K55" s="1">
        <v>8</v>
      </c>
      <c r="L55" s="2">
        <v>44166</v>
      </c>
      <c r="M55" s="2">
        <v>44228</v>
      </c>
      <c r="N55" s="1">
        <v>0</v>
      </c>
      <c r="O55" s="1">
        <v>1</v>
      </c>
      <c r="P55" s="1">
        <v>1001</v>
      </c>
    </row>
    <row r="56" spans="1:18" s="13" customFormat="1" x14ac:dyDescent="0.25">
      <c r="A56" s="1" t="s">
        <v>38</v>
      </c>
      <c r="B56" s="1">
        <v>207</v>
      </c>
      <c r="C56" s="1">
        <v>800251</v>
      </c>
      <c r="D56" s="1" t="s">
        <v>126</v>
      </c>
      <c r="E56" s="1"/>
      <c r="F56" s="1">
        <v>0</v>
      </c>
      <c r="G56" s="1"/>
      <c r="H56" s="1">
        <v>0</v>
      </c>
      <c r="I56" s="1" t="s">
        <v>127</v>
      </c>
      <c r="J56" s="1">
        <v>0</v>
      </c>
      <c r="K56" s="1">
        <v>9</v>
      </c>
      <c r="L56" s="2">
        <v>44166</v>
      </c>
      <c r="M56" s="2">
        <v>44228</v>
      </c>
      <c r="N56" s="1">
        <v>0</v>
      </c>
      <c r="O56" s="1">
        <v>1</v>
      </c>
      <c r="P56" s="1">
        <v>0</v>
      </c>
    </row>
    <row r="57" spans="1:18" s="16" customFormat="1" x14ac:dyDescent="0.25">
      <c r="A57" s="1" t="s">
        <v>38</v>
      </c>
      <c r="B57" s="4">
        <v>208</v>
      </c>
      <c r="C57" s="1">
        <v>800261</v>
      </c>
      <c r="D57" s="1" t="s">
        <v>128</v>
      </c>
      <c r="E57" s="1"/>
      <c r="F57" s="1">
        <v>18</v>
      </c>
      <c r="G57" s="1"/>
      <c r="H57" s="1">
        <v>1</v>
      </c>
      <c r="I57" s="1">
        <v>0</v>
      </c>
      <c r="J57" s="1">
        <v>0</v>
      </c>
      <c r="K57" s="1">
        <v>13</v>
      </c>
      <c r="L57" s="2">
        <v>44302</v>
      </c>
      <c r="M57" s="2">
        <v>72686</v>
      </c>
      <c r="N57" s="1">
        <v>2</v>
      </c>
      <c r="O57" s="1">
        <v>0</v>
      </c>
      <c r="P57" s="1">
        <v>0</v>
      </c>
    </row>
    <row r="58" spans="1:18" s="16" customFormat="1" x14ac:dyDescent="0.25">
      <c r="A58" s="1" t="s">
        <v>38</v>
      </c>
      <c r="B58" s="4">
        <v>209</v>
      </c>
      <c r="C58" s="1">
        <v>800271</v>
      </c>
      <c r="D58" s="1" t="s">
        <v>129</v>
      </c>
      <c r="E58" s="1"/>
      <c r="F58" s="1">
        <v>19</v>
      </c>
      <c r="G58" s="1"/>
      <c r="H58" s="1">
        <v>1</v>
      </c>
      <c r="I58" s="1">
        <v>0</v>
      </c>
      <c r="J58" s="1">
        <v>0</v>
      </c>
      <c r="K58" s="1">
        <v>14</v>
      </c>
      <c r="L58" s="2">
        <v>44302</v>
      </c>
      <c r="M58" s="2">
        <v>44727</v>
      </c>
      <c r="N58" s="1">
        <v>2</v>
      </c>
      <c r="O58" s="1">
        <v>0</v>
      </c>
      <c r="P58" s="1">
        <v>0</v>
      </c>
    </row>
    <row r="59" spans="1:18" s="16" customFormat="1" x14ac:dyDescent="0.25">
      <c r="A59" s="1" t="s">
        <v>38</v>
      </c>
      <c r="B59" s="4">
        <v>210</v>
      </c>
      <c r="C59" s="1">
        <v>800281</v>
      </c>
      <c r="D59" s="1" t="s">
        <v>130</v>
      </c>
      <c r="E59" s="1"/>
      <c r="F59" s="1">
        <v>0</v>
      </c>
      <c r="G59" s="1"/>
      <c r="H59" s="1">
        <v>0</v>
      </c>
      <c r="I59" s="1" t="s">
        <v>131</v>
      </c>
      <c r="J59" s="1">
        <v>0</v>
      </c>
      <c r="K59" s="1">
        <v>15</v>
      </c>
      <c r="L59" s="2">
        <v>44302</v>
      </c>
      <c r="M59" s="2">
        <v>72686</v>
      </c>
      <c r="N59" s="1">
        <v>2</v>
      </c>
      <c r="O59" s="1">
        <v>0</v>
      </c>
      <c r="P59" s="1">
        <v>58</v>
      </c>
    </row>
    <row r="60" spans="1:18" x14ac:dyDescent="0.25">
      <c r="A60" s="1" t="s">
        <v>38</v>
      </c>
      <c r="B60" s="4">
        <v>211</v>
      </c>
      <c r="C60" s="1">
        <v>800291</v>
      </c>
      <c r="D60" s="1" t="s">
        <v>132</v>
      </c>
      <c r="F60" s="1">
        <v>20</v>
      </c>
      <c r="H60" s="1">
        <v>11</v>
      </c>
      <c r="I60" s="1" t="s">
        <v>131</v>
      </c>
      <c r="J60" s="1">
        <v>1</v>
      </c>
      <c r="K60" s="1">
        <v>16</v>
      </c>
      <c r="L60" s="2">
        <v>44302</v>
      </c>
      <c r="M60" s="2">
        <v>72686</v>
      </c>
      <c r="N60" s="1">
        <v>1</v>
      </c>
      <c r="O60" s="1">
        <v>0</v>
      </c>
      <c r="P60" s="1">
        <v>0</v>
      </c>
    </row>
    <row r="61" spans="1:18" x14ac:dyDescent="0.25">
      <c r="A61" s="1" t="s">
        <v>38</v>
      </c>
      <c r="B61" s="4">
        <v>212</v>
      </c>
      <c r="C61" s="1">
        <v>800321</v>
      </c>
      <c r="D61" s="115" t="s">
        <v>133</v>
      </c>
      <c r="E61" s="115"/>
      <c r="F61" s="115">
        <v>5</v>
      </c>
      <c r="G61" s="115"/>
      <c r="H61" s="115">
        <v>4</v>
      </c>
      <c r="I61" s="115">
        <v>0</v>
      </c>
      <c r="J61" s="1">
        <v>0</v>
      </c>
      <c r="K61" s="1">
        <v>2</v>
      </c>
      <c r="L61" s="2">
        <v>43749</v>
      </c>
      <c r="M61" s="2">
        <v>72686</v>
      </c>
      <c r="N61" s="1">
        <v>2</v>
      </c>
      <c r="O61" s="1">
        <v>1</v>
      </c>
      <c r="P61" s="1">
        <v>0</v>
      </c>
    </row>
    <row r="62" spans="1:18" x14ac:dyDescent="0.25">
      <c r="A62" s="1" t="s">
        <v>38</v>
      </c>
      <c r="B62" s="4">
        <v>213</v>
      </c>
      <c r="C62" s="1">
        <v>800322</v>
      </c>
      <c r="D62" s="115" t="s">
        <v>134</v>
      </c>
      <c r="E62" s="115"/>
      <c r="F62" s="115">
        <v>23</v>
      </c>
      <c r="G62" s="115"/>
      <c r="H62" s="115">
        <v>0</v>
      </c>
      <c r="I62" t="s">
        <v>135</v>
      </c>
      <c r="J62" s="1">
        <v>0</v>
      </c>
      <c r="K62" s="1">
        <v>19</v>
      </c>
      <c r="L62" s="2">
        <v>44302</v>
      </c>
      <c r="M62" s="2">
        <v>72686</v>
      </c>
      <c r="N62" s="1">
        <v>0</v>
      </c>
      <c r="O62" s="1">
        <v>0</v>
      </c>
      <c r="P62" s="1">
        <v>59</v>
      </c>
    </row>
    <row r="63" spans="1:18" x14ac:dyDescent="0.25">
      <c r="A63" s="1" t="s">
        <v>38</v>
      </c>
      <c r="B63" s="4">
        <v>214</v>
      </c>
      <c r="C63" s="1">
        <v>800341</v>
      </c>
      <c r="D63" s="1" t="s">
        <v>136</v>
      </c>
      <c r="F63" s="1">
        <v>0</v>
      </c>
      <c r="H63" s="1">
        <v>0</v>
      </c>
      <c r="I63" t="s">
        <v>137</v>
      </c>
      <c r="J63" s="1">
        <v>0</v>
      </c>
      <c r="K63" s="1">
        <v>20</v>
      </c>
      <c r="L63" s="2">
        <v>44562</v>
      </c>
      <c r="M63" s="2">
        <v>72686</v>
      </c>
      <c r="N63" s="1">
        <v>2</v>
      </c>
      <c r="O63" s="1">
        <v>0</v>
      </c>
      <c r="P63" s="1">
        <v>63</v>
      </c>
    </row>
    <row r="64" spans="1:18" x14ac:dyDescent="0.25">
      <c r="A64" s="1" t="s">
        <v>38</v>
      </c>
      <c r="B64" s="4">
        <v>215</v>
      </c>
      <c r="C64" s="1">
        <v>800351</v>
      </c>
      <c r="D64" s="115" t="s">
        <v>138</v>
      </c>
      <c r="E64" s="115"/>
      <c r="F64" s="115">
        <v>5</v>
      </c>
      <c r="G64" s="115"/>
      <c r="H64" s="115">
        <v>3</v>
      </c>
      <c r="I64" s="115">
        <v>0</v>
      </c>
      <c r="J64" s="1">
        <v>0</v>
      </c>
      <c r="K64" s="1">
        <v>6</v>
      </c>
      <c r="L64" s="2">
        <v>43749</v>
      </c>
      <c r="M64" s="2">
        <v>72686</v>
      </c>
      <c r="N64" s="1">
        <v>2</v>
      </c>
      <c r="O64" s="1">
        <v>1</v>
      </c>
      <c r="P64" s="1">
        <v>0</v>
      </c>
    </row>
    <row r="65" spans="1:16" x14ac:dyDescent="0.25">
      <c r="A65" s="1" t="s">
        <v>38</v>
      </c>
      <c r="B65">
        <v>219</v>
      </c>
      <c r="C65" s="1">
        <v>800391</v>
      </c>
      <c r="D65" s="1" t="s">
        <v>139</v>
      </c>
      <c r="F65" s="1">
        <v>5</v>
      </c>
      <c r="H65" s="1">
        <v>5</v>
      </c>
      <c r="I65" s="1" t="s">
        <v>140</v>
      </c>
      <c r="J65" s="1">
        <v>0</v>
      </c>
      <c r="K65" s="1">
        <v>1</v>
      </c>
      <c r="L65" s="2">
        <v>44562</v>
      </c>
      <c r="M65" s="2">
        <v>72686</v>
      </c>
      <c r="N65" s="1">
        <v>0</v>
      </c>
      <c r="O65" s="1">
        <v>1</v>
      </c>
      <c r="P65" s="1">
        <v>0</v>
      </c>
    </row>
    <row r="66" spans="1:16" x14ac:dyDescent="0.25">
      <c r="A66" s="1" t="s">
        <v>38</v>
      </c>
      <c r="B66">
        <v>220</v>
      </c>
      <c r="C66" s="1">
        <v>800392</v>
      </c>
      <c r="D66" s="1" t="s">
        <v>141</v>
      </c>
      <c r="F66" s="1">
        <v>0</v>
      </c>
      <c r="H66" s="1">
        <v>0</v>
      </c>
      <c r="I66" s="1" t="s">
        <v>142</v>
      </c>
      <c r="J66" s="1">
        <v>0</v>
      </c>
      <c r="K66" s="1">
        <v>5</v>
      </c>
      <c r="L66" s="2">
        <v>45052</v>
      </c>
      <c r="M66" s="2">
        <v>45075.999988425901</v>
      </c>
      <c r="N66" s="1">
        <v>3</v>
      </c>
      <c r="O66" s="1">
        <v>0</v>
      </c>
      <c r="P66" s="1">
        <v>0</v>
      </c>
    </row>
    <row r="67" spans="1:16" x14ac:dyDescent="0.25">
      <c r="A67" s="1" t="s">
        <v>38</v>
      </c>
      <c r="B67">
        <v>221</v>
      </c>
      <c r="C67" s="1">
        <v>800632</v>
      </c>
      <c r="D67" s="1" t="s">
        <v>143</v>
      </c>
      <c r="F67" s="1">
        <v>0</v>
      </c>
      <c r="H67" s="1">
        <v>0</v>
      </c>
      <c r="I67" s="1" t="s">
        <v>144</v>
      </c>
      <c r="J67" s="1">
        <v>0</v>
      </c>
      <c r="K67" s="1">
        <v>4</v>
      </c>
      <c r="L67" s="2">
        <v>45078</v>
      </c>
      <c r="M67" s="2">
        <v>45107.999988425901</v>
      </c>
      <c r="N67" s="1">
        <v>2</v>
      </c>
      <c r="O67" s="1">
        <v>0</v>
      </c>
      <c r="P67" s="1">
        <v>75</v>
      </c>
    </row>
    <row r="68" spans="1:16" ht="15.6" x14ac:dyDescent="0.25">
      <c r="A68" s="1" t="s">
        <v>38</v>
      </c>
      <c r="B68">
        <v>222</v>
      </c>
      <c r="C68" s="40">
        <v>800411</v>
      </c>
      <c r="D68" s="40" t="s">
        <v>145</v>
      </c>
      <c r="E68" s="40"/>
      <c r="F68" s="1">
        <v>0</v>
      </c>
      <c r="H68" s="1">
        <v>0</v>
      </c>
      <c r="I68" s="1" t="s">
        <v>146</v>
      </c>
      <c r="J68" s="1">
        <v>0</v>
      </c>
      <c r="K68" s="1">
        <v>4</v>
      </c>
      <c r="L68" s="2">
        <v>45108</v>
      </c>
      <c r="M68" s="2">
        <v>45138.999988425901</v>
      </c>
      <c r="N68" s="1">
        <v>2</v>
      </c>
      <c r="O68" s="1">
        <v>0</v>
      </c>
      <c r="P68" s="1">
        <v>101</v>
      </c>
    </row>
    <row r="69" spans="1:16" ht="15.6" x14ac:dyDescent="0.25">
      <c r="A69" s="1" t="s">
        <v>38</v>
      </c>
      <c r="B69" s="4">
        <v>223</v>
      </c>
      <c r="C69" s="40">
        <v>800633</v>
      </c>
      <c r="D69" s="40" t="s">
        <v>78</v>
      </c>
      <c r="E69" s="40"/>
      <c r="F69" s="1">
        <v>0</v>
      </c>
      <c r="H69" s="1">
        <v>0</v>
      </c>
      <c r="I69" s="1" t="s">
        <v>147</v>
      </c>
      <c r="J69" s="1">
        <v>0</v>
      </c>
      <c r="K69" s="1">
        <v>3</v>
      </c>
      <c r="L69" s="2">
        <v>45108</v>
      </c>
      <c r="M69" s="2">
        <v>72686</v>
      </c>
      <c r="N69" s="1">
        <v>1</v>
      </c>
      <c r="O69" s="1">
        <v>0</v>
      </c>
      <c r="P69" s="1">
        <v>25</v>
      </c>
    </row>
    <row r="70" spans="1:16" x14ac:dyDescent="0.25">
      <c r="A70" s="1" t="s">
        <v>38</v>
      </c>
      <c r="B70">
        <v>224</v>
      </c>
      <c r="C70" s="1">
        <v>800571</v>
      </c>
      <c r="D70" s="1" t="s">
        <v>63</v>
      </c>
      <c r="F70" s="1">
        <v>1</v>
      </c>
      <c r="H70" s="1">
        <v>15</v>
      </c>
      <c r="I70" s="1" t="s">
        <v>64</v>
      </c>
      <c r="J70" s="1">
        <v>0</v>
      </c>
      <c r="K70" s="1">
        <v>108</v>
      </c>
      <c r="L70" s="2">
        <v>45108</v>
      </c>
      <c r="M70" s="2">
        <v>45115</v>
      </c>
      <c r="N70" s="115">
        <v>0</v>
      </c>
      <c r="O70" s="1">
        <v>0</v>
      </c>
      <c r="P70" s="1">
        <v>0</v>
      </c>
    </row>
    <row r="71" spans="1:16" x14ac:dyDescent="0.25">
      <c r="A71" s="1" t="s">
        <v>38</v>
      </c>
      <c r="B71" s="1">
        <v>225</v>
      </c>
      <c r="C71" s="1">
        <v>800591</v>
      </c>
      <c r="D71" s="1" t="s">
        <v>65</v>
      </c>
      <c r="F71" s="1">
        <v>1</v>
      </c>
      <c r="H71" s="1">
        <v>16</v>
      </c>
      <c r="I71" s="1" t="s">
        <v>66</v>
      </c>
      <c r="J71" s="1">
        <v>0</v>
      </c>
      <c r="K71" s="1">
        <v>108</v>
      </c>
      <c r="L71" s="2">
        <v>45115</v>
      </c>
      <c r="M71" s="2">
        <v>45122</v>
      </c>
      <c r="N71" s="115">
        <v>0</v>
      </c>
      <c r="O71" s="1">
        <v>0</v>
      </c>
      <c r="P71" s="1">
        <v>0</v>
      </c>
    </row>
    <row r="72" spans="1:16" x14ac:dyDescent="0.25">
      <c r="A72" s="1" t="s">
        <v>38</v>
      </c>
      <c r="B72">
        <v>226</v>
      </c>
      <c r="C72" s="1">
        <v>800571</v>
      </c>
      <c r="D72" s="1" t="s">
        <v>63</v>
      </c>
      <c r="F72" s="1">
        <v>1</v>
      </c>
      <c r="H72" s="1">
        <v>17</v>
      </c>
      <c r="I72" s="1" t="s">
        <v>64</v>
      </c>
      <c r="J72" s="1">
        <v>0</v>
      </c>
      <c r="K72" s="1">
        <v>108</v>
      </c>
      <c r="L72" s="2">
        <v>45122</v>
      </c>
      <c r="M72" s="2">
        <v>45129</v>
      </c>
      <c r="N72" s="115">
        <v>0</v>
      </c>
      <c r="O72" s="1">
        <v>0</v>
      </c>
      <c r="P72" s="1">
        <v>0</v>
      </c>
    </row>
    <row r="73" spans="1:16" x14ac:dyDescent="0.25">
      <c r="A73" s="1" t="s">
        <v>38</v>
      </c>
      <c r="B73" s="1">
        <v>227</v>
      </c>
      <c r="C73" s="1">
        <v>800591</v>
      </c>
      <c r="D73" s="1" t="s">
        <v>65</v>
      </c>
      <c r="F73" s="1">
        <v>1</v>
      </c>
      <c r="H73" s="1">
        <v>18</v>
      </c>
      <c r="I73" s="1" t="s">
        <v>66</v>
      </c>
      <c r="J73" s="1">
        <v>0</v>
      </c>
      <c r="K73" s="1">
        <v>108</v>
      </c>
      <c r="L73" s="2">
        <v>45129</v>
      </c>
      <c r="M73" s="2">
        <v>45135.999988425901</v>
      </c>
      <c r="N73" s="115">
        <v>0</v>
      </c>
      <c r="O73" s="1">
        <v>0</v>
      </c>
      <c r="P73" s="1">
        <v>0</v>
      </c>
    </row>
    <row r="74" spans="1:16" ht="15.6" x14ac:dyDescent="0.25">
      <c r="A74" s="1" t="s">
        <v>38</v>
      </c>
      <c r="B74" s="1">
        <v>228</v>
      </c>
      <c r="C74" s="40">
        <v>800635</v>
      </c>
      <c r="D74" s="40" t="s">
        <v>148</v>
      </c>
      <c r="E74" s="40"/>
      <c r="F74" s="1">
        <v>0</v>
      </c>
      <c r="H74" s="1">
        <v>0</v>
      </c>
      <c r="I74" s="1" t="s">
        <v>149</v>
      </c>
      <c r="J74" s="1">
        <v>0</v>
      </c>
      <c r="K74" s="1">
        <v>4</v>
      </c>
      <c r="L74" s="2">
        <v>45200</v>
      </c>
      <c r="M74" s="2">
        <v>45260.999988425901</v>
      </c>
      <c r="N74" s="1">
        <v>2</v>
      </c>
      <c r="O74" s="1">
        <v>0</v>
      </c>
      <c r="P74" s="1">
        <v>101</v>
      </c>
    </row>
    <row r="75" spans="1:16" ht="15.6" x14ac:dyDescent="0.25">
      <c r="A75" s="1" t="s">
        <v>38</v>
      </c>
      <c r="B75" s="1">
        <v>229</v>
      </c>
      <c r="C75" s="40">
        <v>800634</v>
      </c>
      <c r="D75" s="40" t="s">
        <v>150</v>
      </c>
      <c r="E75" s="40"/>
      <c r="F75" s="1">
        <v>0</v>
      </c>
      <c r="H75" s="1">
        <v>0</v>
      </c>
      <c r="I75" s="1" t="s">
        <v>151</v>
      </c>
      <c r="J75" s="1">
        <v>0</v>
      </c>
      <c r="K75" s="1">
        <v>4</v>
      </c>
      <c r="L75" s="2">
        <v>45200</v>
      </c>
      <c r="M75" s="2">
        <v>45260.999988425901</v>
      </c>
      <c r="N75" s="1">
        <v>2</v>
      </c>
      <c r="O75" s="1">
        <v>0</v>
      </c>
      <c r="P75" s="1">
        <v>101</v>
      </c>
    </row>
    <row r="76" spans="1:16" ht="15.6" x14ac:dyDescent="0.25">
      <c r="A76" s="1" t="s">
        <v>38</v>
      </c>
      <c r="B76" s="1">
        <v>230</v>
      </c>
      <c r="C76" s="40">
        <v>800636</v>
      </c>
      <c r="D76" s="40" t="s">
        <v>152</v>
      </c>
      <c r="E76" s="40"/>
      <c r="F76" s="1">
        <v>0</v>
      </c>
      <c r="H76" s="1">
        <v>0</v>
      </c>
      <c r="I76" s="1" t="s">
        <v>153</v>
      </c>
      <c r="J76" s="1">
        <v>0</v>
      </c>
      <c r="K76" s="1">
        <v>4</v>
      </c>
      <c r="L76" s="2">
        <v>45261</v>
      </c>
      <c r="M76" s="2">
        <v>45322.999988425901</v>
      </c>
      <c r="N76" s="1">
        <v>2</v>
      </c>
      <c r="O76" s="1">
        <v>0</v>
      </c>
      <c r="P76" s="1">
        <v>106</v>
      </c>
    </row>
    <row r="77" spans="1:16" ht="15.6" x14ac:dyDescent="0.25">
      <c r="A77" s="1" t="s">
        <v>38</v>
      </c>
      <c r="B77" s="1">
        <v>231</v>
      </c>
      <c r="C77" s="40">
        <v>800637</v>
      </c>
      <c r="D77" s="40" t="s">
        <v>154</v>
      </c>
      <c r="E77" s="40"/>
      <c r="F77" s="1">
        <v>0</v>
      </c>
      <c r="H77" s="1">
        <v>0</v>
      </c>
      <c r="I77" s="1" t="s">
        <v>115</v>
      </c>
      <c r="J77" s="1">
        <v>0</v>
      </c>
      <c r="K77" s="1">
        <v>5</v>
      </c>
      <c r="L77" s="2">
        <v>45261</v>
      </c>
      <c r="M77" s="2">
        <v>45322.999988425901</v>
      </c>
      <c r="N77" s="1">
        <v>2</v>
      </c>
      <c r="O77" s="1">
        <v>0</v>
      </c>
      <c r="P77" s="1">
        <v>101</v>
      </c>
    </row>
    <row r="78" spans="1:16" x14ac:dyDescent="0.25">
      <c r="A78" s="1" t="s">
        <v>38</v>
      </c>
      <c r="B78" s="1">
        <v>232</v>
      </c>
      <c r="C78" s="1">
        <v>800641</v>
      </c>
      <c r="D78" s="1" t="s">
        <v>155</v>
      </c>
      <c r="F78" s="1">
        <v>5</v>
      </c>
      <c r="H78" s="1">
        <v>7</v>
      </c>
      <c r="J78" s="1">
        <v>0</v>
      </c>
      <c r="K78" s="1">
        <v>10</v>
      </c>
      <c r="L78" s="2">
        <v>44562</v>
      </c>
      <c r="M78" s="2">
        <v>72686</v>
      </c>
      <c r="N78" s="1">
        <v>3</v>
      </c>
      <c r="O78" s="1">
        <v>1</v>
      </c>
      <c r="P78" s="1">
        <v>0</v>
      </c>
    </row>
    <row r="79" spans="1:16" x14ac:dyDescent="0.25">
      <c r="A79" s="1" t="s">
        <v>38</v>
      </c>
      <c r="B79" s="1">
        <v>233</v>
      </c>
      <c r="C79" s="1">
        <v>800351</v>
      </c>
      <c r="D79" s="1" t="s">
        <v>156</v>
      </c>
      <c r="F79" s="1">
        <v>5</v>
      </c>
      <c r="H79" s="1">
        <v>11</v>
      </c>
      <c r="J79" s="1">
        <v>0</v>
      </c>
      <c r="K79" s="1">
        <v>11</v>
      </c>
      <c r="L79" s="2">
        <v>45685</v>
      </c>
      <c r="M79" s="2">
        <v>45746.999988425901</v>
      </c>
      <c r="N79" s="1">
        <v>0</v>
      </c>
      <c r="O79" s="1">
        <v>1</v>
      </c>
      <c r="P79" s="1">
        <v>0</v>
      </c>
    </row>
    <row r="80" spans="1:16" s="16" customFormat="1" x14ac:dyDescent="0.25">
      <c r="A80" s="1" t="s">
        <v>38</v>
      </c>
      <c r="B80" s="16">
        <v>234</v>
      </c>
      <c r="C80" s="16">
        <v>800751</v>
      </c>
      <c r="D80" s="16" t="s">
        <v>157</v>
      </c>
      <c r="F80" s="16">
        <v>0</v>
      </c>
      <c r="H80" s="16">
        <v>0</v>
      </c>
      <c r="I80" s="11" t="s">
        <v>158</v>
      </c>
      <c r="J80" s="16">
        <v>0</v>
      </c>
      <c r="K80" s="16">
        <v>2</v>
      </c>
      <c r="L80" s="19">
        <v>43749</v>
      </c>
      <c r="M80" s="19">
        <v>72686</v>
      </c>
      <c r="N80" s="16">
        <v>1</v>
      </c>
      <c r="O80" s="16">
        <v>0</v>
      </c>
      <c r="P80" s="16">
        <v>2</v>
      </c>
    </row>
    <row r="81" spans="1:16" x14ac:dyDescent="0.25">
      <c r="A81" s="1" t="s">
        <v>38</v>
      </c>
      <c r="B81" s="1">
        <v>235</v>
      </c>
      <c r="C81" s="1">
        <v>800321</v>
      </c>
      <c r="D81" s="115" t="s">
        <v>133</v>
      </c>
      <c r="E81" s="115"/>
      <c r="F81" s="1">
        <v>5</v>
      </c>
      <c r="H81" s="1">
        <v>9</v>
      </c>
      <c r="J81" s="1">
        <v>0</v>
      </c>
      <c r="K81" s="1">
        <v>2</v>
      </c>
      <c r="L81" s="2">
        <v>45632</v>
      </c>
      <c r="M81" s="2">
        <v>45656.999988425901</v>
      </c>
      <c r="N81" s="1">
        <v>3</v>
      </c>
      <c r="O81" s="1">
        <v>1</v>
      </c>
      <c r="P81" s="1">
        <v>0</v>
      </c>
    </row>
    <row r="82" spans="1:16" x14ac:dyDescent="0.25">
      <c r="A82" s="1" t="s">
        <v>38</v>
      </c>
      <c r="B82" s="1">
        <v>236</v>
      </c>
      <c r="C82" s="1">
        <v>800851</v>
      </c>
      <c r="D82" s="1" t="s">
        <v>159</v>
      </c>
      <c r="F82" s="1">
        <v>5</v>
      </c>
      <c r="H82" s="1">
        <v>10</v>
      </c>
      <c r="J82" s="1">
        <v>0</v>
      </c>
      <c r="K82" s="1">
        <v>2</v>
      </c>
      <c r="L82" s="2">
        <v>45658</v>
      </c>
      <c r="M82" s="2">
        <v>45692.999988425901</v>
      </c>
      <c r="N82" s="1">
        <v>3</v>
      </c>
      <c r="O82" s="1">
        <v>1</v>
      </c>
      <c r="P82" s="1">
        <v>0</v>
      </c>
    </row>
    <row r="83" spans="1:16" x14ac:dyDescent="0.25">
      <c r="A83" s="1" t="s">
        <v>38</v>
      </c>
      <c r="B83" s="1">
        <v>237</v>
      </c>
      <c r="C83" s="1">
        <v>800321</v>
      </c>
      <c r="D83" s="115" t="s">
        <v>133</v>
      </c>
      <c r="E83" s="115"/>
      <c r="F83" s="1">
        <v>5</v>
      </c>
      <c r="H83" s="1">
        <v>13</v>
      </c>
      <c r="J83" s="1">
        <v>0</v>
      </c>
      <c r="K83" s="1">
        <v>2</v>
      </c>
      <c r="L83" s="2">
        <v>45724</v>
      </c>
      <c r="M83" s="2">
        <v>45738.999988425901</v>
      </c>
      <c r="N83" s="1">
        <v>3</v>
      </c>
      <c r="O83" s="1">
        <v>1</v>
      </c>
      <c r="P83" s="1">
        <v>0</v>
      </c>
    </row>
    <row r="84" spans="1:16" x14ac:dyDescent="0.25">
      <c r="B84" s="1">
        <v>1</v>
      </c>
      <c r="C84" s="116">
        <v>80001</v>
      </c>
      <c r="D84" s="117" t="s">
        <v>43</v>
      </c>
      <c r="E84" s="135" t="s">
        <v>830</v>
      </c>
      <c r="F84" s="1">
        <v>0</v>
      </c>
      <c r="H84" s="1">
        <v>0</v>
      </c>
      <c r="I84" s="131" t="s">
        <v>822</v>
      </c>
      <c r="K84" s="1">
        <v>3</v>
      </c>
      <c r="L84" s="2">
        <v>43749</v>
      </c>
      <c r="M84" s="2">
        <v>72686</v>
      </c>
      <c r="N84" s="1">
        <v>0</v>
      </c>
      <c r="O84" s="1">
        <v>0</v>
      </c>
    </row>
    <row r="85" spans="1:16" x14ac:dyDescent="0.25">
      <c r="B85" s="1">
        <v>2</v>
      </c>
      <c r="C85" s="1">
        <v>80002</v>
      </c>
      <c r="D85" s="115" t="s">
        <v>45</v>
      </c>
      <c r="E85" s="132" t="s">
        <v>830</v>
      </c>
      <c r="F85" s="1">
        <v>0</v>
      </c>
      <c r="H85" s="1">
        <v>0</v>
      </c>
      <c r="I85" s="131" t="s">
        <v>822</v>
      </c>
      <c r="K85" s="1">
        <v>2</v>
      </c>
      <c r="L85" s="2">
        <v>43749</v>
      </c>
      <c r="M85" s="2">
        <v>72686</v>
      </c>
      <c r="N85" s="1">
        <v>1</v>
      </c>
      <c r="O85" s="1">
        <v>0</v>
      </c>
    </row>
    <row r="86" spans="1:16" x14ac:dyDescent="0.25">
      <c r="B86" s="1">
        <v>3</v>
      </c>
      <c r="C86" s="1">
        <v>80003</v>
      </c>
      <c r="D86" s="115" t="s">
        <v>47</v>
      </c>
      <c r="E86" s="132" t="s">
        <v>830</v>
      </c>
      <c r="F86" s="1">
        <v>0</v>
      </c>
      <c r="H86" s="1">
        <v>0</v>
      </c>
      <c r="I86" s="131" t="s">
        <v>822</v>
      </c>
      <c r="K86" s="1">
        <v>2</v>
      </c>
      <c r="L86" s="2">
        <v>43749</v>
      </c>
      <c r="M86" s="2">
        <v>72686</v>
      </c>
      <c r="N86" s="1">
        <v>2</v>
      </c>
      <c r="O86" s="1">
        <v>1</v>
      </c>
    </row>
    <row r="87" spans="1:16" x14ac:dyDescent="0.25">
      <c r="B87" s="1">
        <v>4</v>
      </c>
      <c r="C87" s="116">
        <v>80004</v>
      </c>
      <c r="D87" s="117" t="s">
        <v>49</v>
      </c>
      <c r="E87" s="135" t="s">
        <v>830</v>
      </c>
      <c r="F87" s="1">
        <v>0</v>
      </c>
      <c r="H87" s="1">
        <v>0</v>
      </c>
      <c r="I87" s="131" t="s">
        <v>822</v>
      </c>
      <c r="K87" s="1">
        <v>1</v>
      </c>
      <c r="L87" s="2">
        <v>43749</v>
      </c>
      <c r="M87" s="2">
        <v>72686</v>
      </c>
      <c r="N87" s="1">
        <v>3</v>
      </c>
      <c r="O87" s="1">
        <v>1</v>
      </c>
    </row>
    <row r="88" spans="1:16" x14ac:dyDescent="0.25">
      <c r="B88" s="1">
        <v>5</v>
      </c>
      <c r="C88" s="1">
        <v>80005</v>
      </c>
      <c r="D88" s="115" t="s">
        <v>116</v>
      </c>
      <c r="E88" s="132" t="s">
        <v>830</v>
      </c>
      <c r="F88" s="115">
        <v>0</v>
      </c>
      <c r="G88" s="115"/>
      <c r="H88" s="115">
        <v>0</v>
      </c>
      <c r="I88" s="132" t="s">
        <v>822</v>
      </c>
      <c r="J88" s="1">
        <v>0</v>
      </c>
      <c r="K88" s="1">
        <v>3</v>
      </c>
      <c r="L88" s="2">
        <v>43749</v>
      </c>
      <c r="M88" s="2">
        <v>72686</v>
      </c>
      <c r="N88" s="115">
        <v>0</v>
      </c>
      <c r="O88" s="1">
        <v>1</v>
      </c>
      <c r="P88" s="1">
        <v>2</v>
      </c>
    </row>
    <row r="89" spans="1:16" x14ac:dyDescent="0.25">
      <c r="B89" s="1">
        <v>6</v>
      </c>
      <c r="C89" s="116">
        <v>80006</v>
      </c>
      <c r="D89" s="116" t="s">
        <v>63</v>
      </c>
      <c r="E89" s="133" t="s">
        <v>831</v>
      </c>
      <c r="F89" s="116">
        <v>1</v>
      </c>
      <c r="G89" s="116">
        <v>1</v>
      </c>
      <c r="H89" s="116">
        <v>1</v>
      </c>
      <c r="I89" s="133" t="s">
        <v>824</v>
      </c>
      <c r="J89" s="116">
        <v>0</v>
      </c>
      <c r="K89" s="116">
        <v>108</v>
      </c>
      <c r="L89" s="2">
        <v>43749</v>
      </c>
      <c r="M89" s="2">
        <v>72686</v>
      </c>
      <c r="N89" s="117">
        <v>0</v>
      </c>
      <c r="O89" s="116">
        <v>0</v>
      </c>
      <c r="P89" s="116">
        <v>0</v>
      </c>
    </row>
    <row r="90" spans="1:16" x14ac:dyDescent="0.25">
      <c r="B90" s="1">
        <v>7</v>
      </c>
      <c r="C90" s="1">
        <v>80007</v>
      </c>
      <c r="D90" s="1" t="s">
        <v>155</v>
      </c>
      <c r="E90" s="131" t="s">
        <v>831</v>
      </c>
      <c r="F90" s="1">
        <v>5</v>
      </c>
      <c r="H90" s="1">
        <v>7</v>
      </c>
      <c r="I90" s="131" t="s">
        <v>823</v>
      </c>
      <c r="J90" s="1">
        <v>0</v>
      </c>
      <c r="K90" s="1">
        <v>10</v>
      </c>
      <c r="L90" s="2">
        <v>43749</v>
      </c>
      <c r="M90" s="2">
        <v>72686</v>
      </c>
      <c r="N90" s="1">
        <v>3</v>
      </c>
      <c r="O90" s="1">
        <v>1</v>
      </c>
      <c r="P90" s="1">
        <v>0</v>
      </c>
    </row>
  </sheetData>
  <phoneticPr fontId="20" type="noConversion"/>
  <conditionalFormatting sqref="C42">
    <cfRule type="duplicateValues" dxfId="3" priority="4"/>
  </conditionalFormatting>
  <conditionalFormatting sqref="C43">
    <cfRule type="duplicateValues" dxfId="2" priority="3"/>
  </conditionalFormatting>
  <conditionalFormatting sqref="C46">
    <cfRule type="duplicateValues" dxfId="1" priority="2"/>
  </conditionalFormatting>
  <conditionalFormatting sqref="C47:C49">
    <cfRule type="duplicateValues" dxfId="0" priority="1"/>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election activeCell="E17" sqref="E17"/>
    </sheetView>
  </sheetViews>
  <sheetFormatPr defaultColWidth="9" defaultRowHeight="13.8" x14ac:dyDescent="0.25"/>
  <cols>
    <col min="1" max="1" width="11.6640625" customWidth="1"/>
    <col min="2" max="2" width="12.88671875" customWidth="1"/>
    <col min="3" max="3" width="17.109375" customWidth="1"/>
    <col min="4" max="4" width="15.6640625" customWidth="1"/>
    <col min="5" max="5" width="27.44140625" customWidth="1"/>
    <col min="6" max="6" width="8.88671875" customWidth="1"/>
    <col min="7" max="7" width="14" customWidth="1"/>
  </cols>
  <sheetData>
    <row r="1" spans="1:7" x14ac:dyDescent="0.25">
      <c r="A1" t="s">
        <v>0</v>
      </c>
      <c r="B1" t="s">
        <v>160</v>
      </c>
      <c r="C1" s="1" t="s">
        <v>161</v>
      </c>
      <c r="D1" s="1" t="s">
        <v>162</v>
      </c>
      <c r="E1" s="1" t="s">
        <v>163</v>
      </c>
      <c r="F1" s="1" t="s">
        <v>164</v>
      </c>
      <c r="G1" s="4" t="s">
        <v>165</v>
      </c>
    </row>
    <row r="2" spans="1:7" x14ac:dyDescent="0.25">
      <c r="A2" t="s">
        <v>15</v>
      </c>
      <c r="B2" s="5" t="s">
        <v>166</v>
      </c>
      <c r="C2" s="5" t="s">
        <v>167</v>
      </c>
      <c r="D2" s="5" t="s">
        <v>168</v>
      </c>
      <c r="E2" s="5" t="s">
        <v>169</v>
      </c>
      <c r="F2" s="5" t="s">
        <v>170</v>
      </c>
      <c r="G2" s="4"/>
    </row>
    <row r="3" spans="1:7" ht="15.6" x14ac:dyDescent="0.3">
      <c r="A3" t="s">
        <v>29</v>
      </c>
      <c r="B3" s="5" t="s">
        <v>30</v>
      </c>
      <c r="C3" s="6" t="s">
        <v>171</v>
      </c>
      <c r="D3" s="6" t="s">
        <v>171</v>
      </c>
      <c r="E3" s="6" t="s">
        <v>171</v>
      </c>
      <c r="F3" s="6" t="s">
        <v>30</v>
      </c>
      <c r="G3" s="4"/>
    </row>
    <row r="4" spans="1:7" x14ac:dyDescent="0.25">
      <c r="A4" t="s">
        <v>33</v>
      </c>
      <c r="B4" s="5" t="s">
        <v>34</v>
      </c>
      <c r="C4" s="5" t="s">
        <v>34</v>
      </c>
      <c r="D4" s="5" t="s">
        <v>34</v>
      </c>
      <c r="E4" s="5" t="s">
        <v>34</v>
      </c>
      <c r="F4" s="5" t="s">
        <v>36</v>
      </c>
      <c r="G4" s="4"/>
    </row>
    <row r="5" spans="1:7" ht="15.6" x14ac:dyDescent="0.3">
      <c r="A5" t="s">
        <v>38</v>
      </c>
      <c r="B5" s="5"/>
      <c r="C5" s="6">
        <v>0</v>
      </c>
      <c r="D5" s="6">
        <v>0</v>
      </c>
      <c r="E5" s="6">
        <v>0</v>
      </c>
      <c r="F5" s="113">
        <v>0</v>
      </c>
      <c r="G5" s="4"/>
    </row>
    <row r="6" spans="1:7" x14ac:dyDescent="0.25">
      <c r="A6" s="1" t="s">
        <v>172</v>
      </c>
      <c r="B6" s="114">
        <v>1</v>
      </c>
      <c r="C6" s="9" t="s">
        <v>173</v>
      </c>
      <c r="D6" s="9" t="s">
        <v>174</v>
      </c>
      <c r="E6" s="9" t="s">
        <v>175</v>
      </c>
      <c r="F6" s="114">
        <v>0</v>
      </c>
      <c r="G6" s="4" t="s">
        <v>176</v>
      </c>
    </row>
    <row r="7" spans="1:7" x14ac:dyDescent="0.25">
      <c r="B7" s="114">
        <v>2</v>
      </c>
      <c r="C7" s="9" t="s">
        <v>173</v>
      </c>
      <c r="D7" s="9" t="s">
        <v>174</v>
      </c>
      <c r="E7" s="9" t="s">
        <v>175</v>
      </c>
      <c r="F7" s="114">
        <v>0</v>
      </c>
      <c r="G7" s="4" t="s">
        <v>177</v>
      </c>
    </row>
    <row r="8" spans="1:7" x14ac:dyDescent="0.25">
      <c r="B8" s="114">
        <v>3</v>
      </c>
      <c r="C8" s="9" t="s">
        <v>178</v>
      </c>
      <c r="D8" s="9" t="s">
        <v>179</v>
      </c>
      <c r="E8" s="9" t="s">
        <v>180</v>
      </c>
      <c r="F8" s="114">
        <v>1</v>
      </c>
      <c r="G8" s="4" t="s">
        <v>181</v>
      </c>
    </row>
    <row r="9" spans="1:7" x14ac:dyDescent="0.25">
      <c r="B9" s="114">
        <v>4</v>
      </c>
      <c r="C9" s="9" t="s">
        <v>173</v>
      </c>
      <c r="D9" s="9" t="s">
        <v>174</v>
      </c>
      <c r="E9" s="9" t="s">
        <v>175</v>
      </c>
      <c r="F9" s="114">
        <v>0</v>
      </c>
      <c r="G9" s="4" t="s">
        <v>182</v>
      </c>
    </row>
    <row r="10" spans="1:7" x14ac:dyDescent="0.25">
      <c r="B10" s="114">
        <v>5</v>
      </c>
      <c r="C10" s="9" t="s">
        <v>173</v>
      </c>
      <c r="D10" s="9" t="s">
        <v>174</v>
      </c>
      <c r="E10" s="9" t="s">
        <v>175</v>
      </c>
      <c r="F10" s="114">
        <v>0</v>
      </c>
      <c r="G10" s="4" t="s">
        <v>183</v>
      </c>
    </row>
    <row r="11" spans="1:7" x14ac:dyDescent="0.25">
      <c r="B11" s="114">
        <v>6</v>
      </c>
      <c r="C11" s="9" t="s">
        <v>173</v>
      </c>
      <c r="D11" s="9" t="s">
        <v>174</v>
      </c>
      <c r="E11" s="9" t="s">
        <v>175</v>
      </c>
      <c r="F11" s="114">
        <v>0</v>
      </c>
      <c r="G11" s="4" t="s">
        <v>184</v>
      </c>
    </row>
    <row r="12" spans="1:7" x14ac:dyDescent="0.25">
      <c r="B12" s="114">
        <v>7</v>
      </c>
      <c r="C12" s="9" t="s">
        <v>178</v>
      </c>
      <c r="D12" s="9" t="s">
        <v>179</v>
      </c>
      <c r="E12" s="9" t="s">
        <v>180</v>
      </c>
      <c r="F12" s="114">
        <v>1</v>
      </c>
      <c r="G12" s="4" t="s">
        <v>185</v>
      </c>
    </row>
  </sheetData>
  <phoneticPr fontId="20"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selection activeCell="E4" sqref="E4"/>
    </sheetView>
  </sheetViews>
  <sheetFormatPr defaultColWidth="11" defaultRowHeight="13.8" x14ac:dyDescent="0.25"/>
  <cols>
    <col min="1" max="1" width="15.44140625" style="2" customWidth="1"/>
    <col min="2" max="2" width="11" style="1" customWidth="1"/>
    <col min="3" max="16384" width="11" style="1"/>
  </cols>
  <sheetData>
    <row r="1" spans="1:5" x14ac:dyDescent="0.25">
      <c r="A1" t="s">
        <v>0</v>
      </c>
      <c r="B1" s="1" t="s">
        <v>186</v>
      </c>
      <c r="C1" s="1" t="s">
        <v>187</v>
      </c>
      <c r="D1" s="1" t="s">
        <v>188</v>
      </c>
      <c r="E1" s="1" t="s">
        <v>189</v>
      </c>
    </row>
    <row r="2" spans="1:5" ht="15.6" x14ac:dyDescent="0.3">
      <c r="A2" t="s">
        <v>15</v>
      </c>
      <c r="B2" s="5" t="s">
        <v>190</v>
      </c>
      <c r="C2" s="4" t="s">
        <v>191</v>
      </c>
      <c r="D2" s="6" t="s">
        <v>192</v>
      </c>
      <c r="E2" s="6" t="s">
        <v>193</v>
      </c>
    </row>
    <row r="3" spans="1:5" ht="15.6" x14ac:dyDescent="0.3">
      <c r="A3" t="s">
        <v>29</v>
      </c>
      <c r="B3" s="5" t="s">
        <v>30</v>
      </c>
      <c r="C3" s="4" t="s">
        <v>31</v>
      </c>
      <c r="D3" s="6" t="s">
        <v>30</v>
      </c>
      <c r="E3" s="6" t="s">
        <v>30</v>
      </c>
    </row>
    <row r="4" spans="1:5" x14ac:dyDescent="0.25">
      <c r="A4" t="s">
        <v>33</v>
      </c>
      <c r="B4" s="5" t="s">
        <v>34</v>
      </c>
      <c r="C4" s="4"/>
      <c r="D4" s="5" t="s">
        <v>34</v>
      </c>
      <c r="E4" s="5" t="s">
        <v>34</v>
      </c>
    </row>
    <row r="5" spans="1:5" ht="15.6" x14ac:dyDescent="0.3">
      <c r="A5" t="s">
        <v>38</v>
      </c>
      <c r="B5" s="5"/>
      <c r="C5" s="4"/>
      <c r="D5" s="6">
        <v>0</v>
      </c>
      <c r="E5" s="6">
        <v>0</v>
      </c>
    </row>
    <row r="6" spans="1:5" x14ac:dyDescent="0.25">
      <c r="A6" s="1" t="s">
        <v>194</v>
      </c>
      <c r="B6" s="1">
        <v>1</v>
      </c>
      <c r="C6" s="1" t="s">
        <v>195</v>
      </c>
      <c r="D6" s="1">
        <v>7101</v>
      </c>
      <c r="E6" s="1">
        <v>7105</v>
      </c>
    </row>
    <row r="7" spans="1:5" x14ac:dyDescent="0.25">
      <c r="B7" s="1">
        <v>2</v>
      </c>
      <c r="C7" s="1" t="s">
        <v>196</v>
      </c>
      <c r="D7" s="1">
        <v>7102</v>
      </c>
      <c r="E7" s="1">
        <v>7106</v>
      </c>
    </row>
    <row r="8" spans="1:5" ht="15.6" x14ac:dyDescent="0.3">
      <c r="B8" s="1">
        <v>3</v>
      </c>
      <c r="C8" s="8" t="s">
        <v>197</v>
      </c>
      <c r="D8" s="1">
        <v>7103</v>
      </c>
      <c r="E8" s="1">
        <v>7107</v>
      </c>
    </row>
    <row r="9" spans="1:5" x14ac:dyDescent="0.25">
      <c r="B9" s="1">
        <v>4</v>
      </c>
      <c r="C9" s="1" t="s">
        <v>198</v>
      </c>
      <c r="D9" s="1">
        <v>7104</v>
      </c>
      <c r="E9" s="1">
        <v>7108</v>
      </c>
    </row>
    <row r="11" spans="1:5" x14ac:dyDescent="0.25">
      <c r="A11" s="1"/>
    </row>
    <row r="12" spans="1:5" x14ac:dyDescent="0.25">
      <c r="A12" s="1"/>
    </row>
    <row r="13" spans="1:5" x14ac:dyDescent="0.25">
      <c r="A13" s="1"/>
    </row>
    <row r="14" spans="1:5" x14ac:dyDescent="0.25">
      <c r="A14" s="1"/>
    </row>
    <row r="15" spans="1:5" x14ac:dyDescent="0.25">
      <c r="A15" s="1"/>
    </row>
    <row r="16" spans="1:5"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selection activeCell="D4" sqref="D4"/>
    </sheetView>
  </sheetViews>
  <sheetFormatPr defaultColWidth="11" defaultRowHeight="13.8" x14ac:dyDescent="0.25"/>
  <cols>
    <col min="1" max="1" width="11" style="1" customWidth="1"/>
    <col min="2" max="3" width="15.44140625" style="2" customWidth="1"/>
    <col min="4" max="4" width="11" style="1" customWidth="1"/>
    <col min="5" max="16384" width="11" style="1"/>
  </cols>
  <sheetData>
    <row r="1" spans="1:4" x14ac:dyDescent="0.25">
      <c r="A1" t="s">
        <v>0</v>
      </c>
      <c r="B1" s="1" t="s">
        <v>199</v>
      </c>
      <c r="C1" t="s">
        <v>200</v>
      </c>
      <c r="D1" s="1" t="s">
        <v>201</v>
      </c>
    </row>
    <row r="2" spans="1:4" x14ac:dyDescent="0.25">
      <c r="A2" t="s">
        <v>15</v>
      </c>
      <c r="B2" s="5" t="s">
        <v>16</v>
      </c>
      <c r="C2" s="5" t="s">
        <v>202</v>
      </c>
      <c r="D2" s="5" t="s">
        <v>203</v>
      </c>
    </row>
    <row r="3" spans="1:4" x14ac:dyDescent="0.25">
      <c r="A3" t="s">
        <v>29</v>
      </c>
      <c r="B3" s="5" t="s">
        <v>30</v>
      </c>
      <c r="C3" s="5" t="s">
        <v>30</v>
      </c>
      <c r="D3" s="5" t="s">
        <v>30</v>
      </c>
    </row>
    <row r="4" spans="1:4" x14ac:dyDescent="0.25">
      <c r="A4" t="s">
        <v>33</v>
      </c>
      <c r="B4" s="5" t="s">
        <v>34</v>
      </c>
      <c r="C4" s="5" t="s">
        <v>34</v>
      </c>
      <c r="D4" s="5" t="s">
        <v>34</v>
      </c>
    </row>
    <row r="5" spans="1:4" x14ac:dyDescent="0.25">
      <c r="A5" t="s">
        <v>38</v>
      </c>
      <c r="B5" s="5"/>
      <c r="C5" s="5"/>
      <c r="D5" s="5">
        <v>0</v>
      </c>
    </row>
    <row r="6" spans="1:4" x14ac:dyDescent="0.25">
      <c r="A6" t="s">
        <v>204</v>
      </c>
      <c r="B6" s="1">
        <v>1</v>
      </c>
      <c r="C6" s="1">
        <v>3</v>
      </c>
      <c r="D6" s="1">
        <v>75</v>
      </c>
    </row>
    <row r="7" spans="1:4" x14ac:dyDescent="0.25">
      <c r="B7" s="1"/>
      <c r="C7" s="1"/>
    </row>
    <row r="10" spans="1:4" x14ac:dyDescent="0.25">
      <c r="A10" s="2"/>
      <c r="B10" s="1"/>
      <c r="C10" s="1"/>
    </row>
    <row r="11" spans="1:4" x14ac:dyDescent="0.25">
      <c r="B11" s="1"/>
      <c r="C11" s="1"/>
    </row>
    <row r="12" spans="1:4" x14ac:dyDescent="0.25">
      <c r="B12" s="1"/>
      <c r="C12" s="1"/>
    </row>
    <row r="13" spans="1:4" x14ac:dyDescent="0.25">
      <c r="B13" s="1"/>
      <c r="C13" s="1"/>
    </row>
    <row r="14" spans="1:4" x14ac:dyDescent="0.25">
      <c r="B14" s="1"/>
      <c r="C14" s="1"/>
    </row>
    <row r="15" spans="1:4" x14ac:dyDescent="0.25">
      <c r="B15" s="1"/>
      <c r="C15" s="1"/>
    </row>
    <row r="16" spans="1:4" x14ac:dyDescent="0.25">
      <c r="B16" s="1"/>
      <c r="C16" s="1"/>
    </row>
    <row r="17" spans="1:3" x14ac:dyDescent="0.25">
      <c r="B17" s="1"/>
      <c r="C17" s="1"/>
    </row>
    <row r="18" spans="1:3" x14ac:dyDescent="0.25">
      <c r="B18" s="1"/>
      <c r="C18" s="1"/>
    </row>
    <row r="19" spans="1:3" x14ac:dyDescent="0.25">
      <c r="A19" s="2"/>
      <c r="B19" s="1"/>
      <c r="C19" s="1"/>
    </row>
    <row r="20" spans="1:3" x14ac:dyDescent="0.25">
      <c r="A20" s="2"/>
      <c r="B20" s="1"/>
      <c r="C20" s="1"/>
    </row>
  </sheetData>
  <phoneticPr fontId="20" type="noConversion"/>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7"/>
  <sheetViews>
    <sheetView workbookViewId="0">
      <selection activeCell="D12" sqref="D12"/>
    </sheetView>
  </sheetViews>
  <sheetFormatPr defaultColWidth="11" defaultRowHeight="13.8" x14ac:dyDescent="0.25"/>
  <cols>
    <col min="1" max="2" width="11" style="1"/>
    <col min="3" max="3" width="19.44140625" style="1" customWidth="1"/>
    <col min="4" max="4" width="18.33203125" style="1" customWidth="1"/>
    <col min="5" max="6" width="11" style="1"/>
    <col min="7" max="7" width="14.77734375" style="1" customWidth="1"/>
    <col min="8" max="16384" width="11" style="1"/>
  </cols>
  <sheetData>
    <row r="1" spans="1:12" x14ac:dyDescent="0.25">
      <c r="A1" t="s">
        <v>0</v>
      </c>
      <c r="B1" s="107" t="s">
        <v>205</v>
      </c>
      <c r="C1" s="107" t="s">
        <v>206</v>
      </c>
      <c r="D1" s="107" t="s">
        <v>207</v>
      </c>
      <c r="E1" s="107" t="s">
        <v>208</v>
      </c>
      <c r="F1" s="2" t="s">
        <v>209</v>
      </c>
      <c r="G1" s="2" t="s">
        <v>210</v>
      </c>
      <c r="H1" s="2" t="s">
        <v>211</v>
      </c>
      <c r="I1" s="2" t="s">
        <v>212</v>
      </c>
      <c r="J1" s="1" t="s">
        <v>213</v>
      </c>
      <c r="K1" s="2" t="s">
        <v>214</v>
      </c>
      <c r="L1" s="1" t="s">
        <v>213</v>
      </c>
    </row>
    <row r="2" spans="1:12" ht="15.6" x14ac:dyDescent="0.3">
      <c r="A2" t="s">
        <v>15</v>
      </c>
      <c r="B2" s="108" t="s">
        <v>16</v>
      </c>
      <c r="C2" s="108" t="s">
        <v>215</v>
      </c>
      <c r="D2" s="108" t="s">
        <v>167</v>
      </c>
      <c r="E2" s="108" t="s">
        <v>203</v>
      </c>
      <c r="F2" s="108" t="s">
        <v>216</v>
      </c>
      <c r="G2" s="108" t="s">
        <v>217</v>
      </c>
      <c r="H2" s="108" t="s">
        <v>218</v>
      </c>
      <c r="I2" s="108" t="s">
        <v>219</v>
      </c>
      <c r="J2" s="4"/>
      <c r="K2" s="108" t="s">
        <v>220</v>
      </c>
      <c r="L2" s="4"/>
    </row>
    <row r="3" spans="1:12" ht="15.6" x14ac:dyDescent="0.3">
      <c r="A3" t="s">
        <v>29</v>
      </c>
      <c r="B3" s="108" t="s">
        <v>30</v>
      </c>
      <c r="C3" s="108" t="s">
        <v>221</v>
      </c>
      <c r="D3" s="108" t="s">
        <v>171</v>
      </c>
      <c r="E3" s="108" t="s">
        <v>30</v>
      </c>
      <c r="F3" s="108" t="s">
        <v>30</v>
      </c>
      <c r="G3" s="108" t="s">
        <v>31</v>
      </c>
      <c r="H3" s="108" t="s">
        <v>31</v>
      </c>
      <c r="I3" s="108" t="s">
        <v>30</v>
      </c>
      <c r="J3" s="4"/>
      <c r="K3" s="108" t="s">
        <v>30</v>
      </c>
      <c r="L3" s="4"/>
    </row>
    <row r="4" spans="1:12" x14ac:dyDescent="0.25">
      <c r="A4" t="s">
        <v>33</v>
      </c>
      <c r="B4" s="109" t="s">
        <v>34</v>
      </c>
      <c r="C4" s="109" t="s">
        <v>34</v>
      </c>
      <c r="D4" s="109"/>
      <c r="E4" s="109" t="s">
        <v>34</v>
      </c>
      <c r="F4" s="109" t="s">
        <v>34</v>
      </c>
      <c r="G4" s="109" t="s">
        <v>34</v>
      </c>
      <c r="H4" s="109" t="s">
        <v>34</v>
      </c>
      <c r="I4" s="109" t="s">
        <v>34</v>
      </c>
      <c r="J4" s="4"/>
      <c r="K4" s="109" t="s">
        <v>34</v>
      </c>
      <c r="L4" s="4"/>
    </row>
    <row r="5" spans="1:12" ht="15.6" x14ac:dyDescent="0.3">
      <c r="A5" t="s">
        <v>38</v>
      </c>
      <c r="B5" s="108">
        <v>0</v>
      </c>
      <c r="C5" s="108" t="s">
        <v>222</v>
      </c>
      <c r="D5" s="108"/>
      <c r="E5" s="108">
        <v>0</v>
      </c>
      <c r="F5" s="108">
        <v>0</v>
      </c>
      <c r="G5" s="108">
        <v>0</v>
      </c>
      <c r="H5" s="108">
        <v>0</v>
      </c>
      <c r="I5" s="108">
        <v>0</v>
      </c>
      <c r="J5" s="4"/>
      <c r="K5" s="108">
        <v>0</v>
      </c>
      <c r="L5" s="4"/>
    </row>
    <row r="6" spans="1:12" ht="14.4" x14ac:dyDescent="0.3">
      <c r="A6" s="1" t="s">
        <v>223</v>
      </c>
      <c r="B6" s="107">
        <v>1</v>
      </c>
      <c r="C6" s="107" t="s">
        <v>224</v>
      </c>
      <c r="D6" s="107" t="s">
        <v>225</v>
      </c>
      <c r="E6" s="107">
        <v>101</v>
      </c>
      <c r="F6" s="107">
        <v>1</v>
      </c>
      <c r="G6" s="110" t="s">
        <v>226</v>
      </c>
      <c r="H6" s="111" t="s">
        <v>227</v>
      </c>
      <c r="I6" s="112">
        <v>6004</v>
      </c>
      <c r="J6" s="1" t="s">
        <v>228</v>
      </c>
      <c r="K6" s="107">
        <v>6005</v>
      </c>
      <c r="L6" s="107" t="s">
        <v>229</v>
      </c>
    </row>
    <row r="9" spans="1:12" customFormat="1" x14ac:dyDescent="0.25"/>
    <row r="10" spans="1:12" customFormat="1" x14ac:dyDescent="0.25"/>
    <row r="11" spans="1:12" customFormat="1" x14ac:dyDescent="0.25"/>
    <row r="12" spans="1:12" customFormat="1" x14ac:dyDescent="0.25"/>
    <row r="13" spans="1:12" customFormat="1" x14ac:dyDescent="0.25"/>
    <row r="14" spans="1:12" customFormat="1" x14ac:dyDescent="0.25"/>
    <row r="15" spans="1:12" customFormat="1" x14ac:dyDescent="0.25"/>
    <row r="16" spans="1:12" customFormat="1" x14ac:dyDescent="0.25"/>
    <row r="17" customFormat="1" x14ac:dyDescent="0.25"/>
  </sheetData>
  <phoneticPr fontId="20"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
  <sheetViews>
    <sheetView workbookViewId="0">
      <selection activeCell="G12" sqref="G12"/>
    </sheetView>
  </sheetViews>
  <sheetFormatPr defaultColWidth="11" defaultRowHeight="13.8" x14ac:dyDescent="0.25"/>
  <sheetData>
    <row r="1" spans="1:21" x14ac:dyDescent="0.25">
      <c r="A1" t="s">
        <v>0</v>
      </c>
      <c r="B1" t="s">
        <v>230</v>
      </c>
      <c r="C1" t="s">
        <v>231</v>
      </c>
      <c r="D1" t="s">
        <v>232</v>
      </c>
      <c r="E1" t="s">
        <v>233</v>
      </c>
      <c r="F1" t="s">
        <v>234</v>
      </c>
      <c r="G1" t="s">
        <v>201</v>
      </c>
      <c r="H1" t="s">
        <v>235</v>
      </c>
      <c r="I1" t="s">
        <v>236</v>
      </c>
      <c r="J1" t="s">
        <v>237</v>
      </c>
    </row>
    <row r="2" spans="1:21" x14ac:dyDescent="0.25">
      <c r="A2" t="s">
        <v>15</v>
      </c>
      <c r="B2" s="5" t="s">
        <v>16</v>
      </c>
      <c r="C2" s="5" t="s">
        <v>238</v>
      </c>
      <c r="D2" s="4" t="s">
        <v>239</v>
      </c>
      <c r="E2" s="5" t="s">
        <v>240</v>
      </c>
      <c r="F2" s="5" t="s">
        <v>241</v>
      </c>
      <c r="G2" s="5" t="s">
        <v>203</v>
      </c>
      <c r="H2" s="5" t="s">
        <v>242</v>
      </c>
      <c r="I2" s="5" t="s">
        <v>243</v>
      </c>
      <c r="J2" s="5" t="s">
        <v>244</v>
      </c>
    </row>
    <row r="3" spans="1:21" x14ac:dyDescent="0.25">
      <c r="A3" t="s">
        <v>29</v>
      </c>
      <c r="B3" s="5" t="s">
        <v>30</v>
      </c>
      <c r="C3" s="5" t="s">
        <v>30</v>
      </c>
      <c r="D3" s="4" t="s">
        <v>31</v>
      </c>
      <c r="E3" s="5" t="s">
        <v>30</v>
      </c>
      <c r="F3" s="5" t="s">
        <v>31</v>
      </c>
      <c r="G3" s="5" t="s">
        <v>30</v>
      </c>
      <c r="H3" s="5" t="s">
        <v>31</v>
      </c>
      <c r="I3" s="5" t="s">
        <v>31</v>
      </c>
      <c r="J3" s="5" t="s">
        <v>30</v>
      </c>
    </row>
    <row r="4" spans="1:21" x14ac:dyDescent="0.25">
      <c r="A4" t="s">
        <v>33</v>
      </c>
      <c r="B4" s="5" t="s">
        <v>34</v>
      </c>
      <c r="C4" s="5" t="s">
        <v>34</v>
      </c>
      <c r="D4" s="4" t="s">
        <v>35</v>
      </c>
      <c r="E4" s="5" t="s">
        <v>34</v>
      </c>
      <c r="F4" s="5" t="s">
        <v>34</v>
      </c>
      <c r="G4" s="5" t="s">
        <v>34</v>
      </c>
      <c r="H4" s="5" t="s">
        <v>34</v>
      </c>
      <c r="I4" s="5" t="s">
        <v>34</v>
      </c>
      <c r="J4" s="5" t="s">
        <v>34</v>
      </c>
    </row>
    <row r="5" spans="1:21" x14ac:dyDescent="0.25">
      <c r="A5" t="s">
        <v>38</v>
      </c>
      <c r="B5" s="5"/>
      <c r="C5" s="5">
        <v>0</v>
      </c>
      <c r="D5" s="4"/>
      <c r="E5" s="5">
        <v>0</v>
      </c>
      <c r="F5" s="5">
        <v>0</v>
      </c>
      <c r="G5" s="5">
        <v>0</v>
      </c>
      <c r="H5" s="5">
        <v>0</v>
      </c>
      <c r="I5" s="5">
        <v>0</v>
      </c>
      <c r="J5" s="5">
        <v>0</v>
      </c>
    </row>
    <row r="6" spans="1:21" x14ac:dyDescent="0.25">
      <c r="A6" t="s">
        <v>245</v>
      </c>
      <c r="B6">
        <v>1</v>
      </c>
      <c r="C6">
        <v>990031</v>
      </c>
      <c r="D6" t="s">
        <v>246</v>
      </c>
      <c r="E6">
        <v>0</v>
      </c>
      <c r="F6">
        <v>0</v>
      </c>
      <c r="G6">
        <v>0</v>
      </c>
      <c r="H6">
        <v>1</v>
      </c>
      <c r="I6">
        <v>0</v>
      </c>
      <c r="J6">
        <v>8427</v>
      </c>
      <c r="L6">
        <v>8427</v>
      </c>
    </row>
    <row r="7" spans="1:21" x14ac:dyDescent="0.25">
      <c r="B7">
        <v>2</v>
      </c>
      <c r="C7">
        <v>990001</v>
      </c>
      <c r="D7" t="s">
        <v>247</v>
      </c>
      <c r="E7">
        <v>180</v>
      </c>
      <c r="F7">
        <v>6.7</v>
      </c>
      <c r="G7">
        <v>0</v>
      </c>
      <c r="H7">
        <v>3</v>
      </c>
      <c r="I7">
        <v>120</v>
      </c>
      <c r="J7" s="10">
        <v>8434</v>
      </c>
      <c r="L7">
        <v>79</v>
      </c>
      <c r="N7">
        <v>990001</v>
      </c>
      <c r="O7" t="s">
        <v>248</v>
      </c>
      <c r="P7">
        <v>150</v>
      </c>
      <c r="Q7">
        <v>2</v>
      </c>
      <c r="R7">
        <v>0</v>
      </c>
      <c r="S7">
        <v>3</v>
      </c>
      <c r="T7">
        <v>30</v>
      </c>
      <c r="U7" s="10">
        <v>8434</v>
      </c>
    </row>
    <row r="8" spans="1:21" x14ac:dyDescent="0.25">
      <c r="B8">
        <v>3</v>
      </c>
      <c r="C8">
        <v>990011</v>
      </c>
      <c r="D8" t="s">
        <v>249</v>
      </c>
      <c r="E8">
        <v>500</v>
      </c>
      <c r="F8">
        <v>6</v>
      </c>
      <c r="G8">
        <v>0</v>
      </c>
      <c r="H8">
        <v>3</v>
      </c>
      <c r="I8">
        <v>300</v>
      </c>
      <c r="J8" s="10">
        <v>8429</v>
      </c>
      <c r="L8">
        <v>73</v>
      </c>
      <c r="N8">
        <v>990011</v>
      </c>
      <c r="O8" t="s">
        <v>250</v>
      </c>
      <c r="P8">
        <v>600</v>
      </c>
      <c r="Q8">
        <v>1</v>
      </c>
      <c r="R8">
        <v>0</v>
      </c>
      <c r="S8">
        <v>3</v>
      </c>
      <c r="T8">
        <v>60</v>
      </c>
      <c r="U8" s="10">
        <v>8429</v>
      </c>
    </row>
    <row r="9" spans="1:21" x14ac:dyDescent="0.25">
      <c r="B9">
        <v>4</v>
      </c>
      <c r="C9">
        <v>990021</v>
      </c>
      <c r="D9" t="s">
        <v>251</v>
      </c>
      <c r="E9">
        <v>2000</v>
      </c>
      <c r="F9">
        <v>4.9000000000000004</v>
      </c>
      <c r="G9">
        <v>0</v>
      </c>
      <c r="H9">
        <v>3</v>
      </c>
      <c r="I9">
        <v>980</v>
      </c>
      <c r="J9" s="10">
        <v>8430</v>
      </c>
      <c r="L9">
        <v>74</v>
      </c>
      <c r="N9">
        <v>990021</v>
      </c>
      <c r="O9" t="s">
        <v>252</v>
      </c>
      <c r="P9">
        <v>3000</v>
      </c>
      <c r="Q9">
        <v>1</v>
      </c>
      <c r="R9">
        <v>0</v>
      </c>
      <c r="S9">
        <v>3</v>
      </c>
      <c r="T9">
        <v>300</v>
      </c>
      <c r="U9" s="10">
        <v>8430</v>
      </c>
    </row>
  </sheetData>
  <phoneticPr fontId="20" type="noConversion"/>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selection activeCell="E11" sqref="E11"/>
    </sheetView>
  </sheetViews>
  <sheetFormatPr defaultColWidth="11" defaultRowHeight="13.8" x14ac:dyDescent="0.25"/>
  <sheetData>
    <row r="1" spans="1:7" x14ac:dyDescent="0.25">
      <c r="A1" t="s">
        <v>0</v>
      </c>
      <c r="B1" t="s">
        <v>230</v>
      </c>
      <c r="C1" t="s">
        <v>231</v>
      </c>
      <c r="D1" t="s">
        <v>232</v>
      </c>
      <c r="E1" t="s">
        <v>233</v>
      </c>
      <c r="F1" t="s">
        <v>235</v>
      </c>
      <c r="G1" t="s">
        <v>237</v>
      </c>
    </row>
    <row r="2" spans="1:7" x14ac:dyDescent="0.25">
      <c r="A2" t="s">
        <v>15</v>
      </c>
      <c r="B2" s="5" t="s">
        <v>16</v>
      </c>
      <c r="C2" s="5" t="s">
        <v>238</v>
      </c>
      <c r="D2" s="4" t="s">
        <v>239</v>
      </c>
      <c r="E2" s="5" t="s">
        <v>240</v>
      </c>
      <c r="F2" s="5" t="s">
        <v>241</v>
      </c>
      <c r="G2" s="5" t="s">
        <v>203</v>
      </c>
    </row>
    <row r="3" spans="1:7" x14ac:dyDescent="0.25">
      <c r="A3" t="s">
        <v>29</v>
      </c>
      <c r="B3" s="5" t="s">
        <v>30</v>
      </c>
      <c r="C3" s="5" t="s">
        <v>30</v>
      </c>
      <c r="D3" s="4" t="s">
        <v>31</v>
      </c>
      <c r="E3" s="5" t="s">
        <v>30</v>
      </c>
      <c r="F3" s="5" t="s">
        <v>31</v>
      </c>
      <c r="G3" s="5" t="s">
        <v>30</v>
      </c>
    </row>
    <row r="4" spans="1:7" x14ac:dyDescent="0.25">
      <c r="A4" t="s">
        <v>33</v>
      </c>
      <c r="B4" s="5" t="s">
        <v>34</v>
      </c>
      <c r="C4" s="5" t="s">
        <v>34</v>
      </c>
      <c r="D4" s="4"/>
      <c r="E4" s="5" t="s">
        <v>34</v>
      </c>
      <c r="F4" s="5" t="s">
        <v>34</v>
      </c>
      <c r="G4" s="5" t="s">
        <v>34</v>
      </c>
    </row>
    <row r="5" spans="1:7" x14ac:dyDescent="0.25">
      <c r="A5" t="s">
        <v>38</v>
      </c>
      <c r="B5" s="5"/>
      <c r="C5" s="5">
        <v>0</v>
      </c>
      <c r="D5" s="4"/>
      <c r="E5" s="5">
        <v>0</v>
      </c>
      <c r="F5" s="5">
        <v>0</v>
      </c>
      <c r="G5" s="5">
        <v>0</v>
      </c>
    </row>
    <row r="6" spans="1:7" x14ac:dyDescent="0.25">
      <c r="A6" t="s">
        <v>253</v>
      </c>
      <c r="B6">
        <v>1</v>
      </c>
      <c r="C6">
        <v>990031</v>
      </c>
      <c r="D6" t="s">
        <v>246</v>
      </c>
      <c r="E6">
        <v>0</v>
      </c>
      <c r="F6">
        <v>1</v>
      </c>
      <c r="G6">
        <v>8427</v>
      </c>
    </row>
    <row r="7" spans="1:7" x14ac:dyDescent="0.25">
      <c r="B7">
        <v>2</v>
      </c>
      <c r="C7">
        <v>990041</v>
      </c>
      <c r="D7" t="s">
        <v>254</v>
      </c>
      <c r="E7">
        <v>0</v>
      </c>
      <c r="F7">
        <v>2</v>
      </c>
      <c r="G7">
        <v>8431</v>
      </c>
    </row>
    <row r="8" spans="1:7" x14ac:dyDescent="0.25">
      <c r="B8">
        <v>3</v>
      </c>
      <c r="C8">
        <v>990051</v>
      </c>
      <c r="D8" t="s">
        <v>255</v>
      </c>
      <c r="E8">
        <v>0</v>
      </c>
      <c r="F8">
        <v>2</v>
      </c>
      <c r="G8">
        <v>8432</v>
      </c>
    </row>
    <row r="9" spans="1:7" x14ac:dyDescent="0.25">
      <c r="B9">
        <v>4</v>
      </c>
      <c r="C9">
        <v>990061</v>
      </c>
      <c r="D9" t="s">
        <v>256</v>
      </c>
      <c r="E9">
        <v>0</v>
      </c>
      <c r="F9">
        <v>2</v>
      </c>
      <c r="G9">
        <v>8433</v>
      </c>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
  <sheetViews>
    <sheetView workbookViewId="0">
      <selection activeCell="H19" sqref="H19"/>
    </sheetView>
  </sheetViews>
  <sheetFormatPr defaultColWidth="11" defaultRowHeight="13.8" x14ac:dyDescent="0.25"/>
  <sheetData>
    <row r="1" spans="1:9" x14ac:dyDescent="0.25">
      <c r="A1" t="s">
        <v>0</v>
      </c>
      <c r="B1" t="s">
        <v>230</v>
      </c>
      <c r="C1" t="s">
        <v>231</v>
      </c>
      <c r="D1" t="s">
        <v>232</v>
      </c>
      <c r="E1" t="s">
        <v>233</v>
      </c>
      <c r="F1" t="s">
        <v>234</v>
      </c>
      <c r="G1" t="s">
        <v>236</v>
      </c>
      <c r="H1" t="s">
        <v>237</v>
      </c>
      <c r="I1" t="s">
        <v>201</v>
      </c>
    </row>
    <row r="2" spans="1:9" x14ac:dyDescent="0.25">
      <c r="A2" t="s">
        <v>15</v>
      </c>
      <c r="B2" s="5" t="s">
        <v>16</v>
      </c>
      <c r="C2" s="5" t="s">
        <v>238</v>
      </c>
      <c r="D2" s="4" t="s">
        <v>239</v>
      </c>
      <c r="E2" s="5" t="s">
        <v>240</v>
      </c>
      <c r="F2" s="5" t="s">
        <v>241</v>
      </c>
      <c r="G2" s="5" t="s">
        <v>243</v>
      </c>
      <c r="H2" s="5" t="s">
        <v>244</v>
      </c>
      <c r="I2" s="5" t="s">
        <v>203</v>
      </c>
    </row>
    <row r="3" spans="1:9" x14ac:dyDescent="0.25">
      <c r="A3" t="s">
        <v>29</v>
      </c>
      <c r="B3" s="5" t="s">
        <v>30</v>
      </c>
      <c r="C3" s="5" t="s">
        <v>30</v>
      </c>
      <c r="D3" s="4" t="s">
        <v>31</v>
      </c>
      <c r="E3" s="5" t="s">
        <v>30</v>
      </c>
      <c r="F3" s="5" t="s">
        <v>31</v>
      </c>
      <c r="G3" s="5" t="s">
        <v>31</v>
      </c>
      <c r="H3" s="5" t="s">
        <v>30</v>
      </c>
      <c r="I3" s="5" t="s">
        <v>30</v>
      </c>
    </row>
    <row r="4" spans="1:9" x14ac:dyDescent="0.25">
      <c r="A4" t="s">
        <v>33</v>
      </c>
      <c r="B4" s="5" t="s">
        <v>34</v>
      </c>
      <c r="C4" s="5" t="s">
        <v>34</v>
      </c>
      <c r="D4" s="5" t="s">
        <v>34</v>
      </c>
      <c r="E4" s="5" t="s">
        <v>34</v>
      </c>
      <c r="F4" s="5" t="s">
        <v>34</v>
      </c>
      <c r="G4" s="5" t="s">
        <v>34</v>
      </c>
      <c r="H4" s="5" t="s">
        <v>34</v>
      </c>
      <c r="I4" s="5" t="s">
        <v>34</v>
      </c>
    </row>
    <row r="5" spans="1:9" x14ac:dyDescent="0.25">
      <c r="A5" t="s">
        <v>38</v>
      </c>
      <c r="B5" s="5"/>
      <c r="C5" s="5">
        <v>0</v>
      </c>
      <c r="D5" s="4"/>
      <c r="E5" s="5">
        <v>0</v>
      </c>
      <c r="F5" s="5">
        <v>0</v>
      </c>
      <c r="G5" s="5">
        <v>0</v>
      </c>
      <c r="H5" s="5">
        <v>0</v>
      </c>
      <c r="I5" s="5">
        <v>0</v>
      </c>
    </row>
    <row r="6" spans="1:9" x14ac:dyDescent="0.25">
      <c r="A6" t="s">
        <v>257</v>
      </c>
      <c r="B6">
        <v>1</v>
      </c>
      <c r="C6">
        <v>990001</v>
      </c>
      <c r="D6" t="s">
        <v>258</v>
      </c>
      <c r="E6">
        <v>100</v>
      </c>
      <c r="F6">
        <v>6</v>
      </c>
      <c r="G6">
        <v>60</v>
      </c>
      <c r="H6" s="10">
        <v>8820</v>
      </c>
      <c r="I6">
        <v>168</v>
      </c>
    </row>
    <row r="7" spans="1:9" x14ac:dyDescent="0.25">
      <c r="B7">
        <v>2</v>
      </c>
      <c r="C7">
        <v>990011</v>
      </c>
      <c r="D7" t="s">
        <v>259</v>
      </c>
      <c r="E7">
        <v>1000</v>
      </c>
      <c r="F7">
        <v>3</v>
      </c>
      <c r="G7">
        <v>300</v>
      </c>
      <c r="H7" s="10">
        <v>8809</v>
      </c>
      <c r="I7">
        <v>158</v>
      </c>
    </row>
    <row r="8" spans="1:9" x14ac:dyDescent="0.25">
      <c r="B8">
        <v>3</v>
      </c>
      <c r="C8">
        <v>990021</v>
      </c>
      <c r="D8" t="s">
        <v>260</v>
      </c>
      <c r="E8">
        <v>10000</v>
      </c>
      <c r="F8">
        <v>1</v>
      </c>
      <c r="G8">
        <v>980</v>
      </c>
      <c r="H8" s="10">
        <v>8810</v>
      </c>
      <c r="I8">
        <v>159</v>
      </c>
    </row>
  </sheetData>
  <phoneticPr fontId="20"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0"/>
  <sheetViews>
    <sheetView workbookViewId="0">
      <pane ySplit="5" topLeftCell="A165" activePane="bottomLeft" state="frozen"/>
      <selection pane="bottomLeft" activeCell="H10" sqref="H10"/>
    </sheetView>
  </sheetViews>
  <sheetFormatPr defaultColWidth="11" defaultRowHeight="15.6" x14ac:dyDescent="0.3"/>
  <cols>
    <col min="1" max="16384" width="11" style="8"/>
  </cols>
  <sheetData>
    <row r="1" spans="1:5" x14ac:dyDescent="0.3">
      <c r="A1" t="s">
        <v>0</v>
      </c>
      <c r="B1" s="8" t="s">
        <v>261</v>
      </c>
      <c r="C1" s="8" t="s">
        <v>262</v>
      </c>
      <c r="D1" s="8" t="s">
        <v>263</v>
      </c>
      <c r="E1" s="8" t="s">
        <v>264</v>
      </c>
    </row>
    <row r="2" spans="1:5" x14ac:dyDescent="0.3">
      <c r="A2" t="s">
        <v>15</v>
      </c>
      <c r="B2" s="83" t="s">
        <v>16</v>
      </c>
      <c r="C2" s="83" t="s">
        <v>265</v>
      </c>
      <c r="D2" s="83" t="s">
        <v>167</v>
      </c>
      <c r="E2" s="83" t="s">
        <v>266</v>
      </c>
    </row>
    <row r="3" spans="1:5" x14ac:dyDescent="0.3">
      <c r="A3" t="s">
        <v>29</v>
      </c>
      <c r="B3" s="83" t="s">
        <v>30</v>
      </c>
      <c r="C3" s="83" t="s">
        <v>30</v>
      </c>
      <c r="D3" s="83" t="s">
        <v>30</v>
      </c>
      <c r="E3" s="83" t="s">
        <v>30</v>
      </c>
    </row>
    <row r="4" spans="1:5" x14ac:dyDescent="0.3">
      <c r="A4" t="s">
        <v>33</v>
      </c>
      <c r="B4" s="83" t="s">
        <v>34</v>
      </c>
      <c r="C4" s="83" t="s">
        <v>34</v>
      </c>
      <c r="D4" s="83" t="s">
        <v>34</v>
      </c>
      <c r="E4" s="83" t="s">
        <v>34</v>
      </c>
    </row>
    <row r="5" spans="1:5" x14ac:dyDescent="0.3">
      <c r="A5" t="s">
        <v>38</v>
      </c>
      <c r="B5" s="83"/>
      <c r="C5" s="83">
        <v>0</v>
      </c>
      <c r="D5" s="83">
        <v>0</v>
      </c>
      <c r="E5" s="83">
        <v>0</v>
      </c>
    </row>
    <row r="6" spans="1:5" x14ac:dyDescent="0.3">
      <c r="A6" t="s">
        <v>38</v>
      </c>
      <c r="B6" s="104">
        <v>1</v>
      </c>
      <c r="C6" s="8">
        <v>1</v>
      </c>
      <c r="D6" s="8">
        <v>460072</v>
      </c>
      <c r="E6" s="8">
        <v>1</v>
      </c>
    </row>
    <row r="7" spans="1:5" x14ac:dyDescent="0.3">
      <c r="A7" t="s">
        <v>38</v>
      </c>
      <c r="B7" s="104">
        <v>2</v>
      </c>
      <c r="C7" s="8">
        <v>1</v>
      </c>
      <c r="D7" s="8">
        <v>2</v>
      </c>
      <c r="E7" s="8">
        <v>5088</v>
      </c>
    </row>
    <row r="8" spans="1:5" x14ac:dyDescent="0.3">
      <c r="A8" t="s">
        <v>38</v>
      </c>
      <c r="B8" s="104">
        <v>3</v>
      </c>
      <c r="C8" s="8">
        <v>1</v>
      </c>
      <c r="D8" s="8">
        <v>13</v>
      </c>
      <c r="E8" s="8">
        <v>20</v>
      </c>
    </row>
    <row r="9" spans="1:5" x14ac:dyDescent="0.3">
      <c r="A9" t="s">
        <v>38</v>
      </c>
      <c r="B9" s="104">
        <v>4</v>
      </c>
      <c r="C9" s="8">
        <v>1</v>
      </c>
      <c r="D9" s="8">
        <v>440011</v>
      </c>
      <c r="E9" s="8">
        <v>1</v>
      </c>
    </row>
    <row r="10" spans="1:5" x14ac:dyDescent="0.3">
      <c r="A10" t="s">
        <v>38</v>
      </c>
      <c r="B10" s="104">
        <v>5</v>
      </c>
      <c r="C10" s="8">
        <v>1</v>
      </c>
      <c r="D10" s="8">
        <v>2</v>
      </c>
      <c r="E10" s="8">
        <v>8888</v>
      </c>
    </row>
    <row r="11" spans="1:5" x14ac:dyDescent="0.3">
      <c r="A11" t="s">
        <v>38</v>
      </c>
      <c r="B11" s="104">
        <v>6</v>
      </c>
      <c r="C11" s="8">
        <v>1</v>
      </c>
      <c r="D11" s="8">
        <v>600001</v>
      </c>
      <c r="E11" s="8">
        <v>2</v>
      </c>
    </row>
    <row r="12" spans="1:5" x14ac:dyDescent="0.3">
      <c r="A12" t="s">
        <v>38</v>
      </c>
      <c r="B12" s="104">
        <v>7</v>
      </c>
      <c r="C12" s="8">
        <v>1</v>
      </c>
      <c r="D12" s="8">
        <v>400053</v>
      </c>
      <c r="E12" s="8">
        <v>1</v>
      </c>
    </row>
    <row r="13" spans="1:5" x14ac:dyDescent="0.3">
      <c r="A13" t="s">
        <v>38</v>
      </c>
      <c r="B13" s="104">
        <v>8</v>
      </c>
      <c r="C13" s="8">
        <v>2</v>
      </c>
      <c r="D13" s="8">
        <v>2</v>
      </c>
      <c r="E13" s="8">
        <v>10888</v>
      </c>
    </row>
    <row r="14" spans="1:5" x14ac:dyDescent="0.3">
      <c r="A14" t="s">
        <v>38</v>
      </c>
      <c r="B14" s="104">
        <v>9</v>
      </c>
      <c r="C14" s="8">
        <v>2</v>
      </c>
      <c r="D14" s="8">
        <v>2</v>
      </c>
      <c r="E14" s="8">
        <v>5088</v>
      </c>
    </row>
    <row r="15" spans="1:5" x14ac:dyDescent="0.3">
      <c r="A15" t="s">
        <v>38</v>
      </c>
      <c r="B15" s="104">
        <v>10</v>
      </c>
      <c r="C15" s="8">
        <v>2</v>
      </c>
      <c r="D15" s="8">
        <v>13</v>
      </c>
      <c r="E15" s="8">
        <v>20</v>
      </c>
    </row>
    <row r="16" spans="1:5" x14ac:dyDescent="0.3">
      <c r="A16" t="s">
        <v>38</v>
      </c>
      <c r="B16" s="104">
        <v>11</v>
      </c>
      <c r="C16" s="8">
        <v>2</v>
      </c>
      <c r="D16" s="8">
        <v>460072</v>
      </c>
      <c r="E16" s="8">
        <v>1</v>
      </c>
    </row>
    <row r="17" spans="1:5" x14ac:dyDescent="0.3">
      <c r="A17" t="s">
        <v>38</v>
      </c>
      <c r="B17" s="104">
        <v>12</v>
      </c>
      <c r="C17" s="8">
        <v>2</v>
      </c>
      <c r="D17" s="8">
        <v>2</v>
      </c>
      <c r="E17" s="8">
        <v>8888</v>
      </c>
    </row>
    <row r="18" spans="1:5" x14ac:dyDescent="0.3">
      <c r="A18" t="s">
        <v>38</v>
      </c>
      <c r="B18" s="104">
        <v>13</v>
      </c>
      <c r="C18" s="8">
        <v>2</v>
      </c>
      <c r="D18" s="8">
        <v>600001</v>
      </c>
      <c r="E18" s="8">
        <v>2</v>
      </c>
    </row>
    <row r="19" spans="1:5" x14ac:dyDescent="0.3">
      <c r="A19" t="s">
        <v>38</v>
      </c>
      <c r="B19" s="104">
        <v>14</v>
      </c>
      <c r="C19" s="8">
        <v>2</v>
      </c>
      <c r="D19" s="8">
        <v>400053</v>
      </c>
      <c r="E19" s="8">
        <v>1</v>
      </c>
    </row>
    <row r="20" spans="1:5" x14ac:dyDescent="0.3">
      <c r="A20" t="s">
        <v>38</v>
      </c>
      <c r="B20" s="104">
        <v>15</v>
      </c>
      <c r="C20" s="8">
        <v>3</v>
      </c>
      <c r="D20" s="8">
        <v>460072</v>
      </c>
      <c r="E20" s="8">
        <v>1</v>
      </c>
    </row>
    <row r="21" spans="1:5" x14ac:dyDescent="0.3">
      <c r="A21" t="s">
        <v>38</v>
      </c>
      <c r="B21" s="104">
        <v>16</v>
      </c>
      <c r="C21" s="8">
        <v>3</v>
      </c>
      <c r="D21" s="8">
        <v>2</v>
      </c>
      <c r="E21" s="8">
        <v>5088</v>
      </c>
    </row>
    <row r="22" spans="1:5" x14ac:dyDescent="0.3">
      <c r="A22" t="s">
        <v>38</v>
      </c>
      <c r="B22" s="104">
        <v>17</v>
      </c>
      <c r="C22" s="8">
        <v>3</v>
      </c>
      <c r="D22" s="8">
        <v>13</v>
      </c>
      <c r="E22" s="8">
        <v>20</v>
      </c>
    </row>
    <row r="23" spans="1:5" x14ac:dyDescent="0.3">
      <c r="A23" t="s">
        <v>38</v>
      </c>
      <c r="B23" s="104">
        <v>18</v>
      </c>
      <c r="C23" s="8">
        <v>3</v>
      </c>
      <c r="D23" s="8">
        <v>440011</v>
      </c>
      <c r="E23" s="8">
        <v>1</v>
      </c>
    </row>
    <row r="24" spans="1:5" x14ac:dyDescent="0.3">
      <c r="A24" t="s">
        <v>38</v>
      </c>
      <c r="B24" s="104">
        <v>19</v>
      </c>
      <c r="C24" s="8">
        <v>3</v>
      </c>
      <c r="D24" s="8">
        <v>2</v>
      </c>
      <c r="E24" s="8">
        <v>8888</v>
      </c>
    </row>
    <row r="25" spans="1:5" x14ac:dyDescent="0.3">
      <c r="A25" t="s">
        <v>38</v>
      </c>
      <c r="B25" s="104">
        <v>20</v>
      </c>
      <c r="C25" s="8">
        <v>3</v>
      </c>
      <c r="D25" s="8">
        <v>600001</v>
      </c>
      <c r="E25" s="8">
        <v>2</v>
      </c>
    </row>
    <row r="26" spans="1:5" x14ac:dyDescent="0.3">
      <c r="A26" t="s">
        <v>38</v>
      </c>
      <c r="B26" s="104">
        <v>21</v>
      </c>
      <c r="C26" s="8">
        <v>3</v>
      </c>
      <c r="D26" s="8">
        <v>400053</v>
      </c>
      <c r="E26" s="8">
        <v>1</v>
      </c>
    </row>
    <row r="27" spans="1:5" x14ac:dyDescent="0.3">
      <c r="A27" t="s">
        <v>38</v>
      </c>
      <c r="B27" s="104">
        <f>(C27-1)*7+F27</f>
        <v>21</v>
      </c>
      <c r="C27" s="8">
        <v>4</v>
      </c>
      <c r="D27" s="8">
        <v>1</v>
      </c>
      <c r="E27" s="8">
        <v>60</v>
      </c>
    </row>
    <row r="28" spans="1:5" x14ac:dyDescent="0.3">
      <c r="A28" t="s">
        <v>38</v>
      </c>
      <c r="B28" s="104">
        <f t="shared" ref="B28:B40" si="0">(C28-1)*7+F28</f>
        <v>21</v>
      </c>
      <c r="C28" s="8">
        <v>4</v>
      </c>
      <c r="D28" s="8">
        <v>440053</v>
      </c>
      <c r="E28" s="8">
        <v>1</v>
      </c>
    </row>
    <row r="29" spans="1:5" x14ac:dyDescent="0.3">
      <c r="A29" t="s">
        <v>38</v>
      </c>
      <c r="B29" s="104">
        <f t="shared" si="0"/>
        <v>21</v>
      </c>
      <c r="C29" s="8">
        <v>4</v>
      </c>
      <c r="D29" s="8">
        <v>12</v>
      </c>
      <c r="E29" s="8">
        <v>200</v>
      </c>
    </row>
    <row r="30" spans="1:5" x14ac:dyDescent="0.3">
      <c r="A30" t="s">
        <v>38</v>
      </c>
      <c r="B30" s="104">
        <f t="shared" si="0"/>
        <v>21</v>
      </c>
      <c r="C30" s="8">
        <v>4</v>
      </c>
      <c r="D30" s="8">
        <v>21</v>
      </c>
      <c r="E30" s="8">
        <v>1</v>
      </c>
    </row>
    <row r="31" spans="1:5" x14ac:dyDescent="0.3">
      <c r="A31" t="s">
        <v>38</v>
      </c>
      <c r="B31" s="104">
        <f t="shared" si="0"/>
        <v>21</v>
      </c>
      <c r="C31" s="8">
        <v>4</v>
      </c>
      <c r="D31" s="8">
        <v>420092</v>
      </c>
      <c r="E31" s="8">
        <v>1</v>
      </c>
    </row>
    <row r="32" spans="1:5" x14ac:dyDescent="0.3">
      <c r="A32" t="s">
        <v>38</v>
      </c>
      <c r="B32" s="104">
        <f t="shared" si="0"/>
        <v>21</v>
      </c>
      <c r="C32" s="8">
        <v>4</v>
      </c>
      <c r="D32" s="8">
        <v>930003</v>
      </c>
      <c r="E32" s="8">
        <v>2</v>
      </c>
    </row>
    <row r="33" spans="1:5" x14ac:dyDescent="0.3">
      <c r="A33" t="s">
        <v>38</v>
      </c>
      <c r="B33" s="104">
        <f t="shared" si="0"/>
        <v>21</v>
      </c>
      <c r="C33" s="8">
        <v>4</v>
      </c>
      <c r="D33" s="8">
        <v>930006</v>
      </c>
      <c r="E33" s="8">
        <v>1</v>
      </c>
    </row>
    <row r="34" spans="1:5" x14ac:dyDescent="0.3">
      <c r="A34" t="s">
        <v>38</v>
      </c>
      <c r="B34" s="104">
        <f t="shared" si="0"/>
        <v>28</v>
      </c>
      <c r="C34" s="8">
        <v>5</v>
      </c>
      <c r="D34" s="8">
        <v>1</v>
      </c>
      <c r="E34" s="8">
        <v>60</v>
      </c>
    </row>
    <row r="35" spans="1:5" x14ac:dyDescent="0.3">
      <c r="A35" t="s">
        <v>38</v>
      </c>
      <c r="B35" s="104">
        <f t="shared" si="0"/>
        <v>28</v>
      </c>
      <c r="C35" s="8">
        <v>5</v>
      </c>
      <c r="D35" s="8">
        <v>440053</v>
      </c>
      <c r="E35" s="8">
        <v>1</v>
      </c>
    </row>
    <row r="36" spans="1:5" x14ac:dyDescent="0.3">
      <c r="A36" t="s">
        <v>38</v>
      </c>
      <c r="B36" s="104">
        <f t="shared" si="0"/>
        <v>28</v>
      </c>
      <c r="C36" s="8">
        <v>5</v>
      </c>
      <c r="D36" s="8">
        <v>12</v>
      </c>
      <c r="E36" s="8">
        <v>200</v>
      </c>
    </row>
    <row r="37" spans="1:5" x14ac:dyDescent="0.3">
      <c r="A37" t="s">
        <v>38</v>
      </c>
      <c r="B37" s="104">
        <f t="shared" si="0"/>
        <v>28</v>
      </c>
      <c r="C37" s="8">
        <v>5</v>
      </c>
      <c r="D37" s="8">
        <v>21</v>
      </c>
      <c r="E37" s="8">
        <v>1</v>
      </c>
    </row>
    <row r="38" spans="1:5" x14ac:dyDescent="0.3">
      <c r="A38" t="s">
        <v>38</v>
      </c>
      <c r="B38" s="104">
        <f t="shared" si="0"/>
        <v>28</v>
      </c>
      <c r="C38" s="8">
        <v>5</v>
      </c>
      <c r="D38" s="8">
        <v>420092</v>
      </c>
      <c r="E38" s="8">
        <v>1</v>
      </c>
    </row>
    <row r="39" spans="1:5" x14ac:dyDescent="0.3">
      <c r="A39" t="s">
        <v>38</v>
      </c>
      <c r="B39" s="104">
        <f t="shared" si="0"/>
        <v>28</v>
      </c>
      <c r="C39" s="8">
        <v>5</v>
      </c>
      <c r="D39" s="8">
        <v>930003</v>
      </c>
      <c r="E39" s="8">
        <v>2</v>
      </c>
    </row>
    <row r="40" spans="1:5" x14ac:dyDescent="0.3">
      <c r="A40" t="s">
        <v>38</v>
      </c>
      <c r="B40" s="104">
        <f t="shared" si="0"/>
        <v>28</v>
      </c>
      <c r="C40" s="8">
        <v>5</v>
      </c>
      <c r="D40" s="8">
        <v>930006</v>
      </c>
      <c r="E40" s="8">
        <v>1</v>
      </c>
    </row>
    <row r="41" spans="1:5" x14ac:dyDescent="0.3">
      <c r="A41" t="s">
        <v>38</v>
      </c>
      <c r="B41" s="104">
        <v>36</v>
      </c>
      <c r="C41" s="8">
        <v>6</v>
      </c>
      <c r="D41" s="8">
        <v>1</v>
      </c>
      <c r="E41" s="8">
        <v>60</v>
      </c>
    </row>
    <row r="42" spans="1:5" x14ac:dyDescent="0.3">
      <c r="A42" t="s">
        <v>38</v>
      </c>
      <c r="B42" s="104">
        <v>37</v>
      </c>
      <c r="C42" s="8">
        <v>6</v>
      </c>
      <c r="D42" s="8">
        <v>440053</v>
      </c>
      <c r="E42" s="8">
        <v>1</v>
      </c>
    </row>
    <row r="43" spans="1:5" x14ac:dyDescent="0.3">
      <c r="A43" t="s">
        <v>38</v>
      </c>
      <c r="B43" s="104">
        <v>38</v>
      </c>
      <c r="C43" s="8">
        <v>6</v>
      </c>
      <c r="D43" s="8">
        <v>12</v>
      </c>
      <c r="E43" s="8">
        <v>200</v>
      </c>
    </row>
    <row r="44" spans="1:5" x14ac:dyDescent="0.3">
      <c r="A44" t="s">
        <v>38</v>
      </c>
      <c r="B44" s="104">
        <v>39</v>
      </c>
      <c r="C44" s="8">
        <v>6</v>
      </c>
      <c r="D44" s="8">
        <v>21</v>
      </c>
      <c r="E44" s="8">
        <v>1</v>
      </c>
    </row>
    <row r="45" spans="1:5" x14ac:dyDescent="0.3">
      <c r="A45" t="s">
        <v>38</v>
      </c>
      <c r="B45" s="104">
        <v>40</v>
      </c>
      <c r="C45" s="8">
        <v>6</v>
      </c>
      <c r="D45" s="8">
        <v>420092</v>
      </c>
      <c r="E45" s="8">
        <v>1</v>
      </c>
    </row>
    <row r="46" spans="1:5" x14ac:dyDescent="0.3">
      <c r="A46" t="s">
        <v>38</v>
      </c>
      <c r="B46" s="104">
        <v>41</v>
      </c>
      <c r="C46" s="8">
        <v>6</v>
      </c>
      <c r="D46" s="8">
        <v>930003</v>
      </c>
      <c r="E46" s="8">
        <v>2</v>
      </c>
    </row>
    <row r="47" spans="1:5" x14ac:dyDescent="0.3">
      <c r="A47" t="s">
        <v>38</v>
      </c>
      <c r="B47" s="104">
        <v>42</v>
      </c>
      <c r="C47" s="8">
        <v>6</v>
      </c>
      <c r="D47" s="8">
        <v>930006</v>
      </c>
      <c r="E47" s="8">
        <v>1</v>
      </c>
    </row>
    <row r="48" spans="1:5" x14ac:dyDescent="0.3">
      <c r="A48" t="s">
        <v>38</v>
      </c>
      <c r="B48" s="104">
        <v>43</v>
      </c>
      <c r="C48" s="8">
        <v>7</v>
      </c>
      <c r="D48" s="8">
        <v>1</v>
      </c>
      <c r="E48" s="8">
        <v>60</v>
      </c>
    </row>
    <row r="49" spans="1:5" x14ac:dyDescent="0.3">
      <c r="A49" t="s">
        <v>38</v>
      </c>
      <c r="B49" s="104">
        <v>44</v>
      </c>
      <c r="C49" s="8">
        <v>7</v>
      </c>
      <c r="D49" s="8">
        <v>440053</v>
      </c>
      <c r="E49" s="8">
        <v>1</v>
      </c>
    </row>
    <row r="50" spans="1:5" x14ac:dyDescent="0.3">
      <c r="A50" t="s">
        <v>38</v>
      </c>
      <c r="B50" s="104">
        <v>45</v>
      </c>
      <c r="C50" s="8">
        <v>7</v>
      </c>
      <c r="D50" s="8">
        <v>12</v>
      </c>
      <c r="E50" s="8">
        <v>200</v>
      </c>
    </row>
    <row r="51" spans="1:5" x14ac:dyDescent="0.3">
      <c r="A51" t="s">
        <v>38</v>
      </c>
      <c r="B51" s="104">
        <v>46</v>
      </c>
      <c r="C51" s="8">
        <v>7</v>
      </c>
      <c r="D51" s="8">
        <v>21</v>
      </c>
      <c r="E51" s="8">
        <v>1</v>
      </c>
    </row>
    <row r="52" spans="1:5" x14ac:dyDescent="0.3">
      <c r="A52" t="s">
        <v>38</v>
      </c>
      <c r="B52" s="104">
        <v>47</v>
      </c>
      <c r="C52" s="8">
        <v>7</v>
      </c>
      <c r="D52" s="8">
        <v>420092</v>
      </c>
      <c r="E52" s="8">
        <v>1</v>
      </c>
    </row>
    <row r="53" spans="1:5" x14ac:dyDescent="0.3">
      <c r="A53" t="s">
        <v>38</v>
      </c>
      <c r="B53" s="104">
        <v>48</v>
      </c>
      <c r="C53" s="8">
        <v>7</v>
      </c>
      <c r="D53" s="8">
        <v>930003</v>
      </c>
      <c r="E53" s="8">
        <v>2</v>
      </c>
    </row>
    <row r="54" spans="1:5" x14ac:dyDescent="0.3">
      <c r="A54" t="s">
        <v>38</v>
      </c>
      <c r="B54" s="104">
        <v>49</v>
      </c>
      <c r="C54" s="8">
        <v>7</v>
      </c>
      <c r="D54" s="8">
        <v>930006</v>
      </c>
      <c r="E54" s="8">
        <v>1</v>
      </c>
    </row>
    <row r="55" spans="1:5" x14ac:dyDescent="0.3">
      <c r="A55" t="s">
        <v>38</v>
      </c>
      <c r="B55" s="104">
        <v>50</v>
      </c>
      <c r="C55" s="8">
        <v>8</v>
      </c>
      <c r="D55" s="8">
        <v>440053</v>
      </c>
      <c r="E55" s="8">
        <v>1</v>
      </c>
    </row>
    <row r="56" spans="1:5" x14ac:dyDescent="0.3">
      <c r="A56" t="s">
        <v>38</v>
      </c>
      <c r="B56" s="104">
        <v>51</v>
      </c>
      <c r="C56" s="8">
        <v>8</v>
      </c>
      <c r="D56" s="8">
        <v>12</v>
      </c>
      <c r="E56" s="8">
        <v>200</v>
      </c>
    </row>
    <row r="57" spans="1:5" x14ac:dyDescent="0.3">
      <c r="A57" t="s">
        <v>38</v>
      </c>
      <c r="B57" s="104">
        <v>52</v>
      </c>
      <c r="C57" s="8">
        <v>8</v>
      </c>
      <c r="D57" s="8">
        <v>21</v>
      </c>
      <c r="E57" s="8">
        <v>1</v>
      </c>
    </row>
    <row r="58" spans="1:5" x14ac:dyDescent="0.3">
      <c r="A58" t="s">
        <v>38</v>
      </c>
      <c r="B58" s="104">
        <v>53</v>
      </c>
      <c r="C58" s="8">
        <v>8</v>
      </c>
      <c r="D58" s="8">
        <v>420092</v>
      </c>
      <c r="E58" s="8">
        <v>1</v>
      </c>
    </row>
    <row r="59" spans="1:5" x14ac:dyDescent="0.3">
      <c r="A59" t="s">
        <v>38</v>
      </c>
      <c r="B59" s="104">
        <v>54</v>
      </c>
      <c r="C59" s="8">
        <v>8</v>
      </c>
      <c r="D59" s="8">
        <v>930003</v>
      </c>
      <c r="E59" s="8">
        <v>2</v>
      </c>
    </row>
    <row r="60" spans="1:5" x14ac:dyDescent="0.3">
      <c r="A60" t="s">
        <v>38</v>
      </c>
      <c r="B60" s="104">
        <v>55</v>
      </c>
      <c r="C60" s="8">
        <v>8</v>
      </c>
      <c r="D60" s="8">
        <v>1</v>
      </c>
      <c r="E60" s="8">
        <v>60</v>
      </c>
    </row>
    <row r="61" spans="1:5" x14ac:dyDescent="0.3">
      <c r="A61" t="s">
        <v>38</v>
      </c>
      <c r="B61" s="104">
        <v>56</v>
      </c>
      <c r="C61" s="8">
        <v>8</v>
      </c>
      <c r="D61" s="8">
        <v>930006</v>
      </c>
      <c r="E61" s="8">
        <v>1</v>
      </c>
    </row>
    <row r="62" spans="1:5" x14ac:dyDescent="0.3">
      <c r="A62" t="s">
        <v>38</v>
      </c>
      <c r="B62" s="104">
        <v>57</v>
      </c>
      <c r="C62" s="99">
        <v>9</v>
      </c>
      <c r="D62" s="99">
        <v>440053</v>
      </c>
      <c r="E62" s="99">
        <v>1</v>
      </c>
    </row>
    <row r="63" spans="1:5" x14ac:dyDescent="0.3">
      <c r="A63" t="s">
        <v>38</v>
      </c>
      <c r="B63" s="104">
        <v>58</v>
      </c>
      <c r="C63" s="99">
        <v>9</v>
      </c>
      <c r="D63" s="99">
        <v>12</v>
      </c>
      <c r="E63" s="99">
        <v>200</v>
      </c>
    </row>
    <row r="64" spans="1:5" x14ac:dyDescent="0.3">
      <c r="A64" t="s">
        <v>38</v>
      </c>
      <c r="B64" s="104">
        <v>59</v>
      </c>
      <c r="C64" s="99">
        <v>9</v>
      </c>
      <c r="D64" s="99">
        <v>21</v>
      </c>
      <c r="E64" s="99">
        <v>1</v>
      </c>
    </row>
    <row r="65" spans="1:5" x14ac:dyDescent="0.3">
      <c r="A65" t="s">
        <v>38</v>
      </c>
      <c r="B65" s="104">
        <v>60</v>
      </c>
      <c r="C65" s="99">
        <v>9</v>
      </c>
      <c r="D65" s="99">
        <v>420092</v>
      </c>
      <c r="E65" s="99">
        <v>1</v>
      </c>
    </row>
    <row r="66" spans="1:5" x14ac:dyDescent="0.3">
      <c r="A66" t="s">
        <v>38</v>
      </c>
      <c r="B66" s="104">
        <v>61</v>
      </c>
      <c r="C66" s="99">
        <v>9</v>
      </c>
      <c r="D66" s="99">
        <v>930003</v>
      </c>
      <c r="E66" s="99">
        <v>2</v>
      </c>
    </row>
    <row r="67" spans="1:5" x14ac:dyDescent="0.3">
      <c r="A67" t="s">
        <v>38</v>
      </c>
      <c r="B67" s="104">
        <v>62</v>
      </c>
      <c r="C67" s="99">
        <v>9</v>
      </c>
      <c r="D67" s="99">
        <v>1</v>
      </c>
      <c r="E67" s="99">
        <v>60</v>
      </c>
    </row>
    <row r="68" spans="1:5" x14ac:dyDescent="0.3">
      <c r="A68" t="s">
        <v>38</v>
      </c>
      <c r="B68" s="104">
        <v>63</v>
      </c>
      <c r="C68" s="99">
        <v>9</v>
      </c>
      <c r="D68" s="99">
        <v>930006</v>
      </c>
      <c r="E68" s="99">
        <v>1</v>
      </c>
    </row>
    <row r="69" spans="1:5" x14ac:dyDescent="0.3">
      <c r="A69" t="s">
        <v>38</v>
      </c>
      <c r="B69" s="104">
        <v>64</v>
      </c>
      <c r="C69" s="99">
        <v>10</v>
      </c>
      <c r="D69" s="99">
        <v>440053</v>
      </c>
      <c r="E69" s="99">
        <v>1</v>
      </c>
    </row>
    <row r="70" spans="1:5" x14ac:dyDescent="0.3">
      <c r="A70" t="s">
        <v>38</v>
      </c>
      <c r="B70" s="104">
        <v>65</v>
      </c>
      <c r="C70" s="99">
        <v>10</v>
      </c>
      <c r="D70" s="99">
        <v>12</v>
      </c>
      <c r="E70" s="99">
        <v>200</v>
      </c>
    </row>
    <row r="71" spans="1:5" x14ac:dyDescent="0.3">
      <c r="A71" t="s">
        <v>38</v>
      </c>
      <c r="B71" s="104">
        <v>66</v>
      </c>
      <c r="C71" s="99">
        <v>10</v>
      </c>
      <c r="D71" s="99">
        <v>21</v>
      </c>
      <c r="E71" s="99">
        <v>1</v>
      </c>
    </row>
    <row r="72" spans="1:5" s="99" customFormat="1" x14ac:dyDescent="0.3">
      <c r="A72" t="s">
        <v>38</v>
      </c>
      <c r="B72" s="104">
        <v>67</v>
      </c>
      <c r="C72" s="99">
        <v>10</v>
      </c>
      <c r="D72" s="99">
        <v>420092</v>
      </c>
      <c r="E72" s="99">
        <v>1</v>
      </c>
    </row>
    <row r="73" spans="1:5" s="99" customFormat="1" x14ac:dyDescent="0.3">
      <c r="A73" t="s">
        <v>38</v>
      </c>
      <c r="B73" s="104">
        <v>68</v>
      </c>
      <c r="C73" s="99">
        <v>10</v>
      </c>
      <c r="D73" s="99">
        <v>930003</v>
      </c>
      <c r="E73" s="99">
        <v>2</v>
      </c>
    </row>
    <row r="74" spans="1:5" s="99" customFormat="1" x14ac:dyDescent="0.3">
      <c r="A74" t="s">
        <v>38</v>
      </c>
      <c r="B74" s="104">
        <v>69</v>
      </c>
      <c r="C74" s="99">
        <v>10</v>
      </c>
      <c r="D74" s="99">
        <v>1</v>
      </c>
      <c r="E74" s="99">
        <v>60</v>
      </c>
    </row>
    <row r="75" spans="1:5" s="99" customFormat="1" x14ac:dyDescent="0.3">
      <c r="A75" t="s">
        <v>38</v>
      </c>
      <c r="B75" s="104">
        <v>70</v>
      </c>
      <c r="C75" s="99">
        <v>10</v>
      </c>
      <c r="D75" s="99">
        <v>930006</v>
      </c>
      <c r="E75" s="99">
        <v>1</v>
      </c>
    </row>
    <row r="76" spans="1:5" s="99" customFormat="1" x14ac:dyDescent="0.3">
      <c r="A76" t="s">
        <v>38</v>
      </c>
      <c r="B76" s="104">
        <v>71</v>
      </c>
      <c r="C76" s="99">
        <v>11</v>
      </c>
      <c r="D76" s="99">
        <v>440053</v>
      </c>
      <c r="E76" s="99">
        <v>1</v>
      </c>
    </row>
    <row r="77" spans="1:5" s="99" customFormat="1" x14ac:dyDescent="0.3">
      <c r="A77" t="s">
        <v>38</v>
      </c>
      <c r="B77" s="104">
        <v>72</v>
      </c>
      <c r="C77" s="99">
        <v>11</v>
      </c>
      <c r="D77" s="99">
        <v>12</v>
      </c>
      <c r="E77" s="99">
        <v>200</v>
      </c>
    </row>
    <row r="78" spans="1:5" s="99" customFormat="1" x14ac:dyDescent="0.3">
      <c r="A78" t="s">
        <v>38</v>
      </c>
      <c r="B78" s="104">
        <v>73</v>
      </c>
      <c r="C78" s="99">
        <v>11</v>
      </c>
      <c r="D78" s="99">
        <v>21</v>
      </c>
      <c r="E78" s="99">
        <v>1</v>
      </c>
    </row>
    <row r="79" spans="1:5" s="99" customFormat="1" x14ac:dyDescent="0.3">
      <c r="A79" t="s">
        <v>38</v>
      </c>
      <c r="B79" s="104">
        <v>74</v>
      </c>
      <c r="C79" s="99">
        <v>11</v>
      </c>
      <c r="D79" s="99">
        <v>420092</v>
      </c>
      <c r="E79" s="99">
        <v>1</v>
      </c>
    </row>
    <row r="80" spans="1:5" s="99" customFormat="1" x14ac:dyDescent="0.3">
      <c r="A80" t="s">
        <v>38</v>
      </c>
      <c r="B80" s="104">
        <v>75</v>
      </c>
      <c r="C80" s="99">
        <v>11</v>
      </c>
      <c r="D80" s="99">
        <v>930003</v>
      </c>
      <c r="E80" s="99">
        <v>2</v>
      </c>
    </row>
    <row r="81" spans="1:5" s="99" customFormat="1" x14ac:dyDescent="0.3">
      <c r="A81" t="s">
        <v>38</v>
      </c>
      <c r="B81" s="104">
        <v>76</v>
      </c>
      <c r="C81" s="99">
        <v>11</v>
      </c>
      <c r="D81" s="99">
        <v>1</v>
      </c>
      <c r="E81" s="99">
        <v>60</v>
      </c>
    </row>
    <row r="82" spans="1:5" s="99" customFormat="1" x14ac:dyDescent="0.3">
      <c r="A82" t="s">
        <v>38</v>
      </c>
      <c r="B82" s="104">
        <v>77</v>
      </c>
      <c r="C82" s="99">
        <v>11</v>
      </c>
      <c r="D82" s="99">
        <v>930006</v>
      </c>
      <c r="E82" s="99">
        <v>1</v>
      </c>
    </row>
    <row r="83" spans="1:5" s="99" customFormat="1" x14ac:dyDescent="0.3">
      <c r="A83" t="s">
        <v>38</v>
      </c>
      <c r="B83" s="104">
        <v>78</v>
      </c>
      <c r="C83" s="99">
        <v>12</v>
      </c>
      <c r="D83" s="99">
        <v>440053</v>
      </c>
      <c r="E83" s="99">
        <v>1</v>
      </c>
    </row>
    <row r="84" spans="1:5" s="99" customFormat="1" x14ac:dyDescent="0.3">
      <c r="A84" t="s">
        <v>38</v>
      </c>
      <c r="B84" s="104">
        <v>79</v>
      </c>
      <c r="C84" s="99">
        <v>12</v>
      </c>
      <c r="D84" s="99">
        <v>12</v>
      </c>
      <c r="E84" s="99">
        <v>200</v>
      </c>
    </row>
    <row r="85" spans="1:5" s="99" customFormat="1" x14ac:dyDescent="0.3">
      <c r="A85" t="s">
        <v>38</v>
      </c>
      <c r="B85" s="104">
        <v>80</v>
      </c>
      <c r="C85" s="99">
        <v>12</v>
      </c>
      <c r="D85" s="99">
        <v>21</v>
      </c>
      <c r="E85" s="99">
        <v>1</v>
      </c>
    </row>
    <row r="86" spans="1:5" s="99" customFormat="1" x14ac:dyDescent="0.3">
      <c r="A86" t="s">
        <v>38</v>
      </c>
      <c r="B86" s="104">
        <v>81</v>
      </c>
      <c r="C86" s="99">
        <v>12</v>
      </c>
      <c r="D86" s="99">
        <v>420092</v>
      </c>
      <c r="E86" s="99">
        <v>1</v>
      </c>
    </row>
    <row r="87" spans="1:5" s="99" customFormat="1" x14ac:dyDescent="0.3">
      <c r="A87" t="s">
        <v>38</v>
      </c>
      <c r="B87" s="104">
        <v>82</v>
      </c>
      <c r="C87" s="99">
        <v>12</v>
      </c>
      <c r="D87" s="99">
        <v>930003</v>
      </c>
      <c r="E87" s="99">
        <v>2</v>
      </c>
    </row>
    <row r="88" spans="1:5" s="99" customFormat="1" x14ac:dyDescent="0.3">
      <c r="A88" t="s">
        <v>38</v>
      </c>
      <c r="B88" s="104">
        <v>83</v>
      </c>
      <c r="C88" s="99">
        <v>12</v>
      </c>
      <c r="D88" s="99">
        <v>1</v>
      </c>
      <c r="E88" s="99">
        <v>60</v>
      </c>
    </row>
    <row r="89" spans="1:5" s="99" customFormat="1" x14ac:dyDescent="0.3">
      <c r="A89" t="s">
        <v>38</v>
      </c>
      <c r="B89" s="104">
        <v>84</v>
      </c>
      <c r="C89" s="99">
        <v>12</v>
      </c>
      <c r="D89" s="99">
        <v>930006</v>
      </c>
      <c r="E89" s="99">
        <v>1</v>
      </c>
    </row>
    <row r="90" spans="1:5" s="99" customFormat="1" x14ac:dyDescent="0.3">
      <c r="A90" t="s">
        <v>38</v>
      </c>
      <c r="B90" s="104">
        <v>85</v>
      </c>
      <c r="C90" s="99">
        <v>13</v>
      </c>
      <c r="D90" s="99">
        <v>440053</v>
      </c>
      <c r="E90" s="99">
        <v>1</v>
      </c>
    </row>
    <row r="91" spans="1:5" s="99" customFormat="1" x14ac:dyDescent="0.3">
      <c r="A91" t="s">
        <v>38</v>
      </c>
      <c r="B91" s="104">
        <v>86</v>
      </c>
      <c r="C91" s="99">
        <v>13</v>
      </c>
      <c r="D91" s="99">
        <v>12</v>
      </c>
      <c r="E91" s="99">
        <v>200</v>
      </c>
    </row>
    <row r="92" spans="1:5" s="99" customFormat="1" x14ac:dyDescent="0.3">
      <c r="A92" t="s">
        <v>38</v>
      </c>
      <c r="B92" s="104">
        <v>87</v>
      </c>
      <c r="C92" s="99">
        <v>13</v>
      </c>
      <c r="D92" s="99">
        <v>21</v>
      </c>
      <c r="E92" s="99">
        <v>1</v>
      </c>
    </row>
    <row r="93" spans="1:5" s="99" customFormat="1" x14ac:dyDescent="0.3">
      <c r="A93" t="s">
        <v>38</v>
      </c>
      <c r="B93" s="104">
        <v>88</v>
      </c>
      <c r="C93" s="99">
        <v>13</v>
      </c>
      <c r="D93" s="99">
        <v>420092</v>
      </c>
      <c r="E93" s="99">
        <v>1</v>
      </c>
    </row>
    <row r="94" spans="1:5" s="99" customFormat="1" x14ac:dyDescent="0.3">
      <c r="A94" t="s">
        <v>38</v>
      </c>
      <c r="B94" s="104">
        <v>89</v>
      </c>
      <c r="C94" s="99">
        <v>13</v>
      </c>
      <c r="D94" s="99">
        <v>930003</v>
      </c>
      <c r="E94" s="99">
        <v>2</v>
      </c>
    </row>
    <row r="95" spans="1:5" s="99" customFormat="1" x14ac:dyDescent="0.3">
      <c r="A95" t="s">
        <v>38</v>
      </c>
      <c r="B95" s="104">
        <v>90</v>
      </c>
      <c r="C95" s="99">
        <v>13</v>
      </c>
      <c r="D95" s="99">
        <v>1</v>
      </c>
      <c r="E95" s="99">
        <v>60</v>
      </c>
    </row>
    <row r="96" spans="1:5" s="99" customFormat="1" x14ac:dyDescent="0.3">
      <c r="A96" t="s">
        <v>38</v>
      </c>
      <c r="B96" s="104">
        <v>91</v>
      </c>
      <c r="C96" s="99">
        <v>13</v>
      </c>
      <c r="D96" s="99">
        <v>930006</v>
      </c>
      <c r="E96" s="99">
        <v>1</v>
      </c>
    </row>
    <row r="97" spans="1:5" s="99" customFormat="1" x14ac:dyDescent="0.3">
      <c r="A97" t="s">
        <v>38</v>
      </c>
      <c r="B97" s="104">
        <v>92</v>
      </c>
      <c r="C97" s="100">
        <v>14</v>
      </c>
      <c r="D97" s="100">
        <v>440053</v>
      </c>
      <c r="E97" s="100">
        <v>1</v>
      </c>
    </row>
    <row r="98" spans="1:5" s="99" customFormat="1" x14ac:dyDescent="0.3">
      <c r="A98" t="s">
        <v>38</v>
      </c>
      <c r="B98" s="104">
        <v>93</v>
      </c>
      <c r="C98" s="100">
        <v>14</v>
      </c>
      <c r="D98" s="100">
        <v>12</v>
      </c>
      <c r="E98" s="100">
        <v>200</v>
      </c>
    </row>
    <row r="99" spans="1:5" s="99" customFormat="1" x14ac:dyDescent="0.3">
      <c r="A99" t="s">
        <v>38</v>
      </c>
      <c r="B99" s="104">
        <v>94</v>
      </c>
      <c r="C99" s="100">
        <v>14</v>
      </c>
      <c r="D99" s="100">
        <v>21</v>
      </c>
      <c r="E99" s="100">
        <v>1</v>
      </c>
    </row>
    <row r="100" spans="1:5" s="99" customFormat="1" x14ac:dyDescent="0.3">
      <c r="A100" t="s">
        <v>38</v>
      </c>
      <c r="B100" s="104">
        <v>95</v>
      </c>
      <c r="C100" s="100">
        <v>14</v>
      </c>
      <c r="D100" s="100">
        <v>420092</v>
      </c>
      <c r="E100" s="100">
        <v>1</v>
      </c>
    </row>
    <row r="101" spans="1:5" s="99" customFormat="1" x14ac:dyDescent="0.3">
      <c r="A101" t="s">
        <v>38</v>
      </c>
      <c r="B101" s="104">
        <v>96</v>
      </c>
      <c r="C101" s="100">
        <v>14</v>
      </c>
      <c r="D101" s="100">
        <v>930003</v>
      </c>
      <c r="E101" s="100">
        <v>2</v>
      </c>
    </row>
    <row r="102" spans="1:5" s="99" customFormat="1" x14ac:dyDescent="0.3">
      <c r="A102" t="s">
        <v>38</v>
      </c>
      <c r="B102" s="104">
        <v>97</v>
      </c>
      <c r="C102" s="100">
        <v>14</v>
      </c>
      <c r="D102" s="100">
        <v>1</v>
      </c>
      <c r="E102" s="100">
        <v>60</v>
      </c>
    </row>
    <row r="103" spans="1:5" s="99" customFormat="1" x14ac:dyDescent="0.3">
      <c r="A103" t="s">
        <v>38</v>
      </c>
      <c r="B103" s="104">
        <v>98</v>
      </c>
      <c r="C103" s="100">
        <v>14</v>
      </c>
      <c r="D103" s="100">
        <v>930006</v>
      </c>
      <c r="E103" s="100">
        <v>1</v>
      </c>
    </row>
    <row r="104" spans="1:5" s="99" customFormat="1" x14ac:dyDescent="0.3">
      <c r="A104" t="s">
        <v>38</v>
      </c>
      <c r="B104" s="104">
        <v>99</v>
      </c>
      <c r="C104" s="8">
        <v>15</v>
      </c>
      <c r="D104" s="8">
        <v>440053</v>
      </c>
      <c r="E104" s="8">
        <v>1</v>
      </c>
    </row>
    <row r="105" spans="1:5" s="99" customFormat="1" x14ac:dyDescent="0.3">
      <c r="A105" t="s">
        <v>38</v>
      </c>
      <c r="B105" s="104">
        <v>100</v>
      </c>
      <c r="C105" s="8">
        <v>15</v>
      </c>
      <c r="D105" s="8">
        <v>12</v>
      </c>
      <c r="E105" s="8">
        <v>200</v>
      </c>
    </row>
    <row r="106" spans="1:5" s="99" customFormat="1" x14ac:dyDescent="0.3">
      <c r="A106" t="s">
        <v>38</v>
      </c>
      <c r="B106" s="104">
        <v>101</v>
      </c>
      <c r="C106" s="8">
        <v>15</v>
      </c>
      <c r="D106" s="8">
        <v>21</v>
      </c>
      <c r="E106" s="8">
        <v>1</v>
      </c>
    </row>
    <row r="107" spans="1:5" s="100" customFormat="1" x14ac:dyDescent="0.3">
      <c r="A107" t="s">
        <v>38</v>
      </c>
      <c r="B107" s="104">
        <v>102</v>
      </c>
      <c r="C107" s="8">
        <v>15</v>
      </c>
      <c r="D107" s="8">
        <v>420092</v>
      </c>
      <c r="E107" s="8">
        <v>1</v>
      </c>
    </row>
    <row r="108" spans="1:5" s="100" customFormat="1" x14ac:dyDescent="0.3">
      <c r="A108" t="s">
        <v>38</v>
      </c>
      <c r="B108" s="104">
        <v>103</v>
      </c>
      <c r="C108" s="8">
        <v>15</v>
      </c>
      <c r="D108" s="8">
        <v>930003</v>
      </c>
      <c r="E108" s="8">
        <v>2</v>
      </c>
    </row>
    <row r="109" spans="1:5" s="100" customFormat="1" x14ac:dyDescent="0.3">
      <c r="A109" t="s">
        <v>38</v>
      </c>
      <c r="B109" s="104">
        <v>104</v>
      </c>
      <c r="C109" s="8">
        <v>15</v>
      </c>
      <c r="D109" s="8">
        <v>1</v>
      </c>
      <c r="E109" s="8">
        <v>60</v>
      </c>
    </row>
    <row r="110" spans="1:5" s="100" customFormat="1" x14ac:dyDescent="0.3">
      <c r="A110" t="s">
        <v>38</v>
      </c>
      <c r="B110" s="104">
        <v>105</v>
      </c>
      <c r="C110" s="8">
        <v>15</v>
      </c>
      <c r="D110" s="8">
        <v>930006</v>
      </c>
      <c r="E110" s="8">
        <v>1</v>
      </c>
    </row>
    <row r="111" spans="1:5" s="100" customFormat="1" x14ac:dyDescent="0.3">
      <c r="A111" t="s">
        <v>38</v>
      </c>
      <c r="B111" s="104">
        <v>106</v>
      </c>
      <c r="C111" s="8">
        <f>C104+1</f>
        <v>16</v>
      </c>
      <c r="D111" s="8">
        <v>440053</v>
      </c>
      <c r="E111" s="8">
        <v>1</v>
      </c>
    </row>
    <row r="112" spans="1:5" s="100" customFormat="1" x14ac:dyDescent="0.3">
      <c r="A112" t="s">
        <v>38</v>
      </c>
      <c r="B112" s="104">
        <v>107</v>
      </c>
      <c r="C112" s="8">
        <f t="shared" ref="C112:C175" si="1">C105+1</f>
        <v>16</v>
      </c>
      <c r="D112" s="8">
        <v>12</v>
      </c>
      <c r="E112" s="8">
        <v>200</v>
      </c>
    </row>
    <row r="113" spans="1:5" s="100" customFormat="1" x14ac:dyDescent="0.3">
      <c r="A113" t="s">
        <v>38</v>
      </c>
      <c r="B113" s="104">
        <v>108</v>
      </c>
      <c r="C113" s="8">
        <f t="shared" si="1"/>
        <v>16</v>
      </c>
      <c r="D113" s="8">
        <v>21</v>
      </c>
      <c r="E113" s="8">
        <v>1</v>
      </c>
    </row>
    <row r="114" spans="1:5" x14ac:dyDescent="0.3">
      <c r="A114" t="s">
        <v>38</v>
      </c>
      <c r="B114" s="104">
        <v>109</v>
      </c>
      <c r="C114" s="8">
        <f t="shared" si="1"/>
        <v>16</v>
      </c>
      <c r="D114" s="8">
        <v>420092</v>
      </c>
      <c r="E114" s="8">
        <v>1</v>
      </c>
    </row>
    <row r="115" spans="1:5" x14ac:dyDescent="0.3">
      <c r="A115" t="s">
        <v>38</v>
      </c>
      <c r="B115" s="104">
        <v>110</v>
      </c>
      <c r="C115" s="8">
        <f t="shared" si="1"/>
        <v>16</v>
      </c>
      <c r="D115" s="8">
        <v>930003</v>
      </c>
      <c r="E115" s="8">
        <v>2</v>
      </c>
    </row>
    <row r="116" spans="1:5" x14ac:dyDescent="0.3">
      <c r="A116" t="s">
        <v>38</v>
      </c>
      <c r="B116" s="104">
        <v>111</v>
      </c>
      <c r="C116" s="8">
        <f t="shared" si="1"/>
        <v>16</v>
      </c>
      <c r="D116" s="8">
        <v>1</v>
      </c>
      <c r="E116" s="8">
        <v>60</v>
      </c>
    </row>
    <row r="117" spans="1:5" x14ac:dyDescent="0.3">
      <c r="A117" t="s">
        <v>38</v>
      </c>
      <c r="B117" s="104">
        <v>112</v>
      </c>
      <c r="C117" s="8">
        <f t="shared" si="1"/>
        <v>16</v>
      </c>
      <c r="D117" s="8">
        <v>930006</v>
      </c>
      <c r="E117" s="8">
        <v>1</v>
      </c>
    </row>
    <row r="118" spans="1:5" x14ac:dyDescent="0.3">
      <c r="B118" s="8">
        <v>113</v>
      </c>
      <c r="C118" s="8">
        <f t="shared" si="1"/>
        <v>17</v>
      </c>
      <c r="D118" s="8">
        <v>440053</v>
      </c>
      <c r="E118" s="8">
        <v>1</v>
      </c>
    </row>
    <row r="119" spans="1:5" x14ac:dyDescent="0.3">
      <c r="B119" s="8">
        <v>114</v>
      </c>
      <c r="C119" s="8">
        <f t="shared" si="1"/>
        <v>17</v>
      </c>
      <c r="D119" s="8">
        <v>12</v>
      </c>
      <c r="E119" s="8">
        <v>200</v>
      </c>
    </row>
    <row r="120" spans="1:5" x14ac:dyDescent="0.3">
      <c r="B120" s="8">
        <v>115</v>
      </c>
      <c r="C120" s="8">
        <f t="shared" si="1"/>
        <v>17</v>
      </c>
      <c r="D120" s="8">
        <v>21</v>
      </c>
      <c r="E120" s="8">
        <v>1</v>
      </c>
    </row>
    <row r="121" spans="1:5" x14ac:dyDescent="0.3">
      <c r="B121" s="8">
        <v>116</v>
      </c>
      <c r="C121" s="8">
        <f t="shared" si="1"/>
        <v>17</v>
      </c>
      <c r="D121" s="8">
        <v>420092</v>
      </c>
      <c r="E121" s="8">
        <v>1</v>
      </c>
    </row>
    <row r="122" spans="1:5" x14ac:dyDescent="0.3">
      <c r="B122" s="8">
        <v>117</v>
      </c>
      <c r="C122" s="8">
        <f t="shared" si="1"/>
        <v>17</v>
      </c>
      <c r="D122" s="8">
        <v>930003</v>
      </c>
      <c r="E122" s="8">
        <v>2</v>
      </c>
    </row>
    <row r="123" spans="1:5" x14ac:dyDescent="0.3">
      <c r="B123" s="8">
        <v>118</v>
      </c>
      <c r="C123" s="8">
        <f t="shared" si="1"/>
        <v>17</v>
      </c>
      <c r="D123" s="8">
        <v>1</v>
      </c>
      <c r="E123" s="8">
        <v>60</v>
      </c>
    </row>
    <row r="124" spans="1:5" x14ac:dyDescent="0.3">
      <c r="B124" s="8">
        <v>119</v>
      </c>
      <c r="C124" s="8">
        <f t="shared" si="1"/>
        <v>17</v>
      </c>
      <c r="D124" s="8">
        <v>930006</v>
      </c>
      <c r="E124" s="8">
        <v>1</v>
      </c>
    </row>
    <row r="125" spans="1:5" x14ac:dyDescent="0.3">
      <c r="B125" s="8">
        <v>120</v>
      </c>
      <c r="C125" s="8">
        <f t="shared" si="1"/>
        <v>18</v>
      </c>
      <c r="D125" s="8">
        <v>1</v>
      </c>
      <c r="E125" s="8">
        <v>60</v>
      </c>
    </row>
    <row r="126" spans="1:5" x14ac:dyDescent="0.3">
      <c r="B126" s="8">
        <v>121</v>
      </c>
      <c r="C126" s="8">
        <f t="shared" si="1"/>
        <v>18</v>
      </c>
      <c r="D126" s="8">
        <v>12</v>
      </c>
      <c r="E126" s="8">
        <v>200</v>
      </c>
    </row>
    <row r="127" spans="1:5" x14ac:dyDescent="0.3">
      <c r="B127" s="8">
        <v>122</v>
      </c>
      <c r="C127" s="8">
        <f t="shared" si="1"/>
        <v>18</v>
      </c>
      <c r="D127" s="8">
        <v>21</v>
      </c>
      <c r="E127" s="8">
        <v>1</v>
      </c>
    </row>
    <row r="128" spans="1:5" x14ac:dyDescent="0.3">
      <c r="A128" s="8" t="s">
        <v>267</v>
      </c>
      <c r="B128" s="8">
        <v>123</v>
      </c>
      <c r="C128" s="8">
        <f t="shared" si="1"/>
        <v>18</v>
      </c>
      <c r="D128" s="8">
        <v>420092</v>
      </c>
      <c r="E128" s="8">
        <v>1</v>
      </c>
    </row>
    <row r="129" spans="2:5" x14ac:dyDescent="0.3">
      <c r="B129" s="8">
        <v>124</v>
      </c>
      <c r="C129" s="8">
        <f t="shared" si="1"/>
        <v>18</v>
      </c>
      <c r="D129" s="8">
        <v>930003</v>
      </c>
      <c r="E129" s="8">
        <v>2</v>
      </c>
    </row>
    <row r="130" spans="2:5" x14ac:dyDescent="0.3">
      <c r="B130" s="8">
        <v>125</v>
      </c>
      <c r="C130" s="8">
        <f t="shared" si="1"/>
        <v>18</v>
      </c>
      <c r="D130" s="8">
        <v>440053</v>
      </c>
      <c r="E130" s="8">
        <v>1</v>
      </c>
    </row>
    <row r="131" spans="2:5" x14ac:dyDescent="0.3">
      <c r="B131" s="8">
        <v>126</v>
      </c>
      <c r="C131" s="8">
        <f t="shared" si="1"/>
        <v>18</v>
      </c>
      <c r="D131" s="8">
        <v>930006</v>
      </c>
      <c r="E131" s="8">
        <v>1</v>
      </c>
    </row>
    <row r="132" spans="2:5" x14ac:dyDescent="0.3">
      <c r="B132" s="8">
        <v>127</v>
      </c>
      <c r="C132" s="8">
        <f t="shared" si="1"/>
        <v>19</v>
      </c>
      <c r="D132" s="8">
        <v>440053</v>
      </c>
      <c r="E132" s="8">
        <v>1</v>
      </c>
    </row>
    <row r="133" spans="2:5" x14ac:dyDescent="0.3">
      <c r="B133" s="8">
        <v>128</v>
      </c>
      <c r="C133" s="8">
        <f t="shared" si="1"/>
        <v>19</v>
      </c>
      <c r="D133" s="8">
        <v>12</v>
      </c>
      <c r="E133" s="8">
        <v>200</v>
      </c>
    </row>
    <row r="134" spans="2:5" x14ac:dyDescent="0.3">
      <c r="B134" s="8">
        <v>129</v>
      </c>
      <c r="C134" s="8">
        <f t="shared" si="1"/>
        <v>19</v>
      </c>
      <c r="D134" s="8">
        <v>21</v>
      </c>
      <c r="E134" s="8">
        <v>1</v>
      </c>
    </row>
    <row r="135" spans="2:5" x14ac:dyDescent="0.3">
      <c r="B135" s="8">
        <v>130</v>
      </c>
      <c r="C135" s="8">
        <f t="shared" si="1"/>
        <v>19</v>
      </c>
      <c r="D135" s="8">
        <v>420092</v>
      </c>
      <c r="E135" s="8">
        <v>1</v>
      </c>
    </row>
    <row r="136" spans="2:5" x14ac:dyDescent="0.3">
      <c r="B136" s="8">
        <v>131</v>
      </c>
      <c r="C136" s="8">
        <f t="shared" si="1"/>
        <v>19</v>
      </c>
      <c r="D136" s="8">
        <v>930003</v>
      </c>
      <c r="E136" s="8">
        <v>2</v>
      </c>
    </row>
    <row r="137" spans="2:5" x14ac:dyDescent="0.3">
      <c r="B137" s="8">
        <v>132</v>
      </c>
      <c r="C137" s="8">
        <f t="shared" si="1"/>
        <v>19</v>
      </c>
      <c r="D137" s="8">
        <v>1</v>
      </c>
      <c r="E137" s="8">
        <v>60</v>
      </c>
    </row>
    <row r="138" spans="2:5" x14ac:dyDescent="0.3">
      <c r="B138" s="8">
        <v>133</v>
      </c>
      <c r="C138" s="8">
        <f t="shared" si="1"/>
        <v>19</v>
      </c>
      <c r="D138" s="8">
        <v>930006</v>
      </c>
      <c r="E138" s="8">
        <v>1</v>
      </c>
    </row>
    <row r="139" spans="2:5" x14ac:dyDescent="0.3">
      <c r="B139" s="8">
        <v>134</v>
      </c>
      <c r="C139" s="8">
        <f t="shared" si="1"/>
        <v>20</v>
      </c>
      <c r="D139" s="8">
        <v>440053</v>
      </c>
      <c r="E139" s="8">
        <v>1</v>
      </c>
    </row>
    <row r="140" spans="2:5" x14ac:dyDescent="0.3">
      <c r="B140" s="8">
        <v>135</v>
      </c>
      <c r="C140" s="8">
        <f t="shared" si="1"/>
        <v>20</v>
      </c>
      <c r="D140" s="8">
        <v>12</v>
      </c>
      <c r="E140" s="8">
        <v>200</v>
      </c>
    </row>
    <row r="141" spans="2:5" x14ac:dyDescent="0.3">
      <c r="B141" s="8">
        <v>136</v>
      </c>
      <c r="C141" s="8">
        <f t="shared" si="1"/>
        <v>20</v>
      </c>
      <c r="D141" s="8">
        <v>21</v>
      </c>
      <c r="E141" s="8">
        <v>1</v>
      </c>
    </row>
    <row r="142" spans="2:5" x14ac:dyDescent="0.3">
      <c r="B142" s="8">
        <v>137</v>
      </c>
      <c r="C142" s="8">
        <f t="shared" si="1"/>
        <v>20</v>
      </c>
      <c r="D142" s="8">
        <v>420092</v>
      </c>
      <c r="E142" s="8">
        <v>1</v>
      </c>
    </row>
    <row r="143" spans="2:5" x14ac:dyDescent="0.3">
      <c r="B143" s="8">
        <v>138</v>
      </c>
      <c r="C143" s="8">
        <f t="shared" si="1"/>
        <v>20</v>
      </c>
      <c r="D143" s="8">
        <v>930003</v>
      </c>
      <c r="E143" s="8">
        <v>2</v>
      </c>
    </row>
    <row r="144" spans="2:5" x14ac:dyDescent="0.3">
      <c r="B144" s="8">
        <v>139</v>
      </c>
      <c r="C144" s="8">
        <f t="shared" si="1"/>
        <v>20</v>
      </c>
      <c r="D144" s="8">
        <v>1</v>
      </c>
      <c r="E144" s="8">
        <v>60</v>
      </c>
    </row>
    <row r="145" spans="2:5" x14ac:dyDescent="0.3">
      <c r="B145" s="8">
        <v>140</v>
      </c>
      <c r="C145" s="8">
        <f t="shared" si="1"/>
        <v>20</v>
      </c>
      <c r="D145" s="8">
        <v>930006</v>
      </c>
      <c r="E145" s="8">
        <v>1</v>
      </c>
    </row>
    <row r="146" spans="2:5" x14ac:dyDescent="0.3">
      <c r="B146" s="8">
        <v>141</v>
      </c>
      <c r="C146" s="8">
        <f t="shared" si="1"/>
        <v>21</v>
      </c>
      <c r="D146" s="8">
        <v>440053</v>
      </c>
      <c r="E146" s="8">
        <v>1</v>
      </c>
    </row>
    <row r="147" spans="2:5" x14ac:dyDescent="0.3">
      <c r="B147" s="8">
        <v>142</v>
      </c>
      <c r="C147" s="8">
        <f t="shared" si="1"/>
        <v>21</v>
      </c>
      <c r="D147" s="8">
        <v>12</v>
      </c>
      <c r="E147" s="8">
        <v>200</v>
      </c>
    </row>
    <row r="148" spans="2:5" x14ac:dyDescent="0.3">
      <c r="B148" s="8">
        <v>143</v>
      </c>
      <c r="C148" s="8">
        <f t="shared" si="1"/>
        <v>21</v>
      </c>
      <c r="D148" s="8">
        <v>21</v>
      </c>
      <c r="E148" s="8">
        <v>1</v>
      </c>
    </row>
    <row r="149" spans="2:5" x14ac:dyDescent="0.3">
      <c r="B149" s="8">
        <v>144</v>
      </c>
      <c r="C149" s="8">
        <f t="shared" si="1"/>
        <v>21</v>
      </c>
      <c r="D149" s="8">
        <v>420092</v>
      </c>
      <c r="E149" s="8">
        <v>1</v>
      </c>
    </row>
    <row r="150" spans="2:5" x14ac:dyDescent="0.3">
      <c r="B150" s="8">
        <v>145</v>
      </c>
      <c r="C150" s="8">
        <f t="shared" si="1"/>
        <v>21</v>
      </c>
      <c r="D150" s="8">
        <v>930003</v>
      </c>
      <c r="E150" s="8">
        <v>2</v>
      </c>
    </row>
    <row r="151" spans="2:5" x14ac:dyDescent="0.3">
      <c r="B151" s="8">
        <v>146</v>
      </c>
      <c r="C151" s="8">
        <f t="shared" si="1"/>
        <v>21</v>
      </c>
      <c r="D151" s="8">
        <v>1</v>
      </c>
      <c r="E151" s="8">
        <v>60</v>
      </c>
    </row>
    <row r="152" spans="2:5" x14ac:dyDescent="0.3">
      <c r="B152" s="8">
        <v>147</v>
      </c>
      <c r="C152" s="8">
        <f t="shared" si="1"/>
        <v>21</v>
      </c>
      <c r="D152" s="8">
        <v>930006</v>
      </c>
      <c r="E152" s="8">
        <v>1</v>
      </c>
    </row>
    <row r="153" spans="2:5" x14ac:dyDescent="0.3">
      <c r="B153" s="8">
        <v>148</v>
      </c>
      <c r="C153" s="8">
        <f t="shared" si="1"/>
        <v>22</v>
      </c>
      <c r="D153" s="8">
        <v>440053</v>
      </c>
      <c r="E153" s="8">
        <v>1</v>
      </c>
    </row>
    <row r="154" spans="2:5" x14ac:dyDescent="0.3">
      <c r="B154" s="8">
        <v>149</v>
      </c>
      <c r="C154" s="8">
        <f t="shared" si="1"/>
        <v>22</v>
      </c>
      <c r="D154" s="8">
        <v>12</v>
      </c>
      <c r="E154" s="8">
        <v>200</v>
      </c>
    </row>
    <row r="155" spans="2:5" x14ac:dyDescent="0.3">
      <c r="B155" s="8">
        <v>150</v>
      </c>
      <c r="C155" s="8">
        <f t="shared" si="1"/>
        <v>22</v>
      </c>
      <c r="D155" s="8">
        <v>21</v>
      </c>
      <c r="E155" s="8">
        <v>1</v>
      </c>
    </row>
    <row r="156" spans="2:5" x14ac:dyDescent="0.3">
      <c r="B156" s="8">
        <v>151</v>
      </c>
      <c r="C156" s="8">
        <f t="shared" si="1"/>
        <v>22</v>
      </c>
      <c r="D156" s="8">
        <v>420092</v>
      </c>
      <c r="E156" s="8">
        <v>1</v>
      </c>
    </row>
    <row r="157" spans="2:5" x14ac:dyDescent="0.3">
      <c r="B157" s="8">
        <v>152</v>
      </c>
      <c r="C157" s="8">
        <f t="shared" si="1"/>
        <v>22</v>
      </c>
      <c r="D157" s="8">
        <v>930003</v>
      </c>
      <c r="E157" s="8">
        <v>2</v>
      </c>
    </row>
    <row r="158" spans="2:5" x14ac:dyDescent="0.3">
      <c r="B158" s="8">
        <v>153</v>
      </c>
      <c r="C158" s="8">
        <f t="shared" si="1"/>
        <v>22</v>
      </c>
      <c r="D158" s="8">
        <v>1</v>
      </c>
      <c r="E158" s="8">
        <v>60</v>
      </c>
    </row>
    <row r="159" spans="2:5" x14ac:dyDescent="0.3">
      <c r="B159" s="8">
        <v>154</v>
      </c>
      <c r="C159" s="8">
        <f t="shared" si="1"/>
        <v>22</v>
      </c>
      <c r="D159" s="8">
        <v>930006</v>
      </c>
      <c r="E159" s="8">
        <v>1</v>
      </c>
    </row>
    <row r="160" spans="2:5" x14ac:dyDescent="0.3">
      <c r="B160" s="8">
        <v>155</v>
      </c>
      <c r="C160" s="8">
        <f t="shared" si="1"/>
        <v>23</v>
      </c>
      <c r="D160" s="8">
        <v>440053</v>
      </c>
      <c r="E160" s="8">
        <v>1</v>
      </c>
    </row>
    <row r="161" spans="2:5" x14ac:dyDescent="0.3">
      <c r="B161" s="8">
        <v>156</v>
      </c>
      <c r="C161" s="8">
        <f t="shared" si="1"/>
        <v>23</v>
      </c>
      <c r="D161" s="8">
        <v>12</v>
      </c>
      <c r="E161" s="8">
        <v>200</v>
      </c>
    </row>
    <row r="162" spans="2:5" x14ac:dyDescent="0.3">
      <c r="B162" s="8">
        <v>157</v>
      </c>
      <c r="C162" s="8">
        <f t="shared" si="1"/>
        <v>23</v>
      </c>
      <c r="D162" s="8">
        <v>21</v>
      </c>
      <c r="E162" s="8">
        <v>1</v>
      </c>
    </row>
    <row r="163" spans="2:5" x14ac:dyDescent="0.3">
      <c r="B163" s="8">
        <v>158</v>
      </c>
      <c r="C163" s="8">
        <f t="shared" si="1"/>
        <v>23</v>
      </c>
      <c r="D163" s="8">
        <v>420092</v>
      </c>
      <c r="E163" s="8">
        <v>1</v>
      </c>
    </row>
    <row r="164" spans="2:5" x14ac:dyDescent="0.3">
      <c r="B164" s="8">
        <v>159</v>
      </c>
      <c r="C164" s="8">
        <f t="shared" si="1"/>
        <v>23</v>
      </c>
      <c r="D164" s="8">
        <v>930003</v>
      </c>
      <c r="E164" s="8">
        <v>2</v>
      </c>
    </row>
    <row r="165" spans="2:5" x14ac:dyDescent="0.3">
      <c r="B165" s="8">
        <v>160</v>
      </c>
      <c r="C165" s="8">
        <f t="shared" si="1"/>
        <v>23</v>
      </c>
      <c r="D165" s="8">
        <v>1</v>
      </c>
      <c r="E165" s="8">
        <v>60</v>
      </c>
    </row>
    <row r="166" spans="2:5" x14ac:dyDescent="0.3">
      <c r="B166" s="8">
        <v>161</v>
      </c>
      <c r="C166" s="8">
        <f t="shared" si="1"/>
        <v>23</v>
      </c>
      <c r="D166" s="8">
        <v>930006</v>
      </c>
      <c r="E166" s="8">
        <v>1</v>
      </c>
    </row>
    <row r="167" spans="2:5" x14ac:dyDescent="0.3">
      <c r="B167" s="8">
        <v>162</v>
      </c>
      <c r="C167" s="8">
        <f t="shared" si="1"/>
        <v>24</v>
      </c>
      <c r="D167" s="8">
        <v>440053</v>
      </c>
      <c r="E167" s="8">
        <v>1</v>
      </c>
    </row>
    <row r="168" spans="2:5" x14ac:dyDescent="0.3">
      <c r="B168" s="8">
        <v>163</v>
      </c>
      <c r="C168" s="8">
        <f t="shared" si="1"/>
        <v>24</v>
      </c>
      <c r="D168" s="8">
        <v>12</v>
      </c>
      <c r="E168" s="8">
        <v>200</v>
      </c>
    </row>
    <row r="169" spans="2:5" x14ac:dyDescent="0.3">
      <c r="B169" s="8">
        <v>164</v>
      </c>
      <c r="C169" s="8">
        <f t="shared" si="1"/>
        <v>24</v>
      </c>
      <c r="D169" s="8">
        <v>21</v>
      </c>
      <c r="E169" s="8">
        <v>1</v>
      </c>
    </row>
    <row r="170" spans="2:5" x14ac:dyDescent="0.3">
      <c r="B170" s="8">
        <v>165</v>
      </c>
      <c r="C170" s="8">
        <f t="shared" si="1"/>
        <v>24</v>
      </c>
      <c r="D170" s="8">
        <v>420092</v>
      </c>
      <c r="E170" s="8">
        <v>1</v>
      </c>
    </row>
    <row r="171" spans="2:5" x14ac:dyDescent="0.3">
      <c r="B171" s="8">
        <v>166</v>
      </c>
      <c r="C171" s="8">
        <f t="shared" si="1"/>
        <v>24</v>
      </c>
      <c r="D171" s="8">
        <v>930003</v>
      </c>
      <c r="E171" s="8">
        <v>2</v>
      </c>
    </row>
    <row r="172" spans="2:5" x14ac:dyDescent="0.3">
      <c r="B172" s="8">
        <v>167</v>
      </c>
      <c r="C172" s="8">
        <f t="shared" si="1"/>
        <v>24</v>
      </c>
      <c r="D172" s="8">
        <v>1</v>
      </c>
      <c r="E172" s="8">
        <v>60</v>
      </c>
    </row>
    <row r="173" spans="2:5" x14ac:dyDescent="0.3">
      <c r="B173" s="8">
        <v>168</v>
      </c>
      <c r="C173" s="8">
        <f t="shared" si="1"/>
        <v>24</v>
      </c>
      <c r="D173" s="8">
        <v>930006</v>
      </c>
      <c r="E173" s="8">
        <v>1</v>
      </c>
    </row>
    <row r="174" spans="2:5" x14ac:dyDescent="0.3">
      <c r="B174" s="8">
        <v>169</v>
      </c>
      <c r="C174" s="8">
        <f t="shared" si="1"/>
        <v>25</v>
      </c>
      <c r="D174" s="8">
        <v>440053</v>
      </c>
      <c r="E174" s="8">
        <v>1</v>
      </c>
    </row>
    <row r="175" spans="2:5" x14ac:dyDescent="0.3">
      <c r="B175" s="8">
        <v>170</v>
      </c>
      <c r="C175" s="8">
        <f t="shared" si="1"/>
        <v>25</v>
      </c>
      <c r="D175" s="8">
        <v>12</v>
      </c>
      <c r="E175" s="8">
        <v>200</v>
      </c>
    </row>
    <row r="176" spans="2:5" x14ac:dyDescent="0.3">
      <c r="B176" s="8">
        <v>171</v>
      </c>
      <c r="C176" s="8">
        <f t="shared" ref="C176:C180" si="2">C169+1</f>
        <v>25</v>
      </c>
      <c r="D176" s="8">
        <v>21</v>
      </c>
      <c r="E176" s="8">
        <v>1</v>
      </c>
    </row>
    <row r="177" spans="2:5" x14ac:dyDescent="0.3">
      <c r="B177" s="8">
        <v>172</v>
      </c>
      <c r="C177" s="8">
        <f t="shared" si="2"/>
        <v>25</v>
      </c>
      <c r="D177" s="8">
        <v>420092</v>
      </c>
      <c r="E177" s="8">
        <v>1</v>
      </c>
    </row>
    <row r="178" spans="2:5" x14ac:dyDescent="0.3">
      <c r="B178" s="8">
        <v>173</v>
      </c>
      <c r="C178" s="8">
        <f t="shared" si="2"/>
        <v>25</v>
      </c>
      <c r="D178" s="8">
        <v>930003</v>
      </c>
      <c r="E178" s="8">
        <v>2</v>
      </c>
    </row>
    <row r="179" spans="2:5" x14ac:dyDescent="0.3">
      <c r="B179" s="8">
        <v>174</v>
      </c>
      <c r="C179" s="8">
        <f t="shared" si="2"/>
        <v>25</v>
      </c>
      <c r="D179" s="8">
        <v>1</v>
      </c>
      <c r="E179" s="8">
        <v>60</v>
      </c>
    </row>
    <row r="180" spans="2:5" x14ac:dyDescent="0.3">
      <c r="B180" s="8">
        <v>175</v>
      </c>
      <c r="C180" s="8">
        <f t="shared" si="2"/>
        <v>25</v>
      </c>
      <c r="D180" s="8">
        <v>930006</v>
      </c>
      <c r="E180" s="8">
        <v>1</v>
      </c>
    </row>
  </sheetData>
  <phoneticPr fontId="20"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1"/>
  <sheetViews>
    <sheetView workbookViewId="0">
      <selection activeCell="J28" sqref="J28"/>
    </sheetView>
  </sheetViews>
  <sheetFormatPr defaultColWidth="11" defaultRowHeight="15.6" x14ac:dyDescent="0.3"/>
  <cols>
    <col min="1" max="1" width="11" style="8" customWidth="1"/>
    <col min="2" max="4" width="11" style="8"/>
    <col min="5" max="5" width="18.5546875" style="8" customWidth="1"/>
    <col min="6" max="6" width="18.33203125" style="8" customWidth="1"/>
    <col min="7" max="16384" width="11" style="8"/>
  </cols>
  <sheetData>
    <row r="1" spans="1:6" x14ac:dyDescent="0.3">
      <c r="A1" t="s">
        <v>0</v>
      </c>
      <c r="B1" s="8" t="s">
        <v>262</v>
      </c>
      <c r="C1" s="8" t="s">
        <v>268</v>
      </c>
      <c r="D1" s="8" t="s">
        <v>201</v>
      </c>
      <c r="E1" s="101" t="s">
        <v>269</v>
      </c>
      <c r="F1" s="8" t="s">
        <v>270</v>
      </c>
    </row>
    <row r="2" spans="1:6" x14ac:dyDescent="0.3">
      <c r="A2" t="s">
        <v>15</v>
      </c>
      <c r="B2" s="83" t="s">
        <v>16</v>
      </c>
      <c r="C2" s="83" t="s">
        <v>240</v>
      </c>
      <c r="D2" s="83" t="s">
        <v>203</v>
      </c>
      <c r="E2" s="102" t="s">
        <v>271</v>
      </c>
      <c r="F2" s="83" t="s">
        <v>272</v>
      </c>
    </row>
    <row r="3" spans="1:6" x14ac:dyDescent="0.3">
      <c r="A3" t="s">
        <v>29</v>
      </c>
      <c r="B3" s="83" t="s">
        <v>30</v>
      </c>
      <c r="C3" s="83" t="s">
        <v>30</v>
      </c>
      <c r="D3" s="83" t="s">
        <v>30</v>
      </c>
      <c r="E3" s="103" t="s">
        <v>31</v>
      </c>
      <c r="F3" s="83" t="s">
        <v>31</v>
      </c>
    </row>
    <row r="4" spans="1:6" x14ac:dyDescent="0.3">
      <c r="A4" t="s">
        <v>33</v>
      </c>
      <c r="B4" s="83" t="s">
        <v>34</v>
      </c>
      <c r="C4" s="83" t="s">
        <v>34</v>
      </c>
      <c r="D4" s="83" t="s">
        <v>34</v>
      </c>
      <c r="E4" s="83" t="s">
        <v>34</v>
      </c>
      <c r="F4" s="83" t="s">
        <v>34</v>
      </c>
    </row>
    <row r="5" spans="1:6" x14ac:dyDescent="0.3">
      <c r="A5" t="s">
        <v>38</v>
      </c>
      <c r="B5" s="83"/>
      <c r="C5" s="83">
        <v>0</v>
      </c>
      <c r="D5" s="83">
        <v>0</v>
      </c>
      <c r="E5" s="103">
        <v>36526</v>
      </c>
      <c r="F5" s="103">
        <v>36526</v>
      </c>
    </row>
    <row r="6" spans="1:6" x14ac:dyDescent="0.3">
      <c r="A6" t="s">
        <v>38</v>
      </c>
      <c r="B6" s="104">
        <v>1</v>
      </c>
      <c r="C6" s="8">
        <v>55</v>
      </c>
      <c r="D6" s="8">
        <v>77</v>
      </c>
      <c r="E6" s="105">
        <v>44207</v>
      </c>
      <c r="F6" s="105">
        <v>44221</v>
      </c>
    </row>
    <row r="7" spans="1:6" x14ac:dyDescent="0.3">
      <c r="A7" t="s">
        <v>38</v>
      </c>
      <c r="B7" s="104">
        <v>2</v>
      </c>
      <c r="C7" s="8">
        <v>55</v>
      </c>
      <c r="D7" s="8">
        <v>77</v>
      </c>
      <c r="E7" s="105">
        <v>44183</v>
      </c>
      <c r="F7" s="105">
        <v>44197</v>
      </c>
    </row>
    <row r="8" spans="1:6" x14ac:dyDescent="0.3">
      <c r="A8" t="s">
        <v>38</v>
      </c>
      <c r="B8" s="104">
        <v>3</v>
      </c>
      <c r="C8" s="8">
        <v>55</v>
      </c>
      <c r="D8" s="8">
        <v>77</v>
      </c>
      <c r="E8" s="2">
        <v>44243</v>
      </c>
      <c r="F8" s="2">
        <v>44252</v>
      </c>
    </row>
    <row r="9" spans="1:6" x14ac:dyDescent="0.3">
      <c r="A9" t="s">
        <v>38</v>
      </c>
      <c r="B9" s="104">
        <v>4</v>
      </c>
      <c r="C9" s="8">
        <v>320</v>
      </c>
      <c r="D9" s="8">
        <v>77</v>
      </c>
      <c r="E9" s="2">
        <v>44998</v>
      </c>
      <c r="F9" s="2">
        <v>45004.999988425901</v>
      </c>
    </row>
    <row r="10" spans="1:6" x14ac:dyDescent="0.3">
      <c r="A10" s="8" t="s">
        <v>273</v>
      </c>
      <c r="B10" s="8">
        <v>5</v>
      </c>
      <c r="C10" s="8">
        <v>320</v>
      </c>
      <c r="D10" s="8">
        <v>77</v>
      </c>
      <c r="E10" s="2">
        <v>45024</v>
      </c>
      <c r="F10" s="2">
        <v>45030.999988425901</v>
      </c>
    </row>
    <row r="11" spans="1:6" x14ac:dyDescent="0.3">
      <c r="B11" s="8">
        <v>6</v>
      </c>
      <c r="C11" s="8">
        <v>320</v>
      </c>
      <c r="D11" s="8">
        <v>77</v>
      </c>
      <c r="E11" s="2">
        <v>45054</v>
      </c>
      <c r="F11" s="2">
        <v>45060.999988425901</v>
      </c>
    </row>
    <row r="12" spans="1:6" x14ac:dyDescent="0.3">
      <c r="B12" s="8">
        <v>7</v>
      </c>
      <c r="C12" s="8">
        <v>320</v>
      </c>
      <c r="D12" s="8">
        <v>77</v>
      </c>
      <c r="E12" s="2">
        <v>45075</v>
      </c>
      <c r="F12" s="2">
        <v>45095.999988425901</v>
      </c>
    </row>
    <row r="13" spans="1:6" x14ac:dyDescent="0.3">
      <c r="B13" s="8">
        <v>8</v>
      </c>
      <c r="C13" s="8">
        <v>320</v>
      </c>
      <c r="D13" s="8">
        <v>77</v>
      </c>
      <c r="E13" s="2">
        <v>45110</v>
      </c>
      <c r="F13" s="2">
        <v>45123.999988425901</v>
      </c>
    </row>
    <row r="14" spans="1:6" x14ac:dyDescent="0.3">
      <c r="B14" s="99">
        <v>9</v>
      </c>
      <c r="C14" s="99">
        <v>320</v>
      </c>
      <c r="D14" s="99">
        <v>77</v>
      </c>
      <c r="E14" s="19">
        <v>45145</v>
      </c>
      <c r="F14" s="19">
        <v>45158.999988425901</v>
      </c>
    </row>
    <row r="15" spans="1:6" x14ac:dyDescent="0.3">
      <c r="B15" s="99">
        <v>10</v>
      </c>
      <c r="C15" s="99">
        <v>320</v>
      </c>
      <c r="D15" s="99">
        <v>77</v>
      </c>
      <c r="E15" s="19">
        <v>45180</v>
      </c>
      <c r="F15" s="19">
        <v>45193.999988425901</v>
      </c>
    </row>
    <row r="16" spans="1:6" x14ac:dyDescent="0.3">
      <c r="B16" s="99">
        <v>11</v>
      </c>
      <c r="C16" s="99">
        <v>320</v>
      </c>
      <c r="D16" s="99">
        <v>77</v>
      </c>
      <c r="E16" s="19">
        <v>45207</v>
      </c>
      <c r="F16" s="19">
        <v>45213.999988425901</v>
      </c>
    </row>
    <row r="17" spans="1:6" x14ac:dyDescent="0.3">
      <c r="B17" s="99">
        <v>12</v>
      </c>
      <c r="C17" s="99">
        <v>320</v>
      </c>
      <c r="D17" s="99">
        <v>77</v>
      </c>
      <c r="E17" s="19">
        <v>45238</v>
      </c>
      <c r="F17" s="19">
        <v>45244.999988425901</v>
      </c>
    </row>
    <row r="18" spans="1:6" x14ac:dyDescent="0.3">
      <c r="B18" s="100">
        <v>13</v>
      </c>
      <c r="C18" s="100">
        <v>320</v>
      </c>
      <c r="D18" s="100">
        <v>77</v>
      </c>
      <c r="E18" s="106">
        <v>45268</v>
      </c>
      <c r="F18" s="106">
        <v>45274.999988425901</v>
      </c>
    </row>
    <row r="19" spans="1:6" x14ac:dyDescent="0.3">
      <c r="A19" s="104"/>
      <c r="B19" s="100">
        <v>14</v>
      </c>
      <c r="C19" s="100">
        <v>320</v>
      </c>
      <c r="D19" s="100">
        <v>77</v>
      </c>
      <c r="E19" s="106">
        <v>45299</v>
      </c>
      <c r="F19" s="106">
        <v>45305.999988425901</v>
      </c>
    </row>
    <row r="20" spans="1:6" x14ac:dyDescent="0.3">
      <c r="B20" s="8">
        <v>15</v>
      </c>
      <c r="C20" s="8">
        <v>320</v>
      </c>
      <c r="D20" s="8">
        <v>77</v>
      </c>
      <c r="E20" s="19">
        <v>45330</v>
      </c>
      <c r="F20" s="19">
        <v>45336.999988425901</v>
      </c>
    </row>
    <row r="21" spans="1:6" x14ac:dyDescent="0.3">
      <c r="B21" s="8">
        <v>16</v>
      </c>
      <c r="C21" s="8">
        <v>320</v>
      </c>
      <c r="D21" s="8">
        <v>77</v>
      </c>
      <c r="E21" s="19">
        <v>45359</v>
      </c>
      <c r="F21" s="19">
        <v>45365.999988425901</v>
      </c>
    </row>
    <row r="22" spans="1:6" x14ac:dyDescent="0.3">
      <c r="B22" s="8">
        <v>17</v>
      </c>
      <c r="C22" s="8">
        <v>320</v>
      </c>
      <c r="D22" s="8">
        <v>77</v>
      </c>
      <c r="E22" s="19">
        <v>45390</v>
      </c>
      <c r="F22" s="19">
        <v>45396.999988368101</v>
      </c>
    </row>
    <row r="23" spans="1:6" x14ac:dyDescent="0.3">
      <c r="B23" s="8">
        <v>18</v>
      </c>
      <c r="C23" s="8">
        <v>320</v>
      </c>
      <c r="D23" s="8">
        <v>77</v>
      </c>
      <c r="E23" s="19">
        <v>45420</v>
      </c>
      <c r="F23" s="19">
        <v>45426.999988368101</v>
      </c>
    </row>
    <row r="24" spans="1:6" s="99" customFormat="1" x14ac:dyDescent="0.3">
      <c r="B24" s="8">
        <v>19</v>
      </c>
      <c r="C24" s="8">
        <v>320</v>
      </c>
      <c r="D24" s="8">
        <v>77</v>
      </c>
      <c r="E24" s="19">
        <v>45451</v>
      </c>
      <c r="F24" s="19">
        <v>45457.999988425901</v>
      </c>
    </row>
    <row r="25" spans="1:6" s="99" customFormat="1" x14ac:dyDescent="0.3">
      <c r="B25" s="8">
        <v>20</v>
      </c>
      <c r="C25" s="8">
        <v>320</v>
      </c>
      <c r="D25" s="8">
        <v>77</v>
      </c>
      <c r="E25" s="19">
        <v>45481</v>
      </c>
      <c r="F25" s="19">
        <v>45487.999988368101</v>
      </c>
    </row>
    <row r="26" spans="1:6" s="99" customFormat="1" x14ac:dyDescent="0.3">
      <c r="B26" s="8">
        <v>21</v>
      </c>
      <c r="C26" s="8">
        <v>320</v>
      </c>
      <c r="D26" s="8">
        <v>77</v>
      </c>
      <c r="E26" s="19">
        <v>45512</v>
      </c>
      <c r="F26" s="19">
        <v>45518.999988368101</v>
      </c>
    </row>
    <row r="27" spans="1:6" s="99" customFormat="1" x14ac:dyDescent="0.3">
      <c r="B27" s="8">
        <v>22</v>
      </c>
      <c r="C27" s="8">
        <v>320</v>
      </c>
      <c r="D27" s="8">
        <v>77</v>
      </c>
      <c r="E27" s="19">
        <v>45543</v>
      </c>
      <c r="F27" s="19">
        <v>45549.999988368101</v>
      </c>
    </row>
    <row r="28" spans="1:6" s="100" customFormat="1" x14ac:dyDescent="0.3">
      <c r="B28" s="8">
        <v>23</v>
      </c>
      <c r="C28" s="8">
        <v>320</v>
      </c>
      <c r="D28" s="8">
        <v>77</v>
      </c>
      <c r="E28" s="19">
        <v>45573</v>
      </c>
      <c r="F28" s="19">
        <v>45579.999988368101</v>
      </c>
    </row>
    <row r="29" spans="1:6" s="100" customFormat="1" x14ac:dyDescent="0.3">
      <c r="B29" s="8">
        <v>24</v>
      </c>
      <c r="C29" s="8">
        <v>320</v>
      </c>
      <c r="D29" s="8">
        <v>77</v>
      </c>
      <c r="E29" s="19">
        <v>45604</v>
      </c>
      <c r="F29" s="19">
        <v>45610.999988368101</v>
      </c>
    </row>
    <row r="30" spans="1:6" x14ac:dyDescent="0.3">
      <c r="B30" s="8">
        <v>25</v>
      </c>
      <c r="C30" s="8">
        <v>320</v>
      </c>
      <c r="D30" s="8">
        <v>77</v>
      </c>
      <c r="E30" s="19">
        <v>45724</v>
      </c>
      <c r="F30" s="19">
        <v>45734.999988425901</v>
      </c>
    </row>
    <row r="31" spans="1:6" x14ac:dyDescent="0.3">
      <c r="B31" s="8">
        <v>26</v>
      </c>
      <c r="C31" s="8">
        <v>320</v>
      </c>
      <c r="D31" s="8">
        <v>77</v>
      </c>
      <c r="E31" s="19">
        <v>45755</v>
      </c>
      <c r="F31" s="19">
        <v>45761.999988425901</v>
      </c>
    </row>
  </sheetData>
  <phoneticPr fontId="20" type="noConversion"/>
  <pageMargins left="0.7" right="0.7" top="0.75" bottom="0.75" header="0.3" footer="0.3"/>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
  <sheetViews>
    <sheetView workbookViewId="0">
      <selection activeCell="C3" sqref="C3"/>
    </sheetView>
  </sheetViews>
  <sheetFormatPr defaultColWidth="9" defaultRowHeight="13.8" x14ac:dyDescent="0.25"/>
  <cols>
    <col min="3" max="3" width="29.6640625" customWidth="1"/>
    <col min="5" max="5" width="18.33203125" customWidth="1"/>
  </cols>
  <sheetData>
    <row r="1" spans="1:7" ht="15.6" x14ac:dyDescent="0.3">
      <c r="A1" t="s">
        <v>0</v>
      </c>
      <c r="B1" s="62" t="s">
        <v>274</v>
      </c>
      <c r="C1" s="62" t="s">
        <v>275</v>
      </c>
      <c r="D1" s="75" t="s">
        <v>276</v>
      </c>
      <c r="E1" s="62" t="s">
        <v>277</v>
      </c>
      <c r="F1" s="62" t="s">
        <v>278</v>
      </c>
      <c r="G1" s="62" t="s">
        <v>279</v>
      </c>
    </row>
    <row r="2" spans="1:7" ht="15.6" x14ac:dyDescent="0.3">
      <c r="A2" t="s">
        <v>15</v>
      </c>
      <c r="B2" s="63" t="s">
        <v>16</v>
      </c>
      <c r="C2" s="63" t="s">
        <v>167</v>
      </c>
      <c r="D2" s="97" t="s">
        <v>20</v>
      </c>
      <c r="E2" s="63" t="s">
        <v>280</v>
      </c>
      <c r="F2" s="63" t="s">
        <v>281</v>
      </c>
      <c r="G2" s="63" t="s">
        <v>282</v>
      </c>
    </row>
    <row r="3" spans="1:7" ht="15.6" x14ac:dyDescent="0.3">
      <c r="A3" t="s">
        <v>29</v>
      </c>
      <c r="B3" s="63" t="s">
        <v>30</v>
      </c>
      <c r="C3" s="63" t="s">
        <v>283</v>
      </c>
      <c r="D3" s="97" t="s">
        <v>31</v>
      </c>
      <c r="E3" s="63" t="s">
        <v>283</v>
      </c>
      <c r="F3" s="63" t="s">
        <v>30</v>
      </c>
      <c r="G3" s="63" t="s">
        <v>30</v>
      </c>
    </row>
    <row r="4" spans="1:7" x14ac:dyDescent="0.25">
      <c r="A4" t="s">
        <v>33</v>
      </c>
      <c r="B4" s="63" t="s">
        <v>34</v>
      </c>
      <c r="C4" s="63" t="s">
        <v>34</v>
      </c>
      <c r="D4" s="63" t="s">
        <v>34</v>
      </c>
      <c r="E4" s="63" t="s">
        <v>34</v>
      </c>
      <c r="F4" s="63" t="s">
        <v>34</v>
      </c>
      <c r="G4" s="63" t="s">
        <v>34</v>
      </c>
    </row>
    <row r="5" spans="1:7" ht="15.6" x14ac:dyDescent="0.3">
      <c r="A5" t="s">
        <v>38</v>
      </c>
      <c r="B5" s="63"/>
      <c r="C5" s="63">
        <v>0</v>
      </c>
      <c r="D5" s="97">
        <v>1</v>
      </c>
      <c r="E5" s="63">
        <v>0</v>
      </c>
      <c r="F5" s="63">
        <v>0</v>
      </c>
      <c r="G5" s="63">
        <v>0</v>
      </c>
    </row>
    <row r="6" spans="1:7" x14ac:dyDescent="0.25">
      <c r="A6" s="62" t="s">
        <v>284</v>
      </c>
      <c r="B6" s="62">
        <v>1</v>
      </c>
      <c r="C6" s="62" t="s">
        <v>285</v>
      </c>
      <c r="D6" s="64" t="s">
        <v>286</v>
      </c>
      <c r="E6" s="62" t="s">
        <v>287</v>
      </c>
      <c r="F6" s="98">
        <v>30</v>
      </c>
      <c r="G6" s="98">
        <v>190</v>
      </c>
    </row>
    <row r="7" spans="1:7" x14ac:dyDescent="0.25">
      <c r="B7" s="62">
        <v>2</v>
      </c>
      <c r="C7" s="62" t="s">
        <v>288</v>
      </c>
      <c r="D7" s="64" t="s">
        <v>286</v>
      </c>
      <c r="E7" s="62" t="s">
        <v>287</v>
      </c>
      <c r="F7" s="98">
        <v>80</v>
      </c>
      <c r="G7" s="98">
        <v>580</v>
      </c>
    </row>
    <row r="8" spans="1:7" x14ac:dyDescent="0.25">
      <c r="B8" s="62">
        <v>3</v>
      </c>
      <c r="C8" s="62" t="s">
        <v>289</v>
      </c>
      <c r="D8" s="64" t="s">
        <v>286</v>
      </c>
      <c r="E8" s="62" t="s">
        <v>287</v>
      </c>
      <c r="F8" s="98">
        <v>100</v>
      </c>
      <c r="G8" s="98">
        <v>1200</v>
      </c>
    </row>
    <row r="9" spans="1:7" x14ac:dyDescent="0.25">
      <c r="B9" s="62">
        <v>4</v>
      </c>
      <c r="C9" s="62" t="s">
        <v>290</v>
      </c>
      <c r="D9" s="64" t="s">
        <v>286</v>
      </c>
      <c r="E9" s="62" t="s">
        <v>287</v>
      </c>
      <c r="F9" s="98">
        <v>150</v>
      </c>
      <c r="G9" s="98">
        <v>3900</v>
      </c>
    </row>
    <row r="10" spans="1:7" x14ac:dyDescent="0.25">
      <c r="B10" s="62">
        <v>5</v>
      </c>
      <c r="C10" s="62" t="s">
        <v>291</v>
      </c>
      <c r="D10" s="64" t="s">
        <v>286</v>
      </c>
      <c r="E10" s="62" t="s">
        <v>287</v>
      </c>
      <c r="F10" s="98">
        <v>200</v>
      </c>
      <c r="G10" s="98">
        <v>7500</v>
      </c>
    </row>
  </sheetData>
  <phoneticPr fontId="20"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workbookViewId="0">
      <selection activeCell="D16" sqref="D16"/>
    </sheetView>
  </sheetViews>
  <sheetFormatPr defaultColWidth="11" defaultRowHeight="13.8" x14ac:dyDescent="0.25"/>
  <sheetData>
    <row r="1" spans="1:6" x14ac:dyDescent="0.25">
      <c r="A1" t="s">
        <v>0</v>
      </c>
      <c r="B1" t="s">
        <v>292</v>
      </c>
      <c r="C1" t="s">
        <v>293</v>
      </c>
      <c r="D1" t="s">
        <v>294</v>
      </c>
      <c r="E1" t="s">
        <v>295</v>
      </c>
      <c r="F1" t="s">
        <v>296</v>
      </c>
    </row>
    <row r="2" spans="1:6" x14ac:dyDescent="0.25">
      <c r="A2" t="s">
        <v>15</v>
      </c>
      <c r="B2" s="5" t="s">
        <v>16</v>
      </c>
      <c r="C2" s="5" t="s">
        <v>21</v>
      </c>
      <c r="D2" s="5" t="s">
        <v>297</v>
      </c>
      <c r="E2" s="5" t="s">
        <v>298</v>
      </c>
      <c r="F2" s="5" t="s">
        <v>299</v>
      </c>
    </row>
    <row r="3" spans="1:6" x14ac:dyDescent="0.25">
      <c r="A3" t="s">
        <v>29</v>
      </c>
      <c r="B3" s="5" t="s">
        <v>30</v>
      </c>
      <c r="C3" s="5" t="s">
        <v>30</v>
      </c>
      <c r="D3" s="5" t="s">
        <v>30</v>
      </c>
      <c r="E3" s="5" t="s">
        <v>30</v>
      </c>
      <c r="F3" s="5" t="s">
        <v>30</v>
      </c>
    </row>
    <row r="4" spans="1:6" x14ac:dyDescent="0.25">
      <c r="A4" t="s">
        <v>33</v>
      </c>
      <c r="B4" s="5" t="s">
        <v>34</v>
      </c>
      <c r="C4" s="5" t="s">
        <v>34</v>
      </c>
      <c r="D4" s="5" t="s">
        <v>34</v>
      </c>
      <c r="E4" s="5" t="s">
        <v>34</v>
      </c>
      <c r="F4" s="5" t="s">
        <v>34</v>
      </c>
    </row>
    <row r="5" spans="1:6" x14ac:dyDescent="0.25">
      <c r="A5" t="s">
        <v>38</v>
      </c>
      <c r="B5" s="5"/>
      <c r="C5" s="5">
        <v>0</v>
      </c>
      <c r="D5" s="5">
        <v>0</v>
      </c>
      <c r="E5" s="5">
        <v>0</v>
      </c>
      <c r="F5" s="5">
        <v>0</v>
      </c>
    </row>
    <row r="6" spans="1:6" x14ac:dyDescent="0.25">
      <c r="A6" t="s">
        <v>284</v>
      </c>
      <c r="B6">
        <v>101</v>
      </c>
      <c r="C6">
        <v>1</v>
      </c>
      <c r="D6">
        <v>11000</v>
      </c>
      <c r="E6">
        <v>10000</v>
      </c>
      <c r="F6">
        <v>10</v>
      </c>
    </row>
    <row r="7" spans="1:6" x14ac:dyDescent="0.25">
      <c r="B7">
        <v>102</v>
      </c>
      <c r="C7">
        <v>1</v>
      </c>
      <c r="D7">
        <v>36000</v>
      </c>
      <c r="E7">
        <v>30000</v>
      </c>
      <c r="F7">
        <v>30</v>
      </c>
    </row>
    <row r="8" spans="1:6" x14ac:dyDescent="0.25">
      <c r="B8">
        <v>103</v>
      </c>
      <c r="C8">
        <v>1</v>
      </c>
      <c r="D8">
        <v>118000</v>
      </c>
      <c r="E8">
        <v>100000</v>
      </c>
      <c r="F8">
        <v>100</v>
      </c>
    </row>
    <row r="9" spans="1:6" x14ac:dyDescent="0.25">
      <c r="B9">
        <v>104</v>
      </c>
      <c r="C9">
        <v>1</v>
      </c>
      <c r="D9">
        <v>240000</v>
      </c>
      <c r="E9">
        <v>200000</v>
      </c>
      <c r="F9">
        <v>200</v>
      </c>
    </row>
    <row r="10" spans="1:6" x14ac:dyDescent="0.25">
      <c r="B10">
        <v>105</v>
      </c>
      <c r="C10">
        <v>1</v>
      </c>
      <c r="D10">
        <v>600000</v>
      </c>
      <c r="E10">
        <v>500000</v>
      </c>
      <c r="F10">
        <v>500</v>
      </c>
    </row>
  </sheetData>
  <phoneticPr fontId="2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
  <sheetViews>
    <sheetView workbookViewId="0">
      <selection activeCell="K21" sqref="K21"/>
    </sheetView>
  </sheetViews>
  <sheetFormatPr defaultColWidth="11" defaultRowHeight="13.8" x14ac:dyDescent="0.25"/>
  <sheetData>
    <row r="1" spans="1:6" x14ac:dyDescent="0.25">
      <c r="A1" t="s">
        <v>0</v>
      </c>
      <c r="B1" t="s">
        <v>293</v>
      </c>
      <c r="C1" t="s">
        <v>300</v>
      </c>
      <c r="D1" t="s">
        <v>3</v>
      </c>
      <c r="E1" s="21" t="s">
        <v>269</v>
      </c>
      <c r="F1" s="21" t="s">
        <v>301</v>
      </c>
    </row>
    <row r="2" spans="1:6" x14ac:dyDescent="0.25">
      <c r="A2" t="s">
        <v>15</v>
      </c>
      <c r="B2" s="5" t="s">
        <v>16</v>
      </c>
      <c r="C2" s="5" t="s">
        <v>302</v>
      </c>
      <c r="D2" s="4"/>
      <c r="E2" s="22" t="s">
        <v>271</v>
      </c>
      <c r="F2" s="22" t="s">
        <v>303</v>
      </c>
    </row>
    <row r="3" spans="1:6" ht="15.6" x14ac:dyDescent="0.3">
      <c r="A3" t="s">
        <v>29</v>
      </c>
      <c r="B3" s="5" t="s">
        <v>30</v>
      </c>
      <c r="C3" s="5" t="s">
        <v>30</v>
      </c>
      <c r="D3" s="4" t="s">
        <v>31</v>
      </c>
      <c r="E3" s="23" t="s">
        <v>31</v>
      </c>
      <c r="F3" s="23" t="s">
        <v>31</v>
      </c>
    </row>
    <row r="4" spans="1:6" x14ac:dyDescent="0.25">
      <c r="A4" t="s">
        <v>33</v>
      </c>
      <c r="B4" s="5" t="s">
        <v>34</v>
      </c>
      <c r="C4" s="5" t="s">
        <v>34</v>
      </c>
      <c r="D4" s="5" t="s">
        <v>34</v>
      </c>
      <c r="E4" s="5" t="s">
        <v>34</v>
      </c>
      <c r="F4" s="5" t="s">
        <v>34</v>
      </c>
    </row>
    <row r="5" spans="1:6" ht="15.6" x14ac:dyDescent="0.3">
      <c r="A5" t="s">
        <v>38</v>
      </c>
      <c r="B5" s="5"/>
      <c r="C5" s="5">
        <v>0</v>
      </c>
      <c r="D5" s="4"/>
      <c r="E5" s="22">
        <v>36526</v>
      </c>
      <c r="F5" s="23">
        <v>72686</v>
      </c>
    </row>
    <row r="6" spans="1:6" x14ac:dyDescent="0.25">
      <c r="A6" t="s">
        <v>304</v>
      </c>
      <c r="B6">
        <v>1</v>
      </c>
      <c r="C6">
        <v>991011</v>
      </c>
      <c r="D6" t="s">
        <v>305</v>
      </c>
      <c r="E6" s="2">
        <v>44228</v>
      </c>
      <c r="F6" s="2">
        <v>44283</v>
      </c>
    </row>
  </sheetData>
  <phoneticPr fontId="20" type="noConversion"/>
  <pageMargins left="0.7" right="0.7" top="0.75" bottom="0.75" header="0.3" footer="0.3"/>
  <pageSetup paperSize="9"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
  <sheetViews>
    <sheetView workbookViewId="0">
      <selection activeCell="F20" sqref="F20"/>
    </sheetView>
  </sheetViews>
  <sheetFormatPr defaultColWidth="11" defaultRowHeight="13.8" x14ac:dyDescent="0.25"/>
  <sheetData>
    <row r="1" spans="1:9" x14ac:dyDescent="0.25">
      <c r="A1" t="s">
        <v>0</v>
      </c>
      <c r="B1" t="s">
        <v>293</v>
      </c>
      <c r="C1" t="s">
        <v>306</v>
      </c>
      <c r="D1" t="s">
        <v>307</v>
      </c>
      <c r="E1" s="1" t="s">
        <v>308</v>
      </c>
      <c r="F1" t="s">
        <v>309</v>
      </c>
      <c r="G1" s="21" t="s">
        <v>269</v>
      </c>
      <c r="H1" s="21" t="s">
        <v>310</v>
      </c>
      <c r="I1" s="21" t="s">
        <v>301</v>
      </c>
    </row>
    <row r="2" spans="1:9" x14ac:dyDescent="0.25">
      <c r="A2" t="s">
        <v>15</v>
      </c>
      <c r="B2" s="5" t="s">
        <v>16</v>
      </c>
      <c r="C2" s="5" t="s">
        <v>311</v>
      </c>
      <c r="D2" s="5" t="s">
        <v>312</v>
      </c>
      <c r="E2" s="5" t="s">
        <v>313</v>
      </c>
      <c r="F2" s="5" t="s">
        <v>314</v>
      </c>
      <c r="G2" s="22" t="s">
        <v>271</v>
      </c>
      <c r="H2" s="22" t="s">
        <v>315</v>
      </c>
      <c r="I2" s="22" t="s">
        <v>303</v>
      </c>
    </row>
    <row r="3" spans="1:9" ht="15.6" x14ac:dyDescent="0.3">
      <c r="A3" t="s">
        <v>29</v>
      </c>
      <c r="B3" s="5" t="s">
        <v>30</v>
      </c>
      <c r="C3" s="5" t="s">
        <v>31</v>
      </c>
      <c r="D3" s="5" t="s">
        <v>30</v>
      </c>
      <c r="E3" s="5" t="s">
        <v>30</v>
      </c>
      <c r="F3" s="5" t="s">
        <v>30</v>
      </c>
      <c r="G3" s="23" t="s">
        <v>31</v>
      </c>
      <c r="H3" s="23" t="s">
        <v>31</v>
      </c>
      <c r="I3" s="23" t="s">
        <v>31</v>
      </c>
    </row>
    <row r="4" spans="1:9" x14ac:dyDescent="0.25">
      <c r="A4" t="s">
        <v>33</v>
      </c>
      <c r="B4" s="5" t="s">
        <v>34</v>
      </c>
      <c r="C4" s="5" t="s">
        <v>34</v>
      </c>
      <c r="D4" s="5" t="s">
        <v>34</v>
      </c>
      <c r="E4" s="5" t="s">
        <v>34</v>
      </c>
      <c r="F4" s="5" t="s">
        <v>34</v>
      </c>
      <c r="G4" s="5" t="s">
        <v>34</v>
      </c>
      <c r="H4" s="5" t="s">
        <v>34</v>
      </c>
      <c r="I4" s="5" t="s">
        <v>34</v>
      </c>
    </row>
    <row r="5" spans="1:9" ht="15.6" x14ac:dyDescent="0.3">
      <c r="A5" t="s">
        <v>38</v>
      </c>
      <c r="B5" s="5"/>
      <c r="C5" s="5" t="s">
        <v>222</v>
      </c>
      <c r="D5" s="5">
        <v>0</v>
      </c>
      <c r="E5" s="5">
        <v>0</v>
      </c>
      <c r="F5" s="5">
        <v>0</v>
      </c>
      <c r="G5" s="22">
        <v>36526</v>
      </c>
      <c r="H5" s="23">
        <v>72686</v>
      </c>
      <c r="I5" s="23">
        <v>72686</v>
      </c>
    </row>
    <row r="6" spans="1:9" x14ac:dyDescent="0.25">
      <c r="A6" t="s">
        <v>316</v>
      </c>
      <c r="B6">
        <v>1</v>
      </c>
      <c r="C6" t="s">
        <v>317</v>
      </c>
      <c r="D6">
        <v>1</v>
      </c>
      <c r="E6">
        <v>300</v>
      </c>
      <c r="F6">
        <v>30</v>
      </c>
      <c r="G6" s="2">
        <v>43748</v>
      </c>
      <c r="H6" s="2">
        <v>72686</v>
      </c>
      <c r="I6" s="2">
        <v>72686</v>
      </c>
    </row>
    <row r="7" spans="1:9" x14ac:dyDescent="0.25">
      <c r="B7">
        <v>2</v>
      </c>
      <c r="C7" t="s">
        <v>317</v>
      </c>
      <c r="D7">
        <v>1</v>
      </c>
      <c r="E7">
        <v>300</v>
      </c>
      <c r="F7">
        <v>30</v>
      </c>
      <c r="G7" s="2">
        <v>43748</v>
      </c>
      <c r="H7" s="2">
        <v>72686</v>
      </c>
      <c r="I7" s="2">
        <v>72686</v>
      </c>
    </row>
  </sheetData>
  <phoneticPr fontId="20" type="noConversion"/>
  <pageMargins left="0.7" right="0.7" top="0.75" bottom="0.75" header="0.3" footer="0.3"/>
  <pageSetup paperSize="9" orientation="portrait"/>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1"/>
  <sheetViews>
    <sheetView workbookViewId="0">
      <selection activeCell="G3" sqref="G3"/>
    </sheetView>
  </sheetViews>
  <sheetFormatPr defaultColWidth="11" defaultRowHeight="13.8" x14ac:dyDescent="0.25"/>
  <cols>
    <col min="6" max="6" width="20.33203125" customWidth="1"/>
    <col min="7" max="7" width="17.44140625" customWidth="1"/>
    <col min="8" max="8" width="16.88671875" customWidth="1"/>
  </cols>
  <sheetData>
    <row r="1" spans="1:9" x14ac:dyDescent="0.25">
      <c r="A1" t="s">
        <v>0</v>
      </c>
      <c r="B1" s="36" t="s">
        <v>318</v>
      </c>
      <c r="C1" s="36" t="s">
        <v>319</v>
      </c>
      <c r="D1" s="90" t="s">
        <v>320</v>
      </c>
      <c r="E1" s="91" t="s">
        <v>3</v>
      </c>
      <c r="F1" s="47" t="s">
        <v>321</v>
      </c>
      <c r="G1" s="47" t="s">
        <v>322</v>
      </c>
      <c r="H1" s="47" t="s">
        <v>323</v>
      </c>
      <c r="I1" s="90" t="s">
        <v>324</v>
      </c>
    </row>
    <row r="2" spans="1:9" x14ac:dyDescent="0.25">
      <c r="A2" t="s">
        <v>15</v>
      </c>
      <c r="B2" s="82" t="s">
        <v>16</v>
      </c>
      <c r="C2" s="82" t="s">
        <v>325</v>
      </c>
      <c r="D2" s="92" t="s">
        <v>326</v>
      </c>
      <c r="E2" s="93"/>
      <c r="F2" s="82" t="s">
        <v>327</v>
      </c>
      <c r="G2" s="82" t="s">
        <v>328</v>
      </c>
      <c r="H2" s="82" t="s">
        <v>329</v>
      </c>
      <c r="I2" s="92" t="s">
        <v>330</v>
      </c>
    </row>
    <row r="3" spans="1:9" ht="15.6" x14ac:dyDescent="0.3">
      <c r="A3" t="s">
        <v>29</v>
      </c>
      <c r="B3" s="82" t="s">
        <v>30</v>
      </c>
      <c r="C3" s="82" t="s">
        <v>30</v>
      </c>
      <c r="D3" s="92" t="s">
        <v>30</v>
      </c>
      <c r="E3" s="93" t="s">
        <v>31</v>
      </c>
      <c r="F3" s="83" t="s">
        <v>283</v>
      </c>
      <c r="G3" s="83" t="s">
        <v>283</v>
      </c>
      <c r="H3" s="83" t="s">
        <v>283</v>
      </c>
      <c r="I3" s="92" t="s">
        <v>30</v>
      </c>
    </row>
    <row r="4" spans="1:9" x14ac:dyDescent="0.25">
      <c r="A4" t="s">
        <v>33</v>
      </c>
      <c r="B4" s="82" t="s">
        <v>34</v>
      </c>
      <c r="C4" s="82" t="s">
        <v>34</v>
      </c>
      <c r="D4" s="82" t="s">
        <v>34</v>
      </c>
      <c r="E4" s="82" t="s">
        <v>34</v>
      </c>
      <c r="F4" s="82" t="s">
        <v>34</v>
      </c>
      <c r="G4" s="82" t="s">
        <v>34</v>
      </c>
      <c r="H4" s="82" t="s">
        <v>34</v>
      </c>
      <c r="I4" s="82" t="s">
        <v>34</v>
      </c>
    </row>
    <row r="5" spans="1:9" x14ac:dyDescent="0.25">
      <c r="A5" t="s">
        <v>38</v>
      </c>
      <c r="B5" s="82"/>
      <c r="C5" s="82"/>
      <c r="D5" s="92">
        <v>0</v>
      </c>
      <c r="E5" s="93">
        <v>0</v>
      </c>
      <c r="F5" s="82" t="s">
        <v>222</v>
      </c>
      <c r="G5" s="82" t="s">
        <v>222</v>
      </c>
      <c r="H5" s="82" t="s">
        <v>222</v>
      </c>
      <c r="I5" s="92">
        <v>2</v>
      </c>
    </row>
    <row r="6" spans="1:9" ht="15.6" x14ac:dyDescent="0.3">
      <c r="A6" s="32" t="s">
        <v>331</v>
      </c>
      <c r="B6" s="47">
        <v>1</v>
      </c>
      <c r="C6" s="47">
        <v>1</v>
      </c>
      <c r="D6">
        <v>498101</v>
      </c>
      <c r="E6" s="87" t="s">
        <v>332</v>
      </c>
      <c r="F6" s="94" t="s">
        <v>333</v>
      </c>
      <c r="G6" s="94" t="s">
        <v>334</v>
      </c>
      <c r="H6" s="94" t="s">
        <v>334</v>
      </c>
      <c r="I6" s="47">
        <v>1</v>
      </c>
    </row>
    <row r="7" spans="1:9" x14ac:dyDescent="0.25">
      <c r="B7" s="47">
        <v>2</v>
      </c>
      <c r="C7" s="47">
        <v>3</v>
      </c>
      <c r="D7">
        <v>498111</v>
      </c>
      <c r="E7" s="87" t="s">
        <v>335</v>
      </c>
      <c r="F7" s="94" t="s">
        <v>336</v>
      </c>
      <c r="G7" s="94" t="s">
        <v>337</v>
      </c>
      <c r="H7" s="94" t="s">
        <v>337</v>
      </c>
      <c r="I7" s="47">
        <v>1</v>
      </c>
    </row>
    <row r="8" spans="1:9" x14ac:dyDescent="0.25">
      <c r="B8" s="47">
        <v>3</v>
      </c>
      <c r="C8" s="47">
        <v>5</v>
      </c>
      <c r="D8">
        <v>498121</v>
      </c>
      <c r="E8" s="87" t="s">
        <v>338</v>
      </c>
      <c r="F8" s="94" t="s">
        <v>339</v>
      </c>
      <c r="G8" s="94" t="s">
        <v>340</v>
      </c>
      <c r="H8" s="94" t="s">
        <v>340</v>
      </c>
      <c r="I8" s="47">
        <v>1</v>
      </c>
    </row>
    <row r="9" spans="1:9" x14ac:dyDescent="0.25">
      <c r="B9" s="47">
        <v>4</v>
      </c>
      <c r="C9" s="47">
        <v>10</v>
      </c>
      <c r="D9">
        <v>498131</v>
      </c>
      <c r="E9" s="87" t="s">
        <v>341</v>
      </c>
      <c r="F9" s="94" t="s">
        <v>336</v>
      </c>
      <c r="G9" s="94" t="s">
        <v>337</v>
      </c>
      <c r="H9" s="94" t="s">
        <v>337</v>
      </c>
      <c r="I9" s="47">
        <v>1</v>
      </c>
    </row>
    <row r="10" spans="1:9" x14ac:dyDescent="0.25">
      <c r="B10" s="47">
        <v>5</v>
      </c>
      <c r="C10" s="47">
        <v>15</v>
      </c>
      <c r="D10">
        <v>498141</v>
      </c>
      <c r="E10" s="87" t="s">
        <v>342</v>
      </c>
      <c r="F10" s="94" t="s">
        <v>343</v>
      </c>
      <c r="G10" s="94" t="s">
        <v>344</v>
      </c>
      <c r="H10" s="94" t="s">
        <v>344</v>
      </c>
      <c r="I10" s="47">
        <v>1</v>
      </c>
    </row>
    <row r="11" spans="1:9" x14ac:dyDescent="0.25">
      <c r="B11" s="47">
        <v>6</v>
      </c>
      <c r="C11" s="47">
        <v>20</v>
      </c>
      <c r="D11">
        <v>498151</v>
      </c>
      <c r="E11" s="87" t="s">
        <v>345</v>
      </c>
      <c r="F11" s="94" t="s">
        <v>346</v>
      </c>
      <c r="G11" s="94" t="s">
        <v>337</v>
      </c>
      <c r="H11" s="94" t="s">
        <v>337</v>
      </c>
      <c r="I11" s="47">
        <v>1</v>
      </c>
    </row>
    <row r="12" spans="1:9" x14ac:dyDescent="0.25">
      <c r="B12" s="47">
        <v>7</v>
      </c>
      <c r="C12" s="47">
        <v>25</v>
      </c>
      <c r="D12">
        <v>498161</v>
      </c>
      <c r="E12" s="87" t="s">
        <v>347</v>
      </c>
      <c r="F12" s="94" t="s">
        <v>348</v>
      </c>
      <c r="G12" s="94" t="s">
        <v>349</v>
      </c>
      <c r="H12" s="94" t="s">
        <v>349</v>
      </c>
      <c r="I12" s="47">
        <v>1</v>
      </c>
    </row>
    <row r="13" spans="1:9" x14ac:dyDescent="0.25">
      <c r="B13" s="47">
        <v>8</v>
      </c>
      <c r="C13" s="47">
        <v>30</v>
      </c>
      <c r="D13">
        <v>498171</v>
      </c>
      <c r="E13" s="87" t="s">
        <v>350</v>
      </c>
      <c r="F13" s="94" t="s">
        <v>344</v>
      </c>
      <c r="G13" s="94" t="s">
        <v>344</v>
      </c>
      <c r="H13" s="94" t="s">
        <v>344</v>
      </c>
      <c r="I13" s="47">
        <v>1</v>
      </c>
    </row>
    <row r="14" spans="1:9" x14ac:dyDescent="0.25">
      <c r="B14" s="95">
        <v>9</v>
      </c>
      <c r="C14" s="95">
        <v>1</v>
      </c>
      <c r="D14">
        <v>498101</v>
      </c>
      <c r="E14" s="95" t="s">
        <v>332</v>
      </c>
      <c r="F14" s="96" t="s">
        <v>333</v>
      </c>
      <c r="G14" s="96" t="s">
        <v>351</v>
      </c>
      <c r="H14" s="96" t="s">
        <v>351</v>
      </c>
      <c r="I14" s="95">
        <v>2</v>
      </c>
    </row>
    <row r="15" spans="1:9" x14ac:dyDescent="0.25">
      <c r="B15" s="95">
        <v>10</v>
      </c>
      <c r="C15" s="95">
        <v>3</v>
      </c>
      <c r="D15">
        <v>498111</v>
      </c>
      <c r="E15" s="95" t="s">
        <v>335</v>
      </c>
      <c r="F15" s="96" t="s">
        <v>336</v>
      </c>
      <c r="G15" s="96" t="s">
        <v>352</v>
      </c>
      <c r="H15" s="96" t="s">
        <v>352</v>
      </c>
      <c r="I15" s="95">
        <v>2</v>
      </c>
    </row>
    <row r="16" spans="1:9" x14ac:dyDescent="0.25">
      <c r="B16" s="95">
        <v>11</v>
      </c>
      <c r="C16" s="95">
        <v>5</v>
      </c>
      <c r="D16">
        <v>498121</v>
      </c>
      <c r="E16" s="95" t="s">
        <v>338</v>
      </c>
      <c r="F16" s="96" t="s">
        <v>339</v>
      </c>
      <c r="G16" s="96" t="s">
        <v>353</v>
      </c>
      <c r="H16" s="96" t="s">
        <v>353</v>
      </c>
      <c r="I16" s="95">
        <v>2</v>
      </c>
    </row>
    <row r="17" spans="1:9" x14ac:dyDescent="0.25">
      <c r="B17" s="95">
        <v>12</v>
      </c>
      <c r="C17" s="95">
        <v>10</v>
      </c>
      <c r="D17">
        <v>498131</v>
      </c>
      <c r="E17" s="95" t="s">
        <v>341</v>
      </c>
      <c r="F17" s="96" t="s">
        <v>336</v>
      </c>
      <c r="G17" s="96" t="s">
        <v>352</v>
      </c>
      <c r="H17" s="96" t="s">
        <v>352</v>
      </c>
      <c r="I17" s="95">
        <v>2</v>
      </c>
    </row>
    <row r="18" spans="1:9" x14ac:dyDescent="0.25">
      <c r="B18" s="95">
        <v>13</v>
      </c>
      <c r="C18" s="95">
        <v>15</v>
      </c>
      <c r="D18">
        <v>498141</v>
      </c>
      <c r="E18" s="95" t="s">
        <v>342</v>
      </c>
      <c r="F18" s="96" t="s">
        <v>343</v>
      </c>
      <c r="G18" s="96" t="s">
        <v>354</v>
      </c>
      <c r="H18" s="96" t="s">
        <v>354</v>
      </c>
      <c r="I18" s="95">
        <v>2</v>
      </c>
    </row>
    <row r="19" spans="1:9" x14ac:dyDescent="0.25">
      <c r="B19" s="95">
        <v>14</v>
      </c>
      <c r="C19" s="95">
        <v>20</v>
      </c>
      <c r="D19">
        <v>498151</v>
      </c>
      <c r="E19" s="95" t="s">
        <v>345</v>
      </c>
      <c r="F19" s="96" t="s">
        <v>346</v>
      </c>
      <c r="G19" s="96" t="s">
        <v>352</v>
      </c>
      <c r="H19" s="96" t="s">
        <v>352</v>
      </c>
      <c r="I19" s="95">
        <v>2</v>
      </c>
    </row>
    <row r="20" spans="1:9" x14ac:dyDescent="0.25">
      <c r="B20" s="95">
        <v>15</v>
      </c>
      <c r="C20" s="95">
        <v>25</v>
      </c>
      <c r="D20">
        <v>498161</v>
      </c>
      <c r="E20" s="95" t="s">
        <v>347</v>
      </c>
      <c r="F20" s="96" t="s">
        <v>348</v>
      </c>
      <c r="G20" s="96" t="s">
        <v>355</v>
      </c>
      <c r="H20" s="96" t="s">
        <v>355</v>
      </c>
      <c r="I20" s="95">
        <v>2</v>
      </c>
    </row>
    <row r="21" spans="1:9" x14ac:dyDescent="0.25">
      <c r="B21" s="95">
        <v>16</v>
      </c>
      <c r="C21" s="95">
        <v>30</v>
      </c>
      <c r="D21">
        <v>498171</v>
      </c>
      <c r="E21" s="95" t="s">
        <v>350</v>
      </c>
      <c r="F21" s="96" t="s">
        <v>344</v>
      </c>
      <c r="G21" s="96" t="s">
        <v>352</v>
      </c>
      <c r="H21" s="96" t="s">
        <v>352</v>
      </c>
      <c r="I21" s="95">
        <v>2</v>
      </c>
    </row>
    <row r="24" spans="1:9" s="10" customFormat="1" x14ac:dyDescent="0.25">
      <c r="A24"/>
    </row>
    <row r="25" spans="1:9" s="10" customFormat="1" x14ac:dyDescent="0.25">
      <c r="A25"/>
    </row>
    <row r="26" spans="1:9" s="10" customFormat="1" x14ac:dyDescent="0.25">
      <c r="A26"/>
    </row>
    <row r="27" spans="1:9" s="10" customFormat="1" x14ac:dyDescent="0.25">
      <c r="A27"/>
    </row>
    <row r="28" spans="1:9" s="10" customFormat="1" x14ac:dyDescent="0.25">
      <c r="A28"/>
    </row>
    <row r="29" spans="1:9" s="10" customFormat="1" x14ac:dyDescent="0.25">
      <c r="A29"/>
    </row>
    <row r="30" spans="1:9" s="10" customFormat="1" x14ac:dyDescent="0.25">
      <c r="A30"/>
    </row>
    <row r="31" spans="1:9" s="10" customFormat="1" x14ac:dyDescent="0.25">
      <c r="A31"/>
    </row>
  </sheetData>
  <phoneticPr fontId="20"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4"/>
  <sheetViews>
    <sheetView workbookViewId="0">
      <selection activeCell="F3" sqref="F3"/>
    </sheetView>
  </sheetViews>
  <sheetFormatPr defaultColWidth="9" defaultRowHeight="13.8" x14ac:dyDescent="0.25"/>
  <cols>
    <col min="1" max="1" width="10.109375" customWidth="1"/>
    <col min="6" max="6" width="31.44140625" customWidth="1"/>
    <col min="8" max="8" width="12.6640625"/>
  </cols>
  <sheetData>
    <row r="1" spans="1:9" x14ac:dyDescent="0.25">
      <c r="A1" t="s">
        <v>0</v>
      </c>
      <c r="B1" s="36" t="s">
        <v>356</v>
      </c>
      <c r="C1" s="36" t="s">
        <v>357</v>
      </c>
      <c r="D1" s="36" t="s">
        <v>358</v>
      </c>
      <c r="E1" s="36" t="s">
        <v>359</v>
      </c>
      <c r="F1" s="36" t="s">
        <v>360</v>
      </c>
      <c r="G1" s="36" t="s">
        <v>361</v>
      </c>
      <c r="H1" s="36" t="s">
        <v>3</v>
      </c>
      <c r="I1" s="36" t="s">
        <v>362</v>
      </c>
    </row>
    <row r="2" spans="1:9" x14ac:dyDescent="0.25">
      <c r="A2" t="s">
        <v>15</v>
      </c>
      <c r="B2" s="82" t="s">
        <v>16</v>
      </c>
      <c r="C2" s="82" t="s">
        <v>363</v>
      </c>
      <c r="D2" s="82" t="s">
        <v>364</v>
      </c>
      <c r="E2" s="82" t="s">
        <v>365</v>
      </c>
      <c r="F2" s="82" t="s">
        <v>167</v>
      </c>
      <c r="G2" s="82" t="s">
        <v>366</v>
      </c>
      <c r="H2" s="4"/>
      <c r="I2" s="82" t="s">
        <v>28</v>
      </c>
    </row>
    <row r="3" spans="1:9" ht="15.6" x14ac:dyDescent="0.3">
      <c r="A3" t="s">
        <v>29</v>
      </c>
      <c r="B3" s="82" t="s">
        <v>30</v>
      </c>
      <c r="C3" s="82" t="s">
        <v>30</v>
      </c>
      <c r="D3" s="82" t="s">
        <v>30</v>
      </c>
      <c r="E3" s="82" t="s">
        <v>31</v>
      </c>
      <c r="F3" s="83" t="s">
        <v>283</v>
      </c>
      <c r="G3" s="82" t="s">
        <v>30</v>
      </c>
      <c r="H3" s="4" t="s">
        <v>31</v>
      </c>
      <c r="I3" s="82" t="s">
        <v>30</v>
      </c>
    </row>
    <row r="4" spans="1:9" x14ac:dyDescent="0.25">
      <c r="A4" t="s">
        <v>33</v>
      </c>
      <c r="B4" s="82" t="s">
        <v>34</v>
      </c>
      <c r="C4" s="82" t="s">
        <v>34</v>
      </c>
      <c r="D4" s="82" t="s">
        <v>34</v>
      </c>
      <c r="E4" s="82" t="s">
        <v>34</v>
      </c>
      <c r="F4" s="82" t="s">
        <v>34</v>
      </c>
      <c r="G4" s="82" t="s">
        <v>34</v>
      </c>
      <c r="H4" s="82" t="s">
        <v>34</v>
      </c>
      <c r="I4" s="82" t="s">
        <v>34</v>
      </c>
    </row>
    <row r="5" spans="1:9" x14ac:dyDescent="0.25">
      <c r="A5" t="s">
        <v>38</v>
      </c>
      <c r="B5" s="82"/>
      <c r="C5" s="82">
        <v>0</v>
      </c>
      <c r="D5" s="82">
        <v>0</v>
      </c>
      <c r="E5" s="82">
        <v>0</v>
      </c>
      <c r="F5" s="82" t="s">
        <v>222</v>
      </c>
      <c r="G5" s="84">
        <v>0</v>
      </c>
      <c r="H5" s="4"/>
      <c r="I5" s="82">
        <v>0</v>
      </c>
    </row>
    <row r="6" spans="1:9" ht="15.6" x14ac:dyDescent="0.3">
      <c r="A6" s="32" t="s">
        <v>367</v>
      </c>
      <c r="B6" s="36">
        <v>1</v>
      </c>
      <c r="C6" s="36">
        <v>1</v>
      </c>
      <c r="D6" s="36">
        <v>41</v>
      </c>
      <c r="E6" s="36">
        <v>1</v>
      </c>
      <c r="F6" s="85" t="s">
        <v>343</v>
      </c>
      <c r="G6" s="86">
        <v>498102</v>
      </c>
      <c r="H6" s="87" t="s">
        <v>368</v>
      </c>
      <c r="I6" s="36">
        <v>39</v>
      </c>
    </row>
    <row r="7" spans="1:9" x14ac:dyDescent="0.25">
      <c r="A7" t="s">
        <v>38</v>
      </c>
      <c r="B7" s="88">
        <v>2</v>
      </c>
      <c r="C7" s="36">
        <v>1</v>
      </c>
      <c r="D7" s="36"/>
      <c r="E7" s="36">
        <v>1</v>
      </c>
      <c r="F7" s="85" t="s">
        <v>369</v>
      </c>
      <c r="G7" s="86">
        <v>498112</v>
      </c>
      <c r="H7" s="87" t="s">
        <v>370</v>
      </c>
      <c r="I7" s="36">
        <v>64</v>
      </c>
    </row>
    <row r="8" spans="1:9" x14ac:dyDescent="0.25">
      <c r="B8" s="36">
        <v>3</v>
      </c>
      <c r="C8" s="36">
        <v>1</v>
      </c>
      <c r="D8" s="36">
        <v>43</v>
      </c>
      <c r="E8" s="36">
        <v>1</v>
      </c>
      <c r="F8" s="85" t="s">
        <v>371</v>
      </c>
      <c r="G8" s="86">
        <v>498122</v>
      </c>
      <c r="H8" s="87" t="s">
        <v>372</v>
      </c>
      <c r="I8" s="36">
        <v>38</v>
      </c>
    </row>
    <row r="9" spans="1:9" x14ac:dyDescent="0.25">
      <c r="B9" s="36">
        <v>4</v>
      </c>
      <c r="C9" s="36">
        <v>1</v>
      </c>
      <c r="D9" s="36">
        <v>44</v>
      </c>
      <c r="E9" s="36">
        <v>1</v>
      </c>
      <c r="F9" s="85" t="s">
        <v>340</v>
      </c>
      <c r="G9" s="86">
        <v>498132</v>
      </c>
      <c r="H9" s="87" t="s">
        <v>373</v>
      </c>
      <c r="I9" s="36">
        <v>2</v>
      </c>
    </row>
    <row r="10" spans="1:9" x14ac:dyDescent="0.25">
      <c r="B10" s="36">
        <v>5</v>
      </c>
      <c r="C10" s="36">
        <v>1</v>
      </c>
      <c r="D10" s="36">
        <v>35</v>
      </c>
      <c r="E10" s="36" t="s">
        <v>374</v>
      </c>
      <c r="F10" s="85" t="s">
        <v>336</v>
      </c>
      <c r="G10" s="86">
        <v>498142</v>
      </c>
      <c r="H10" s="87" t="s">
        <v>375</v>
      </c>
      <c r="I10" s="36">
        <v>14</v>
      </c>
    </row>
    <row r="11" spans="1:9" x14ac:dyDescent="0.25">
      <c r="B11" s="36">
        <v>6</v>
      </c>
      <c r="C11" s="36">
        <v>0</v>
      </c>
      <c r="D11" s="36">
        <v>45</v>
      </c>
      <c r="E11" s="36">
        <v>5</v>
      </c>
      <c r="F11" s="85" t="s">
        <v>376</v>
      </c>
      <c r="G11" s="86">
        <v>498152</v>
      </c>
      <c r="H11" s="87" t="s">
        <v>377</v>
      </c>
      <c r="I11" s="36">
        <v>64</v>
      </c>
    </row>
    <row r="12" spans="1:9" x14ac:dyDescent="0.25">
      <c r="B12" s="36">
        <v>7</v>
      </c>
      <c r="C12" s="36">
        <v>0</v>
      </c>
      <c r="D12" s="36">
        <v>18</v>
      </c>
      <c r="E12" s="36">
        <v>10</v>
      </c>
      <c r="F12" s="85" t="s">
        <v>378</v>
      </c>
      <c r="G12" s="86">
        <v>498162</v>
      </c>
      <c r="H12" s="87" t="s">
        <v>379</v>
      </c>
      <c r="I12" s="36">
        <v>21</v>
      </c>
    </row>
    <row r="13" spans="1:9" x14ac:dyDescent="0.25">
      <c r="B13" s="36">
        <v>8</v>
      </c>
      <c r="C13" s="36">
        <v>0</v>
      </c>
      <c r="D13" s="36">
        <v>41</v>
      </c>
      <c r="E13" s="36">
        <v>5</v>
      </c>
      <c r="F13" s="85" t="s">
        <v>380</v>
      </c>
      <c r="G13" s="86">
        <v>498172</v>
      </c>
      <c r="H13" s="87" t="s">
        <v>381</v>
      </c>
      <c r="I13" s="36">
        <v>39</v>
      </c>
    </row>
    <row r="14" spans="1:9" x14ac:dyDescent="0.25">
      <c r="B14" s="36">
        <v>9</v>
      </c>
      <c r="C14" s="36">
        <v>0</v>
      </c>
      <c r="D14" s="36">
        <v>46</v>
      </c>
      <c r="E14" s="36">
        <v>1</v>
      </c>
      <c r="F14" s="85" t="s">
        <v>382</v>
      </c>
      <c r="G14" s="86">
        <v>498182</v>
      </c>
      <c r="H14" s="87" t="s">
        <v>383</v>
      </c>
      <c r="I14" s="36">
        <v>11</v>
      </c>
    </row>
    <row r="15" spans="1:9" x14ac:dyDescent="0.25">
      <c r="B15" s="36">
        <v>10</v>
      </c>
      <c r="C15" s="36">
        <v>0</v>
      </c>
      <c r="D15" s="36">
        <v>24</v>
      </c>
      <c r="E15" s="36">
        <v>10</v>
      </c>
      <c r="F15" s="85" t="s">
        <v>352</v>
      </c>
      <c r="G15" s="86">
        <v>498192</v>
      </c>
      <c r="H15" s="87" t="s">
        <v>384</v>
      </c>
      <c r="I15" s="36">
        <v>208</v>
      </c>
    </row>
    <row r="17" spans="1:3" x14ac:dyDescent="0.25">
      <c r="A17" s="89"/>
    </row>
    <row r="20" spans="1:3" x14ac:dyDescent="0.25">
      <c r="A20" s="89"/>
    </row>
    <row r="22" spans="1:3" x14ac:dyDescent="0.25">
      <c r="C22" s="1"/>
    </row>
    <row r="24" spans="1:3" x14ac:dyDescent="0.25">
      <c r="A24" s="89"/>
    </row>
  </sheetData>
  <phoneticPr fontId="20"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6"/>
  <sheetViews>
    <sheetView workbookViewId="0">
      <selection activeCell="D19" sqref="D19:E19"/>
    </sheetView>
  </sheetViews>
  <sheetFormatPr defaultColWidth="9" defaultRowHeight="13.8" x14ac:dyDescent="0.25"/>
  <cols>
    <col min="1" max="1" width="13.21875" customWidth="1"/>
    <col min="2" max="2" width="10.109375" customWidth="1"/>
    <col min="9" max="9" width="12.6640625"/>
  </cols>
  <sheetData>
    <row r="1" spans="1:8" x14ac:dyDescent="0.25">
      <c r="A1" t="s">
        <v>0</v>
      </c>
      <c r="B1" t="s">
        <v>385</v>
      </c>
      <c r="C1" t="s">
        <v>386</v>
      </c>
      <c r="D1" t="s">
        <v>387</v>
      </c>
      <c r="E1" t="s">
        <v>388</v>
      </c>
      <c r="F1" t="s">
        <v>389</v>
      </c>
      <c r="G1" t="s">
        <v>390</v>
      </c>
      <c r="H1" t="s">
        <v>391</v>
      </c>
    </row>
    <row r="2" spans="1:8" x14ac:dyDescent="0.25">
      <c r="A2" t="s">
        <v>15</v>
      </c>
      <c r="B2" s="5" t="s">
        <v>16</v>
      </c>
      <c r="C2" s="5" t="s">
        <v>392</v>
      </c>
      <c r="D2" s="5" t="s">
        <v>393</v>
      </c>
      <c r="E2" s="5" t="s">
        <v>394</v>
      </c>
      <c r="F2" s="5" t="s">
        <v>242</v>
      </c>
      <c r="G2" s="5" t="s">
        <v>395</v>
      </c>
      <c r="H2" s="5" t="s">
        <v>396</v>
      </c>
    </row>
    <row r="3" spans="1:8" x14ac:dyDescent="0.25">
      <c r="A3" t="s">
        <v>29</v>
      </c>
      <c r="B3" s="5" t="s">
        <v>30</v>
      </c>
      <c r="C3" s="5" t="s">
        <v>30</v>
      </c>
      <c r="D3" s="5" t="s">
        <v>30</v>
      </c>
      <c r="E3" s="5" t="s">
        <v>30</v>
      </c>
      <c r="F3" s="5" t="s">
        <v>30</v>
      </c>
      <c r="G3" s="5" t="s">
        <v>30</v>
      </c>
      <c r="H3" s="5" t="s">
        <v>30</v>
      </c>
    </row>
    <row r="4" spans="1:8" x14ac:dyDescent="0.25">
      <c r="A4" t="s">
        <v>33</v>
      </c>
      <c r="B4" s="5" t="s">
        <v>34</v>
      </c>
      <c r="C4" s="5" t="s">
        <v>34</v>
      </c>
      <c r="D4" s="5" t="s">
        <v>34</v>
      </c>
      <c r="E4" s="5" t="s">
        <v>34</v>
      </c>
      <c r="F4" s="5" t="s">
        <v>34</v>
      </c>
      <c r="G4" s="5" t="s">
        <v>34</v>
      </c>
      <c r="H4" s="5" t="s">
        <v>34</v>
      </c>
    </row>
    <row r="5" spans="1:8" x14ac:dyDescent="0.25">
      <c r="A5" t="s">
        <v>38</v>
      </c>
      <c r="B5" s="5">
        <v>0</v>
      </c>
      <c r="C5" s="5">
        <v>0</v>
      </c>
      <c r="D5" s="5">
        <v>0</v>
      </c>
      <c r="E5" s="5">
        <v>0</v>
      </c>
      <c r="F5" s="5">
        <v>0</v>
      </c>
      <c r="G5" s="5">
        <v>0</v>
      </c>
      <c r="H5" s="5">
        <v>0</v>
      </c>
    </row>
    <row r="6" spans="1:8" ht="15.6" x14ac:dyDescent="0.3">
      <c r="A6" s="32" t="s">
        <v>397</v>
      </c>
      <c r="B6">
        <v>1</v>
      </c>
      <c r="C6">
        <v>4101</v>
      </c>
      <c r="D6">
        <v>4102</v>
      </c>
      <c r="E6">
        <v>100242</v>
      </c>
      <c r="F6">
        <v>1</v>
      </c>
      <c r="G6">
        <v>1088</v>
      </c>
      <c r="H6">
        <v>688</v>
      </c>
    </row>
  </sheetData>
  <phoneticPr fontId="2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
  <sheetViews>
    <sheetView workbookViewId="0">
      <selection activeCell="B4" sqref="B4:I4"/>
    </sheetView>
  </sheetViews>
  <sheetFormatPr defaultColWidth="9" defaultRowHeight="13.8" x14ac:dyDescent="0.25"/>
  <sheetData>
    <row r="1" spans="1:9" x14ac:dyDescent="0.25">
      <c r="A1" t="s">
        <v>0</v>
      </c>
      <c r="B1" s="47" t="s">
        <v>205</v>
      </c>
      <c r="C1" s="47" t="s">
        <v>398</v>
      </c>
      <c r="D1" s="47" t="s">
        <v>399</v>
      </c>
      <c r="E1" s="47" t="s">
        <v>400</v>
      </c>
      <c r="F1" s="47" t="s">
        <v>389</v>
      </c>
      <c r="G1" s="47" t="s">
        <v>401</v>
      </c>
      <c r="H1" s="47" t="s">
        <v>386</v>
      </c>
      <c r="I1" s="35" t="s">
        <v>402</v>
      </c>
    </row>
    <row r="2" spans="1:9" ht="15.6" x14ac:dyDescent="0.3">
      <c r="A2" t="s">
        <v>15</v>
      </c>
      <c r="B2" s="81" t="s">
        <v>330</v>
      </c>
      <c r="C2" s="81" t="s">
        <v>403</v>
      </c>
      <c r="D2" s="81" t="s">
        <v>404</v>
      </c>
      <c r="E2" s="81" t="s">
        <v>405</v>
      </c>
      <c r="F2" s="81" t="s">
        <v>242</v>
      </c>
      <c r="G2" s="81" t="s">
        <v>299</v>
      </c>
      <c r="H2" s="81" t="s">
        <v>392</v>
      </c>
      <c r="I2" s="37" t="s">
        <v>406</v>
      </c>
    </row>
    <row r="3" spans="1:9" ht="15.6" x14ac:dyDescent="0.3">
      <c r="A3" t="s">
        <v>29</v>
      </c>
      <c r="B3" s="81" t="s">
        <v>30</v>
      </c>
      <c r="C3" s="81" t="s">
        <v>30</v>
      </c>
      <c r="D3" s="81" t="s">
        <v>30</v>
      </c>
      <c r="E3" s="81" t="s">
        <v>30</v>
      </c>
      <c r="F3" s="81" t="s">
        <v>30</v>
      </c>
      <c r="G3" s="81" t="s">
        <v>30</v>
      </c>
      <c r="H3" s="81" t="s">
        <v>30</v>
      </c>
      <c r="I3" s="37" t="s">
        <v>31</v>
      </c>
    </row>
    <row r="4" spans="1:9" ht="15.6" x14ac:dyDescent="0.3">
      <c r="A4" t="s">
        <v>33</v>
      </c>
      <c r="B4" s="81" t="s">
        <v>34</v>
      </c>
      <c r="C4" s="81" t="s">
        <v>34</v>
      </c>
      <c r="D4" s="81" t="s">
        <v>34</v>
      </c>
      <c r="E4" s="81" t="s">
        <v>34</v>
      </c>
      <c r="F4" s="81" t="s">
        <v>34</v>
      </c>
      <c r="G4" s="81" t="s">
        <v>34</v>
      </c>
      <c r="H4" s="81" t="s">
        <v>34</v>
      </c>
      <c r="I4" s="81" t="s">
        <v>34</v>
      </c>
    </row>
    <row r="5" spans="1:9" ht="15.6" x14ac:dyDescent="0.3">
      <c r="A5" t="s">
        <v>38</v>
      </c>
      <c r="B5" s="81">
        <v>0</v>
      </c>
      <c r="C5" s="81">
        <v>0</v>
      </c>
      <c r="D5" s="81">
        <v>0</v>
      </c>
      <c r="E5" s="81">
        <v>0</v>
      </c>
      <c r="F5" s="81">
        <v>0</v>
      </c>
      <c r="G5" s="81">
        <v>0</v>
      </c>
      <c r="H5" s="81">
        <v>0</v>
      </c>
      <c r="I5" s="37"/>
    </row>
    <row r="6" spans="1:9" x14ac:dyDescent="0.25">
      <c r="A6" t="s">
        <v>407</v>
      </c>
      <c r="B6" s="47">
        <v>1</v>
      </c>
      <c r="C6" s="47"/>
      <c r="D6" s="47"/>
      <c r="E6" s="47">
        <v>28800</v>
      </c>
      <c r="F6" s="47">
        <v>2</v>
      </c>
      <c r="G6" s="47">
        <v>10000</v>
      </c>
      <c r="H6" s="47">
        <v>20000</v>
      </c>
      <c r="I6" s="47" t="s">
        <v>408</v>
      </c>
    </row>
    <row r="7" spans="1:9" x14ac:dyDescent="0.25">
      <c r="B7" s="47">
        <v>2</v>
      </c>
      <c r="C7" s="47">
        <v>1</v>
      </c>
      <c r="D7" s="47">
        <v>5</v>
      </c>
      <c r="E7" s="47">
        <v>57600</v>
      </c>
      <c r="F7" s="47">
        <v>1</v>
      </c>
      <c r="G7" s="47">
        <v>100</v>
      </c>
      <c r="H7" s="47">
        <v>110</v>
      </c>
      <c r="I7" s="47" t="s">
        <v>409</v>
      </c>
    </row>
    <row r="8" spans="1:9" x14ac:dyDescent="0.25">
      <c r="B8" s="47">
        <v>3</v>
      </c>
      <c r="C8" s="47">
        <v>2</v>
      </c>
      <c r="D8" s="47">
        <v>1</v>
      </c>
      <c r="E8" s="47">
        <v>57600</v>
      </c>
      <c r="F8" s="47">
        <v>1</v>
      </c>
      <c r="G8" s="47">
        <v>1000</v>
      </c>
      <c r="H8" s="47">
        <v>1200</v>
      </c>
      <c r="I8" s="47" t="s">
        <v>410</v>
      </c>
    </row>
  </sheetData>
  <phoneticPr fontId="20"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5"/>
  <sheetViews>
    <sheetView workbookViewId="0">
      <selection activeCell="D4" sqref="D4"/>
    </sheetView>
  </sheetViews>
  <sheetFormatPr defaultColWidth="9" defaultRowHeight="13.8" x14ac:dyDescent="0.25"/>
  <sheetData>
    <row r="1" spans="1:4" x14ac:dyDescent="0.25">
      <c r="A1" t="s">
        <v>0</v>
      </c>
      <c r="B1" s="47" t="s">
        <v>411</v>
      </c>
      <c r="C1" s="35" t="s">
        <v>412</v>
      </c>
      <c r="D1" s="35" t="s">
        <v>413</v>
      </c>
    </row>
    <row r="2" spans="1:4" ht="15.6" x14ac:dyDescent="0.3">
      <c r="A2" t="s">
        <v>15</v>
      </c>
      <c r="B2" s="81" t="s">
        <v>330</v>
      </c>
      <c r="C2" s="37" t="s">
        <v>414</v>
      </c>
      <c r="D2" s="37" t="s">
        <v>28</v>
      </c>
    </row>
    <row r="3" spans="1:4" ht="15.6" x14ac:dyDescent="0.3">
      <c r="A3" t="s">
        <v>29</v>
      </c>
      <c r="B3" s="81" t="s">
        <v>30</v>
      </c>
      <c r="C3" s="37" t="s">
        <v>31</v>
      </c>
      <c r="D3" s="37" t="s">
        <v>30</v>
      </c>
    </row>
    <row r="4" spans="1:4" ht="15.6" x14ac:dyDescent="0.3">
      <c r="A4" t="s">
        <v>33</v>
      </c>
      <c r="B4" s="81" t="s">
        <v>34</v>
      </c>
      <c r="C4" s="81" t="s">
        <v>34</v>
      </c>
      <c r="D4" s="81" t="s">
        <v>34</v>
      </c>
    </row>
    <row r="5" spans="1:4" ht="15.6" x14ac:dyDescent="0.3">
      <c r="A5" t="s">
        <v>38</v>
      </c>
      <c r="B5" s="81">
        <v>0</v>
      </c>
      <c r="C5" s="37"/>
      <c r="D5" s="37">
        <v>0</v>
      </c>
    </row>
    <row r="6" spans="1:4" x14ac:dyDescent="0.25">
      <c r="A6" t="s">
        <v>415</v>
      </c>
      <c r="B6" s="47">
        <v>1</v>
      </c>
      <c r="C6" s="47" t="s">
        <v>416</v>
      </c>
      <c r="D6" s="35">
        <v>208</v>
      </c>
    </row>
    <row r="7" spans="1:4" x14ac:dyDescent="0.25">
      <c r="B7" s="47">
        <v>2</v>
      </c>
      <c r="C7" s="47" t="s">
        <v>417</v>
      </c>
      <c r="D7" s="35">
        <v>67</v>
      </c>
    </row>
    <row r="8" spans="1:4" x14ac:dyDescent="0.25">
      <c r="B8" s="47">
        <v>3</v>
      </c>
      <c r="C8" s="47" t="s">
        <v>418</v>
      </c>
      <c r="D8" s="35">
        <v>7</v>
      </c>
    </row>
    <row r="12" spans="1:4" ht="15.6" x14ac:dyDescent="0.3">
      <c r="A12" s="32"/>
      <c r="B12" s="32"/>
      <c r="C12" s="32"/>
      <c r="D12" s="32"/>
    </row>
    <row r="13" spans="1:4" ht="15.6" x14ac:dyDescent="0.3">
      <c r="A13" s="32"/>
      <c r="B13" s="32"/>
      <c r="C13" s="32"/>
      <c r="D13" s="32"/>
    </row>
    <row r="14" spans="1:4" ht="15.6" x14ac:dyDescent="0.3">
      <c r="A14" s="32"/>
      <c r="B14" s="32"/>
      <c r="C14" s="32"/>
      <c r="D14" s="32"/>
    </row>
    <row r="15" spans="1:4" ht="15.6" x14ac:dyDescent="0.3">
      <c r="A15" s="32"/>
      <c r="B15" s="32"/>
      <c r="C15" s="32"/>
      <c r="D15" s="32"/>
    </row>
  </sheetData>
  <phoneticPr fontId="20" type="noConversion"/>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79"/>
  <sheetViews>
    <sheetView workbookViewId="0">
      <selection activeCell="J13" sqref="J13"/>
    </sheetView>
  </sheetViews>
  <sheetFormatPr defaultColWidth="11" defaultRowHeight="13.8" x14ac:dyDescent="0.25"/>
  <cols>
    <col min="1" max="1" width="12.21875" customWidth="1"/>
    <col min="2" max="2" width="11.44140625" customWidth="1"/>
    <col min="3" max="3" width="16.88671875" customWidth="1"/>
  </cols>
  <sheetData>
    <row r="1" spans="1:17" x14ac:dyDescent="0.25">
      <c r="A1" t="s">
        <v>0</v>
      </c>
      <c r="B1" t="s">
        <v>261</v>
      </c>
      <c r="C1" t="s">
        <v>419</v>
      </c>
      <c r="D1" t="s">
        <v>420</v>
      </c>
    </row>
    <row r="2" spans="1:17" x14ac:dyDescent="0.25">
      <c r="A2" t="s">
        <v>15</v>
      </c>
      <c r="B2" s="5" t="s">
        <v>16</v>
      </c>
      <c r="C2" s="5" t="s">
        <v>421</v>
      </c>
      <c r="D2" s="5" t="s">
        <v>422</v>
      </c>
    </row>
    <row r="3" spans="1:17" x14ac:dyDescent="0.25">
      <c r="A3" t="s">
        <v>29</v>
      </c>
      <c r="B3" s="5" t="s">
        <v>30</v>
      </c>
      <c r="C3" s="5" t="s">
        <v>30</v>
      </c>
      <c r="D3" s="5" t="s">
        <v>30</v>
      </c>
    </row>
    <row r="4" spans="1:17" x14ac:dyDescent="0.25">
      <c r="A4" t="s">
        <v>33</v>
      </c>
      <c r="B4" s="5" t="s">
        <v>34</v>
      </c>
      <c r="C4" s="5" t="s">
        <v>34</v>
      </c>
      <c r="D4" s="5" t="s">
        <v>34</v>
      </c>
    </row>
    <row r="5" spans="1:17" x14ac:dyDescent="0.25">
      <c r="A5" t="s">
        <v>38</v>
      </c>
      <c r="B5" s="5"/>
      <c r="C5" s="5">
        <v>0</v>
      </c>
      <c r="D5" s="5">
        <v>0</v>
      </c>
    </row>
    <row r="6" spans="1:17" x14ac:dyDescent="0.25">
      <c r="A6" t="s">
        <v>423</v>
      </c>
      <c r="B6">
        <v>1</v>
      </c>
      <c r="C6">
        <v>20</v>
      </c>
      <c r="D6">
        <v>6</v>
      </c>
      <c r="K6" s="27"/>
      <c r="Q6" s="27"/>
    </row>
    <row r="7" spans="1:17" x14ac:dyDescent="0.25">
      <c r="B7">
        <v>2</v>
      </c>
      <c r="C7">
        <v>22</v>
      </c>
      <c r="D7">
        <v>5</v>
      </c>
      <c r="Q7" s="27"/>
    </row>
    <row r="8" spans="1:17" x14ac:dyDescent="0.25">
      <c r="B8">
        <v>3</v>
      </c>
      <c r="C8">
        <v>24</v>
      </c>
      <c r="D8">
        <v>5</v>
      </c>
      <c r="Q8" s="27"/>
    </row>
    <row r="9" spans="1:17" x14ac:dyDescent="0.25">
      <c r="B9">
        <v>4</v>
      </c>
      <c r="C9">
        <v>26</v>
      </c>
      <c r="D9">
        <v>5</v>
      </c>
      <c r="Q9" s="27"/>
    </row>
    <row r="10" spans="1:17" x14ac:dyDescent="0.25">
      <c r="B10">
        <v>5</v>
      </c>
      <c r="C10">
        <v>28</v>
      </c>
      <c r="D10">
        <v>10</v>
      </c>
      <c r="Q10" s="27"/>
    </row>
    <row r="11" spans="1:17" x14ac:dyDescent="0.25">
      <c r="B11">
        <v>6</v>
      </c>
      <c r="C11">
        <v>30</v>
      </c>
      <c r="D11">
        <v>18</v>
      </c>
      <c r="Q11" s="27"/>
    </row>
    <row r="12" spans="1:17" x14ac:dyDescent="0.25">
      <c r="B12">
        <v>7</v>
      </c>
      <c r="C12">
        <v>40</v>
      </c>
      <c r="D12">
        <v>30</v>
      </c>
      <c r="Q12" s="27"/>
    </row>
    <row r="13" spans="1:17" x14ac:dyDescent="0.25">
      <c r="B13">
        <v>8</v>
      </c>
      <c r="C13">
        <v>60</v>
      </c>
      <c r="D13">
        <v>10</v>
      </c>
      <c r="Q13" s="27"/>
    </row>
    <row r="14" spans="1:17" x14ac:dyDescent="0.25">
      <c r="B14">
        <v>9</v>
      </c>
      <c r="C14">
        <v>80</v>
      </c>
      <c r="D14">
        <v>10</v>
      </c>
      <c r="H14" s="30"/>
      <c r="I14" s="30"/>
      <c r="J14" s="30"/>
      <c r="K14" s="30"/>
      <c r="L14" s="30"/>
      <c r="M14" s="30"/>
      <c r="Q14" s="27"/>
    </row>
    <row r="15" spans="1:17" x14ac:dyDescent="0.25">
      <c r="B15">
        <v>10</v>
      </c>
      <c r="C15">
        <v>100</v>
      </c>
      <c r="D15">
        <v>1</v>
      </c>
      <c r="I15" s="28"/>
      <c r="J15" s="29"/>
      <c r="K15" s="29"/>
      <c r="L15" s="29"/>
      <c r="M15" s="29"/>
      <c r="Q15" s="27"/>
    </row>
    <row r="16" spans="1:17" x14ac:dyDescent="0.25">
      <c r="H16" s="30"/>
      <c r="I16" s="27"/>
      <c r="Q16" s="27"/>
    </row>
    <row r="17" spans="8:17" x14ac:dyDescent="0.25">
      <c r="H17" s="30"/>
      <c r="I17" s="27"/>
      <c r="Q17" s="27"/>
    </row>
    <row r="18" spans="8:17" x14ac:dyDescent="0.25">
      <c r="H18" s="30"/>
      <c r="I18" s="27"/>
      <c r="Q18" s="27"/>
    </row>
    <row r="19" spans="8:17" x14ac:dyDescent="0.25">
      <c r="H19" s="30"/>
      <c r="I19" s="27"/>
      <c r="Q19" s="27"/>
    </row>
    <row r="20" spans="8:17" x14ac:dyDescent="0.25">
      <c r="H20" s="30"/>
      <c r="I20" s="27"/>
      <c r="Q20" s="27"/>
    </row>
    <row r="21" spans="8:17" x14ac:dyDescent="0.25">
      <c r="H21" s="30"/>
      <c r="I21" s="27"/>
      <c r="Q21" s="27"/>
    </row>
    <row r="22" spans="8:17" x14ac:dyDescent="0.25">
      <c r="Q22" s="27"/>
    </row>
    <row r="23" spans="8:17" x14ac:dyDescent="0.25">
      <c r="Q23" s="27"/>
    </row>
    <row r="24" spans="8:17" x14ac:dyDescent="0.25">
      <c r="Q24" s="27"/>
    </row>
    <row r="25" spans="8:17" x14ac:dyDescent="0.25">
      <c r="Q25" s="27"/>
    </row>
    <row r="26" spans="8:17" x14ac:dyDescent="0.25">
      <c r="Q26" s="27"/>
    </row>
    <row r="27" spans="8:17" x14ac:dyDescent="0.25">
      <c r="Q27" s="27"/>
    </row>
    <row r="28" spans="8:17" x14ac:dyDescent="0.25">
      <c r="Q28" s="27"/>
    </row>
    <row r="29" spans="8:17" x14ac:dyDescent="0.25">
      <c r="Q29" s="27"/>
    </row>
    <row r="30" spans="8:17" x14ac:dyDescent="0.25">
      <c r="Q30" s="27"/>
    </row>
    <row r="31" spans="8:17" x14ac:dyDescent="0.25">
      <c r="Q31" s="27"/>
    </row>
    <row r="32" spans="8:17" x14ac:dyDescent="0.25">
      <c r="Q32" s="27"/>
    </row>
    <row r="33" spans="17:17" x14ac:dyDescent="0.25">
      <c r="Q33" s="27"/>
    </row>
    <row r="34" spans="17:17" x14ac:dyDescent="0.25">
      <c r="Q34" s="27"/>
    </row>
    <row r="35" spans="17:17" x14ac:dyDescent="0.25">
      <c r="Q35" s="27"/>
    </row>
    <row r="36" spans="17:17" x14ac:dyDescent="0.25">
      <c r="Q36" s="27"/>
    </row>
    <row r="37" spans="17:17" x14ac:dyDescent="0.25">
      <c r="Q37" s="27"/>
    </row>
    <row r="38" spans="17:17" x14ac:dyDescent="0.25">
      <c r="Q38" s="27"/>
    </row>
    <row r="39" spans="17:17" x14ac:dyDescent="0.25">
      <c r="Q39" s="27"/>
    </row>
    <row r="40" spans="17:17" x14ac:dyDescent="0.25">
      <c r="Q40" s="27"/>
    </row>
    <row r="41" spans="17:17" x14ac:dyDescent="0.25">
      <c r="Q41" s="27"/>
    </row>
    <row r="42" spans="17:17" x14ac:dyDescent="0.25">
      <c r="Q42" s="27"/>
    </row>
    <row r="43" spans="17:17" x14ac:dyDescent="0.25">
      <c r="Q43" s="27"/>
    </row>
    <row r="44" spans="17:17" x14ac:dyDescent="0.25">
      <c r="Q44" s="27"/>
    </row>
    <row r="45" spans="17:17" x14ac:dyDescent="0.25">
      <c r="Q45" s="27"/>
    </row>
    <row r="46" spans="17:17" x14ac:dyDescent="0.25">
      <c r="Q46" s="27"/>
    </row>
    <row r="47" spans="17:17" x14ac:dyDescent="0.25">
      <c r="Q47" s="27"/>
    </row>
    <row r="48" spans="17:17" x14ac:dyDescent="0.25">
      <c r="Q48" s="27"/>
    </row>
    <row r="49" spans="17:17" x14ac:dyDescent="0.25">
      <c r="Q49" s="27"/>
    </row>
    <row r="50" spans="17:17" x14ac:dyDescent="0.25">
      <c r="Q50" s="27"/>
    </row>
    <row r="51" spans="17:17" x14ac:dyDescent="0.25">
      <c r="Q51" s="27"/>
    </row>
    <row r="52" spans="17:17" x14ac:dyDescent="0.25">
      <c r="Q52" s="27"/>
    </row>
    <row r="53" spans="17:17" x14ac:dyDescent="0.25">
      <c r="Q53" s="27"/>
    </row>
    <row r="54" spans="17:17" x14ac:dyDescent="0.25">
      <c r="Q54" s="27"/>
    </row>
    <row r="55" spans="17:17" x14ac:dyDescent="0.25">
      <c r="Q55" s="27"/>
    </row>
    <row r="56" spans="17:17" x14ac:dyDescent="0.25">
      <c r="Q56" s="27"/>
    </row>
    <row r="57" spans="17:17" x14ac:dyDescent="0.25">
      <c r="Q57" s="27"/>
    </row>
    <row r="58" spans="17:17" x14ac:dyDescent="0.25">
      <c r="Q58" s="27"/>
    </row>
    <row r="59" spans="17:17" x14ac:dyDescent="0.25">
      <c r="Q59" s="27"/>
    </row>
    <row r="60" spans="17:17" x14ac:dyDescent="0.25">
      <c r="Q60" s="27"/>
    </row>
    <row r="61" spans="17:17" x14ac:dyDescent="0.25">
      <c r="Q61" s="27"/>
    </row>
    <row r="62" spans="17:17" x14ac:dyDescent="0.25">
      <c r="Q62" s="27"/>
    </row>
    <row r="63" spans="17:17" x14ac:dyDescent="0.25">
      <c r="Q63" s="27"/>
    </row>
    <row r="64" spans="17:17" x14ac:dyDescent="0.25">
      <c r="Q64" s="27"/>
    </row>
    <row r="65" spans="17:17" x14ac:dyDescent="0.25">
      <c r="Q65" s="27"/>
    </row>
    <row r="66" spans="17:17" x14ac:dyDescent="0.25">
      <c r="Q66" s="27"/>
    </row>
    <row r="67" spans="17:17" x14ac:dyDescent="0.25">
      <c r="Q67" s="27"/>
    </row>
    <row r="68" spans="17:17" x14ac:dyDescent="0.25">
      <c r="Q68" s="27"/>
    </row>
    <row r="69" spans="17:17" x14ac:dyDescent="0.25">
      <c r="Q69" s="27"/>
    </row>
    <row r="70" spans="17:17" x14ac:dyDescent="0.25">
      <c r="Q70" s="27"/>
    </row>
    <row r="71" spans="17:17" x14ac:dyDescent="0.25">
      <c r="Q71" s="27"/>
    </row>
    <row r="72" spans="17:17" x14ac:dyDescent="0.25">
      <c r="Q72" s="27"/>
    </row>
    <row r="73" spans="17:17" x14ac:dyDescent="0.25">
      <c r="Q73" s="27"/>
    </row>
    <row r="74" spans="17:17" x14ac:dyDescent="0.25">
      <c r="Q74" s="27"/>
    </row>
    <row r="75" spans="17:17" x14ac:dyDescent="0.25">
      <c r="Q75" s="27"/>
    </row>
    <row r="76" spans="17:17" x14ac:dyDescent="0.25">
      <c r="Q76" s="27"/>
    </row>
    <row r="77" spans="17:17" x14ac:dyDescent="0.25">
      <c r="Q77" s="27"/>
    </row>
    <row r="78" spans="17:17" x14ac:dyDescent="0.25">
      <c r="Q78" s="27"/>
    </row>
    <row r="79" spans="17:17" x14ac:dyDescent="0.25">
      <c r="Q79" s="27"/>
    </row>
  </sheetData>
  <phoneticPr fontId="2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79"/>
  <sheetViews>
    <sheetView workbookViewId="0">
      <selection activeCell="E17" sqref="E17"/>
    </sheetView>
  </sheetViews>
  <sheetFormatPr defaultColWidth="11" defaultRowHeight="13.8" x14ac:dyDescent="0.25"/>
  <cols>
    <col min="3" max="3" width="18.88671875" customWidth="1"/>
    <col min="6" max="6" width="23.33203125" customWidth="1"/>
  </cols>
  <sheetData>
    <row r="1" spans="1:14" x14ac:dyDescent="0.25">
      <c r="A1" t="s">
        <v>0</v>
      </c>
      <c r="B1" t="s">
        <v>261</v>
      </c>
      <c r="C1" t="s">
        <v>424</v>
      </c>
      <c r="D1" t="s">
        <v>425</v>
      </c>
      <c r="E1" t="s">
        <v>426</v>
      </c>
      <c r="F1" t="s">
        <v>427</v>
      </c>
      <c r="G1" t="s">
        <v>425</v>
      </c>
    </row>
    <row r="2" spans="1:14" x14ac:dyDescent="0.25">
      <c r="A2" t="s">
        <v>15</v>
      </c>
      <c r="B2" s="5" t="s">
        <v>16</v>
      </c>
      <c r="C2" s="5" t="s">
        <v>428</v>
      </c>
      <c r="D2" s="5" t="s">
        <v>429</v>
      </c>
      <c r="E2" s="4"/>
      <c r="F2" s="5" t="s">
        <v>430</v>
      </c>
      <c r="G2" s="5" t="s">
        <v>431</v>
      </c>
    </row>
    <row r="3" spans="1:14" x14ac:dyDescent="0.25">
      <c r="A3" t="s">
        <v>29</v>
      </c>
      <c r="B3" s="5" t="s">
        <v>30</v>
      </c>
      <c r="C3" s="5" t="s">
        <v>283</v>
      </c>
      <c r="D3" s="5" t="s">
        <v>30</v>
      </c>
      <c r="E3" s="4" t="s">
        <v>31</v>
      </c>
      <c r="F3" s="5" t="s">
        <v>283</v>
      </c>
      <c r="G3" s="5" t="s">
        <v>30</v>
      </c>
    </row>
    <row r="4" spans="1:14" x14ac:dyDescent="0.25">
      <c r="A4" t="s">
        <v>33</v>
      </c>
      <c r="B4" s="5" t="s">
        <v>34</v>
      </c>
      <c r="C4" s="5" t="s">
        <v>34</v>
      </c>
      <c r="D4" s="5" t="s">
        <v>34</v>
      </c>
      <c r="E4" s="5" t="s">
        <v>34</v>
      </c>
      <c r="F4" s="5" t="s">
        <v>34</v>
      </c>
      <c r="G4" s="5" t="s">
        <v>34</v>
      </c>
    </row>
    <row r="5" spans="1:14" x14ac:dyDescent="0.25">
      <c r="A5" t="s">
        <v>38</v>
      </c>
      <c r="B5" s="5"/>
      <c r="C5" s="5">
        <v>0</v>
      </c>
      <c r="D5" s="5">
        <v>0</v>
      </c>
      <c r="E5" s="4"/>
      <c r="F5" s="5">
        <v>0</v>
      </c>
      <c r="G5" s="5">
        <v>0</v>
      </c>
    </row>
    <row r="6" spans="1:14" x14ac:dyDescent="0.25">
      <c r="A6" t="s">
        <v>432</v>
      </c>
      <c r="B6">
        <v>1</v>
      </c>
      <c r="C6" s="80" t="s">
        <v>433</v>
      </c>
      <c r="D6">
        <v>50</v>
      </c>
      <c r="E6" t="s">
        <v>434</v>
      </c>
      <c r="F6" s="80" t="s">
        <v>352</v>
      </c>
      <c r="G6">
        <v>62</v>
      </c>
      <c r="H6" s="27"/>
      <c r="N6" s="27"/>
    </row>
    <row r="7" spans="1:14" x14ac:dyDescent="0.25">
      <c r="B7">
        <v>2</v>
      </c>
      <c r="C7" s="80" t="s">
        <v>435</v>
      </c>
      <c r="D7">
        <v>35</v>
      </c>
      <c r="E7" t="s">
        <v>434</v>
      </c>
      <c r="F7" s="80" t="s">
        <v>436</v>
      </c>
      <c r="G7">
        <v>20</v>
      </c>
      <c r="N7" s="27"/>
    </row>
    <row r="8" spans="1:14" x14ac:dyDescent="0.25">
      <c r="B8">
        <v>3</v>
      </c>
      <c r="C8" s="80" t="s">
        <v>437</v>
      </c>
      <c r="D8">
        <v>5</v>
      </c>
      <c r="E8" t="s">
        <v>434</v>
      </c>
      <c r="F8" s="80" t="s">
        <v>438</v>
      </c>
      <c r="G8">
        <v>10</v>
      </c>
      <c r="N8" s="27"/>
    </row>
    <row r="9" spans="1:14" x14ac:dyDescent="0.25">
      <c r="B9">
        <v>4</v>
      </c>
      <c r="C9" s="80" t="s">
        <v>336</v>
      </c>
      <c r="D9">
        <v>7</v>
      </c>
      <c r="E9" t="s">
        <v>434</v>
      </c>
      <c r="F9" s="80" t="s">
        <v>439</v>
      </c>
      <c r="G9">
        <v>1</v>
      </c>
      <c r="N9" s="27"/>
    </row>
    <row r="10" spans="1:14" x14ac:dyDescent="0.25">
      <c r="B10">
        <v>5</v>
      </c>
      <c r="C10" s="80" t="s">
        <v>440</v>
      </c>
      <c r="D10">
        <v>2</v>
      </c>
      <c r="E10" t="s">
        <v>441</v>
      </c>
      <c r="F10" s="80" t="s">
        <v>354</v>
      </c>
      <c r="G10">
        <v>5</v>
      </c>
      <c r="N10" s="27"/>
    </row>
    <row r="11" spans="1:14" x14ac:dyDescent="0.25">
      <c r="B11">
        <v>6</v>
      </c>
      <c r="C11" s="80" t="s">
        <v>343</v>
      </c>
      <c r="D11">
        <v>1</v>
      </c>
      <c r="E11" t="s">
        <v>441</v>
      </c>
      <c r="F11" s="80" t="s">
        <v>442</v>
      </c>
      <c r="G11">
        <v>2</v>
      </c>
      <c r="N11" s="27"/>
    </row>
    <row r="12" spans="1:14" x14ac:dyDescent="0.25">
      <c r="N12" s="27"/>
    </row>
    <row r="13" spans="1:14" x14ac:dyDescent="0.25">
      <c r="N13" s="27"/>
    </row>
    <row r="14" spans="1:14" x14ac:dyDescent="0.25">
      <c r="E14" s="30"/>
      <c r="F14" s="30"/>
      <c r="G14" s="30"/>
      <c r="H14" s="30"/>
      <c r="I14" s="30"/>
      <c r="J14" s="30"/>
      <c r="N14" s="27"/>
    </row>
    <row r="15" spans="1:14" x14ac:dyDescent="0.25">
      <c r="F15" s="28"/>
      <c r="G15" s="29"/>
      <c r="H15" s="29"/>
      <c r="I15" s="29"/>
      <c r="J15" s="29"/>
      <c r="N15" s="27"/>
    </row>
    <row r="16" spans="1:14" x14ac:dyDescent="0.25">
      <c r="E16" s="30"/>
      <c r="F16" s="27"/>
      <c r="N16" s="27"/>
    </row>
    <row r="17" spans="5:14" x14ac:dyDescent="0.25">
      <c r="E17" s="30"/>
      <c r="F17" s="27"/>
      <c r="N17" s="27"/>
    </row>
    <row r="18" spans="5:14" x14ac:dyDescent="0.25">
      <c r="E18" s="30"/>
      <c r="F18" s="27"/>
      <c r="N18" s="27"/>
    </row>
    <row r="19" spans="5:14" x14ac:dyDescent="0.25">
      <c r="E19" s="30"/>
      <c r="F19" s="27"/>
      <c r="N19" s="27"/>
    </row>
    <row r="20" spans="5:14" x14ac:dyDescent="0.25">
      <c r="E20" s="30"/>
      <c r="F20" s="27"/>
      <c r="N20" s="27"/>
    </row>
    <row r="21" spans="5:14" x14ac:dyDescent="0.25">
      <c r="E21" s="30"/>
      <c r="F21" s="27"/>
      <c r="N21" s="27"/>
    </row>
    <row r="22" spans="5:14" x14ac:dyDescent="0.25">
      <c r="N22" s="27"/>
    </row>
    <row r="23" spans="5:14" x14ac:dyDescent="0.25">
      <c r="N23" s="27"/>
    </row>
    <row r="24" spans="5:14" x14ac:dyDescent="0.25">
      <c r="N24" s="27"/>
    </row>
    <row r="25" spans="5:14" x14ac:dyDescent="0.25">
      <c r="N25" s="27"/>
    </row>
    <row r="26" spans="5:14" x14ac:dyDescent="0.25">
      <c r="N26" s="27"/>
    </row>
    <row r="27" spans="5:14" x14ac:dyDescent="0.25">
      <c r="N27" s="27"/>
    </row>
    <row r="28" spans="5:14" x14ac:dyDescent="0.25">
      <c r="N28" s="27"/>
    </row>
    <row r="29" spans="5:14" x14ac:dyDescent="0.25">
      <c r="N29" s="27"/>
    </row>
    <row r="30" spans="5:14" x14ac:dyDescent="0.25">
      <c r="N30" s="27"/>
    </row>
    <row r="31" spans="5:14" x14ac:dyDescent="0.25">
      <c r="N31" s="27"/>
    </row>
    <row r="32" spans="5:14" x14ac:dyDescent="0.25">
      <c r="N32" s="27"/>
    </row>
    <row r="33" spans="14:14" x14ac:dyDescent="0.25">
      <c r="N33" s="27"/>
    </row>
    <row r="34" spans="14:14" x14ac:dyDescent="0.25">
      <c r="N34" s="27"/>
    </row>
    <row r="35" spans="14:14" x14ac:dyDescent="0.25">
      <c r="N35" s="27"/>
    </row>
    <row r="36" spans="14:14" x14ac:dyDescent="0.25">
      <c r="N36" s="27"/>
    </row>
    <row r="37" spans="14:14" x14ac:dyDescent="0.25">
      <c r="N37" s="27"/>
    </row>
    <row r="38" spans="14:14" x14ac:dyDescent="0.25">
      <c r="N38" s="27"/>
    </row>
    <row r="39" spans="14:14" x14ac:dyDescent="0.25">
      <c r="N39" s="27"/>
    </row>
    <row r="40" spans="14:14" x14ac:dyDescent="0.25">
      <c r="N40" s="27"/>
    </row>
    <row r="41" spans="14:14" x14ac:dyDescent="0.25">
      <c r="N41" s="27"/>
    </row>
    <row r="42" spans="14:14" x14ac:dyDescent="0.25">
      <c r="N42" s="27"/>
    </row>
    <row r="43" spans="14:14" x14ac:dyDescent="0.25">
      <c r="N43" s="27"/>
    </row>
    <row r="44" spans="14:14" x14ac:dyDescent="0.25">
      <c r="N44" s="27"/>
    </row>
    <row r="45" spans="14:14" x14ac:dyDescent="0.25">
      <c r="N45" s="27"/>
    </row>
    <row r="46" spans="14:14" x14ac:dyDescent="0.25">
      <c r="N46" s="27"/>
    </row>
    <row r="47" spans="14:14" x14ac:dyDescent="0.25">
      <c r="N47" s="27"/>
    </row>
    <row r="48" spans="14:14" x14ac:dyDescent="0.25">
      <c r="N48" s="27"/>
    </row>
    <row r="49" spans="14:14" x14ac:dyDescent="0.25">
      <c r="N49" s="27"/>
    </row>
    <row r="50" spans="14:14" x14ac:dyDescent="0.25">
      <c r="N50" s="27"/>
    </row>
    <row r="51" spans="14:14" x14ac:dyDescent="0.25">
      <c r="N51" s="27"/>
    </row>
    <row r="52" spans="14:14" x14ac:dyDescent="0.25">
      <c r="N52" s="27"/>
    </row>
    <row r="53" spans="14:14" x14ac:dyDescent="0.25">
      <c r="N53" s="27"/>
    </row>
    <row r="54" spans="14:14" x14ac:dyDescent="0.25">
      <c r="N54" s="27"/>
    </row>
    <row r="55" spans="14:14" x14ac:dyDescent="0.25">
      <c r="N55" s="27"/>
    </row>
    <row r="56" spans="14:14" x14ac:dyDescent="0.25">
      <c r="N56" s="27"/>
    </row>
    <row r="57" spans="14:14" x14ac:dyDescent="0.25">
      <c r="N57" s="27"/>
    </row>
    <row r="58" spans="14:14" x14ac:dyDescent="0.25">
      <c r="N58" s="27"/>
    </row>
    <row r="59" spans="14:14" x14ac:dyDescent="0.25">
      <c r="N59" s="27"/>
    </row>
    <row r="60" spans="14:14" x14ac:dyDescent="0.25">
      <c r="N60" s="27"/>
    </row>
    <row r="61" spans="14:14" x14ac:dyDescent="0.25">
      <c r="N61" s="27"/>
    </row>
    <row r="62" spans="14:14" x14ac:dyDescent="0.25">
      <c r="N62" s="27"/>
    </row>
    <row r="63" spans="14:14" x14ac:dyDescent="0.25">
      <c r="N63" s="27"/>
    </row>
    <row r="64" spans="14:14" x14ac:dyDescent="0.25">
      <c r="N64" s="27"/>
    </row>
    <row r="65" spans="14:14" x14ac:dyDescent="0.25">
      <c r="N65" s="27"/>
    </row>
    <row r="66" spans="14:14" x14ac:dyDescent="0.25">
      <c r="N66" s="27"/>
    </row>
    <row r="67" spans="14:14" x14ac:dyDescent="0.25">
      <c r="N67" s="27"/>
    </row>
    <row r="68" spans="14:14" x14ac:dyDescent="0.25">
      <c r="N68" s="27"/>
    </row>
    <row r="69" spans="14:14" x14ac:dyDescent="0.25">
      <c r="N69" s="27"/>
    </row>
    <row r="70" spans="14:14" x14ac:dyDescent="0.25">
      <c r="N70" s="27"/>
    </row>
    <row r="71" spans="14:14" x14ac:dyDescent="0.25">
      <c r="N71" s="27"/>
    </row>
    <row r="72" spans="14:14" x14ac:dyDescent="0.25">
      <c r="N72" s="27"/>
    </row>
    <row r="73" spans="14:14" x14ac:dyDescent="0.25">
      <c r="N73" s="27"/>
    </row>
    <row r="74" spans="14:14" x14ac:dyDescent="0.25">
      <c r="N74" s="27"/>
    </row>
    <row r="75" spans="14:14" x14ac:dyDescent="0.25">
      <c r="N75" s="27"/>
    </row>
    <row r="76" spans="14:14" x14ac:dyDescent="0.25">
      <c r="N76" s="27"/>
    </row>
    <row r="77" spans="14:14" x14ac:dyDescent="0.25">
      <c r="N77" s="27"/>
    </row>
    <row r="78" spans="14:14" x14ac:dyDescent="0.25">
      <c r="N78" s="27"/>
    </row>
    <row r="79" spans="14:14" x14ac:dyDescent="0.25">
      <c r="N79" s="27"/>
    </row>
  </sheetData>
  <phoneticPr fontId="2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0"/>
  <sheetViews>
    <sheetView workbookViewId="0">
      <selection activeCell="E10" sqref="E10"/>
    </sheetView>
  </sheetViews>
  <sheetFormatPr defaultColWidth="11" defaultRowHeight="13.8" x14ac:dyDescent="0.25"/>
  <cols>
    <col min="1" max="1" width="16.77734375" customWidth="1"/>
    <col min="2" max="2" width="15.44140625" customWidth="1"/>
    <col min="3" max="3" width="16.77734375" customWidth="1"/>
    <col min="4" max="4" width="15.44140625" customWidth="1"/>
    <col min="5" max="5" width="13.33203125" customWidth="1"/>
  </cols>
  <sheetData>
    <row r="1" spans="1:9" x14ac:dyDescent="0.25">
      <c r="A1" t="s">
        <v>0</v>
      </c>
      <c r="B1" t="s">
        <v>443</v>
      </c>
      <c r="C1" s="21" t="s">
        <v>360</v>
      </c>
    </row>
    <row r="2" spans="1:9" x14ac:dyDescent="0.25">
      <c r="A2" t="s">
        <v>15</v>
      </c>
      <c r="B2" s="5" t="s">
        <v>16</v>
      </c>
      <c r="C2" s="22" t="s">
        <v>444</v>
      </c>
    </row>
    <row r="3" spans="1:9" ht="15.6" x14ac:dyDescent="0.3">
      <c r="A3" t="s">
        <v>29</v>
      </c>
      <c r="B3" s="5" t="s">
        <v>30</v>
      </c>
      <c r="C3" s="23" t="s">
        <v>221</v>
      </c>
    </row>
    <row r="4" spans="1:9" x14ac:dyDescent="0.25">
      <c r="A4" t="s">
        <v>33</v>
      </c>
      <c r="B4" s="5" t="s">
        <v>34</v>
      </c>
      <c r="C4" s="5" t="s">
        <v>34</v>
      </c>
    </row>
    <row r="5" spans="1:9" x14ac:dyDescent="0.25">
      <c r="A5" t="s">
        <v>38</v>
      </c>
      <c r="B5" s="5"/>
      <c r="C5" s="39"/>
    </row>
    <row r="6" spans="1:9" x14ac:dyDescent="0.25">
      <c r="A6" t="s">
        <v>445</v>
      </c>
      <c r="B6">
        <v>1</v>
      </c>
      <c r="C6" s="21" t="s">
        <v>446</v>
      </c>
    </row>
    <row r="7" spans="1:9" x14ac:dyDescent="0.25">
      <c r="B7">
        <v>2</v>
      </c>
      <c r="C7" s="21" t="s">
        <v>446</v>
      </c>
    </row>
    <row r="8" spans="1:9" x14ac:dyDescent="0.25">
      <c r="B8">
        <v>3</v>
      </c>
      <c r="C8" s="21" t="s">
        <v>446</v>
      </c>
    </row>
    <row r="9" spans="1:9" x14ac:dyDescent="0.25">
      <c r="B9">
        <v>4</v>
      </c>
      <c r="C9" s="21" t="s">
        <v>447</v>
      </c>
    </row>
    <row r="11" spans="1:9" x14ac:dyDescent="0.25">
      <c r="B11" s="21"/>
    </row>
    <row r="12" spans="1:9" x14ac:dyDescent="0.25">
      <c r="I12" s="1"/>
    </row>
    <row r="16" spans="1:9" x14ac:dyDescent="0.25">
      <c r="B16" s="21"/>
    </row>
    <row r="17" spans="2:2" x14ac:dyDescent="0.25">
      <c r="B17" s="21"/>
    </row>
    <row r="18" spans="2:2" x14ac:dyDescent="0.25">
      <c r="B18" s="21"/>
    </row>
    <row r="19" spans="2:2" x14ac:dyDescent="0.25">
      <c r="B19" s="21"/>
    </row>
    <row r="20" spans="2:2" x14ac:dyDescent="0.25">
      <c r="B20" s="21"/>
    </row>
  </sheetData>
  <phoneticPr fontId="20" type="noConversion"/>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2"/>
  <sheetViews>
    <sheetView workbookViewId="0">
      <selection activeCell="F3" sqref="F3"/>
    </sheetView>
  </sheetViews>
  <sheetFormatPr defaultColWidth="11" defaultRowHeight="13.8" x14ac:dyDescent="0.25"/>
  <cols>
    <col min="1" max="1" width="15.44140625" customWidth="1"/>
    <col min="2" max="2" width="13.33203125" customWidth="1"/>
    <col min="6" max="6" width="27.109375" customWidth="1"/>
  </cols>
  <sheetData>
    <row r="1" spans="1:9" x14ac:dyDescent="0.25">
      <c r="A1" t="s">
        <v>0</v>
      </c>
      <c r="B1" t="s">
        <v>443</v>
      </c>
      <c r="C1" t="s">
        <v>448</v>
      </c>
      <c r="D1" t="s">
        <v>449</v>
      </c>
      <c r="E1" t="s">
        <v>450</v>
      </c>
      <c r="F1" t="s">
        <v>451</v>
      </c>
      <c r="G1" s="21" t="s">
        <v>452</v>
      </c>
      <c r="H1" t="s">
        <v>453</v>
      </c>
      <c r="I1" t="s">
        <v>454</v>
      </c>
    </row>
    <row r="2" spans="1:9" x14ac:dyDescent="0.25">
      <c r="A2" t="s">
        <v>15</v>
      </c>
      <c r="B2" s="5" t="s">
        <v>16</v>
      </c>
      <c r="C2" s="5" t="s">
        <v>455</v>
      </c>
      <c r="D2" s="5" t="s">
        <v>456</v>
      </c>
      <c r="E2" s="5" t="s">
        <v>457</v>
      </c>
      <c r="F2" s="5" t="s">
        <v>458</v>
      </c>
      <c r="G2" s="5" t="s">
        <v>459</v>
      </c>
      <c r="H2" s="5" t="s">
        <v>460</v>
      </c>
      <c r="I2" s="77"/>
    </row>
    <row r="3" spans="1:9" x14ac:dyDescent="0.25">
      <c r="A3" t="s">
        <v>29</v>
      </c>
      <c r="B3" s="5" t="s">
        <v>30</v>
      </c>
      <c r="C3" s="5" t="s">
        <v>30</v>
      </c>
      <c r="D3" s="5" t="s">
        <v>30</v>
      </c>
      <c r="E3" s="5" t="s">
        <v>30</v>
      </c>
      <c r="F3" s="5" t="s">
        <v>283</v>
      </c>
      <c r="G3" s="5" t="s">
        <v>30</v>
      </c>
      <c r="H3" s="5" t="s">
        <v>30</v>
      </c>
      <c r="I3" s="78" t="s">
        <v>31</v>
      </c>
    </row>
    <row r="4" spans="1:9" x14ac:dyDescent="0.25">
      <c r="A4" t="s">
        <v>33</v>
      </c>
      <c r="B4" s="5" t="s">
        <v>34</v>
      </c>
      <c r="C4" s="5" t="s">
        <v>34</v>
      </c>
      <c r="D4" s="5" t="s">
        <v>34</v>
      </c>
      <c r="E4" s="5" t="s">
        <v>34</v>
      </c>
      <c r="F4" s="5" t="s">
        <v>34</v>
      </c>
      <c r="G4" s="5" t="s">
        <v>34</v>
      </c>
      <c r="H4" s="5" t="s">
        <v>34</v>
      </c>
      <c r="I4" s="5" t="s">
        <v>34</v>
      </c>
    </row>
    <row r="5" spans="1:9" x14ac:dyDescent="0.25">
      <c r="A5" t="s">
        <v>38</v>
      </c>
      <c r="B5" s="5"/>
      <c r="C5" s="5"/>
      <c r="D5" s="5"/>
      <c r="E5" s="5"/>
      <c r="F5" s="5"/>
      <c r="G5" s="5"/>
      <c r="H5" s="5"/>
      <c r="I5" s="79"/>
    </row>
    <row r="6" spans="1:9" x14ac:dyDescent="0.25">
      <c r="A6" t="s">
        <v>461</v>
      </c>
      <c r="B6">
        <v>1</v>
      </c>
      <c r="C6" s="76">
        <v>3</v>
      </c>
      <c r="D6" s="76">
        <v>134</v>
      </c>
      <c r="E6" s="76">
        <v>50</v>
      </c>
      <c r="F6" s="76" t="s">
        <v>462</v>
      </c>
      <c r="G6" s="76">
        <v>136500</v>
      </c>
      <c r="H6">
        <v>109005</v>
      </c>
      <c r="I6" t="s">
        <v>463</v>
      </c>
    </row>
    <row r="7" spans="1:9" x14ac:dyDescent="0.25">
      <c r="B7">
        <v>2</v>
      </c>
      <c r="C7">
        <v>3</v>
      </c>
      <c r="D7">
        <v>134</v>
      </c>
      <c r="E7">
        <v>50</v>
      </c>
      <c r="F7" t="s">
        <v>462</v>
      </c>
      <c r="G7" s="76">
        <v>136500</v>
      </c>
      <c r="H7">
        <v>109006</v>
      </c>
      <c r="I7" t="s">
        <v>463</v>
      </c>
    </row>
    <row r="12" spans="1:9" x14ac:dyDescent="0.25">
      <c r="F12" s="1"/>
    </row>
  </sheetData>
  <phoneticPr fontId="20"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5"/>
  <sheetViews>
    <sheetView workbookViewId="0">
      <selection activeCell="H17" sqref="H17"/>
    </sheetView>
  </sheetViews>
  <sheetFormatPr defaultColWidth="9" defaultRowHeight="13.8" x14ac:dyDescent="0.25"/>
  <cols>
    <col min="1" max="1" width="27.6640625" customWidth="1"/>
  </cols>
  <sheetData>
    <row r="1" spans="1:6" x14ac:dyDescent="0.25">
      <c r="A1" t="s">
        <v>0</v>
      </c>
      <c r="B1" t="s">
        <v>443</v>
      </c>
      <c r="C1" t="s">
        <v>464</v>
      </c>
      <c r="D1" t="s">
        <v>465</v>
      </c>
      <c r="E1" t="s">
        <v>208</v>
      </c>
      <c r="F1" s="1" t="s">
        <v>268</v>
      </c>
    </row>
    <row r="2" spans="1:6" x14ac:dyDescent="0.25">
      <c r="A2" t="s">
        <v>15</v>
      </c>
      <c r="B2" s="5" t="s">
        <v>16</v>
      </c>
      <c r="C2" s="5" t="s">
        <v>466</v>
      </c>
      <c r="D2" s="5" t="s">
        <v>467</v>
      </c>
      <c r="E2" s="5" t="s">
        <v>203</v>
      </c>
      <c r="F2" s="5" t="s">
        <v>468</v>
      </c>
    </row>
    <row r="3" spans="1:6" x14ac:dyDescent="0.25">
      <c r="A3" t="s">
        <v>29</v>
      </c>
      <c r="B3" s="5" t="s">
        <v>30</v>
      </c>
      <c r="C3" s="5" t="s">
        <v>30</v>
      </c>
      <c r="D3" s="5" t="s">
        <v>30</v>
      </c>
      <c r="E3" s="5" t="s">
        <v>30</v>
      </c>
      <c r="F3" s="5" t="s">
        <v>30</v>
      </c>
    </row>
    <row r="4" spans="1:6" x14ac:dyDescent="0.25">
      <c r="A4" t="s">
        <v>33</v>
      </c>
      <c r="B4" s="5" t="s">
        <v>34</v>
      </c>
      <c r="C4" s="5" t="s">
        <v>34</v>
      </c>
      <c r="D4" s="5" t="s">
        <v>34</v>
      </c>
      <c r="E4" s="5" t="s">
        <v>34</v>
      </c>
      <c r="F4" s="5" t="s">
        <v>34</v>
      </c>
    </row>
    <row r="5" spans="1:6" x14ac:dyDescent="0.25">
      <c r="A5" t="s">
        <v>38</v>
      </c>
      <c r="B5" s="5"/>
      <c r="C5" s="5">
        <v>0</v>
      </c>
      <c r="D5" s="5">
        <v>0</v>
      </c>
      <c r="E5" s="5">
        <v>0</v>
      </c>
      <c r="F5" s="5">
        <v>0</v>
      </c>
    </row>
    <row r="6" spans="1:6" ht="15.6" x14ac:dyDescent="0.3">
      <c r="A6" t="s">
        <v>469</v>
      </c>
      <c r="B6" s="7">
        <v>1</v>
      </c>
      <c r="C6" s="71">
        <v>8601</v>
      </c>
      <c r="D6" s="71">
        <v>8611</v>
      </c>
      <c r="E6">
        <v>110</v>
      </c>
      <c r="F6">
        <v>5</v>
      </c>
    </row>
    <row r="7" spans="1:6" ht="15.6" x14ac:dyDescent="0.3">
      <c r="B7" s="7">
        <v>2</v>
      </c>
      <c r="C7" s="71">
        <v>8602</v>
      </c>
      <c r="D7" s="71">
        <v>8612</v>
      </c>
      <c r="E7">
        <v>111</v>
      </c>
      <c r="F7">
        <v>15</v>
      </c>
    </row>
    <row r="8" spans="1:6" ht="15.6" x14ac:dyDescent="0.3">
      <c r="B8" s="7">
        <v>3</v>
      </c>
      <c r="C8" s="71">
        <v>8603</v>
      </c>
      <c r="D8" s="71">
        <v>8613</v>
      </c>
      <c r="E8">
        <v>112</v>
      </c>
      <c r="F8">
        <v>30</v>
      </c>
    </row>
    <row r="9" spans="1:6" ht="15.6" x14ac:dyDescent="0.3">
      <c r="B9" s="7">
        <v>4</v>
      </c>
      <c r="C9" s="71">
        <v>8604</v>
      </c>
      <c r="D9" s="71">
        <v>8614</v>
      </c>
      <c r="E9">
        <v>113</v>
      </c>
      <c r="F9">
        <v>60</v>
      </c>
    </row>
    <row r="10" spans="1:6" ht="15.6" x14ac:dyDescent="0.3">
      <c r="B10" s="7">
        <v>5</v>
      </c>
      <c r="C10" s="71">
        <v>8605</v>
      </c>
      <c r="D10" s="71">
        <v>8615</v>
      </c>
      <c r="E10">
        <v>114</v>
      </c>
      <c r="F10">
        <v>125</v>
      </c>
    </row>
    <row r="11" spans="1:6" ht="15.6" x14ac:dyDescent="0.3">
      <c r="B11" s="7">
        <v>6</v>
      </c>
      <c r="C11" s="71">
        <v>8606</v>
      </c>
      <c r="D11" s="71">
        <v>8616</v>
      </c>
      <c r="E11">
        <v>115</v>
      </c>
      <c r="F11">
        <v>250</v>
      </c>
    </row>
    <row r="12" spans="1:6" ht="15.6" x14ac:dyDescent="0.3">
      <c r="B12" s="7">
        <v>7</v>
      </c>
      <c r="C12" s="71">
        <v>8607</v>
      </c>
      <c r="D12" s="71">
        <v>8617</v>
      </c>
      <c r="E12">
        <v>116</v>
      </c>
      <c r="F12">
        <v>490</v>
      </c>
    </row>
    <row r="13" spans="1:6" ht="15.6" x14ac:dyDescent="0.3">
      <c r="B13" s="7">
        <v>8</v>
      </c>
      <c r="C13" s="71">
        <v>8608</v>
      </c>
      <c r="D13" s="71">
        <v>8618</v>
      </c>
      <c r="E13">
        <v>117</v>
      </c>
      <c r="F13">
        <v>640</v>
      </c>
    </row>
    <row r="14" spans="1:6" ht="15.6" x14ac:dyDescent="0.3">
      <c r="B14" s="7">
        <v>9</v>
      </c>
      <c r="C14" s="71">
        <v>8609</v>
      </c>
      <c r="D14" s="71">
        <v>8619</v>
      </c>
      <c r="E14">
        <v>118</v>
      </c>
      <c r="F14">
        <v>1640</v>
      </c>
    </row>
    <row r="15" spans="1:6" ht="15.6" x14ac:dyDescent="0.3">
      <c r="B15" s="7">
        <v>10</v>
      </c>
      <c r="C15" s="71">
        <v>8610</v>
      </c>
      <c r="D15" s="71">
        <v>8620</v>
      </c>
      <c r="E15">
        <v>119</v>
      </c>
      <c r="F15">
        <v>3240</v>
      </c>
    </row>
    <row r="16" spans="1:6" ht="15.6" x14ac:dyDescent="0.3">
      <c r="E16" s="71"/>
      <c r="F16" s="71"/>
    </row>
    <row r="17" spans="5:6" ht="15.6" x14ac:dyDescent="0.3">
      <c r="E17" s="71"/>
      <c r="F17" s="71"/>
    </row>
    <row r="18" spans="5:6" ht="15.6" x14ac:dyDescent="0.3">
      <c r="E18" s="71"/>
      <c r="F18" s="71"/>
    </row>
    <row r="19" spans="5:6" ht="15.6" x14ac:dyDescent="0.3">
      <c r="E19" s="71"/>
      <c r="F19" s="71"/>
    </row>
    <row r="20" spans="5:6" ht="15.6" x14ac:dyDescent="0.3">
      <c r="E20" s="71"/>
      <c r="F20" s="71"/>
    </row>
    <row r="21" spans="5:6" ht="15.6" x14ac:dyDescent="0.3">
      <c r="E21" s="71"/>
      <c r="F21" s="71"/>
    </row>
    <row r="22" spans="5:6" ht="15.6" x14ac:dyDescent="0.3">
      <c r="E22" s="71"/>
      <c r="F22" s="71"/>
    </row>
    <row r="23" spans="5:6" ht="15.6" x14ac:dyDescent="0.3">
      <c r="E23" s="71"/>
      <c r="F23" s="71"/>
    </row>
    <row r="24" spans="5:6" ht="15.6" x14ac:dyDescent="0.3">
      <c r="E24" s="71"/>
      <c r="F24" s="71"/>
    </row>
    <row r="25" spans="5:6" ht="15.6" x14ac:dyDescent="0.3">
      <c r="E25" s="71"/>
      <c r="F25" s="71"/>
    </row>
  </sheetData>
  <phoneticPr fontId="20"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8"/>
  <sheetViews>
    <sheetView workbookViewId="0">
      <selection activeCell="H16" sqref="H16"/>
    </sheetView>
  </sheetViews>
  <sheetFormatPr defaultColWidth="9" defaultRowHeight="13.8" x14ac:dyDescent="0.25"/>
  <cols>
    <col min="1" max="1" width="14.21875" customWidth="1"/>
    <col min="2" max="2" width="13.109375" customWidth="1"/>
    <col min="5" max="5" width="21.33203125" customWidth="1"/>
  </cols>
  <sheetData>
    <row r="1" spans="1:7" x14ac:dyDescent="0.25">
      <c r="A1" t="s">
        <v>0</v>
      </c>
      <c r="B1" t="s">
        <v>470</v>
      </c>
      <c r="C1" s="1" t="s">
        <v>471</v>
      </c>
      <c r="D1" t="s">
        <v>472</v>
      </c>
      <c r="E1" t="s">
        <v>473</v>
      </c>
    </row>
    <row r="2" spans="1:7" ht="15.6" x14ac:dyDescent="0.3">
      <c r="A2" t="s">
        <v>15</v>
      </c>
      <c r="B2" s="5" t="s">
        <v>16</v>
      </c>
      <c r="C2" s="70" t="s">
        <v>474</v>
      </c>
      <c r="D2" s="70" t="s">
        <v>475</v>
      </c>
      <c r="E2" s="5" t="s">
        <v>476</v>
      </c>
    </row>
    <row r="3" spans="1:7" ht="15.6" x14ac:dyDescent="0.3">
      <c r="A3" t="s">
        <v>29</v>
      </c>
      <c r="B3" s="5" t="s">
        <v>30</v>
      </c>
      <c r="C3" s="70" t="s">
        <v>31</v>
      </c>
      <c r="D3" s="70" t="s">
        <v>31</v>
      </c>
      <c r="E3" s="5" t="s">
        <v>221</v>
      </c>
    </row>
    <row r="4" spans="1:7" x14ac:dyDescent="0.25">
      <c r="A4" t="s">
        <v>33</v>
      </c>
      <c r="B4" s="5" t="s">
        <v>34</v>
      </c>
      <c r="C4" s="5" t="s">
        <v>34</v>
      </c>
      <c r="D4" s="5" t="s">
        <v>34</v>
      </c>
      <c r="E4" s="5" t="s">
        <v>34</v>
      </c>
    </row>
    <row r="5" spans="1:7" ht="15.6" x14ac:dyDescent="0.3">
      <c r="A5" t="s">
        <v>38</v>
      </c>
      <c r="B5" s="5"/>
      <c r="C5" s="70"/>
      <c r="D5" s="70"/>
      <c r="E5" s="5">
        <v>0</v>
      </c>
      <c r="F5" s="71"/>
      <c r="G5" s="71"/>
    </row>
    <row r="6" spans="1:7" ht="15.6" x14ac:dyDescent="0.3">
      <c r="A6" t="s">
        <v>38</v>
      </c>
      <c r="B6" s="4">
        <v>1</v>
      </c>
      <c r="C6" s="72">
        <v>44670</v>
      </c>
      <c r="D6" s="72">
        <v>44678.999305555597</v>
      </c>
      <c r="E6" t="s">
        <v>477</v>
      </c>
      <c r="F6" s="71"/>
      <c r="G6" s="71"/>
    </row>
    <row r="7" spans="1:7" ht="15.6" x14ac:dyDescent="0.3">
      <c r="A7" t="s">
        <v>38</v>
      </c>
      <c r="B7" s="4">
        <v>2</v>
      </c>
      <c r="C7" s="72">
        <v>44679</v>
      </c>
      <c r="D7" s="72">
        <v>44712</v>
      </c>
      <c r="E7" t="s">
        <v>477</v>
      </c>
      <c r="F7" s="71"/>
      <c r="G7" s="71"/>
    </row>
    <row r="8" spans="1:7" ht="15.6" x14ac:dyDescent="0.3">
      <c r="A8" t="s">
        <v>38</v>
      </c>
      <c r="B8" s="4">
        <v>3</v>
      </c>
      <c r="C8" s="72">
        <v>44713</v>
      </c>
      <c r="D8" s="72">
        <v>44742</v>
      </c>
      <c r="E8" t="s">
        <v>477</v>
      </c>
      <c r="F8" s="71"/>
      <c r="G8" s="71"/>
    </row>
    <row r="9" spans="1:7" ht="15.6" x14ac:dyDescent="0.3">
      <c r="A9" t="s">
        <v>38</v>
      </c>
      <c r="B9" s="4">
        <v>4</v>
      </c>
      <c r="C9" s="72">
        <v>44743</v>
      </c>
      <c r="D9" s="72">
        <v>44773</v>
      </c>
      <c r="E9" t="s">
        <v>477</v>
      </c>
      <c r="F9" s="71"/>
      <c r="G9" s="71"/>
    </row>
    <row r="10" spans="1:7" ht="15.6" x14ac:dyDescent="0.3">
      <c r="A10" t="s">
        <v>38</v>
      </c>
      <c r="B10" s="4">
        <v>5</v>
      </c>
      <c r="C10" s="72">
        <v>44774</v>
      </c>
      <c r="D10" s="72">
        <v>44804</v>
      </c>
      <c r="E10" t="s">
        <v>477</v>
      </c>
      <c r="F10" s="71"/>
      <c r="G10" s="71"/>
    </row>
    <row r="11" spans="1:7" ht="15.6" x14ac:dyDescent="0.3">
      <c r="A11" t="s">
        <v>38</v>
      </c>
      <c r="B11" s="4">
        <v>6</v>
      </c>
      <c r="C11" s="73">
        <v>44805</v>
      </c>
      <c r="D11" s="73">
        <v>44834</v>
      </c>
      <c r="E11" t="s">
        <v>477</v>
      </c>
      <c r="F11" s="71"/>
      <c r="G11" s="71"/>
    </row>
    <row r="12" spans="1:7" ht="15.6" x14ac:dyDescent="0.3">
      <c r="A12" t="s">
        <v>38</v>
      </c>
      <c r="B12" s="4">
        <v>7</v>
      </c>
      <c r="C12" s="74">
        <v>44835</v>
      </c>
      <c r="D12" s="74">
        <v>44865</v>
      </c>
      <c r="E12" s="8" t="s">
        <v>477</v>
      </c>
      <c r="F12" s="71"/>
      <c r="G12" s="71"/>
    </row>
    <row r="13" spans="1:7" ht="15.6" x14ac:dyDescent="0.3">
      <c r="A13" t="s">
        <v>38</v>
      </c>
      <c r="B13" s="4">
        <v>8</v>
      </c>
      <c r="C13" s="73">
        <v>44866</v>
      </c>
      <c r="D13" s="73">
        <v>44895</v>
      </c>
      <c r="E13" s="8" t="s">
        <v>477</v>
      </c>
      <c r="F13" s="71"/>
      <c r="G13" s="71"/>
    </row>
    <row r="14" spans="1:7" ht="15.6" x14ac:dyDescent="0.3">
      <c r="A14" t="s">
        <v>38</v>
      </c>
      <c r="B14" s="4">
        <v>9</v>
      </c>
      <c r="C14" s="74">
        <v>44896</v>
      </c>
      <c r="D14" s="74">
        <v>44926</v>
      </c>
      <c r="E14" s="8" t="s">
        <v>477</v>
      </c>
      <c r="F14" s="71"/>
      <c r="G14" s="71"/>
    </row>
    <row r="15" spans="1:7" ht="15.6" x14ac:dyDescent="0.3">
      <c r="A15" t="s">
        <v>38</v>
      </c>
      <c r="B15" s="4">
        <v>10</v>
      </c>
      <c r="C15" s="73">
        <v>44927</v>
      </c>
      <c r="D15" s="73">
        <v>44957</v>
      </c>
      <c r="E15" s="8" t="s">
        <v>477</v>
      </c>
      <c r="F15" s="71"/>
      <c r="G15" s="71"/>
    </row>
    <row r="16" spans="1:7" ht="15.6" x14ac:dyDescent="0.3">
      <c r="A16" t="s">
        <v>38</v>
      </c>
      <c r="B16" s="4">
        <v>11</v>
      </c>
      <c r="C16" s="74">
        <v>44958</v>
      </c>
      <c r="D16" s="74">
        <v>44985</v>
      </c>
      <c r="E16" s="8" t="s">
        <v>477</v>
      </c>
      <c r="F16" s="71"/>
      <c r="G16" s="71"/>
    </row>
    <row r="17" spans="1:7" ht="15.6" x14ac:dyDescent="0.3">
      <c r="A17" t="s">
        <v>38</v>
      </c>
      <c r="B17" s="4">
        <v>12</v>
      </c>
      <c r="C17" s="74">
        <v>44986</v>
      </c>
      <c r="D17" s="74">
        <v>45016</v>
      </c>
      <c r="E17" s="75" t="s">
        <v>477</v>
      </c>
      <c r="F17" s="71"/>
      <c r="G17" s="71"/>
    </row>
    <row r="18" spans="1:7" ht="15.6" x14ac:dyDescent="0.3">
      <c r="A18" t="s">
        <v>38</v>
      </c>
      <c r="B18" s="4">
        <v>13</v>
      </c>
      <c r="C18" s="73">
        <v>45017</v>
      </c>
      <c r="D18" s="73">
        <v>45046</v>
      </c>
      <c r="E18" s="8" t="s">
        <v>477</v>
      </c>
      <c r="F18" s="71"/>
      <c r="G18" s="71"/>
    </row>
    <row r="19" spans="1:7" ht="15.6" x14ac:dyDescent="0.3">
      <c r="A19" t="s">
        <v>478</v>
      </c>
      <c r="B19" s="75">
        <v>14</v>
      </c>
      <c r="C19" s="74">
        <v>45047</v>
      </c>
      <c r="D19" s="74">
        <v>45077</v>
      </c>
      <c r="E19" s="8" t="s">
        <v>477</v>
      </c>
      <c r="F19" s="71"/>
      <c r="G19" s="71"/>
    </row>
    <row r="20" spans="1:7" ht="15.6" x14ac:dyDescent="0.3">
      <c r="B20" s="8">
        <v>15</v>
      </c>
      <c r="C20" s="73">
        <v>45078</v>
      </c>
      <c r="D20" s="73">
        <v>45107</v>
      </c>
      <c r="E20" s="8" t="s">
        <v>477</v>
      </c>
      <c r="F20" s="71"/>
      <c r="G20" s="71"/>
    </row>
    <row r="21" spans="1:7" ht="15.6" x14ac:dyDescent="0.3">
      <c r="B21" s="75">
        <v>16</v>
      </c>
      <c r="C21" s="74">
        <v>45108</v>
      </c>
      <c r="D21" s="74">
        <v>45138</v>
      </c>
      <c r="E21" s="8" t="s">
        <v>477</v>
      </c>
      <c r="F21" s="71"/>
      <c r="G21" s="71"/>
    </row>
    <row r="22" spans="1:7" ht="15.6" x14ac:dyDescent="0.3">
      <c r="B22" s="75">
        <v>17</v>
      </c>
      <c r="C22" s="74">
        <v>45139</v>
      </c>
      <c r="D22" s="73">
        <v>45170</v>
      </c>
      <c r="E22" s="75" t="s">
        <v>477</v>
      </c>
      <c r="F22" s="71"/>
      <c r="G22" s="71"/>
    </row>
    <row r="23" spans="1:7" ht="15.6" x14ac:dyDescent="0.3">
      <c r="B23" s="8">
        <v>18</v>
      </c>
      <c r="C23" s="73">
        <v>45170</v>
      </c>
      <c r="D23" s="73">
        <v>45200</v>
      </c>
      <c r="E23" s="8" t="s">
        <v>477</v>
      </c>
      <c r="F23" s="71"/>
      <c r="G23" s="71"/>
    </row>
    <row r="24" spans="1:7" ht="15.6" x14ac:dyDescent="0.3">
      <c r="B24" s="8">
        <v>19</v>
      </c>
      <c r="C24" s="73">
        <v>45200</v>
      </c>
      <c r="D24" s="74">
        <v>45231</v>
      </c>
      <c r="E24" s="8" t="s">
        <v>477</v>
      </c>
      <c r="F24" s="71"/>
      <c r="G24" s="71"/>
    </row>
    <row r="25" spans="1:7" ht="15.6" x14ac:dyDescent="0.3">
      <c r="B25" s="75">
        <v>20</v>
      </c>
      <c r="C25" s="74">
        <v>45231</v>
      </c>
      <c r="D25" s="73">
        <v>45261</v>
      </c>
      <c r="E25" s="8" t="s">
        <v>477</v>
      </c>
    </row>
    <row r="26" spans="1:7" ht="15.6" x14ac:dyDescent="0.3">
      <c r="B26" s="8">
        <v>21</v>
      </c>
      <c r="C26" s="73">
        <v>45261</v>
      </c>
      <c r="D26" s="74">
        <v>45292</v>
      </c>
      <c r="E26" s="8" t="s">
        <v>477</v>
      </c>
    </row>
    <row r="27" spans="1:7" ht="15.6" x14ac:dyDescent="0.3">
      <c r="B27" s="75">
        <v>22</v>
      </c>
      <c r="C27" s="74">
        <v>45292</v>
      </c>
      <c r="D27" s="74">
        <v>45323</v>
      </c>
      <c r="E27" s="8" t="s">
        <v>477</v>
      </c>
    </row>
    <row r="28" spans="1:7" ht="15.6" x14ac:dyDescent="0.3">
      <c r="B28" s="75">
        <v>23</v>
      </c>
      <c r="C28" s="74">
        <v>45323</v>
      </c>
      <c r="D28" s="73">
        <v>45352</v>
      </c>
      <c r="E28" s="75" t="s">
        <v>477</v>
      </c>
    </row>
    <row r="29" spans="1:7" ht="15.6" x14ac:dyDescent="0.3">
      <c r="B29" s="8">
        <v>24</v>
      </c>
      <c r="C29" s="73">
        <v>45352</v>
      </c>
      <c r="D29" s="74">
        <v>45383</v>
      </c>
      <c r="E29" s="8" t="s">
        <v>477</v>
      </c>
    </row>
    <row r="30" spans="1:7" ht="15.6" x14ac:dyDescent="0.3">
      <c r="B30" s="75">
        <v>25</v>
      </c>
      <c r="C30" s="74">
        <v>45383</v>
      </c>
      <c r="D30" s="73">
        <v>45413</v>
      </c>
      <c r="E30" s="75" t="s">
        <v>477</v>
      </c>
    </row>
    <row r="31" spans="1:7" ht="15.6" x14ac:dyDescent="0.3">
      <c r="B31" s="8">
        <v>26</v>
      </c>
      <c r="C31" s="73">
        <v>45413</v>
      </c>
      <c r="D31" s="74">
        <v>45444</v>
      </c>
      <c r="E31" s="8" t="s">
        <v>477</v>
      </c>
    </row>
    <row r="32" spans="1:7" ht="15.6" x14ac:dyDescent="0.3">
      <c r="B32" s="75">
        <v>27</v>
      </c>
      <c r="C32" s="74">
        <v>45444</v>
      </c>
      <c r="D32" s="73">
        <v>45474</v>
      </c>
      <c r="E32" s="75" t="s">
        <v>477</v>
      </c>
    </row>
    <row r="33" spans="2:5" ht="15.6" x14ac:dyDescent="0.3">
      <c r="B33" s="8">
        <v>28</v>
      </c>
      <c r="C33" s="73">
        <v>45474</v>
      </c>
      <c r="D33" s="74">
        <v>45505</v>
      </c>
      <c r="E33" s="8" t="s">
        <v>477</v>
      </c>
    </row>
    <row r="34" spans="2:5" ht="15.6" x14ac:dyDescent="0.3">
      <c r="B34" s="75">
        <v>29</v>
      </c>
      <c r="C34" s="74">
        <v>45505</v>
      </c>
      <c r="D34" s="73">
        <v>45536</v>
      </c>
      <c r="E34" s="75" t="s">
        <v>477</v>
      </c>
    </row>
    <row r="35" spans="2:5" ht="15.6" x14ac:dyDescent="0.3">
      <c r="B35" s="8">
        <v>30</v>
      </c>
      <c r="C35" s="73">
        <v>45536</v>
      </c>
      <c r="D35" s="74">
        <v>45566</v>
      </c>
      <c r="E35" s="8" t="s">
        <v>477</v>
      </c>
    </row>
    <row r="36" spans="2:5" ht="15.6" x14ac:dyDescent="0.3">
      <c r="B36" s="75">
        <v>31</v>
      </c>
      <c r="C36" s="74">
        <v>45566</v>
      </c>
      <c r="D36" s="73">
        <v>45597</v>
      </c>
      <c r="E36" s="75" t="s">
        <v>477</v>
      </c>
    </row>
    <row r="37" spans="2:5" ht="15.6" x14ac:dyDescent="0.3">
      <c r="B37" s="8">
        <v>32</v>
      </c>
      <c r="C37" s="73">
        <v>45597</v>
      </c>
      <c r="D37" s="74">
        <v>45627</v>
      </c>
      <c r="E37" s="8" t="s">
        <v>477</v>
      </c>
    </row>
    <row r="38" spans="2:5" ht="15.6" x14ac:dyDescent="0.3">
      <c r="B38" s="75">
        <v>33</v>
      </c>
      <c r="C38" s="74">
        <v>45627</v>
      </c>
      <c r="D38" s="73">
        <v>45658</v>
      </c>
      <c r="E38" s="75" t="s">
        <v>477</v>
      </c>
    </row>
  </sheetData>
  <phoneticPr fontId="20" type="noConversion"/>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3"/>
  <sheetViews>
    <sheetView workbookViewId="0">
      <selection activeCell="E3" sqref="E3"/>
    </sheetView>
  </sheetViews>
  <sheetFormatPr defaultColWidth="9" defaultRowHeight="13.8" x14ac:dyDescent="0.25"/>
  <cols>
    <col min="5" max="5" width="31" customWidth="1"/>
  </cols>
  <sheetData>
    <row r="1" spans="1:5" x14ac:dyDescent="0.25">
      <c r="A1" t="s">
        <v>0</v>
      </c>
      <c r="B1" t="s">
        <v>263</v>
      </c>
      <c r="C1" t="s">
        <v>479</v>
      </c>
      <c r="D1" t="s">
        <v>480</v>
      </c>
      <c r="E1" t="s">
        <v>481</v>
      </c>
    </row>
    <row r="2" spans="1:5" x14ac:dyDescent="0.25">
      <c r="A2" t="s">
        <v>15</v>
      </c>
      <c r="B2" s="5" t="s">
        <v>482</v>
      </c>
      <c r="C2" s="5" t="s">
        <v>483</v>
      </c>
      <c r="D2" s="5" t="s">
        <v>484</v>
      </c>
      <c r="E2" s="5" t="s">
        <v>485</v>
      </c>
    </row>
    <row r="3" spans="1:5" x14ac:dyDescent="0.25">
      <c r="A3" t="s">
        <v>29</v>
      </c>
      <c r="B3" s="5" t="s">
        <v>30</v>
      </c>
      <c r="C3" s="5" t="s">
        <v>30</v>
      </c>
      <c r="D3" s="5" t="s">
        <v>30</v>
      </c>
      <c r="E3" s="5" t="s">
        <v>283</v>
      </c>
    </row>
    <row r="4" spans="1:5" x14ac:dyDescent="0.25">
      <c r="A4" t="s">
        <v>33</v>
      </c>
      <c r="B4" s="5" t="s">
        <v>34</v>
      </c>
      <c r="C4" s="5" t="s">
        <v>34</v>
      </c>
      <c r="D4" s="5" t="s">
        <v>34</v>
      </c>
      <c r="E4" s="5" t="s">
        <v>34</v>
      </c>
    </row>
    <row r="5" spans="1:5" x14ac:dyDescent="0.25">
      <c r="A5" t="s">
        <v>38</v>
      </c>
      <c r="B5" s="5"/>
      <c r="C5" s="5">
        <v>0</v>
      </c>
      <c r="D5" s="5">
        <v>0</v>
      </c>
      <c r="E5" s="5"/>
    </row>
    <row r="6" spans="1:5" x14ac:dyDescent="0.25">
      <c r="A6" t="s">
        <v>486</v>
      </c>
      <c r="B6">
        <v>1</v>
      </c>
      <c r="C6">
        <v>1</v>
      </c>
      <c r="D6">
        <v>1</v>
      </c>
      <c r="E6" s="69" t="s">
        <v>487</v>
      </c>
    </row>
    <row r="7" spans="1:5" x14ac:dyDescent="0.25">
      <c r="B7">
        <v>2</v>
      </c>
      <c r="C7">
        <v>2</v>
      </c>
      <c r="D7">
        <v>2</v>
      </c>
      <c r="E7" s="69" t="s">
        <v>488</v>
      </c>
    </row>
    <row r="8" spans="1:5" x14ac:dyDescent="0.25">
      <c r="B8">
        <v>3</v>
      </c>
      <c r="C8">
        <v>3</v>
      </c>
      <c r="D8">
        <v>3</v>
      </c>
      <c r="E8" s="69" t="s">
        <v>489</v>
      </c>
    </row>
    <row r="9" spans="1:5" x14ac:dyDescent="0.25">
      <c r="B9">
        <v>4</v>
      </c>
      <c r="C9">
        <v>4</v>
      </c>
      <c r="D9">
        <v>10</v>
      </c>
      <c r="E9" s="69" t="s">
        <v>490</v>
      </c>
    </row>
    <row r="10" spans="1:5" x14ac:dyDescent="0.25">
      <c r="B10">
        <v>5</v>
      </c>
      <c r="C10">
        <v>11</v>
      </c>
      <c r="D10">
        <v>20</v>
      </c>
      <c r="E10" s="69" t="s">
        <v>337</v>
      </c>
    </row>
    <row r="11" spans="1:5" x14ac:dyDescent="0.25">
      <c r="B11">
        <v>6</v>
      </c>
      <c r="C11">
        <v>21</v>
      </c>
      <c r="D11">
        <v>30</v>
      </c>
      <c r="E11" s="69" t="s">
        <v>491</v>
      </c>
    </row>
    <row r="12" spans="1:5" x14ac:dyDescent="0.25">
      <c r="B12">
        <v>7</v>
      </c>
      <c r="C12">
        <v>31</v>
      </c>
      <c r="D12">
        <v>40</v>
      </c>
      <c r="E12" s="69" t="s">
        <v>492</v>
      </c>
    </row>
    <row r="13" spans="1:5" x14ac:dyDescent="0.25">
      <c r="B13">
        <v>8</v>
      </c>
      <c r="C13">
        <v>41</v>
      </c>
      <c r="D13">
        <v>50</v>
      </c>
      <c r="E13" s="69" t="s">
        <v>346</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5"/>
  <sheetViews>
    <sheetView workbookViewId="0">
      <selection activeCell="J19" sqref="J19"/>
    </sheetView>
  </sheetViews>
  <sheetFormatPr defaultColWidth="9" defaultRowHeight="13.8" x14ac:dyDescent="0.25"/>
  <cols>
    <col min="1" max="1" width="23.33203125" customWidth="1"/>
  </cols>
  <sheetData>
    <row r="1" spans="1:4" x14ac:dyDescent="0.25">
      <c r="A1" t="s">
        <v>0</v>
      </c>
      <c r="B1" t="s">
        <v>493</v>
      </c>
      <c r="C1" t="s">
        <v>494</v>
      </c>
      <c r="D1" t="s">
        <v>495</v>
      </c>
    </row>
    <row r="2" spans="1:4" x14ac:dyDescent="0.25">
      <c r="A2" t="s">
        <v>15</v>
      </c>
      <c r="B2" s="5" t="s">
        <v>166</v>
      </c>
      <c r="C2" s="5" t="s">
        <v>167</v>
      </c>
      <c r="D2" s="5" t="s">
        <v>496</v>
      </c>
    </row>
    <row r="3" spans="1:4" x14ac:dyDescent="0.25">
      <c r="A3" t="s">
        <v>29</v>
      </c>
      <c r="B3" s="5" t="s">
        <v>30</v>
      </c>
      <c r="C3" s="5" t="s">
        <v>30</v>
      </c>
      <c r="D3" s="5" t="s">
        <v>30</v>
      </c>
    </row>
    <row r="4" spans="1:4" x14ac:dyDescent="0.25">
      <c r="A4" t="s">
        <v>33</v>
      </c>
      <c r="B4" s="5" t="s">
        <v>34</v>
      </c>
      <c r="C4" s="5" t="s">
        <v>34</v>
      </c>
      <c r="D4" s="5" t="s">
        <v>34</v>
      </c>
    </row>
    <row r="5" spans="1:4" x14ac:dyDescent="0.25">
      <c r="A5" t="s">
        <v>38</v>
      </c>
      <c r="B5" s="5"/>
      <c r="C5" s="5">
        <v>0</v>
      </c>
      <c r="D5" s="5">
        <v>0</v>
      </c>
    </row>
    <row r="6" spans="1:4" ht="15.6" x14ac:dyDescent="0.25">
      <c r="A6" s="1" t="s">
        <v>497</v>
      </c>
      <c r="B6" s="1">
        <v>1</v>
      </c>
      <c r="C6" s="20">
        <v>901</v>
      </c>
      <c r="D6" s="20">
        <v>100631</v>
      </c>
    </row>
    <row r="7" spans="1:4" ht="15.6" x14ac:dyDescent="0.25">
      <c r="B7" s="1">
        <v>2</v>
      </c>
      <c r="C7" s="20">
        <v>902</v>
      </c>
      <c r="D7" s="20">
        <v>100631</v>
      </c>
    </row>
    <row r="8" spans="1:4" ht="15.6" x14ac:dyDescent="0.3">
      <c r="B8" s="8">
        <v>3</v>
      </c>
      <c r="C8" s="20">
        <v>903</v>
      </c>
      <c r="D8" s="20">
        <v>100631</v>
      </c>
    </row>
    <row r="9" spans="1:4" ht="15.6" x14ac:dyDescent="0.25">
      <c r="B9" s="1">
        <v>4</v>
      </c>
      <c r="C9" s="20">
        <v>904</v>
      </c>
      <c r="D9" s="1">
        <v>100632</v>
      </c>
    </row>
    <row r="10" spans="1:4" ht="15.6" x14ac:dyDescent="0.3">
      <c r="B10" s="8">
        <v>5</v>
      </c>
      <c r="C10" s="20">
        <v>905</v>
      </c>
      <c r="D10" s="1">
        <v>100632</v>
      </c>
    </row>
    <row r="11" spans="1:4" ht="15.6" x14ac:dyDescent="0.25">
      <c r="B11" s="1">
        <v>6</v>
      </c>
      <c r="C11" s="20">
        <v>906</v>
      </c>
      <c r="D11" s="1">
        <v>100632</v>
      </c>
    </row>
    <row r="12" spans="1:4" ht="15.6" x14ac:dyDescent="0.3">
      <c r="B12" s="8">
        <v>7</v>
      </c>
      <c r="C12" s="20">
        <v>907</v>
      </c>
      <c r="D12" s="1">
        <v>100632</v>
      </c>
    </row>
    <row r="13" spans="1:4" ht="15.6" x14ac:dyDescent="0.25">
      <c r="B13" s="1">
        <v>8</v>
      </c>
      <c r="C13" s="20">
        <v>908</v>
      </c>
      <c r="D13" s="1">
        <v>100632</v>
      </c>
    </row>
    <row r="14" spans="1:4" ht="15.6" x14ac:dyDescent="0.3">
      <c r="B14" s="8">
        <v>9</v>
      </c>
      <c r="C14" s="20">
        <v>909</v>
      </c>
      <c r="D14" s="1">
        <v>100632</v>
      </c>
    </row>
    <row r="15" spans="1:4" ht="15.6" x14ac:dyDescent="0.25">
      <c r="B15" s="1">
        <v>10</v>
      </c>
      <c r="C15" s="20">
        <v>910</v>
      </c>
      <c r="D15" s="1">
        <v>100632</v>
      </c>
    </row>
    <row r="16" spans="1:4" ht="15.6" x14ac:dyDescent="0.3">
      <c r="B16" s="8">
        <v>11</v>
      </c>
      <c r="C16" s="20">
        <v>911</v>
      </c>
      <c r="D16" s="1">
        <v>100632</v>
      </c>
    </row>
    <row r="17" spans="1:4" ht="15.6" x14ac:dyDescent="0.25">
      <c r="B17" s="1">
        <v>12</v>
      </c>
      <c r="C17" s="20">
        <v>912</v>
      </c>
      <c r="D17" s="1">
        <v>100632</v>
      </c>
    </row>
    <row r="18" spans="1:4" ht="15.6" x14ac:dyDescent="0.3">
      <c r="B18" s="8">
        <v>13</v>
      </c>
      <c r="C18" s="20">
        <v>913</v>
      </c>
      <c r="D18" s="1">
        <v>100632</v>
      </c>
    </row>
    <row r="19" spans="1:4" ht="15.6" x14ac:dyDescent="0.3">
      <c r="A19" s="7"/>
      <c r="B19" s="1">
        <v>14</v>
      </c>
      <c r="C19" s="20">
        <v>914</v>
      </c>
      <c r="D19" s="1">
        <v>100632</v>
      </c>
    </row>
    <row r="20" spans="1:4" ht="15.6" x14ac:dyDescent="0.3">
      <c r="A20" s="7"/>
      <c r="B20" s="8">
        <v>15</v>
      </c>
      <c r="C20" s="20">
        <v>915</v>
      </c>
      <c r="D20" s="1">
        <v>100632</v>
      </c>
    </row>
    <row r="21" spans="1:4" ht="15.6" x14ac:dyDescent="0.3">
      <c r="A21" s="7"/>
      <c r="B21" s="1">
        <v>16</v>
      </c>
      <c r="C21" s="20">
        <v>916</v>
      </c>
      <c r="D21" s="1">
        <v>100632</v>
      </c>
    </row>
    <row r="22" spans="1:4" ht="15.6" x14ac:dyDescent="0.3">
      <c r="A22" s="7"/>
      <c r="B22" s="8">
        <v>17</v>
      </c>
      <c r="C22" s="20">
        <v>917</v>
      </c>
      <c r="D22" s="1">
        <v>100632</v>
      </c>
    </row>
    <row r="23" spans="1:4" ht="15.6" x14ac:dyDescent="0.25">
      <c r="B23" s="1">
        <v>18</v>
      </c>
      <c r="C23" s="20">
        <v>918</v>
      </c>
      <c r="D23" s="1">
        <v>100632</v>
      </c>
    </row>
    <row r="24" spans="1:4" ht="15.6" x14ac:dyDescent="0.3">
      <c r="B24" s="8">
        <v>19</v>
      </c>
      <c r="C24" s="20">
        <v>919</v>
      </c>
      <c r="D24" s="1">
        <v>100632</v>
      </c>
    </row>
    <row r="25" spans="1:4" ht="15.6" x14ac:dyDescent="0.25">
      <c r="B25" s="1">
        <v>20</v>
      </c>
      <c r="C25" s="20">
        <v>920</v>
      </c>
      <c r="D25" s="1">
        <v>100632</v>
      </c>
    </row>
    <row r="26" spans="1:4" ht="15.6" x14ac:dyDescent="0.3">
      <c r="B26" s="8">
        <v>21</v>
      </c>
      <c r="C26" s="20">
        <v>921</v>
      </c>
      <c r="D26" s="1">
        <v>100632</v>
      </c>
    </row>
    <row r="27" spans="1:4" ht="15.6" x14ac:dyDescent="0.25">
      <c r="B27" s="1">
        <v>22</v>
      </c>
      <c r="C27" s="20">
        <v>922</v>
      </c>
      <c r="D27" s="1">
        <v>100632</v>
      </c>
    </row>
    <row r="28" spans="1:4" ht="15.6" x14ac:dyDescent="0.3">
      <c r="B28" s="8">
        <v>23</v>
      </c>
      <c r="C28" s="20">
        <v>923</v>
      </c>
      <c r="D28" s="1">
        <v>100632</v>
      </c>
    </row>
    <row r="29" spans="1:4" ht="15.6" x14ac:dyDescent="0.25">
      <c r="B29" s="1">
        <v>24</v>
      </c>
      <c r="C29" s="20">
        <v>924</v>
      </c>
      <c r="D29" s="1">
        <v>100632</v>
      </c>
    </row>
    <row r="30" spans="1:4" ht="15.6" x14ac:dyDescent="0.3">
      <c r="B30" s="8">
        <v>25</v>
      </c>
      <c r="C30" s="20">
        <v>925</v>
      </c>
      <c r="D30" s="1">
        <v>100632</v>
      </c>
    </row>
    <row r="31" spans="1:4" ht="15.6" x14ac:dyDescent="0.25">
      <c r="B31" s="1">
        <v>26</v>
      </c>
      <c r="C31" s="20">
        <v>926</v>
      </c>
      <c r="D31" s="1">
        <v>100632</v>
      </c>
    </row>
    <row r="32" spans="1:4" ht="15.6" x14ac:dyDescent="0.3">
      <c r="B32" s="8">
        <v>27</v>
      </c>
      <c r="C32" s="20">
        <v>927</v>
      </c>
      <c r="D32" s="1">
        <v>100632</v>
      </c>
    </row>
    <row r="33" spans="2:4" ht="15.6" x14ac:dyDescent="0.25">
      <c r="B33" s="1">
        <v>28</v>
      </c>
      <c r="C33" s="20">
        <v>928</v>
      </c>
      <c r="D33" s="1">
        <v>100632</v>
      </c>
    </row>
    <row r="34" spans="2:4" ht="15.6" x14ac:dyDescent="0.3">
      <c r="B34" s="8">
        <v>29</v>
      </c>
      <c r="C34" s="20">
        <v>929</v>
      </c>
      <c r="D34" s="1">
        <v>100632</v>
      </c>
    </row>
    <row r="35" spans="2:4" ht="15.6" x14ac:dyDescent="0.25">
      <c r="B35" s="1">
        <v>30</v>
      </c>
      <c r="C35" s="20">
        <v>930</v>
      </c>
      <c r="D35" s="1">
        <v>100632</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7"/>
  <sheetViews>
    <sheetView workbookViewId="0">
      <selection activeCell="F31" sqref="F31"/>
    </sheetView>
  </sheetViews>
  <sheetFormatPr defaultColWidth="9" defaultRowHeight="13.8" x14ac:dyDescent="0.25"/>
  <cols>
    <col min="1" max="1" width="16.21875" style="65" customWidth="1"/>
    <col min="2" max="16384" width="9" style="65"/>
  </cols>
  <sheetData>
    <row r="1" spans="1:6" x14ac:dyDescent="0.25">
      <c r="A1" t="s">
        <v>0</v>
      </c>
      <c r="B1" s="65" t="s">
        <v>498</v>
      </c>
      <c r="C1" s="65" t="s">
        <v>426</v>
      </c>
      <c r="D1" s="65" t="s">
        <v>499</v>
      </c>
      <c r="E1" s="65" t="s">
        <v>500</v>
      </c>
      <c r="F1" s="65" t="s">
        <v>495</v>
      </c>
    </row>
    <row r="2" spans="1:6" x14ac:dyDescent="0.25">
      <c r="A2" t="s">
        <v>15</v>
      </c>
      <c r="B2" s="66" t="s">
        <v>16</v>
      </c>
      <c r="C2" s="67"/>
      <c r="D2" s="66" t="s">
        <v>167</v>
      </c>
      <c r="E2" s="66" t="s">
        <v>501</v>
      </c>
      <c r="F2" s="66" t="s">
        <v>496</v>
      </c>
    </row>
    <row r="3" spans="1:6" x14ac:dyDescent="0.25">
      <c r="A3" t="s">
        <v>29</v>
      </c>
      <c r="B3" s="66" t="s">
        <v>30</v>
      </c>
      <c r="C3" s="67" t="s">
        <v>31</v>
      </c>
      <c r="D3" s="66" t="s">
        <v>30</v>
      </c>
      <c r="E3" s="66" t="s">
        <v>30</v>
      </c>
      <c r="F3" s="66" t="s">
        <v>30</v>
      </c>
    </row>
    <row r="4" spans="1:6" x14ac:dyDescent="0.25">
      <c r="A4" t="s">
        <v>33</v>
      </c>
      <c r="B4" s="66" t="s">
        <v>34</v>
      </c>
      <c r="C4" s="66" t="s">
        <v>34</v>
      </c>
      <c r="D4" s="66" t="s">
        <v>34</v>
      </c>
      <c r="E4" s="66" t="s">
        <v>34</v>
      </c>
      <c r="F4" s="66" t="s">
        <v>34</v>
      </c>
    </row>
    <row r="5" spans="1:6" x14ac:dyDescent="0.25">
      <c r="A5" t="s">
        <v>38</v>
      </c>
      <c r="B5" s="66"/>
      <c r="C5" s="67"/>
      <c r="D5" s="66">
        <v>0</v>
      </c>
      <c r="E5" s="66">
        <v>0</v>
      </c>
      <c r="F5" s="66">
        <v>0</v>
      </c>
    </row>
    <row r="6" spans="1:6" ht="15.6" x14ac:dyDescent="0.25">
      <c r="A6" s="65" t="s">
        <v>502</v>
      </c>
      <c r="B6" s="65">
        <v>1</v>
      </c>
      <c r="C6" s="65" t="s">
        <v>503</v>
      </c>
      <c r="D6" s="65">
        <v>3901</v>
      </c>
      <c r="E6" s="65">
        <v>10</v>
      </c>
      <c r="F6" s="68">
        <v>100014</v>
      </c>
    </row>
    <row r="7" spans="1:6" ht="15.6" x14ac:dyDescent="0.25">
      <c r="B7" s="65">
        <v>2</v>
      </c>
      <c r="C7" s="65" t="s">
        <v>504</v>
      </c>
      <c r="D7" s="65">
        <v>3902</v>
      </c>
      <c r="E7" s="65">
        <v>10</v>
      </c>
      <c r="F7" s="68">
        <v>100014</v>
      </c>
    </row>
  </sheetData>
  <phoneticPr fontId="20" type="noConversion"/>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6"/>
  <sheetViews>
    <sheetView workbookViewId="0">
      <selection activeCell="H13" sqref="H13"/>
    </sheetView>
  </sheetViews>
  <sheetFormatPr defaultColWidth="9" defaultRowHeight="13.8" x14ac:dyDescent="0.25"/>
  <sheetData>
    <row r="1" spans="1:12" x14ac:dyDescent="0.25">
      <c r="A1" t="s">
        <v>0</v>
      </c>
      <c r="B1" s="62" t="s">
        <v>443</v>
      </c>
      <c r="C1" s="62" t="s">
        <v>505</v>
      </c>
      <c r="D1" t="s">
        <v>3</v>
      </c>
      <c r="E1" t="s">
        <v>506</v>
      </c>
      <c r="F1" t="s">
        <v>507</v>
      </c>
      <c r="G1" t="s">
        <v>508</v>
      </c>
      <c r="H1" t="s">
        <v>209</v>
      </c>
      <c r="I1" t="s">
        <v>509</v>
      </c>
      <c r="J1" t="s">
        <v>268</v>
      </c>
      <c r="K1" t="s">
        <v>510</v>
      </c>
      <c r="L1" t="s">
        <v>511</v>
      </c>
    </row>
    <row r="2" spans="1:12" x14ac:dyDescent="0.25">
      <c r="A2" t="s">
        <v>15</v>
      </c>
      <c r="B2" s="63" t="s">
        <v>16</v>
      </c>
      <c r="C2" s="63" t="s">
        <v>167</v>
      </c>
      <c r="D2" s="4"/>
      <c r="E2" s="63" t="s">
        <v>512</v>
      </c>
      <c r="F2" s="63" t="s">
        <v>513</v>
      </c>
      <c r="G2" s="63" t="s">
        <v>514</v>
      </c>
      <c r="H2" s="5" t="s">
        <v>241</v>
      </c>
      <c r="I2" s="5" t="s">
        <v>240</v>
      </c>
      <c r="J2" s="5" t="s">
        <v>515</v>
      </c>
      <c r="K2" s="5" t="s">
        <v>203</v>
      </c>
      <c r="L2" s="5" t="s">
        <v>405</v>
      </c>
    </row>
    <row r="3" spans="1:12" x14ac:dyDescent="0.25">
      <c r="A3" t="s">
        <v>29</v>
      </c>
      <c r="B3" s="63" t="s">
        <v>30</v>
      </c>
      <c r="C3" s="63" t="s">
        <v>221</v>
      </c>
      <c r="D3" s="4" t="s">
        <v>31</v>
      </c>
      <c r="E3" s="63" t="s">
        <v>221</v>
      </c>
      <c r="F3" s="63" t="s">
        <v>221</v>
      </c>
      <c r="G3" s="63" t="s">
        <v>221</v>
      </c>
      <c r="H3" s="5" t="s">
        <v>30</v>
      </c>
      <c r="I3" s="5" t="s">
        <v>30</v>
      </c>
      <c r="J3" s="5" t="s">
        <v>30</v>
      </c>
      <c r="K3" s="5" t="s">
        <v>30</v>
      </c>
      <c r="L3" s="5" t="s">
        <v>30</v>
      </c>
    </row>
    <row r="4" spans="1:12" x14ac:dyDescent="0.25">
      <c r="A4" t="s">
        <v>33</v>
      </c>
      <c r="B4" s="63" t="s">
        <v>34</v>
      </c>
      <c r="C4" s="63" t="s">
        <v>34</v>
      </c>
      <c r="D4" s="63" t="s">
        <v>34</v>
      </c>
      <c r="E4" s="63" t="s">
        <v>34</v>
      </c>
      <c r="F4" s="63" t="s">
        <v>34</v>
      </c>
      <c r="G4" s="63" t="s">
        <v>34</v>
      </c>
      <c r="H4" s="63" t="s">
        <v>34</v>
      </c>
      <c r="I4" s="63" t="s">
        <v>34</v>
      </c>
      <c r="J4" s="63" t="s">
        <v>34</v>
      </c>
      <c r="K4" s="63" t="s">
        <v>34</v>
      </c>
      <c r="L4" s="63" t="s">
        <v>34</v>
      </c>
    </row>
    <row r="5" spans="1:12" x14ac:dyDescent="0.25">
      <c r="A5" t="s">
        <v>38</v>
      </c>
      <c r="B5" s="63"/>
      <c r="C5" s="63" t="s">
        <v>222</v>
      </c>
      <c r="D5" s="4"/>
      <c r="E5" s="63" t="s">
        <v>222</v>
      </c>
      <c r="F5" s="63" t="s">
        <v>222</v>
      </c>
      <c r="G5" s="63" t="s">
        <v>222</v>
      </c>
      <c r="H5" s="5">
        <v>10</v>
      </c>
      <c r="I5" s="5"/>
      <c r="J5" s="5">
        <v>0</v>
      </c>
      <c r="K5" s="5">
        <v>0</v>
      </c>
      <c r="L5" s="5">
        <v>0</v>
      </c>
    </row>
    <row r="6" spans="1:12" x14ac:dyDescent="0.25">
      <c r="A6" s="62" t="s">
        <v>516</v>
      </c>
      <c r="B6" s="62">
        <v>1</v>
      </c>
      <c r="C6" s="62" t="s">
        <v>517</v>
      </c>
      <c r="D6" s="64" t="s">
        <v>518</v>
      </c>
      <c r="E6" s="62" t="s">
        <v>519</v>
      </c>
      <c r="F6" s="62" t="s">
        <v>520</v>
      </c>
      <c r="G6" s="62" t="s">
        <v>521</v>
      </c>
      <c r="H6">
        <v>3</v>
      </c>
      <c r="I6">
        <v>18</v>
      </c>
      <c r="J6">
        <v>58</v>
      </c>
      <c r="K6">
        <v>145</v>
      </c>
      <c r="L6">
        <v>86400</v>
      </c>
    </row>
  </sheetData>
  <phoneticPr fontId="20" type="noConversion"/>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35"/>
  <sheetViews>
    <sheetView workbookViewId="0">
      <selection activeCell="N28" sqref="N28"/>
    </sheetView>
  </sheetViews>
  <sheetFormatPr defaultColWidth="13.44140625" defaultRowHeight="13.8" x14ac:dyDescent="0.25"/>
  <sheetData>
    <row r="1" spans="1:6" x14ac:dyDescent="0.25">
      <c r="A1" t="s">
        <v>0</v>
      </c>
      <c r="B1" t="s">
        <v>385</v>
      </c>
      <c r="C1" t="s">
        <v>522</v>
      </c>
      <c r="D1" t="s">
        <v>523</v>
      </c>
      <c r="E1" t="s">
        <v>524</v>
      </c>
      <c r="F1" t="s">
        <v>525</v>
      </c>
    </row>
    <row r="2" spans="1:6" x14ac:dyDescent="0.25">
      <c r="A2" t="s">
        <v>15</v>
      </c>
      <c r="B2" s="5" t="s">
        <v>16</v>
      </c>
      <c r="C2" s="4"/>
      <c r="D2" s="5" t="s">
        <v>170</v>
      </c>
      <c r="E2" s="5" t="s">
        <v>526</v>
      </c>
      <c r="F2" s="5" t="s">
        <v>28</v>
      </c>
    </row>
    <row r="3" spans="1:6" x14ac:dyDescent="0.25">
      <c r="A3" t="s">
        <v>29</v>
      </c>
      <c r="B3" s="5" t="s">
        <v>30</v>
      </c>
      <c r="C3" s="4"/>
      <c r="D3" s="5" t="s">
        <v>30</v>
      </c>
      <c r="E3" s="5" t="s">
        <v>221</v>
      </c>
      <c r="F3" s="5" t="s">
        <v>30</v>
      </c>
    </row>
    <row r="4" spans="1:6" x14ac:dyDescent="0.25">
      <c r="A4" t="s">
        <v>33</v>
      </c>
      <c r="B4" s="5" t="s">
        <v>34</v>
      </c>
      <c r="C4" s="4"/>
      <c r="D4" s="5" t="s">
        <v>34</v>
      </c>
      <c r="E4" s="5" t="s">
        <v>34</v>
      </c>
      <c r="F4" s="5" t="s">
        <v>34</v>
      </c>
    </row>
    <row r="5" spans="1:6" x14ac:dyDescent="0.25">
      <c r="A5" t="s">
        <v>38</v>
      </c>
      <c r="B5" s="5"/>
      <c r="C5" s="4"/>
      <c r="D5" s="5">
        <v>0</v>
      </c>
      <c r="E5" s="5" t="s">
        <v>222</v>
      </c>
      <c r="F5" s="5">
        <v>0</v>
      </c>
    </row>
    <row r="6" spans="1:6" x14ac:dyDescent="0.25">
      <c r="A6" t="s">
        <v>527</v>
      </c>
      <c r="B6">
        <v>1</v>
      </c>
      <c r="C6" t="s">
        <v>47</v>
      </c>
      <c r="D6">
        <v>0</v>
      </c>
      <c r="E6">
        <v>1</v>
      </c>
    </row>
    <row r="7" spans="1:6" x14ac:dyDescent="0.25">
      <c r="B7">
        <v>2</v>
      </c>
      <c r="C7" t="s">
        <v>528</v>
      </c>
      <c r="D7">
        <v>0</v>
      </c>
      <c r="E7" t="s">
        <v>529</v>
      </c>
    </row>
    <row r="8" spans="1:6" x14ac:dyDescent="0.25">
      <c r="B8">
        <v>3</v>
      </c>
      <c r="C8" t="s">
        <v>530</v>
      </c>
      <c r="D8">
        <v>0</v>
      </c>
      <c r="E8">
        <v>3</v>
      </c>
    </row>
    <row r="9" spans="1:6" x14ac:dyDescent="0.25">
      <c r="B9">
        <v>4</v>
      </c>
      <c r="C9" t="s">
        <v>531</v>
      </c>
      <c r="D9">
        <v>0</v>
      </c>
      <c r="E9" t="s">
        <v>532</v>
      </c>
    </row>
    <row r="10" spans="1:6" x14ac:dyDescent="0.25">
      <c r="B10">
        <v>5</v>
      </c>
      <c r="C10" t="s">
        <v>533</v>
      </c>
      <c r="D10">
        <v>0</v>
      </c>
      <c r="E10">
        <v>3</v>
      </c>
    </row>
    <row r="11" spans="1:6" x14ac:dyDescent="0.25">
      <c r="B11">
        <v>6</v>
      </c>
      <c r="C11" t="s">
        <v>534</v>
      </c>
      <c r="D11">
        <v>1</v>
      </c>
    </row>
    <row r="12" spans="1:6" x14ac:dyDescent="0.25">
      <c r="A12" t="s">
        <v>38</v>
      </c>
      <c r="B12">
        <v>7</v>
      </c>
      <c r="C12" t="s">
        <v>535</v>
      </c>
      <c r="D12">
        <v>1</v>
      </c>
    </row>
    <row r="13" spans="1:6" x14ac:dyDescent="0.25">
      <c r="B13">
        <v>8</v>
      </c>
      <c r="C13" t="s">
        <v>536</v>
      </c>
      <c r="D13">
        <v>1</v>
      </c>
    </row>
    <row r="14" spans="1:6" x14ac:dyDescent="0.25">
      <c r="A14" t="s">
        <v>38</v>
      </c>
      <c r="B14">
        <v>9</v>
      </c>
      <c r="C14" t="s">
        <v>537</v>
      </c>
      <c r="D14">
        <v>1</v>
      </c>
    </row>
    <row r="15" spans="1:6" x14ac:dyDescent="0.25">
      <c r="B15" s="4">
        <v>10</v>
      </c>
      <c r="C15" t="s">
        <v>538</v>
      </c>
      <c r="D15">
        <v>1</v>
      </c>
    </row>
    <row r="16" spans="1:6" x14ac:dyDescent="0.25">
      <c r="B16">
        <v>11</v>
      </c>
      <c r="C16" t="s">
        <v>539</v>
      </c>
      <c r="D16">
        <v>1</v>
      </c>
    </row>
    <row r="17" spans="2:7" x14ac:dyDescent="0.25">
      <c r="B17" s="10">
        <v>20</v>
      </c>
      <c r="C17" s="10" t="s">
        <v>47</v>
      </c>
      <c r="D17" s="10">
        <v>0</v>
      </c>
      <c r="E17" s="10">
        <v>1000</v>
      </c>
      <c r="F17" s="10"/>
      <c r="G17" s="61">
        <v>2</v>
      </c>
    </row>
    <row r="18" spans="2:7" x14ac:dyDescent="0.25">
      <c r="B18" s="10">
        <v>21</v>
      </c>
      <c r="C18" s="10" t="s">
        <v>528</v>
      </c>
      <c r="D18" s="10">
        <v>0</v>
      </c>
      <c r="E18" s="10">
        <v>1000</v>
      </c>
      <c r="F18" s="10"/>
      <c r="G18" s="61">
        <v>2</v>
      </c>
    </row>
    <row r="19" spans="2:7" x14ac:dyDescent="0.25">
      <c r="B19" s="10">
        <v>22</v>
      </c>
      <c r="C19" s="10" t="s">
        <v>540</v>
      </c>
      <c r="D19" s="10">
        <v>0</v>
      </c>
      <c r="E19" s="10">
        <v>11000</v>
      </c>
      <c r="F19" s="10"/>
      <c r="G19" s="61">
        <v>2</v>
      </c>
    </row>
    <row r="20" spans="2:7" x14ac:dyDescent="0.25">
      <c r="B20" s="10">
        <v>23</v>
      </c>
      <c r="C20" s="10" t="s">
        <v>541</v>
      </c>
      <c r="D20" s="10">
        <v>0</v>
      </c>
      <c r="E20" s="10">
        <v>1500</v>
      </c>
      <c r="F20" s="10"/>
      <c r="G20" s="61">
        <v>2</v>
      </c>
    </row>
    <row r="21" spans="2:7" x14ac:dyDescent="0.25">
      <c r="B21" s="10">
        <v>24</v>
      </c>
      <c r="C21" s="10" t="s">
        <v>542</v>
      </c>
      <c r="D21" s="10">
        <v>1</v>
      </c>
      <c r="E21" s="10"/>
      <c r="F21" s="10"/>
      <c r="G21" s="61">
        <v>2</v>
      </c>
    </row>
    <row r="22" spans="2:7" x14ac:dyDescent="0.25">
      <c r="B22" s="10">
        <v>25</v>
      </c>
      <c r="C22" s="10" t="s">
        <v>543</v>
      </c>
      <c r="D22" s="10">
        <v>1</v>
      </c>
      <c r="E22" s="10"/>
      <c r="F22" s="10"/>
      <c r="G22" s="61">
        <v>2</v>
      </c>
    </row>
    <row r="23" spans="2:7" x14ac:dyDescent="0.25">
      <c r="B23" s="10">
        <v>26</v>
      </c>
      <c r="C23" s="10" t="s">
        <v>536</v>
      </c>
      <c r="D23" s="10">
        <v>1</v>
      </c>
      <c r="E23" s="10"/>
      <c r="F23" s="10"/>
      <c r="G23" s="61">
        <v>2</v>
      </c>
    </row>
    <row r="24" spans="2:7" x14ac:dyDescent="0.25">
      <c r="B24" s="10">
        <v>27</v>
      </c>
      <c r="C24" s="10" t="s">
        <v>544</v>
      </c>
      <c r="D24" s="10">
        <v>1</v>
      </c>
      <c r="E24" s="10"/>
      <c r="F24" s="10"/>
      <c r="G24" s="61">
        <v>2</v>
      </c>
    </row>
    <row r="25" spans="2:7" x14ac:dyDescent="0.25">
      <c r="B25" s="10">
        <v>28</v>
      </c>
      <c r="C25" s="10" t="s">
        <v>545</v>
      </c>
      <c r="D25" s="10">
        <v>1</v>
      </c>
      <c r="E25" s="10"/>
      <c r="F25" s="10"/>
      <c r="G25" s="61">
        <v>2</v>
      </c>
    </row>
    <row r="27" spans="2:7" s="10" customFormat="1" x14ac:dyDescent="0.25"/>
    <row r="28" spans="2:7" s="10" customFormat="1" x14ac:dyDescent="0.25"/>
    <row r="29" spans="2:7" s="10" customFormat="1" x14ac:dyDescent="0.25"/>
    <row r="30" spans="2:7" s="10" customFormat="1" x14ac:dyDescent="0.25"/>
    <row r="31" spans="2:7" s="10" customFormat="1" x14ac:dyDescent="0.25"/>
    <row r="32" spans="2:7" s="10" customFormat="1" x14ac:dyDescent="0.25"/>
    <row r="33" s="10" customFormat="1" x14ac:dyDescent="0.25"/>
    <row r="34" s="10" customFormat="1" x14ac:dyDescent="0.25"/>
    <row r="35" s="10" customFormat="1" x14ac:dyDescent="0.25"/>
  </sheetData>
  <phoneticPr fontId="20" type="noConversion"/>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31"/>
  <sheetViews>
    <sheetView workbookViewId="0">
      <selection activeCell="L33" sqref="L33"/>
    </sheetView>
  </sheetViews>
  <sheetFormatPr defaultColWidth="9" defaultRowHeight="13.8" x14ac:dyDescent="0.25"/>
  <cols>
    <col min="1" max="1" width="24.109375" customWidth="1"/>
    <col min="2" max="2" width="16.44140625" customWidth="1"/>
    <col min="3" max="3" width="15.77734375" customWidth="1"/>
    <col min="4" max="4" width="13.44140625" customWidth="1"/>
    <col min="5" max="5" width="13" customWidth="1"/>
    <col min="6" max="6" width="11.88671875" customWidth="1"/>
    <col min="7" max="7" width="12.44140625" customWidth="1"/>
    <col min="8" max="8" width="16.21875" customWidth="1"/>
    <col min="9" max="9" width="15.109375" customWidth="1"/>
  </cols>
  <sheetData>
    <row r="1" spans="1:12" ht="15.6" x14ac:dyDescent="0.3">
      <c r="A1" s="31" t="s">
        <v>546</v>
      </c>
      <c r="B1" s="32"/>
      <c r="C1" s="32" t="s">
        <v>547</v>
      </c>
      <c r="D1" s="32"/>
      <c r="E1" s="32"/>
      <c r="F1" s="41"/>
      <c r="G1" s="41"/>
      <c r="H1" s="41"/>
      <c r="I1" s="41"/>
      <c r="J1" s="41"/>
      <c r="K1" s="41"/>
      <c r="L1" s="1"/>
    </row>
    <row r="2" spans="1:12" ht="15.6" x14ac:dyDescent="0.3">
      <c r="A2" s="31" t="s">
        <v>548</v>
      </c>
      <c r="B2" s="32" t="s">
        <v>549</v>
      </c>
      <c r="C2" s="32" t="s">
        <v>550</v>
      </c>
      <c r="D2" s="32"/>
      <c r="E2" s="32"/>
      <c r="F2" s="41"/>
      <c r="G2" s="41"/>
      <c r="H2" s="41"/>
      <c r="I2" s="41"/>
      <c r="J2" s="41"/>
      <c r="K2" s="41"/>
      <c r="L2" s="1"/>
    </row>
    <row r="3" spans="1:12" ht="15.6" x14ac:dyDescent="0.3">
      <c r="A3" s="31" t="s">
        <v>551</v>
      </c>
      <c r="B3" s="33" t="s">
        <v>552</v>
      </c>
      <c r="C3" s="32" t="s">
        <v>553</v>
      </c>
      <c r="D3" s="32"/>
      <c r="E3" s="32"/>
      <c r="F3" s="41"/>
      <c r="G3" s="41"/>
      <c r="H3" s="41"/>
      <c r="I3" s="41"/>
      <c r="J3" s="41"/>
      <c r="K3" s="41"/>
      <c r="L3" s="1"/>
    </row>
    <row r="4" spans="1:12" ht="15.6" x14ac:dyDescent="0.3">
      <c r="A4" s="31" t="s">
        <v>554</v>
      </c>
      <c r="B4" s="34" t="s">
        <v>555</v>
      </c>
      <c r="C4" s="32"/>
      <c r="D4" s="32"/>
      <c r="E4" s="32"/>
      <c r="F4" s="41"/>
      <c r="G4" s="41"/>
      <c r="H4" s="41"/>
      <c r="I4" s="41"/>
      <c r="J4" s="41"/>
      <c r="K4" s="41"/>
      <c r="L4" s="1"/>
    </row>
    <row r="5" spans="1:12" ht="15.6" x14ac:dyDescent="0.3">
      <c r="A5" s="31" t="s">
        <v>556</v>
      </c>
      <c r="B5" s="32"/>
      <c r="C5" s="32" t="s">
        <v>557</v>
      </c>
      <c r="D5" s="32"/>
      <c r="E5" s="32"/>
      <c r="F5" s="41"/>
      <c r="G5" s="41"/>
      <c r="H5" s="41"/>
      <c r="I5" s="41"/>
      <c r="J5" s="41"/>
      <c r="K5" s="41"/>
      <c r="L5" s="1"/>
    </row>
    <row r="6" spans="1:12" ht="15.6" x14ac:dyDescent="0.3">
      <c r="A6" s="31" t="s">
        <v>558</v>
      </c>
      <c r="B6" s="32">
        <v>4</v>
      </c>
      <c r="C6" s="32" t="s">
        <v>559</v>
      </c>
      <c r="D6" s="32"/>
      <c r="E6" s="32"/>
      <c r="F6" s="41"/>
      <c r="G6" s="41"/>
      <c r="H6" s="41"/>
      <c r="I6" s="41"/>
      <c r="J6" s="41"/>
      <c r="K6" s="41"/>
      <c r="L6" s="1"/>
    </row>
    <row r="7" spans="1:12" ht="15.6" x14ac:dyDescent="0.3">
      <c r="A7" s="31" t="s">
        <v>560</v>
      </c>
      <c r="B7" s="32"/>
      <c r="C7" s="32"/>
      <c r="D7" s="32"/>
      <c r="E7" s="32"/>
      <c r="F7" s="41"/>
      <c r="G7" s="41"/>
      <c r="H7" s="41"/>
      <c r="I7" s="41"/>
      <c r="J7" s="41"/>
      <c r="K7" s="41"/>
      <c r="L7" s="1"/>
    </row>
    <row r="8" spans="1:12" ht="15.6" x14ac:dyDescent="0.3">
      <c r="A8" s="31" t="s">
        <v>561</v>
      </c>
      <c r="B8" s="32"/>
      <c r="C8" s="32"/>
      <c r="D8" s="32"/>
      <c r="E8" s="32"/>
      <c r="F8" s="41"/>
      <c r="G8" s="41"/>
      <c r="H8" s="41"/>
      <c r="I8" s="41"/>
      <c r="J8" s="41"/>
      <c r="K8" s="41"/>
      <c r="L8" s="1"/>
    </row>
    <row r="9" spans="1:12" ht="15.6" x14ac:dyDescent="0.3">
      <c r="A9" s="42"/>
      <c r="B9" s="42"/>
      <c r="C9" s="42"/>
      <c r="D9" s="42"/>
      <c r="E9" s="43"/>
      <c r="F9" s="43"/>
      <c r="G9" s="44"/>
      <c r="H9" s="43"/>
      <c r="I9" s="41"/>
      <c r="J9" s="41"/>
      <c r="K9" s="41"/>
      <c r="L9" s="1"/>
    </row>
    <row r="10" spans="1:12" ht="15.6" x14ac:dyDescent="0.3">
      <c r="A10" s="45" t="s">
        <v>385</v>
      </c>
      <c r="B10" s="45" t="s">
        <v>499</v>
      </c>
      <c r="C10" s="45" t="s">
        <v>562</v>
      </c>
      <c r="D10" s="46" t="s">
        <v>563</v>
      </c>
      <c r="E10" s="45" t="s">
        <v>564</v>
      </c>
      <c r="F10" s="46" t="s">
        <v>565</v>
      </c>
      <c r="G10" s="45" t="s">
        <v>564</v>
      </c>
      <c r="H10" s="47" t="s">
        <v>269</v>
      </c>
      <c r="I10" s="47" t="s">
        <v>301</v>
      </c>
      <c r="J10" s="41"/>
      <c r="K10" s="41"/>
      <c r="L10" s="1"/>
    </row>
    <row r="11" spans="1:12" ht="15.6" x14ac:dyDescent="0.3">
      <c r="A11" s="48" t="s">
        <v>16</v>
      </c>
      <c r="B11" s="48" t="s">
        <v>566</v>
      </c>
      <c r="C11" s="48" t="s">
        <v>567</v>
      </c>
      <c r="D11" s="48" t="s">
        <v>568</v>
      </c>
      <c r="E11" s="48" t="s">
        <v>569</v>
      </c>
      <c r="F11" s="48" t="s">
        <v>570</v>
      </c>
      <c r="G11" s="48" t="s">
        <v>571</v>
      </c>
      <c r="H11" s="48" t="s">
        <v>572</v>
      </c>
      <c r="I11" s="48" t="s">
        <v>573</v>
      </c>
      <c r="J11" s="41"/>
      <c r="K11" s="41"/>
      <c r="L11" s="1"/>
    </row>
    <row r="12" spans="1:12" ht="15.6" x14ac:dyDescent="0.3">
      <c r="A12" s="48" t="s">
        <v>30</v>
      </c>
      <c r="B12" s="48" t="s">
        <v>30</v>
      </c>
      <c r="C12" s="48" t="s">
        <v>30</v>
      </c>
      <c r="D12" s="48" t="s">
        <v>30</v>
      </c>
      <c r="E12" s="48" t="s">
        <v>30</v>
      </c>
      <c r="F12" s="48" t="s">
        <v>30</v>
      </c>
      <c r="G12" s="48" t="s">
        <v>30</v>
      </c>
      <c r="H12" s="48" t="s">
        <v>31</v>
      </c>
      <c r="I12" s="48" t="s">
        <v>31</v>
      </c>
      <c r="J12" s="41"/>
      <c r="K12" s="41"/>
      <c r="L12" s="1"/>
    </row>
    <row r="13" spans="1:12" ht="15.6" x14ac:dyDescent="0.3">
      <c r="A13" s="48" t="s">
        <v>574</v>
      </c>
      <c r="B13" s="48" t="s">
        <v>575</v>
      </c>
      <c r="C13" s="48" t="s">
        <v>575</v>
      </c>
      <c r="D13" s="48" t="s">
        <v>575</v>
      </c>
      <c r="E13" s="48" t="s">
        <v>575</v>
      </c>
      <c r="F13" s="48" t="s">
        <v>575</v>
      </c>
      <c r="G13" s="48" t="s">
        <v>575</v>
      </c>
      <c r="H13" s="48" t="s">
        <v>575</v>
      </c>
      <c r="I13" s="48" t="s">
        <v>575</v>
      </c>
      <c r="L13" s="1"/>
    </row>
    <row r="14" spans="1:12" ht="15.6" x14ac:dyDescent="0.3">
      <c r="A14" s="48"/>
      <c r="B14" s="48">
        <v>0</v>
      </c>
      <c r="C14" s="48">
        <v>0</v>
      </c>
      <c r="D14" s="48">
        <v>0</v>
      </c>
      <c r="E14" s="48">
        <v>0</v>
      </c>
      <c r="F14" s="48">
        <v>0</v>
      </c>
      <c r="G14" s="48">
        <v>0</v>
      </c>
      <c r="H14" s="49">
        <v>36526</v>
      </c>
      <c r="I14" s="60">
        <v>72686</v>
      </c>
      <c r="J14" s="41"/>
      <c r="K14" s="41"/>
      <c r="L14" s="1"/>
    </row>
    <row r="15" spans="1:12" ht="15.6" x14ac:dyDescent="0.3">
      <c r="A15" s="33">
        <v>1</v>
      </c>
      <c r="B15" s="46">
        <v>950001</v>
      </c>
      <c r="C15" s="46">
        <v>35</v>
      </c>
      <c r="D15" s="46">
        <v>100091</v>
      </c>
      <c r="E15" s="45">
        <v>1</v>
      </c>
      <c r="F15" s="46">
        <v>600001</v>
      </c>
      <c r="G15" s="46">
        <v>5</v>
      </c>
      <c r="H15" s="50">
        <v>44572</v>
      </c>
      <c r="I15" s="50">
        <v>44573</v>
      </c>
      <c r="J15" s="41"/>
      <c r="K15" s="41"/>
      <c r="L15" s="1"/>
    </row>
    <row r="16" spans="1:12" ht="15.6" x14ac:dyDescent="0.3">
      <c r="A16" s="33">
        <v>2</v>
      </c>
      <c r="B16" s="46">
        <v>950002</v>
      </c>
      <c r="C16" s="46">
        <v>35</v>
      </c>
      <c r="D16" s="51">
        <v>100232</v>
      </c>
      <c r="E16" s="46">
        <v>1</v>
      </c>
      <c r="F16" s="46">
        <v>600001</v>
      </c>
      <c r="G16" s="46">
        <v>5</v>
      </c>
      <c r="H16" s="50">
        <v>44573</v>
      </c>
      <c r="I16" s="50">
        <v>44574</v>
      </c>
      <c r="J16" s="41"/>
      <c r="K16" s="41"/>
      <c r="L16" s="1"/>
    </row>
    <row r="17" spans="1:12" ht="15.6" x14ac:dyDescent="0.3">
      <c r="A17" s="33">
        <v>3</v>
      </c>
      <c r="B17" s="46">
        <v>950003</v>
      </c>
      <c r="C17" s="46">
        <v>35</v>
      </c>
      <c r="D17" s="46">
        <v>100222</v>
      </c>
      <c r="E17" s="45">
        <v>1</v>
      </c>
      <c r="F17" s="46">
        <v>600001</v>
      </c>
      <c r="G17" s="46">
        <v>2</v>
      </c>
      <c r="H17" s="50">
        <v>44574</v>
      </c>
      <c r="I17" s="50">
        <v>44575</v>
      </c>
      <c r="J17" s="41"/>
      <c r="K17" s="41"/>
      <c r="L17" s="1"/>
    </row>
    <row r="18" spans="1:12" ht="15.6" x14ac:dyDescent="0.3">
      <c r="A18" s="33">
        <v>4</v>
      </c>
      <c r="B18" s="46">
        <v>950003</v>
      </c>
      <c r="C18" s="46">
        <v>35</v>
      </c>
      <c r="D18" s="46">
        <v>100362</v>
      </c>
      <c r="E18" s="45">
        <v>1</v>
      </c>
      <c r="F18" s="46">
        <v>600001</v>
      </c>
      <c r="G18" s="46">
        <v>2</v>
      </c>
      <c r="H18" s="50">
        <v>44575</v>
      </c>
      <c r="I18" s="52">
        <v>44587</v>
      </c>
      <c r="J18" s="41"/>
      <c r="K18" s="41"/>
      <c r="L18" s="1"/>
    </row>
    <row r="19" spans="1:12" ht="15.6" x14ac:dyDescent="0.3">
      <c r="A19" s="33">
        <v>5</v>
      </c>
      <c r="B19" s="46">
        <v>950007</v>
      </c>
      <c r="C19" s="46">
        <v>35</v>
      </c>
      <c r="D19" s="46">
        <v>100411</v>
      </c>
      <c r="E19" s="45">
        <v>1</v>
      </c>
      <c r="F19" s="46">
        <v>600001</v>
      </c>
      <c r="G19" s="46">
        <v>2</v>
      </c>
      <c r="H19" s="50">
        <v>44645</v>
      </c>
      <c r="I19" s="52">
        <v>44659</v>
      </c>
      <c r="J19" s="41"/>
      <c r="K19" s="41"/>
      <c r="L19" s="1"/>
    </row>
    <row r="20" spans="1:12" ht="15.6" x14ac:dyDescent="0.3">
      <c r="A20" s="33">
        <v>6</v>
      </c>
      <c r="B20" s="46">
        <v>950008</v>
      </c>
      <c r="C20" s="46">
        <v>35</v>
      </c>
      <c r="D20" s="46">
        <v>100091</v>
      </c>
      <c r="E20" s="45">
        <v>1</v>
      </c>
      <c r="F20" s="46">
        <v>600001</v>
      </c>
      <c r="G20" s="46">
        <v>2</v>
      </c>
      <c r="H20" s="52">
        <v>44659</v>
      </c>
      <c r="I20" s="52">
        <v>44673</v>
      </c>
      <c r="J20" s="41"/>
      <c r="K20" s="41"/>
      <c r="L20" s="1"/>
    </row>
    <row r="21" spans="1:12" ht="15.6" x14ac:dyDescent="0.3">
      <c r="A21" s="33">
        <v>7</v>
      </c>
      <c r="B21" s="46">
        <v>950009</v>
      </c>
      <c r="C21" s="46">
        <v>35</v>
      </c>
      <c r="D21" s="46">
        <v>100081</v>
      </c>
      <c r="E21" s="45">
        <v>1</v>
      </c>
      <c r="F21" s="46">
        <v>600001</v>
      </c>
      <c r="G21" s="46">
        <v>2</v>
      </c>
      <c r="H21" s="52">
        <v>44673</v>
      </c>
      <c r="I21" s="52">
        <v>44686.999305555597</v>
      </c>
      <c r="J21" s="41"/>
      <c r="K21" s="41"/>
      <c r="L21" s="1"/>
    </row>
    <row r="22" spans="1:12" ht="15.6" x14ac:dyDescent="0.3">
      <c r="A22" s="33">
        <v>8</v>
      </c>
      <c r="B22" s="46">
        <v>950010</v>
      </c>
      <c r="C22" s="46">
        <v>35</v>
      </c>
      <c r="D22" s="46">
        <v>100253</v>
      </c>
      <c r="E22" s="45">
        <v>1</v>
      </c>
      <c r="F22" s="46">
        <v>600001</v>
      </c>
      <c r="G22" s="46">
        <v>2</v>
      </c>
      <c r="H22" s="52">
        <v>44687</v>
      </c>
      <c r="I22" s="52">
        <v>44700.999305555597</v>
      </c>
      <c r="J22" s="1"/>
      <c r="K22" s="1"/>
      <c r="L22" s="1"/>
    </row>
    <row r="23" spans="1:12" ht="15.6" x14ac:dyDescent="0.3">
      <c r="A23" s="33">
        <v>9</v>
      </c>
      <c r="B23" s="46">
        <v>950011</v>
      </c>
      <c r="C23" s="46">
        <v>35</v>
      </c>
      <c r="D23" s="46">
        <v>100101</v>
      </c>
      <c r="E23" s="45">
        <v>1</v>
      </c>
      <c r="F23" s="46">
        <v>600001</v>
      </c>
      <c r="G23" s="46">
        <v>2</v>
      </c>
      <c r="H23" s="52">
        <v>44701</v>
      </c>
      <c r="I23" s="52">
        <v>44712.999305555597</v>
      </c>
    </row>
    <row r="24" spans="1:12" ht="15.6" x14ac:dyDescent="0.3">
      <c r="A24" s="33">
        <v>10</v>
      </c>
      <c r="B24" s="46">
        <v>950012</v>
      </c>
      <c r="C24" s="46">
        <v>35</v>
      </c>
      <c r="D24" s="46">
        <v>100222</v>
      </c>
      <c r="E24" s="45">
        <v>1</v>
      </c>
      <c r="F24" s="46">
        <v>600001</v>
      </c>
      <c r="G24" s="46">
        <v>2</v>
      </c>
      <c r="H24" s="52">
        <v>44713</v>
      </c>
      <c r="I24" s="52">
        <v>44722.999305555597</v>
      </c>
    </row>
    <row r="25" spans="1:12" ht="15.6" x14ac:dyDescent="0.3">
      <c r="A25" s="33">
        <v>11</v>
      </c>
      <c r="B25" s="46">
        <v>950013</v>
      </c>
      <c r="C25" s="46">
        <v>35</v>
      </c>
      <c r="D25" s="46">
        <v>100441</v>
      </c>
      <c r="E25" s="45">
        <v>1</v>
      </c>
      <c r="F25" s="46">
        <v>600001</v>
      </c>
      <c r="G25" s="46">
        <v>2</v>
      </c>
      <c r="H25" s="52">
        <v>44723</v>
      </c>
      <c r="I25" s="52">
        <v>44734.999305555597</v>
      </c>
    </row>
    <row r="26" spans="1:12" ht="15.6" x14ac:dyDescent="0.3">
      <c r="A26" s="33">
        <v>12</v>
      </c>
      <c r="B26" s="46">
        <v>950014</v>
      </c>
      <c r="C26" s="46">
        <v>35</v>
      </c>
      <c r="D26" s="46">
        <v>100461</v>
      </c>
      <c r="E26" s="45">
        <v>1</v>
      </c>
      <c r="F26" s="46">
        <v>600001</v>
      </c>
      <c r="G26" s="46">
        <v>2</v>
      </c>
      <c r="H26" s="52">
        <v>44735</v>
      </c>
      <c r="I26" s="52">
        <v>44745.999305555597</v>
      </c>
    </row>
    <row r="27" spans="1:12" ht="15.6" x14ac:dyDescent="0.3">
      <c r="A27" s="33">
        <v>13</v>
      </c>
      <c r="B27" s="46">
        <v>950015</v>
      </c>
      <c r="C27" s="46">
        <v>35</v>
      </c>
      <c r="D27" s="46">
        <v>100173</v>
      </c>
      <c r="E27" s="45">
        <v>1</v>
      </c>
      <c r="F27" s="46">
        <v>600001</v>
      </c>
      <c r="G27" s="46">
        <v>2</v>
      </c>
      <c r="H27" s="52">
        <v>44746</v>
      </c>
      <c r="I27" s="52">
        <v>44757.999305555597</v>
      </c>
    </row>
    <row r="28" spans="1:12" ht="15.6" x14ac:dyDescent="0.3">
      <c r="A28" s="33">
        <v>14</v>
      </c>
      <c r="B28" s="46">
        <v>950016</v>
      </c>
      <c r="C28" s="46">
        <v>35</v>
      </c>
      <c r="D28" s="46">
        <v>100201</v>
      </c>
      <c r="E28" s="45">
        <v>1</v>
      </c>
      <c r="F28" s="46">
        <v>600001</v>
      </c>
      <c r="G28" s="46">
        <v>2</v>
      </c>
      <c r="H28" s="52">
        <v>44758</v>
      </c>
      <c r="I28" s="52">
        <v>44773.999305555597</v>
      </c>
    </row>
    <row r="29" spans="1:12" ht="15.6" x14ac:dyDescent="0.3">
      <c r="A29" s="33">
        <v>15</v>
      </c>
      <c r="B29" s="46">
        <v>950017</v>
      </c>
      <c r="C29" s="46">
        <v>35</v>
      </c>
      <c r="D29" s="46">
        <v>100091</v>
      </c>
      <c r="E29" s="45">
        <v>1</v>
      </c>
      <c r="F29" s="46">
        <v>600001</v>
      </c>
      <c r="G29" s="46">
        <v>2</v>
      </c>
      <c r="H29" s="52">
        <v>44774</v>
      </c>
      <c r="I29" s="52">
        <v>44804.999305555597</v>
      </c>
    </row>
    <row r="30" spans="1:12" ht="15.6" x14ac:dyDescent="0.3">
      <c r="A30" s="33">
        <v>16</v>
      </c>
      <c r="B30" s="53">
        <v>950018</v>
      </c>
      <c r="C30" s="53">
        <v>35</v>
      </c>
      <c r="D30" s="53">
        <v>100201</v>
      </c>
      <c r="E30" s="54">
        <v>1</v>
      </c>
      <c r="F30" s="53">
        <v>600001</v>
      </c>
      <c r="G30" s="53">
        <v>2</v>
      </c>
      <c r="H30" s="55">
        <v>44805</v>
      </c>
      <c r="I30" s="55">
        <v>44834.999305555597</v>
      </c>
    </row>
    <row r="31" spans="1:12" ht="15.6" x14ac:dyDescent="0.3">
      <c r="A31" s="56">
        <v>17</v>
      </c>
      <c r="B31" s="57">
        <v>950019</v>
      </c>
      <c r="C31" s="57">
        <v>35</v>
      </c>
      <c r="D31" s="57">
        <v>100201</v>
      </c>
      <c r="E31" s="58">
        <v>1</v>
      </c>
      <c r="F31" s="57">
        <v>600001</v>
      </c>
      <c r="G31" s="57">
        <v>2</v>
      </c>
      <c r="H31" s="59">
        <v>44835</v>
      </c>
      <c r="I31" s="59">
        <v>44865.999305555597</v>
      </c>
    </row>
  </sheetData>
  <phoneticPr fontId="20" type="noConversion"/>
  <pageMargins left="0.7" right="0.7" top="0.75" bottom="0.75" header="0.3" footer="0.3"/>
  <pageSetup paperSize="9"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8"/>
  <sheetViews>
    <sheetView workbookViewId="0">
      <selection activeCell="B1" sqref="B1"/>
    </sheetView>
  </sheetViews>
  <sheetFormatPr defaultColWidth="11" defaultRowHeight="13.8" x14ac:dyDescent="0.25"/>
  <cols>
    <col min="1" max="1" width="24.21875" customWidth="1"/>
    <col min="2" max="2" width="16.6640625" customWidth="1"/>
    <col min="3" max="3" width="14.33203125" customWidth="1"/>
    <col min="4" max="4" width="16.77734375" customWidth="1"/>
    <col min="5" max="5" width="15.44140625" customWidth="1"/>
    <col min="6" max="6" width="16.77734375" customWidth="1"/>
    <col min="7" max="7" width="15.44140625" customWidth="1"/>
    <col min="8" max="8" width="13.33203125" customWidth="1"/>
  </cols>
  <sheetData>
    <row r="1" spans="1:12" x14ac:dyDescent="0.25">
      <c r="A1" s="3" t="s">
        <v>546</v>
      </c>
      <c r="C1" t="s">
        <v>547</v>
      </c>
    </row>
    <row r="2" spans="1:12" x14ac:dyDescent="0.25">
      <c r="A2" s="3" t="s">
        <v>548</v>
      </c>
      <c r="B2" t="s">
        <v>576</v>
      </c>
      <c r="C2" t="s">
        <v>550</v>
      </c>
    </row>
    <row r="3" spans="1:12" x14ac:dyDescent="0.25">
      <c r="A3" s="3" t="s">
        <v>551</v>
      </c>
      <c r="B3" s="4" t="s">
        <v>552</v>
      </c>
      <c r="C3" t="s">
        <v>553</v>
      </c>
    </row>
    <row r="4" spans="1:12" x14ac:dyDescent="0.25">
      <c r="A4" s="3" t="s">
        <v>554</v>
      </c>
      <c r="B4" s="5" t="s">
        <v>555</v>
      </c>
    </row>
    <row r="5" spans="1:12" x14ac:dyDescent="0.25">
      <c r="A5" s="3" t="s">
        <v>556</v>
      </c>
      <c r="C5" t="s">
        <v>557</v>
      </c>
    </row>
    <row r="6" spans="1:12" x14ac:dyDescent="0.25">
      <c r="A6" s="3" t="s">
        <v>558</v>
      </c>
      <c r="B6">
        <v>4</v>
      </c>
      <c r="C6" t="s">
        <v>559</v>
      </c>
    </row>
    <row r="7" spans="1:12" x14ac:dyDescent="0.25">
      <c r="A7" s="3" t="s">
        <v>560</v>
      </c>
    </row>
    <row r="8" spans="1:12" x14ac:dyDescent="0.25">
      <c r="A8" s="3" t="s">
        <v>561</v>
      </c>
    </row>
    <row r="11" spans="1:12" ht="15.6" x14ac:dyDescent="0.3">
      <c r="A11" t="s">
        <v>443</v>
      </c>
      <c r="B11" t="s">
        <v>358</v>
      </c>
      <c r="C11" t="s">
        <v>577</v>
      </c>
      <c r="D11" s="21" t="s">
        <v>360</v>
      </c>
      <c r="E11" s="1" t="s">
        <v>578</v>
      </c>
      <c r="F11" s="1" t="s">
        <v>579</v>
      </c>
      <c r="G11" s="1" t="s">
        <v>580</v>
      </c>
      <c r="H11" s="1" t="s">
        <v>581</v>
      </c>
      <c r="I11" s="7" t="s">
        <v>582</v>
      </c>
      <c r="J11" s="21"/>
    </row>
    <row r="12" spans="1:12" ht="15.6" x14ac:dyDescent="0.3">
      <c r="A12" s="5" t="s">
        <v>16</v>
      </c>
      <c r="B12" s="5" t="s">
        <v>364</v>
      </c>
      <c r="C12" s="5" t="s">
        <v>583</v>
      </c>
      <c r="D12" s="22" t="s">
        <v>584</v>
      </c>
      <c r="E12" s="5" t="s">
        <v>585</v>
      </c>
      <c r="F12" s="4" t="s">
        <v>586</v>
      </c>
      <c r="G12" s="5" t="s">
        <v>587</v>
      </c>
      <c r="H12" s="4" t="s">
        <v>588</v>
      </c>
      <c r="I12" s="6" t="s">
        <v>217</v>
      </c>
      <c r="L12" s="1"/>
    </row>
    <row r="13" spans="1:12" ht="15.6" x14ac:dyDescent="0.3">
      <c r="A13" s="5" t="s">
        <v>30</v>
      </c>
      <c r="B13" s="5" t="s">
        <v>30</v>
      </c>
      <c r="C13" s="5" t="s">
        <v>589</v>
      </c>
      <c r="D13" s="23" t="s">
        <v>589</v>
      </c>
      <c r="E13" s="5" t="s">
        <v>30</v>
      </c>
      <c r="F13" s="4" t="s">
        <v>31</v>
      </c>
      <c r="G13" s="5" t="s">
        <v>30</v>
      </c>
      <c r="H13" s="4" t="s">
        <v>31</v>
      </c>
      <c r="I13" s="5" t="s">
        <v>30</v>
      </c>
    </row>
    <row r="14" spans="1:12" x14ac:dyDescent="0.25">
      <c r="A14" s="5" t="s">
        <v>574</v>
      </c>
      <c r="B14" s="5" t="s">
        <v>575</v>
      </c>
      <c r="C14" s="5" t="s">
        <v>575</v>
      </c>
      <c r="D14" s="22" t="s">
        <v>575</v>
      </c>
      <c r="E14" s="5" t="s">
        <v>575</v>
      </c>
      <c r="F14" s="4" t="s">
        <v>35</v>
      </c>
      <c r="G14" s="5" t="s">
        <v>575</v>
      </c>
      <c r="H14" s="4" t="s">
        <v>35</v>
      </c>
      <c r="I14" s="5" t="s">
        <v>575</v>
      </c>
    </row>
    <row r="15" spans="1:12" x14ac:dyDescent="0.25">
      <c r="A15" s="5"/>
      <c r="B15" s="5">
        <v>0</v>
      </c>
      <c r="C15" s="5">
        <v>0</v>
      </c>
      <c r="D15" s="39"/>
      <c r="E15" s="5">
        <v>0</v>
      </c>
      <c r="F15" s="4"/>
      <c r="G15" s="5">
        <v>0</v>
      </c>
      <c r="H15" s="4"/>
      <c r="I15" s="5">
        <v>0</v>
      </c>
    </row>
    <row r="16" spans="1:12" ht="15.6" x14ac:dyDescent="0.3">
      <c r="A16">
        <v>1</v>
      </c>
      <c r="B16">
        <v>1</v>
      </c>
      <c r="C16" t="s">
        <v>590</v>
      </c>
      <c r="D16" t="s">
        <v>591</v>
      </c>
      <c r="I16" s="7"/>
    </row>
    <row r="17" spans="1:9" ht="15.6" x14ac:dyDescent="0.3">
      <c r="A17">
        <v>2</v>
      </c>
      <c r="B17">
        <v>1</v>
      </c>
      <c r="C17" t="s">
        <v>592</v>
      </c>
      <c r="D17" t="s">
        <v>593</v>
      </c>
      <c r="I17" s="7"/>
    </row>
    <row r="18" spans="1:9" ht="15.6" x14ac:dyDescent="0.3">
      <c r="A18">
        <v>3</v>
      </c>
      <c r="B18">
        <v>3</v>
      </c>
      <c r="C18" t="s">
        <v>594</v>
      </c>
      <c r="D18" t="s">
        <v>595</v>
      </c>
      <c r="E18" s="1">
        <v>404111</v>
      </c>
      <c r="F18" s="40" t="s">
        <v>596</v>
      </c>
      <c r="G18" s="1">
        <v>404112</v>
      </c>
      <c r="H18" s="1" t="s">
        <v>597</v>
      </c>
      <c r="I18" s="7">
        <v>920007</v>
      </c>
    </row>
    <row r="19" spans="1:9" ht="15.6" x14ac:dyDescent="0.3">
      <c r="A19">
        <v>4</v>
      </c>
      <c r="B19">
        <v>3</v>
      </c>
      <c r="C19" t="s">
        <v>598</v>
      </c>
      <c r="D19" t="s">
        <v>599</v>
      </c>
      <c r="E19" s="1">
        <v>404121</v>
      </c>
      <c r="F19" s="40" t="s">
        <v>600</v>
      </c>
      <c r="G19" s="1">
        <v>404122</v>
      </c>
      <c r="H19" s="1" t="s">
        <v>601</v>
      </c>
      <c r="I19" s="7">
        <v>920007</v>
      </c>
    </row>
    <row r="20" spans="1:9" ht="15.6" x14ac:dyDescent="0.3">
      <c r="A20">
        <v>5</v>
      </c>
      <c r="B20">
        <v>3</v>
      </c>
      <c r="C20" t="s">
        <v>602</v>
      </c>
      <c r="D20" t="s">
        <v>603</v>
      </c>
      <c r="E20" s="1">
        <v>404131</v>
      </c>
      <c r="F20" s="40" t="s">
        <v>604</v>
      </c>
      <c r="G20" s="1">
        <v>404132</v>
      </c>
      <c r="H20" s="1" t="s">
        <v>605</v>
      </c>
      <c r="I20" s="7">
        <v>920007</v>
      </c>
    </row>
    <row r="21" spans="1:9" ht="15.6" x14ac:dyDescent="0.3">
      <c r="A21">
        <v>6</v>
      </c>
      <c r="B21">
        <v>3</v>
      </c>
      <c r="C21" t="s">
        <v>606</v>
      </c>
      <c r="D21" t="s">
        <v>607</v>
      </c>
      <c r="E21" s="1">
        <v>404141</v>
      </c>
      <c r="F21" s="40" t="s">
        <v>608</v>
      </c>
      <c r="G21" s="1">
        <v>404142</v>
      </c>
      <c r="H21" s="1" t="s">
        <v>609</v>
      </c>
      <c r="I21" s="7">
        <v>920007</v>
      </c>
    </row>
    <row r="22" spans="1:9" ht="15.6" x14ac:dyDescent="0.3">
      <c r="A22">
        <v>7</v>
      </c>
      <c r="B22">
        <v>2</v>
      </c>
      <c r="C22" t="s">
        <v>610</v>
      </c>
      <c r="D22" t="s">
        <v>611</v>
      </c>
      <c r="I22" s="7"/>
    </row>
    <row r="23" spans="1:9" x14ac:dyDescent="0.25">
      <c r="A23">
        <v>8</v>
      </c>
      <c r="B23">
        <v>2</v>
      </c>
      <c r="C23" t="s">
        <v>612</v>
      </c>
      <c r="D23" t="s">
        <v>613</v>
      </c>
    </row>
    <row r="24" spans="1:9" x14ac:dyDescent="0.25">
      <c r="A24">
        <v>9</v>
      </c>
      <c r="B24">
        <v>2</v>
      </c>
      <c r="C24" t="s">
        <v>614</v>
      </c>
      <c r="D24" t="s">
        <v>615</v>
      </c>
    </row>
    <row r="25" spans="1:9" ht="15.6" x14ac:dyDescent="0.3">
      <c r="A25">
        <v>10</v>
      </c>
      <c r="B25">
        <v>4</v>
      </c>
      <c r="C25" t="s">
        <v>590</v>
      </c>
      <c r="D25" t="s">
        <v>616</v>
      </c>
      <c r="E25" s="1">
        <v>404151</v>
      </c>
      <c r="F25" s="40" t="s">
        <v>617</v>
      </c>
      <c r="G25" s="1">
        <v>404152</v>
      </c>
      <c r="H25" s="1" t="s">
        <v>618</v>
      </c>
      <c r="I25" s="7">
        <v>920007</v>
      </c>
    </row>
    <row r="26" spans="1:9" ht="15.6" x14ac:dyDescent="0.3">
      <c r="A26">
        <v>11</v>
      </c>
      <c r="B26">
        <v>4</v>
      </c>
      <c r="C26" t="s">
        <v>619</v>
      </c>
      <c r="D26" t="s">
        <v>620</v>
      </c>
      <c r="E26" s="1">
        <v>404161</v>
      </c>
      <c r="F26" s="40" t="s">
        <v>621</v>
      </c>
      <c r="G26" s="1">
        <v>404162</v>
      </c>
      <c r="H26" s="1" t="s">
        <v>622</v>
      </c>
      <c r="I26" s="7">
        <v>920007</v>
      </c>
    </row>
    <row r="27" spans="1:9" ht="15.6" x14ac:dyDescent="0.3">
      <c r="A27">
        <v>12</v>
      </c>
      <c r="B27">
        <v>4</v>
      </c>
      <c r="C27" t="s">
        <v>623</v>
      </c>
      <c r="D27" t="s">
        <v>624</v>
      </c>
      <c r="E27" s="1">
        <v>404171</v>
      </c>
      <c r="F27" s="40" t="s">
        <v>625</v>
      </c>
      <c r="G27" s="1">
        <v>404172</v>
      </c>
      <c r="H27" s="1" t="s">
        <v>626</v>
      </c>
      <c r="I27" s="7">
        <v>920007</v>
      </c>
    </row>
    <row r="28" spans="1:9" ht="15.6" x14ac:dyDescent="0.3">
      <c r="A28">
        <v>13</v>
      </c>
      <c r="B28">
        <v>4</v>
      </c>
      <c r="C28" t="s">
        <v>592</v>
      </c>
      <c r="D28" t="s">
        <v>627</v>
      </c>
      <c r="E28" s="1">
        <v>404181</v>
      </c>
      <c r="F28" s="40" t="s">
        <v>628</v>
      </c>
      <c r="G28" s="1">
        <v>404182</v>
      </c>
      <c r="H28" s="1" t="s">
        <v>629</v>
      </c>
      <c r="I28" s="7">
        <v>920007</v>
      </c>
    </row>
  </sheetData>
  <phoneticPr fontId="20" type="noConversion"/>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21"/>
  <sheetViews>
    <sheetView workbookViewId="0">
      <selection activeCell="B1" sqref="B1"/>
    </sheetView>
  </sheetViews>
  <sheetFormatPr defaultColWidth="11" defaultRowHeight="13.8" x14ac:dyDescent="0.25"/>
  <cols>
    <col min="1" max="1" width="24.33203125" customWidth="1"/>
    <col min="2" max="2" width="16.6640625" customWidth="1"/>
    <col min="3" max="3" width="14.33203125" customWidth="1"/>
    <col min="5" max="5" width="13.88671875" customWidth="1"/>
    <col min="6" max="6" width="15.109375" customWidth="1"/>
  </cols>
  <sheetData>
    <row r="1" spans="1:6" ht="15.6" x14ac:dyDescent="0.3">
      <c r="A1" s="31" t="s">
        <v>546</v>
      </c>
      <c r="C1" t="s">
        <v>547</v>
      </c>
    </row>
    <row r="2" spans="1:6" ht="15.6" x14ac:dyDescent="0.3">
      <c r="A2" s="31" t="s">
        <v>548</v>
      </c>
      <c r="B2" t="s">
        <v>630</v>
      </c>
      <c r="C2" t="s">
        <v>550</v>
      </c>
    </row>
    <row r="3" spans="1:6" ht="15.6" x14ac:dyDescent="0.3">
      <c r="A3" s="31" t="s">
        <v>551</v>
      </c>
      <c r="B3" s="33" t="s">
        <v>552</v>
      </c>
      <c r="C3" t="s">
        <v>553</v>
      </c>
    </row>
    <row r="4" spans="1:6" ht="15.6" x14ac:dyDescent="0.3">
      <c r="A4" s="31" t="s">
        <v>554</v>
      </c>
      <c r="B4" s="34" t="s">
        <v>555</v>
      </c>
    </row>
    <row r="5" spans="1:6" ht="15.6" x14ac:dyDescent="0.3">
      <c r="A5" s="31" t="s">
        <v>556</v>
      </c>
      <c r="C5" t="s">
        <v>557</v>
      </c>
    </row>
    <row r="6" spans="1:6" ht="15.6" x14ac:dyDescent="0.3">
      <c r="A6" s="31" t="s">
        <v>558</v>
      </c>
      <c r="B6">
        <v>4</v>
      </c>
      <c r="C6" t="s">
        <v>559</v>
      </c>
    </row>
    <row r="7" spans="1:6" ht="15.6" x14ac:dyDescent="0.3">
      <c r="A7" s="31" t="s">
        <v>560</v>
      </c>
    </row>
    <row r="8" spans="1:6" ht="15.6" x14ac:dyDescent="0.3">
      <c r="A8" s="31" t="s">
        <v>561</v>
      </c>
    </row>
    <row r="11" spans="1:6" x14ac:dyDescent="0.25">
      <c r="A11" t="s">
        <v>385</v>
      </c>
      <c r="B11" t="s">
        <v>631</v>
      </c>
      <c r="C11" t="s">
        <v>632</v>
      </c>
      <c r="D11" t="s">
        <v>209</v>
      </c>
      <c r="E11" t="s">
        <v>268</v>
      </c>
      <c r="F11" t="s">
        <v>391</v>
      </c>
    </row>
    <row r="12" spans="1:6" ht="15.6" x14ac:dyDescent="0.3">
      <c r="A12" s="34" t="s">
        <v>16</v>
      </c>
      <c r="B12" s="34" t="s">
        <v>633</v>
      </c>
      <c r="C12" s="34" t="s">
        <v>634</v>
      </c>
      <c r="D12" s="34" t="s">
        <v>241</v>
      </c>
      <c r="E12" s="34" t="s">
        <v>468</v>
      </c>
      <c r="F12" s="34" t="s">
        <v>635</v>
      </c>
    </row>
    <row r="13" spans="1:6" ht="15.6" x14ac:dyDescent="0.3">
      <c r="A13" s="34" t="s">
        <v>30</v>
      </c>
      <c r="B13" s="34" t="s">
        <v>30</v>
      </c>
      <c r="C13" s="34" t="s">
        <v>30</v>
      </c>
      <c r="D13" s="34" t="s">
        <v>30</v>
      </c>
      <c r="E13" s="34" t="s">
        <v>30</v>
      </c>
      <c r="F13" s="34" t="s">
        <v>30</v>
      </c>
    </row>
    <row r="14" spans="1:6" ht="15.6" x14ac:dyDescent="0.3">
      <c r="A14" s="34" t="s">
        <v>574</v>
      </c>
      <c r="B14" s="34" t="s">
        <v>575</v>
      </c>
      <c r="C14" s="34" t="s">
        <v>575</v>
      </c>
      <c r="D14" s="34" t="s">
        <v>575</v>
      </c>
      <c r="E14" s="34" t="s">
        <v>575</v>
      </c>
      <c r="F14" s="34" t="s">
        <v>575</v>
      </c>
    </row>
    <row r="15" spans="1:6" ht="15.6" x14ac:dyDescent="0.3">
      <c r="A15" s="34">
        <v>0</v>
      </c>
      <c r="B15" s="34">
        <v>0</v>
      </c>
      <c r="C15" s="34">
        <v>0</v>
      </c>
      <c r="D15" s="34"/>
      <c r="E15" s="34">
        <v>0</v>
      </c>
      <c r="F15" s="34">
        <v>0</v>
      </c>
    </row>
    <row r="16" spans="1:6" x14ac:dyDescent="0.25">
      <c r="A16">
        <v>1</v>
      </c>
      <c r="B16">
        <v>1</v>
      </c>
      <c r="C16">
        <v>20</v>
      </c>
      <c r="D16">
        <v>5</v>
      </c>
      <c r="E16">
        <v>2</v>
      </c>
      <c r="F16">
        <v>90</v>
      </c>
    </row>
    <row r="17" spans="1:6" x14ac:dyDescent="0.25">
      <c r="A17">
        <v>2</v>
      </c>
      <c r="B17">
        <v>2</v>
      </c>
      <c r="C17">
        <v>30000</v>
      </c>
      <c r="D17">
        <v>5</v>
      </c>
      <c r="E17">
        <v>2</v>
      </c>
      <c r="F17">
        <v>91</v>
      </c>
    </row>
    <row r="18" spans="1:6" x14ac:dyDescent="0.25">
      <c r="A18">
        <v>3</v>
      </c>
      <c r="B18">
        <v>600001</v>
      </c>
      <c r="C18">
        <v>10</v>
      </c>
      <c r="D18">
        <v>5</v>
      </c>
      <c r="E18">
        <v>2</v>
      </c>
      <c r="F18">
        <v>92</v>
      </c>
    </row>
    <row r="19" spans="1:6" x14ac:dyDescent="0.25">
      <c r="A19">
        <v>4</v>
      </c>
      <c r="B19">
        <v>13</v>
      </c>
      <c r="C19">
        <v>100</v>
      </c>
      <c r="D19">
        <v>5</v>
      </c>
      <c r="E19">
        <v>2</v>
      </c>
      <c r="F19">
        <v>93</v>
      </c>
    </row>
    <row r="20" spans="1:6" x14ac:dyDescent="0.25">
      <c r="A20">
        <v>5</v>
      </c>
      <c r="B20">
        <v>600007</v>
      </c>
      <c r="C20">
        <v>2</v>
      </c>
      <c r="D20">
        <v>5</v>
      </c>
      <c r="E20">
        <v>2</v>
      </c>
      <c r="F20">
        <v>94</v>
      </c>
    </row>
    <row r="21" spans="1:6" x14ac:dyDescent="0.25">
      <c r="A21">
        <v>6</v>
      </c>
      <c r="B21">
        <v>600006</v>
      </c>
      <c r="C21">
        <v>5</v>
      </c>
      <c r="D21">
        <v>5</v>
      </c>
      <c r="E21">
        <v>2</v>
      </c>
      <c r="F21">
        <v>95</v>
      </c>
    </row>
  </sheetData>
  <phoneticPr fontId="20" type="noConversion"/>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9"/>
  <sheetViews>
    <sheetView workbookViewId="0">
      <selection activeCell="H11" sqref="H11:H19"/>
    </sheetView>
  </sheetViews>
  <sheetFormatPr defaultColWidth="9" defaultRowHeight="13.8" x14ac:dyDescent="0.25"/>
  <cols>
    <col min="1" max="1" width="25" customWidth="1"/>
    <col min="2" max="2" width="19.109375" customWidth="1"/>
    <col min="3" max="3" width="14.44140625" customWidth="1"/>
    <col min="7" max="7" width="30.88671875" customWidth="1"/>
  </cols>
  <sheetData>
    <row r="1" spans="1:8" ht="15.6" x14ac:dyDescent="0.3">
      <c r="A1" s="31" t="s">
        <v>546</v>
      </c>
      <c r="B1" s="32"/>
      <c r="C1" s="32" t="s">
        <v>547</v>
      </c>
    </row>
    <row r="2" spans="1:8" ht="15.6" x14ac:dyDescent="0.3">
      <c r="A2" s="31" t="s">
        <v>548</v>
      </c>
      <c r="B2" s="32" t="s">
        <v>636</v>
      </c>
      <c r="C2" s="32" t="s">
        <v>550</v>
      </c>
    </row>
    <row r="3" spans="1:8" ht="15.6" x14ac:dyDescent="0.3">
      <c r="A3" s="31" t="s">
        <v>551</v>
      </c>
      <c r="B3" s="33" t="s">
        <v>552</v>
      </c>
      <c r="C3" s="32" t="s">
        <v>553</v>
      </c>
    </row>
    <row r="4" spans="1:8" ht="15.6" x14ac:dyDescent="0.3">
      <c r="A4" s="31" t="s">
        <v>554</v>
      </c>
      <c r="B4" s="34" t="s">
        <v>555</v>
      </c>
      <c r="C4" s="32"/>
    </row>
    <row r="5" spans="1:8" ht="15.6" x14ac:dyDescent="0.3">
      <c r="A5" s="31" t="s">
        <v>556</v>
      </c>
      <c r="B5" s="32"/>
      <c r="C5" s="32" t="s">
        <v>557</v>
      </c>
    </row>
    <row r="6" spans="1:8" ht="15.6" x14ac:dyDescent="0.3">
      <c r="A6" s="31" t="s">
        <v>558</v>
      </c>
      <c r="B6" s="32">
        <v>4</v>
      </c>
      <c r="C6" s="32" t="s">
        <v>559</v>
      </c>
    </row>
    <row r="7" spans="1:8" ht="15.6" x14ac:dyDescent="0.3">
      <c r="A7" s="31" t="s">
        <v>560</v>
      </c>
      <c r="B7" s="32"/>
      <c r="C7" s="32"/>
    </row>
    <row r="8" spans="1:8" ht="15.6" x14ac:dyDescent="0.3">
      <c r="A8" s="31" t="s">
        <v>561</v>
      </c>
      <c r="B8" s="32"/>
      <c r="C8" s="32"/>
    </row>
    <row r="11" spans="1:8" x14ac:dyDescent="0.25">
      <c r="A11" s="35" t="s">
        <v>637</v>
      </c>
      <c r="B11" s="35" t="s">
        <v>358</v>
      </c>
      <c r="C11" s="35" t="s">
        <v>359</v>
      </c>
      <c r="D11" s="35" t="s">
        <v>631</v>
      </c>
      <c r="E11" s="35" t="s">
        <v>564</v>
      </c>
      <c r="F11" s="35" t="s">
        <v>361</v>
      </c>
      <c r="G11" s="36" t="s">
        <v>3</v>
      </c>
      <c r="H11" s="35" t="s">
        <v>362</v>
      </c>
    </row>
    <row r="12" spans="1:8" x14ac:dyDescent="0.25">
      <c r="A12" s="37" t="s">
        <v>16</v>
      </c>
      <c r="B12" s="37" t="s">
        <v>364</v>
      </c>
      <c r="C12" s="37" t="s">
        <v>365</v>
      </c>
      <c r="D12" s="37" t="s">
        <v>568</v>
      </c>
      <c r="E12" s="37" t="s">
        <v>638</v>
      </c>
      <c r="F12" s="37" t="s">
        <v>366</v>
      </c>
      <c r="G12" s="38" t="s">
        <v>639</v>
      </c>
      <c r="H12" s="37" t="s">
        <v>28</v>
      </c>
    </row>
    <row r="13" spans="1:8" x14ac:dyDescent="0.25">
      <c r="A13" s="37" t="s">
        <v>30</v>
      </c>
      <c r="B13" s="37" t="s">
        <v>30</v>
      </c>
      <c r="C13" s="37" t="s">
        <v>31</v>
      </c>
      <c r="D13" s="37" t="s">
        <v>30</v>
      </c>
      <c r="E13" s="37" t="s">
        <v>30</v>
      </c>
      <c r="F13" s="37" t="s">
        <v>30</v>
      </c>
      <c r="G13" s="38" t="s">
        <v>31</v>
      </c>
      <c r="H13" s="37" t="s">
        <v>30</v>
      </c>
    </row>
    <row r="14" spans="1:8" x14ac:dyDescent="0.25">
      <c r="A14" s="37" t="s">
        <v>574</v>
      </c>
      <c r="B14" s="37" t="s">
        <v>575</v>
      </c>
      <c r="C14" s="37" t="s">
        <v>575</v>
      </c>
      <c r="D14" s="37" t="s">
        <v>575</v>
      </c>
      <c r="E14" s="37" t="s">
        <v>575</v>
      </c>
      <c r="F14" s="37" t="s">
        <v>575</v>
      </c>
      <c r="G14" s="38" t="s">
        <v>35</v>
      </c>
      <c r="H14" s="37" t="s">
        <v>575</v>
      </c>
    </row>
    <row r="15" spans="1:8" x14ac:dyDescent="0.25">
      <c r="A15" s="37"/>
      <c r="B15" s="37">
        <v>0</v>
      </c>
      <c r="C15" s="37">
        <v>0</v>
      </c>
      <c r="D15" s="37">
        <v>0</v>
      </c>
      <c r="E15" s="37">
        <v>0</v>
      </c>
      <c r="F15" s="37">
        <v>0</v>
      </c>
      <c r="G15" s="38"/>
      <c r="H15" s="37">
        <v>0</v>
      </c>
    </row>
    <row r="16" spans="1:8" x14ac:dyDescent="0.25">
      <c r="A16" s="35">
        <v>1</v>
      </c>
      <c r="B16" s="35">
        <v>31</v>
      </c>
      <c r="C16" s="35" t="s">
        <v>640</v>
      </c>
      <c r="D16" s="35">
        <v>510161</v>
      </c>
      <c r="E16" s="35">
        <v>2</v>
      </c>
      <c r="F16" s="35">
        <v>489601</v>
      </c>
      <c r="G16" s="38" t="s">
        <v>641</v>
      </c>
      <c r="H16" s="35">
        <v>2</v>
      </c>
    </row>
    <row r="17" spans="1:8" x14ac:dyDescent="0.25">
      <c r="A17" s="35">
        <v>2</v>
      </c>
      <c r="B17" s="35">
        <v>31</v>
      </c>
      <c r="C17" s="35" t="s">
        <v>642</v>
      </c>
      <c r="D17" s="35">
        <v>510161</v>
      </c>
      <c r="E17" s="35">
        <v>3</v>
      </c>
      <c r="F17" s="35">
        <v>489602</v>
      </c>
      <c r="G17" s="38" t="s">
        <v>643</v>
      </c>
      <c r="H17" s="35">
        <v>2</v>
      </c>
    </row>
    <row r="18" spans="1:8" x14ac:dyDescent="0.25">
      <c r="A18" s="35">
        <v>3</v>
      </c>
      <c r="B18" s="35">
        <v>31</v>
      </c>
      <c r="C18" s="35" t="s">
        <v>644</v>
      </c>
      <c r="D18" s="35">
        <v>510161</v>
      </c>
      <c r="E18" s="35">
        <v>5</v>
      </c>
      <c r="F18" s="35">
        <v>489603</v>
      </c>
      <c r="G18" s="38" t="s">
        <v>645</v>
      </c>
      <c r="H18" s="35">
        <v>2</v>
      </c>
    </row>
    <row r="19" spans="1:8" x14ac:dyDescent="0.25">
      <c r="A19" s="35">
        <v>4</v>
      </c>
      <c r="B19" s="35">
        <v>31</v>
      </c>
      <c r="C19" s="35" t="s">
        <v>646</v>
      </c>
      <c r="D19" s="35">
        <v>510161</v>
      </c>
      <c r="E19" s="35">
        <v>10</v>
      </c>
      <c r="F19" s="35">
        <v>489604</v>
      </c>
      <c r="G19" s="38" t="s">
        <v>647</v>
      </c>
      <c r="H19" s="35">
        <v>2</v>
      </c>
    </row>
  </sheetData>
  <phoneticPr fontId="20" type="noConversion"/>
  <pageMargins left="0.7" right="0.7" top="0.75" bottom="0.75" header="0.3" footer="0.3"/>
  <pageSetup paperSize="9"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79"/>
  <sheetViews>
    <sheetView workbookViewId="0">
      <selection activeCell="G22" sqref="G22"/>
    </sheetView>
  </sheetViews>
  <sheetFormatPr defaultColWidth="11" defaultRowHeight="13.8" x14ac:dyDescent="0.25"/>
  <cols>
    <col min="1" max="1" width="25.77734375" customWidth="1"/>
    <col min="2" max="2" width="16.6640625" customWidth="1"/>
    <col min="3" max="3" width="11.109375" customWidth="1"/>
    <col min="4" max="5" width="9" customWidth="1"/>
    <col min="6" max="6" width="16.88671875" customWidth="1"/>
  </cols>
  <sheetData>
    <row r="1" spans="1:20" x14ac:dyDescent="0.25">
      <c r="A1" s="3" t="s">
        <v>546</v>
      </c>
      <c r="C1" t="s">
        <v>547</v>
      </c>
    </row>
    <row r="2" spans="1:20" x14ac:dyDescent="0.25">
      <c r="A2" s="3" t="s">
        <v>548</v>
      </c>
      <c r="B2" t="s">
        <v>648</v>
      </c>
      <c r="C2" t="s">
        <v>550</v>
      </c>
    </row>
    <row r="3" spans="1:20" x14ac:dyDescent="0.25">
      <c r="A3" s="3" t="s">
        <v>551</v>
      </c>
      <c r="B3" s="4" t="s">
        <v>552</v>
      </c>
      <c r="C3" t="s">
        <v>553</v>
      </c>
    </row>
    <row r="4" spans="1:20" x14ac:dyDescent="0.25">
      <c r="A4" s="3" t="s">
        <v>554</v>
      </c>
      <c r="B4" s="5" t="s">
        <v>555</v>
      </c>
    </row>
    <row r="5" spans="1:20" x14ac:dyDescent="0.25">
      <c r="A5" s="3" t="s">
        <v>556</v>
      </c>
      <c r="C5" t="s">
        <v>557</v>
      </c>
      <c r="N5" t="s">
        <v>649</v>
      </c>
    </row>
    <row r="6" spans="1:20" x14ac:dyDescent="0.25">
      <c r="A6" s="3" t="s">
        <v>558</v>
      </c>
      <c r="B6">
        <v>4</v>
      </c>
      <c r="C6" t="s">
        <v>559</v>
      </c>
      <c r="N6" s="27">
        <f>L21</f>
        <v>0.08</v>
      </c>
      <c r="O6">
        <f>1/N6</f>
        <v>12.5</v>
      </c>
      <c r="T6" s="27"/>
    </row>
    <row r="7" spans="1:20" x14ac:dyDescent="0.25">
      <c r="A7" s="3" t="s">
        <v>560</v>
      </c>
      <c r="T7" s="27"/>
    </row>
    <row r="8" spans="1:20" x14ac:dyDescent="0.25">
      <c r="A8" s="3" t="s">
        <v>561</v>
      </c>
      <c r="T8" s="27"/>
    </row>
    <row r="9" spans="1:20" x14ac:dyDescent="0.25">
      <c r="T9" s="27"/>
    </row>
    <row r="10" spans="1:20" x14ac:dyDescent="0.25">
      <c r="T10" s="27"/>
    </row>
    <row r="11" spans="1:20" x14ac:dyDescent="0.25">
      <c r="A11" t="s">
        <v>261</v>
      </c>
      <c r="B11" t="s">
        <v>424</v>
      </c>
      <c r="C11" t="s">
        <v>264</v>
      </c>
      <c r="D11" t="s">
        <v>650</v>
      </c>
      <c r="E11" t="s">
        <v>651</v>
      </c>
      <c r="F11" t="s">
        <v>426</v>
      </c>
      <c r="G11" t="s">
        <v>427</v>
      </c>
      <c r="H11" t="s">
        <v>264</v>
      </c>
      <c r="I11" t="s">
        <v>650</v>
      </c>
      <c r="T11" s="27"/>
    </row>
    <row r="12" spans="1:20" x14ac:dyDescent="0.25">
      <c r="A12" s="5" t="s">
        <v>16</v>
      </c>
      <c r="B12" s="5" t="s">
        <v>652</v>
      </c>
      <c r="C12" s="5" t="s">
        <v>653</v>
      </c>
      <c r="D12" s="5" t="s">
        <v>654</v>
      </c>
      <c r="E12" s="5" t="s">
        <v>655</v>
      </c>
      <c r="F12" s="4" t="s">
        <v>656</v>
      </c>
      <c r="G12" s="5" t="s">
        <v>657</v>
      </c>
      <c r="H12" s="5" t="s">
        <v>658</v>
      </c>
      <c r="I12" s="5" t="s">
        <v>659</v>
      </c>
      <c r="T12" s="27"/>
    </row>
    <row r="13" spans="1:20" x14ac:dyDescent="0.25">
      <c r="A13" s="5" t="s">
        <v>30</v>
      </c>
      <c r="B13" s="5" t="s">
        <v>30</v>
      </c>
      <c r="C13" s="5" t="s">
        <v>30</v>
      </c>
      <c r="D13" s="5" t="s">
        <v>30</v>
      </c>
      <c r="E13" s="5" t="s">
        <v>30</v>
      </c>
      <c r="F13" s="4" t="s">
        <v>31</v>
      </c>
      <c r="G13" s="5" t="s">
        <v>30</v>
      </c>
      <c r="H13" s="5" t="s">
        <v>30</v>
      </c>
      <c r="I13" s="5" t="s">
        <v>30</v>
      </c>
      <c r="T13" s="27"/>
    </row>
    <row r="14" spans="1:20" x14ac:dyDescent="0.25">
      <c r="A14" s="5" t="s">
        <v>574</v>
      </c>
      <c r="B14" s="5" t="s">
        <v>575</v>
      </c>
      <c r="C14" s="5" t="s">
        <v>575</v>
      </c>
      <c r="D14" s="5" t="s">
        <v>575</v>
      </c>
      <c r="E14" s="5" t="s">
        <v>575</v>
      </c>
      <c r="F14" s="4" t="s">
        <v>35</v>
      </c>
      <c r="G14" s="5" t="s">
        <v>575</v>
      </c>
      <c r="H14" s="5" t="s">
        <v>575</v>
      </c>
      <c r="I14" s="5" t="s">
        <v>575</v>
      </c>
      <c r="K14" s="5" t="s">
        <v>660</v>
      </c>
      <c r="L14" s="5" t="s">
        <v>420</v>
      </c>
      <c r="M14" s="5" t="s">
        <v>434</v>
      </c>
      <c r="N14" s="5" t="s">
        <v>661</v>
      </c>
      <c r="O14" s="5" t="s">
        <v>662</v>
      </c>
      <c r="P14" s="5" t="s">
        <v>663</v>
      </c>
      <c r="T14" s="27"/>
    </row>
    <row r="15" spans="1:20" x14ac:dyDescent="0.25">
      <c r="A15" s="5"/>
      <c r="B15" s="5">
        <v>0</v>
      </c>
      <c r="C15" s="5">
        <v>0</v>
      </c>
      <c r="D15" s="5">
        <v>0</v>
      </c>
      <c r="E15" s="5">
        <v>0</v>
      </c>
      <c r="F15" s="4"/>
      <c r="G15" s="5">
        <v>0</v>
      </c>
      <c r="H15" s="5">
        <v>0</v>
      </c>
      <c r="I15" s="5">
        <v>0</v>
      </c>
      <c r="K15">
        <v>10000</v>
      </c>
      <c r="L15" s="28">
        <f>SUM(L16:L21)</f>
        <v>1</v>
      </c>
      <c r="M15" s="29">
        <f t="shared" ref="M15:P15" si="0">SUMPRODUCT(M16:M21,$L$16:$L$21)</f>
        <v>376</v>
      </c>
      <c r="N15" s="29">
        <f t="shared" si="0"/>
        <v>0.3</v>
      </c>
      <c r="O15" s="29">
        <f t="shared" si="0"/>
        <v>5.4</v>
      </c>
      <c r="P15" s="29">
        <f t="shared" si="0"/>
        <v>0.75</v>
      </c>
      <c r="T15" s="27"/>
    </row>
    <row r="16" spans="1:20" x14ac:dyDescent="0.25">
      <c r="A16">
        <v>1</v>
      </c>
      <c r="B16">
        <v>2</v>
      </c>
      <c r="C16" s="25">
        <v>2000</v>
      </c>
      <c r="D16">
        <v>800</v>
      </c>
      <c r="E16">
        <v>990111</v>
      </c>
      <c r="F16" s="26" t="s">
        <v>434</v>
      </c>
      <c r="G16">
        <v>2</v>
      </c>
      <c r="H16">
        <v>4000</v>
      </c>
      <c r="I16">
        <v>800</v>
      </c>
      <c r="K16" s="30">
        <f>$K$15*L16</f>
        <v>800</v>
      </c>
      <c r="L16" s="27">
        <v>0.08</v>
      </c>
      <c r="M16">
        <v>2000</v>
      </c>
      <c r="T16" s="27"/>
    </row>
    <row r="17" spans="1:20" x14ac:dyDescent="0.25">
      <c r="A17">
        <v>2</v>
      </c>
      <c r="B17">
        <v>13</v>
      </c>
      <c r="C17" s="25">
        <v>5</v>
      </c>
      <c r="D17">
        <v>1500</v>
      </c>
      <c r="E17">
        <v>990121</v>
      </c>
      <c r="F17" t="s">
        <v>663</v>
      </c>
      <c r="G17">
        <v>13</v>
      </c>
      <c r="H17">
        <v>50</v>
      </c>
      <c r="I17">
        <v>1500</v>
      </c>
      <c r="K17" s="30">
        <f t="shared" ref="K17:K21" si="1">$K$15*L17</f>
        <v>1500</v>
      </c>
      <c r="L17" s="27">
        <v>0.15</v>
      </c>
      <c r="P17">
        <v>5</v>
      </c>
      <c r="T17" s="27"/>
    </row>
    <row r="18" spans="1:20" x14ac:dyDescent="0.25">
      <c r="A18">
        <v>3</v>
      </c>
      <c r="B18">
        <v>12</v>
      </c>
      <c r="C18" s="25">
        <v>20</v>
      </c>
      <c r="D18">
        <v>2700</v>
      </c>
      <c r="E18">
        <v>990131</v>
      </c>
      <c r="F18" t="s">
        <v>664</v>
      </c>
      <c r="G18">
        <v>12</v>
      </c>
      <c r="H18" s="5">
        <v>100</v>
      </c>
      <c r="I18">
        <v>2700</v>
      </c>
      <c r="K18" s="30">
        <f t="shared" si="1"/>
        <v>2700</v>
      </c>
      <c r="L18" s="27">
        <v>0.27</v>
      </c>
      <c r="O18">
        <f>C18</f>
        <v>20</v>
      </c>
      <c r="T18" s="27"/>
    </row>
    <row r="19" spans="1:20" x14ac:dyDescent="0.25">
      <c r="A19">
        <v>4</v>
      </c>
      <c r="B19">
        <v>2</v>
      </c>
      <c r="C19" s="25">
        <v>800</v>
      </c>
      <c r="D19">
        <v>2700</v>
      </c>
      <c r="E19">
        <v>990141</v>
      </c>
      <c r="F19" t="s">
        <v>434</v>
      </c>
      <c r="G19">
        <v>2</v>
      </c>
      <c r="H19">
        <v>2000</v>
      </c>
      <c r="I19">
        <v>2700</v>
      </c>
      <c r="K19" s="30">
        <f t="shared" si="1"/>
        <v>2700</v>
      </c>
      <c r="L19" s="27">
        <v>0.27</v>
      </c>
      <c r="M19">
        <v>800</v>
      </c>
      <c r="T19" s="27"/>
    </row>
    <row r="20" spans="1:20" x14ac:dyDescent="0.25">
      <c r="A20">
        <v>5</v>
      </c>
      <c r="B20">
        <v>600001</v>
      </c>
      <c r="C20" s="25">
        <v>2</v>
      </c>
      <c r="D20">
        <v>1500</v>
      </c>
      <c r="E20">
        <v>990151</v>
      </c>
      <c r="F20" t="s">
        <v>661</v>
      </c>
      <c r="G20">
        <v>600001</v>
      </c>
      <c r="H20">
        <v>10</v>
      </c>
      <c r="I20">
        <v>1500</v>
      </c>
      <c r="K20" s="30">
        <f t="shared" si="1"/>
        <v>1500</v>
      </c>
      <c r="L20" s="27">
        <v>0.15</v>
      </c>
      <c r="N20">
        <f>C20</f>
        <v>2</v>
      </c>
      <c r="T20" s="27"/>
    </row>
    <row r="21" spans="1:20" x14ac:dyDescent="0.25">
      <c r="A21">
        <v>6</v>
      </c>
      <c r="B21">
        <v>400414</v>
      </c>
      <c r="C21" s="25">
        <v>1</v>
      </c>
      <c r="D21">
        <v>800</v>
      </c>
      <c r="E21">
        <v>990161</v>
      </c>
      <c r="F21" t="s">
        <v>665</v>
      </c>
      <c r="G21">
        <v>400417</v>
      </c>
      <c r="H21">
        <v>1</v>
      </c>
      <c r="I21">
        <v>800</v>
      </c>
      <c r="K21" s="30">
        <f t="shared" si="1"/>
        <v>800</v>
      </c>
      <c r="L21" s="27">
        <v>0.08</v>
      </c>
      <c r="T21" s="27"/>
    </row>
    <row r="22" spans="1:20" x14ac:dyDescent="0.25">
      <c r="T22" s="27"/>
    </row>
    <row r="23" spans="1:20" x14ac:dyDescent="0.25">
      <c r="T23" s="27"/>
    </row>
    <row r="24" spans="1:20" x14ac:dyDescent="0.25">
      <c r="T24" s="27"/>
    </row>
    <row r="25" spans="1:20" x14ac:dyDescent="0.25">
      <c r="T25" s="27"/>
    </row>
    <row r="26" spans="1:20" x14ac:dyDescent="0.25">
      <c r="T26" s="27"/>
    </row>
    <row r="27" spans="1:20" x14ac:dyDescent="0.25">
      <c r="T27" s="27"/>
    </row>
    <row r="28" spans="1:20" x14ac:dyDescent="0.25">
      <c r="T28" s="27"/>
    </row>
    <row r="29" spans="1:20" x14ac:dyDescent="0.25">
      <c r="T29" s="27"/>
    </row>
    <row r="30" spans="1:20" x14ac:dyDescent="0.25">
      <c r="T30" s="27"/>
    </row>
    <row r="31" spans="1:20" x14ac:dyDescent="0.25">
      <c r="T31" s="27"/>
    </row>
    <row r="32" spans="1:20" x14ac:dyDescent="0.25">
      <c r="T32" s="27"/>
    </row>
    <row r="33" spans="20:20" x14ac:dyDescent="0.25">
      <c r="T33" s="27"/>
    </row>
    <row r="34" spans="20:20" x14ac:dyDescent="0.25">
      <c r="T34" s="27"/>
    </row>
    <row r="35" spans="20:20" x14ac:dyDescent="0.25">
      <c r="T35" s="27"/>
    </row>
    <row r="36" spans="20:20" x14ac:dyDescent="0.25">
      <c r="T36" s="27"/>
    </row>
    <row r="37" spans="20:20" x14ac:dyDescent="0.25">
      <c r="T37" s="27"/>
    </row>
    <row r="38" spans="20:20" x14ac:dyDescent="0.25">
      <c r="T38" s="27"/>
    </row>
    <row r="39" spans="20:20" x14ac:dyDescent="0.25">
      <c r="T39" s="27"/>
    </row>
    <row r="40" spans="20:20" x14ac:dyDescent="0.25">
      <c r="T40" s="27"/>
    </row>
    <row r="41" spans="20:20" x14ac:dyDescent="0.25">
      <c r="T41" s="27"/>
    </row>
    <row r="42" spans="20:20" x14ac:dyDescent="0.25">
      <c r="T42" s="27"/>
    </row>
    <row r="43" spans="20:20" x14ac:dyDescent="0.25">
      <c r="T43" s="27"/>
    </row>
    <row r="44" spans="20:20" x14ac:dyDescent="0.25">
      <c r="T44" s="27"/>
    </row>
    <row r="45" spans="20:20" x14ac:dyDescent="0.25">
      <c r="T45" s="27"/>
    </row>
    <row r="46" spans="20:20" x14ac:dyDescent="0.25">
      <c r="T46" s="27"/>
    </row>
    <row r="47" spans="20:20" x14ac:dyDescent="0.25">
      <c r="T47" s="27"/>
    </row>
    <row r="48" spans="20:20" x14ac:dyDescent="0.25">
      <c r="T48" s="27"/>
    </row>
    <row r="49" spans="20:20" x14ac:dyDescent="0.25">
      <c r="T49" s="27"/>
    </row>
    <row r="50" spans="20:20" x14ac:dyDescent="0.25">
      <c r="T50" s="27"/>
    </row>
    <row r="51" spans="20:20" x14ac:dyDescent="0.25">
      <c r="T51" s="27"/>
    </row>
    <row r="52" spans="20:20" x14ac:dyDescent="0.25">
      <c r="T52" s="27"/>
    </row>
    <row r="53" spans="20:20" x14ac:dyDescent="0.25">
      <c r="T53" s="27"/>
    </row>
    <row r="54" spans="20:20" x14ac:dyDescent="0.25">
      <c r="T54" s="27"/>
    </row>
    <row r="55" spans="20:20" x14ac:dyDescent="0.25">
      <c r="T55" s="27"/>
    </row>
    <row r="56" spans="20:20" x14ac:dyDescent="0.25">
      <c r="T56" s="27"/>
    </row>
    <row r="57" spans="20:20" x14ac:dyDescent="0.25">
      <c r="T57" s="27"/>
    </row>
    <row r="58" spans="20:20" x14ac:dyDescent="0.25">
      <c r="T58" s="27"/>
    </row>
    <row r="59" spans="20:20" x14ac:dyDescent="0.25">
      <c r="T59" s="27"/>
    </row>
    <row r="60" spans="20:20" x14ac:dyDescent="0.25">
      <c r="T60" s="27"/>
    </row>
    <row r="61" spans="20:20" x14ac:dyDescent="0.25">
      <c r="T61" s="27"/>
    </row>
    <row r="62" spans="20:20" x14ac:dyDescent="0.25">
      <c r="T62" s="27"/>
    </row>
    <row r="63" spans="20:20" x14ac:dyDescent="0.25">
      <c r="T63" s="27"/>
    </row>
    <row r="64" spans="20:20" x14ac:dyDescent="0.25">
      <c r="T64" s="27"/>
    </row>
    <row r="65" spans="20:20" x14ac:dyDescent="0.25">
      <c r="T65" s="27"/>
    </row>
    <row r="66" spans="20:20" x14ac:dyDescent="0.25">
      <c r="T66" s="27"/>
    </row>
    <row r="67" spans="20:20" x14ac:dyDescent="0.25">
      <c r="T67" s="27"/>
    </row>
    <row r="68" spans="20:20" x14ac:dyDescent="0.25">
      <c r="T68" s="27"/>
    </row>
    <row r="69" spans="20:20" x14ac:dyDescent="0.25">
      <c r="T69" s="27"/>
    </row>
    <row r="70" spans="20:20" x14ac:dyDescent="0.25">
      <c r="T70" s="27"/>
    </row>
    <row r="71" spans="20:20" x14ac:dyDescent="0.25">
      <c r="T71" s="27"/>
    </row>
    <row r="72" spans="20:20" x14ac:dyDescent="0.25">
      <c r="T72" s="27"/>
    </row>
    <row r="73" spans="20:20" x14ac:dyDescent="0.25">
      <c r="T73" s="27"/>
    </row>
    <row r="74" spans="20:20" x14ac:dyDescent="0.25">
      <c r="T74" s="27"/>
    </row>
    <row r="75" spans="20:20" x14ac:dyDescent="0.25">
      <c r="T75" s="27"/>
    </row>
    <row r="76" spans="20:20" x14ac:dyDescent="0.25">
      <c r="T76" s="27"/>
    </row>
    <row r="77" spans="20:20" x14ac:dyDescent="0.25">
      <c r="T77" s="27"/>
    </row>
    <row r="78" spans="20:20" x14ac:dyDescent="0.25">
      <c r="T78" s="27"/>
    </row>
    <row r="79" spans="20:20" x14ac:dyDescent="0.25">
      <c r="T79" s="27"/>
    </row>
  </sheetData>
  <phoneticPr fontId="20" type="noConversion"/>
  <pageMargins left="0.7" right="0.7" top="0.75" bottom="0.75" header="0.3" footer="0.3"/>
  <pageSetup paperSize="9"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32"/>
  <sheetViews>
    <sheetView workbookViewId="0">
      <selection activeCell="B1" sqref="B1"/>
    </sheetView>
  </sheetViews>
  <sheetFormatPr defaultColWidth="11" defaultRowHeight="13.8" x14ac:dyDescent="0.25"/>
  <cols>
    <col min="1" max="1" width="25.77734375" customWidth="1"/>
    <col min="2" max="2" width="16.6640625" customWidth="1"/>
    <col min="3" max="3" width="11.109375" customWidth="1"/>
    <col min="4" max="5" width="9" customWidth="1"/>
    <col min="6" max="6" width="16.88671875" customWidth="1"/>
    <col min="7" max="7" width="9" customWidth="1"/>
    <col min="8" max="8" width="13" customWidth="1"/>
  </cols>
  <sheetData>
    <row r="1" spans="1:20" x14ac:dyDescent="0.25">
      <c r="A1" s="3" t="s">
        <v>546</v>
      </c>
      <c r="C1" t="s">
        <v>547</v>
      </c>
    </row>
    <row r="2" spans="1:20" x14ac:dyDescent="0.25">
      <c r="A2" s="3" t="s">
        <v>548</v>
      </c>
      <c r="B2" t="s">
        <v>648</v>
      </c>
      <c r="C2" t="s">
        <v>550</v>
      </c>
    </row>
    <row r="3" spans="1:20" x14ac:dyDescent="0.25">
      <c r="A3" s="3" t="s">
        <v>551</v>
      </c>
      <c r="B3" s="4" t="s">
        <v>552</v>
      </c>
      <c r="C3" t="s">
        <v>553</v>
      </c>
    </row>
    <row r="4" spans="1:20" x14ac:dyDescent="0.25">
      <c r="A4" s="3" t="s">
        <v>554</v>
      </c>
      <c r="B4" s="5" t="s">
        <v>555</v>
      </c>
    </row>
    <row r="5" spans="1:20" x14ac:dyDescent="0.25">
      <c r="A5" s="3" t="s">
        <v>556</v>
      </c>
      <c r="C5" t="s">
        <v>557</v>
      </c>
    </row>
    <row r="6" spans="1:20" x14ac:dyDescent="0.25">
      <c r="A6" s="3" t="s">
        <v>558</v>
      </c>
      <c r="B6">
        <v>4</v>
      </c>
      <c r="C6" t="s">
        <v>559</v>
      </c>
    </row>
    <row r="7" spans="1:20" x14ac:dyDescent="0.25">
      <c r="A7" s="3" t="s">
        <v>560</v>
      </c>
    </row>
    <row r="8" spans="1:20" x14ac:dyDescent="0.25">
      <c r="A8" s="3" t="s">
        <v>561</v>
      </c>
    </row>
    <row r="11" spans="1:20" x14ac:dyDescent="0.25">
      <c r="A11" t="s">
        <v>261</v>
      </c>
      <c r="B11" t="s">
        <v>424</v>
      </c>
      <c r="C11" t="s">
        <v>264</v>
      </c>
      <c r="D11" t="s">
        <v>650</v>
      </c>
      <c r="E11" t="s">
        <v>651</v>
      </c>
      <c r="F11" t="s">
        <v>426</v>
      </c>
      <c r="G11" t="s">
        <v>666</v>
      </c>
      <c r="H11" t="s">
        <v>427</v>
      </c>
      <c r="I11" t="s">
        <v>264</v>
      </c>
      <c r="J11" t="s">
        <v>650</v>
      </c>
      <c r="K11" t="s">
        <v>651</v>
      </c>
      <c r="L11" t="s">
        <v>426</v>
      </c>
    </row>
    <row r="12" spans="1:20" x14ac:dyDescent="0.25">
      <c r="A12" s="5" t="s">
        <v>16</v>
      </c>
      <c r="B12" s="5" t="s">
        <v>652</v>
      </c>
      <c r="C12" s="5" t="s">
        <v>653</v>
      </c>
      <c r="D12" s="5" t="s">
        <v>654</v>
      </c>
      <c r="E12" s="5" t="s">
        <v>655</v>
      </c>
      <c r="F12" s="4" t="s">
        <v>656</v>
      </c>
      <c r="G12" s="5" t="s">
        <v>667</v>
      </c>
      <c r="H12" s="5" t="s">
        <v>657</v>
      </c>
      <c r="I12" s="5" t="s">
        <v>658</v>
      </c>
      <c r="J12" s="5" t="s">
        <v>659</v>
      </c>
      <c r="K12" s="5" t="s">
        <v>668</v>
      </c>
      <c r="L12" s="4" t="s">
        <v>669</v>
      </c>
    </row>
    <row r="13" spans="1:20" x14ac:dyDescent="0.25">
      <c r="A13" s="5" t="s">
        <v>30</v>
      </c>
      <c r="B13" s="5" t="s">
        <v>30</v>
      </c>
      <c r="C13" s="5" t="s">
        <v>30</v>
      </c>
      <c r="D13" s="5" t="s">
        <v>30</v>
      </c>
      <c r="E13" s="5" t="s">
        <v>30</v>
      </c>
      <c r="F13" s="4" t="s">
        <v>31</v>
      </c>
      <c r="G13" s="5" t="s">
        <v>30</v>
      </c>
      <c r="H13" s="5" t="s">
        <v>30</v>
      </c>
      <c r="I13" s="5" t="s">
        <v>30</v>
      </c>
      <c r="J13" s="5" t="s">
        <v>30</v>
      </c>
      <c r="K13" s="5" t="s">
        <v>30</v>
      </c>
      <c r="L13" s="4" t="s">
        <v>31</v>
      </c>
    </row>
    <row r="14" spans="1:20" x14ac:dyDescent="0.25">
      <c r="A14" s="5" t="s">
        <v>574</v>
      </c>
      <c r="B14" s="5" t="s">
        <v>575</v>
      </c>
      <c r="C14" s="5" t="s">
        <v>575</v>
      </c>
      <c r="D14" s="5" t="s">
        <v>575</v>
      </c>
      <c r="E14" s="5" t="s">
        <v>575</v>
      </c>
      <c r="F14" s="4" t="s">
        <v>35</v>
      </c>
      <c r="G14" s="5" t="s">
        <v>670</v>
      </c>
      <c r="H14" s="5" t="s">
        <v>575</v>
      </c>
      <c r="I14" s="5" t="s">
        <v>575</v>
      </c>
      <c r="J14" s="5" t="s">
        <v>575</v>
      </c>
      <c r="K14" s="5" t="s">
        <v>575</v>
      </c>
      <c r="L14" s="4" t="s">
        <v>35</v>
      </c>
    </row>
    <row r="15" spans="1:20" x14ac:dyDescent="0.25">
      <c r="A15" s="5"/>
      <c r="B15" s="5">
        <v>0</v>
      </c>
      <c r="C15" s="5">
        <v>0</v>
      </c>
      <c r="D15" s="5">
        <v>0</v>
      </c>
      <c r="E15" s="5">
        <v>0</v>
      </c>
      <c r="F15" s="4"/>
      <c r="G15" s="5">
        <v>0</v>
      </c>
      <c r="H15" s="5">
        <v>0</v>
      </c>
      <c r="I15" s="5">
        <v>0</v>
      </c>
      <c r="J15" s="5">
        <v>0</v>
      </c>
      <c r="K15" s="5">
        <v>0</v>
      </c>
      <c r="L15" s="4"/>
      <c r="T15" t="s">
        <v>671</v>
      </c>
    </row>
    <row r="16" spans="1:20" x14ac:dyDescent="0.25">
      <c r="A16">
        <v>1</v>
      </c>
      <c r="B16">
        <v>2</v>
      </c>
      <c r="C16" s="25">
        <v>888</v>
      </c>
      <c r="D16">
        <v>350</v>
      </c>
      <c r="F16" s="26" t="s">
        <v>434</v>
      </c>
      <c r="G16">
        <v>0</v>
      </c>
      <c r="H16">
        <v>2</v>
      </c>
      <c r="I16">
        <v>10888</v>
      </c>
      <c r="J16">
        <v>45</v>
      </c>
      <c r="L16" t="s">
        <v>434</v>
      </c>
      <c r="N16">
        <v>350</v>
      </c>
      <c r="Q16">
        <v>208</v>
      </c>
      <c r="R16">
        <v>350</v>
      </c>
      <c r="S16">
        <v>2088</v>
      </c>
      <c r="T16">
        <v>2088</v>
      </c>
    </row>
    <row r="17" spans="1:20" x14ac:dyDescent="0.25">
      <c r="A17">
        <v>2</v>
      </c>
      <c r="B17">
        <v>2</v>
      </c>
      <c r="C17" s="25">
        <v>2888</v>
      </c>
      <c r="D17">
        <v>30</v>
      </c>
      <c r="F17" s="26" t="s">
        <v>434</v>
      </c>
      <c r="G17">
        <v>0</v>
      </c>
      <c r="H17">
        <v>2</v>
      </c>
      <c r="I17">
        <v>20888</v>
      </c>
      <c r="J17">
        <v>3</v>
      </c>
      <c r="L17" t="s">
        <v>434</v>
      </c>
      <c r="N17">
        <v>30</v>
      </c>
      <c r="Q17">
        <v>508</v>
      </c>
      <c r="R17">
        <v>30</v>
      </c>
      <c r="S17">
        <v>2888</v>
      </c>
      <c r="T17">
        <v>2888</v>
      </c>
    </row>
    <row r="18" spans="1:20" x14ac:dyDescent="0.25">
      <c r="A18">
        <v>3</v>
      </c>
      <c r="B18">
        <v>13</v>
      </c>
      <c r="C18" s="25">
        <v>2</v>
      </c>
      <c r="D18">
        <v>150</v>
      </c>
      <c r="F18" t="s">
        <v>663</v>
      </c>
      <c r="G18">
        <v>0</v>
      </c>
      <c r="H18">
        <v>700002</v>
      </c>
      <c r="I18">
        <v>1</v>
      </c>
      <c r="J18">
        <v>29</v>
      </c>
      <c r="L18" t="s">
        <v>672</v>
      </c>
      <c r="N18">
        <v>150</v>
      </c>
      <c r="T18">
        <v>1</v>
      </c>
    </row>
    <row r="19" spans="1:20" x14ac:dyDescent="0.25">
      <c r="A19">
        <v>4</v>
      </c>
      <c r="B19">
        <v>2</v>
      </c>
      <c r="C19" s="25">
        <v>5888</v>
      </c>
      <c r="D19">
        <v>8</v>
      </c>
      <c r="F19" s="26" t="s">
        <v>434</v>
      </c>
      <c r="G19">
        <v>1</v>
      </c>
      <c r="H19">
        <v>2</v>
      </c>
      <c r="I19">
        <v>50888</v>
      </c>
      <c r="J19">
        <v>2</v>
      </c>
      <c r="L19" t="s">
        <v>434</v>
      </c>
      <c r="N19">
        <v>8</v>
      </c>
      <c r="Q19">
        <v>5888</v>
      </c>
      <c r="R19">
        <v>8</v>
      </c>
      <c r="S19">
        <v>12888</v>
      </c>
      <c r="T19">
        <v>12888</v>
      </c>
    </row>
    <row r="20" spans="1:20" x14ac:dyDescent="0.25">
      <c r="A20">
        <v>5</v>
      </c>
      <c r="B20">
        <v>600001</v>
      </c>
      <c r="C20" s="25">
        <v>1</v>
      </c>
      <c r="D20">
        <v>10</v>
      </c>
      <c r="F20" t="s">
        <v>661</v>
      </c>
      <c r="G20">
        <v>0</v>
      </c>
      <c r="H20">
        <v>600001</v>
      </c>
      <c r="I20">
        <v>3</v>
      </c>
      <c r="J20">
        <v>10</v>
      </c>
      <c r="L20" t="s">
        <v>661</v>
      </c>
      <c r="N20">
        <v>10</v>
      </c>
      <c r="T20">
        <v>1</v>
      </c>
    </row>
    <row r="21" spans="1:20" x14ac:dyDescent="0.25">
      <c r="A21">
        <v>6</v>
      </c>
      <c r="B21">
        <v>600006</v>
      </c>
      <c r="C21" s="25">
        <v>1</v>
      </c>
      <c r="D21">
        <v>8</v>
      </c>
      <c r="F21" t="s">
        <v>673</v>
      </c>
      <c r="G21">
        <v>1</v>
      </c>
      <c r="H21">
        <v>600006</v>
      </c>
      <c r="I21">
        <v>2</v>
      </c>
      <c r="J21">
        <v>1</v>
      </c>
      <c r="L21" t="s">
        <v>673</v>
      </c>
      <c r="N21">
        <v>8</v>
      </c>
      <c r="T21">
        <v>1</v>
      </c>
    </row>
    <row r="22" spans="1:20" x14ac:dyDescent="0.25">
      <c r="A22">
        <v>7</v>
      </c>
      <c r="B22">
        <v>600005</v>
      </c>
      <c r="C22" s="25">
        <v>1</v>
      </c>
      <c r="D22">
        <v>10</v>
      </c>
      <c r="F22" t="s">
        <v>674</v>
      </c>
      <c r="G22">
        <v>0</v>
      </c>
      <c r="H22">
        <v>600005</v>
      </c>
      <c r="I22">
        <v>5</v>
      </c>
      <c r="J22">
        <v>1</v>
      </c>
      <c r="L22" t="s">
        <v>674</v>
      </c>
      <c r="N22">
        <v>10</v>
      </c>
      <c r="T22">
        <v>1</v>
      </c>
    </row>
    <row r="23" spans="1:20" x14ac:dyDescent="0.25">
      <c r="A23">
        <v>8</v>
      </c>
      <c r="B23">
        <v>12</v>
      </c>
      <c r="C23" s="25">
        <v>20</v>
      </c>
      <c r="D23">
        <v>150</v>
      </c>
      <c r="F23" t="s">
        <v>662</v>
      </c>
      <c r="G23">
        <v>0</v>
      </c>
      <c r="H23">
        <v>1</v>
      </c>
      <c r="I23">
        <v>20</v>
      </c>
      <c r="J23">
        <v>3</v>
      </c>
      <c r="L23" t="s">
        <v>441</v>
      </c>
      <c r="N23">
        <v>150</v>
      </c>
      <c r="T23">
        <v>5</v>
      </c>
    </row>
    <row r="24" spans="1:20" x14ac:dyDescent="0.25">
      <c r="A24">
        <v>9</v>
      </c>
      <c r="B24">
        <v>1</v>
      </c>
      <c r="C24" s="25">
        <v>6</v>
      </c>
      <c r="D24">
        <v>10</v>
      </c>
      <c r="F24" t="s">
        <v>441</v>
      </c>
      <c r="G24">
        <v>1</v>
      </c>
      <c r="H24">
        <v>700003</v>
      </c>
      <c r="I24">
        <v>1</v>
      </c>
      <c r="J24">
        <v>1</v>
      </c>
      <c r="L24" t="s">
        <v>672</v>
      </c>
      <c r="N24">
        <v>10</v>
      </c>
      <c r="T24">
        <v>2</v>
      </c>
    </row>
    <row r="25" spans="1:20" x14ac:dyDescent="0.25">
      <c r="A25">
        <v>10</v>
      </c>
      <c r="B25">
        <v>13</v>
      </c>
      <c r="C25" s="25">
        <v>10</v>
      </c>
      <c r="D25">
        <v>8</v>
      </c>
      <c r="F25" t="s">
        <v>663</v>
      </c>
      <c r="G25">
        <v>0</v>
      </c>
      <c r="H25">
        <v>600007</v>
      </c>
      <c r="I25">
        <v>1</v>
      </c>
      <c r="J25">
        <v>5</v>
      </c>
      <c r="L25" t="s">
        <v>675</v>
      </c>
      <c r="N25">
        <v>8</v>
      </c>
      <c r="T25">
        <v>5</v>
      </c>
    </row>
    <row r="26" spans="1:20" x14ac:dyDescent="0.25">
      <c r="A26">
        <v>11</v>
      </c>
      <c r="B26">
        <v>400111</v>
      </c>
      <c r="C26" s="25">
        <v>1</v>
      </c>
      <c r="D26">
        <v>110</v>
      </c>
      <c r="F26" t="s">
        <v>676</v>
      </c>
      <c r="G26">
        <v>1</v>
      </c>
      <c r="H26">
        <v>2</v>
      </c>
      <c r="I26">
        <v>108</v>
      </c>
      <c r="J26">
        <v>5</v>
      </c>
      <c r="L26" t="s">
        <v>434</v>
      </c>
      <c r="N26">
        <v>110</v>
      </c>
      <c r="O26">
        <f>N26/$N$32</f>
        <v>0.1</v>
      </c>
      <c r="Q26">
        <v>600007</v>
      </c>
      <c r="T26">
        <v>1</v>
      </c>
    </row>
    <row r="27" spans="1:20" x14ac:dyDescent="0.25">
      <c r="A27">
        <v>12</v>
      </c>
      <c r="B27">
        <v>2</v>
      </c>
      <c r="C27" s="25">
        <v>3888</v>
      </c>
      <c r="D27">
        <v>30</v>
      </c>
      <c r="F27" s="26" t="s">
        <v>434</v>
      </c>
      <c r="G27">
        <v>0</v>
      </c>
      <c r="H27">
        <v>2</v>
      </c>
      <c r="I27">
        <v>108</v>
      </c>
      <c r="J27">
        <v>5</v>
      </c>
      <c r="L27" t="s">
        <v>434</v>
      </c>
      <c r="N27">
        <v>30</v>
      </c>
      <c r="Q27">
        <v>888</v>
      </c>
      <c r="R27">
        <v>30</v>
      </c>
      <c r="S27">
        <v>3888</v>
      </c>
      <c r="T27">
        <v>3888</v>
      </c>
    </row>
    <row r="28" spans="1:20" x14ac:dyDescent="0.25">
      <c r="A28">
        <v>13</v>
      </c>
      <c r="B28">
        <v>12</v>
      </c>
      <c r="C28" s="25">
        <v>200</v>
      </c>
      <c r="D28">
        <v>10</v>
      </c>
      <c r="F28" t="s">
        <v>662</v>
      </c>
      <c r="G28">
        <v>0</v>
      </c>
      <c r="H28">
        <v>2</v>
      </c>
      <c r="I28">
        <v>108</v>
      </c>
      <c r="J28">
        <v>5</v>
      </c>
      <c r="L28" t="s">
        <v>434</v>
      </c>
      <c r="N28">
        <v>10</v>
      </c>
      <c r="T28">
        <v>50</v>
      </c>
    </row>
    <row r="29" spans="1:20" x14ac:dyDescent="0.25">
      <c r="A29">
        <v>14</v>
      </c>
      <c r="B29">
        <v>2</v>
      </c>
      <c r="C29" s="25">
        <v>1688</v>
      </c>
      <c r="D29">
        <v>200</v>
      </c>
      <c r="F29" s="26" t="s">
        <v>434</v>
      </c>
      <c r="G29">
        <v>0</v>
      </c>
      <c r="H29">
        <v>2</v>
      </c>
      <c r="I29">
        <v>108</v>
      </c>
      <c r="J29">
        <v>5</v>
      </c>
      <c r="L29" t="s">
        <v>434</v>
      </c>
      <c r="N29">
        <v>200</v>
      </c>
      <c r="Q29">
        <v>308</v>
      </c>
      <c r="R29">
        <v>200</v>
      </c>
      <c r="S29">
        <v>2588</v>
      </c>
      <c r="T29">
        <v>2588</v>
      </c>
    </row>
    <row r="30" spans="1:20" x14ac:dyDescent="0.25">
      <c r="A30">
        <v>15</v>
      </c>
      <c r="B30">
        <v>600001</v>
      </c>
      <c r="C30" s="25">
        <v>5</v>
      </c>
      <c r="D30">
        <v>8</v>
      </c>
      <c r="F30" t="s">
        <v>661</v>
      </c>
      <c r="G30">
        <v>0</v>
      </c>
      <c r="H30">
        <v>2</v>
      </c>
      <c r="I30">
        <v>108</v>
      </c>
      <c r="J30">
        <v>5</v>
      </c>
      <c r="L30" t="s">
        <v>434</v>
      </c>
      <c r="N30">
        <v>8</v>
      </c>
      <c r="T30">
        <v>2</v>
      </c>
    </row>
    <row r="31" spans="1:20" x14ac:dyDescent="0.25">
      <c r="A31">
        <v>16</v>
      </c>
      <c r="B31">
        <v>1</v>
      </c>
      <c r="C31" s="25">
        <v>12</v>
      </c>
      <c r="D31">
        <v>8</v>
      </c>
      <c r="F31" t="s">
        <v>441</v>
      </c>
      <c r="G31">
        <v>1</v>
      </c>
      <c r="H31">
        <v>2</v>
      </c>
      <c r="I31">
        <v>108</v>
      </c>
      <c r="J31">
        <v>5</v>
      </c>
      <c r="L31" t="s">
        <v>434</v>
      </c>
      <c r="N31">
        <v>8</v>
      </c>
      <c r="Q31">
        <f>SUMPRODUCT(Q16:Q29,R16:R29)</f>
        <v>223384</v>
      </c>
      <c r="R31">
        <f>SUM(R16:R29)</f>
        <v>618</v>
      </c>
      <c r="S31">
        <f>SUMPRODUCT(S16:S29,R16:R29)</f>
        <v>1554784</v>
      </c>
      <c r="T31">
        <v>5</v>
      </c>
    </row>
    <row r="32" spans="1:20" x14ac:dyDescent="0.25">
      <c r="N32">
        <f>SUM(N16:N31)</f>
        <v>1100</v>
      </c>
      <c r="Q32">
        <f>Q31/R31</f>
        <v>361.46278317152098</v>
      </c>
      <c r="S32">
        <f>S31/R31</f>
        <v>2515.83171521036</v>
      </c>
    </row>
  </sheetData>
  <phoneticPr fontId="20" type="noConversion"/>
  <pageMargins left="0.7" right="0.7" top="0.75" bottom="0.75" header="0.3" footer="0.3"/>
  <pageSetup paperSize="9"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33"/>
  <sheetViews>
    <sheetView workbookViewId="0">
      <selection activeCell="B1" sqref="B1"/>
    </sheetView>
  </sheetViews>
  <sheetFormatPr defaultColWidth="11" defaultRowHeight="13.8" x14ac:dyDescent="0.25"/>
  <cols>
    <col min="1" max="1" width="34.6640625" customWidth="1"/>
    <col min="2" max="2" width="16.6640625" customWidth="1"/>
    <col min="3" max="3" width="13.21875" customWidth="1"/>
    <col min="4" max="5" width="18.109375" customWidth="1"/>
    <col min="6" max="6" width="12.109375" customWidth="1"/>
    <col min="7" max="8" width="13.33203125" customWidth="1"/>
  </cols>
  <sheetData>
    <row r="1" spans="1:8" x14ac:dyDescent="0.25">
      <c r="A1" s="3" t="s">
        <v>546</v>
      </c>
      <c r="C1" t="s">
        <v>547</v>
      </c>
    </row>
    <row r="2" spans="1:8" x14ac:dyDescent="0.25">
      <c r="A2" s="3" t="s">
        <v>548</v>
      </c>
      <c r="B2" t="s">
        <v>677</v>
      </c>
      <c r="C2" t="s">
        <v>550</v>
      </c>
    </row>
    <row r="3" spans="1:8" x14ac:dyDescent="0.25">
      <c r="A3" s="3" t="s">
        <v>551</v>
      </c>
      <c r="B3" s="4" t="s">
        <v>552</v>
      </c>
      <c r="C3" t="s">
        <v>553</v>
      </c>
    </row>
    <row r="4" spans="1:8" x14ac:dyDescent="0.25">
      <c r="A4" s="3" t="s">
        <v>554</v>
      </c>
      <c r="B4" s="5" t="s">
        <v>555</v>
      </c>
    </row>
    <row r="5" spans="1:8" x14ac:dyDescent="0.25">
      <c r="A5" s="3" t="s">
        <v>556</v>
      </c>
      <c r="C5" t="s">
        <v>557</v>
      </c>
    </row>
    <row r="6" spans="1:8" x14ac:dyDescent="0.25">
      <c r="A6" s="3" t="s">
        <v>558</v>
      </c>
      <c r="B6">
        <v>4</v>
      </c>
      <c r="C6" t="s">
        <v>559</v>
      </c>
    </row>
    <row r="7" spans="1:8" x14ac:dyDescent="0.25">
      <c r="A7" s="3" t="s">
        <v>560</v>
      </c>
    </row>
    <row r="8" spans="1:8" x14ac:dyDescent="0.25">
      <c r="A8" s="3" t="s">
        <v>561</v>
      </c>
    </row>
    <row r="11" spans="1:8" x14ac:dyDescent="0.25">
      <c r="A11" t="s">
        <v>6</v>
      </c>
      <c r="B11" t="s">
        <v>269</v>
      </c>
      <c r="C11" t="s">
        <v>678</v>
      </c>
      <c r="G11" s="21"/>
      <c r="H11" s="21"/>
    </row>
    <row r="12" spans="1:8" x14ac:dyDescent="0.25">
      <c r="A12" s="5" t="s">
        <v>679</v>
      </c>
      <c r="B12" s="22" t="s">
        <v>271</v>
      </c>
      <c r="C12" s="5" t="s">
        <v>405</v>
      </c>
      <c r="G12" s="21"/>
      <c r="H12" s="21"/>
    </row>
    <row r="13" spans="1:8" ht="15.6" x14ac:dyDescent="0.3">
      <c r="A13" s="5" t="s">
        <v>30</v>
      </c>
      <c r="B13" s="23" t="s">
        <v>31</v>
      </c>
      <c r="C13" s="5" t="s">
        <v>30</v>
      </c>
      <c r="G13" s="24"/>
      <c r="H13" s="24"/>
    </row>
    <row r="14" spans="1:8" x14ac:dyDescent="0.25">
      <c r="A14" s="5" t="s">
        <v>574</v>
      </c>
      <c r="B14" s="22" t="s">
        <v>575</v>
      </c>
      <c r="C14" s="5" t="s">
        <v>575</v>
      </c>
      <c r="G14" s="21"/>
      <c r="H14" s="21"/>
    </row>
    <row r="15" spans="1:8" ht="15.6" x14ac:dyDescent="0.3">
      <c r="A15" s="5"/>
      <c r="B15" s="22">
        <v>36526</v>
      </c>
      <c r="C15" s="5">
        <v>0</v>
      </c>
      <c r="G15" s="21"/>
      <c r="H15" s="24"/>
    </row>
    <row r="16" spans="1:8" x14ac:dyDescent="0.25">
      <c r="A16">
        <v>1</v>
      </c>
      <c r="B16" s="21">
        <v>44119</v>
      </c>
      <c r="C16">
        <v>7</v>
      </c>
    </row>
    <row r="17" spans="1:3" x14ac:dyDescent="0.25">
      <c r="A17">
        <v>2</v>
      </c>
      <c r="B17" s="21">
        <v>44129</v>
      </c>
      <c r="C17">
        <v>7</v>
      </c>
    </row>
    <row r="31" spans="1:3" x14ac:dyDescent="0.25">
      <c r="B31" s="21"/>
    </row>
    <row r="32" spans="1:3" x14ac:dyDescent="0.25">
      <c r="B32" s="21"/>
    </row>
    <row r="33" spans="2:2" x14ac:dyDescent="0.25">
      <c r="B33" s="21"/>
    </row>
  </sheetData>
  <phoneticPr fontId="20" type="noConversion"/>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23"/>
  <sheetViews>
    <sheetView workbookViewId="0">
      <selection activeCell="B1" sqref="B1"/>
    </sheetView>
  </sheetViews>
  <sheetFormatPr defaultColWidth="11" defaultRowHeight="13.8" x14ac:dyDescent="0.25"/>
  <cols>
    <col min="1" max="1" width="34.6640625" customWidth="1"/>
    <col min="2" max="2" width="16.6640625" customWidth="1"/>
    <col min="3" max="3" width="15.21875" customWidth="1"/>
    <col min="4" max="4" width="18.109375" customWidth="1"/>
  </cols>
  <sheetData>
    <row r="1" spans="1:11" x14ac:dyDescent="0.25">
      <c r="A1" s="3" t="s">
        <v>546</v>
      </c>
      <c r="C1" t="s">
        <v>547</v>
      </c>
    </row>
    <row r="2" spans="1:11" x14ac:dyDescent="0.25">
      <c r="A2" s="3" t="s">
        <v>548</v>
      </c>
      <c r="B2" t="s">
        <v>648</v>
      </c>
      <c r="C2" t="s">
        <v>550</v>
      </c>
    </row>
    <row r="3" spans="1:11" x14ac:dyDescent="0.25">
      <c r="A3" s="3" t="s">
        <v>551</v>
      </c>
      <c r="B3" s="4" t="s">
        <v>552</v>
      </c>
      <c r="C3" t="s">
        <v>553</v>
      </c>
    </row>
    <row r="4" spans="1:11" x14ac:dyDescent="0.25">
      <c r="A4" s="3" t="s">
        <v>554</v>
      </c>
      <c r="B4" s="5" t="s">
        <v>555</v>
      </c>
    </row>
    <row r="5" spans="1:11" x14ac:dyDescent="0.25">
      <c r="A5" s="3" t="s">
        <v>556</v>
      </c>
      <c r="C5" t="s">
        <v>557</v>
      </c>
    </row>
    <row r="6" spans="1:11" x14ac:dyDescent="0.25">
      <c r="A6" s="3" t="s">
        <v>558</v>
      </c>
      <c r="B6">
        <v>4</v>
      </c>
      <c r="C6" t="s">
        <v>559</v>
      </c>
    </row>
    <row r="7" spans="1:11" x14ac:dyDescent="0.25">
      <c r="A7" s="3" t="s">
        <v>560</v>
      </c>
    </row>
    <row r="8" spans="1:11" x14ac:dyDescent="0.25">
      <c r="A8" s="3" t="s">
        <v>561</v>
      </c>
    </row>
    <row r="11" spans="1:11" x14ac:dyDescent="0.25">
      <c r="A11" t="s">
        <v>261</v>
      </c>
      <c r="B11" t="s">
        <v>263</v>
      </c>
      <c r="C11" t="s">
        <v>264</v>
      </c>
      <c r="D11" t="s">
        <v>650</v>
      </c>
    </row>
    <row r="12" spans="1:11" x14ac:dyDescent="0.25">
      <c r="A12" s="5" t="s">
        <v>16</v>
      </c>
      <c r="B12" s="5" t="s">
        <v>167</v>
      </c>
      <c r="C12" s="5" t="s">
        <v>680</v>
      </c>
      <c r="D12" s="5" t="s">
        <v>681</v>
      </c>
    </row>
    <row r="13" spans="1:11" x14ac:dyDescent="0.25">
      <c r="A13" s="5" t="s">
        <v>30</v>
      </c>
      <c r="B13" s="5" t="s">
        <v>30</v>
      </c>
      <c r="C13" s="5" t="s">
        <v>30</v>
      </c>
      <c r="D13" s="5" t="s">
        <v>30</v>
      </c>
    </row>
    <row r="14" spans="1:11" x14ac:dyDescent="0.25">
      <c r="A14" s="5" t="s">
        <v>574</v>
      </c>
      <c r="B14" s="5" t="s">
        <v>575</v>
      </c>
      <c r="C14" s="5" t="s">
        <v>575</v>
      </c>
      <c r="D14" s="5" t="s">
        <v>575</v>
      </c>
    </row>
    <row r="15" spans="1:11" x14ac:dyDescent="0.25">
      <c r="A15" s="5"/>
      <c r="B15" s="5">
        <v>0</v>
      </c>
      <c r="C15" s="5">
        <v>0</v>
      </c>
      <c r="D15" s="5">
        <v>0</v>
      </c>
    </row>
    <row r="16" spans="1:11" x14ac:dyDescent="0.25">
      <c r="A16">
        <v>1</v>
      </c>
      <c r="B16">
        <v>2</v>
      </c>
      <c r="C16">
        <v>608</v>
      </c>
      <c r="D16">
        <v>70</v>
      </c>
      <c r="F16">
        <v>608</v>
      </c>
      <c r="H16">
        <v>2088</v>
      </c>
      <c r="I16">
        <v>1600</v>
      </c>
      <c r="K16">
        <v>800</v>
      </c>
    </row>
    <row r="17" spans="1:11" x14ac:dyDescent="0.25">
      <c r="A17">
        <v>2</v>
      </c>
      <c r="B17">
        <v>2</v>
      </c>
      <c r="C17">
        <v>808</v>
      </c>
      <c r="D17">
        <v>18</v>
      </c>
      <c r="F17">
        <v>808</v>
      </c>
      <c r="H17">
        <v>2288</v>
      </c>
      <c r="I17">
        <v>2000</v>
      </c>
      <c r="K17">
        <v>1200</v>
      </c>
    </row>
    <row r="18" spans="1:11" x14ac:dyDescent="0.25">
      <c r="A18">
        <v>3</v>
      </c>
      <c r="B18">
        <v>2</v>
      </c>
      <c r="C18">
        <v>1088</v>
      </c>
      <c r="D18">
        <v>7</v>
      </c>
      <c r="F18">
        <v>1088</v>
      </c>
      <c r="H18">
        <v>2588</v>
      </c>
      <c r="I18">
        <v>2400</v>
      </c>
      <c r="K18">
        <v>1600</v>
      </c>
    </row>
    <row r="19" spans="1:11" x14ac:dyDescent="0.25">
      <c r="A19">
        <v>4</v>
      </c>
      <c r="B19">
        <v>2</v>
      </c>
      <c r="C19">
        <v>1288</v>
      </c>
      <c r="D19">
        <v>4</v>
      </c>
      <c r="F19">
        <v>1288</v>
      </c>
      <c r="H19">
        <v>2888</v>
      </c>
      <c r="I19">
        <v>2800</v>
      </c>
      <c r="K19">
        <v>2000</v>
      </c>
    </row>
    <row r="20" spans="1:11" x14ac:dyDescent="0.25">
      <c r="A20">
        <v>5</v>
      </c>
      <c r="B20">
        <v>2</v>
      </c>
      <c r="C20">
        <v>1588</v>
      </c>
      <c r="D20">
        <v>1</v>
      </c>
      <c r="F20">
        <v>1588</v>
      </c>
      <c r="H20">
        <v>3888</v>
      </c>
      <c r="I20">
        <v>3200</v>
      </c>
      <c r="K20">
        <v>2400</v>
      </c>
    </row>
    <row r="22" spans="1:11" x14ac:dyDescent="0.25">
      <c r="G22">
        <f>SUMPRODUCT(D16:D20,F16:F20)/100</f>
        <v>714.6</v>
      </c>
      <c r="H22">
        <f>SUM(H16:H20)</f>
        <v>13740</v>
      </c>
      <c r="I22">
        <f>SUM(I16:I20)</f>
        <v>12000</v>
      </c>
      <c r="J22">
        <f>H22-I22</f>
        <v>1740</v>
      </c>
      <c r="K22">
        <v>8000</v>
      </c>
    </row>
    <row r="23" spans="1:11" x14ac:dyDescent="0.25">
      <c r="G23">
        <f>SUMPRODUCT(C16:C20,D16:D20)/100</f>
        <v>714.6</v>
      </c>
    </row>
  </sheetData>
  <phoneticPr fontId="20" type="noConversion"/>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4"/>
  <sheetViews>
    <sheetView workbookViewId="0">
      <selection activeCell="B1" sqref="B1"/>
    </sheetView>
  </sheetViews>
  <sheetFormatPr defaultColWidth="11" defaultRowHeight="13.8" x14ac:dyDescent="0.25"/>
  <cols>
    <col min="1" max="1" width="34.6640625" customWidth="1"/>
    <col min="2" max="2" width="16.6640625" customWidth="1"/>
    <col min="3" max="3" width="13.21875" customWidth="1"/>
    <col min="4" max="5" width="12.44140625" customWidth="1"/>
    <col min="6" max="6" width="12.21875" customWidth="1"/>
    <col min="7" max="8" width="9.44140625" customWidth="1"/>
  </cols>
  <sheetData>
    <row r="1" spans="1:9" x14ac:dyDescent="0.25">
      <c r="A1" s="3" t="s">
        <v>546</v>
      </c>
      <c r="C1" t="s">
        <v>547</v>
      </c>
    </row>
    <row r="2" spans="1:9" x14ac:dyDescent="0.25">
      <c r="A2" s="3" t="s">
        <v>548</v>
      </c>
      <c r="B2" t="s">
        <v>682</v>
      </c>
      <c r="C2" t="s">
        <v>550</v>
      </c>
    </row>
    <row r="3" spans="1:9" x14ac:dyDescent="0.25">
      <c r="A3" s="3" t="s">
        <v>551</v>
      </c>
      <c r="B3" s="4" t="s">
        <v>552</v>
      </c>
      <c r="C3" t="s">
        <v>553</v>
      </c>
    </row>
    <row r="4" spans="1:9" x14ac:dyDescent="0.25">
      <c r="A4" s="3" t="s">
        <v>554</v>
      </c>
      <c r="B4" s="5" t="s">
        <v>555</v>
      </c>
    </row>
    <row r="5" spans="1:9" x14ac:dyDescent="0.25">
      <c r="A5" s="3" t="s">
        <v>556</v>
      </c>
      <c r="C5" t="s">
        <v>557</v>
      </c>
    </row>
    <row r="6" spans="1:9" x14ac:dyDescent="0.25">
      <c r="A6" s="3" t="s">
        <v>558</v>
      </c>
      <c r="B6">
        <v>4</v>
      </c>
      <c r="C6" t="s">
        <v>559</v>
      </c>
    </row>
    <row r="7" spans="1:9" x14ac:dyDescent="0.25">
      <c r="A7" s="3" t="s">
        <v>560</v>
      </c>
    </row>
    <row r="8" spans="1:9" x14ac:dyDescent="0.25">
      <c r="A8" s="3" t="s">
        <v>561</v>
      </c>
    </row>
    <row r="11" spans="1:9" x14ac:dyDescent="0.25">
      <c r="A11" t="s">
        <v>6</v>
      </c>
      <c r="B11" t="s">
        <v>683</v>
      </c>
      <c r="C11" t="s">
        <v>684</v>
      </c>
      <c r="D11" t="s">
        <v>685</v>
      </c>
      <c r="E11" t="s">
        <v>686</v>
      </c>
      <c r="F11" t="s">
        <v>687</v>
      </c>
      <c r="G11" t="s">
        <v>688</v>
      </c>
      <c r="H11" t="s">
        <v>689</v>
      </c>
      <c r="I11" t="s">
        <v>690</v>
      </c>
    </row>
    <row r="12" spans="1:9" x14ac:dyDescent="0.25">
      <c r="A12" s="5" t="s">
        <v>16</v>
      </c>
      <c r="B12" s="5" t="s">
        <v>691</v>
      </c>
      <c r="C12" s="4" t="s">
        <v>692</v>
      </c>
      <c r="D12" s="5" t="s">
        <v>633</v>
      </c>
      <c r="E12" s="5" t="s">
        <v>202</v>
      </c>
      <c r="F12" s="5" t="s">
        <v>693</v>
      </c>
      <c r="G12" s="5" t="s">
        <v>240</v>
      </c>
      <c r="H12" s="5" t="s">
        <v>694</v>
      </c>
      <c r="I12" s="5" t="s">
        <v>695</v>
      </c>
    </row>
    <row r="13" spans="1:9" x14ac:dyDescent="0.25">
      <c r="A13" s="5" t="s">
        <v>30</v>
      </c>
      <c r="B13" s="5" t="s">
        <v>30</v>
      </c>
      <c r="C13" s="4" t="s">
        <v>31</v>
      </c>
      <c r="D13" s="5" t="s">
        <v>30</v>
      </c>
      <c r="E13" s="5" t="s">
        <v>30</v>
      </c>
      <c r="F13" s="5" t="s">
        <v>30</v>
      </c>
      <c r="G13" s="5" t="s">
        <v>30</v>
      </c>
      <c r="H13" s="5" t="s">
        <v>30</v>
      </c>
      <c r="I13" s="5" t="s">
        <v>31</v>
      </c>
    </row>
    <row r="14" spans="1:9" x14ac:dyDescent="0.25">
      <c r="A14" s="5" t="s">
        <v>574</v>
      </c>
      <c r="B14" s="5" t="s">
        <v>575</v>
      </c>
      <c r="C14" s="4" t="s">
        <v>35</v>
      </c>
      <c r="D14" s="5" t="s">
        <v>575</v>
      </c>
      <c r="E14" s="5" t="s">
        <v>575</v>
      </c>
      <c r="F14" s="5" t="s">
        <v>575</v>
      </c>
      <c r="G14" s="5" t="s">
        <v>575</v>
      </c>
      <c r="H14" s="5" t="s">
        <v>575</v>
      </c>
      <c r="I14" s="5" t="s">
        <v>575</v>
      </c>
    </row>
    <row r="15" spans="1:9" x14ac:dyDescent="0.25">
      <c r="A15" s="5"/>
      <c r="B15" s="5">
        <v>0</v>
      </c>
      <c r="C15" s="4"/>
      <c r="D15" s="5">
        <v>0</v>
      </c>
      <c r="E15" s="5">
        <v>0</v>
      </c>
      <c r="F15" s="5">
        <v>0</v>
      </c>
      <c r="G15" s="5">
        <v>0</v>
      </c>
      <c r="H15" s="5">
        <v>0</v>
      </c>
      <c r="I15" s="5">
        <v>0</v>
      </c>
    </row>
    <row r="16" spans="1:9" x14ac:dyDescent="0.25">
      <c r="A16">
        <v>1</v>
      </c>
      <c r="B16">
        <v>390011</v>
      </c>
      <c r="C16" t="s">
        <v>696</v>
      </c>
      <c r="D16">
        <v>2</v>
      </c>
      <c r="E16">
        <v>66666</v>
      </c>
      <c r="F16">
        <v>1</v>
      </c>
      <c r="G16">
        <v>60</v>
      </c>
      <c r="H16">
        <v>2</v>
      </c>
      <c r="I16" t="s">
        <v>697</v>
      </c>
    </row>
    <row r="17" spans="1:9" x14ac:dyDescent="0.25">
      <c r="A17">
        <v>2</v>
      </c>
      <c r="B17">
        <v>390021</v>
      </c>
      <c r="C17" t="s">
        <v>661</v>
      </c>
      <c r="D17">
        <v>600001</v>
      </c>
      <c r="E17">
        <v>50</v>
      </c>
      <c r="F17">
        <v>1</v>
      </c>
      <c r="G17">
        <v>300</v>
      </c>
      <c r="H17">
        <v>1</v>
      </c>
      <c r="I17" t="s">
        <v>698</v>
      </c>
    </row>
    <row r="18" spans="1:9" x14ac:dyDescent="0.25">
      <c r="A18">
        <v>3</v>
      </c>
      <c r="B18">
        <v>390031</v>
      </c>
      <c r="C18" t="s">
        <v>699</v>
      </c>
      <c r="D18">
        <v>2</v>
      </c>
      <c r="E18">
        <v>500000</v>
      </c>
      <c r="F18">
        <v>1</v>
      </c>
      <c r="G18">
        <v>640</v>
      </c>
      <c r="H18">
        <v>2</v>
      </c>
      <c r="I18" t="s">
        <v>697</v>
      </c>
    </row>
    <row r="19" spans="1:9" x14ac:dyDescent="0.25">
      <c r="A19">
        <v>4</v>
      </c>
      <c r="B19">
        <v>390041</v>
      </c>
      <c r="C19" t="s">
        <v>700</v>
      </c>
      <c r="D19">
        <v>300009</v>
      </c>
      <c r="E19">
        <v>1</v>
      </c>
      <c r="F19">
        <v>1</v>
      </c>
      <c r="G19">
        <v>1280</v>
      </c>
      <c r="H19">
        <v>1</v>
      </c>
      <c r="I19" t="s">
        <v>701</v>
      </c>
    </row>
    <row r="20" spans="1:9" x14ac:dyDescent="0.25">
      <c r="A20">
        <v>5</v>
      </c>
      <c r="B20">
        <v>390051</v>
      </c>
      <c r="C20" t="s">
        <v>702</v>
      </c>
      <c r="D20">
        <v>2</v>
      </c>
      <c r="E20">
        <v>2000000</v>
      </c>
      <c r="F20">
        <v>1</v>
      </c>
      <c r="G20">
        <v>3280</v>
      </c>
      <c r="H20">
        <v>2</v>
      </c>
      <c r="I20" t="s">
        <v>697</v>
      </c>
    </row>
    <row r="21" spans="1:9" x14ac:dyDescent="0.25">
      <c r="A21">
        <v>6</v>
      </c>
      <c r="B21">
        <v>390061</v>
      </c>
      <c r="C21" t="s">
        <v>703</v>
      </c>
      <c r="D21">
        <v>100051</v>
      </c>
      <c r="E21">
        <v>1</v>
      </c>
      <c r="F21">
        <v>1</v>
      </c>
      <c r="G21">
        <v>6480</v>
      </c>
      <c r="H21">
        <v>3</v>
      </c>
      <c r="I21" t="s">
        <v>704</v>
      </c>
    </row>
    <row r="23" spans="1:9" x14ac:dyDescent="0.25">
      <c r="B23" s="21"/>
    </row>
    <row r="24" spans="1:9" x14ac:dyDescent="0.25">
      <c r="B24" s="21"/>
    </row>
  </sheetData>
  <phoneticPr fontId="20" type="noConversion"/>
  <pageMargins left="0.7" right="0.7" top="0.75" bottom="0.75" header="0.3" footer="0.3"/>
  <pageSetup paperSize="9"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44"/>
  <sheetViews>
    <sheetView workbookViewId="0">
      <selection activeCell="B1" sqref="B1"/>
    </sheetView>
  </sheetViews>
  <sheetFormatPr defaultColWidth="9" defaultRowHeight="13.8" x14ac:dyDescent="0.25"/>
  <cols>
    <col min="1" max="1" width="25.77734375" style="11" customWidth="1"/>
    <col min="2" max="2" width="17.21875" style="11" customWidth="1"/>
    <col min="3" max="3" width="20" style="11" customWidth="1"/>
    <col min="4" max="4" width="9" style="11" customWidth="1"/>
    <col min="5" max="5" width="13" style="11" customWidth="1"/>
    <col min="6" max="7" width="11.33203125" style="11" customWidth="1"/>
    <col min="8" max="8" width="13" style="11" customWidth="1"/>
    <col min="9" max="9" width="9" style="11" customWidth="1"/>
    <col min="10" max="16384" width="9" style="11"/>
  </cols>
  <sheetData>
    <row r="1" spans="1:9" x14ac:dyDescent="0.25">
      <c r="A1" s="15" t="s">
        <v>546</v>
      </c>
      <c r="C1" s="11" t="s">
        <v>547</v>
      </c>
      <c r="D1" s="16"/>
    </row>
    <row r="2" spans="1:9" x14ac:dyDescent="0.25">
      <c r="A2" s="15" t="s">
        <v>548</v>
      </c>
      <c r="B2" s="11" t="s">
        <v>705</v>
      </c>
      <c r="C2" s="11" t="s">
        <v>550</v>
      </c>
      <c r="D2" s="16"/>
    </row>
    <row r="3" spans="1:9" x14ac:dyDescent="0.25">
      <c r="A3" s="15" t="s">
        <v>551</v>
      </c>
      <c r="B3" s="17" t="s">
        <v>552</v>
      </c>
      <c r="C3" s="11" t="s">
        <v>553</v>
      </c>
      <c r="D3" s="16"/>
    </row>
    <row r="4" spans="1:9" x14ac:dyDescent="0.25">
      <c r="A4" s="15" t="s">
        <v>554</v>
      </c>
      <c r="B4" s="18" t="s">
        <v>555</v>
      </c>
      <c r="D4" s="16"/>
    </row>
    <row r="5" spans="1:9" x14ac:dyDescent="0.25">
      <c r="A5" s="15" t="s">
        <v>556</v>
      </c>
      <c r="C5" s="11" t="s">
        <v>557</v>
      </c>
      <c r="D5" s="16"/>
    </row>
    <row r="6" spans="1:9" x14ac:dyDescent="0.25">
      <c r="A6" s="15" t="s">
        <v>558</v>
      </c>
      <c r="B6" s="11">
        <v>4</v>
      </c>
      <c r="C6" s="11" t="s">
        <v>559</v>
      </c>
      <c r="D6" s="16"/>
    </row>
    <row r="7" spans="1:9" x14ac:dyDescent="0.25">
      <c r="A7" s="15" t="s">
        <v>560</v>
      </c>
      <c r="D7" s="16"/>
    </row>
    <row r="8" spans="1:9" x14ac:dyDescent="0.25">
      <c r="A8" s="15" t="s">
        <v>561</v>
      </c>
      <c r="D8" s="16"/>
    </row>
    <row r="9" spans="1:9" x14ac:dyDescent="0.25">
      <c r="D9" s="19"/>
    </row>
    <row r="10" spans="1:9" x14ac:dyDescent="0.25">
      <c r="B10" s="19"/>
      <c r="C10" s="16"/>
      <c r="D10" s="16"/>
    </row>
    <row r="11" spans="1:9" x14ac:dyDescent="0.25">
      <c r="A11" s="11" t="s">
        <v>637</v>
      </c>
      <c r="B11" s="16" t="s">
        <v>706</v>
      </c>
      <c r="C11" s="11" t="s">
        <v>707</v>
      </c>
      <c r="D11" s="11" t="s">
        <v>358</v>
      </c>
      <c r="E11" s="16" t="s">
        <v>359</v>
      </c>
      <c r="F11" s="11" t="s">
        <v>708</v>
      </c>
      <c r="G11" s="11" t="s">
        <v>709</v>
      </c>
      <c r="H11" s="11" t="s">
        <v>710</v>
      </c>
      <c r="I11" s="16" t="s">
        <v>711</v>
      </c>
    </row>
    <row r="12" spans="1:9" x14ac:dyDescent="0.25">
      <c r="A12" s="18" t="s">
        <v>712</v>
      </c>
      <c r="B12" s="18" t="s">
        <v>17</v>
      </c>
      <c r="C12" s="17" t="s">
        <v>713</v>
      </c>
      <c r="D12" s="18" t="s">
        <v>714</v>
      </c>
      <c r="E12" s="18" t="s">
        <v>715</v>
      </c>
      <c r="F12" s="18" t="s">
        <v>716</v>
      </c>
      <c r="G12" s="18" t="s">
        <v>717</v>
      </c>
      <c r="H12" s="18" t="s">
        <v>718</v>
      </c>
      <c r="I12" s="18" t="s">
        <v>28</v>
      </c>
    </row>
    <row r="13" spans="1:9" x14ac:dyDescent="0.25">
      <c r="A13" s="18" t="s">
        <v>30</v>
      </c>
      <c r="B13" s="18" t="s">
        <v>30</v>
      </c>
      <c r="C13" s="17" t="s">
        <v>31</v>
      </c>
      <c r="D13" s="18" t="s">
        <v>30</v>
      </c>
      <c r="E13" s="18" t="s">
        <v>31</v>
      </c>
      <c r="F13" s="18" t="s">
        <v>30</v>
      </c>
      <c r="G13" s="18" t="s">
        <v>30</v>
      </c>
      <c r="H13" s="18" t="s">
        <v>30</v>
      </c>
      <c r="I13" s="18" t="s">
        <v>30</v>
      </c>
    </row>
    <row r="14" spans="1:9" x14ac:dyDescent="0.25">
      <c r="A14" s="18" t="s">
        <v>574</v>
      </c>
      <c r="B14" s="18" t="s">
        <v>575</v>
      </c>
      <c r="C14" s="17" t="s">
        <v>35</v>
      </c>
      <c r="D14" s="18" t="s">
        <v>575</v>
      </c>
      <c r="E14" s="18" t="s">
        <v>575</v>
      </c>
      <c r="F14" s="18" t="s">
        <v>575</v>
      </c>
      <c r="G14" s="18" t="s">
        <v>575</v>
      </c>
      <c r="H14" s="18" t="s">
        <v>575</v>
      </c>
      <c r="I14" s="18" t="s">
        <v>575</v>
      </c>
    </row>
    <row r="15" spans="1:9" x14ac:dyDescent="0.25">
      <c r="A15" s="18"/>
      <c r="B15" s="18">
        <v>0</v>
      </c>
      <c r="C15" s="17">
        <v>0</v>
      </c>
      <c r="D15" s="18">
        <v>0</v>
      </c>
      <c r="E15" s="18">
        <v>0</v>
      </c>
      <c r="F15" s="18">
        <v>0</v>
      </c>
      <c r="G15" s="18">
        <v>0</v>
      </c>
      <c r="H15" s="18">
        <v>0</v>
      </c>
      <c r="I15" s="18">
        <v>0</v>
      </c>
    </row>
    <row r="16" spans="1:9" ht="15.6" x14ac:dyDescent="0.25">
      <c r="A16" s="11">
        <v>101</v>
      </c>
      <c r="B16" s="11">
        <v>640001</v>
      </c>
      <c r="C16" s="11" t="s">
        <v>719</v>
      </c>
      <c r="D16" s="11">
        <v>4</v>
      </c>
      <c r="E16" s="11">
        <v>6</v>
      </c>
      <c r="F16" s="11">
        <v>1</v>
      </c>
      <c r="G16" s="11">
        <v>102</v>
      </c>
      <c r="H16" s="11">
        <v>1</v>
      </c>
      <c r="I16" s="20">
        <v>20</v>
      </c>
    </row>
    <row r="17" spans="1:9" ht="15.6" x14ac:dyDescent="0.25">
      <c r="A17" s="11">
        <v>102</v>
      </c>
      <c r="B17" s="11">
        <v>640011</v>
      </c>
      <c r="C17" s="11" t="s">
        <v>720</v>
      </c>
      <c r="D17" s="11">
        <v>4</v>
      </c>
      <c r="E17" s="11">
        <v>18</v>
      </c>
      <c r="F17" s="11">
        <v>1</v>
      </c>
      <c r="G17" s="11">
        <v>103</v>
      </c>
      <c r="H17" s="11">
        <v>0</v>
      </c>
      <c r="I17" s="20">
        <v>20</v>
      </c>
    </row>
    <row r="18" spans="1:9" ht="15.6" x14ac:dyDescent="0.25">
      <c r="A18" s="11">
        <v>103</v>
      </c>
      <c r="B18" s="11">
        <v>640021</v>
      </c>
      <c r="C18" s="11" t="s">
        <v>721</v>
      </c>
      <c r="D18" s="11">
        <v>4</v>
      </c>
      <c r="E18" s="11">
        <v>38</v>
      </c>
      <c r="F18" s="11">
        <v>2</v>
      </c>
      <c r="G18" s="11">
        <v>104</v>
      </c>
      <c r="H18" s="11">
        <v>0</v>
      </c>
      <c r="I18" s="20">
        <v>20</v>
      </c>
    </row>
    <row r="19" spans="1:9" ht="15.6" x14ac:dyDescent="0.25">
      <c r="A19" s="11">
        <v>104</v>
      </c>
      <c r="B19" s="11">
        <v>640031</v>
      </c>
      <c r="C19" s="11" t="s">
        <v>722</v>
      </c>
      <c r="D19" s="11">
        <v>4</v>
      </c>
      <c r="E19" s="11">
        <v>68</v>
      </c>
      <c r="F19" s="11">
        <v>2</v>
      </c>
      <c r="G19" s="11">
        <v>105</v>
      </c>
      <c r="H19" s="11">
        <v>0</v>
      </c>
      <c r="I19" s="20">
        <v>20</v>
      </c>
    </row>
    <row r="20" spans="1:9" ht="15.6" x14ac:dyDescent="0.25">
      <c r="A20" s="11">
        <v>105</v>
      </c>
      <c r="B20" s="11">
        <v>640041</v>
      </c>
      <c r="C20" s="11" t="s">
        <v>723</v>
      </c>
      <c r="D20" s="11">
        <v>4</v>
      </c>
      <c r="E20" s="11">
        <v>108</v>
      </c>
      <c r="F20" s="11">
        <v>3</v>
      </c>
      <c r="G20" s="11">
        <v>106</v>
      </c>
      <c r="H20" s="11">
        <v>0</v>
      </c>
      <c r="I20" s="20">
        <v>20</v>
      </c>
    </row>
    <row r="21" spans="1:9" ht="15.6" x14ac:dyDescent="0.25">
      <c r="A21" s="11">
        <v>106</v>
      </c>
      <c r="B21" s="11">
        <v>640051</v>
      </c>
      <c r="C21" s="11" t="s">
        <v>724</v>
      </c>
      <c r="D21" s="11">
        <v>4</v>
      </c>
      <c r="E21" s="11">
        <v>198</v>
      </c>
      <c r="F21" s="11">
        <v>3</v>
      </c>
      <c r="G21" s="11">
        <v>107</v>
      </c>
      <c r="H21" s="11">
        <v>0</v>
      </c>
      <c r="I21" s="20">
        <v>20</v>
      </c>
    </row>
    <row r="22" spans="1:9" ht="15.6" x14ac:dyDescent="0.25">
      <c r="A22" s="11">
        <v>107</v>
      </c>
      <c r="B22" s="11">
        <v>640061</v>
      </c>
      <c r="C22" s="11" t="s">
        <v>725</v>
      </c>
      <c r="D22" s="11">
        <v>4</v>
      </c>
      <c r="E22" s="11">
        <v>328</v>
      </c>
      <c r="F22" s="11">
        <v>4</v>
      </c>
      <c r="G22" s="11">
        <v>108</v>
      </c>
      <c r="H22" s="11">
        <v>0</v>
      </c>
      <c r="I22" s="20">
        <v>20</v>
      </c>
    </row>
    <row r="23" spans="1:9" ht="15.6" x14ac:dyDescent="0.25">
      <c r="A23" s="11">
        <v>108</v>
      </c>
      <c r="B23" s="11">
        <v>640071</v>
      </c>
      <c r="C23" s="11" t="s">
        <v>726</v>
      </c>
      <c r="D23" s="11">
        <v>4</v>
      </c>
      <c r="E23" s="11">
        <v>648</v>
      </c>
      <c r="F23" s="11">
        <v>5</v>
      </c>
      <c r="G23" s="11">
        <v>0</v>
      </c>
      <c r="H23" s="11">
        <v>0</v>
      </c>
      <c r="I23" s="20">
        <v>20</v>
      </c>
    </row>
    <row r="24" spans="1:9" ht="15.6" x14ac:dyDescent="0.25">
      <c r="A24" s="11">
        <v>201</v>
      </c>
      <c r="B24" s="11">
        <v>640081</v>
      </c>
      <c r="C24" s="11" t="s">
        <v>727</v>
      </c>
      <c r="D24" s="11">
        <v>22</v>
      </c>
      <c r="E24" s="11" t="s">
        <v>728</v>
      </c>
      <c r="F24" s="11">
        <v>1</v>
      </c>
      <c r="G24" s="11">
        <v>202</v>
      </c>
      <c r="H24" s="11">
        <v>1</v>
      </c>
      <c r="I24" s="20">
        <v>2</v>
      </c>
    </row>
    <row r="25" spans="1:9" ht="15.6" x14ac:dyDescent="0.25">
      <c r="A25" s="11">
        <v>202</v>
      </c>
      <c r="B25" s="11">
        <v>640091</v>
      </c>
      <c r="C25" s="11" t="s">
        <v>729</v>
      </c>
      <c r="D25" s="11">
        <v>22</v>
      </c>
      <c r="E25" s="11" t="s">
        <v>730</v>
      </c>
      <c r="F25" s="11">
        <v>1</v>
      </c>
      <c r="G25" s="11">
        <v>203</v>
      </c>
      <c r="H25" s="11">
        <v>0</v>
      </c>
      <c r="I25" s="20">
        <v>2</v>
      </c>
    </row>
    <row r="26" spans="1:9" ht="15.6" x14ac:dyDescent="0.25">
      <c r="A26" s="11">
        <v>203</v>
      </c>
      <c r="B26" s="11">
        <v>640101</v>
      </c>
      <c r="C26" s="11" t="s">
        <v>731</v>
      </c>
      <c r="D26" s="11">
        <v>22</v>
      </c>
      <c r="E26" s="11" t="s">
        <v>732</v>
      </c>
      <c r="F26" s="11">
        <v>1</v>
      </c>
      <c r="G26" s="11">
        <v>204</v>
      </c>
      <c r="H26" s="11">
        <v>0</v>
      </c>
      <c r="I26" s="20">
        <v>2</v>
      </c>
    </row>
    <row r="27" spans="1:9" ht="15.6" x14ac:dyDescent="0.25">
      <c r="A27" s="11">
        <v>204</v>
      </c>
      <c r="B27" s="11">
        <v>640111</v>
      </c>
      <c r="C27" s="11" t="s">
        <v>733</v>
      </c>
      <c r="D27" s="11">
        <v>22</v>
      </c>
      <c r="E27" s="11" t="s">
        <v>734</v>
      </c>
      <c r="F27" s="11">
        <v>1</v>
      </c>
      <c r="G27" s="11">
        <v>205</v>
      </c>
      <c r="H27" s="11">
        <v>0</v>
      </c>
      <c r="I27" s="20">
        <v>2</v>
      </c>
    </row>
    <row r="28" spans="1:9" ht="15.6" x14ac:dyDescent="0.25">
      <c r="A28" s="11">
        <v>205</v>
      </c>
      <c r="B28" s="11">
        <v>640121</v>
      </c>
      <c r="C28" s="11" t="s">
        <v>735</v>
      </c>
      <c r="D28" s="11">
        <v>22</v>
      </c>
      <c r="E28" s="11" t="s">
        <v>736</v>
      </c>
      <c r="F28" s="11">
        <v>1</v>
      </c>
      <c r="G28" s="11">
        <v>0</v>
      </c>
      <c r="H28" s="11">
        <v>0</v>
      </c>
      <c r="I28" s="20">
        <v>2</v>
      </c>
    </row>
    <row r="29" spans="1:9" ht="15.6" x14ac:dyDescent="0.25">
      <c r="A29" s="11">
        <v>301</v>
      </c>
      <c r="B29" s="11">
        <v>640131</v>
      </c>
      <c r="C29" s="11" t="s">
        <v>737</v>
      </c>
      <c r="D29" s="11">
        <v>5</v>
      </c>
      <c r="E29" s="11">
        <v>5</v>
      </c>
      <c r="F29" s="11">
        <v>1</v>
      </c>
      <c r="G29" s="11">
        <v>302</v>
      </c>
      <c r="H29" s="11">
        <v>1</v>
      </c>
      <c r="I29" s="20">
        <v>51</v>
      </c>
    </row>
    <row r="30" spans="1:9" ht="15.6" x14ac:dyDescent="0.25">
      <c r="A30" s="11">
        <v>302</v>
      </c>
      <c r="B30" s="11">
        <v>640141</v>
      </c>
      <c r="C30" s="11" t="s">
        <v>738</v>
      </c>
      <c r="D30" s="11">
        <v>5</v>
      </c>
      <c r="E30" s="11">
        <v>10</v>
      </c>
      <c r="F30" s="11">
        <v>1</v>
      </c>
      <c r="G30" s="11">
        <v>303</v>
      </c>
      <c r="H30" s="11">
        <v>0</v>
      </c>
      <c r="I30" s="20">
        <v>51</v>
      </c>
    </row>
    <row r="31" spans="1:9" ht="15.6" x14ac:dyDescent="0.25">
      <c r="A31" s="11">
        <v>303</v>
      </c>
      <c r="B31" s="11">
        <v>640151</v>
      </c>
      <c r="C31" s="11" t="s">
        <v>739</v>
      </c>
      <c r="D31" s="11">
        <v>5</v>
      </c>
      <c r="E31" s="11">
        <v>15</v>
      </c>
      <c r="F31" s="11">
        <v>1</v>
      </c>
      <c r="G31" s="11">
        <v>304</v>
      </c>
      <c r="H31" s="11">
        <v>0</v>
      </c>
      <c r="I31" s="20">
        <v>51</v>
      </c>
    </row>
    <row r="32" spans="1:9" ht="15.6" x14ac:dyDescent="0.25">
      <c r="A32" s="11">
        <v>304</v>
      </c>
      <c r="B32" s="11">
        <v>640161</v>
      </c>
      <c r="C32" s="11" t="s">
        <v>740</v>
      </c>
      <c r="D32" s="11">
        <v>5</v>
      </c>
      <c r="E32" s="11">
        <v>20</v>
      </c>
      <c r="F32" s="11">
        <v>1</v>
      </c>
      <c r="G32" s="11">
        <v>305</v>
      </c>
      <c r="H32" s="11">
        <v>0</v>
      </c>
      <c r="I32" s="20">
        <v>51</v>
      </c>
    </row>
    <row r="33" spans="1:9" ht="15.6" x14ac:dyDescent="0.25">
      <c r="A33" s="11">
        <v>305</v>
      </c>
      <c r="B33" s="11">
        <v>640171</v>
      </c>
      <c r="C33" s="11" t="s">
        <v>741</v>
      </c>
      <c r="D33" s="11">
        <v>5</v>
      </c>
      <c r="E33" s="11">
        <v>25</v>
      </c>
      <c r="F33" s="11">
        <v>1</v>
      </c>
      <c r="G33" s="11">
        <v>0</v>
      </c>
      <c r="H33" s="11">
        <v>0</v>
      </c>
      <c r="I33" s="20">
        <v>51</v>
      </c>
    </row>
    <row r="34" spans="1:9" x14ac:dyDescent="0.25">
      <c r="A34" s="11">
        <v>401</v>
      </c>
      <c r="B34" s="11">
        <v>640181</v>
      </c>
      <c r="C34" s="11" t="s">
        <v>742</v>
      </c>
      <c r="D34" s="11">
        <v>18</v>
      </c>
      <c r="E34" s="11">
        <v>5</v>
      </c>
      <c r="F34" s="11">
        <v>1</v>
      </c>
      <c r="G34" s="11">
        <v>402</v>
      </c>
      <c r="H34" s="11">
        <v>1</v>
      </c>
      <c r="I34" s="11">
        <v>2</v>
      </c>
    </row>
    <row r="35" spans="1:9" x14ac:dyDescent="0.25">
      <c r="A35" s="11">
        <v>402</v>
      </c>
      <c r="B35" s="11">
        <v>640191</v>
      </c>
      <c r="C35" s="11" t="s">
        <v>743</v>
      </c>
      <c r="D35" s="11">
        <v>18</v>
      </c>
      <c r="E35" s="11">
        <v>10</v>
      </c>
      <c r="F35" s="11">
        <v>1</v>
      </c>
      <c r="G35" s="11">
        <v>403</v>
      </c>
      <c r="H35" s="11">
        <v>0</v>
      </c>
      <c r="I35" s="11">
        <v>2</v>
      </c>
    </row>
    <row r="36" spans="1:9" x14ac:dyDescent="0.25">
      <c r="A36" s="11">
        <v>403</v>
      </c>
      <c r="B36" s="11">
        <v>640201</v>
      </c>
      <c r="C36" s="11" t="s">
        <v>744</v>
      </c>
      <c r="D36" s="11">
        <v>18</v>
      </c>
      <c r="E36" s="11">
        <v>15</v>
      </c>
      <c r="F36" s="11">
        <v>1</v>
      </c>
      <c r="G36" s="11">
        <v>404</v>
      </c>
      <c r="H36" s="11">
        <v>0</v>
      </c>
      <c r="I36" s="11">
        <v>2</v>
      </c>
    </row>
    <row r="37" spans="1:9" x14ac:dyDescent="0.25">
      <c r="A37" s="11">
        <v>404</v>
      </c>
      <c r="B37" s="11">
        <v>640211</v>
      </c>
      <c r="C37" s="11" t="s">
        <v>745</v>
      </c>
      <c r="D37" s="11">
        <v>18</v>
      </c>
      <c r="E37" s="11">
        <v>20</v>
      </c>
      <c r="F37" s="11">
        <v>1</v>
      </c>
      <c r="G37" s="11">
        <v>405</v>
      </c>
      <c r="H37" s="11">
        <v>0</v>
      </c>
      <c r="I37" s="11">
        <v>2</v>
      </c>
    </row>
    <row r="38" spans="1:9" x14ac:dyDescent="0.25">
      <c r="A38" s="11">
        <v>405</v>
      </c>
      <c r="B38" s="11">
        <v>640221</v>
      </c>
      <c r="C38" s="11" t="s">
        <v>746</v>
      </c>
      <c r="D38" s="11">
        <v>18</v>
      </c>
      <c r="E38" s="11">
        <v>25</v>
      </c>
      <c r="F38" s="11">
        <v>1</v>
      </c>
      <c r="G38" s="11">
        <v>0</v>
      </c>
      <c r="H38" s="11">
        <v>0</v>
      </c>
      <c r="I38" s="11">
        <v>2</v>
      </c>
    </row>
    <row r="39" spans="1:9" ht="15.6" x14ac:dyDescent="0.25">
      <c r="A39" s="11">
        <v>501</v>
      </c>
      <c r="B39" s="11">
        <v>640231</v>
      </c>
      <c r="C39" s="11" t="s">
        <v>747</v>
      </c>
      <c r="D39" s="11">
        <v>10</v>
      </c>
      <c r="E39" s="11">
        <v>5</v>
      </c>
      <c r="F39" s="11">
        <v>1</v>
      </c>
      <c r="G39" s="11">
        <v>502</v>
      </c>
      <c r="H39" s="11">
        <v>1</v>
      </c>
      <c r="I39" s="20">
        <v>7</v>
      </c>
    </row>
    <row r="40" spans="1:9" ht="15.6" x14ac:dyDescent="0.25">
      <c r="A40" s="11">
        <v>502</v>
      </c>
      <c r="B40" s="11">
        <v>640241</v>
      </c>
      <c r="C40" s="11" t="s">
        <v>748</v>
      </c>
      <c r="D40" s="11">
        <v>10</v>
      </c>
      <c r="E40" s="11">
        <v>10</v>
      </c>
      <c r="F40" s="11">
        <v>1</v>
      </c>
      <c r="G40" s="11">
        <v>503</v>
      </c>
      <c r="H40" s="11">
        <v>0</v>
      </c>
      <c r="I40" s="20">
        <v>7</v>
      </c>
    </row>
    <row r="41" spans="1:9" ht="15.6" x14ac:dyDescent="0.25">
      <c r="A41" s="11">
        <v>503</v>
      </c>
      <c r="B41" s="11">
        <v>640251</v>
      </c>
      <c r="C41" s="11" t="s">
        <v>749</v>
      </c>
      <c r="D41" s="11">
        <v>10</v>
      </c>
      <c r="E41" s="11">
        <v>15</v>
      </c>
      <c r="F41" s="11">
        <v>1</v>
      </c>
      <c r="G41" s="11">
        <v>0</v>
      </c>
      <c r="H41" s="11">
        <v>0</v>
      </c>
      <c r="I41" s="20">
        <v>7</v>
      </c>
    </row>
    <row r="42" spans="1:9" ht="15.6" x14ac:dyDescent="0.25">
      <c r="A42" s="11">
        <v>601</v>
      </c>
      <c r="B42" s="11">
        <v>640261</v>
      </c>
      <c r="C42" s="11" t="s">
        <v>750</v>
      </c>
      <c r="D42" s="11">
        <v>25</v>
      </c>
      <c r="E42" s="11">
        <v>1</v>
      </c>
      <c r="F42" s="11">
        <v>1</v>
      </c>
      <c r="G42" s="11">
        <v>602</v>
      </c>
      <c r="H42" s="11">
        <v>1</v>
      </c>
      <c r="I42" s="20">
        <v>14</v>
      </c>
    </row>
    <row r="43" spans="1:9" x14ac:dyDescent="0.25">
      <c r="A43" s="11">
        <v>602</v>
      </c>
      <c r="B43" s="11">
        <v>640271</v>
      </c>
      <c r="C43" s="11" t="s">
        <v>751</v>
      </c>
      <c r="D43" s="11">
        <v>25</v>
      </c>
      <c r="E43" s="11">
        <v>2</v>
      </c>
      <c r="F43" s="11">
        <v>1</v>
      </c>
      <c r="G43" s="11">
        <v>603</v>
      </c>
      <c r="H43" s="11">
        <v>0</v>
      </c>
      <c r="I43" s="11">
        <v>14</v>
      </c>
    </row>
    <row r="44" spans="1:9" x14ac:dyDescent="0.25">
      <c r="A44" s="11">
        <v>603</v>
      </c>
      <c r="B44" s="11">
        <v>640281</v>
      </c>
      <c r="C44" s="11" t="s">
        <v>752</v>
      </c>
      <c r="D44" s="11">
        <v>25</v>
      </c>
      <c r="E44" s="11">
        <v>3</v>
      </c>
      <c r="F44" s="11">
        <v>1</v>
      </c>
      <c r="G44" s="11">
        <v>0</v>
      </c>
      <c r="H44" s="11">
        <v>0</v>
      </c>
      <c r="I44" s="11">
        <v>14</v>
      </c>
    </row>
  </sheetData>
  <phoneticPr fontId="20" type="noConversion"/>
  <pageMargins left="0.7" right="0.7" top="0.75" bottom="0.75" header="0.3" footer="0.3"/>
  <pageSetup paperSize="9" orientation="portrait"/>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21"/>
  <sheetViews>
    <sheetView workbookViewId="0">
      <selection activeCell="B1" sqref="B1"/>
    </sheetView>
  </sheetViews>
  <sheetFormatPr defaultColWidth="9" defaultRowHeight="13.8" x14ac:dyDescent="0.25"/>
  <cols>
    <col min="1" max="1" width="25.77734375" customWidth="1"/>
    <col min="2" max="2" width="15.109375" customWidth="1"/>
    <col min="3" max="3" width="13.21875" customWidth="1"/>
    <col min="4" max="4" width="12.6640625" customWidth="1"/>
    <col min="5" max="5" width="13" customWidth="1"/>
    <col min="6" max="6" width="11.33203125" customWidth="1"/>
  </cols>
  <sheetData>
    <row r="1" spans="1:4" x14ac:dyDescent="0.25">
      <c r="A1" s="3" t="s">
        <v>546</v>
      </c>
      <c r="C1" t="s">
        <v>547</v>
      </c>
      <c r="D1" s="1"/>
    </row>
    <row r="2" spans="1:4" x14ac:dyDescent="0.25">
      <c r="A2" s="3" t="s">
        <v>548</v>
      </c>
      <c r="B2" t="s">
        <v>753</v>
      </c>
      <c r="C2" t="s">
        <v>550</v>
      </c>
      <c r="D2" s="1"/>
    </row>
    <row r="3" spans="1:4" x14ac:dyDescent="0.25">
      <c r="A3" s="3" t="s">
        <v>551</v>
      </c>
      <c r="B3" s="4" t="s">
        <v>552</v>
      </c>
      <c r="C3" t="s">
        <v>553</v>
      </c>
      <c r="D3" s="1"/>
    </row>
    <row r="4" spans="1:4" x14ac:dyDescent="0.25">
      <c r="A4" s="3" t="s">
        <v>554</v>
      </c>
      <c r="B4" s="5" t="s">
        <v>555</v>
      </c>
      <c r="D4" s="1"/>
    </row>
    <row r="5" spans="1:4" x14ac:dyDescent="0.25">
      <c r="A5" s="3" t="s">
        <v>556</v>
      </c>
      <c r="C5" t="s">
        <v>557</v>
      </c>
      <c r="D5" s="1"/>
    </row>
    <row r="6" spans="1:4" x14ac:dyDescent="0.25">
      <c r="A6" s="3" t="s">
        <v>558</v>
      </c>
      <c r="B6">
        <v>4</v>
      </c>
      <c r="C6" t="s">
        <v>559</v>
      </c>
      <c r="D6" s="1"/>
    </row>
    <row r="7" spans="1:4" x14ac:dyDescent="0.25">
      <c r="A7" s="3" t="s">
        <v>560</v>
      </c>
      <c r="D7" s="1"/>
    </row>
    <row r="8" spans="1:4" x14ac:dyDescent="0.25">
      <c r="A8" s="3" t="s">
        <v>561</v>
      </c>
      <c r="D8" s="1"/>
    </row>
    <row r="9" spans="1:4" x14ac:dyDescent="0.25">
      <c r="D9" s="2"/>
    </row>
    <row r="10" spans="1:4" x14ac:dyDescent="0.25">
      <c r="B10" s="2"/>
      <c r="C10" s="1"/>
      <c r="D10" s="1"/>
    </row>
    <row r="11" spans="1:4" x14ac:dyDescent="0.25">
      <c r="A11" t="s">
        <v>16</v>
      </c>
      <c r="B11" t="s">
        <v>754</v>
      </c>
      <c r="C11" t="s">
        <v>264</v>
      </c>
      <c r="D11" t="s">
        <v>232</v>
      </c>
    </row>
    <row r="12" spans="1:4" x14ac:dyDescent="0.25">
      <c r="A12" s="5" t="s">
        <v>16</v>
      </c>
      <c r="B12" s="5" t="s">
        <v>167</v>
      </c>
      <c r="C12" s="5" t="s">
        <v>202</v>
      </c>
      <c r="D12" s="4" t="s">
        <v>755</v>
      </c>
    </row>
    <row r="13" spans="1:4" x14ac:dyDescent="0.25">
      <c r="A13" s="5" t="s">
        <v>30</v>
      </c>
      <c r="B13" s="5" t="s">
        <v>30</v>
      </c>
      <c r="C13" s="5" t="s">
        <v>30</v>
      </c>
      <c r="D13" s="4" t="s">
        <v>31</v>
      </c>
    </row>
    <row r="14" spans="1:4" x14ac:dyDescent="0.25">
      <c r="A14" s="5" t="s">
        <v>756</v>
      </c>
      <c r="B14" s="5" t="s">
        <v>670</v>
      </c>
      <c r="C14" s="5" t="s">
        <v>670</v>
      </c>
      <c r="D14" s="4" t="s">
        <v>35</v>
      </c>
    </row>
    <row r="15" spans="1:4" x14ac:dyDescent="0.25">
      <c r="A15" s="5"/>
      <c r="B15" s="5">
        <v>0</v>
      </c>
      <c r="C15" s="5">
        <v>0</v>
      </c>
      <c r="D15" s="4"/>
    </row>
    <row r="16" spans="1:4" x14ac:dyDescent="0.25">
      <c r="A16">
        <v>1</v>
      </c>
      <c r="B16">
        <v>100173</v>
      </c>
      <c r="C16">
        <v>640002</v>
      </c>
      <c r="D16" t="s">
        <v>757</v>
      </c>
    </row>
    <row r="17" spans="1:4" x14ac:dyDescent="0.25">
      <c r="A17">
        <v>2</v>
      </c>
      <c r="B17">
        <v>200004</v>
      </c>
      <c r="C17">
        <v>640003</v>
      </c>
      <c r="D17" t="s">
        <v>758</v>
      </c>
    </row>
    <row r="18" spans="1:4" x14ac:dyDescent="0.25">
      <c r="A18">
        <v>3</v>
      </c>
      <c r="B18">
        <v>300009</v>
      </c>
      <c r="C18">
        <v>640004</v>
      </c>
      <c r="D18" t="s">
        <v>758</v>
      </c>
    </row>
    <row r="19" spans="1:4" x14ac:dyDescent="0.25">
      <c r="A19">
        <v>4</v>
      </c>
      <c r="B19">
        <v>870002</v>
      </c>
      <c r="C19">
        <v>640005</v>
      </c>
      <c r="D19" t="s">
        <v>758</v>
      </c>
    </row>
    <row r="20" spans="1:4" x14ac:dyDescent="0.25">
      <c r="A20">
        <v>5</v>
      </c>
      <c r="B20">
        <v>1</v>
      </c>
      <c r="C20">
        <v>640006</v>
      </c>
      <c r="D20" t="s">
        <v>759</v>
      </c>
    </row>
    <row r="21" spans="1:4" x14ac:dyDescent="0.25">
      <c r="A21">
        <v>6</v>
      </c>
      <c r="B21">
        <v>2</v>
      </c>
      <c r="C21">
        <v>640007</v>
      </c>
      <c r="D21" t="s">
        <v>760</v>
      </c>
    </row>
  </sheetData>
  <phoneticPr fontId="20" type="noConversion"/>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election activeCell="B1" sqref="B1"/>
    </sheetView>
  </sheetViews>
  <sheetFormatPr defaultColWidth="9" defaultRowHeight="13.8" x14ac:dyDescent="0.25"/>
  <cols>
    <col min="1" max="1" width="25.77734375" customWidth="1"/>
    <col min="2" max="2" width="15.109375" customWidth="1"/>
    <col min="3" max="3" width="20" customWidth="1"/>
    <col min="5" max="5" width="13" customWidth="1"/>
    <col min="6" max="6" width="11.33203125" customWidth="1"/>
  </cols>
  <sheetData>
    <row r="1" spans="1:4" x14ac:dyDescent="0.25">
      <c r="A1" s="3" t="s">
        <v>546</v>
      </c>
      <c r="C1" t="s">
        <v>547</v>
      </c>
      <c r="D1" s="1"/>
    </row>
    <row r="2" spans="1:4" x14ac:dyDescent="0.25">
      <c r="A2" s="3" t="s">
        <v>548</v>
      </c>
      <c r="B2" t="s">
        <v>753</v>
      </c>
      <c r="C2" t="s">
        <v>550</v>
      </c>
      <c r="D2" s="1"/>
    </row>
    <row r="3" spans="1:4" x14ac:dyDescent="0.25">
      <c r="A3" s="3" t="s">
        <v>551</v>
      </c>
      <c r="B3" s="4" t="s">
        <v>552</v>
      </c>
      <c r="C3" t="s">
        <v>553</v>
      </c>
      <c r="D3" s="1"/>
    </row>
    <row r="4" spans="1:4" x14ac:dyDescent="0.25">
      <c r="A4" s="3" t="s">
        <v>554</v>
      </c>
      <c r="B4" s="5" t="s">
        <v>555</v>
      </c>
      <c r="D4" s="1"/>
    </row>
    <row r="5" spans="1:4" x14ac:dyDescent="0.25">
      <c r="A5" s="3" t="s">
        <v>556</v>
      </c>
      <c r="C5" t="s">
        <v>557</v>
      </c>
      <c r="D5" s="1"/>
    </row>
    <row r="6" spans="1:4" x14ac:dyDescent="0.25">
      <c r="A6" s="3" t="s">
        <v>558</v>
      </c>
      <c r="B6">
        <v>4</v>
      </c>
      <c r="C6" t="s">
        <v>559</v>
      </c>
      <c r="D6" s="1"/>
    </row>
    <row r="7" spans="1:4" x14ac:dyDescent="0.25">
      <c r="A7" s="3" t="s">
        <v>560</v>
      </c>
      <c r="D7" s="1"/>
    </row>
    <row r="8" spans="1:4" x14ac:dyDescent="0.25">
      <c r="A8" s="3" t="s">
        <v>561</v>
      </c>
      <c r="D8" s="1"/>
    </row>
    <row r="9" spans="1:4" x14ac:dyDescent="0.25">
      <c r="D9" s="2"/>
    </row>
    <row r="10" spans="1:4" x14ac:dyDescent="0.25">
      <c r="B10" s="2"/>
      <c r="C10" s="1"/>
      <c r="D10" s="1"/>
    </row>
    <row r="11" spans="1:4" x14ac:dyDescent="0.25">
      <c r="A11" t="s">
        <v>16</v>
      </c>
      <c r="B11" t="s">
        <v>761</v>
      </c>
    </row>
    <row r="12" spans="1:4" x14ac:dyDescent="0.25">
      <c r="A12" s="5" t="s">
        <v>16</v>
      </c>
      <c r="B12" s="5" t="s">
        <v>716</v>
      </c>
    </row>
    <row r="13" spans="1:4" x14ac:dyDescent="0.25">
      <c r="A13" s="5" t="s">
        <v>30</v>
      </c>
      <c r="B13" s="5" t="s">
        <v>30</v>
      </c>
    </row>
    <row r="14" spans="1:4" x14ac:dyDescent="0.25">
      <c r="A14" s="5" t="s">
        <v>574</v>
      </c>
      <c r="B14" s="5" t="s">
        <v>575</v>
      </c>
    </row>
    <row r="15" spans="1:4" x14ac:dyDescent="0.25">
      <c r="A15" s="5"/>
      <c r="B15" s="5">
        <v>0</v>
      </c>
    </row>
    <row r="16" spans="1:4" x14ac:dyDescent="0.25">
      <c r="A16">
        <v>1</v>
      </c>
      <c r="B16">
        <v>8501</v>
      </c>
    </row>
  </sheetData>
  <phoneticPr fontId="20"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22"/>
  <sheetViews>
    <sheetView workbookViewId="0">
      <selection activeCell="B1" sqref="B1"/>
    </sheetView>
  </sheetViews>
  <sheetFormatPr defaultColWidth="9" defaultRowHeight="13.8" x14ac:dyDescent="0.25"/>
  <cols>
    <col min="1" max="1" width="25.77734375" customWidth="1"/>
    <col min="2" max="2" width="23.44140625" customWidth="1"/>
    <col min="3" max="3" width="45.109375" customWidth="1"/>
    <col min="4" max="5" width="13" customWidth="1"/>
  </cols>
  <sheetData>
    <row r="1" spans="1:4" x14ac:dyDescent="0.25">
      <c r="A1" s="3" t="s">
        <v>546</v>
      </c>
      <c r="C1" t="s">
        <v>547</v>
      </c>
      <c r="D1" s="1"/>
    </row>
    <row r="2" spans="1:4" x14ac:dyDescent="0.25">
      <c r="A2" s="3" t="s">
        <v>548</v>
      </c>
      <c r="B2" t="s">
        <v>762</v>
      </c>
      <c r="C2" t="s">
        <v>550</v>
      </c>
      <c r="D2" s="1"/>
    </row>
    <row r="3" spans="1:4" x14ac:dyDescent="0.25">
      <c r="A3" s="3" t="s">
        <v>551</v>
      </c>
      <c r="B3" s="4" t="s">
        <v>552</v>
      </c>
      <c r="C3" t="s">
        <v>553</v>
      </c>
      <c r="D3" s="1"/>
    </row>
    <row r="4" spans="1:4" x14ac:dyDescent="0.25">
      <c r="A4" s="3" t="s">
        <v>554</v>
      </c>
      <c r="B4" s="5" t="s">
        <v>555</v>
      </c>
      <c r="D4" s="1"/>
    </row>
    <row r="5" spans="1:4" x14ac:dyDescent="0.25">
      <c r="A5" s="3" t="s">
        <v>556</v>
      </c>
      <c r="C5" t="s">
        <v>557</v>
      </c>
      <c r="D5" s="1"/>
    </row>
    <row r="6" spans="1:4" x14ac:dyDescent="0.25">
      <c r="A6" s="3" t="s">
        <v>558</v>
      </c>
      <c r="B6">
        <v>4</v>
      </c>
      <c r="C6" t="s">
        <v>559</v>
      </c>
      <c r="D6" s="1"/>
    </row>
    <row r="7" spans="1:4" x14ac:dyDescent="0.25">
      <c r="A7" s="3" t="s">
        <v>560</v>
      </c>
      <c r="D7" s="1"/>
    </row>
    <row r="8" spans="1:4" x14ac:dyDescent="0.25">
      <c r="A8" s="3" t="s">
        <v>561</v>
      </c>
      <c r="D8" s="1"/>
    </row>
    <row r="9" spans="1:4" x14ac:dyDescent="0.25">
      <c r="D9" s="2"/>
    </row>
    <row r="10" spans="1:4" x14ac:dyDescent="0.25">
      <c r="B10" s="2"/>
      <c r="C10" s="1"/>
      <c r="D10" s="1"/>
    </row>
    <row r="11" spans="1:4" x14ac:dyDescent="0.25">
      <c r="A11" t="s">
        <v>763</v>
      </c>
      <c r="B11" s="1" t="s">
        <v>360</v>
      </c>
    </row>
    <row r="12" spans="1:4" ht="15.6" x14ac:dyDescent="0.3">
      <c r="A12" s="5" t="s">
        <v>202</v>
      </c>
      <c r="B12" s="6" t="s">
        <v>167</v>
      </c>
    </row>
    <row r="13" spans="1:4" ht="15.6" x14ac:dyDescent="0.3">
      <c r="A13" s="5" t="s">
        <v>30</v>
      </c>
      <c r="B13" s="6" t="s">
        <v>30</v>
      </c>
    </row>
    <row r="14" spans="1:4" ht="15.6" x14ac:dyDescent="0.3">
      <c r="A14" s="5" t="s">
        <v>574</v>
      </c>
      <c r="B14" s="6" t="s">
        <v>575</v>
      </c>
    </row>
    <row r="15" spans="1:4" ht="15.6" x14ac:dyDescent="0.3">
      <c r="A15" s="5">
        <v>0</v>
      </c>
      <c r="B15" s="6">
        <v>0</v>
      </c>
    </row>
    <row r="16" spans="1:4" x14ac:dyDescent="0.25">
      <c r="A16">
        <v>5</v>
      </c>
      <c r="B16" s="1">
        <v>7901</v>
      </c>
    </row>
    <row r="17" spans="1:2" x14ac:dyDescent="0.25">
      <c r="A17">
        <v>10</v>
      </c>
      <c r="B17" s="1">
        <v>7902</v>
      </c>
    </row>
    <row r="18" spans="1:2" x14ac:dyDescent="0.25">
      <c r="A18">
        <v>15</v>
      </c>
      <c r="B18" s="1">
        <v>7903</v>
      </c>
    </row>
    <row r="19" spans="1:2" x14ac:dyDescent="0.25">
      <c r="A19">
        <v>20</v>
      </c>
      <c r="B19" s="1">
        <v>7904</v>
      </c>
    </row>
    <row r="20" spans="1:2" x14ac:dyDescent="0.25">
      <c r="A20">
        <v>25</v>
      </c>
      <c r="B20" s="1">
        <v>7905</v>
      </c>
    </row>
    <row r="21" spans="1:2" x14ac:dyDescent="0.25">
      <c r="A21">
        <v>30</v>
      </c>
      <c r="B21" s="1">
        <v>7906</v>
      </c>
    </row>
    <row r="22" spans="1:2" x14ac:dyDescent="0.25">
      <c r="A22">
        <v>35</v>
      </c>
      <c r="B22" s="1">
        <v>7907</v>
      </c>
    </row>
  </sheetData>
  <phoneticPr fontId="20"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9"/>
  <sheetViews>
    <sheetView workbookViewId="0">
      <selection activeCell="B1" sqref="B1"/>
    </sheetView>
  </sheetViews>
  <sheetFormatPr defaultColWidth="9" defaultRowHeight="13.8" x14ac:dyDescent="0.25"/>
  <cols>
    <col min="1" max="1" width="25.77734375" customWidth="1"/>
    <col min="2" max="2" width="15.109375" customWidth="1"/>
    <col min="3" max="3" width="45.109375" customWidth="1"/>
    <col min="4" max="5" width="13" customWidth="1"/>
  </cols>
  <sheetData>
    <row r="1" spans="1:5" x14ac:dyDescent="0.25">
      <c r="A1" s="3" t="s">
        <v>546</v>
      </c>
      <c r="C1" t="s">
        <v>547</v>
      </c>
      <c r="D1" s="1"/>
    </row>
    <row r="2" spans="1:5" x14ac:dyDescent="0.25">
      <c r="A2" s="3" t="s">
        <v>548</v>
      </c>
      <c r="B2" t="s">
        <v>764</v>
      </c>
      <c r="C2" t="s">
        <v>550</v>
      </c>
      <c r="D2" s="1"/>
    </row>
    <row r="3" spans="1:5" x14ac:dyDescent="0.25">
      <c r="A3" s="3" t="s">
        <v>551</v>
      </c>
      <c r="B3" s="4" t="s">
        <v>552</v>
      </c>
      <c r="C3" t="s">
        <v>553</v>
      </c>
      <c r="D3" s="1"/>
    </row>
    <row r="4" spans="1:5" x14ac:dyDescent="0.25">
      <c r="A4" s="3" t="s">
        <v>554</v>
      </c>
      <c r="B4" s="5" t="s">
        <v>555</v>
      </c>
      <c r="D4" s="1"/>
    </row>
    <row r="5" spans="1:5" x14ac:dyDescent="0.25">
      <c r="A5" s="3" t="s">
        <v>556</v>
      </c>
      <c r="C5" t="s">
        <v>557</v>
      </c>
      <c r="D5" s="1"/>
    </row>
    <row r="6" spans="1:5" x14ac:dyDescent="0.25">
      <c r="A6" s="3" t="s">
        <v>558</v>
      </c>
      <c r="B6">
        <v>4</v>
      </c>
      <c r="C6" t="s">
        <v>559</v>
      </c>
      <c r="D6" s="1"/>
    </row>
    <row r="7" spans="1:5" x14ac:dyDescent="0.25">
      <c r="A7" s="3" t="s">
        <v>560</v>
      </c>
      <c r="D7" s="1"/>
    </row>
    <row r="8" spans="1:5" x14ac:dyDescent="0.25">
      <c r="A8" s="3" t="s">
        <v>561</v>
      </c>
      <c r="D8" s="1"/>
    </row>
    <row r="9" spans="1:5" x14ac:dyDescent="0.25">
      <c r="D9" s="2"/>
    </row>
    <row r="10" spans="1:5" x14ac:dyDescent="0.25">
      <c r="B10" s="2"/>
      <c r="C10" s="1"/>
      <c r="D10" s="1"/>
    </row>
    <row r="11" spans="1:5" x14ac:dyDescent="0.25">
      <c r="A11" t="s">
        <v>16</v>
      </c>
      <c r="B11" s="1" t="s">
        <v>360</v>
      </c>
      <c r="C11" t="s">
        <v>765</v>
      </c>
      <c r="D11" t="s">
        <v>766</v>
      </c>
      <c r="E11" s="1"/>
    </row>
    <row r="12" spans="1:5" ht="15.6" x14ac:dyDescent="0.3">
      <c r="A12" s="5" t="s">
        <v>16</v>
      </c>
      <c r="B12" s="6" t="s">
        <v>167</v>
      </c>
      <c r="C12" s="6" t="s">
        <v>767</v>
      </c>
      <c r="D12" s="6" t="s">
        <v>768</v>
      </c>
    </row>
    <row r="13" spans="1:5" ht="15.6" x14ac:dyDescent="0.3">
      <c r="A13" s="5" t="s">
        <v>30</v>
      </c>
      <c r="B13" s="6" t="s">
        <v>30</v>
      </c>
      <c r="C13" s="5" t="s">
        <v>30</v>
      </c>
      <c r="D13" s="5" t="s">
        <v>30</v>
      </c>
    </row>
    <row r="14" spans="1:5" ht="15.6" x14ac:dyDescent="0.3">
      <c r="A14" s="5" t="s">
        <v>574</v>
      </c>
      <c r="B14" s="6" t="s">
        <v>575</v>
      </c>
      <c r="C14" s="5" t="s">
        <v>575</v>
      </c>
      <c r="D14" s="5" t="s">
        <v>575</v>
      </c>
    </row>
    <row r="15" spans="1:5" ht="15.6" x14ac:dyDescent="0.3">
      <c r="A15" s="5"/>
      <c r="B15" s="6">
        <v>0</v>
      </c>
      <c r="C15" s="5">
        <v>0</v>
      </c>
      <c r="D15" s="5">
        <v>0</v>
      </c>
    </row>
    <row r="16" spans="1:5" x14ac:dyDescent="0.25">
      <c r="A16">
        <v>1</v>
      </c>
      <c r="B16" s="1">
        <v>7801</v>
      </c>
      <c r="C16">
        <v>1</v>
      </c>
      <c r="D16">
        <v>3</v>
      </c>
    </row>
    <row r="17" spans="1:4" x14ac:dyDescent="0.25">
      <c r="A17">
        <v>2</v>
      </c>
      <c r="B17" s="1">
        <v>7802</v>
      </c>
      <c r="C17">
        <v>1</v>
      </c>
      <c r="D17">
        <v>3</v>
      </c>
    </row>
    <row r="18" spans="1:4" x14ac:dyDescent="0.25">
      <c r="A18">
        <v>3</v>
      </c>
      <c r="B18" s="1">
        <v>7803</v>
      </c>
      <c r="C18">
        <v>1</v>
      </c>
      <c r="D18">
        <v>3</v>
      </c>
    </row>
    <row r="19" spans="1:4" x14ac:dyDescent="0.25">
      <c r="A19">
        <v>4</v>
      </c>
      <c r="B19" s="1">
        <v>7804</v>
      </c>
      <c r="C19">
        <v>5</v>
      </c>
      <c r="D19">
        <v>1</v>
      </c>
    </row>
  </sheetData>
  <phoneticPr fontId="20" type="noConversion"/>
  <pageMargins left="0.7" right="0.7" top="0.75" bottom="0.75" header="0.3" footer="0.3"/>
  <pageSetup paperSize="9" orientation="portrai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22"/>
  <sheetViews>
    <sheetView workbookViewId="0">
      <selection activeCell="B1" sqref="B1"/>
    </sheetView>
  </sheetViews>
  <sheetFormatPr defaultColWidth="9" defaultRowHeight="13.8" x14ac:dyDescent="0.25"/>
  <cols>
    <col min="1" max="1" width="25.77734375" customWidth="1"/>
    <col min="2" max="2" width="15.109375" customWidth="1"/>
    <col min="3" max="3" width="20" customWidth="1"/>
    <col min="5" max="5" width="13" customWidth="1"/>
    <col min="6" max="6" width="11.33203125" customWidth="1"/>
  </cols>
  <sheetData>
    <row r="1" spans="1:6" x14ac:dyDescent="0.25">
      <c r="A1" s="3" t="s">
        <v>546</v>
      </c>
      <c r="C1" t="s">
        <v>547</v>
      </c>
      <c r="D1" s="1"/>
    </row>
    <row r="2" spans="1:6" x14ac:dyDescent="0.25">
      <c r="A2" s="3" t="s">
        <v>548</v>
      </c>
      <c r="B2" t="s">
        <v>769</v>
      </c>
      <c r="C2" t="s">
        <v>550</v>
      </c>
      <c r="D2" s="1"/>
    </row>
    <row r="3" spans="1:6" x14ac:dyDescent="0.25">
      <c r="A3" s="3" t="s">
        <v>551</v>
      </c>
      <c r="B3" s="4" t="s">
        <v>552</v>
      </c>
      <c r="C3" t="s">
        <v>553</v>
      </c>
      <c r="D3" s="1"/>
    </row>
    <row r="4" spans="1:6" x14ac:dyDescent="0.25">
      <c r="A4" s="3" t="s">
        <v>554</v>
      </c>
      <c r="B4" s="5" t="s">
        <v>555</v>
      </c>
      <c r="D4" s="1"/>
    </row>
    <row r="5" spans="1:6" x14ac:dyDescent="0.25">
      <c r="A5" s="3" t="s">
        <v>556</v>
      </c>
      <c r="C5" t="s">
        <v>557</v>
      </c>
      <c r="D5" s="1"/>
    </row>
    <row r="6" spans="1:6" x14ac:dyDescent="0.25">
      <c r="A6" s="3" t="s">
        <v>558</v>
      </c>
      <c r="B6">
        <v>4</v>
      </c>
      <c r="C6" t="s">
        <v>559</v>
      </c>
      <c r="D6" s="1"/>
    </row>
    <row r="7" spans="1:6" x14ac:dyDescent="0.25">
      <c r="A7" s="3" t="s">
        <v>560</v>
      </c>
      <c r="D7" s="1"/>
    </row>
    <row r="8" spans="1:6" x14ac:dyDescent="0.25">
      <c r="A8" s="3" t="s">
        <v>561</v>
      </c>
      <c r="D8" s="1"/>
    </row>
    <row r="9" spans="1:6" x14ac:dyDescent="0.25">
      <c r="D9" s="2"/>
    </row>
    <row r="10" spans="1:6" x14ac:dyDescent="0.25">
      <c r="B10" s="2"/>
      <c r="C10" s="1"/>
      <c r="D10" s="1"/>
    </row>
    <row r="11" spans="1:6" x14ac:dyDescent="0.25">
      <c r="A11" t="s">
        <v>637</v>
      </c>
      <c r="B11" s="1" t="s">
        <v>706</v>
      </c>
      <c r="C11" t="s">
        <v>707</v>
      </c>
      <c r="D11" t="s">
        <v>358</v>
      </c>
      <c r="E11" s="1" t="s">
        <v>359</v>
      </c>
      <c r="F11" t="s">
        <v>761</v>
      </c>
    </row>
    <row r="12" spans="1:6" x14ac:dyDescent="0.25">
      <c r="A12" s="5" t="s">
        <v>712</v>
      </c>
      <c r="B12" s="5" t="s">
        <v>17</v>
      </c>
      <c r="C12" s="4" t="s">
        <v>713</v>
      </c>
      <c r="D12" s="5" t="s">
        <v>714</v>
      </c>
      <c r="E12" s="5" t="s">
        <v>715</v>
      </c>
      <c r="F12" s="5" t="s">
        <v>716</v>
      </c>
    </row>
    <row r="13" spans="1:6" x14ac:dyDescent="0.25">
      <c r="A13" s="5" t="s">
        <v>30</v>
      </c>
      <c r="B13" s="5" t="s">
        <v>30</v>
      </c>
      <c r="C13" s="4" t="s">
        <v>31</v>
      </c>
      <c r="D13" s="5" t="s">
        <v>30</v>
      </c>
      <c r="E13" s="5" t="s">
        <v>30</v>
      </c>
      <c r="F13" s="5" t="s">
        <v>30</v>
      </c>
    </row>
    <row r="14" spans="1:6" x14ac:dyDescent="0.25">
      <c r="A14" s="5" t="s">
        <v>574</v>
      </c>
      <c r="B14" s="5" t="s">
        <v>575</v>
      </c>
      <c r="C14" s="4" t="s">
        <v>35</v>
      </c>
      <c r="D14" s="5" t="s">
        <v>575</v>
      </c>
      <c r="E14" s="5" t="s">
        <v>575</v>
      </c>
      <c r="F14" s="5" t="s">
        <v>575</v>
      </c>
    </row>
    <row r="15" spans="1:6" x14ac:dyDescent="0.25">
      <c r="A15" s="5"/>
      <c r="B15" s="5">
        <v>0</v>
      </c>
      <c r="C15" s="4">
        <v>0</v>
      </c>
      <c r="D15" s="5">
        <v>0</v>
      </c>
      <c r="E15" s="5">
        <v>0</v>
      </c>
      <c r="F15" s="5">
        <v>0</v>
      </c>
    </row>
    <row r="16" spans="1:6" x14ac:dyDescent="0.25">
      <c r="A16">
        <v>1</v>
      </c>
      <c r="B16">
        <v>491011</v>
      </c>
      <c r="C16" t="s">
        <v>770</v>
      </c>
      <c r="D16">
        <v>1</v>
      </c>
      <c r="E16">
        <v>1</v>
      </c>
      <c r="F16">
        <v>3801</v>
      </c>
    </row>
    <row r="17" spans="1:6" x14ac:dyDescent="0.25">
      <c r="A17">
        <v>2</v>
      </c>
      <c r="B17">
        <v>491021</v>
      </c>
      <c r="C17" t="s">
        <v>771</v>
      </c>
      <c r="D17">
        <v>1</v>
      </c>
      <c r="E17">
        <v>2</v>
      </c>
      <c r="F17">
        <v>3802</v>
      </c>
    </row>
    <row r="18" spans="1:6" x14ac:dyDescent="0.25">
      <c r="A18">
        <v>3</v>
      </c>
      <c r="B18">
        <v>491031</v>
      </c>
      <c r="C18" t="s">
        <v>772</v>
      </c>
      <c r="D18">
        <v>1</v>
      </c>
      <c r="E18">
        <v>5</v>
      </c>
      <c r="F18">
        <v>3803</v>
      </c>
    </row>
    <row r="19" spans="1:6" x14ac:dyDescent="0.25">
      <c r="A19">
        <v>4</v>
      </c>
      <c r="B19">
        <v>491041</v>
      </c>
      <c r="C19" t="s">
        <v>773</v>
      </c>
      <c r="D19">
        <v>1</v>
      </c>
      <c r="E19">
        <v>10</v>
      </c>
      <c r="F19">
        <v>3804</v>
      </c>
    </row>
    <row r="20" spans="1:6" x14ac:dyDescent="0.25">
      <c r="A20">
        <v>5</v>
      </c>
      <c r="D20">
        <v>2</v>
      </c>
      <c r="E20">
        <v>1</v>
      </c>
      <c r="F20">
        <v>3805</v>
      </c>
    </row>
    <row r="21" spans="1:6" x14ac:dyDescent="0.25">
      <c r="A21">
        <v>6</v>
      </c>
      <c r="B21">
        <v>491051</v>
      </c>
      <c r="C21" t="s">
        <v>774</v>
      </c>
      <c r="D21">
        <v>3</v>
      </c>
      <c r="E21">
        <v>1</v>
      </c>
      <c r="F21">
        <v>3806</v>
      </c>
    </row>
    <row r="22" spans="1:6" x14ac:dyDescent="0.25">
      <c r="A22">
        <v>7</v>
      </c>
      <c r="B22">
        <v>491061</v>
      </c>
      <c r="C22" t="s">
        <v>775</v>
      </c>
      <c r="D22">
        <v>4</v>
      </c>
      <c r="E22">
        <v>3</v>
      </c>
      <c r="F22">
        <v>3806</v>
      </c>
    </row>
  </sheetData>
  <phoneticPr fontId="20" type="noConversion"/>
  <pageMargins left="0.7" right="0.7" top="0.75" bottom="0.75" header="0.3" footer="0.3"/>
  <pageSetup paperSize="9" orientation="portrait"/>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25"/>
  <sheetViews>
    <sheetView workbookViewId="0">
      <selection activeCell="B1" sqref="B1"/>
    </sheetView>
  </sheetViews>
  <sheetFormatPr defaultColWidth="11" defaultRowHeight="13.8" x14ac:dyDescent="0.25"/>
  <cols>
    <col min="1" max="1" width="26.88671875" style="1" customWidth="1"/>
    <col min="2" max="2" width="13.88671875" style="1" customWidth="1"/>
    <col min="3" max="5" width="11" style="1" customWidth="1"/>
    <col min="6" max="7" width="15.44140625" style="2" customWidth="1"/>
    <col min="8" max="8" width="11" style="1" customWidth="1"/>
    <col min="9" max="16384" width="11" style="1"/>
  </cols>
  <sheetData>
    <row r="1" spans="1:7" x14ac:dyDescent="0.25">
      <c r="A1" s="3" t="s">
        <v>546</v>
      </c>
      <c r="B1"/>
      <c r="C1" s="1" t="s">
        <v>547</v>
      </c>
    </row>
    <row r="2" spans="1:7" x14ac:dyDescent="0.25">
      <c r="A2" s="3" t="s">
        <v>548</v>
      </c>
      <c r="B2" s="1" t="s">
        <v>776</v>
      </c>
      <c r="C2" s="1" t="s">
        <v>550</v>
      </c>
    </row>
    <row r="3" spans="1:7" x14ac:dyDescent="0.25">
      <c r="A3" s="3" t="s">
        <v>551</v>
      </c>
      <c r="B3" s="4" t="s">
        <v>552</v>
      </c>
      <c r="C3" s="1" t="s">
        <v>553</v>
      </c>
    </row>
    <row r="4" spans="1:7" x14ac:dyDescent="0.25">
      <c r="A4" s="3" t="s">
        <v>554</v>
      </c>
      <c r="B4" s="5" t="s">
        <v>555</v>
      </c>
    </row>
    <row r="5" spans="1:7" x14ac:dyDescent="0.25">
      <c r="A5" s="3" t="s">
        <v>556</v>
      </c>
      <c r="C5" s="1" t="s">
        <v>557</v>
      </c>
    </row>
    <row r="6" spans="1:7" x14ac:dyDescent="0.25">
      <c r="A6" s="3" t="s">
        <v>558</v>
      </c>
      <c r="B6" s="1">
        <v>4</v>
      </c>
      <c r="C6" s="1" t="s">
        <v>559</v>
      </c>
    </row>
    <row r="7" spans="1:7" x14ac:dyDescent="0.25">
      <c r="A7" s="3" t="s">
        <v>560</v>
      </c>
    </row>
    <row r="8" spans="1:7" x14ac:dyDescent="0.25">
      <c r="A8" s="3" t="s">
        <v>561</v>
      </c>
    </row>
    <row r="9" spans="1:7" x14ac:dyDescent="0.25">
      <c r="E9" s="2"/>
      <c r="G9" s="1"/>
    </row>
    <row r="10" spans="1:7" x14ac:dyDescent="0.25">
      <c r="E10" s="2"/>
      <c r="F10" s="1"/>
      <c r="G10" s="1"/>
    </row>
    <row r="11" spans="1:7" x14ac:dyDescent="0.25">
      <c r="A11" s="1" t="s">
        <v>385</v>
      </c>
      <c r="B11" s="1" t="s">
        <v>777</v>
      </c>
      <c r="C11" s="1" t="s">
        <v>778</v>
      </c>
      <c r="D11" s="1" t="s">
        <v>360</v>
      </c>
      <c r="E11" s="1" t="s">
        <v>779</v>
      </c>
    </row>
    <row r="12" spans="1:7" ht="15.6" x14ac:dyDescent="0.3">
      <c r="A12" s="5" t="s">
        <v>16</v>
      </c>
      <c r="B12" s="6" t="s">
        <v>780</v>
      </c>
      <c r="C12" s="6" t="s">
        <v>215</v>
      </c>
      <c r="D12" s="6" t="s">
        <v>167</v>
      </c>
      <c r="E12" s="6" t="s">
        <v>203</v>
      </c>
    </row>
    <row r="13" spans="1:7" ht="15.6" x14ac:dyDescent="0.3">
      <c r="A13" s="5" t="s">
        <v>30</v>
      </c>
      <c r="B13" s="6" t="s">
        <v>30</v>
      </c>
      <c r="C13" s="6" t="s">
        <v>30</v>
      </c>
      <c r="D13" s="6" t="s">
        <v>30</v>
      </c>
      <c r="E13" s="6" t="s">
        <v>30</v>
      </c>
    </row>
    <row r="14" spans="1:7" ht="15.6" x14ac:dyDescent="0.3">
      <c r="A14" s="5" t="s">
        <v>574</v>
      </c>
      <c r="B14" s="6" t="s">
        <v>575</v>
      </c>
      <c r="C14" s="6" t="s">
        <v>575</v>
      </c>
      <c r="D14" s="6" t="s">
        <v>575</v>
      </c>
      <c r="E14" s="6" t="s">
        <v>575</v>
      </c>
    </row>
    <row r="15" spans="1:7" ht="15.6" x14ac:dyDescent="0.3">
      <c r="A15" s="5"/>
      <c r="B15" s="6">
        <v>0</v>
      </c>
      <c r="C15" s="6">
        <v>0</v>
      </c>
      <c r="D15" s="6">
        <v>0</v>
      </c>
      <c r="E15" s="6">
        <v>0</v>
      </c>
    </row>
    <row r="16" spans="1:7" x14ac:dyDescent="0.25">
      <c r="A16" s="1">
        <v>1</v>
      </c>
      <c r="B16" s="1">
        <v>1</v>
      </c>
      <c r="C16" s="1">
        <v>100018</v>
      </c>
      <c r="D16" s="1">
        <v>930012</v>
      </c>
      <c r="E16" s="1">
        <v>202</v>
      </c>
    </row>
    <row r="17" spans="1:7" x14ac:dyDescent="0.25">
      <c r="A17" s="1">
        <v>2</v>
      </c>
      <c r="B17" s="1">
        <v>1</v>
      </c>
      <c r="C17" s="1">
        <v>100018</v>
      </c>
      <c r="D17" s="1">
        <v>930011</v>
      </c>
      <c r="E17" s="1">
        <v>201</v>
      </c>
    </row>
    <row r="18" spans="1:7" x14ac:dyDescent="0.25">
      <c r="A18" s="1">
        <v>3</v>
      </c>
      <c r="B18" s="1">
        <v>2</v>
      </c>
      <c r="C18" s="1">
        <v>100065</v>
      </c>
      <c r="D18" s="1">
        <v>930014</v>
      </c>
      <c r="E18" s="1">
        <v>204</v>
      </c>
    </row>
    <row r="19" spans="1:7" x14ac:dyDescent="0.25">
      <c r="A19" s="1">
        <v>4</v>
      </c>
      <c r="B19" s="1">
        <v>2</v>
      </c>
      <c r="C19" s="1">
        <v>100065</v>
      </c>
      <c r="D19" s="1">
        <v>930013</v>
      </c>
      <c r="E19" s="1">
        <v>203</v>
      </c>
    </row>
    <row r="20" spans="1:7" x14ac:dyDescent="0.25">
      <c r="A20" s="1">
        <v>5</v>
      </c>
      <c r="B20" s="1">
        <v>3</v>
      </c>
      <c r="C20" s="1">
        <v>100048</v>
      </c>
      <c r="D20" s="1">
        <v>930016</v>
      </c>
      <c r="E20" s="1">
        <v>206</v>
      </c>
    </row>
    <row r="21" spans="1:7" x14ac:dyDescent="0.25">
      <c r="A21" s="1">
        <v>6</v>
      </c>
      <c r="B21" s="1">
        <v>3</v>
      </c>
      <c r="C21" s="1">
        <v>100048</v>
      </c>
      <c r="D21" s="1">
        <v>930015</v>
      </c>
      <c r="E21" s="1">
        <v>205</v>
      </c>
    </row>
    <row r="22" spans="1:7" x14ac:dyDescent="0.25">
      <c r="F22" s="1"/>
      <c r="G22" s="1"/>
    </row>
    <row r="23" spans="1:7" x14ac:dyDescent="0.25">
      <c r="E23" s="2"/>
      <c r="F23" s="1"/>
      <c r="G23" s="1"/>
    </row>
    <row r="24" spans="1:7" x14ac:dyDescent="0.25">
      <c r="E24" s="2"/>
      <c r="G24" s="1"/>
    </row>
    <row r="25" spans="1:7" x14ac:dyDescent="0.25">
      <c r="E25" s="2"/>
      <c r="G25" s="1"/>
    </row>
  </sheetData>
  <phoneticPr fontId="20" type="noConversion"/>
  <pageMargins left="0.7" right="0.7" top="0.75" bottom="0.75" header="0.3" footer="0.3"/>
  <pageSetup paperSize="9" orientation="portrait"/>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2"/>
  <sheetViews>
    <sheetView workbookViewId="0">
      <selection activeCell="B1" sqref="B1"/>
    </sheetView>
  </sheetViews>
  <sheetFormatPr defaultColWidth="11" defaultRowHeight="13.8" x14ac:dyDescent="0.25"/>
  <cols>
    <col min="1" max="1" width="26.88671875" style="1" customWidth="1"/>
    <col min="2" max="2" width="13.88671875" style="1" customWidth="1"/>
    <col min="3" max="3" width="11" style="1" customWidth="1"/>
    <col min="4" max="5" width="13" style="1" customWidth="1"/>
    <col min="6" max="6" width="10.44140625" style="2" customWidth="1"/>
    <col min="7" max="7" width="15.44140625" style="2" customWidth="1"/>
    <col min="8" max="8" width="11" style="1" customWidth="1"/>
    <col min="9" max="16384" width="11" style="1"/>
  </cols>
  <sheetData>
    <row r="1" spans="1:11" x14ac:dyDescent="0.25">
      <c r="A1" s="3" t="s">
        <v>546</v>
      </c>
      <c r="C1" s="1" t="s">
        <v>547</v>
      </c>
    </row>
    <row r="2" spans="1:11" x14ac:dyDescent="0.25">
      <c r="A2" s="3" t="s">
        <v>548</v>
      </c>
      <c r="B2" s="1" t="s">
        <v>776</v>
      </c>
      <c r="C2" s="1" t="s">
        <v>550</v>
      </c>
    </row>
    <row r="3" spans="1:11" x14ac:dyDescent="0.25">
      <c r="A3" s="3" t="s">
        <v>551</v>
      </c>
      <c r="B3" s="4" t="s">
        <v>552</v>
      </c>
      <c r="C3" s="1" t="s">
        <v>553</v>
      </c>
    </row>
    <row r="4" spans="1:11" x14ac:dyDescent="0.25">
      <c r="A4" s="3" t="s">
        <v>554</v>
      </c>
      <c r="B4" s="5" t="s">
        <v>555</v>
      </c>
    </row>
    <row r="5" spans="1:11" x14ac:dyDescent="0.25">
      <c r="A5" s="3" t="s">
        <v>556</v>
      </c>
      <c r="C5" s="1" t="s">
        <v>557</v>
      </c>
    </row>
    <row r="6" spans="1:11" x14ac:dyDescent="0.25">
      <c r="A6" s="3" t="s">
        <v>558</v>
      </c>
      <c r="B6" s="1">
        <v>4</v>
      </c>
      <c r="C6" s="1" t="s">
        <v>559</v>
      </c>
    </row>
    <row r="7" spans="1:11" x14ac:dyDescent="0.25">
      <c r="A7" s="3" t="s">
        <v>560</v>
      </c>
    </row>
    <row r="8" spans="1:11" x14ac:dyDescent="0.25">
      <c r="A8" s="3" t="s">
        <v>561</v>
      </c>
    </row>
    <row r="9" spans="1:11" x14ac:dyDescent="0.25">
      <c r="E9" s="2"/>
      <c r="G9" s="1"/>
    </row>
    <row r="10" spans="1:11" x14ac:dyDescent="0.25">
      <c r="E10" s="2"/>
      <c r="F10" s="1"/>
      <c r="G10" s="1"/>
    </row>
    <row r="11" spans="1:11" x14ac:dyDescent="0.25">
      <c r="A11" s="1" t="s">
        <v>385</v>
      </c>
      <c r="B11" s="1" t="s">
        <v>448</v>
      </c>
      <c r="C11" s="1" t="s">
        <v>781</v>
      </c>
      <c r="D11" s="1" t="s">
        <v>782</v>
      </c>
      <c r="E11" s="1" t="s">
        <v>783</v>
      </c>
      <c r="F11" s="1" t="s">
        <v>784</v>
      </c>
      <c r="G11" s="1"/>
    </row>
    <row r="12" spans="1:11" ht="15.6" x14ac:dyDescent="0.3">
      <c r="A12" s="5" t="s">
        <v>16</v>
      </c>
      <c r="B12" s="6" t="s">
        <v>170</v>
      </c>
      <c r="C12" s="6" t="s">
        <v>405</v>
      </c>
      <c r="D12" s="6" t="s">
        <v>785</v>
      </c>
      <c r="E12" s="6" t="s">
        <v>786</v>
      </c>
      <c r="F12" s="5" t="s">
        <v>421</v>
      </c>
      <c r="G12" s="1"/>
    </row>
    <row r="13" spans="1:11" ht="15.6" x14ac:dyDescent="0.3">
      <c r="A13" s="5" t="s">
        <v>30</v>
      </c>
      <c r="B13" s="6" t="s">
        <v>30</v>
      </c>
      <c r="C13" s="6" t="s">
        <v>30</v>
      </c>
      <c r="D13" s="6" t="s">
        <v>30</v>
      </c>
      <c r="E13" s="6" t="s">
        <v>30</v>
      </c>
      <c r="F13" s="5" t="s">
        <v>30</v>
      </c>
      <c r="G13" s="1"/>
    </row>
    <row r="14" spans="1:11" ht="15.6" x14ac:dyDescent="0.3">
      <c r="A14" s="5" t="s">
        <v>574</v>
      </c>
      <c r="B14" s="6" t="s">
        <v>575</v>
      </c>
      <c r="C14" s="6" t="s">
        <v>575</v>
      </c>
      <c r="D14" s="6" t="s">
        <v>575</v>
      </c>
      <c r="E14" s="6" t="s">
        <v>575</v>
      </c>
      <c r="F14" s="5" t="s">
        <v>575</v>
      </c>
      <c r="G14" s="1"/>
      <c r="H14" s="1" t="s">
        <v>787</v>
      </c>
    </row>
    <row r="15" spans="1:11" ht="15.6" x14ac:dyDescent="0.3">
      <c r="A15" s="5"/>
      <c r="B15" s="6">
        <v>0</v>
      </c>
      <c r="C15" s="6">
        <v>0</v>
      </c>
      <c r="D15" s="6">
        <v>0</v>
      </c>
      <c r="E15" s="6">
        <v>0</v>
      </c>
      <c r="F15" s="5">
        <v>0</v>
      </c>
      <c r="G15" s="1"/>
    </row>
    <row r="16" spans="1:11" x14ac:dyDescent="0.25">
      <c r="A16" s="1">
        <v>1</v>
      </c>
      <c r="B16" s="1">
        <v>0</v>
      </c>
      <c r="C16" s="14">
        <v>0</v>
      </c>
      <c r="D16" s="1">
        <v>100</v>
      </c>
      <c r="E16" s="14">
        <v>1000</v>
      </c>
      <c r="F16" s="1">
        <v>10</v>
      </c>
      <c r="G16" s="1"/>
      <c r="H16" s="14">
        <v>2000</v>
      </c>
      <c r="I16" s="14">
        <v>0</v>
      </c>
      <c r="K16" s="14">
        <v>0</v>
      </c>
    </row>
    <row r="17" spans="1:12" x14ac:dyDescent="0.25">
      <c r="A17" s="1">
        <v>2</v>
      </c>
      <c r="B17" s="1">
        <v>0</v>
      </c>
      <c r="C17" s="14">
        <v>3</v>
      </c>
      <c r="D17" s="1">
        <v>100</v>
      </c>
      <c r="E17" s="14">
        <v>1000</v>
      </c>
      <c r="F17" s="1">
        <v>10</v>
      </c>
      <c r="G17" s="1"/>
      <c r="H17" s="14">
        <v>2400</v>
      </c>
      <c r="I17" s="14">
        <v>2</v>
      </c>
      <c r="J17" s="1">
        <f>SUM(I$17:I17)</f>
        <v>2</v>
      </c>
      <c r="K17" s="14">
        <v>2</v>
      </c>
      <c r="L17" s="1">
        <f>SUM(K$17:K17)</f>
        <v>2</v>
      </c>
    </row>
    <row r="18" spans="1:12" x14ac:dyDescent="0.25">
      <c r="A18" s="1">
        <v>3</v>
      </c>
      <c r="B18" s="1">
        <v>1</v>
      </c>
      <c r="C18" s="14">
        <v>6</v>
      </c>
      <c r="D18" s="1">
        <v>100</v>
      </c>
      <c r="E18" s="14">
        <v>1000</v>
      </c>
      <c r="F18" s="1">
        <v>10</v>
      </c>
      <c r="G18" s="1"/>
      <c r="H18" s="14">
        <v>2800</v>
      </c>
      <c r="I18" s="14">
        <v>10</v>
      </c>
      <c r="J18" s="1">
        <f>SUM(I$17:I18)</f>
        <v>12</v>
      </c>
      <c r="K18" s="14">
        <v>5</v>
      </c>
      <c r="L18" s="1">
        <f>SUM(K$17:K18)</f>
        <v>7</v>
      </c>
    </row>
    <row r="19" spans="1:12" x14ac:dyDescent="0.25">
      <c r="A19" s="1">
        <v>4</v>
      </c>
      <c r="B19" s="1">
        <v>1</v>
      </c>
      <c r="C19" s="14">
        <v>9</v>
      </c>
      <c r="D19" s="1">
        <v>100</v>
      </c>
      <c r="E19" s="14">
        <v>1000</v>
      </c>
      <c r="F19" s="1">
        <v>10</v>
      </c>
      <c r="G19" s="1"/>
      <c r="H19" s="14">
        <v>3000</v>
      </c>
      <c r="I19" s="14">
        <v>20</v>
      </c>
      <c r="J19" s="1">
        <f>SUM(I$17:I19)</f>
        <v>32</v>
      </c>
      <c r="K19" s="14">
        <v>10</v>
      </c>
      <c r="L19" s="1">
        <f>SUM(K$17:K19)</f>
        <v>17</v>
      </c>
    </row>
    <row r="20" spans="1:12" x14ac:dyDescent="0.25">
      <c r="A20" s="4">
        <v>5</v>
      </c>
      <c r="B20" s="1">
        <v>1</v>
      </c>
      <c r="C20" s="14">
        <v>30</v>
      </c>
      <c r="D20" s="1">
        <v>100</v>
      </c>
      <c r="E20" s="14">
        <v>1000</v>
      </c>
      <c r="F20" s="1">
        <v>10</v>
      </c>
      <c r="G20" s="1"/>
      <c r="H20" s="14">
        <v>3000</v>
      </c>
      <c r="I20" s="14">
        <v>30</v>
      </c>
      <c r="J20" s="1">
        <f>SUM(I$17:I20)</f>
        <v>62</v>
      </c>
      <c r="K20" s="14">
        <v>20</v>
      </c>
      <c r="L20" s="1">
        <f>SUM(K$17:K20)</f>
        <v>37</v>
      </c>
    </row>
    <row r="21" spans="1:12" x14ac:dyDescent="0.25">
      <c r="A21" s="4">
        <v>6</v>
      </c>
      <c r="B21" s="1">
        <v>1</v>
      </c>
      <c r="C21" s="14">
        <v>30</v>
      </c>
      <c r="D21" s="1">
        <v>100</v>
      </c>
      <c r="E21" s="14">
        <v>1000</v>
      </c>
      <c r="F21" s="1">
        <v>10</v>
      </c>
      <c r="G21" s="1"/>
      <c r="H21" s="14">
        <v>3000</v>
      </c>
      <c r="I21" s="14">
        <v>30</v>
      </c>
      <c r="J21" s="1">
        <f>SUM(I$17:I21)</f>
        <v>92</v>
      </c>
      <c r="K21" s="14">
        <v>30</v>
      </c>
      <c r="L21" s="1">
        <f>SUM(K$17:K21)</f>
        <v>67</v>
      </c>
    </row>
    <row r="22" spans="1:12" x14ac:dyDescent="0.25">
      <c r="A22" s="4">
        <v>7</v>
      </c>
      <c r="B22" s="1">
        <v>1</v>
      </c>
      <c r="C22" s="14">
        <v>30</v>
      </c>
      <c r="D22" s="1">
        <v>100</v>
      </c>
      <c r="E22" s="14">
        <v>1000</v>
      </c>
      <c r="F22" s="1">
        <v>10</v>
      </c>
      <c r="G22" s="1"/>
      <c r="H22" s="14">
        <v>3000</v>
      </c>
      <c r="I22" s="14">
        <v>30</v>
      </c>
      <c r="J22" s="1">
        <f>SUM(I$17:I22)</f>
        <v>122</v>
      </c>
      <c r="K22" s="14">
        <v>30</v>
      </c>
      <c r="L22" s="1">
        <f>SUM(K$17:K22)</f>
        <v>97</v>
      </c>
    </row>
  </sheetData>
  <phoneticPr fontId="20" type="noConversion"/>
  <pageMargins left="0.7" right="0.7" top="0.75" bottom="0.75" header="0.3" footer="0.3"/>
  <pageSetup paperSize="9" orientation="portrait"/>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46"/>
  <sheetViews>
    <sheetView workbookViewId="0">
      <selection activeCell="B1" sqref="B1"/>
    </sheetView>
  </sheetViews>
  <sheetFormatPr defaultColWidth="11" defaultRowHeight="13.8" x14ac:dyDescent="0.25"/>
  <cols>
    <col min="1" max="1" width="26.88671875" style="1" customWidth="1"/>
    <col min="2" max="2" width="12.33203125" style="1" customWidth="1"/>
    <col min="3" max="3" width="18.44140625" style="1" customWidth="1"/>
    <col min="4" max="4" width="11" style="1" customWidth="1"/>
    <col min="5" max="6" width="15.44140625" style="2" customWidth="1"/>
    <col min="7" max="7" width="11" style="1" customWidth="1"/>
    <col min="8" max="16384" width="11" style="1"/>
  </cols>
  <sheetData>
    <row r="1" spans="1:6" x14ac:dyDescent="0.25">
      <c r="A1" s="3" t="s">
        <v>546</v>
      </c>
      <c r="B1"/>
      <c r="C1" s="1" t="s">
        <v>547</v>
      </c>
    </row>
    <row r="2" spans="1:6" x14ac:dyDescent="0.25">
      <c r="A2" s="3" t="s">
        <v>548</v>
      </c>
      <c r="B2" s="1" t="s">
        <v>172</v>
      </c>
      <c r="C2" s="1" t="s">
        <v>550</v>
      </c>
    </row>
    <row r="3" spans="1:6" x14ac:dyDescent="0.25">
      <c r="A3" s="3" t="s">
        <v>551</v>
      </c>
      <c r="B3" s="4" t="s">
        <v>552</v>
      </c>
      <c r="C3" s="1" t="s">
        <v>553</v>
      </c>
    </row>
    <row r="4" spans="1:6" x14ac:dyDescent="0.25">
      <c r="A4" s="3" t="s">
        <v>554</v>
      </c>
      <c r="B4" s="5" t="s">
        <v>555</v>
      </c>
    </row>
    <row r="5" spans="1:6" x14ac:dyDescent="0.25">
      <c r="A5" s="3" t="s">
        <v>556</v>
      </c>
      <c r="C5" s="1" t="s">
        <v>557</v>
      </c>
    </row>
    <row r="6" spans="1:6" x14ac:dyDescent="0.25">
      <c r="A6" s="3" t="s">
        <v>558</v>
      </c>
      <c r="B6" s="1">
        <v>4</v>
      </c>
      <c r="C6" s="1" t="s">
        <v>559</v>
      </c>
    </row>
    <row r="7" spans="1:6" x14ac:dyDescent="0.25">
      <c r="A7" s="3" t="s">
        <v>560</v>
      </c>
    </row>
    <row r="8" spans="1:6" x14ac:dyDescent="0.25">
      <c r="A8" s="3" t="s">
        <v>561</v>
      </c>
    </row>
    <row r="11" spans="1:6" x14ac:dyDescent="0.25">
      <c r="A11" t="s">
        <v>160</v>
      </c>
      <c r="B11" s="1" t="s">
        <v>788</v>
      </c>
      <c r="C11" s="1" t="s">
        <v>789</v>
      </c>
      <c r="E11" s="1"/>
      <c r="F11" s="1"/>
    </row>
    <row r="12" spans="1:6" x14ac:dyDescent="0.25">
      <c r="A12" s="5" t="s">
        <v>166</v>
      </c>
      <c r="B12" s="5" t="s">
        <v>167</v>
      </c>
      <c r="C12" s="5" t="s">
        <v>790</v>
      </c>
      <c r="E12" s="1"/>
      <c r="F12" s="1"/>
    </row>
    <row r="13" spans="1:6" ht="15.6" x14ac:dyDescent="0.3">
      <c r="A13" s="5" t="s">
        <v>30</v>
      </c>
      <c r="B13" s="6" t="s">
        <v>30</v>
      </c>
      <c r="C13" s="5" t="s">
        <v>30</v>
      </c>
      <c r="E13" s="1"/>
      <c r="F13" s="1"/>
    </row>
    <row r="14" spans="1:6" ht="15.6" x14ac:dyDescent="0.3">
      <c r="A14" s="5" t="s">
        <v>574</v>
      </c>
      <c r="B14" s="6" t="s">
        <v>575</v>
      </c>
      <c r="C14" s="5" t="s">
        <v>575</v>
      </c>
      <c r="E14" s="1"/>
      <c r="F14" s="1"/>
    </row>
    <row r="15" spans="1:6" ht="15.6" x14ac:dyDescent="0.3">
      <c r="A15" s="5"/>
      <c r="B15" s="6">
        <v>0</v>
      </c>
      <c r="C15" s="5">
        <v>0</v>
      </c>
      <c r="E15" s="1"/>
      <c r="F15" s="1"/>
    </row>
    <row r="16" spans="1:6" x14ac:dyDescent="0.25">
      <c r="A16" s="1">
        <v>1</v>
      </c>
      <c r="B16" s="1">
        <v>500</v>
      </c>
      <c r="C16" s="1">
        <v>500</v>
      </c>
      <c r="E16" s="1"/>
      <c r="F16" s="1"/>
    </row>
    <row r="17" spans="1:6" x14ac:dyDescent="0.25">
      <c r="A17" s="1">
        <v>2</v>
      </c>
      <c r="B17" s="1">
        <v>1000</v>
      </c>
      <c r="C17" s="1">
        <v>1000</v>
      </c>
      <c r="E17" s="1"/>
      <c r="F17" s="1"/>
    </row>
    <row r="18" spans="1:6" x14ac:dyDescent="0.25">
      <c r="A18" s="1">
        <v>3</v>
      </c>
      <c r="B18" s="1">
        <v>1500</v>
      </c>
      <c r="C18" s="1">
        <v>1500</v>
      </c>
      <c r="E18" s="1"/>
      <c r="F18" s="1"/>
    </row>
    <row r="19" spans="1:6" x14ac:dyDescent="0.25">
      <c r="A19" s="1">
        <v>4</v>
      </c>
      <c r="B19" s="1">
        <v>2000</v>
      </c>
      <c r="C19" s="1">
        <v>2000</v>
      </c>
      <c r="E19" s="1"/>
      <c r="F19" s="1"/>
    </row>
    <row r="20" spans="1:6" x14ac:dyDescent="0.25">
      <c r="A20" s="1">
        <v>5</v>
      </c>
      <c r="B20" s="1">
        <v>2500</v>
      </c>
      <c r="C20" s="1">
        <v>2500</v>
      </c>
      <c r="E20" s="1"/>
      <c r="F20" s="1"/>
    </row>
    <row r="21" spans="1:6" x14ac:dyDescent="0.25">
      <c r="A21" s="1">
        <v>6</v>
      </c>
      <c r="B21" s="1">
        <v>3000</v>
      </c>
      <c r="C21" s="1">
        <v>3000</v>
      </c>
      <c r="E21" s="1"/>
      <c r="F21" s="1"/>
    </row>
    <row r="22" spans="1:6" x14ac:dyDescent="0.25">
      <c r="A22" s="1">
        <v>7</v>
      </c>
      <c r="B22" s="1">
        <v>3500</v>
      </c>
      <c r="C22" s="1">
        <v>3500</v>
      </c>
      <c r="E22" s="1"/>
      <c r="F22" s="1"/>
    </row>
    <row r="23" spans="1:6" x14ac:dyDescent="0.25">
      <c r="A23" s="1">
        <v>8</v>
      </c>
      <c r="B23" s="1">
        <v>4000</v>
      </c>
      <c r="C23" s="1">
        <v>4000</v>
      </c>
      <c r="F23" s="1"/>
    </row>
    <row r="24" spans="1:6" x14ac:dyDescent="0.25">
      <c r="A24" s="1">
        <v>9</v>
      </c>
      <c r="B24" s="1">
        <v>4500</v>
      </c>
      <c r="C24" s="1">
        <v>4500</v>
      </c>
    </row>
    <row r="25" spans="1:6" x14ac:dyDescent="0.25">
      <c r="A25" s="1">
        <v>10</v>
      </c>
      <c r="B25" s="1">
        <v>5000</v>
      </c>
      <c r="C25" s="1">
        <v>5000</v>
      </c>
    </row>
    <row r="26" spans="1:6" x14ac:dyDescent="0.25">
      <c r="A26" s="1">
        <v>11</v>
      </c>
      <c r="B26" s="1">
        <v>5500</v>
      </c>
      <c r="C26" s="1">
        <v>5500</v>
      </c>
    </row>
    <row r="27" spans="1:6" x14ac:dyDescent="0.25">
      <c r="A27" s="1">
        <v>12</v>
      </c>
      <c r="B27" s="1">
        <v>6000</v>
      </c>
      <c r="C27" s="1">
        <v>6000</v>
      </c>
    </row>
    <row r="28" spans="1:6" x14ac:dyDescent="0.25">
      <c r="A28" s="1">
        <v>13</v>
      </c>
      <c r="B28" s="1">
        <v>6500</v>
      </c>
      <c r="C28" s="1">
        <v>6500</v>
      </c>
    </row>
    <row r="29" spans="1:6" x14ac:dyDescent="0.25">
      <c r="A29" s="1">
        <v>14</v>
      </c>
      <c r="B29" s="1">
        <v>7000</v>
      </c>
      <c r="C29" s="1">
        <v>7000</v>
      </c>
    </row>
    <row r="30" spans="1:6" x14ac:dyDescent="0.25">
      <c r="A30" s="1">
        <v>15</v>
      </c>
      <c r="B30" s="1">
        <v>7500</v>
      </c>
      <c r="C30" s="1">
        <v>7500</v>
      </c>
    </row>
    <row r="31" spans="1:6" x14ac:dyDescent="0.25">
      <c r="A31" s="1">
        <v>16</v>
      </c>
      <c r="B31" s="1">
        <v>8000</v>
      </c>
      <c r="C31" s="1">
        <v>8000</v>
      </c>
    </row>
    <row r="32" spans="1:6" x14ac:dyDescent="0.25">
      <c r="A32" s="1">
        <v>17</v>
      </c>
      <c r="B32" s="1">
        <v>8500</v>
      </c>
      <c r="C32" s="1">
        <v>8500</v>
      </c>
    </row>
    <row r="33" spans="1:3" x14ac:dyDescent="0.25">
      <c r="A33" s="1">
        <v>18</v>
      </c>
      <c r="B33" s="1">
        <v>9000</v>
      </c>
      <c r="C33" s="1">
        <v>9000</v>
      </c>
    </row>
    <row r="34" spans="1:3" x14ac:dyDescent="0.25">
      <c r="A34" s="1">
        <v>19</v>
      </c>
      <c r="B34" s="1">
        <v>9500</v>
      </c>
      <c r="C34" s="1">
        <v>9500</v>
      </c>
    </row>
    <row r="35" spans="1:3" x14ac:dyDescent="0.25">
      <c r="A35" s="1">
        <v>20</v>
      </c>
      <c r="B35" s="1">
        <v>10000</v>
      </c>
      <c r="C35" s="1">
        <v>10000</v>
      </c>
    </row>
    <row r="36" spans="1:3" x14ac:dyDescent="0.25">
      <c r="A36" s="1">
        <v>21</v>
      </c>
      <c r="B36" s="1">
        <v>10500</v>
      </c>
      <c r="C36" s="1">
        <v>10500</v>
      </c>
    </row>
    <row r="37" spans="1:3" x14ac:dyDescent="0.25">
      <c r="A37" s="1">
        <v>22</v>
      </c>
      <c r="B37" s="1">
        <v>11000</v>
      </c>
      <c r="C37" s="1">
        <v>11000</v>
      </c>
    </row>
    <row r="38" spans="1:3" x14ac:dyDescent="0.25">
      <c r="A38" s="1">
        <v>23</v>
      </c>
      <c r="B38" s="1">
        <v>11500</v>
      </c>
      <c r="C38" s="1">
        <v>11500</v>
      </c>
    </row>
    <row r="39" spans="1:3" x14ac:dyDescent="0.25">
      <c r="A39" s="1">
        <v>24</v>
      </c>
      <c r="B39" s="1">
        <v>12000</v>
      </c>
      <c r="C39" s="1">
        <v>12000</v>
      </c>
    </row>
    <row r="40" spans="1:3" x14ac:dyDescent="0.25">
      <c r="A40" s="1">
        <v>25</v>
      </c>
      <c r="B40" s="1">
        <v>12500</v>
      </c>
      <c r="C40" s="1">
        <v>12500</v>
      </c>
    </row>
    <row r="41" spans="1:3" x14ac:dyDescent="0.25">
      <c r="A41" s="1">
        <v>26</v>
      </c>
      <c r="B41" s="1">
        <v>13000</v>
      </c>
      <c r="C41" s="1">
        <v>13000</v>
      </c>
    </row>
    <row r="42" spans="1:3" x14ac:dyDescent="0.25">
      <c r="A42" s="1">
        <v>27</v>
      </c>
      <c r="B42" s="1">
        <v>13500</v>
      </c>
      <c r="C42" s="1">
        <v>13500</v>
      </c>
    </row>
    <row r="43" spans="1:3" x14ac:dyDescent="0.25">
      <c r="A43" s="1">
        <v>28</v>
      </c>
      <c r="B43" s="1">
        <v>14000</v>
      </c>
      <c r="C43" s="1">
        <v>14000</v>
      </c>
    </row>
    <row r="44" spans="1:3" x14ac:dyDescent="0.25">
      <c r="A44" s="1">
        <v>29</v>
      </c>
      <c r="B44" s="1">
        <v>14500</v>
      </c>
      <c r="C44" s="1">
        <v>14500</v>
      </c>
    </row>
    <row r="45" spans="1:3" x14ac:dyDescent="0.25">
      <c r="A45" s="1">
        <v>30</v>
      </c>
      <c r="B45" s="1">
        <v>15000</v>
      </c>
      <c r="C45" s="1">
        <v>15000</v>
      </c>
    </row>
    <row r="46" spans="1:3" x14ac:dyDescent="0.25">
      <c r="A46" s="1">
        <v>31</v>
      </c>
      <c r="B46" s="1">
        <v>15500</v>
      </c>
      <c r="C46" s="1">
        <v>15500</v>
      </c>
    </row>
  </sheetData>
  <phoneticPr fontId="20" type="noConversion"/>
  <pageMargins left="0.7" right="0.7" top="0.75" bottom="0.75" header="0.3" footer="0.3"/>
  <pageSetup paperSize="9" orientation="portrai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23"/>
  <sheetViews>
    <sheetView workbookViewId="0">
      <selection activeCell="B1" sqref="B1"/>
    </sheetView>
  </sheetViews>
  <sheetFormatPr defaultColWidth="11" defaultRowHeight="13.8" x14ac:dyDescent="0.25"/>
  <cols>
    <col min="1" max="1" width="26.88671875" style="1" customWidth="1"/>
    <col min="2" max="2" width="27" style="1" customWidth="1"/>
    <col min="3" max="5" width="11" style="1" customWidth="1"/>
    <col min="6" max="7" width="15.44140625" style="2" customWidth="1"/>
    <col min="8" max="8" width="11" style="1" customWidth="1"/>
    <col min="9" max="16384" width="11" style="1"/>
  </cols>
  <sheetData>
    <row r="1" spans="1:7" x14ac:dyDescent="0.25">
      <c r="A1" s="3" t="s">
        <v>546</v>
      </c>
      <c r="C1" s="1" t="s">
        <v>547</v>
      </c>
    </row>
    <row r="2" spans="1:7" x14ac:dyDescent="0.25">
      <c r="A2" s="3" t="s">
        <v>548</v>
      </c>
      <c r="B2" s="1" t="s">
        <v>172</v>
      </c>
      <c r="C2" s="1" t="s">
        <v>550</v>
      </c>
    </row>
    <row r="3" spans="1:7" x14ac:dyDescent="0.25">
      <c r="A3" s="3" t="s">
        <v>551</v>
      </c>
      <c r="B3" s="4" t="s">
        <v>552</v>
      </c>
      <c r="C3" s="1" t="s">
        <v>553</v>
      </c>
    </row>
    <row r="4" spans="1:7" x14ac:dyDescent="0.25">
      <c r="A4" s="3" t="s">
        <v>554</v>
      </c>
      <c r="B4" s="5" t="s">
        <v>555</v>
      </c>
    </row>
    <row r="5" spans="1:7" x14ac:dyDescent="0.25">
      <c r="A5" s="3" t="s">
        <v>556</v>
      </c>
      <c r="C5" s="1" t="s">
        <v>557</v>
      </c>
    </row>
    <row r="6" spans="1:7" x14ac:dyDescent="0.25">
      <c r="A6" s="3" t="s">
        <v>558</v>
      </c>
      <c r="B6" s="1">
        <v>4</v>
      </c>
      <c r="C6" s="1" t="s">
        <v>559</v>
      </c>
    </row>
    <row r="7" spans="1:7" x14ac:dyDescent="0.25">
      <c r="A7" s="3" t="s">
        <v>560</v>
      </c>
    </row>
    <row r="8" spans="1:7" x14ac:dyDescent="0.25">
      <c r="A8" s="3" t="s">
        <v>561</v>
      </c>
    </row>
    <row r="11" spans="1:7" x14ac:dyDescent="0.25">
      <c r="A11" t="s">
        <v>791</v>
      </c>
      <c r="B11" s="1" t="s">
        <v>360</v>
      </c>
      <c r="F11" s="1"/>
      <c r="G11" s="1"/>
    </row>
    <row r="12" spans="1:7" ht="15.6" x14ac:dyDescent="0.3">
      <c r="A12" s="5" t="s">
        <v>792</v>
      </c>
      <c r="B12" s="5" t="s">
        <v>167</v>
      </c>
      <c r="C12" s="7"/>
      <c r="D12" s="7"/>
      <c r="F12" s="1"/>
      <c r="G12" s="1"/>
    </row>
    <row r="13" spans="1:7" ht="15.6" x14ac:dyDescent="0.3">
      <c r="A13" s="5" t="s">
        <v>30</v>
      </c>
      <c r="B13" s="6" t="s">
        <v>31</v>
      </c>
      <c r="C13" s="7"/>
      <c r="D13" s="7"/>
      <c r="F13" s="1"/>
      <c r="G13" s="1"/>
    </row>
    <row r="14" spans="1:7" ht="15.6" x14ac:dyDescent="0.3">
      <c r="A14" s="5" t="s">
        <v>574</v>
      </c>
      <c r="B14" s="6" t="s">
        <v>575</v>
      </c>
      <c r="C14" s="7"/>
      <c r="D14" s="7"/>
      <c r="F14" s="1"/>
      <c r="G14" s="1"/>
    </row>
    <row r="15" spans="1:7" ht="15.6" x14ac:dyDescent="0.3">
      <c r="A15" s="5"/>
      <c r="B15" s="6" t="s">
        <v>222</v>
      </c>
      <c r="C15" s="7"/>
      <c r="D15" s="7"/>
      <c r="F15" s="1"/>
      <c r="G15" s="1"/>
    </row>
    <row r="16" spans="1:7" x14ac:dyDescent="0.25">
      <c r="A16" s="1">
        <v>1</v>
      </c>
      <c r="B16" s="1" t="s">
        <v>793</v>
      </c>
      <c r="F16" s="1"/>
      <c r="G16" s="1"/>
    </row>
    <row r="17" spans="1:7" x14ac:dyDescent="0.25">
      <c r="A17" s="1">
        <v>2</v>
      </c>
      <c r="B17" s="1" t="s">
        <v>794</v>
      </c>
      <c r="F17" s="1"/>
      <c r="G17" s="1"/>
    </row>
    <row r="18" spans="1:7" x14ac:dyDescent="0.25">
      <c r="A18" s="1">
        <v>3</v>
      </c>
      <c r="B18" s="13" t="s">
        <v>795</v>
      </c>
      <c r="F18" s="1"/>
      <c r="G18" s="1"/>
    </row>
    <row r="19" spans="1:7" x14ac:dyDescent="0.25">
      <c r="F19" s="1"/>
      <c r="G19" s="1"/>
    </row>
    <row r="20" spans="1:7" x14ac:dyDescent="0.25">
      <c r="F20" s="1"/>
      <c r="G20" s="1"/>
    </row>
    <row r="21" spans="1:7" x14ac:dyDescent="0.25">
      <c r="F21" s="1"/>
      <c r="G21" s="1"/>
    </row>
    <row r="22" spans="1:7" x14ac:dyDescent="0.25">
      <c r="F22" s="1"/>
      <c r="G22" s="1"/>
    </row>
    <row r="23" spans="1:7" x14ac:dyDescent="0.25">
      <c r="E23" s="2"/>
      <c r="G23" s="1"/>
    </row>
  </sheetData>
  <phoneticPr fontId="20" type="noConversion"/>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71"/>
  <sheetViews>
    <sheetView workbookViewId="0">
      <selection activeCell="B1" sqref="B1"/>
    </sheetView>
  </sheetViews>
  <sheetFormatPr defaultColWidth="9" defaultRowHeight="13.8" x14ac:dyDescent="0.25"/>
  <cols>
    <col min="1" max="1" width="25.77734375" customWidth="1"/>
    <col min="2" max="2" width="19.77734375" customWidth="1"/>
    <col min="3" max="3" width="12.44140625" customWidth="1"/>
    <col min="4" max="4" width="20.33203125" customWidth="1"/>
    <col min="5" max="5" width="12.44140625" customWidth="1"/>
    <col min="6" max="7" width="12.6640625" customWidth="1"/>
    <col min="9" max="9" width="9" customWidth="1"/>
  </cols>
  <sheetData>
    <row r="1" spans="1:9" x14ac:dyDescent="0.25">
      <c r="A1" s="3" t="s">
        <v>546</v>
      </c>
      <c r="C1" t="s">
        <v>547</v>
      </c>
      <c r="H1" s="1"/>
    </row>
    <row r="2" spans="1:9" x14ac:dyDescent="0.25">
      <c r="A2" s="3" t="s">
        <v>548</v>
      </c>
      <c r="B2" t="s">
        <v>796</v>
      </c>
      <c r="C2" t="s">
        <v>550</v>
      </c>
      <c r="H2" s="1"/>
    </row>
    <row r="3" spans="1:9" x14ac:dyDescent="0.25">
      <c r="A3" s="3" t="s">
        <v>551</v>
      </c>
      <c r="B3" s="4" t="s">
        <v>552</v>
      </c>
      <c r="C3" t="s">
        <v>553</v>
      </c>
      <c r="H3" s="1"/>
    </row>
    <row r="4" spans="1:9" x14ac:dyDescent="0.25">
      <c r="A4" s="3" t="s">
        <v>554</v>
      </c>
      <c r="B4" s="5" t="s">
        <v>555</v>
      </c>
      <c r="H4" s="1"/>
    </row>
    <row r="5" spans="1:9" x14ac:dyDescent="0.25">
      <c r="A5" s="3" t="s">
        <v>556</v>
      </c>
      <c r="C5" t="s">
        <v>557</v>
      </c>
      <c r="H5" s="1"/>
    </row>
    <row r="6" spans="1:9" x14ac:dyDescent="0.25">
      <c r="A6" s="3" t="s">
        <v>558</v>
      </c>
      <c r="B6">
        <v>4</v>
      </c>
      <c r="C6" t="s">
        <v>559</v>
      </c>
      <c r="H6" s="1"/>
    </row>
    <row r="7" spans="1:9" x14ac:dyDescent="0.25">
      <c r="A7" s="3" t="s">
        <v>560</v>
      </c>
      <c r="H7" s="1"/>
    </row>
    <row r="8" spans="1:9" x14ac:dyDescent="0.25">
      <c r="A8" s="3" t="s">
        <v>561</v>
      </c>
      <c r="H8" s="1"/>
    </row>
    <row r="9" spans="1:9" x14ac:dyDescent="0.25">
      <c r="F9" s="1"/>
      <c r="G9" s="1"/>
      <c r="H9" s="2"/>
    </row>
    <row r="10" spans="1:9" x14ac:dyDescent="0.25">
      <c r="B10" s="2"/>
      <c r="C10" s="1"/>
      <c r="D10" s="1"/>
      <c r="E10" s="1"/>
      <c r="F10" s="1"/>
      <c r="G10" s="1"/>
      <c r="H10" s="1"/>
    </row>
    <row r="11" spans="1:9" x14ac:dyDescent="0.25">
      <c r="A11" t="s">
        <v>797</v>
      </c>
      <c r="B11" t="s">
        <v>798</v>
      </c>
      <c r="C11" s="1" t="s">
        <v>706</v>
      </c>
      <c r="D11" t="s">
        <v>707</v>
      </c>
      <c r="E11" s="1" t="s">
        <v>358</v>
      </c>
      <c r="F11" s="1" t="s">
        <v>359</v>
      </c>
      <c r="G11" s="1" t="s">
        <v>799</v>
      </c>
      <c r="H11" s="1" t="s">
        <v>800</v>
      </c>
      <c r="I11" s="1" t="s">
        <v>711</v>
      </c>
    </row>
    <row r="12" spans="1:9" x14ac:dyDescent="0.25">
      <c r="A12" s="5" t="s">
        <v>16</v>
      </c>
      <c r="B12" s="5" t="s">
        <v>363</v>
      </c>
      <c r="C12" s="5" t="s">
        <v>17</v>
      </c>
      <c r="D12" s="4" t="s">
        <v>713</v>
      </c>
      <c r="E12" s="5" t="s">
        <v>170</v>
      </c>
      <c r="F12" s="5" t="s">
        <v>715</v>
      </c>
      <c r="G12" s="5" t="s">
        <v>801</v>
      </c>
      <c r="H12" s="5" t="s">
        <v>167</v>
      </c>
      <c r="I12" s="5" t="s">
        <v>28</v>
      </c>
    </row>
    <row r="13" spans="1:9" ht="15.6" x14ac:dyDescent="0.3">
      <c r="A13" s="5" t="s">
        <v>30</v>
      </c>
      <c r="B13" s="5" t="s">
        <v>30</v>
      </c>
      <c r="C13" s="5" t="s">
        <v>30</v>
      </c>
      <c r="D13" s="4" t="s">
        <v>31</v>
      </c>
      <c r="E13" s="5" t="s">
        <v>30</v>
      </c>
      <c r="F13" s="6" t="s">
        <v>31</v>
      </c>
      <c r="G13" s="6" t="s">
        <v>30</v>
      </c>
      <c r="H13" s="6" t="s">
        <v>30</v>
      </c>
      <c r="I13" s="5" t="s">
        <v>30</v>
      </c>
    </row>
    <row r="14" spans="1:9" ht="15.6" x14ac:dyDescent="0.3">
      <c r="A14" s="5" t="s">
        <v>574</v>
      </c>
      <c r="B14" s="5" t="s">
        <v>574</v>
      </c>
      <c r="C14" s="5" t="s">
        <v>575</v>
      </c>
      <c r="D14" s="4" t="s">
        <v>35</v>
      </c>
      <c r="E14" s="5" t="s">
        <v>575</v>
      </c>
      <c r="F14" s="6" t="s">
        <v>575</v>
      </c>
      <c r="G14" s="6" t="s">
        <v>575</v>
      </c>
      <c r="H14" s="6" t="s">
        <v>575</v>
      </c>
      <c r="I14" s="5" t="s">
        <v>575</v>
      </c>
    </row>
    <row r="15" spans="1:9" ht="15.6" x14ac:dyDescent="0.3">
      <c r="A15" s="5"/>
      <c r="B15" s="5">
        <v>0</v>
      </c>
      <c r="C15" s="5">
        <v>0</v>
      </c>
      <c r="D15" s="4">
        <v>0</v>
      </c>
      <c r="E15" s="5">
        <v>0</v>
      </c>
      <c r="F15" s="6">
        <v>0</v>
      </c>
      <c r="G15" s="6">
        <v>0</v>
      </c>
      <c r="H15" s="6">
        <v>0</v>
      </c>
      <c r="I15" s="5">
        <v>0</v>
      </c>
    </row>
    <row r="16" spans="1:9" ht="15.6" x14ac:dyDescent="0.25">
      <c r="A16">
        <v>1</v>
      </c>
      <c r="B16">
        <v>1</v>
      </c>
      <c r="C16">
        <v>490511</v>
      </c>
      <c r="D16" s="11" t="s">
        <v>802</v>
      </c>
      <c r="E16" s="10">
        <v>1</v>
      </c>
      <c r="F16" s="10">
        <v>10</v>
      </c>
      <c r="G16" s="10">
        <v>0</v>
      </c>
      <c r="H16" s="1">
        <v>3201</v>
      </c>
      <c r="I16" s="12">
        <v>2</v>
      </c>
    </row>
    <row r="17" spans="1:9" ht="15.6" x14ac:dyDescent="0.25">
      <c r="A17">
        <v>2</v>
      </c>
      <c r="B17">
        <v>1</v>
      </c>
      <c r="C17">
        <v>490521</v>
      </c>
      <c r="D17" s="11" t="s">
        <v>803</v>
      </c>
      <c r="E17" s="10">
        <v>20</v>
      </c>
      <c r="F17" s="10">
        <v>1</v>
      </c>
      <c r="G17" s="10">
        <v>0</v>
      </c>
      <c r="H17" s="1">
        <v>3202</v>
      </c>
      <c r="I17" s="12">
        <v>36</v>
      </c>
    </row>
    <row r="18" spans="1:9" ht="15.6" x14ac:dyDescent="0.25">
      <c r="A18">
        <v>3</v>
      </c>
      <c r="B18">
        <v>1</v>
      </c>
      <c r="C18">
        <v>490531</v>
      </c>
      <c r="D18" s="11" t="s">
        <v>804</v>
      </c>
      <c r="E18" s="10">
        <v>4</v>
      </c>
      <c r="F18" s="10">
        <v>6</v>
      </c>
      <c r="G18" s="10">
        <v>0</v>
      </c>
      <c r="H18" s="1">
        <v>3203</v>
      </c>
      <c r="I18" s="12">
        <v>20</v>
      </c>
    </row>
    <row r="19" spans="1:9" ht="15.6" x14ac:dyDescent="0.25">
      <c r="A19">
        <v>4</v>
      </c>
      <c r="B19">
        <v>2</v>
      </c>
      <c r="C19">
        <v>490541</v>
      </c>
      <c r="D19" s="11" t="s">
        <v>805</v>
      </c>
      <c r="E19" s="10">
        <v>1</v>
      </c>
      <c r="F19" s="10">
        <v>20</v>
      </c>
      <c r="G19" s="10">
        <v>0</v>
      </c>
      <c r="H19" s="1">
        <v>3204</v>
      </c>
      <c r="I19" s="12">
        <v>2</v>
      </c>
    </row>
    <row r="20" spans="1:9" ht="15.6" x14ac:dyDescent="0.25">
      <c r="A20">
        <v>5</v>
      </c>
      <c r="B20">
        <v>2</v>
      </c>
      <c r="C20">
        <v>490551</v>
      </c>
      <c r="D20" s="11" t="s">
        <v>806</v>
      </c>
      <c r="E20" s="10">
        <v>19</v>
      </c>
      <c r="F20" s="10">
        <v>1</v>
      </c>
      <c r="G20" s="10">
        <v>0</v>
      </c>
      <c r="H20" s="1">
        <v>3205</v>
      </c>
      <c r="I20" s="12">
        <v>42</v>
      </c>
    </row>
    <row r="21" spans="1:9" ht="15.6" x14ac:dyDescent="0.25">
      <c r="A21">
        <v>6</v>
      </c>
      <c r="B21">
        <v>2</v>
      </c>
      <c r="C21">
        <v>490561</v>
      </c>
      <c r="D21" s="11" t="s">
        <v>807</v>
      </c>
      <c r="E21" s="10">
        <v>4</v>
      </c>
      <c r="F21" s="10">
        <v>24</v>
      </c>
      <c r="G21" s="10">
        <v>0</v>
      </c>
      <c r="H21" s="1">
        <v>3206</v>
      </c>
      <c r="I21" s="12">
        <v>20</v>
      </c>
    </row>
    <row r="22" spans="1:9" ht="15.6" x14ac:dyDescent="0.25">
      <c r="A22">
        <v>7</v>
      </c>
      <c r="B22">
        <v>3</v>
      </c>
      <c r="C22">
        <v>490571</v>
      </c>
      <c r="D22" s="11" t="s">
        <v>808</v>
      </c>
      <c r="E22" s="10">
        <v>1</v>
      </c>
      <c r="F22" s="10">
        <v>30</v>
      </c>
      <c r="G22" s="10">
        <v>0</v>
      </c>
      <c r="H22" s="1">
        <v>3207</v>
      </c>
      <c r="I22" s="12">
        <v>2</v>
      </c>
    </row>
    <row r="23" spans="1:9" ht="15.6" x14ac:dyDescent="0.25">
      <c r="A23">
        <v>8</v>
      </c>
      <c r="B23">
        <v>3</v>
      </c>
      <c r="C23">
        <v>490581</v>
      </c>
      <c r="D23" s="11" t="s">
        <v>809</v>
      </c>
      <c r="E23" s="10">
        <v>20</v>
      </c>
      <c r="F23" s="10">
        <v>3</v>
      </c>
      <c r="G23" s="10">
        <v>0</v>
      </c>
      <c r="H23" s="1">
        <v>3208</v>
      </c>
      <c r="I23" s="12">
        <v>36</v>
      </c>
    </row>
    <row r="24" spans="1:9" ht="15.6" x14ac:dyDescent="0.25">
      <c r="A24">
        <v>9</v>
      </c>
      <c r="B24">
        <v>3</v>
      </c>
      <c r="C24">
        <v>490591</v>
      </c>
      <c r="D24" s="11" t="s">
        <v>810</v>
      </c>
      <c r="E24" s="10">
        <v>4</v>
      </c>
      <c r="F24" s="10">
        <v>32</v>
      </c>
      <c r="G24" s="10">
        <v>0</v>
      </c>
      <c r="H24" s="1">
        <v>3209</v>
      </c>
      <c r="I24" s="12">
        <v>20</v>
      </c>
    </row>
    <row r="25" spans="1:9" ht="15.6" x14ac:dyDescent="0.25">
      <c r="A25">
        <v>10</v>
      </c>
      <c r="B25">
        <v>4</v>
      </c>
      <c r="C25">
        <v>490601</v>
      </c>
      <c r="D25" s="11" t="s">
        <v>811</v>
      </c>
      <c r="E25" s="10">
        <v>1</v>
      </c>
      <c r="F25" s="10">
        <v>40</v>
      </c>
      <c r="G25" s="10">
        <v>0</v>
      </c>
      <c r="H25" s="1">
        <v>3210</v>
      </c>
      <c r="I25" s="12">
        <v>2</v>
      </c>
    </row>
    <row r="26" spans="1:9" ht="15.6" x14ac:dyDescent="0.25">
      <c r="A26">
        <v>11</v>
      </c>
      <c r="B26">
        <v>4</v>
      </c>
      <c r="C26">
        <v>490611</v>
      </c>
      <c r="D26" s="11" t="s">
        <v>806</v>
      </c>
      <c r="E26" s="10">
        <v>19</v>
      </c>
      <c r="F26" s="10">
        <v>1</v>
      </c>
      <c r="G26" s="10">
        <v>0</v>
      </c>
      <c r="H26" s="1">
        <v>3211</v>
      </c>
      <c r="I26" s="12">
        <v>42</v>
      </c>
    </row>
    <row r="27" spans="1:9" ht="15.6" x14ac:dyDescent="0.25">
      <c r="A27">
        <v>12</v>
      </c>
      <c r="B27">
        <v>4</v>
      </c>
      <c r="C27">
        <v>490621</v>
      </c>
      <c r="D27" s="11" t="s">
        <v>812</v>
      </c>
      <c r="E27" s="10">
        <v>4</v>
      </c>
      <c r="F27" s="10">
        <v>48</v>
      </c>
      <c r="G27" s="10">
        <v>0</v>
      </c>
      <c r="H27" s="1">
        <v>3212</v>
      </c>
      <c r="I27" s="12">
        <v>20</v>
      </c>
    </row>
    <row r="28" spans="1:9" ht="15.6" x14ac:dyDescent="0.25">
      <c r="A28">
        <v>13</v>
      </c>
      <c r="B28">
        <v>5</v>
      </c>
      <c r="C28">
        <v>490631</v>
      </c>
      <c r="D28" s="11" t="s">
        <v>813</v>
      </c>
      <c r="E28" s="10">
        <v>1</v>
      </c>
      <c r="F28" s="10">
        <v>50</v>
      </c>
      <c r="G28" s="10">
        <v>0</v>
      </c>
      <c r="H28" s="1">
        <v>3213</v>
      </c>
      <c r="I28" s="12">
        <v>2</v>
      </c>
    </row>
    <row r="29" spans="1:9" ht="15.6" x14ac:dyDescent="0.25">
      <c r="A29">
        <v>14</v>
      </c>
      <c r="B29">
        <v>5</v>
      </c>
      <c r="C29">
        <v>490641</v>
      </c>
      <c r="D29" s="11" t="s">
        <v>814</v>
      </c>
      <c r="E29" s="10">
        <v>21</v>
      </c>
      <c r="F29" s="10">
        <v>1</v>
      </c>
      <c r="G29" s="10">
        <v>0</v>
      </c>
      <c r="H29" s="1">
        <v>3214</v>
      </c>
      <c r="I29" s="12">
        <v>36</v>
      </c>
    </row>
    <row r="30" spans="1:9" ht="15.6" x14ac:dyDescent="0.25">
      <c r="A30">
        <v>15</v>
      </c>
      <c r="B30">
        <v>5</v>
      </c>
      <c r="C30">
        <v>490651</v>
      </c>
      <c r="D30" s="11" t="s">
        <v>722</v>
      </c>
      <c r="E30" s="10">
        <v>4</v>
      </c>
      <c r="F30" s="10">
        <v>68</v>
      </c>
      <c r="G30" s="10">
        <v>0</v>
      </c>
      <c r="H30" s="1">
        <v>3215</v>
      </c>
      <c r="I30" s="12">
        <v>20</v>
      </c>
    </row>
    <row r="31" spans="1:9" ht="15.6" x14ac:dyDescent="0.25">
      <c r="A31">
        <v>16</v>
      </c>
      <c r="B31">
        <v>6</v>
      </c>
      <c r="C31">
        <v>490661</v>
      </c>
      <c r="D31" s="11" t="s">
        <v>815</v>
      </c>
      <c r="E31" s="10">
        <v>1</v>
      </c>
      <c r="F31" s="10">
        <v>60</v>
      </c>
      <c r="G31" s="10">
        <v>0</v>
      </c>
      <c r="H31" s="1">
        <v>3216</v>
      </c>
      <c r="I31" s="12">
        <v>2</v>
      </c>
    </row>
    <row r="32" spans="1:9" ht="15.6" x14ac:dyDescent="0.25">
      <c r="A32">
        <v>17</v>
      </c>
      <c r="B32">
        <v>6</v>
      </c>
      <c r="C32">
        <v>490671</v>
      </c>
      <c r="D32" s="11" t="s">
        <v>816</v>
      </c>
      <c r="E32" s="10">
        <v>20</v>
      </c>
      <c r="F32" s="10">
        <v>5</v>
      </c>
      <c r="G32" s="10">
        <v>0</v>
      </c>
      <c r="H32" s="1">
        <v>3217</v>
      </c>
      <c r="I32" s="12">
        <v>36</v>
      </c>
    </row>
    <row r="33" spans="1:9" ht="15.6" x14ac:dyDescent="0.25">
      <c r="A33">
        <v>18</v>
      </c>
      <c r="B33">
        <v>6</v>
      </c>
      <c r="C33">
        <v>490681</v>
      </c>
      <c r="D33" s="11" t="s">
        <v>817</v>
      </c>
      <c r="E33" s="10">
        <v>4</v>
      </c>
      <c r="F33" s="10">
        <v>88</v>
      </c>
      <c r="G33" s="10">
        <v>0</v>
      </c>
      <c r="H33" s="1">
        <v>3218</v>
      </c>
      <c r="I33" s="12">
        <v>20</v>
      </c>
    </row>
    <row r="34" spans="1:9" ht="15.6" x14ac:dyDescent="0.25">
      <c r="A34">
        <v>19</v>
      </c>
      <c r="B34">
        <v>7</v>
      </c>
      <c r="C34">
        <v>490691</v>
      </c>
      <c r="D34" s="11" t="s">
        <v>818</v>
      </c>
      <c r="E34" s="10">
        <v>1</v>
      </c>
      <c r="F34" s="10">
        <v>70</v>
      </c>
      <c r="G34" s="10">
        <v>0</v>
      </c>
      <c r="H34" s="1">
        <v>3219</v>
      </c>
      <c r="I34" s="12">
        <v>2</v>
      </c>
    </row>
    <row r="35" spans="1:9" ht="15.6" x14ac:dyDescent="0.25">
      <c r="A35">
        <v>20</v>
      </c>
      <c r="B35">
        <v>7</v>
      </c>
      <c r="C35">
        <v>490701</v>
      </c>
      <c r="D35" s="11" t="s">
        <v>819</v>
      </c>
      <c r="E35" s="10">
        <v>21</v>
      </c>
      <c r="F35" s="10">
        <v>2</v>
      </c>
      <c r="G35" s="10">
        <v>0</v>
      </c>
      <c r="H35" s="1">
        <v>3220</v>
      </c>
      <c r="I35" s="12">
        <v>36</v>
      </c>
    </row>
    <row r="36" spans="1:9" ht="15.6" x14ac:dyDescent="0.25">
      <c r="A36">
        <v>21</v>
      </c>
      <c r="B36">
        <v>7</v>
      </c>
      <c r="C36">
        <v>490711</v>
      </c>
      <c r="D36" s="11" t="s">
        <v>723</v>
      </c>
      <c r="E36" s="10">
        <v>4</v>
      </c>
      <c r="F36" s="10">
        <v>108</v>
      </c>
      <c r="G36" s="10">
        <v>0</v>
      </c>
      <c r="H36" s="1">
        <v>3221</v>
      </c>
      <c r="I36" s="12">
        <v>20</v>
      </c>
    </row>
    <row r="37" spans="1:9" x14ac:dyDescent="0.25">
      <c r="H37" s="10"/>
    </row>
    <row r="38" spans="1:9" x14ac:dyDescent="0.25">
      <c r="H38" s="10"/>
    </row>
    <row r="39" spans="1:9" x14ac:dyDescent="0.25">
      <c r="H39" s="10"/>
    </row>
    <row r="40" spans="1:9" x14ac:dyDescent="0.25">
      <c r="H40" s="10"/>
    </row>
    <row r="41" spans="1:9" x14ac:dyDescent="0.25">
      <c r="H41" s="10"/>
    </row>
    <row r="42" spans="1:9" x14ac:dyDescent="0.25">
      <c r="H42" s="10"/>
    </row>
    <row r="43" spans="1:9" x14ac:dyDescent="0.25">
      <c r="H43" s="10"/>
    </row>
    <row r="44" spans="1:9" x14ac:dyDescent="0.25">
      <c r="H44" s="10"/>
    </row>
    <row r="45" spans="1:9" x14ac:dyDescent="0.25">
      <c r="H45" s="10"/>
    </row>
    <row r="46" spans="1:9" x14ac:dyDescent="0.25">
      <c r="H46" s="10"/>
    </row>
    <row r="47" spans="1:9" x14ac:dyDescent="0.25">
      <c r="H47" s="10"/>
    </row>
    <row r="48" spans="1:9" x14ac:dyDescent="0.25">
      <c r="H48" s="10"/>
    </row>
    <row r="49" spans="8:8" x14ac:dyDescent="0.25">
      <c r="H49" s="10"/>
    </row>
    <row r="50" spans="8:8" x14ac:dyDescent="0.25">
      <c r="H50" s="10"/>
    </row>
    <row r="51" spans="8:8" x14ac:dyDescent="0.25">
      <c r="H51" s="10"/>
    </row>
    <row r="52" spans="8:8" x14ac:dyDescent="0.25">
      <c r="H52" s="10"/>
    </row>
    <row r="53" spans="8:8" x14ac:dyDescent="0.25">
      <c r="H53" s="10"/>
    </row>
    <row r="54" spans="8:8" x14ac:dyDescent="0.25">
      <c r="H54" s="10"/>
    </row>
    <row r="55" spans="8:8" x14ac:dyDescent="0.25">
      <c r="H55" s="10"/>
    </row>
    <row r="56" spans="8:8" x14ac:dyDescent="0.25">
      <c r="H56" s="10"/>
    </row>
    <row r="57" spans="8:8" x14ac:dyDescent="0.25">
      <c r="H57" s="10"/>
    </row>
    <row r="58" spans="8:8" x14ac:dyDescent="0.25">
      <c r="H58" s="10"/>
    </row>
    <row r="59" spans="8:8" x14ac:dyDescent="0.25">
      <c r="H59" s="10"/>
    </row>
    <row r="60" spans="8:8" x14ac:dyDescent="0.25">
      <c r="H60" s="10"/>
    </row>
    <row r="61" spans="8:8" x14ac:dyDescent="0.25">
      <c r="H61" s="10"/>
    </row>
    <row r="62" spans="8:8" x14ac:dyDescent="0.25">
      <c r="H62" s="10"/>
    </row>
    <row r="63" spans="8:8" x14ac:dyDescent="0.25">
      <c r="H63" s="10"/>
    </row>
    <row r="64" spans="8:8" x14ac:dyDescent="0.25">
      <c r="H64" s="10"/>
    </row>
    <row r="65" spans="8:8" x14ac:dyDescent="0.25">
      <c r="H65" s="10"/>
    </row>
    <row r="66" spans="8:8" x14ac:dyDescent="0.25">
      <c r="H66" s="10"/>
    </row>
    <row r="67" spans="8:8" x14ac:dyDescent="0.25">
      <c r="H67" s="10"/>
    </row>
    <row r="68" spans="8:8" x14ac:dyDescent="0.25">
      <c r="H68" s="10"/>
    </row>
    <row r="69" spans="8:8" x14ac:dyDescent="0.25">
      <c r="H69" s="10"/>
    </row>
    <row r="70" spans="8:8" x14ac:dyDescent="0.25">
      <c r="H70" s="10"/>
    </row>
    <row r="71" spans="8:8" x14ac:dyDescent="0.25">
      <c r="H71" s="10"/>
    </row>
  </sheetData>
  <phoneticPr fontId="20" type="noConversion"/>
  <pageMargins left="0.7" right="0.7" top="0.75" bottom="0.75" header="0.3" footer="0.3"/>
  <pageSetup paperSize="9" orientation="portrait"/>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38"/>
  <sheetViews>
    <sheetView workbookViewId="0">
      <selection activeCell="B1" sqref="B1"/>
    </sheetView>
  </sheetViews>
  <sheetFormatPr defaultColWidth="9" defaultRowHeight="13.8" x14ac:dyDescent="0.25"/>
  <cols>
    <col min="1" max="1" width="25.77734375" customWidth="1"/>
    <col min="2" max="2" width="15.109375" customWidth="1"/>
    <col min="3" max="3" width="12.44140625" customWidth="1"/>
    <col min="4" max="4" width="12.6640625" customWidth="1"/>
  </cols>
  <sheetData>
    <row r="1" spans="1:5" x14ac:dyDescent="0.25">
      <c r="A1" s="3" t="s">
        <v>546</v>
      </c>
      <c r="C1" t="s">
        <v>547</v>
      </c>
      <c r="E1" s="1"/>
    </row>
    <row r="2" spans="1:5" x14ac:dyDescent="0.25">
      <c r="A2" s="3" t="s">
        <v>548</v>
      </c>
      <c r="B2" t="s">
        <v>820</v>
      </c>
      <c r="C2" t="s">
        <v>550</v>
      </c>
      <c r="E2" s="1"/>
    </row>
    <row r="3" spans="1:5" x14ac:dyDescent="0.25">
      <c r="A3" s="3" t="s">
        <v>551</v>
      </c>
      <c r="B3" s="4" t="s">
        <v>552</v>
      </c>
      <c r="C3" t="s">
        <v>553</v>
      </c>
      <c r="E3" s="1"/>
    </row>
    <row r="4" spans="1:5" x14ac:dyDescent="0.25">
      <c r="A4" s="3" t="s">
        <v>554</v>
      </c>
      <c r="B4" s="5" t="s">
        <v>555</v>
      </c>
      <c r="E4" s="1"/>
    </row>
    <row r="5" spans="1:5" x14ac:dyDescent="0.25">
      <c r="A5" s="3" t="s">
        <v>556</v>
      </c>
      <c r="C5" t="s">
        <v>557</v>
      </c>
      <c r="E5" s="1"/>
    </row>
    <row r="6" spans="1:5" x14ac:dyDescent="0.25">
      <c r="A6" s="3" t="s">
        <v>558</v>
      </c>
      <c r="B6">
        <v>4</v>
      </c>
      <c r="C6" t="s">
        <v>559</v>
      </c>
      <c r="E6" s="1"/>
    </row>
    <row r="7" spans="1:5" x14ac:dyDescent="0.25">
      <c r="A7" s="3" t="s">
        <v>560</v>
      </c>
      <c r="E7" s="1"/>
    </row>
    <row r="8" spans="1:5" x14ac:dyDescent="0.25">
      <c r="A8" s="3" t="s">
        <v>561</v>
      </c>
      <c r="E8" s="1"/>
    </row>
    <row r="9" spans="1:5" x14ac:dyDescent="0.25">
      <c r="D9" s="1"/>
      <c r="E9" s="2"/>
    </row>
    <row r="10" spans="1:5" x14ac:dyDescent="0.25">
      <c r="B10" s="2"/>
      <c r="C10" s="1"/>
      <c r="D10" s="1"/>
      <c r="E10" s="1"/>
    </row>
    <row r="11" spans="1:5" x14ac:dyDescent="0.25">
      <c r="A11" t="s">
        <v>360</v>
      </c>
      <c r="B11" t="s">
        <v>499</v>
      </c>
      <c r="C11" s="1" t="s">
        <v>821</v>
      </c>
      <c r="D11" s="1" t="s">
        <v>359</v>
      </c>
      <c r="E11" s="1"/>
    </row>
    <row r="12" spans="1:5" x14ac:dyDescent="0.25">
      <c r="A12" s="5" t="s">
        <v>482</v>
      </c>
      <c r="B12" s="5" t="s">
        <v>167</v>
      </c>
      <c r="C12" s="5" t="s">
        <v>170</v>
      </c>
      <c r="D12" s="5" t="s">
        <v>715</v>
      </c>
    </row>
    <row r="13" spans="1:5" ht="15.6" x14ac:dyDescent="0.3">
      <c r="A13" s="5" t="s">
        <v>30</v>
      </c>
      <c r="B13" s="5" t="s">
        <v>30</v>
      </c>
      <c r="C13" s="5" t="s">
        <v>30</v>
      </c>
      <c r="D13" s="5" t="s">
        <v>30</v>
      </c>
      <c r="E13" s="7"/>
    </row>
    <row r="14" spans="1:5" ht="15.6" x14ac:dyDescent="0.3">
      <c r="A14" s="5" t="s">
        <v>574</v>
      </c>
      <c r="B14" s="5" t="s">
        <v>575</v>
      </c>
      <c r="C14" s="5" t="s">
        <v>575</v>
      </c>
      <c r="D14" s="5" t="s">
        <v>575</v>
      </c>
      <c r="E14" s="7"/>
    </row>
    <row r="15" spans="1:5" ht="15.6" x14ac:dyDescent="0.3">
      <c r="A15" s="5"/>
      <c r="B15" s="5">
        <v>0</v>
      </c>
      <c r="C15" s="5">
        <v>0</v>
      </c>
      <c r="D15" s="5">
        <v>0</v>
      </c>
      <c r="E15" s="7"/>
    </row>
    <row r="16" spans="1:5" x14ac:dyDescent="0.25">
      <c r="A16" s="10">
        <v>1</v>
      </c>
      <c r="B16" s="10">
        <v>3101</v>
      </c>
      <c r="C16" s="10">
        <v>1</v>
      </c>
      <c r="D16" s="10">
        <v>1</v>
      </c>
    </row>
    <row r="17" spans="1:4" x14ac:dyDescent="0.25">
      <c r="A17" s="10">
        <v>2</v>
      </c>
      <c r="B17" s="10">
        <v>3102</v>
      </c>
      <c r="C17" s="10">
        <v>1</v>
      </c>
      <c r="D17" s="10">
        <v>2</v>
      </c>
    </row>
    <row r="18" spans="1:4" x14ac:dyDescent="0.25">
      <c r="A18" s="10">
        <v>3</v>
      </c>
      <c r="B18" s="10">
        <v>3103</v>
      </c>
      <c r="C18" s="10">
        <v>1</v>
      </c>
      <c r="D18" s="10">
        <v>3</v>
      </c>
    </row>
    <row r="19" spans="1:4" x14ac:dyDescent="0.25">
      <c r="A19" s="10">
        <v>4</v>
      </c>
      <c r="B19" s="10">
        <v>3104</v>
      </c>
      <c r="C19" s="10">
        <v>1</v>
      </c>
      <c r="D19" s="10">
        <v>4</v>
      </c>
    </row>
    <row r="20" spans="1:4" x14ac:dyDescent="0.25">
      <c r="A20" s="10">
        <v>5</v>
      </c>
      <c r="B20" s="10">
        <v>3105</v>
      </c>
      <c r="C20" s="10">
        <v>1</v>
      </c>
      <c r="D20" s="10">
        <v>5</v>
      </c>
    </row>
    <row r="21" spans="1:4" x14ac:dyDescent="0.25">
      <c r="A21" s="10">
        <v>6</v>
      </c>
      <c r="B21" s="10">
        <v>3106</v>
      </c>
      <c r="C21" s="10">
        <v>1</v>
      </c>
      <c r="D21" s="10">
        <v>6</v>
      </c>
    </row>
    <row r="22" spans="1:4" x14ac:dyDescent="0.25">
      <c r="A22" s="10">
        <v>7</v>
      </c>
      <c r="B22" s="10">
        <v>3107</v>
      </c>
      <c r="C22" s="10">
        <v>1</v>
      </c>
      <c r="D22" s="10">
        <v>7</v>
      </c>
    </row>
    <row r="23" spans="1:4" x14ac:dyDescent="0.25">
      <c r="A23" s="10">
        <v>8</v>
      </c>
      <c r="B23" s="10">
        <v>3108</v>
      </c>
      <c r="C23" s="10">
        <v>1</v>
      </c>
      <c r="D23" s="10">
        <v>8</v>
      </c>
    </row>
    <row r="24" spans="1:4" x14ac:dyDescent="0.25">
      <c r="A24" s="10">
        <v>9</v>
      </c>
      <c r="B24" s="10">
        <v>3109</v>
      </c>
      <c r="C24" s="10">
        <v>1</v>
      </c>
      <c r="D24" s="10">
        <v>9</v>
      </c>
    </row>
    <row r="25" spans="1:4" x14ac:dyDescent="0.25">
      <c r="A25" s="10">
        <v>10</v>
      </c>
      <c r="B25" s="10">
        <v>3110</v>
      </c>
      <c r="C25" s="10">
        <v>1</v>
      </c>
      <c r="D25" s="10">
        <v>10</v>
      </c>
    </row>
    <row r="26" spans="1:4" x14ac:dyDescent="0.25">
      <c r="A26" s="10">
        <v>11</v>
      </c>
      <c r="B26" s="10">
        <v>3602</v>
      </c>
      <c r="C26" s="10">
        <v>2</v>
      </c>
      <c r="D26" s="10">
        <v>120</v>
      </c>
    </row>
    <row r="27" spans="1:4" x14ac:dyDescent="0.25">
      <c r="B27" s="10"/>
    </row>
    <row r="28" spans="1:4" x14ac:dyDescent="0.25">
      <c r="B28" s="10"/>
    </row>
    <row r="29" spans="1:4" x14ac:dyDescent="0.25">
      <c r="B29" s="10"/>
    </row>
    <row r="30" spans="1:4" x14ac:dyDescent="0.25">
      <c r="B30" s="10"/>
    </row>
    <row r="31" spans="1:4" x14ac:dyDescent="0.25">
      <c r="B31" s="10"/>
    </row>
    <row r="32" spans="1:4" x14ac:dyDescent="0.25">
      <c r="B32" s="10"/>
    </row>
    <row r="33" spans="2:2" x14ac:dyDescent="0.25">
      <c r="B33" s="10"/>
    </row>
    <row r="34" spans="2:2" x14ac:dyDescent="0.25">
      <c r="B34" s="10"/>
    </row>
    <row r="35" spans="2:2" x14ac:dyDescent="0.25">
      <c r="B35" s="10"/>
    </row>
    <row r="36" spans="2:2" x14ac:dyDescent="0.25">
      <c r="B36" s="10"/>
    </row>
    <row r="37" spans="2:2" x14ac:dyDescent="0.25">
      <c r="B37" s="10"/>
    </row>
    <row r="38" spans="2:2" x14ac:dyDescent="0.25">
      <c r="B38" s="10"/>
    </row>
  </sheetData>
  <phoneticPr fontId="20" type="noConversion"/>
  <pageMargins left="0.7" right="0.7" top="0.75" bottom="0.75" header="0.3" footer="0.3"/>
  <pageSetup paperSize="9" orientation="portrait"/>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44"/>
  <sheetViews>
    <sheetView workbookViewId="0">
      <selection activeCell="B1" sqref="B1"/>
    </sheetView>
  </sheetViews>
  <sheetFormatPr defaultColWidth="11" defaultRowHeight="13.8" x14ac:dyDescent="0.25"/>
  <cols>
    <col min="1" max="1" width="26.88671875" style="1" customWidth="1"/>
    <col min="2" max="2" width="12.33203125" style="1" customWidth="1"/>
    <col min="3" max="3" width="11" style="1" customWidth="1"/>
    <col min="4" max="5" width="15.44140625" style="2" customWidth="1"/>
    <col min="6" max="6" width="11" style="1" customWidth="1"/>
    <col min="7" max="16384" width="11" style="1"/>
  </cols>
  <sheetData>
    <row r="1" spans="1:5" x14ac:dyDescent="0.25">
      <c r="A1" s="3" t="s">
        <v>546</v>
      </c>
      <c r="B1"/>
      <c r="C1" s="1" t="s">
        <v>547</v>
      </c>
    </row>
    <row r="2" spans="1:5" x14ac:dyDescent="0.25">
      <c r="A2" s="3" t="s">
        <v>548</v>
      </c>
      <c r="B2" s="1" t="s">
        <v>172</v>
      </c>
      <c r="C2" s="1" t="s">
        <v>550</v>
      </c>
    </row>
    <row r="3" spans="1:5" x14ac:dyDescent="0.25">
      <c r="A3" s="3" t="s">
        <v>551</v>
      </c>
      <c r="B3" s="4" t="s">
        <v>552</v>
      </c>
      <c r="C3" s="1" t="s">
        <v>553</v>
      </c>
    </row>
    <row r="4" spans="1:5" x14ac:dyDescent="0.25">
      <c r="A4" s="3" t="s">
        <v>554</v>
      </c>
      <c r="B4" s="5" t="s">
        <v>555</v>
      </c>
    </row>
    <row r="5" spans="1:5" x14ac:dyDescent="0.25">
      <c r="A5" s="3" t="s">
        <v>556</v>
      </c>
      <c r="C5" s="1" t="s">
        <v>557</v>
      </c>
    </row>
    <row r="6" spans="1:5" x14ac:dyDescent="0.25">
      <c r="A6" s="3" t="s">
        <v>558</v>
      </c>
      <c r="B6" s="1">
        <v>4</v>
      </c>
      <c r="C6" s="1" t="s">
        <v>559</v>
      </c>
    </row>
    <row r="7" spans="1:5" x14ac:dyDescent="0.25">
      <c r="A7" s="3" t="s">
        <v>560</v>
      </c>
    </row>
    <row r="8" spans="1:5" x14ac:dyDescent="0.25">
      <c r="A8" s="3" t="s">
        <v>561</v>
      </c>
    </row>
    <row r="11" spans="1:5" x14ac:dyDescent="0.25">
      <c r="A11" t="s">
        <v>160</v>
      </c>
      <c r="B11" s="1" t="s">
        <v>800</v>
      </c>
      <c r="D11" s="1"/>
      <c r="E11" s="1"/>
    </row>
    <row r="12" spans="1:5" x14ac:dyDescent="0.25">
      <c r="A12" s="5" t="s">
        <v>363</v>
      </c>
      <c r="B12" s="5" t="s">
        <v>167</v>
      </c>
      <c r="C12"/>
      <c r="D12" s="1"/>
      <c r="E12" s="1"/>
    </row>
    <row r="13" spans="1:5" ht="15.6" x14ac:dyDescent="0.3">
      <c r="A13" s="5" t="s">
        <v>30</v>
      </c>
      <c r="B13" s="6" t="s">
        <v>30</v>
      </c>
      <c r="C13" s="7"/>
      <c r="D13" s="1"/>
      <c r="E13" s="1"/>
    </row>
    <row r="14" spans="1:5" ht="15.6" x14ac:dyDescent="0.3">
      <c r="A14" s="5" t="s">
        <v>574</v>
      </c>
      <c r="B14" s="6" t="s">
        <v>575</v>
      </c>
      <c r="C14" s="7"/>
      <c r="D14" s="1"/>
      <c r="E14" s="1"/>
    </row>
    <row r="15" spans="1:5" ht="15.6" x14ac:dyDescent="0.3">
      <c r="A15" s="5"/>
      <c r="B15" s="6">
        <v>0</v>
      </c>
      <c r="C15" s="7"/>
      <c r="D15" s="1"/>
      <c r="E15" s="1"/>
    </row>
    <row r="16" spans="1:5" x14ac:dyDescent="0.25">
      <c r="A16" s="1">
        <v>1</v>
      </c>
      <c r="B16" s="1">
        <v>3004</v>
      </c>
      <c r="D16" s="1">
        <v>1</v>
      </c>
      <c r="E16" s="1"/>
    </row>
    <row r="17" spans="1:5" x14ac:dyDescent="0.25">
      <c r="A17" s="1">
        <v>2</v>
      </c>
      <c r="B17" s="1">
        <v>3005</v>
      </c>
      <c r="D17" s="1">
        <v>3</v>
      </c>
      <c r="E17" s="1"/>
    </row>
    <row r="18" spans="1:5" ht="15.6" x14ac:dyDescent="0.3">
      <c r="A18" s="8">
        <v>3</v>
      </c>
      <c r="B18" s="8">
        <v>3006</v>
      </c>
      <c r="C18" s="8"/>
      <c r="D18" s="8">
        <v>7</v>
      </c>
      <c r="E18" s="1"/>
    </row>
    <row r="19" spans="1:5" x14ac:dyDescent="0.25">
      <c r="A19" s="1">
        <v>5</v>
      </c>
      <c r="B19" s="1">
        <v>3007</v>
      </c>
      <c r="D19" s="1">
        <v>12</v>
      </c>
      <c r="E19" s="1"/>
    </row>
    <row r="20" spans="1:5" x14ac:dyDescent="0.25">
      <c r="A20" s="1">
        <v>7</v>
      </c>
      <c r="B20" s="1">
        <v>3008</v>
      </c>
      <c r="D20" s="1">
        <v>18</v>
      </c>
      <c r="E20" s="1"/>
    </row>
    <row r="21" spans="1:5" ht="15.6" x14ac:dyDescent="0.3">
      <c r="A21" s="1">
        <v>12</v>
      </c>
      <c r="B21" s="8">
        <v>3009</v>
      </c>
      <c r="C21" s="8"/>
      <c r="D21" s="1">
        <v>24</v>
      </c>
      <c r="E21" s="1"/>
    </row>
    <row r="22" spans="1:5" x14ac:dyDescent="0.25">
      <c r="C22" s="9"/>
    </row>
    <row r="23" spans="1:5" ht="15.6" x14ac:dyDescent="0.3">
      <c r="B23" s="8"/>
      <c r="C23" s="9"/>
    </row>
    <row r="24" spans="1:5" x14ac:dyDescent="0.25">
      <c r="C24" s="9"/>
    </row>
    <row r="25" spans="1:5" x14ac:dyDescent="0.25">
      <c r="C25" s="9"/>
    </row>
    <row r="26" spans="1:5" x14ac:dyDescent="0.25">
      <c r="C26" s="9"/>
    </row>
    <row r="27" spans="1:5" x14ac:dyDescent="0.25">
      <c r="C27" s="9"/>
    </row>
    <row r="28" spans="1:5" x14ac:dyDescent="0.25">
      <c r="C28" s="9"/>
    </row>
    <row r="29" spans="1:5" x14ac:dyDescent="0.25">
      <c r="C29" s="9"/>
    </row>
    <row r="30" spans="1:5" ht="15.6" x14ac:dyDescent="0.3">
      <c r="B30" s="8"/>
      <c r="C30" s="9"/>
    </row>
    <row r="31" spans="1:5" x14ac:dyDescent="0.25">
      <c r="C31" s="9"/>
    </row>
    <row r="32" spans="1:5" x14ac:dyDescent="0.25">
      <c r="C32" s="9"/>
    </row>
    <row r="33" spans="2:3" x14ac:dyDescent="0.25">
      <c r="C33" s="9"/>
    </row>
    <row r="34" spans="2:3" x14ac:dyDescent="0.25">
      <c r="C34" s="9"/>
    </row>
    <row r="35" spans="2:3" x14ac:dyDescent="0.25">
      <c r="C35" s="9"/>
    </row>
    <row r="36" spans="2:3" x14ac:dyDescent="0.25">
      <c r="C36" s="9"/>
    </row>
    <row r="37" spans="2:3" ht="15.6" x14ac:dyDescent="0.3">
      <c r="B37" s="8"/>
      <c r="C37" s="9"/>
    </row>
    <row r="38" spans="2:3" x14ac:dyDescent="0.25">
      <c r="C38" s="9"/>
    </row>
    <row r="39" spans="2:3" x14ac:dyDescent="0.25">
      <c r="C39" s="9"/>
    </row>
    <row r="40" spans="2:3" x14ac:dyDescent="0.25">
      <c r="C40" s="9"/>
    </row>
    <row r="41" spans="2:3" x14ac:dyDescent="0.25">
      <c r="C41" s="9"/>
    </row>
    <row r="42" spans="2:3" x14ac:dyDescent="0.25">
      <c r="C42" s="9"/>
    </row>
    <row r="43" spans="2:3" x14ac:dyDescent="0.25">
      <c r="C43" s="9"/>
    </row>
    <row r="44" spans="2:3" ht="15.6" x14ac:dyDescent="0.3">
      <c r="B44" s="8"/>
      <c r="C44" s="9"/>
    </row>
  </sheetData>
  <phoneticPr fontId="20"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52</vt:i4>
      </vt:variant>
    </vt:vector>
  </HeadingPairs>
  <TitlesOfParts>
    <vt:vector size="52" baseType="lpstr">
      <vt:lpstr>activity_id</vt:lpstr>
      <vt:lpstr>sign_in_new</vt:lpstr>
      <vt:lpstr>lucky_shot</vt:lpstr>
      <vt:lpstr>lucky_shot_count</vt:lpstr>
      <vt:lpstr>first_charge_new</vt:lpstr>
      <vt:lpstr>daily_gift</vt:lpstr>
      <vt:lpstr>daily_giftios</vt:lpstr>
      <vt:lpstr>daily_gift_crazy</vt:lpstr>
      <vt:lpstr>one_value_shop</vt:lpstr>
      <vt:lpstr>one_value_shop_time</vt:lpstr>
      <vt:lpstr>piggy_bank</vt:lpstr>
      <vt:lpstr>coin_bank</vt:lpstr>
      <vt:lpstr>coin_bank_time</vt:lpstr>
      <vt:lpstr>recharge_welfare</vt:lpstr>
      <vt:lpstr>comeback_reward</vt:lpstr>
      <vt:lpstr>comeback_task</vt:lpstr>
      <vt:lpstr>comeback_activity</vt:lpstr>
      <vt:lpstr>comeback_bank</vt:lpstr>
      <vt:lpstr>comeback_guide</vt:lpstr>
      <vt:lpstr>turntable_money</vt:lpstr>
      <vt:lpstr>turntable_lucky</vt:lpstr>
      <vt:lpstr>daily_reward</vt:lpstr>
      <vt:lpstr>turn_ball</vt:lpstr>
      <vt:lpstr>lucky_one</vt:lpstr>
      <vt:lpstr>lucky_one_time</vt:lpstr>
      <vt:lpstr>live_rank</vt:lpstr>
      <vt:lpstr>desktop_cue</vt:lpstr>
      <vt:lpstr>scrape</vt:lpstr>
      <vt:lpstr>fresh_cue</vt:lpstr>
      <vt:lpstr>free_gem</vt:lpstr>
      <vt:lpstr>recharge_item</vt:lpstr>
      <vt:lpstr>live_reward</vt:lpstr>
      <vt:lpstr>weekly_gift</vt:lpstr>
      <vt:lpstr>match_cue_task</vt:lpstr>
      <vt:lpstr>turntable_new</vt:lpstr>
      <vt:lpstr>turntable</vt:lpstr>
      <vt:lpstr>free_shop_time</vt:lpstr>
      <vt:lpstr>coin_video</vt:lpstr>
      <vt:lpstr>free_shop</vt:lpstr>
      <vt:lpstr>egg_task</vt:lpstr>
      <vt:lpstr>egg_award_show</vt:lpstr>
      <vt:lpstr>egg_award</vt:lpstr>
      <vt:lpstr>video_count_award</vt:lpstr>
      <vt:lpstr>shop_video</vt:lpstr>
      <vt:lpstr>invitation_friend</vt:lpstr>
      <vt:lpstr>first_charge</vt:lpstr>
      <vt:lpstr>coin_free</vt:lpstr>
      <vt:lpstr>sign_in_bank</vt:lpstr>
      <vt:lpstr>sign_in</vt:lpstr>
      <vt:lpstr>novice_task_2</vt:lpstr>
      <vt:lpstr>novice_loading_2</vt:lpstr>
      <vt:lpstr>sign_in_total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杨宗水</dc:creator>
  <cp:lastModifiedBy>zhen zhou</cp:lastModifiedBy>
  <dcterms:created xsi:type="dcterms:W3CDTF">2015-06-05T18:19:00Z</dcterms:created>
  <dcterms:modified xsi:type="dcterms:W3CDTF">2025-08-04T08:29:43Z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EM_Doc_Temp_ID">
    <vt:lpwstr>1233e0f0</vt:lpwstr>
  </property>
  <property fmtid="{D5CDD505-2E9C-101B-9397-08002B2CF9AE}" pid="4" name="ICV">
    <vt:lpwstr>47E04745667E4A918F22801D3D4ECD37</vt:lpwstr>
  </property>
</Properties>
</file>