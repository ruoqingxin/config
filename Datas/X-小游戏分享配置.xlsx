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gitproject\mini_gs_config\Datas\"/>
    </mc:Choice>
  </mc:AlternateContent>
  <xr:revisionPtr revIDLastSave="0" documentId="13_ncr:1_{0D3285BF-E17A-4093-B24D-301AA268F9EF}" xr6:coauthVersionLast="47" xr6:coauthVersionMax="47" xr10:uidLastSave="{00000000-0000-0000-0000-000000000000}"/>
  <bookViews>
    <workbookView xWindow="-28920" yWindow="750" windowWidth="29040" windowHeight="15720" tabRatio="859" activeTab="4" xr2:uid="{00000000-000D-0000-FFFF-FFFF00000000}"/>
  </bookViews>
  <sheets>
    <sheet name="tryout_price" sheetId="31" r:id="rId1"/>
    <sheet name="tryout_reward" sheetId="32" r:id="rId2"/>
    <sheet name="red" sheetId="7" r:id="rId3"/>
    <sheet name="invited_coin" sheetId="5" r:id="rId4"/>
    <sheet name="flight_cue" sheetId="13" r:id="rId5"/>
    <sheet name="no_banner" sheetId="11" r:id="rId6"/>
    <sheet name="battle_cue" sheetId="12" r:id="rId7"/>
    <sheet name="bargin" sheetId="19" r:id="rId8"/>
    <sheet name="invited_cue" sheetId="1" r:id="rId9"/>
    <sheet name="share_new" sheetId="26" r:id="rId10"/>
    <sheet name="share_new_coin" sheetId="28" r:id="rId11"/>
    <sheet name="weeklypay" sheetId="21" r:id="rId12"/>
    <sheet name="daily_invite" sheetId="27" r:id="rId13"/>
    <sheet name="share_gift" sheetId="24" r:id="rId14"/>
    <sheet name="tryout_table" sheetId="23" r:id="rId15"/>
    <sheet name="free_cue" sheetId="9" r:id="rId16"/>
    <sheet name="egg" sheetId="10" r:id="rId17"/>
    <sheet name="bargin_prize" sheetId="20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10" l="1"/>
  <c r="S26" i="10"/>
  <c r="R26" i="10"/>
  <c r="AB25" i="10"/>
  <c r="S25" i="10"/>
  <c r="R25" i="10"/>
  <c r="L25" i="10"/>
  <c r="K25" i="10"/>
  <c r="AB24" i="10"/>
  <c r="S24" i="10"/>
  <c r="R24" i="10"/>
  <c r="L24" i="10"/>
  <c r="AB23" i="10"/>
  <c r="S23" i="10"/>
  <c r="R23" i="10"/>
  <c r="L23" i="10"/>
  <c r="S22" i="10"/>
  <c r="R22" i="10"/>
  <c r="L22" i="10"/>
  <c r="S21" i="10"/>
  <c r="R21" i="10"/>
  <c r="L21" i="10"/>
  <c r="AB20" i="10"/>
  <c r="S20" i="10"/>
  <c r="R20" i="10"/>
  <c r="AB19" i="10"/>
  <c r="S19" i="10"/>
  <c r="R19" i="10"/>
  <c r="L19" i="10"/>
  <c r="S18" i="10"/>
  <c r="R18" i="10"/>
  <c r="L18" i="10"/>
  <c r="AB16" i="10"/>
  <c r="S16" i="10"/>
  <c r="R16" i="10"/>
  <c r="L16" i="10"/>
  <c r="K14" i="10"/>
  <c r="G249" i="19"/>
  <c r="F249" i="19"/>
  <c r="E249" i="19"/>
  <c r="G248" i="19"/>
  <c r="F248" i="19"/>
  <c r="E248" i="19"/>
  <c r="G247" i="19"/>
  <c r="F247" i="19"/>
  <c r="E247" i="19"/>
  <c r="G246" i="19"/>
  <c r="F246" i="19"/>
  <c r="E246" i="19"/>
  <c r="G245" i="19"/>
  <c r="F245" i="19"/>
  <c r="E245" i="19"/>
  <c r="G244" i="19"/>
  <c r="F244" i="19"/>
  <c r="E244" i="19"/>
  <c r="G243" i="19"/>
  <c r="F243" i="19"/>
  <c r="E243" i="19"/>
  <c r="G242" i="19"/>
  <c r="F242" i="19"/>
  <c r="E242" i="19"/>
  <c r="G241" i="19"/>
  <c r="F241" i="19"/>
  <c r="E241" i="19"/>
  <c r="G240" i="19"/>
  <c r="F240" i="19"/>
  <c r="E240" i="19"/>
  <c r="G239" i="19"/>
  <c r="F239" i="19"/>
  <c r="E239" i="19"/>
  <c r="G238" i="19"/>
  <c r="F238" i="19"/>
  <c r="E238" i="19"/>
  <c r="G237" i="19"/>
  <c r="F237" i="19"/>
  <c r="E237" i="19"/>
  <c r="G236" i="19"/>
  <c r="F236" i="19"/>
  <c r="E236" i="19"/>
  <c r="G235" i="19"/>
  <c r="F235" i="19"/>
  <c r="E235" i="19"/>
  <c r="G234" i="19"/>
  <c r="F234" i="19"/>
  <c r="E234" i="19"/>
  <c r="G233" i="19"/>
  <c r="F233" i="19"/>
  <c r="E233" i="19"/>
  <c r="G232" i="19"/>
  <c r="F232" i="19"/>
  <c r="E232" i="19"/>
  <c r="G231" i="19"/>
  <c r="F231" i="19"/>
  <c r="E231" i="19"/>
  <c r="G230" i="19"/>
  <c r="F230" i="19"/>
  <c r="E230" i="19"/>
  <c r="G229" i="19"/>
  <c r="F229" i="19"/>
  <c r="E229" i="19"/>
  <c r="G228" i="19"/>
  <c r="F228" i="19"/>
  <c r="E228" i="19"/>
  <c r="G227" i="19"/>
  <c r="F227" i="19"/>
  <c r="E227" i="19"/>
  <c r="G226" i="19"/>
  <c r="F226" i="19"/>
  <c r="E226" i="19"/>
  <c r="G225" i="19"/>
  <c r="F225" i="19"/>
  <c r="E225" i="19"/>
  <c r="G224" i="19"/>
  <c r="F224" i="19"/>
  <c r="E224" i="19"/>
  <c r="G223" i="19"/>
  <c r="F223" i="19"/>
  <c r="E223" i="19"/>
  <c r="G222" i="19"/>
  <c r="F222" i="19"/>
  <c r="E222" i="19"/>
  <c r="G221" i="19"/>
  <c r="F221" i="19"/>
  <c r="E221" i="19"/>
  <c r="G220" i="19"/>
  <c r="F220" i="19"/>
  <c r="E220" i="19"/>
  <c r="G219" i="19"/>
  <c r="F219" i="19"/>
  <c r="E219" i="19"/>
  <c r="G218" i="19"/>
  <c r="F218" i="19"/>
  <c r="E218" i="19"/>
  <c r="G217" i="19"/>
  <c r="F217" i="19"/>
  <c r="E217" i="19"/>
  <c r="G216" i="19"/>
  <c r="F216" i="19"/>
  <c r="E216" i="19"/>
  <c r="G215" i="19"/>
  <c r="F215" i="19"/>
  <c r="E215" i="19"/>
  <c r="G214" i="19"/>
  <c r="F214" i="19"/>
  <c r="E214" i="19"/>
  <c r="G213" i="19"/>
  <c r="F213" i="19"/>
  <c r="E213" i="19"/>
  <c r="G212" i="19"/>
  <c r="F212" i="19"/>
  <c r="E212" i="19"/>
  <c r="G211" i="19"/>
  <c r="F211" i="19"/>
  <c r="E211" i="19"/>
  <c r="G210" i="19"/>
  <c r="F210" i="19"/>
  <c r="E210" i="19"/>
  <c r="G209" i="19"/>
  <c r="F209" i="19"/>
  <c r="E209" i="19"/>
  <c r="G208" i="19"/>
  <c r="F208" i="19"/>
  <c r="E208" i="19"/>
  <c r="G207" i="19"/>
  <c r="F207" i="19"/>
  <c r="E207" i="19"/>
  <c r="G206" i="19"/>
  <c r="F206" i="19"/>
  <c r="E206" i="19"/>
  <c r="G205" i="19"/>
  <c r="F205" i="19"/>
  <c r="E205" i="19"/>
  <c r="G204" i="19"/>
  <c r="F204" i="19"/>
  <c r="E204" i="19"/>
  <c r="G203" i="19"/>
  <c r="F203" i="19"/>
  <c r="E203" i="19"/>
  <c r="G202" i="19"/>
  <c r="F202" i="19"/>
  <c r="E202" i="19"/>
  <c r="G201" i="19"/>
  <c r="F201" i="19"/>
  <c r="E201" i="19"/>
  <c r="G200" i="19"/>
  <c r="F200" i="19"/>
  <c r="E200" i="19"/>
  <c r="G199" i="19"/>
  <c r="F199" i="19"/>
  <c r="E199" i="19"/>
  <c r="G198" i="19"/>
  <c r="F198" i="19"/>
  <c r="E198" i="19"/>
  <c r="G197" i="19"/>
  <c r="F197" i="19"/>
  <c r="E197" i="19"/>
  <c r="G196" i="19"/>
  <c r="F196" i="19"/>
  <c r="E196" i="19"/>
  <c r="G195" i="19"/>
  <c r="F195" i="19"/>
  <c r="E195" i="19"/>
  <c r="G194" i="19"/>
  <c r="F194" i="19"/>
  <c r="E194" i="19"/>
  <c r="G193" i="19"/>
  <c r="F193" i="19"/>
  <c r="E193" i="19"/>
  <c r="G192" i="19"/>
  <c r="F192" i="19"/>
  <c r="E192" i="19"/>
  <c r="G191" i="19"/>
  <c r="F191" i="19"/>
  <c r="E191" i="19"/>
  <c r="G190" i="19"/>
  <c r="F190" i="19"/>
  <c r="E190" i="19"/>
  <c r="G189" i="19"/>
  <c r="F189" i="19"/>
  <c r="E189" i="19"/>
  <c r="G188" i="19"/>
  <c r="F188" i="19"/>
  <c r="E188" i="19"/>
  <c r="G187" i="19"/>
  <c r="F187" i="19"/>
  <c r="E187" i="19"/>
  <c r="G186" i="19"/>
  <c r="F186" i="19"/>
  <c r="E186" i="19"/>
  <c r="G185" i="19"/>
  <c r="F185" i="19"/>
  <c r="E185" i="19"/>
  <c r="G184" i="19"/>
  <c r="F184" i="19"/>
  <c r="E184" i="19"/>
  <c r="G183" i="19"/>
  <c r="F183" i="19"/>
  <c r="E183" i="19"/>
  <c r="G182" i="19"/>
  <c r="F182" i="19"/>
  <c r="E182" i="19"/>
  <c r="G181" i="19"/>
  <c r="F181" i="19"/>
  <c r="E181" i="19"/>
  <c r="G180" i="19"/>
  <c r="F180" i="19"/>
  <c r="E180" i="19"/>
  <c r="G179" i="19"/>
  <c r="F179" i="19"/>
  <c r="E179" i="19"/>
  <c r="G178" i="19"/>
  <c r="F178" i="19"/>
  <c r="E178" i="19"/>
  <c r="G177" i="19"/>
  <c r="F177" i="19"/>
  <c r="E177" i="19"/>
  <c r="G176" i="19"/>
  <c r="F176" i="19"/>
  <c r="E176" i="19"/>
  <c r="G175" i="19"/>
  <c r="F175" i="19"/>
  <c r="E175" i="19"/>
  <c r="G174" i="19"/>
  <c r="F174" i="19"/>
  <c r="E174" i="19"/>
  <c r="G173" i="19"/>
  <c r="F173" i="19"/>
  <c r="E173" i="19"/>
  <c r="G172" i="19"/>
  <c r="F172" i="19"/>
  <c r="E172" i="19"/>
  <c r="G171" i="19"/>
  <c r="F171" i="19"/>
  <c r="E171" i="19"/>
  <c r="G170" i="19"/>
  <c r="F170" i="19"/>
  <c r="E170" i="19"/>
  <c r="G169" i="19"/>
  <c r="F169" i="19"/>
  <c r="E169" i="19"/>
  <c r="G168" i="19"/>
  <c r="F168" i="19"/>
  <c r="E168" i="19"/>
  <c r="G167" i="19"/>
  <c r="F167" i="19"/>
  <c r="E167" i="19"/>
  <c r="G166" i="19"/>
  <c r="F166" i="19"/>
  <c r="E166" i="19"/>
  <c r="G165" i="19"/>
  <c r="F165" i="19"/>
  <c r="E165" i="19"/>
  <c r="G164" i="19"/>
  <c r="F164" i="19"/>
  <c r="E164" i="19"/>
  <c r="G163" i="19"/>
  <c r="F163" i="19"/>
  <c r="E163" i="19"/>
  <c r="G162" i="19"/>
  <c r="F162" i="19"/>
  <c r="E162" i="19"/>
  <c r="G161" i="19"/>
  <c r="F161" i="19"/>
  <c r="E161" i="19"/>
  <c r="G160" i="19"/>
  <c r="F160" i="19"/>
  <c r="E160" i="19"/>
  <c r="G159" i="19"/>
  <c r="F159" i="19"/>
  <c r="E159" i="19"/>
  <c r="G158" i="19"/>
  <c r="F158" i="19"/>
  <c r="E158" i="19"/>
  <c r="G157" i="19"/>
  <c r="F157" i="19"/>
  <c r="E157" i="19"/>
  <c r="G156" i="19"/>
  <c r="F156" i="19"/>
  <c r="E156" i="19"/>
  <c r="G155" i="19"/>
  <c r="F155" i="19"/>
  <c r="E155" i="19"/>
  <c r="G154" i="19"/>
  <c r="F154" i="19"/>
  <c r="E154" i="19"/>
  <c r="G153" i="19"/>
  <c r="F153" i="19"/>
  <c r="E153" i="19"/>
  <c r="G152" i="19"/>
  <c r="F152" i="19"/>
  <c r="E152" i="19"/>
  <c r="G151" i="19"/>
  <c r="F151" i="19"/>
  <c r="E151" i="19"/>
  <c r="G150" i="19"/>
  <c r="F150" i="19"/>
  <c r="E150" i="19"/>
  <c r="G149" i="19"/>
  <c r="F149" i="19"/>
  <c r="E149" i="19"/>
  <c r="G148" i="19"/>
  <c r="F148" i="19"/>
  <c r="E148" i="19"/>
  <c r="G147" i="19"/>
  <c r="F147" i="19"/>
  <c r="E147" i="19"/>
  <c r="G146" i="19"/>
  <c r="F146" i="19"/>
  <c r="E146" i="19"/>
  <c r="G145" i="19"/>
  <c r="F145" i="19"/>
  <c r="E145" i="19"/>
  <c r="G144" i="19"/>
  <c r="F144" i="19"/>
  <c r="E144" i="19"/>
  <c r="G143" i="19"/>
  <c r="F143" i="19"/>
  <c r="E143" i="19"/>
  <c r="G142" i="19"/>
  <c r="F142" i="19"/>
  <c r="E142" i="19"/>
  <c r="G141" i="19"/>
  <c r="F141" i="19"/>
  <c r="E141" i="19"/>
  <c r="G140" i="19"/>
  <c r="F140" i="19"/>
  <c r="E140" i="19"/>
  <c r="G139" i="19"/>
  <c r="F139" i="19"/>
  <c r="E139" i="19"/>
  <c r="G138" i="19"/>
  <c r="F138" i="19"/>
  <c r="E138" i="19"/>
  <c r="G137" i="19"/>
  <c r="F137" i="19"/>
  <c r="E137" i="19"/>
  <c r="G136" i="19"/>
  <c r="F136" i="19"/>
  <c r="E136" i="19"/>
  <c r="G135" i="19"/>
  <c r="F135" i="19"/>
  <c r="E135" i="19"/>
  <c r="G134" i="19"/>
  <c r="F134" i="19"/>
  <c r="E134" i="19"/>
  <c r="G133" i="19"/>
  <c r="F133" i="19"/>
  <c r="E133" i="19"/>
  <c r="G132" i="19"/>
  <c r="F132" i="19"/>
  <c r="E132" i="19"/>
  <c r="G131" i="19"/>
  <c r="F131" i="19"/>
  <c r="E131" i="19"/>
  <c r="G130" i="19"/>
  <c r="F130" i="19"/>
  <c r="E130" i="19"/>
  <c r="G129" i="19"/>
  <c r="F129" i="19"/>
  <c r="E129" i="19"/>
  <c r="G128" i="19"/>
  <c r="F128" i="19"/>
  <c r="E128" i="19"/>
  <c r="G127" i="19"/>
  <c r="F127" i="19"/>
  <c r="E127" i="19"/>
  <c r="G126" i="19"/>
  <c r="F126" i="19"/>
  <c r="E126" i="19"/>
  <c r="G125" i="19"/>
  <c r="F125" i="19"/>
  <c r="E125" i="19"/>
  <c r="G124" i="19"/>
  <c r="F124" i="19"/>
  <c r="E124" i="19"/>
  <c r="G123" i="19"/>
  <c r="F123" i="19"/>
  <c r="E123" i="19"/>
  <c r="G122" i="19"/>
  <c r="F122" i="19"/>
  <c r="E122" i="19"/>
  <c r="G121" i="19"/>
  <c r="F121" i="19"/>
  <c r="E121" i="19"/>
  <c r="G120" i="19"/>
  <c r="F120" i="19"/>
  <c r="E120" i="19"/>
  <c r="G119" i="19"/>
  <c r="F119" i="19"/>
  <c r="E119" i="19"/>
  <c r="G118" i="19"/>
  <c r="F118" i="19"/>
  <c r="E118" i="19"/>
  <c r="G117" i="19"/>
  <c r="F117" i="19"/>
  <c r="E117" i="19"/>
  <c r="G116" i="19"/>
  <c r="F116" i="19"/>
  <c r="E116" i="19"/>
  <c r="G115" i="19"/>
  <c r="F115" i="19"/>
  <c r="E115" i="19"/>
  <c r="G114" i="19"/>
  <c r="F114" i="19"/>
  <c r="E114" i="19"/>
  <c r="G113" i="19"/>
  <c r="F113" i="19"/>
  <c r="E113" i="19"/>
  <c r="G112" i="19"/>
  <c r="F112" i="19"/>
  <c r="E112" i="19"/>
  <c r="G111" i="19"/>
  <c r="F111" i="19"/>
  <c r="E111" i="19"/>
  <c r="G110" i="19"/>
  <c r="F110" i="19"/>
  <c r="E110" i="19"/>
  <c r="G109" i="19"/>
  <c r="F109" i="19"/>
  <c r="E109" i="19"/>
  <c r="G108" i="19"/>
  <c r="F108" i="19"/>
  <c r="E108" i="19"/>
  <c r="G107" i="19"/>
  <c r="F107" i="19"/>
  <c r="E107" i="19"/>
  <c r="G106" i="19"/>
  <c r="F106" i="19"/>
  <c r="E106" i="19"/>
  <c r="G105" i="19"/>
  <c r="F105" i="19"/>
  <c r="E105" i="19"/>
  <c r="G104" i="19"/>
  <c r="F104" i="19"/>
  <c r="E104" i="19"/>
  <c r="G103" i="19"/>
  <c r="F103" i="19"/>
  <c r="E103" i="19"/>
  <c r="G102" i="19"/>
  <c r="F102" i="19"/>
  <c r="E102" i="19"/>
  <c r="G101" i="19"/>
  <c r="F101" i="19"/>
  <c r="E101" i="19"/>
  <c r="G100" i="19"/>
  <c r="F100" i="19"/>
  <c r="E100" i="19"/>
  <c r="G99" i="19"/>
  <c r="F99" i="19"/>
  <c r="E99" i="19"/>
  <c r="G98" i="19"/>
  <c r="F98" i="19"/>
  <c r="E98" i="19"/>
  <c r="G97" i="19"/>
  <c r="F97" i="19"/>
  <c r="E97" i="19"/>
  <c r="G96" i="19"/>
  <c r="F96" i="19"/>
  <c r="E96" i="19"/>
  <c r="G95" i="19"/>
  <c r="F95" i="19"/>
  <c r="E95" i="19"/>
  <c r="G94" i="19"/>
  <c r="F94" i="19"/>
  <c r="E94" i="19"/>
  <c r="G93" i="19"/>
  <c r="F93" i="19"/>
  <c r="E93" i="19"/>
  <c r="G92" i="19"/>
  <c r="F92" i="19"/>
  <c r="E92" i="19"/>
  <c r="G91" i="19"/>
  <c r="F91" i="19"/>
  <c r="E91" i="19"/>
  <c r="G90" i="19"/>
  <c r="F90" i="19"/>
  <c r="E90" i="19"/>
  <c r="G89" i="19"/>
  <c r="F89" i="19"/>
  <c r="E89" i="19"/>
  <c r="G88" i="19"/>
  <c r="F88" i="19"/>
  <c r="E88" i="19"/>
  <c r="G87" i="19"/>
  <c r="F87" i="19"/>
  <c r="E87" i="19"/>
  <c r="G86" i="19"/>
  <c r="F86" i="19"/>
  <c r="E86" i="19"/>
  <c r="G85" i="19"/>
  <c r="F85" i="19"/>
  <c r="E85" i="19"/>
  <c r="G84" i="19"/>
  <c r="F84" i="19"/>
  <c r="E84" i="19"/>
  <c r="G83" i="19"/>
  <c r="F83" i="19"/>
  <c r="E83" i="19"/>
  <c r="G82" i="19"/>
  <c r="F82" i="19"/>
  <c r="E82" i="19"/>
  <c r="G81" i="19"/>
  <c r="F81" i="19"/>
  <c r="E81" i="19"/>
  <c r="G80" i="19"/>
  <c r="F80" i="19"/>
  <c r="E80" i="19"/>
  <c r="G79" i="19"/>
  <c r="F79" i="19"/>
  <c r="E79" i="19"/>
  <c r="G78" i="19"/>
  <c r="F78" i="19"/>
  <c r="E78" i="19"/>
  <c r="G77" i="19"/>
  <c r="F77" i="19"/>
  <c r="E77" i="19"/>
  <c r="G76" i="19"/>
  <c r="F76" i="19"/>
  <c r="E76" i="19"/>
  <c r="G75" i="19"/>
  <c r="F75" i="19"/>
  <c r="E75" i="19"/>
  <c r="G74" i="19"/>
  <c r="F74" i="19"/>
  <c r="E74" i="19"/>
  <c r="G73" i="19"/>
  <c r="F73" i="19"/>
  <c r="E73" i="19"/>
  <c r="G72" i="19"/>
  <c r="F72" i="19"/>
  <c r="E72" i="19"/>
  <c r="G71" i="19"/>
  <c r="F71" i="19"/>
  <c r="E71" i="19"/>
  <c r="G70" i="19"/>
  <c r="F70" i="19"/>
  <c r="E70" i="19"/>
  <c r="G69" i="19"/>
  <c r="F69" i="19"/>
  <c r="E69" i="19"/>
  <c r="G68" i="19"/>
  <c r="F68" i="19"/>
  <c r="E68" i="19"/>
  <c r="G67" i="19"/>
  <c r="F67" i="19"/>
  <c r="E67" i="19"/>
  <c r="G66" i="19"/>
  <c r="F66" i="19"/>
  <c r="E66" i="19"/>
  <c r="G65" i="19"/>
  <c r="F65" i="19"/>
  <c r="E65" i="19"/>
  <c r="G64" i="19"/>
  <c r="F64" i="19"/>
  <c r="E64" i="19"/>
  <c r="G63" i="19"/>
  <c r="F63" i="19"/>
  <c r="E63" i="19"/>
  <c r="G62" i="19"/>
  <c r="F62" i="19"/>
  <c r="E62" i="19"/>
  <c r="G61" i="19"/>
  <c r="F61" i="19"/>
  <c r="E61" i="19"/>
  <c r="G60" i="19"/>
  <c r="F60" i="19"/>
  <c r="E60" i="19"/>
  <c r="G59" i="19"/>
  <c r="F59" i="19"/>
  <c r="E59" i="19"/>
  <c r="G58" i="19"/>
  <c r="F58" i="19"/>
  <c r="E58" i="19"/>
  <c r="G57" i="19"/>
  <c r="F57" i="19"/>
  <c r="E57" i="19"/>
  <c r="G56" i="19"/>
  <c r="F56" i="19"/>
  <c r="E56" i="19"/>
  <c r="G55" i="19"/>
  <c r="F55" i="19"/>
  <c r="E55" i="19"/>
  <c r="G54" i="19"/>
  <c r="F54" i="19"/>
  <c r="E54" i="19"/>
  <c r="G53" i="19"/>
  <c r="F53" i="19"/>
  <c r="E53" i="19"/>
  <c r="G52" i="19"/>
  <c r="F52" i="19"/>
  <c r="E52" i="19"/>
  <c r="G51" i="19"/>
  <c r="F51" i="19"/>
  <c r="E51" i="19"/>
  <c r="G50" i="19"/>
  <c r="F50" i="19"/>
  <c r="E50" i="19"/>
  <c r="G49" i="19"/>
  <c r="F49" i="19"/>
  <c r="E49" i="19"/>
  <c r="G48" i="19"/>
  <c r="F48" i="19"/>
  <c r="E48" i="19"/>
  <c r="G47" i="19"/>
  <c r="F47" i="19"/>
  <c r="E47" i="19"/>
  <c r="G46" i="19"/>
  <c r="F46" i="19"/>
  <c r="E46" i="19"/>
  <c r="G45" i="19"/>
  <c r="F45" i="19"/>
  <c r="E45" i="19"/>
  <c r="G44" i="19"/>
  <c r="F44" i="19"/>
  <c r="E44" i="19"/>
  <c r="G43" i="19"/>
  <c r="F43" i="19"/>
  <c r="E43" i="19"/>
  <c r="G42" i="19"/>
  <c r="F42" i="19"/>
  <c r="E42" i="19"/>
  <c r="G41" i="19"/>
  <c r="F41" i="19"/>
  <c r="E41" i="19"/>
  <c r="G40" i="19"/>
  <c r="F40" i="19"/>
  <c r="E40" i="19"/>
  <c r="G39" i="19"/>
  <c r="F39" i="19"/>
  <c r="E39" i="19"/>
  <c r="G38" i="19"/>
  <c r="F38" i="19"/>
  <c r="E38" i="19"/>
  <c r="G37" i="19"/>
  <c r="F37" i="19"/>
  <c r="E37" i="19"/>
  <c r="G36" i="19"/>
  <c r="F36" i="19"/>
  <c r="E36" i="19"/>
  <c r="G35" i="19"/>
  <c r="F35" i="19"/>
  <c r="E35" i="19"/>
  <c r="G34" i="19"/>
  <c r="F34" i="19"/>
  <c r="E34" i="19"/>
  <c r="G33" i="19"/>
  <c r="F33" i="19"/>
  <c r="E33" i="19"/>
  <c r="G32" i="19"/>
  <c r="F32" i="19"/>
  <c r="E32" i="19"/>
  <c r="G31" i="19"/>
  <c r="F31" i="19"/>
  <c r="E31" i="19"/>
  <c r="G30" i="19"/>
  <c r="F30" i="19"/>
  <c r="E30" i="19"/>
  <c r="G29" i="19"/>
  <c r="F29" i="19"/>
  <c r="E29" i="19"/>
  <c r="G28" i="19"/>
  <c r="F28" i="19"/>
  <c r="E28" i="19"/>
  <c r="G27" i="19"/>
  <c r="F27" i="19"/>
  <c r="E27" i="19"/>
  <c r="G26" i="19"/>
  <c r="F26" i="19"/>
  <c r="E26" i="19"/>
  <c r="G25" i="19"/>
  <c r="F25" i="19"/>
  <c r="E25" i="19"/>
  <c r="G24" i="19"/>
  <c r="F24" i="19"/>
  <c r="E24" i="19"/>
  <c r="G23" i="19"/>
  <c r="F23" i="19"/>
  <c r="E23" i="19"/>
  <c r="G22" i="19"/>
  <c r="F22" i="19"/>
  <c r="E22" i="19"/>
  <c r="G21" i="19"/>
  <c r="F21" i="19"/>
  <c r="E21" i="19"/>
  <c r="G20" i="19"/>
  <c r="F20" i="19"/>
  <c r="E20" i="19"/>
  <c r="G19" i="19"/>
  <c r="F19" i="19"/>
  <c r="E19" i="19"/>
  <c r="G18" i="19"/>
  <c r="F18" i="19"/>
  <c r="E18" i="19"/>
  <c r="G17" i="19"/>
  <c r="F17" i="19"/>
  <c r="E17" i="19"/>
  <c r="G16" i="19"/>
  <c r="F16" i="19"/>
  <c r="E16" i="19"/>
  <c r="G15" i="19"/>
  <c r="F15" i="19"/>
  <c r="E15" i="19"/>
  <c r="G14" i="19"/>
  <c r="F14" i="19"/>
  <c r="E14" i="19"/>
  <c r="G13" i="19"/>
  <c r="F13" i="19"/>
  <c r="E13" i="19"/>
  <c r="G12" i="19"/>
  <c r="F12" i="19"/>
  <c r="E12" i="19"/>
  <c r="G11" i="19"/>
  <c r="F11" i="19"/>
  <c r="E11" i="19"/>
  <c r="G10" i="19"/>
  <c r="F10" i="19"/>
  <c r="E10" i="19"/>
  <c r="G9" i="19"/>
  <c r="F9" i="19"/>
  <c r="E9" i="19"/>
  <c r="G8" i="19"/>
  <c r="F8" i="19"/>
  <c r="E8" i="19"/>
  <c r="G7" i="19"/>
  <c r="F7" i="19"/>
  <c r="E7" i="19"/>
  <c r="G6" i="19"/>
  <c r="F6" i="19"/>
  <c r="E6" i="19"/>
  <c r="D12" i="32"/>
  <c r="C12" i="32"/>
  <c r="D11" i="32"/>
  <c r="C11" i="32"/>
  <c r="D10" i="32"/>
  <c r="C10" i="32"/>
  <c r="D9" i="32"/>
  <c r="C9" i="32"/>
  <c r="D8" i="32"/>
  <c r="C8" i="32"/>
  <c r="D7" i="32"/>
  <c r="C7" i="32"/>
  <c r="D6" i="32"/>
  <c r="C6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0：分享者
1：助力者</t>
        </r>
      </text>
    </comment>
    <comment ref="E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1,x对应意义为1~x对应的数量，等概率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K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L2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1：弹出五维图（必须是球杆）
2：直接弹出广告，看完后可领奖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0：一次性奖励
如果是0，时效那边也为0，代表立刻就可以领取
1：每日奖励</t>
        </r>
      </text>
    </comment>
    <comment ref="E2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0：代表免banner功能</t>
        </r>
      </text>
    </comment>
    <comment ref="F2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单位：天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Piao Shengning</author>
    <author>杨宗水</author>
  </authors>
  <commentList>
    <comment ref="D1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总共所需数量</t>
        </r>
      </text>
    </comment>
    <comment ref="B2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  <comment ref="E2" authorId="1" shapeId="0" xr:uid="{00000000-0006-0000-0800-000003000000}">
      <text>
        <r>
          <rPr>
            <sz val="11"/>
            <color indexed="8"/>
            <rFont val="Helvetica"/>
            <family val="2"/>
          </rPr>
          <t>Piao Shengning:
0</t>
        </r>
        <r>
          <rPr>
            <sz val="11"/>
            <color indexed="8"/>
            <rFont val="宋体"/>
            <family val="3"/>
            <charset val="134"/>
          </rPr>
          <t>：没有对应的背景图</t>
        </r>
      </text>
    </comment>
    <comment ref="F2" authorId="2" shapeId="0" xr:uid="{00000000-0006-0000-08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G2" authorId="2" shapeId="0" xr:uid="{00000000-0006-0000-08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总共所需数量</t>
        </r>
      </text>
    </comment>
    <comment ref="B2" authorId="0" shapeId="0" xr:uid="{00000000-0006-0000-09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D1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总共所需数量</t>
        </r>
      </text>
    </comment>
    <comment ref="B2" authorId="0" shapeId="0" xr:uid="{00000000-0006-0000-0A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  <comment ref="F2" authorId="1" shapeId="0" xr:uid="{00000000-0006-0000-0A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C2" authorId="0" shapeId="0" xr:uid="{00000000-0006-0000-0B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  <comment ref="F2" authorId="1" shapeId="0" xr:uid="{00000000-0006-0000-0B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完成任务可获得奖励
[[奖励物品id,数量],...]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C2" authorId="0" shapeId="0" xr:uid="{00000000-0006-0000-0C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  <comment ref="F2" authorId="1" shapeId="0" xr:uid="{00000000-0006-0000-0C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 物品id， 物品数量 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2" authorId="0" shapeId="0" xr:uid="{00000000-0006-0000-0D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B12" authorId="0" shapeId="0" xr:uid="{00000000-0006-0000-0E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  <comment ref="E12" authorId="1" shapeId="0" xr:uid="{00000000-0006-0000-0E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完成分享任务可获得奖励
[奖励物品id,数量]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E12" authorId="0" shapeId="0" xr:uid="{00000000-0006-0000-0F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12" authorId="0" shapeId="0" xr:uid="{00000000-0006-0000-10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1：8球
2：斯诺克
3：高手进阶
4：极限挑战
5：闯关
6:血流模式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12" authorId="0" shapeId="0" xr:uid="{00000000-0006-0000-12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1：分享
0：视频</t>
        </r>
      </text>
    </comment>
  </commentList>
</comments>
</file>

<file path=xl/sharedStrings.xml><?xml version="1.0" encoding="utf-8"?>
<sst xmlns="http://schemas.openxmlformats.org/spreadsheetml/2006/main" count="1121" uniqueCount="564">
  <si>
    <t>##comment</t>
  </si>
  <si>
    <t>序号</t>
  </si>
  <si>
    <t>球杆id</t>
  </si>
  <si>
    <t>试玩类型</t>
  </si>
  <si>
    <t>试玩价格</t>
  </si>
  <si>
    <t>品质</t>
  </si>
  <si>
    <t>名称</t>
  </si>
  <si>
    <t>##var</t>
  </si>
  <si>
    <t>id</t>
  </si>
  <si>
    <t>cue_id</t>
  </si>
  <si>
    <t>type_try</t>
  </si>
  <si>
    <t>price</t>
  </si>
  <si>
    <t>##type</t>
  </si>
  <si>
    <t>int32</t>
  </si>
  <si>
    <t>string</t>
  </si>
  <si>
    <t>##group</t>
  </si>
  <si>
    <t>c,s</t>
  </si>
  <si>
    <t>##</t>
  </si>
  <si>
    <t>试玩球杆</t>
  </si>
  <si>
    <t>地狱火焰主题试玩球杆，品质等级为S。</t>
  </si>
  <si>
    <t>地狱火焰主题试玩球杆，品质等级为SS。</t>
  </si>
  <si>
    <t>地狱火焰主球试玩球杆，品质等级为SSS。</t>
  </si>
  <si>
    <t>国色天香主题试玩球杆，品质为S。</t>
  </si>
  <si>
    <t>国色天香主题试玩球杆，品质为SS。</t>
  </si>
  <si>
    <t>国色天香主题试玩球杆，品质为SSS。</t>
  </si>
  <si>
    <t>骑士长枪主题试玩球杆，品质等级为S。</t>
  </si>
  <si>
    <t>骑士长枪主题试玩球杆，品质等级为SS。</t>
  </si>
  <si>
    <t>骑士长枪主题试玩球杆，品质等级为SSS。</t>
  </si>
  <si>
    <t>如鱼得水主题试玩球杆，品质等级为S。</t>
  </si>
  <si>
    <t>如鱼得水主题试玩球杆，品质等级为SS。</t>
  </si>
  <si>
    <t>如鱼得水主题试玩球杆，品质等级为SSS。</t>
  </si>
  <si>
    <t>街头潮牌主题试玩球杆，品质等级为S。</t>
  </si>
  <si>
    <t>街头潮牌主题试玩球杆，品质等级为SS。</t>
  </si>
  <si>
    <t>紫金葫芦主题试玩球杆，品质等级为S。</t>
  </si>
  <si>
    <t>紫金葫芦主题试玩球杆，品质等级为SS。</t>
  </si>
  <si>
    <t>紫金葫芦主球试玩球杆，品质等级为SSS。</t>
  </si>
  <si>
    <t>黑色琴键主题试玩球杆，品质等级为S。</t>
  </si>
  <si>
    <t>黑色琴键主题试玩球杆，品质等级为SS。</t>
  </si>
  <si>
    <t>黑色琴键主球试玩球杆，品质等级为SSS。</t>
  </si>
  <si>
    <t>电音吉他主题试玩球杆，品质等级为S。</t>
  </si>
  <si>
    <t>电音吉他主题试玩球杆，品质等级为SS。</t>
  </si>
  <si>
    <t>电音吉他主球试玩球杆，品质等级为SSS。</t>
  </si>
  <si>
    <t>台球麦霸主题试玩球杆，品质等级为S。</t>
  </si>
  <si>
    <t>台球麦霸主题试玩球杆，品质等级为SS。</t>
  </si>
  <si>
    <t>台球麦霸主球试玩球杆，品质等级为SSS。</t>
  </si>
  <si>
    <t>喵星物语主题试玩球杆，品质等级为SS。</t>
  </si>
  <si>
    <t>喵星物语主题试玩球杆，品质等级为SSS。</t>
  </si>
  <si>
    <t>喵星物语主题试玩球杆，品质等级为S。</t>
  </si>
  <si>
    <t>夏日海滩主题试玩球杆，品质等级为S。</t>
  </si>
  <si>
    <t>夏日海滩主题试玩球杆，品质等级为SS。</t>
  </si>
  <si>
    <t>夏日海滩主球试玩球杆，品质等级为SSS。</t>
  </si>
  <si>
    <t>圣诞糖果主题试玩球杆，品质等级为S。</t>
  </si>
  <si>
    <t>圣诞糖果主题试玩球杆，品质等级为SS。</t>
  </si>
  <si>
    <t>圣诞糖果主球试玩球杆，品质等级为SSS。</t>
  </si>
  <si>
    <t>圣诞树主题试玩球杆，品质等级为S。</t>
  </si>
  <si>
    <t>圣诞树主题试玩球杆，品质等级为SS。</t>
  </si>
  <si>
    <t>圣诞树主球试玩球杆，品质等级为SSS。</t>
  </si>
  <si>
    <t>梅花三弄主题试玩球杆，品质等级为S。</t>
  </si>
  <si>
    <t>龙回头主题试玩球杆，品质等级为S。</t>
  </si>
  <si>
    <t>龙回头主题试玩球杆，品质等级为SS。</t>
  </si>
  <si>
    <t>龙回头主题试玩球杆，品质等级为SSS。</t>
  </si>
  <si>
    <t>成就大师主题试玩球杆，品质等级为SS。</t>
  </si>
  <si>
    <t>台球达人主题试玩球杆，品质等级S</t>
  </si>
  <si>
    <t>台球达人主题试玩球杆，品质等级SS</t>
  </si>
  <si>
    <t>台球达人主题试玩球杆，品质等级SSS</t>
  </si>
  <si>
    <t>雄鹰权杖主题试玩球杆，品质等级S</t>
  </si>
  <si>
    <t>雄鹰权杖主题试玩球杆，品质等级SS</t>
  </si>
  <si>
    <t>雄鹰权杖主题试玩球杆，品质等级SSS</t>
  </si>
  <si>
    <t>炎夏火焰主题试玩球杆，品质等级SS</t>
  </si>
  <si>
    <t>炎夏火焰主题试玩球杆，品质等级SSS</t>
  </si>
  <si>
    <t>双龙戏珠主题试玩球杆，品质等级S</t>
  </si>
  <si>
    <t>双龙戏珠主题试玩球杆，品质等级SS</t>
  </si>
  <si>
    <t>流光宝石主题试玩球杆，品质等级S</t>
  </si>
  <si>
    <t>枫叶主题试玩球杆，品质等级S</t>
  </si>
  <si>
    <t>五一主题试玩球杆，品质等级S</t>
  </si>
  <si>
    <t>五一主题试玩球杆，品质等级SS</t>
  </si>
  <si>
    <t>五一主题试玩球杆，品质等级SSS</t>
  </si>
  <si>
    <t>方天画戟主题试玩球杆，品质等级S</t>
  </si>
  <si>
    <t>方天画戟主题试玩球杆，品质等级SS</t>
  </si>
  <si>
    <t>方天画戟主题试玩球杆，品质等级SSS</t>
  </si>
  <si>
    <t>青龙偃月主题试玩球杆，品质等级S</t>
  </si>
  <si>
    <t>青龙偃月主题试玩球杆，品质等级SS</t>
  </si>
  <si>
    <t>青龙偃月主题试玩球杆，品质等级SSS</t>
  </si>
  <si>
    <t>青龙偃月主题试玩球杆，品质等级Z</t>
  </si>
  <si>
    <t>法老权杖主题试玩球杆，品质等级S</t>
  </si>
  <si>
    <t>法老权杖主题试玩球杆，品质等级SS</t>
  </si>
  <si>
    <t>法老权杖主题试玩球杆，品质等级SSS</t>
  </si>
  <si>
    <t>龙胆亮银主题试玩球杆，品质等级S</t>
  </si>
  <si>
    <t>龙胆亮银主题试玩球杆，品质等级SS</t>
  </si>
  <si>
    <t>龙胆亮银主题试玩球杆，品质等级SSS</t>
  </si>
  <si>
    <t>龙胆亮银主题试玩球杆，品质等级Z</t>
  </si>
  <si>
    <t>哪吒主题试玩球杆，品质等级S</t>
  </si>
  <si>
    <t>哪吒主题试玩球杆，品质等级SS</t>
  </si>
  <si>
    <t>哪吒主题试玩球杆，品质等级SSS</t>
  </si>
  <si>
    <t>DBA星耀主题试玩球杆，品质等级S</t>
  </si>
  <si>
    <t>DBA星耀主题试玩球杆，品质等级SS</t>
  </si>
  <si>
    <t>DBA星耀主题试玩球杆，品质等级SSS</t>
  </si>
  <si>
    <t>DBA悟道主题试玩球杆，品质等级S</t>
  </si>
  <si>
    <t>丈八蛇矛主题试玩球杆，品质等级S</t>
  </si>
  <si>
    <t>丈八蛇矛主题试玩球杆，品质等级SS</t>
  </si>
  <si>
    <t>丈八蛇矛主题试玩球杆，品质等级SSS</t>
  </si>
  <si>
    <t>南瓜头主题试玩球杆，品质等级S</t>
  </si>
  <si>
    <t>南瓜头主题试玩球杆，品质等级SS</t>
  </si>
  <si>
    <t>南瓜头主题试玩球杆，品质等级SSS</t>
  </si>
  <si>
    <t>甜心宝贝主题试玩球杆，品质等级S</t>
  </si>
  <si>
    <t>甜心宝贝主题试玩球杆，品质等级SS</t>
  </si>
  <si>
    <t>甜心宝贝主题试玩球杆，品质等级SSS</t>
  </si>
  <si>
    <t>乌木试玩球杆主题试玩球杆，品质等级S</t>
  </si>
  <si>
    <t>乌木试玩球杆主题试玩球杆，品质等级SS</t>
  </si>
  <si>
    <t>乌木试玩球杆主题试玩球杆，品质等级SSS</t>
  </si>
  <si>
    <t>玉如意主题试玩球杆，品质等级S</t>
  </si>
  <si>
    <t>玉如意主题试玩球杆，品质等级SS</t>
  </si>
  <si>
    <t>玉如意主题试玩球杆，品质等级SSS</t>
  </si>
  <si>
    <t>枫叶团扇主题试玩球杆，品质等级S</t>
  </si>
  <si>
    <t>枫叶团扇主题试玩球杆，品质等级SS</t>
  </si>
  <si>
    <t>枫叶团扇主题试玩球杆，品质等级SSS</t>
  </si>
  <si>
    <t>白色死神主题试玩球杆，品质等级S</t>
  </si>
  <si>
    <t>白色死神主题试玩球杆，品质等级SS</t>
  </si>
  <si>
    <t>白色死神主题试玩球杆，品质等级SSS</t>
  </si>
  <si>
    <t>虎头虎脑主题试玩球杆，品质等级S</t>
  </si>
  <si>
    <t>虎头虎脑主题试玩球杆，品质等级SS</t>
  </si>
  <si>
    <t>虎头虎脑主题试玩球杆，品质等级SSS</t>
  </si>
  <si>
    <t>绿茵活动专属试玩球杆，品质等级S</t>
  </si>
  <si>
    <t>绿茵活动专属试玩球杆，品质等级SS</t>
  </si>
  <si>
    <t>绿茵活动专属试玩球杆，品质等级SSS</t>
  </si>
  <si>
    <t>龙凤呈祥主题试玩球杆，品质等级SSS</t>
  </si>
  <si>
    <t>新春活动专属试玩球杆，品质等级S</t>
  </si>
  <si>
    <t>新春活动专属试玩球杆，品质等级SS</t>
  </si>
  <si>
    <t>新春活动专属试玩球杆，品质等级SSS</t>
  </si>
  <si>
    <t>寻宝之路活动专属试玩球杆，品质等级SS</t>
  </si>
  <si>
    <t>寻宝之路活动专属试玩球杆，品质等级SSS</t>
  </si>
  <si>
    <t>黄金段位专属试玩球杆，品质等级S</t>
  </si>
  <si>
    <t>情缘夺宝活动专属试玩球杆，品质等级S</t>
  </si>
  <si>
    <t>情缘夺宝活动专属试玩球杆，品质等级SS</t>
  </si>
  <si>
    <t>情缘夺宝活动专属试玩球杆，品质等级SSS</t>
  </si>
  <si>
    <t>至尊皇权主题试玩球杆，品质等级S</t>
  </si>
  <si>
    <t>至尊皇权主题试玩球杆，品质等级SS</t>
  </si>
  <si>
    <t>至尊皇权主题试玩球杆，品质等级SSS</t>
  </si>
  <si>
    <t>梦幻学园主题试玩球杆，品质等级SSS</t>
  </si>
  <si>
    <t>弧电枪主题试玩球杆，品质等级S</t>
  </si>
  <si>
    <t>弧电枪主题试玩球杆，品质等级SS</t>
  </si>
  <si>
    <t>弧电枪主题试玩球杆，品质等级SSS</t>
  </si>
  <si>
    <t>核心驱动主题试玩球杆，品质等级S</t>
  </si>
  <si>
    <t>核心驱动主题试玩球杆，品质等级SS</t>
  </si>
  <si>
    <t>核心驱动主题试玩球杆，品质等级SSS</t>
  </si>
  <si>
    <t>愿者上钩主题试玩球杆，品质等级S</t>
  </si>
  <si>
    <t>愿者上钩主题试玩球杆，品质等级SS</t>
  </si>
  <si>
    <t>愿者上钩主题试玩球杆，品质等级SSS</t>
  </si>
  <si>
    <t>桃之夭夭主题试玩球杆，品质等级S</t>
  </si>
  <si>
    <t>桃之夭夭主题试玩球杆，品质等级SS</t>
  </si>
  <si>
    <t>桃之夭夭主题试玩球杆，品质等级SSS</t>
  </si>
  <si>
    <t>神圣羽杖主题试玩球杆，品质等级S</t>
  </si>
  <si>
    <t>神圣羽杖主题试玩球杆，品质等级SS</t>
  </si>
  <si>
    <t>神圣羽杖主题试玩球杆，品质等级SSS</t>
  </si>
  <si>
    <t>蓝梦月泪主题试玩球杆，品质等级S</t>
  </si>
  <si>
    <t>蓝梦月泪主题试玩球杆，品质等级SS</t>
  </si>
  <si>
    <t>蓝梦月泪主题试玩球杆，品质等级SSS</t>
  </si>
  <si>
    <t>祥瑞之星主题试玩球杆，品质等级S</t>
  </si>
  <si>
    <t>祥瑞之星主题试玩球杆，品质等级SS</t>
  </si>
  <si>
    <t>祥瑞之星主题试玩球杆，品质等级SSS</t>
  </si>
  <si>
    <t>樱韵霜芒主题试玩球杆，品质等级S</t>
  </si>
  <si>
    <t>樱韵霜芒主题试玩球杆，品质等级SS</t>
  </si>
  <si>
    <t>樱韵霜芒主题试玩球杆，品质等级SSS</t>
  </si>
  <si>
    <t>翠竹清韵主题试玩球杆，品质等级S</t>
  </si>
  <si>
    <t>翠竹清韵主题试玩球杆，品质等级SS</t>
  </si>
  <si>
    <t>翠竹清韵主题试玩球杆，品质等级SSS</t>
  </si>
  <si>
    <t>墨韵留香主题试玩球杆，品质等级S</t>
  </si>
  <si>
    <t>墨韵留香主题试玩球杆，品质等级SS</t>
  </si>
  <si>
    <t>墨韵留香主题试玩球杆，品质等级SSS</t>
  </si>
  <si>
    <t>海洋之心主题试玩球杆，品质等级S</t>
  </si>
  <si>
    <t>海洋之心主题试玩球杆，品质等级SS</t>
  </si>
  <si>
    <t>海洋之心主题试玩球杆，品质等级SSS</t>
  </si>
  <si>
    <t>笔落春秋主题试玩球杆，品质等级S</t>
  </si>
  <si>
    <t>笔落春秋主题试玩球杆，品质等级SS</t>
  </si>
  <si>
    <t>笔落春秋主题试玩球杆，品质等级SSS</t>
  </si>
  <si>
    <t>冰源风暴主题试玩球杆，品质等级S</t>
  </si>
  <si>
    <t>冰源风暴主题试玩球杆，品质等级SS</t>
  </si>
  <si>
    <t>冰源风暴主题试玩球杆，品质等级SSS</t>
  </si>
  <si>
    <t>凤羽流霞主题试玩球杆，品质等级S</t>
  </si>
  <si>
    <t>凤羽流霞主题试玩球杆，品质等级SS</t>
  </si>
  <si>
    <t>凤羽流霞主题试玩球杆，品质等级SSS</t>
  </si>
  <si>
    <t>守护之刃主题试玩球杆，品质等级S</t>
  </si>
  <si>
    <t>守护之刃主题试玩球杆，品质等级SS</t>
  </si>
  <si>
    <t>守护之刃主题试玩球杆，品质等级SSS</t>
  </si>
  <si>
    <t>金色权杖主题试玩球杆，品质等级S</t>
  </si>
  <si>
    <t>金色权杖主题试玩球杆，品质等级SS</t>
  </si>
  <si>
    <t>金色权杖主题试玩球杆，品质等级SSS</t>
  </si>
  <si>
    <t>澄心定意主题试玩球杆，品质等级S</t>
  </si>
  <si>
    <t>澄心定意主题试玩球杆，品质等级SS</t>
  </si>
  <si>
    <t>澄心定意主题试玩球杆，品质等级SSS</t>
  </si>
  <si>
    <t>术士权杖主题试玩球杆，品质等级S</t>
  </si>
  <si>
    <t>术士权杖主题试玩球杆，品质等级SS</t>
  </si>
  <si>
    <t>术士权杖主题试玩球杆，品质等级SSS</t>
  </si>
  <si>
    <t>惩戒之刃主题试玩球杆，品质等级S</t>
  </si>
  <si>
    <t>惩戒之刃主题试玩球杆，品质等级SS</t>
  </si>
  <si>
    <t>惩戒之刃主题试玩球杆，品质等级SSS</t>
  </si>
  <si>
    <t>川流之径主题试玩球杆，品质等级S</t>
  </si>
  <si>
    <t>川流之径主题试玩球杆，品质等级SS</t>
  </si>
  <si>
    <t>川流之径主题试玩球杆，品质等级SSS</t>
  </si>
  <si>
    <t>秩序之矛主题试玩球杆，品质等级S</t>
  </si>
  <si>
    <t>秩序之矛主题试玩球杆，品质等级SS</t>
  </si>
  <si>
    <t>秩序之矛主题试玩球杆，品质等级SSS</t>
  </si>
  <si>
    <t>部落图腾主题试玩球杆，品质等级S</t>
  </si>
  <si>
    <t>部落图腾主题试玩球杆，品质等级SS</t>
  </si>
  <si>
    <t>部落图腾主题试玩球杆，品质等级SSS</t>
  </si>
  <si>
    <t>蒸汽核心主题试玩球杆，品质等级S</t>
  </si>
  <si>
    <t>蒸汽核心主题试玩球杆，品质等级SS</t>
  </si>
  <si>
    <t>蒸汽核心主题试玩球杆，品质等级SSS</t>
  </si>
  <si>
    <t>箬竹翠韵主题试玩球杆，品质等级S</t>
  </si>
  <si>
    <t>箬竹翠韵主题试玩球杆，品质等级SS</t>
  </si>
  <si>
    <t>箬竹翠韵主题试玩球杆，品质等级SSS</t>
  </si>
  <si>
    <t>雅典娜主题球杆，品质等级Z</t>
  </si>
  <si>
    <t>海王三叉戟主题球杆，品质等级SSS</t>
  </si>
  <si>
    <t>白羊座主题球杆，品质等级SSS</t>
  </si>
  <si>
    <t>金牛座主题球杆，品质等级SSS</t>
  </si>
  <si>
    <t>双子座主题球杆，品质等级SSS</t>
  </si>
  <si>
    <t>巨蟹座主题球杆，品质等级SSS</t>
  </si>
  <si>
    <t>狮子座主题球杆，品质等级SSS</t>
  </si>
  <si>
    <t>处女座主题球杆，品质等级SSS</t>
  </si>
  <si>
    <t>天秤座主题球杆，品质等级SSS</t>
  </si>
  <si>
    <t>天蝎座主题球杆，品质等级SSS</t>
  </si>
  <si>
    <t>射手座主题球杆，品质等级SSS</t>
  </si>
  <si>
    <t>魔羯座主题球杆，品质等级SSS</t>
  </si>
  <si>
    <t>水瓶座主题球杆，品质等级SSS</t>
  </si>
  <si>
    <t>双鱼座主题球杆，品质等级SSS</t>
  </si>
  <si>
    <t>如意金箍棒主题球杆，品质等级Z</t>
  </si>
  <si>
    <t>圣光祈福主题球杆，品质等级S</t>
  </si>
  <si>
    <t>圣光祈福主题球杆，品质等级SS</t>
  </si>
  <si>
    <t>圣光祈福主题球杆，品质等级SSS</t>
  </si>
  <si>
    <t>炽热阳炎主题球杆，品质等级S</t>
  </si>
  <si>
    <t>炽热阳炎主题球杆，品质等级SS</t>
  </si>
  <si>
    <t>炽热阳炎主题球杆，品质等级SSS</t>
  </si>
  <si>
    <t>茱影浮翠主题球杆，品质等级S</t>
  </si>
  <si>
    <t>茱影浮翠主题球杆，品质等级SS</t>
  </si>
  <si>
    <t>茱影浮翠主题球杆，品质等级SSS</t>
  </si>
  <si>
    <t>敦煌琴音主题球杆，品质等级S</t>
  </si>
  <si>
    <t>敦煌琴音主题球杆，品质等级SS</t>
  </si>
  <si>
    <t>敦煌琴音主题球杆，品质等级SSS</t>
  </si>
  <si>
    <t>箜篌踏歌主题球杆，品质等级S</t>
  </si>
  <si>
    <t>箜篌踏歌主题球杆，品质等级SS</t>
  </si>
  <si>
    <t>箜篌踏歌主题球杆，品质等级SSS</t>
  </si>
  <si>
    <t>幻影萧萧主题球杆，品质等级S</t>
  </si>
  <si>
    <t>幻影萧萧主题球杆，品质等级SS</t>
  </si>
  <si>
    <t>幻影萧萧主题球杆，品质等级SSS</t>
  </si>
  <si>
    <t>孔翠鸣筝主题球杆，品质等级S</t>
  </si>
  <si>
    <t>孔翠鸣筝主题球杆，品质等级SS</t>
  </si>
  <si>
    <t>孔翠鸣筝主题球杆，品质等级SSS</t>
  </si>
  <si>
    <t>梦幻琴海主题球杆，品质等级S</t>
  </si>
  <si>
    <t>梦幻琴海主题球杆，品质等级SS</t>
  </si>
  <si>
    <t>梦幻琴海主题球杆，品质等级SSS</t>
  </si>
  <si>
    <t>山雨箭来主题球杆，品质等级S</t>
  </si>
  <si>
    <t>山雨箭来主题球杆，品质等级SS</t>
  </si>
  <si>
    <t>山雨箭来主题球杆，品质等级SSS</t>
  </si>
  <si>
    <t>剑影飒沓主题球杆，品质等级S</t>
  </si>
  <si>
    <t>剑影飒沓主题球杆，品质等级SS</t>
  </si>
  <si>
    <t>剑影飒沓主题球杆，品质等级SSS</t>
  </si>
  <si>
    <t>花飞鹤舞主题球杆，品质等级S</t>
  </si>
  <si>
    <t>花飞鹤舞主题球杆，品质等级SS</t>
  </si>
  <si>
    <t>花飞鹤舞主题球杆，品质等级SSS</t>
  </si>
  <si>
    <t>紫青宝剑主题球杆，品质等级Z</t>
  </si>
  <si>
    <t>黑龙魔镰主题球杆，品质等级Z</t>
  </si>
  <si>
    <t>张灯结彩主题球杆，品质等级S</t>
  </si>
  <si>
    <t>张灯结彩主题球杆，品质等级SS</t>
  </si>
  <si>
    <t>张灯结彩主题球杆，品质等级SSS</t>
  </si>
  <si>
    <t>龙年主题球杆，品质等级S</t>
  </si>
  <si>
    <t>龙年主题球杆，品质等级SS</t>
  </si>
  <si>
    <t>龙年主题球杆，品质等级SSS</t>
  </si>
  <si>
    <t>像素主题球杆，品质等级SSS</t>
  </si>
  <si>
    <t>机甲主题球杆，品质等级Z</t>
  </si>
  <si>
    <t>春意盎然主题球杆，品质等级S。</t>
  </si>
  <si>
    <t>春意盎然主题球杆，品质等级SS。</t>
  </si>
  <si>
    <t>春意盎然主题球杆，品质等级SSS。</t>
  </si>
  <si>
    <t>糖果主题球杆，品质等级S</t>
  </si>
  <si>
    <t>糖果主题球杆，品质等级SS</t>
  </si>
  <si>
    <t>糖果主题球杆，品质等级SSS</t>
  </si>
  <si>
    <t>双生之刃，共斩世间邪恶，同护正义之光。</t>
  </si>
  <si>
    <t>星海千年紫珊瑚为杆，海月水母为魂，每次出杆都将演绎一次星海的梦幻热舞。</t>
  </si>
  <si>
    <t>独特而有趣的球杆，它将给您带来全新的游戏体验。</t>
  </si>
  <si>
    <t>欢乐血流专属限定球杆</t>
  </si>
  <si>
    <t>中世纪古堡内，有着深不可测的秘密。</t>
  </si>
  <si>
    <t>天蓬元帅的武器，由九首蛟幻化而成。</t>
  </si>
  <si>
    <t>二郎神的武器，是二郎神最趁手的武器。</t>
  </si>
  <si>
    <t>宝刀屠龙，点击就送！</t>
  </si>
  <si>
    <t>圣诞主题球杆，品质等级SSS</t>
  </si>
  <si>
    <t>冰雪之境，有雪中精灵翩翩起舞。</t>
  </si>
  <si>
    <t>枪身仿若金属巨兽蛰伏，以超强火力镇压岁兽，守护安宁无虞。</t>
  </si>
  <si>
    <t>蛇年主题球杆，品质等级SSS</t>
  </si>
  <si>
    <t>拂柳追燕主题球杆体验卡1局，领取后可在背包查看使用</t>
  </si>
  <si>
    <t>哪吒闹海主题球杆体验卡1局，领取后可在背包查看使用</t>
  </si>
  <si>
    <t>敦煌飞天主题球杆体验卡1局，领取后可在背包查看使用</t>
  </si>
  <si>
    <t>破晓光翼主题球杆体验卡1局，领取后可在背包查看使用</t>
  </si>
  <si>
    <t>球杆池-对局外</t>
  </si>
  <si>
    <t>球杆池-对局内</t>
  </si>
  <si>
    <t>出现功能</t>
  </si>
  <si>
    <t>球杆池-上</t>
  </si>
  <si>
    <t>球杆池-中</t>
  </si>
  <si>
    <t>球杆池-下</t>
  </si>
  <si>
    <t>对局内球杆池-上</t>
  </si>
  <si>
    <t>对局内球杆池-下</t>
  </si>
  <si>
    <t>cue_pool</t>
  </si>
  <si>
    <t>cue_pool_game</t>
  </si>
  <si>
    <t>fun_list</t>
  </si>
  <si>
    <t>(list#sep=;),(list#sep=,),int</t>
  </si>
  <si>
    <t>(list#sep=,),int</t>
  </si>
  <si>
    <t>[]</t>
  </si>
  <si>
    <t>1,2,7,13</t>
  </si>
  <si>
    <t>130334,130354</t>
  </si>
  <si>
    <t>130013,130022,130043,130052,130063,130072,130082,130092,130102,130111,130122,130132,130142,130174,130181,130194,130202,130223,130254,130322,130342,130362,130372,130392,130402,130412,130422,130432,130442,130452,130462,130812,130833,130843,130853,130873,130883,130913,130923,130014,130023,130044,130053,130073,130083,130093,130103,130113,130123,130133,130143,130175,130195,130203,130256,130323,130343,130363,130373,130393,130403,130413,130423,130433,130443,130453,130463,130813,130834,130844,130854,130874,130884,130894,130914</t>
  </si>
  <si>
    <t>130012,130042,130062,130071,130081,130091,130101,130114,130121,130131,130141,130162,130173,130193,130201,130222,130232,130242,130253,130321,130341,130361,130371,130382,130391,130401,130411,130421,130431,130441,130451,130461,130811,130832,130842,130863,130872,130882,130912,130922</t>
  </si>
  <si>
    <t>130014,130023,130044,130053,130073,130083,130093,130103,130113,130123,130133,130143,130175,130195,130203,130256,130323,130343,130363,130373,130393,130403,130413,130423,130433,130443,130453,130463,130813,130834,130844,130854,130874,130884,130894,130914</t>
  </si>
  <si>
    <t>130363,130373,130393,130403,130413,130423,130433,130443,130453,130463,130813,130834,130844,130854,130874,130884,130894,130914</t>
  </si>
  <si>
    <t>分享奖励</t>
  </si>
  <si>
    <t>身份</t>
  </si>
  <si>
    <t>奖励数量</t>
  </si>
  <si>
    <t>prize</t>
  </si>
  <si>
    <t>type</t>
  </si>
  <si>
    <t>amount</t>
  </si>
  <si>
    <t>红包</t>
  </si>
  <si>
    <t>1,2</t>
  </si>
  <si>
    <t>2,3</t>
  </si>
  <si>
    <t>分享编号</t>
  </si>
  <si>
    <t>活动背景图</t>
  </si>
  <si>
    <t>权重</t>
  </si>
  <si>
    <t>bgpng</t>
  </si>
  <si>
    <t>statement</t>
  </si>
  <si>
    <t>weight</t>
  </si>
  <si>
    <t>vb</t>
  </si>
  <si>
    <t>每次获得奖励</t>
  </si>
  <si>
    <t>每邀请1个用户可得金币数量</t>
  </si>
  <si>
    <t>邀请好友数量</t>
  </si>
  <si>
    <t>邀请完后拿的大奖</t>
  </si>
  <si>
    <t>说明</t>
  </si>
  <si>
    <t>出现时间</t>
  </si>
  <si>
    <t>消失时间</t>
  </si>
  <si>
    <t>prize_Per</t>
  </si>
  <si>
    <t>actived_number</t>
  </si>
  <si>
    <t>big_prize</t>
  </si>
  <si>
    <t>big_prize_number</t>
  </si>
  <si>
    <t>time_up</t>
  </si>
  <si>
    <t>time_down</t>
  </si>
  <si>
    <t>邀请得球杆配置</t>
  </si>
  <si>
    <t>500,600,800,1000,2000</t>
  </si>
  <si>
    <t>邀请任意好友进游戏，免费领取8888金币！</t>
  </si>
  <si>
    <t>2000,2500,3000,3500,4000</t>
  </si>
  <si>
    <t>邀请任意好友进游戏，免费领取23888金币！</t>
  </si>
  <si>
    <t>类型</t>
  </si>
  <si>
    <t>奖励</t>
  </si>
  <si>
    <t>prize_num</t>
  </si>
  <si>
    <t>飞行球杆</t>
  </si>
  <si>
    <t>钻石</t>
  </si>
  <si>
    <t>奖励类型</t>
  </si>
  <si>
    <t>奖励组id</t>
  </si>
  <si>
    <t>时效</t>
  </si>
  <si>
    <t>语言包说明上</t>
  </si>
  <si>
    <t>说明上</t>
  </si>
  <si>
    <t>语言包说明下</t>
  </si>
  <si>
    <t>说明下</t>
  </si>
  <si>
    <t>prize_id</t>
  </si>
  <si>
    <t>time_id</t>
  </si>
  <si>
    <t>up_statement1</t>
  </si>
  <si>
    <t>down_statement1</t>
  </si>
  <si>
    <t>ratio_x</t>
  </si>
  <si>
    <t>ratio_y</t>
  </si>
  <si>
    <t>广告点</t>
  </si>
  <si>
    <t>金币</t>
  </si>
  <si>
    <t>每日免费领取</t>
  </si>
  <si>
    <t>2000金币</t>
  </si>
  <si>
    <t>免广告</t>
  </si>
  <si>
    <t>免除广告</t>
  </si>
  <si>
    <t>球桌（7天）</t>
  </si>
  <si>
    <t>酷炫球桌免费用</t>
  </si>
  <si>
    <t>专属球桌</t>
  </si>
  <si>
    <t>头像框</t>
  </si>
  <si>
    <t>彰显尊贵身份</t>
  </si>
  <si>
    <t>专属头像框</t>
  </si>
  <si>
    <t>魔法表情</t>
  </si>
  <si>
    <t>球杆</t>
  </si>
  <si>
    <t>约战好友数量</t>
  </si>
  <si>
    <t>cue</t>
  </si>
  <si>
    <t>battle_num</t>
  </si>
  <si>
    <t>约战得球杆</t>
  </si>
  <si>
    <t>龙回头A</t>
  </si>
  <si>
    <t>黄铜球杆</t>
  </si>
  <si>
    <t>白银球杆A</t>
  </si>
  <si>
    <t>次数</t>
  </si>
  <si>
    <t>分享砍价</t>
  </si>
  <si>
    <t>视频砍价</t>
  </si>
  <si>
    <t>share_bargin</t>
  </si>
  <si>
    <t>ad_bargin</t>
  </si>
  <si>
    <t>任务id</t>
  </si>
  <si>
    <t>task_id</t>
  </si>
  <si>
    <t>(list#sep=;),int</t>
  </si>
  <si>
    <t>1;2;3;4;5</t>
  </si>
  <si>
    <t>6;7;8;9;10</t>
  </si>
  <si>
    <t>11;12;13;14;15</t>
  </si>
  <si>
    <t>任务达成字段</t>
  </si>
  <si>
    <t>任务名称</t>
  </si>
  <si>
    <t>参考中文名</t>
  </si>
  <si>
    <t>任务奖励</t>
  </si>
  <si>
    <t>field</t>
  </si>
  <si>
    <t>share_task</t>
  </si>
  <si>
    <t>share_reward</t>
  </si>
  <si>
    <t>分享领好礼</t>
  </si>
  <si>
    <t>累计邀请1名新玩家进入游戏</t>
  </si>
  <si>
    <t>510051,20;2,1000</t>
  </si>
  <si>
    <t>累计邀请2名新玩家进入游戏</t>
  </si>
  <si>
    <t>累计邀请3名新玩家进入游戏</t>
  </si>
  <si>
    <t>累计邀请4名新玩家进入游戏</t>
  </si>
  <si>
    <t>累计邀请5名新玩家进入游戏</t>
  </si>
  <si>
    <t>510221,40;2,1000</t>
  </si>
  <si>
    <t>510041,40;2,1000</t>
  </si>
  <si>
    <t>邀请人数</t>
  </si>
  <si>
    <t>num</t>
  </si>
  <si>
    <t>name</t>
  </si>
  <si>
    <t>reward</t>
  </si>
  <si>
    <t>邀请送金币</t>
  </si>
  <si>
    <t>邀请1位新玩家</t>
  </si>
  <si>
    <t>2;10000</t>
  </si>
  <si>
    <t>邀请3位新玩家</t>
  </si>
  <si>
    <t>2;40000</t>
  </si>
  <si>
    <t>邀请5位新玩家</t>
  </si>
  <si>
    <t>2;50000</t>
  </si>
  <si>
    <t>CONFIG_NAME</t>
  </si>
  <si>
    <t>配置名, 如果没有这个字段, 则这个Sheet不会导出</t>
  </si>
  <si>
    <t>CONFIG_DESCRIPTION</t>
  </si>
  <si>
    <t>每周小额付费活动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</si>
  <si>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</si>
  <si>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</si>
  <si>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</si>
  <si>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</si>
  <si>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</si>
  <si>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</si>
  <si>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</si>
  <si>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</si>
  <si>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</si>
  <si>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</si>
  <si>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</si>
  <si>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</si>
  <si>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概率</t>
  </si>
  <si>
    <t>prize_number</t>
  </si>
  <si>
    <t>key,lua,pb,json</t>
  </si>
  <si>
    <t>lua,pb,json</t>
  </si>
  <si>
    <t>每日邀约</t>
  </si>
  <si>
    <t>share_task_ch</t>
  </si>
  <si>
    <t>list</t>
  </si>
  <si>
    <t>分享发送1次</t>
  </si>
  <si>
    <t>[2,1000]</t>
  </si>
  <si>
    <t>分享发送3次</t>
  </si>
  <si>
    <t>[2,3000]</t>
  </si>
  <si>
    <t>分享发送5次</t>
  </si>
  <si>
    <t>[1,5]</t>
  </si>
  <si>
    <t>分享有礼</t>
  </si>
  <si>
    <t>任务跳转</t>
  </si>
  <si>
    <t>link</t>
  </si>
  <si>
    <t>分享到群并点击链接，可随机抽奖一次！</t>
  </si>
  <si>
    <t>分享并邀请新玩家点击该链接，领取以下奖励！</t>
  </si>
  <si>
    <t>分享并邀请好友点击链接，领取以下奖励！</t>
  </si>
  <si>
    <t>试用球桌</t>
  </si>
  <si>
    <t>球桌id</t>
  </si>
  <si>
    <t>出现日期</t>
  </si>
  <si>
    <t>table_id</t>
  </si>
  <si>
    <t>date</t>
  </si>
  <si>
    <t>module</t>
  </si>
  <si>
    <t>1,2,3,4,5,6</t>
  </si>
  <si>
    <t>西瓜球桌</t>
  </si>
  <si>
    <t>A</t>
  </si>
  <si>
    <t>黑金科技</t>
  </si>
  <si>
    <t>S</t>
  </si>
  <si>
    <t>水晶之恋</t>
  </si>
  <si>
    <t>动力驱动</t>
  </si>
  <si>
    <t>繁星点点</t>
  </si>
  <si>
    <t>机械齿轮</t>
  </si>
  <si>
    <t>喵星物语</t>
  </si>
  <si>
    <t>玛雅文明</t>
  </si>
  <si>
    <t>国色天香</t>
  </si>
  <si>
    <t>棒棒糖</t>
  </si>
  <si>
    <t>青花瓷</t>
  </si>
  <si>
    <t>骑士之誓</t>
  </si>
  <si>
    <t>DBA星耀</t>
  </si>
  <si>
    <t>虎虎生威</t>
  </si>
  <si>
    <t>主界面推送</t>
  </si>
  <si>
    <t>奖励组1</t>
  </si>
  <si>
    <t>奖励组2</t>
  </si>
  <si>
    <t>奖励组3</t>
  </si>
  <si>
    <t>时长1（分钟）</t>
  </si>
  <si>
    <t>时长2（分钟）</t>
  </si>
  <si>
    <t>时长3（分钟）</t>
  </si>
  <si>
    <t>视频可缩减的时长（分钟）</t>
  </si>
  <si>
    <t>cueId</t>
  </si>
  <si>
    <t>reward1</t>
  </si>
  <si>
    <t>reward2</t>
  </si>
  <si>
    <t>reward3</t>
  </si>
  <si>
    <t>time1</t>
  </si>
  <si>
    <t>time2</t>
  </si>
  <si>
    <t>time3</t>
  </si>
  <si>
    <t>timeAd</t>
  </si>
  <si>
    <t>A地狱火焰</t>
  </si>
  <si>
    <t>S紫金葫芦</t>
  </si>
  <si>
    <t>S黑色琴键</t>
  </si>
  <si>
    <t>邀请所选图</t>
  </si>
  <si>
    <t>奖励编号</t>
  </si>
  <si>
    <t>奖励备注说明</t>
  </si>
  <si>
    <t>分享or视频</t>
  </si>
  <si>
    <t>isShare</t>
  </si>
  <si>
    <t>[</t>
  </si>
  <si>
    <t>,</t>
  </si>
  <si>
    <t>]</t>
  </si>
  <si>
    <t>物品</t>
  </si>
  <si>
    <t>数量下限</t>
  </si>
  <si>
    <t>数量上限</t>
  </si>
  <si>
    <t>球桌</t>
  </si>
  <si>
    <t>碎片</t>
  </si>
  <si>
    <t>球桌（1天）</t>
  </si>
  <si>
    <t>球杆A</t>
  </si>
  <si>
    <t>白银球杆（1天）</t>
  </si>
  <si>
    <t>靛蓝球桌</t>
  </si>
  <si>
    <t>地狱火焰</t>
  </si>
  <si>
    <t>A级球杆（1天）</t>
  </si>
  <si>
    <t>服装 1天）</t>
  </si>
  <si>
    <t>黄铜球杆（1天）</t>
  </si>
  <si>
    <t>黛绿球桌</t>
  </si>
  <si>
    <t>A级球杆碎片（3个）</t>
  </si>
  <si>
    <t>龙回头（1天）</t>
  </si>
  <si>
    <t>暗红球桌</t>
  </si>
  <si>
    <t>白银球杆碎片</t>
  </si>
  <si>
    <t>服装</t>
  </si>
  <si>
    <t>经典衬衫</t>
  </si>
  <si>
    <t>鹅黄球桌</t>
  </si>
  <si>
    <t>骑士长枪碎片</t>
  </si>
  <si>
    <t>所有奖励的展示</t>
  </si>
  <si>
    <t>街头潮牌</t>
  </si>
  <si>
    <t>炫紫球桌</t>
  </si>
  <si>
    <t>如鱼得水碎片</t>
  </si>
  <si>
    <t>夏日派对</t>
  </si>
  <si>
    <t>牛仔很忙</t>
  </si>
  <si>
    <t>紫金葫芦</t>
  </si>
  <si>
    <t>超级巨星</t>
  </si>
  <si>
    <t>黑色琴键</t>
  </si>
  <si>
    <t>电音吉他</t>
  </si>
  <si>
    <t>台球麦霸</t>
  </si>
  <si>
    <t>夏日海滩</t>
  </si>
  <si>
    <t>圣诞树</t>
  </si>
  <si>
    <t>圣诞糖果</t>
  </si>
  <si>
    <t>梅花三弄</t>
  </si>
  <si>
    <t>成就大师</t>
  </si>
  <si>
    <t>台球达人</t>
  </si>
  <si>
    <t>雄鹰碎片</t>
  </si>
  <si>
    <t>砍一刀</t>
  </si>
  <si>
    <t>第1句文案</t>
  </si>
  <si>
    <t>第一句文案</t>
  </si>
  <si>
    <t>数字</t>
  </si>
  <si>
    <t>第2句文案</t>
  </si>
  <si>
    <t>第二句文案</t>
  </si>
  <si>
    <t>活动开始时间</t>
  </si>
  <si>
    <t>活动结束时间</t>
  </si>
  <si>
    <t>statement1</t>
  </si>
  <si>
    <t>number1</t>
  </si>
  <si>
    <t>statement2</t>
  </si>
  <si>
    <t>number2</t>
  </si>
  <si>
    <t>begin_time</t>
  </si>
  <si>
    <t>end_time</t>
  </si>
  <si>
    <t>延长线加长</t>
  </si>
  <si>
    <t xml:space="preserve"> 力度加强</t>
  </si>
  <si>
    <t>力度加强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</si>
</sst>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/m/d\ h:mm;@"/>
    <numFmt numFmtId="179" formatCode="#,##0_);[Red]\(#,##0\)"/>
  </numFmts>
  <fonts count="12" x14ac:knownFonts="1">
    <font>
      <sz val="11"/>
      <color theme="1"/>
      <name val="等线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Helvetica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60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0" fillId="4" borderId="0" xfId="0" applyFill="1" applyAlignment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6" applyBorder="1" applyAlignment="1">
      <alignment horizontal="center" vertical="center"/>
    </xf>
    <xf numFmtId="9" fontId="2" fillId="0" borderId="1" xfId="6" applyNumberFormat="1" applyBorder="1" applyAlignment="1">
      <alignment horizontal="center" vertical="center"/>
    </xf>
    <xf numFmtId="0" fontId="0" fillId="0" borderId="1" xfId="0" applyBorder="1" applyAlignment="1"/>
    <xf numFmtId="0" fontId="0" fillId="4" borderId="1" xfId="0" applyFill="1" applyBorder="1" applyAlignment="1"/>
    <xf numFmtId="178" fontId="0" fillId="4" borderId="1" xfId="0" applyNumberFormat="1" applyFill="1" applyBorder="1" applyAlignment="1"/>
    <xf numFmtId="178" fontId="3" fillId="4" borderId="1" xfId="0" applyNumberFormat="1" applyFont="1" applyFill="1" applyBorder="1" applyAlignment="1"/>
    <xf numFmtId="178" fontId="0" fillId="5" borderId="1" xfId="0" applyNumberFormat="1" applyFill="1" applyBorder="1" applyAlignment="1"/>
    <xf numFmtId="178" fontId="3" fillId="5" borderId="1" xfId="0" applyNumberFormat="1" applyFont="1" applyFill="1" applyBorder="1" applyAlignment="1"/>
    <xf numFmtId="178" fontId="3" fillId="5" borderId="1" xfId="6" applyNumberFormat="1" applyFont="1" applyFill="1" applyBorder="1" applyAlignment="1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/>
    <xf numFmtId="3" fontId="0" fillId="0" borderId="0" xfId="0" applyNumberFormat="1" applyAlignment="1"/>
    <xf numFmtId="0" fontId="2" fillId="0" borderId="0" xfId="2">
      <alignment vertical="center"/>
    </xf>
    <xf numFmtId="0" fontId="2" fillId="0" borderId="0" xfId="9"/>
    <xf numFmtId="179" fontId="0" fillId="0" borderId="1" xfId="0" applyNumberFormat="1" applyBorder="1" applyAlignment="1">
      <alignment horizontal="center" vertical="center"/>
    </xf>
    <xf numFmtId="0" fontId="2" fillId="4" borderId="0" xfId="9" applyFill="1"/>
    <xf numFmtId="0" fontId="2" fillId="0" borderId="0" xfId="6">
      <alignment vertical="center"/>
    </xf>
    <xf numFmtId="0" fontId="3" fillId="0" borderId="0" xfId="3" applyAlignment="1">
      <alignment vertical="center"/>
    </xf>
    <xf numFmtId="0" fontId="0" fillId="3" borderId="1" xfId="0" applyFill="1" applyBorder="1" applyAlignment="1"/>
    <xf numFmtId="178" fontId="0" fillId="0" borderId="1" xfId="0" applyNumberFormat="1" applyBorder="1" applyAlignment="1">
      <alignment horizontal="center"/>
    </xf>
    <xf numFmtId="178" fontId="0" fillId="4" borderId="1" xfId="0" applyNumberFormat="1" applyFill="1" applyBorder="1" applyAlignment="1">
      <alignment horizontal="center"/>
    </xf>
    <xf numFmtId="178" fontId="3" fillId="4" borderId="1" xfId="0" applyNumberFormat="1" applyFont="1" applyFill="1" applyBorder="1" applyAlignment="1">
      <alignment horizontal="center"/>
    </xf>
    <xf numFmtId="178" fontId="0" fillId="0" borderId="1" xfId="0" applyNumberFormat="1" applyBorder="1">
      <alignment vertical="center"/>
    </xf>
    <xf numFmtId="49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7" applyAlignment="1">
      <alignment horizontal="center"/>
    </xf>
    <xf numFmtId="0" fontId="2" fillId="4" borderId="0" xfId="7" applyFill="1" applyAlignment="1">
      <alignment horizontal="center"/>
    </xf>
    <xf numFmtId="0" fontId="2" fillId="3" borderId="0" xfId="7" applyFill="1"/>
    <xf numFmtId="0" fontId="2" fillId="0" borderId="0" xfId="7"/>
    <xf numFmtId="49" fontId="2" fillId="0" borderId="0" xfId="7" applyNumberFormat="1"/>
    <xf numFmtId="0" fontId="0" fillId="4" borderId="0" xfId="0" applyFill="1" applyAlignment="1">
      <alignment horizontal="center"/>
    </xf>
    <xf numFmtId="0" fontId="2" fillId="3" borderId="0" xfId="7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0" fillId="0" borderId="1" xfId="0" quotePrefix="1" applyBorder="1" applyAlignment="1">
      <alignment horizontal="center"/>
    </xf>
  </cellXfs>
  <cellStyles count="11">
    <cellStyle name="常规" xfId="0" builtinId="0"/>
    <cellStyle name="常规 2" xfId="2" xr:uid="{00000000-0005-0000-0000-000031000000}"/>
    <cellStyle name="常规 2 2" xfId="3" xr:uid="{00000000-0005-0000-0000-000032000000}"/>
    <cellStyle name="常规 2 2 2" xfId="4" xr:uid="{00000000-0005-0000-0000-000033000000}"/>
    <cellStyle name="常规 2 2 3" xfId="5" xr:uid="{00000000-0005-0000-0000-000034000000}"/>
    <cellStyle name="常规 3" xfId="6" xr:uid="{00000000-0005-0000-0000-000035000000}"/>
    <cellStyle name="常规 4" xfId="7" xr:uid="{00000000-0005-0000-0000-000036000000}"/>
    <cellStyle name="常规 4 2" xfId="8" xr:uid="{00000000-0005-0000-0000-000037000000}"/>
    <cellStyle name="常规 5" xfId="9" xr:uid="{00000000-0005-0000-0000-000038000000}"/>
    <cellStyle name="常规 6" xfId="10" xr:uid="{00000000-0005-0000-0000-000039000000}"/>
    <cellStyle name="好" xfId="1" builtinId="26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33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opLeftCell="A55" workbookViewId="0">
      <selection activeCell="B125" sqref="B125"/>
    </sheetView>
  </sheetViews>
  <sheetFormatPr defaultColWidth="9" defaultRowHeight="13.8" x14ac:dyDescent="0.25"/>
  <cols>
    <col min="2" max="2" width="19.88671875" style="27" customWidth="1"/>
    <col min="3" max="3" width="17.44140625" customWidth="1"/>
    <col min="4" max="4" width="10.6640625" customWidth="1"/>
    <col min="5" max="5" width="10.44140625" customWidth="1"/>
  </cols>
  <sheetData>
    <row r="1" spans="1:7" x14ac:dyDescent="0.25">
      <c r="A1" s="2" t="s">
        <v>0</v>
      </c>
      <c r="B1" s="26" t="s">
        <v>1</v>
      </c>
      <c r="C1" s="26" t="s">
        <v>2</v>
      </c>
      <c r="D1" t="s">
        <v>3</v>
      </c>
      <c r="E1" t="s">
        <v>4</v>
      </c>
      <c r="F1" s="27" t="s">
        <v>5</v>
      </c>
      <c r="G1" s="27" t="s">
        <v>6</v>
      </c>
    </row>
    <row r="2" spans="1:7" x14ac:dyDescent="0.25">
      <c r="A2" s="2" t="s">
        <v>7</v>
      </c>
      <c r="B2" s="48" t="s">
        <v>8</v>
      </c>
      <c r="C2" s="48" t="s">
        <v>9</v>
      </c>
      <c r="D2" s="4" t="s">
        <v>10</v>
      </c>
      <c r="E2" s="48" t="s">
        <v>11</v>
      </c>
      <c r="F2" s="45"/>
      <c r="G2" s="45"/>
    </row>
    <row r="3" spans="1:7" x14ac:dyDescent="0.25">
      <c r="A3" s="2" t="s">
        <v>12</v>
      </c>
      <c r="B3" s="48" t="s">
        <v>13</v>
      </c>
      <c r="C3" s="48" t="s">
        <v>13</v>
      </c>
      <c r="D3" s="4" t="s">
        <v>13</v>
      </c>
      <c r="E3" s="48" t="s">
        <v>13</v>
      </c>
      <c r="F3" s="49" t="s">
        <v>13</v>
      </c>
      <c r="G3" s="49" t="s">
        <v>14</v>
      </c>
    </row>
    <row r="4" spans="1:7" x14ac:dyDescent="0.25">
      <c r="A4" s="2" t="s">
        <v>15</v>
      </c>
      <c r="B4" s="48" t="s">
        <v>16</v>
      </c>
      <c r="C4" s="48" t="s">
        <v>16</v>
      </c>
      <c r="D4" s="48" t="s">
        <v>16</v>
      </c>
      <c r="E4" s="48" t="s">
        <v>16</v>
      </c>
      <c r="F4" s="45"/>
      <c r="G4" s="45"/>
    </row>
    <row r="5" spans="1:7" x14ac:dyDescent="0.25">
      <c r="A5" s="2" t="s">
        <v>17</v>
      </c>
      <c r="B5" s="48" t="s">
        <v>18</v>
      </c>
      <c r="C5" s="48">
        <v>0</v>
      </c>
      <c r="D5" s="4">
        <v>0</v>
      </c>
      <c r="E5" s="48">
        <v>0</v>
      </c>
      <c r="F5" s="45"/>
      <c r="G5" s="45"/>
    </row>
    <row r="6" spans="1:7" x14ac:dyDescent="0.25">
      <c r="B6" s="50">
        <v>130012</v>
      </c>
      <c r="C6" s="51">
        <v>130012</v>
      </c>
      <c r="D6" s="27">
        <v>0</v>
      </c>
      <c r="E6" s="27">
        <v>0</v>
      </c>
      <c r="F6" s="52">
        <v>5</v>
      </c>
      <c r="G6" s="51" t="s">
        <v>19</v>
      </c>
    </row>
    <row r="7" spans="1:7" x14ac:dyDescent="0.25">
      <c r="B7" s="50">
        <v>130013</v>
      </c>
      <c r="C7" s="51">
        <v>130013</v>
      </c>
      <c r="D7" s="27">
        <v>1</v>
      </c>
      <c r="E7" s="27">
        <v>3</v>
      </c>
      <c r="F7" s="52">
        <v>6</v>
      </c>
      <c r="G7" s="51" t="s">
        <v>20</v>
      </c>
    </row>
    <row r="8" spans="1:7" x14ac:dyDescent="0.25">
      <c r="B8" s="50">
        <v>130014</v>
      </c>
      <c r="C8" s="51">
        <v>130014</v>
      </c>
      <c r="D8" s="27">
        <v>1</v>
      </c>
      <c r="E8" s="27">
        <v>6</v>
      </c>
      <c r="F8" s="52">
        <v>7</v>
      </c>
      <c r="G8" s="51" t="s">
        <v>21</v>
      </c>
    </row>
    <row r="9" spans="1:7" x14ac:dyDescent="0.25">
      <c r="B9" s="50">
        <v>130021</v>
      </c>
      <c r="C9" s="51">
        <v>130021</v>
      </c>
      <c r="D9" s="27">
        <v>0</v>
      </c>
      <c r="E9" s="27">
        <v>0</v>
      </c>
      <c r="F9" s="52">
        <v>5</v>
      </c>
      <c r="G9" s="51" t="s">
        <v>22</v>
      </c>
    </row>
    <row r="10" spans="1:7" x14ac:dyDescent="0.25">
      <c r="B10" s="50">
        <v>130022</v>
      </c>
      <c r="C10" s="51">
        <v>130022</v>
      </c>
      <c r="D10" s="27">
        <v>1</v>
      </c>
      <c r="E10" s="27">
        <v>3</v>
      </c>
      <c r="F10" s="52">
        <v>6</v>
      </c>
      <c r="G10" s="51" t="s">
        <v>23</v>
      </c>
    </row>
    <row r="11" spans="1:7" x14ac:dyDescent="0.25">
      <c r="B11" s="50">
        <v>130023</v>
      </c>
      <c r="C11" s="51">
        <v>130023</v>
      </c>
      <c r="D11" s="27">
        <v>1</v>
      </c>
      <c r="E11" s="27">
        <v>6</v>
      </c>
      <c r="F11" s="52">
        <v>7</v>
      </c>
      <c r="G11" s="51" t="s">
        <v>24</v>
      </c>
    </row>
    <row r="12" spans="1:7" x14ac:dyDescent="0.25">
      <c r="B12" s="50">
        <v>130042</v>
      </c>
      <c r="C12" s="51">
        <v>130042</v>
      </c>
      <c r="D12" s="27">
        <v>0</v>
      </c>
      <c r="E12" s="27">
        <v>0</v>
      </c>
      <c r="F12" s="52">
        <v>5</v>
      </c>
      <c r="G12" s="51" t="s">
        <v>25</v>
      </c>
    </row>
    <row r="13" spans="1:7" x14ac:dyDescent="0.25">
      <c r="B13" s="50">
        <v>130043</v>
      </c>
      <c r="C13" s="51">
        <v>130043</v>
      </c>
      <c r="D13" s="27">
        <v>1</v>
      </c>
      <c r="E13" s="27">
        <v>3</v>
      </c>
      <c r="F13" s="52">
        <v>6</v>
      </c>
      <c r="G13" s="51" t="s">
        <v>26</v>
      </c>
    </row>
    <row r="14" spans="1:7" x14ac:dyDescent="0.25">
      <c r="B14" s="50">
        <v>130044</v>
      </c>
      <c r="C14" s="51">
        <v>130044</v>
      </c>
      <c r="D14" s="27">
        <v>1</v>
      </c>
      <c r="E14" s="27">
        <v>6</v>
      </c>
      <c r="F14" s="52">
        <v>7</v>
      </c>
      <c r="G14" s="51" t="s">
        <v>27</v>
      </c>
    </row>
    <row r="15" spans="1:7" x14ac:dyDescent="0.25">
      <c r="B15" s="50">
        <v>130051</v>
      </c>
      <c r="C15" s="51">
        <v>130051</v>
      </c>
      <c r="D15" s="27">
        <v>0</v>
      </c>
      <c r="E15" s="27">
        <v>0</v>
      </c>
      <c r="F15" s="52">
        <v>5</v>
      </c>
      <c r="G15" s="51" t="s">
        <v>28</v>
      </c>
    </row>
    <row r="16" spans="1:7" x14ac:dyDescent="0.25">
      <c r="B16" s="50">
        <v>130052</v>
      </c>
      <c r="C16" s="51">
        <v>130052</v>
      </c>
      <c r="D16" s="27">
        <v>1</v>
      </c>
      <c r="E16" s="27">
        <v>3</v>
      </c>
      <c r="F16" s="52">
        <v>6</v>
      </c>
      <c r="G16" s="51" t="s">
        <v>29</v>
      </c>
    </row>
    <row r="17" spans="1:7" x14ac:dyDescent="0.25">
      <c r="B17" s="50">
        <v>130053</v>
      </c>
      <c r="C17" s="51">
        <v>130053</v>
      </c>
      <c r="D17" s="27">
        <v>1</v>
      </c>
      <c r="E17" s="27">
        <v>6</v>
      </c>
      <c r="F17" s="52">
        <v>7</v>
      </c>
      <c r="G17" s="51" t="s">
        <v>30</v>
      </c>
    </row>
    <row r="18" spans="1:7" x14ac:dyDescent="0.25">
      <c r="B18" s="50">
        <v>130062</v>
      </c>
      <c r="C18" s="51">
        <v>130062</v>
      </c>
      <c r="D18" s="27">
        <v>0</v>
      </c>
      <c r="E18" s="27">
        <v>0</v>
      </c>
      <c r="F18" s="52">
        <v>5</v>
      </c>
      <c r="G18" s="51" t="s">
        <v>31</v>
      </c>
    </row>
    <row r="19" spans="1:7" x14ac:dyDescent="0.25">
      <c r="B19" s="50">
        <v>130063</v>
      </c>
      <c r="C19" s="51">
        <v>130063</v>
      </c>
      <c r="D19" s="27">
        <v>1</v>
      </c>
      <c r="E19" s="27">
        <v>3</v>
      </c>
      <c r="F19" s="52">
        <v>6</v>
      </c>
      <c r="G19" s="51" t="s">
        <v>32</v>
      </c>
    </row>
    <row r="20" spans="1:7" x14ac:dyDescent="0.25">
      <c r="B20" s="50">
        <v>130071</v>
      </c>
      <c r="C20" s="51">
        <v>130071</v>
      </c>
      <c r="D20" s="27">
        <v>0</v>
      </c>
      <c r="E20" s="27">
        <v>0</v>
      </c>
      <c r="F20" s="52">
        <v>5</v>
      </c>
      <c r="G20" s="51" t="s">
        <v>33</v>
      </c>
    </row>
    <row r="21" spans="1:7" x14ac:dyDescent="0.25">
      <c r="B21" s="50">
        <v>130072</v>
      </c>
      <c r="C21" s="51">
        <v>130072</v>
      </c>
      <c r="D21" s="27">
        <v>1</v>
      </c>
      <c r="E21" s="27">
        <v>3</v>
      </c>
      <c r="F21" s="52">
        <v>6</v>
      </c>
      <c r="G21" s="51" t="s">
        <v>34</v>
      </c>
    </row>
    <row r="22" spans="1:7" x14ac:dyDescent="0.25">
      <c r="B22" s="50">
        <v>130073</v>
      </c>
      <c r="C22" s="51">
        <v>130073</v>
      </c>
      <c r="D22" s="27">
        <v>1</v>
      </c>
      <c r="E22" s="27">
        <v>6</v>
      </c>
      <c r="F22" s="52">
        <v>7</v>
      </c>
      <c r="G22" s="51" t="s">
        <v>35</v>
      </c>
    </row>
    <row r="23" spans="1:7" x14ac:dyDescent="0.25">
      <c r="B23" s="50">
        <v>130081</v>
      </c>
      <c r="C23" s="51">
        <v>130081</v>
      </c>
      <c r="D23" s="27">
        <v>0</v>
      </c>
      <c r="E23" s="27">
        <v>0</v>
      </c>
      <c r="F23" s="52">
        <v>5</v>
      </c>
      <c r="G23" s="51" t="s">
        <v>36</v>
      </c>
    </row>
    <row r="24" spans="1:7" x14ac:dyDescent="0.25">
      <c r="B24" s="50">
        <v>130082</v>
      </c>
      <c r="C24" s="51">
        <v>130082</v>
      </c>
      <c r="D24" s="27">
        <v>1</v>
      </c>
      <c r="E24" s="27">
        <v>3</v>
      </c>
      <c r="F24" s="52">
        <v>6</v>
      </c>
      <c r="G24" s="51" t="s">
        <v>37</v>
      </c>
    </row>
    <row r="25" spans="1:7" x14ac:dyDescent="0.25">
      <c r="B25" s="50">
        <v>130083</v>
      </c>
      <c r="C25" s="51">
        <v>130083</v>
      </c>
      <c r="D25" s="27">
        <v>1</v>
      </c>
      <c r="E25" s="27">
        <v>6</v>
      </c>
      <c r="F25" s="52">
        <v>7</v>
      </c>
      <c r="G25" s="51" t="s">
        <v>38</v>
      </c>
    </row>
    <row r="26" spans="1:7" x14ac:dyDescent="0.25">
      <c r="A26" s="53"/>
      <c r="B26" s="50">
        <v>130091</v>
      </c>
      <c r="C26" s="51">
        <v>130091</v>
      </c>
      <c r="D26" s="27">
        <v>0</v>
      </c>
      <c r="E26" s="27">
        <v>0</v>
      </c>
      <c r="F26" s="52">
        <v>5</v>
      </c>
      <c r="G26" s="51" t="s">
        <v>39</v>
      </c>
    </row>
    <row r="27" spans="1:7" x14ac:dyDescent="0.25">
      <c r="A27" s="53"/>
      <c r="B27" s="50">
        <v>130092</v>
      </c>
      <c r="C27" s="51">
        <v>130092</v>
      </c>
      <c r="D27" s="27">
        <v>1</v>
      </c>
      <c r="E27" s="27">
        <v>3</v>
      </c>
      <c r="F27" s="52">
        <v>6</v>
      </c>
      <c r="G27" s="51" t="s">
        <v>40</v>
      </c>
    </row>
    <row r="28" spans="1:7" x14ac:dyDescent="0.25">
      <c r="A28" s="53"/>
      <c r="B28" s="50">
        <v>130093</v>
      </c>
      <c r="C28" s="51">
        <v>130093</v>
      </c>
      <c r="D28" s="27">
        <v>1</v>
      </c>
      <c r="E28" s="27">
        <v>6</v>
      </c>
      <c r="F28" s="52">
        <v>7</v>
      </c>
      <c r="G28" s="51" t="s">
        <v>41</v>
      </c>
    </row>
    <row r="29" spans="1:7" x14ac:dyDescent="0.25">
      <c r="A29" s="53"/>
      <c r="B29" s="50">
        <v>130101</v>
      </c>
      <c r="C29" s="51">
        <v>130101</v>
      </c>
      <c r="D29" s="27">
        <v>0</v>
      </c>
      <c r="E29" s="27">
        <v>0</v>
      </c>
      <c r="F29" s="52">
        <v>5</v>
      </c>
      <c r="G29" s="51" t="s">
        <v>42</v>
      </c>
    </row>
    <row r="30" spans="1:7" x14ac:dyDescent="0.25">
      <c r="A30" s="53"/>
      <c r="B30" s="50">
        <v>130102</v>
      </c>
      <c r="C30" s="51">
        <v>130102</v>
      </c>
      <c r="D30" s="27">
        <v>1</v>
      </c>
      <c r="E30" s="27">
        <v>3</v>
      </c>
      <c r="F30" s="52">
        <v>6</v>
      </c>
      <c r="G30" s="51" t="s">
        <v>43</v>
      </c>
    </row>
    <row r="31" spans="1:7" x14ac:dyDescent="0.25">
      <c r="A31" s="53"/>
      <c r="B31" s="50">
        <v>130103</v>
      </c>
      <c r="C31" s="51">
        <v>130103</v>
      </c>
      <c r="D31" s="27">
        <v>1</v>
      </c>
      <c r="E31" s="27">
        <v>6</v>
      </c>
      <c r="F31" s="52">
        <v>7</v>
      </c>
      <c r="G31" s="51" t="s">
        <v>44</v>
      </c>
    </row>
    <row r="32" spans="1:7" x14ac:dyDescent="0.25">
      <c r="A32" s="53"/>
      <c r="B32" s="50">
        <v>130111</v>
      </c>
      <c r="C32" s="51">
        <v>130111</v>
      </c>
      <c r="D32" s="27">
        <v>1</v>
      </c>
      <c r="E32" s="27">
        <v>3</v>
      </c>
      <c r="F32" s="52">
        <v>6</v>
      </c>
      <c r="G32" s="51" t="s">
        <v>45</v>
      </c>
    </row>
    <row r="33" spans="1:7" x14ac:dyDescent="0.25">
      <c r="A33" s="53"/>
      <c r="B33" s="50">
        <v>130113</v>
      </c>
      <c r="C33" s="51">
        <v>130113</v>
      </c>
      <c r="D33" s="27">
        <v>1</v>
      </c>
      <c r="E33" s="27">
        <v>6</v>
      </c>
      <c r="F33" s="52">
        <v>7</v>
      </c>
      <c r="G33" s="51" t="s">
        <v>46</v>
      </c>
    </row>
    <row r="34" spans="1:7" x14ac:dyDescent="0.25">
      <c r="A34" s="53"/>
      <c r="B34" s="50">
        <v>130114</v>
      </c>
      <c r="C34" s="51">
        <v>130114</v>
      </c>
      <c r="D34" s="27">
        <v>0</v>
      </c>
      <c r="E34" s="27">
        <v>0</v>
      </c>
      <c r="F34" s="52">
        <v>5</v>
      </c>
      <c r="G34" s="51" t="s">
        <v>47</v>
      </c>
    </row>
    <row r="35" spans="1:7" x14ac:dyDescent="0.25">
      <c r="B35" s="50">
        <v>130121</v>
      </c>
      <c r="C35" s="51">
        <v>130121</v>
      </c>
      <c r="D35" s="27">
        <v>0</v>
      </c>
      <c r="E35" s="27">
        <v>0</v>
      </c>
      <c r="F35" s="52">
        <v>5</v>
      </c>
      <c r="G35" s="51" t="s">
        <v>48</v>
      </c>
    </row>
    <row r="36" spans="1:7" x14ac:dyDescent="0.25">
      <c r="B36" s="50">
        <v>130122</v>
      </c>
      <c r="C36" s="51">
        <v>130122</v>
      </c>
      <c r="D36" s="27">
        <v>1</v>
      </c>
      <c r="E36" s="27">
        <v>3</v>
      </c>
      <c r="F36" s="52">
        <v>6</v>
      </c>
      <c r="G36" s="51" t="s">
        <v>49</v>
      </c>
    </row>
    <row r="37" spans="1:7" x14ac:dyDescent="0.25">
      <c r="B37" s="50">
        <v>130123</v>
      </c>
      <c r="C37" s="51">
        <v>130123</v>
      </c>
      <c r="D37" s="27">
        <v>1</v>
      </c>
      <c r="E37" s="27">
        <v>6</v>
      </c>
      <c r="F37" s="52">
        <v>7</v>
      </c>
      <c r="G37" s="51" t="s">
        <v>50</v>
      </c>
    </row>
    <row r="38" spans="1:7" x14ac:dyDescent="0.25">
      <c r="B38" s="50">
        <v>130131</v>
      </c>
      <c r="C38" s="51">
        <v>130131</v>
      </c>
      <c r="D38" s="27">
        <v>0</v>
      </c>
      <c r="E38" s="27">
        <v>0</v>
      </c>
      <c r="F38" s="52">
        <v>5</v>
      </c>
      <c r="G38" s="51" t="s">
        <v>51</v>
      </c>
    </row>
    <row r="39" spans="1:7" x14ac:dyDescent="0.25">
      <c r="B39" s="50">
        <v>130132</v>
      </c>
      <c r="C39" s="51">
        <v>130132</v>
      </c>
      <c r="D39" s="27">
        <v>1</v>
      </c>
      <c r="E39" s="27">
        <v>3</v>
      </c>
      <c r="F39" s="52">
        <v>6</v>
      </c>
      <c r="G39" s="51" t="s">
        <v>52</v>
      </c>
    </row>
    <row r="40" spans="1:7" x14ac:dyDescent="0.25">
      <c r="B40" s="50">
        <v>130133</v>
      </c>
      <c r="C40" s="51">
        <v>130133</v>
      </c>
      <c r="D40" s="27">
        <v>1</v>
      </c>
      <c r="E40" s="27">
        <v>6</v>
      </c>
      <c r="F40" s="52">
        <v>7</v>
      </c>
      <c r="G40" s="51" t="s">
        <v>53</v>
      </c>
    </row>
    <row r="41" spans="1:7" x14ac:dyDescent="0.25">
      <c r="B41" s="50">
        <v>130141</v>
      </c>
      <c r="C41" s="51">
        <v>130141</v>
      </c>
      <c r="D41" s="27">
        <v>0</v>
      </c>
      <c r="E41" s="27">
        <v>0</v>
      </c>
      <c r="F41" s="52">
        <v>5</v>
      </c>
      <c r="G41" s="51" t="s">
        <v>54</v>
      </c>
    </row>
    <row r="42" spans="1:7" x14ac:dyDescent="0.25">
      <c r="B42" s="50">
        <v>130142</v>
      </c>
      <c r="C42" s="51">
        <v>130142</v>
      </c>
      <c r="D42" s="27">
        <v>1</v>
      </c>
      <c r="E42" s="27">
        <v>3</v>
      </c>
      <c r="F42" s="52">
        <v>6</v>
      </c>
      <c r="G42" s="51" t="s">
        <v>55</v>
      </c>
    </row>
    <row r="43" spans="1:7" x14ac:dyDescent="0.25">
      <c r="B43" s="50">
        <v>130143</v>
      </c>
      <c r="C43" s="51">
        <v>130143</v>
      </c>
      <c r="D43" s="27">
        <v>1</v>
      </c>
      <c r="E43" s="27">
        <v>6</v>
      </c>
      <c r="F43" s="52">
        <v>7</v>
      </c>
      <c r="G43" s="51" t="s">
        <v>56</v>
      </c>
    </row>
    <row r="44" spans="1:7" x14ac:dyDescent="0.25">
      <c r="B44" s="50">
        <v>130162</v>
      </c>
      <c r="C44" s="51">
        <v>130162</v>
      </c>
      <c r="D44" s="27">
        <v>0</v>
      </c>
      <c r="E44" s="27">
        <v>0</v>
      </c>
      <c r="F44" s="52">
        <v>5</v>
      </c>
      <c r="G44" s="51" t="s">
        <v>57</v>
      </c>
    </row>
    <row r="45" spans="1:7" x14ac:dyDescent="0.25">
      <c r="B45" s="50">
        <v>130171</v>
      </c>
      <c r="C45" s="51">
        <v>130171</v>
      </c>
      <c r="D45" s="27">
        <v>0</v>
      </c>
      <c r="E45" s="27">
        <v>0</v>
      </c>
      <c r="F45" s="52">
        <v>5</v>
      </c>
      <c r="G45" s="51" t="s">
        <v>58</v>
      </c>
    </row>
    <row r="46" spans="1:7" x14ac:dyDescent="0.25">
      <c r="B46" s="50">
        <v>130172</v>
      </c>
      <c r="C46" s="51">
        <v>130172</v>
      </c>
      <c r="D46" s="27">
        <v>0</v>
      </c>
      <c r="E46" s="27">
        <v>0</v>
      </c>
      <c r="F46" s="52">
        <v>5</v>
      </c>
      <c r="G46" s="51" t="s">
        <v>58</v>
      </c>
    </row>
    <row r="47" spans="1:7" x14ac:dyDescent="0.25">
      <c r="B47" s="50">
        <v>130173</v>
      </c>
      <c r="C47" s="51">
        <v>130173</v>
      </c>
      <c r="D47" s="27">
        <v>0</v>
      </c>
      <c r="E47" s="27">
        <v>0</v>
      </c>
      <c r="F47" s="52">
        <v>5</v>
      </c>
      <c r="G47" s="51" t="s">
        <v>58</v>
      </c>
    </row>
    <row r="48" spans="1:7" x14ac:dyDescent="0.25">
      <c r="B48" s="50">
        <v>130174</v>
      </c>
      <c r="C48" s="51">
        <v>130174</v>
      </c>
      <c r="D48" s="27">
        <v>1</v>
      </c>
      <c r="E48" s="27">
        <v>3</v>
      </c>
      <c r="F48" s="52">
        <v>6</v>
      </c>
      <c r="G48" s="51" t="s">
        <v>59</v>
      </c>
    </row>
    <row r="49" spans="2:7" x14ac:dyDescent="0.25">
      <c r="B49" s="50">
        <v>130175</v>
      </c>
      <c r="C49" s="51">
        <v>130175</v>
      </c>
      <c r="D49" s="27">
        <v>1</v>
      </c>
      <c r="E49" s="27">
        <v>6</v>
      </c>
      <c r="F49" s="52">
        <v>7</v>
      </c>
      <c r="G49" s="51" t="s">
        <v>60</v>
      </c>
    </row>
    <row r="50" spans="2:7" x14ac:dyDescent="0.25">
      <c r="B50" s="50">
        <v>130181</v>
      </c>
      <c r="C50" s="51">
        <v>130181</v>
      </c>
      <c r="D50" s="27">
        <v>1</v>
      </c>
      <c r="E50" s="27">
        <v>3</v>
      </c>
      <c r="F50" s="52">
        <v>6</v>
      </c>
      <c r="G50" s="51" t="s">
        <v>61</v>
      </c>
    </row>
    <row r="51" spans="2:7" x14ac:dyDescent="0.25">
      <c r="B51" s="50">
        <v>130191</v>
      </c>
      <c r="C51" s="51">
        <v>130191</v>
      </c>
      <c r="D51" s="27">
        <v>0</v>
      </c>
      <c r="E51" s="27">
        <v>0</v>
      </c>
      <c r="F51" s="52">
        <v>5</v>
      </c>
      <c r="G51" s="51" t="s">
        <v>62</v>
      </c>
    </row>
    <row r="52" spans="2:7" x14ac:dyDescent="0.25">
      <c r="B52" s="50">
        <v>130192</v>
      </c>
      <c r="C52" s="51">
        <v>130192</v>
      </c>
      <c r="D52" s="27">
        <v>0</v>
      </c>
      <c r="E52" s="27">
        <v>0</v>
      </c>
      <c r="F52" s="52">
        <v>5</v>
      </c>
      <c r="G52" s="51" t="s">
        <v>62</v>
      </c>
    </row>
    <row r="53" spans="2:7" x14ac:dyDescent="0.25">
      <c r="B53" s="50">
        <v>130193</v>
      </c>
      <c r="C53" s="51">
        <v>130193</v>
      </c>
      <c r="D53" s="27">
        <v>0</v>
      </c>
      <c r="E53" s="27">
        <v>0</v>
      </c>
      <c r="F53" s="52">
        <v>5</v>
      </c>
      <c r="G53" s="51" t="s">
        <v>62</v>
      </c>
    </row>
    <row r="54" spans="2:7" x14ac:dyDescent="0.25">
      <c r="B54" s="50">
        <v>130194</v>
      </c>
      <c r="C54" s="51">
        <v>130194</v>
      </c>
      <c r="D54" s="27">
        <v>1</v>
      </c>
      <c r="E54" s="27">
        <v>3</v>
      </c>
      <c r="F54" s="52">
        <v>6</v>
      </c>
      <c r="G54" s="51" t="s">
        <v>63</v>
      </c>
    </row>
    <row r="55" spans="2:7" x14ac:dyDescent="0.25">
      <c r="B55" s="50">
        <v>130195</v>
      </c>
      <c r="C55" s="51">
        <v>130195</v>
      </c>
      <c r="D55" s="27">
        <v>1</v>
      </c>
      <c r="E55" s="27">
        <v>6</v>
      </c>
      <c r="F55" s="52">
        <v>7</v>
      </c>
      <c r="G55" s="51" t="s">
        <v>64</v>
      </c>
    </row>
    <row r="56" spans="2:7" x14ac:dyDescent="0.25">
      <c r="B56" s="50">
        <v>130201</v>
      </c>
      <c r="C56" s="51">
        <v>130201</v>
      </c>
      <c r="D56" s="27">
        <v>0</v>
      </c>
      <c r="E56" s="27">
        <v>0</v>
      </c>
      <c r="F56" s="52">
        <v>5</v>
      </c>
      <c r="G56" s="51" t="s">
        <v>65</v>
      </c>
    </row>
    <row r="57" spans="2:7" x14ac:dyDescent="0.25">
      <c r="B57" s="50">
        <v>130202</v>
      </c>
      <c r="C57" s="51">
        <v>130202</v>
      </c>
      <c r="D57" s="27">
        <v>1</v>
      </c>
      <c r="E57" s="27">
        <v>3</v>
      </c>
      <c r="F57" s="52">
        <v>6</v>
      </c>
      <c r="G57" s="51" t="s">
        <v>66</v>
      </c>
    </row>
    <row r="58" spans="2:7" x14ac:dyDescent="0.25">
      <c r="B58" s="50">
        <v>130203</v>
      </c>
      <c r="C58" s="51">
        <v>130203</v>
      </c>
      <c r="D58" s="27">
        <v>1</v>
      </c>
      <c r="E58" s="27">
        <v>6</v>
      </c>
      <c r="F58" s="52">
        <v>7</v>
      </c>
      <c r="G58" s="51" t="s">
        <v>67</v>
      </c>
    </row>
    <row r="59" spans="2:7" x14ac:dyDescent="0.25">
      <c r="B59" s="50">
        <v>130211</v>
      </c>
      <c r="C59" s="51">
        <v>130211</v>
      </c>
      <c r="D59" s="27">
        <v>1</v>
      </c>
      <c r="E59" s="27">
        <v>3</v>
      </c>
      <c r="F59" s="52">
        <v>6</v>
      </c>
      <c r="G59" s="51" t="s">
        <v>68</v>
      </c>
    </row>
    <row r="60" spans="2:7" x14ac:dyDescent="0.25">
      <c r="B60" s="50">
        <v>130212</v>
      </c>
      <c r="C60" s="51">
        <v>130212</v>
      </c>
      <c r="D60" s="27">
        <v>1</v>
      </c>
      <c r="E60" s="27">
        <v>6</v>
      </c>
      <c r="F60" s="52">
        <v>7</v>
      </c>
      <c r="G60" s="51" t="s">
        <v>69</v>
      </c>
    </row>
    <row r="61" spans="2:7" x14ac:dyDescent="0.25">
      <c r="B61" s="50">
        <v>130221</v>
      </c>
      <c r="C61" s="51">
        <v>130221</v>
      </c>
      <c r="D61" s="27">
        <v>0</v>
      </c>
      <c r="E61" s="27">
        <v>0</v>
      </c>
      <c r="F61" s="52">
        <v>5</v>
      </c>
      <c r="G61" s="51" t="s">
        <v>70</v>
      </c>
    </row>
    <row r="62" spans="2:7" x14ac:dyDescent="0.25">
      <c r="B62" s="50">
        <v>130222</v>
      </c>
      <c r="C62" s="51">
        <v>130222</v>
      </c>
      <c r="D62" s="27">
        <v>0</v>
      </c>
      <c r="E62" s="27">
        <v>0</v>
      </c>
      <c r="F62" s="52">
        <v>5</v>
      </c>
      <c r="G62" s="51" t="s">
        <v>70</v>
      </c>
    </row>
    <row r="63" spans="2:7" x14ac:dyDescent="0.25">
      <c r="B63" s="50">
        <v>130223</v>
      </c>
      <c r="C63" s="51">
        <v>130223</v>
      </c>
      <c r="D63" s="27">
        <v>1</v>
      </c>
      <c r="E63" s="27">
        <v>3</v>
      </c>
      <c r="F63" s="52">
        <v>6</v>
      </c>
      <c r="G63" s="51" t="s">
        <v>71</v>
      </c>
    </row>
    <row r="64" spans="2:7" x14ac:dyDescent="0.25">
      <c r="B64" s="50">
        <v>130232</v>
      </c>
      <c r="C64" s="51">
        <v>130232</v>
      </c>
      <c r="D64" s="27">
        <v>0</v>
      </c>
      <c r="E64" s="27">
        <v>0</v>
      </c>
      <c r="F64" s="52">
        <v>5</v>
      </c>
      <c r="G64" s="51" t="s">
        <v>72</v>
      </c>
    </row>
    <row r="65" spans="2:7" x14ac:dyDescent="0.25">
      <c r="B65" s="50">
        <v>130242</v>
      </c>
      <c r="C65" s="51">
        <v>130242</v>
      </c>
      <c r="D65" s="27">
        <v>0</v>
      </c>
      <c r="E65" s="27">
        <v>0</v>
      </c>
      <c r="F65" s="52">
        <v>5</v>
      </c>
      <c r="G65" s="51" t="s">
        <v>73</v>
      </c>
    </row>
    <row r="66" spans="2:7" x14ac:dyDescent="0.25">
      <c r="B66" s="50">
        <v>130251</v>
      </c>
      <c r="C66" s="51">
        <v>130251</v>
      </c>
      <c r="D66" s="27">
        <v>0</v>
      </c>
      <c r="E66" s="27">
        <v>0</v>
      </c>
      <c r="F66" s="52">
        <v>5</v>
      </c>
      <c r="G66" s="51" t="s">
        <v>74</v>
      </c>
    </row>
    <row r="67" spans="2:7" x14ac:dyDescent="0.25">
      <c r="B67" s="50">
        <v>130252</v>
      </c>
      <c r="C67" s="51">
        <v>130252</v>
      </c>
      <c r="D67" s="27">
        <v>1</v>
      </c>
      <c r="E67" s="27">
        <v>3</v>
      </c>
      <c r="F67" s="52">
        <v>6</v>
      </c>
      <c r="G67" s="51" t="s">
        <v>75</v>
      </c>
    </row>
    <row r="68" spans="2:7" x14ac:dyDescent="0.25">
      <c r="B68" s="50">
        <v>130253</v>
      </c>
      <c r="C68" s="51">
        <v>130253</v>
      </c>
      <c r="D68" s="27">
        <v>0</v>
      </c>
      <c r="E68" s="27">
        <v>0</v>
      </c>
      <c r="F68" s="52">
        <v>5</v>
      </c>
      <c r="G68" s="51" t="s">
        <v>74</v>
      </c>
    </row>
    <row r="69" spans="2:7" x14ac:dyDescent="0.25">
      <c r="B69" s="50">
        <v>130254</v>
      </c>
      <c r="C69" s="51">
        <v>130254</v>
      </c>
      <c r="D69" s="27">
        <v>1</v>
      </c>
      <c r="E69" s="27">
        <v>3</v>
      </c>
      <c r="F69" s="52">
        <v>6</v>
      </c>
      <c r="G69" s="51" t="s">
        <v>75</v>
      </c>
    </row>
    <row r="70" spans="2:7" x14ac:dyDescent="0.25">
      <c r="B70" s="50">
        <v>130256</v>
      </c>
      <c r="C70" s="51">
        <v>130256</v>
      </c>
      <c r="D70" s="27">
        <v>1</v>
      </c>
      <c r="E70" s="27">
        <v>6</v>
      </c>
      <c r="F70" s="52">
        <v>7</v>
      </c>
      <c r="G70" s="51" t="s">
        <v>76</v>
      </c>
    </row>
    <row r="71" spans="2:7" x14ac:dyDescent="0.25">
      <c r="B71" s="50">
        <v>130321</v>
      </c>
      <c r="C71" s="51">
        <v>130321</v>
      </c>
      <c r="D71" s="27">
        <v>0</v>
      </c>
      <c r="E71" s="27">
        <v>0</v>
      </c>
      <c r="F71" s="52">
        <v>5</v>
      </c>
      <c r="G71" s="51" t="s">
        <v>77</v>
      </c>
    </row>
    <row r="72" spans="2:7" x14ac:dyDescent="0.25">
      <c r="B72" s="50">
        <v>130322</v>
      </c>
      <c r="C72" s="51">
        <v>130322</v>
      </c>
      <c r="D72" s="27">
        <v>1</v>
      </c>
      <c r="E72" s="27">
        <v>3</v>
      </c>
      <c r="F72" s="52">
        <v>6</v>
      </c>
      <c r="G72" s="51" t="s">
        <v>78</v>
      </c>
    </row>
    <row r="73" spans="2:7" x14ac:dyDescent="0.25">
      <c r="B73" s="50">
        <v>130323</v>
      </c>
      <c r="C73" s="51">
        <v>130323</v>
      </c>
      <c r="D73" s="27">
        <v>1</v>
      </c>
      <c r="E73" s="27">
        <v>6</v>
      </c>
      <c r="F73" s="52">
        <v>7</v>
      </c>
      <c r="G73" s="51" t="s">
        <v>79</v>
      </c>
    </row>
    <row r="74" spans="2:7" x14ac:dyDescent="0.25">
      <c r="B74" s="50">
        <v>130331</v>
      </c>
      <c r="C74" s="51">
        <v>130331</v>
      </c>
      <c r="D74" s="27">
        <v>0</v>
      </c>
      <c r="E74" s="27">
        <v>0</v>
      </c>
      <c r="F74" s="52">
        <v>5</v>
      </c>
      <c r="G74" s="51" t="s">
        <v>80</v>
      </c>
    </row>
    <row r="75" spans="2:7" x14ac:dyDescent="0.25">
      <c r="B75" s="50">
        <v>130332</v>
      </c>
      <c r="C75" s="51">
        <v>130332</v>
      </c>
      <c r="D75" s="27">
        <v>1</v>
      </c>
      <c r="E75" s="27">
        <v>3</v>
      </c>
      <c r="F75" s="52">
        <v>6</v>
      </c>
      <c r="G75" s="51" t="s">
        <v>81</v>
      </c>
    </row>
    <row r="76" spans="2:7" x14ac:dyDescent="0.25">
      <c r="B76" s="50">
        <v>130333</v>
      </c>
      <c r="C76" s="51">
        <v>130333</v>
      </c>
      <c r="D76" s="27">
        <v>1</v>
      </c>
      <c r="E76" s="27">
        <v>6</v>
      </c>
      <c r="F76" s="52">
        <v>7</v>
      </c>
      <c r="G76" s="51" t="s">
        <v>82</v>
      </c>
    </row>
    <row r="77" spans="2:7" x14ac:dyDescent="0.25">
      <c r="B77" s="50">
        <v>130334</v>
      </c>
      <c r="C77" s="51">
        <v>130334</v>
      </c>
      <c r="D77" s="27">
        <v>1</v>
      </c>
      <c r="E77" s="27">
        <v>12</v>
      </c>
      <c r="F77" s="52">
        <v>8</v>
      </c>
      <c r="G77" s="51" t="s">
        <v>83</v>
      </c>
    </row>
    <row r="78" spans="2:7" x14ac:dyDescent="0.25">
      <c r="B78" s="50">
        <v>130341</v>
      </c>
      <c r="C78" s="51">
        <v>130341</v>
      </c>
      <c r="D78" s="27">
        <v>0</v>
      </c>
      <c r="E78" s="27">
        <v>0</v>
      </c>
      <c r="F78" s="52">
        <v>5</v>
      </c>
      <c r="G78" s="51" t="s">
        <v>84</v>
      </c>
    </row>
    <row r="79" spans="2:7" x14ac:dyDescent="0.25">
      <c r="B79" s="50">
        <v>130342</v>
      </c>
      <c r="C79" s="51">
        <v>130342</v>
      </c>
      <c r="D79" s="27">
        <v>1</v>
      </c>
      <c r="E79" s="27">
        <v>3</v>
      </c>
      <c r="F79" s="52">
        <v>6</v>
      </c>
      <c r="G79" s="51" t="s">
        <v>85</v>
      </c>
    </row>
    <row r="80" spans="2:7" x14ac:dyDescent="0.25">
      <c r="B80" s="50">
        <v>130343</v>
      </c>
      <c r="C80" s="51">
        <v>130343</v>
      </c>
      <c r="D80" s="27">
        <v>1</v>
      </c>
      <c r="E80" s="27">
        <v>6</v>
      </c>
      <c r="F80" s="52">
        <v>7</v>
      </c>
      <c r="G80" s="51" t="s">
        <v>86</v>
      </c>
    </row>
    <row r="81" spans="2:7" x14ac:dyDescent="0.25">
      <c r="B81" s="50">
        <v>130351</v>
      </c>
      <c r="C81" s="51">
        <v>130351</v>
      </c>
      <c r="D81" s="27">
        <v>0</v>
      </c>
      <c r="E81" s="27">
        <v>0</v>
      </c>
      <c r="F81" s="52">
        <v>5</v>
      </c>
      <c r="G81" s="51" t="s">
        <v>87</v>
      </c>
    </row>
    <row r="82" spans="2:7" x14ac:dyDescent="0.25">
      <c r="B82" s="50">
        <v>130352</v>
      </c>
      <c r="C82" s="51">
        <v>130352</v>
      </c>
      <c r="D82" s="27">
        <v>1</v>
      </c>
      <c r="E82" s="27">
        <v>3</v>
      </c>
      <c r="F82" s="52">
        <v>6</v>
      </c>
      <c r="G82" s="51" t="s">
        <v>88</v>
      </c>
    </row>
    <row r="83" spans="2:7" x14ac:dyDescent="0.25">
      <c r="B83" s="50">
        <v>130353</v>
      </c>
      <c r="C83" s="51">
        <v>130353</v>
      </c>
      <c r="D83" s="27">
        <v>1</v>
      </c>
      <c r="E83" s="27">
        <v>6</v>
      </c>
      <c r="F83" s="52">
        <v>7</v>
      </c>
      <c r="G83" s="51" t="s">
        <v>89</v>
      </c>
    </row>
    <row r="84" spans="2:7" x14ac:dyDescent="0.25">
      <c r="B84" s="50">
        <v>130354</v>
      </c>
      <c r="C84" s="51">
        <v>130354</v>
      </c>
      <c r="D84" s="27">
        <v>1</v>
      </c>
      <c r="E84" s="27">
        <v>12</v>
      </c>
      <c r="F84" s="52">
        <v>8</v>
      </c>
      <c r="G84" s="51" t="s">
        <v>90</v>
      </c>
    </row>
    <row r="85" spans="2:7" x14ac:dyDescent="0.25">
      <c r="B85" s="50">
        <v>130361</v>
      </c>
      <c r="C85" s="51">
        <v>130361</v>
      </c>
      <c r="D85" s="27">
        <v>0</v>
      </c>
      <c r="E85" s="27">
        <v>0</v>
      </c>
      <c r="F85" s="52">
        <v>5</v>
      </c>
      <c r="G85" s="51" t="s">
        <v>91</v>
      </c>
    </row>
    <row r="86" spans="2:7" x14ac:dyDescent="0.25">
      <c r="B86" s="50">
        <v>130362</v>
      </c>
      <c r="C86" s="51">
        <v>130362</v>
      </c>
      <c r="D86" s="27">
        <v>1</v>
      </c>
      <c r="E86" s="27">
        <v>3</v>
      </c>
      <c r="F86" s="52">
        <v>6</v>
      </c>
      <c r="G86" s="51" t="s">
        <v>92</v>
      </c>
    </row>
    <row r="87" spans="2:7" x14ac:dyDescent="0.25">
      <c r="B87" s="50">
        <v>130363</v>
      </c>
      <c r="C87" s="51">
        <v>130363</v>
      </c>
      <c r="D87" s="27">
        <v>1</v>
      </c>
      <c r="E87" s="27">
        <v>6</v>
      </c>
      <c r="F87" s="52">
        <v>7</v>
      </c>
      <c r="G87" s="51" t="s">
        <v>93</v>
      </c>
    </row>
    <row r="88" spans="2:7" x14ac:dyDescent="0.25">
      <c r="B88" s="50">
        <v>130371</v>
      </c>
      <c r="C88" s="51">
        <v>130371</v>
      </c>
      <c r="D88" s="27">
        <v>0</v>
      </c>
      <c r="E88" s="27">
        <v>0</v>
      </c>
      <c r="F88" s="52">
        <v>5</v>
      </c>
      <c r="G88" s="51" t="s">
        <v>94</v>
      </c>
    </row>
    <row r="89" spans="2:7" x14ac:dyDescent="0.25">
      <c r="B89" s="50">
        <v>130372</v>
      </c>
      <c r="C89" s="51">
        <v>130372</v>
      </c>
      <c r="D89" s="27">
        <v>1</v>
      </c>
      <c r="E89" s="27">
        <v>3</v>
      </c>
      <c r="F89" s="52">
        <v>6</v>
      </c>
      <c r="G89" s="51" t="s">
        <v>95</v>
      </c>
    </row>
    <row r="90" spans="2:7" x14ac:dyDescent="0.25">
      <c r="B90" s="50">
        <v>130373</v>
      </c>
      <c r="C90" s="51">
        <v>130373</v>
      </c>
      <c r="D90" s="27">
        <v>1</v>
      </c>
      <c r="E90" s="27">
        <v>6</v>
      </c>
      <c r="F90" s="52">
        <v>7</v>
      </c>
      <c r="G90" s="51" t="s">
        <v>96</v>
      </c>
    </row>
    <row r="91" spans="2:7" x14ac:dyDescent="0.25">
      <c r="B91" s="50">
        <v>130382</v>
      </c>
      <c r="C91" s="51">
        <v>130382</v>
      </c>
      <c r="D91" s="27">
        <v>0</v>
      </c>
      <c r="E91" s="27">
        <v>0</v>
      </c>
      <c r="F91" s="52">
        <v>5</v>
      </c>
      <c r="G91" s="51" t="s">
        <v>97</v>
      </c>
    </row>
    <row r="92" spans="2:7" x14ac:dyDescent="0.25">
      <c r="B92" s="50">
        <v>130391</v>
      </c>
      <c r="C92" s="51">
        <v>130391</v>
      </c>
      <c r="D92" s="27">
        <v>0</v>
      </c>
      <c r="E92" s="27">
        <v>0</v>
      </c>
      <c r="F92" s="52">
        <v>5</v>
      </c>
      <c r="G92" s="51" t="s">
        <v>98</v>
      </c>
    </row>
    <row r="93" spans="2:7" x14ac:dyDescent="0.25">
      <c r="B93" s="50">
        <v>130392</v>
      </c>
      <c r="C93" s="51">
        <v>130392</v>
      </c>
      <c r="D93" s="27">
        <v>1</v>
      </c>
      <c r="E93" s="27">
        <v>3</v>
      </c>
      <c r="F93" s="52">
        <v>6</v>
      </c>
      <c r="G93" s="51" t="s">
        <v>99</v>
      </c>
    </row>
    <row r="94" spans="2:7" x14ac:dyDescent="0.25">
      <c r="B94" s="50">
        <v>130393</v>
      </c>
      <c r="C94" s="51">
        <v>130393</v>
      </c>
      <c r="D94" s="27">
        <v>1</v>
      </c>
      <c r="E94" s="27">
        <v>6</v>
      </c>
      <c r="F94" s="52">
        <v>7</v>
      </c>
      <c r="G94" s="51" t="s">
        <v>100</v>
      </c>
    </row>
    <row r="95" spans="2:7" x14ac:dyDescent="0.25">
      <c r="B95" s="50">
        <v>130401</v>
      </c>
      <c r="C95" s="51">
        <v>130401</v>
      </c>
      <c r="D95" s="27">
        <v>0</v>
      </c>
      <c r="E95" s="27">
        <v>0</v>
      </c>
      <c r="F95" s="52">
        <v>5</v>
      </c>
      <c r="G95" s="51" t="s">
        <v>101</v>
      </c>
    </row>
    <row r="96" spans="2:7" x14ac:dyDescent="0.25">
      <c r="B96" s="50">
        <v>130402</v>
      </c>
      <c r="C96" s="51">
        <v>130402</v>
      </c>
      <c r="D96" s="27">
        <v>1</v>
      </c>
      <c r="E96" s="27">
        <v>3</v>
      </c>
      <c r="F96" s="52">
        <v>6</v>
      </c>
      <c r="G96" s="51" t="s">
        <v>102</v>
      </c>
    </row>
    <row r="97" spans="2:7" x14ac:dyDescent="0.25">
      <c r="B97" s="50">
        <v>130403</v>
      </c>
      <c r="C97" s="51">
        <v>130403</v>
      </c>
      <c r="D97" s="27">
        <v>1</v>
      </c>
      <c r="E97" s="27">
        <v>6</v>
      </c>
      <c r="F97" s="52">
        <v>7</v>
      </c>
      <c r="G97" s="51" t="s">
        <v>103</v>
      </c>
    </row>
    <row r="98" spans="2:7" x14ac:dyDescent="0.25">
      <c r="B98" s="50">
        <v>130411</v>
      </c>
      <c r="C98" s="51">
        <v>130411</v>
      </c>
      <c r="D98" s="27">
        <v>0</v>
      </c>
      <c r="E98" s="27">
        <v>0</v>
      </c>
      <c r="F98" s="52">
        <v>5</v>
      </c>
      <c r="G98" s="51" t="s">
        <v>104</v>
      </c>
    </row>
    <row r="99" spans="2:7" x14ac:dyDescent="0.25">
      <c r="B99" s="50">
        <v>130412</v>
      </c>
      <c r="C99" s="51">
        <v>130412</v>
      </c>
      <c r="D99" s="27">
        <v>1</v>
      </c>
      <c r="E99" s="27">
        <v>3</v>
      </c>
      <c r="F99" s="52">
        <v>6</v>
      </c>
      <c r="G99" s="51" t="s">
        <v>105</v>
      </c>
    </row>
    <row r="100" spans="2:7" x14ac:dyDescent="0.25">
      <c r="B100" s="50">
        <v>130413</v>
      </c>
      <c r="C100" s="51">
        <v>130413</v>
      </c>
      <c r="D100" s="27">
        <v>1</v>
      </c>
      <c r="E100" s="27">
        <v>6</v>
      </c>
      <c r="F100" s="52">
        <v>7</v>
      </c>
      <c r="G100" s="51" t="s">
        <v>106</v>
      </c>
    </row>
    <row r="101" spans="2:7" x14ac:dyDescent="0.25">
      <c r="B101" s="50">
        <v>130421</v>
      </c>
      <c r="C101" s="51">
        <v>130421</v>
      </c>
      <c r="D101" s="27">
        <v>0</v>
      </c>
      <c r="E101" s="27">
        <v>0</v>
      </c>
      <c r="F101" s="52">
        <v>5</v>
      </c>
      <c r="G101" s="51" t="s">
        <v>107</v>
      </c>
    </row>
    <row r="102" spans="2:7" x14ac:dyDescent="0.25">
      <c r="B102" s="50">
        <v>130422</v>
      </c>
      <c r="C102" s="51">
        <v>130422</v>
      </c>
      <c r="D102" s="27">
        <v>1</v>
      </c>
      <c r="E102" s="27">
        <v>3</v>
      </c>
      <c r="F102" s="52">
        <v>6</v>
      </c>
      <c r="G102" s="51" t="s">
        <v>108</v>
      </c>
    </row>
    <row r="103" spans="2:7" x14ac:dyDescent="0.25">
      <c r="B103" s="50">
        <v>130423</v>
      </c>
      <c r="C103" s="51">
        <v>130423</v>
      </c>
      <c r="D103" s="27">
        <v>1</v>
      </c>
      <c r="E103" s="27">
        <v>6</v>
      </c>
      <c r="F103" s="52">
        <v>7</v>
      </c>
      <c r="G103" s="51" t="s">
        <v>109</v>
      </c>
    </row>
    <row r="104" spans="2:7" x14ac:dyDescent="0.25">
      <c r="B104" s="50">
        <v>130431</v>
      </c>
      <c r="C104" s="51">
        <v>130431</v>
      </c>
      <c r="D104" s="27">
        <v>0</v>
      </c>
      <c r="E104" s="27">
        <v>0</v>
      </c>
      <c r="F104" s="52">
        <v>5</v>
      </c>
      <c r="G104" s="51" t="s">
        <v>110</v>
      </c>
    </row>
    <row r="105" spans="2:7" x14ac:dyDescent="0.25">
      <c r="B105" s="50">
        <v>130432</v>
      </c>
      <c r="C105" s="51">
        <v>130432</v>
      </c>
      <c r="D105" s="27">
        <v>1</v>
      </c>
      <c r="E105" s="27">
        <v>3</v>
      </c>
      <c r="F105" s="52">
        <v>6</v>
      </c>
      <c r="G105" s="51" t="s">
        <v>111</v>
      </c>
    </row>
    <row r="106" spans="2:7" x14ac:dyDescent="0.25">
      <c r="B106" s="50">
        <v>130433</v>
      </c>
      <c r="C106" s="51">
        <v>130433</v>
      </c>
      <c r="D106" s="27">
        <v>1</v>
      </c>
      <c r="E106" s="27">
        <v>6</v>
      </c>
      <c r="F106" s="52">
        <v>7</v>
      </c>
      <c r="G106" s="51" t="s">
        <v>112</v>
      </c>
    </row>
    <row r="107" spans="2:7" x14ac:dyDescent="0.25">
      <c r="B107" s="50">
        <v>130441</v>
      </c>
      <c r="C107" s="51">
        <v>130441</v>
      </c>
      <c r="D107" s="27">
        <v>0</v>
      </c>
      <c r="E107" s="27">
        <v>0</v>
      </c>
      <c r="F107" s="52">
        <v>5</v>
      </c>
      <c r="G107" s="51" t="s">
        <v>113</v>
      </c>
    </row>
    <row r="108" spans="2:7" x14ac:dyDescent="0.25">
      <c r="B108" s="50">
        <v>130442</v>
      </c>
      <c r="C108" s="51">
        <v>130442</v>
      </c>
      <c r="D108" s="27">
        <v>1</v>
      </c>
      <c r="E108" s="27">
        <v>3</v>
      </c>
      <c r="F108" s="52">
        <v>6</v>
      </c>
      <c r="G108" s="51" t="s">
        <v>114</v>
      </c>
    </row>
    <row r="109" spans="2:7" x14ac:dyDescent="0.25">
      <c r="B109" s="50">
        <v>130443</v>
      </c>
      <c r="C109" s="51">
        <v>130443</v>
      </c>
      <c r="D109" s="27">
        <v>1</v>
      </c>
      <c r="E109" s="27">
        <v>6</v>
      </c>
      <c r="F109" s="52">
        <v>7</v>
      </c>
      <c r="G109" s="51" t="s">
        <v>115</v>
      </c>
    </row>
    <row r="110" spans="2:7" x14ac:dyDescent="0.25">
      <c r="B110" s="50">
        <v>130451</v>
      </c>
      <c r="C110" s="51">
        <v>130451</v>
      </c>
      <c r="D110" s="27">
        <v>0</v>
      </c>
      <c r="E110" s="27">
        <v>0</v>
      </c>
      <c r="F110" s="52">
        <v>5</v>
      </c>
      <c r="G110" s="51" t="s">
        <v>116</v>
      </c>
    </row>
    <row r="111" spans="2:7" x14ac:dyDescent="0.25">
      <c r="B111" s="50">
        <v>130452</v>
      </c>
      <c r="C111" s="51">
        <v>130452</v>
      </c>
      <c r="D111" s="27">
        <v>1</v>
      </c>
      <c r="E111" s="27">
        <v>3</v>
      </c>
      <c r="F111" s="52">
        <v>6</v>
      </c>
      <c r="G111" s="51" t="s">
        <v>117</v>
      </c>
    </row>
    <row r="112" spans="2:7" x14ac:dyDescent="0.25">
      <c r="B112" s="50">
        <v>130453</v>
      </c>
      <c r="C112" s="51">
        <v>130453</v>
      </c>
      <c r="D112" s="27">
        <v>1</v>
      </c>
      <c r="E112" s="27">
        <v>6</v>
      </c>
      <c r="F112" s="52">
        <v>7</v>
      </c>
      <c r="G112" s="51" t="s">
        <v>118</v>
      </c>
    </row>
    <row r="113" spans="2:7" x14ac:dyDescent="0.25">
      <c r="B113" s="50">
        <v>130461</v>
      </c>
      <c r="C113" s="51">
        <v>130461</v>
      </c>
      <c r="D113" s="27">
        <v>0</v>
      </c>
      <c r="E113" s="27">
        <v>0</v>
      </c>
      <c r="F113" s="52">
        <v>5</v>
      </c>
      <c r="G113" s="51" t="s">
        <v>119</v>
      </c>
    </row>
    <row r="114" spans="2:7" x14ac:dyDescent="0.25">
      <c r="B114" s="50">
        <v>130462</v>
      </c>
      <c r="C114" s="51">
        <v>130462</v>
      </c>
      <c r="D114" s="27">
        <v>1</v>
      </c>
      <c r="E114" s="27">
        <v>3</v>
      </c>
      <c r="F114" s="52">
        <v>6</v>
      </c>
      <c r="G114" s="51" t="s">
        <v>120</v>
      </c>
    </row>
    <row r="115" spans="2:7" x14ac:dyDescent="0.25">
      <c r="B115" s="50">
        <v>130463</v>
      </c>
      <c r="C115" s="51">
        <v>130463</v>
      </c>
      <c r="D115" s="27">
        <v>1</v>
      </c>
      <c r="E115" s="27">
        <v>6</v>
      </c>
      <c r="F115" s="52">
        <v>7</v>
      </c>
      <c r="G115" s="51" t="s">
        <v>121</v>
      </c>
    </row>
    <row r="116" spans="2:7" x14ac:dyDescent="0.25">
      <c r="B116" s="50">
        <v>130811</v>
      </c>
      <c r="C116" s="51">
        <v>130811</v>
      </c>
      <c r="D116" s="27">
        <v>0</v>
      </c>
      <c r="E116" s="27">
        <v>0</v>
      </c>
      <c r="F116" s="52">
        <v>5</v>
      </c>
      <c r="G116" s="51" t="s">
        <v>122</v>
      </c>
    </row>
    <row r="117" spans="2:7" x14ac:dyDescent="0.25">
      <c r="B117" s="50">
        <v>130812</v>
      </c>
      <c r="C117" s="51">
        <v>130812</v>
      </c>
      <c r="D117" s="27">
        <v>1</v>
      </c>
      <c r="E117" s="27">
        <v>3</v>
      </c>
      <c r="F117" s="52">
        <v>6</v>
      </c>
      <c r="G117" s="51" t="s">
        <v>123</v>
      </c>
    </row>
    <row r="118" spans="2:7" x14ac:dyDescent="0.25">
      <c r="B118" s="50">
        <v>130813</v>
      </c>
      <c r="C118" s="51">
        <v>130813</v>
      </c>
      <c r="D118" s="27">
        <v>1</v>
      </c>
      <c r="E118" s="27">
        <v>6</v>
      </c>
      <c r="F118" s="52">
        <v>7</v>
      </c>
      <c r="G118" s="51" t="s">
        <v>124</v>
      </c>
    </row>
    <row r="119" spans="2:7" x14ac:dyDescent="0.25">
      <c r="B119" s="50">
        <v>130824</v>
      </c>
      <c r="C119" s="51">
        <v>130824</v>
      </c>
      <c r="D119" s="27">
        <v>1</v>
      </c>
      <c r="E119" s="27">
        <v>6</v>
      </c>
      <c r="F119" s="52">
        <v>7</v>
      </c>
      <c r="G119" s="51" t="s">
        <v>125</v>
      </c>
    </row>
    <row r="120" spans="2:7" x14ac:dyDescent="0.25">
      <c r="B120" s="50">
        <v>130832</v>
      </c>
      <c r="C120" s="51">
        <v>130832</v>
      </c>
      <c r="D120" s="27">
        <v>0</v>
      </c>
      <c r="E120" s="27">
        <v>0</v>
      </c>
      <c r="F120" s="52">
        <v>5</v>
      </c>
      <c r="G120" s="51" t="s">
        <v>126</v>
      </c>
    </row>
    <row r="121" spans="2:7" x14ac:dyDescent="0.25">
      <c r="B121" s="50">
        <v>130833</v>
      </c>
      <c r="C121" s="51">
        <v>130833</v>
      </c>
      <c r="D121" s="27">
        <v>1</v>
      </c>
      <c r="E121" s="27">
        <v>3</v>
      </c>
      <c r="F121" s="52">
        <v>6</v>
      </c>
      <c r="G121" s="51" t="s">
        <v>127</v>
      </c>
    </row>
    <row r="122" spans="2:7" x14ac:dyDescent="0.25">
      <c r="B122" s="50">
        <v>130834</v>
      </c>
      <c r="C122" s="51">
        <v>130834</v>
      </c>
      <c r="D122" s="27">
        <v>1</v>
      </c>
      <c r="E122" s="27">
        <v>6</v>
      </c>
      <c r="F122" s="52">
        <v>7</v>
      </c>
      <c r="G122" s="51" t="s">
        <v>128</v>
      </c>
    </row>
    <row r="123" spans="2:7" x14ac:dyDescent="0.25">
      <c r="B123" s="50">
        <v>130842</v>
      </c>
      <c r="C123" s="51">
        <v>130842</v>
      </c>
      <c r="D123" s="27">
        <v>0</v>
      </c>
      <c r="E123" s="27">
        <v>0</v>
      </c>
      <c r="F123" s="52">
        <v>5</v>
      </c>
      <c r="G123" s="51" t="s">
        <v>126</v>
      </c>
    </row>
    <row r="124" spans="2:7" x14ac:dyDescent="0.25">
      <c r="B124" s="50">
        <v>130843</v>
      </c>
      <c r="C124" s="51">
        <v>130843</v>
      </c>
      <c r="D124" s="27">
        <v>1</v>
      </c>
      <c r="E124" s="27">
        <v>3</v>
      </c>
      <c r="F124" s="52">
        <v>6</v>
      </c>
      <c r="G124" s="51" t="s">
        <v>127</v>
      </c>
    </row>
    <row r="125" spans="2:7" x14ac:dyDescent="0.25">
      <c r="B125" s="50">
        <v>130844</v>
      </c>
      <c r="C125" s="51">
        <v>130844</v>
      </c>
      <c r="D125" s="27">
        <v>1</v>
      </c>
      <c r="E125" s="27">
        <v>6</v>
      </c>
      <c r="F125" s="52">
        <v>7</v>
      </c>
      <c r="G125" s="51" t="s">
        <v>128</v>
      </c>
    </row>
    <row r="126" spans="2:7" x14ac:dyDescent="0.25">
      <c r="B126" s="50">
        <v>130853</v>
      </c>
      <c r="C126" s="51">
        <v>130853</v>
      </c>
      <c r="D126" s="27">
        <v>1</v>
      </c>
      <c r="E126" s="27">
        <v>3</v>
      </c>
      <c r="F126" s="52">
        <v>6</v>
      </c>
      <c r="G126" s="51" t="s">
        <v>129</v>
      </c>
    </row>
    <row r="127" spans="2:7" x14ac:dyDescent="0.25">
      <c r="B127" s="50">
        <v>130854</v>
      </c>
      <c r="C127" s="51">
        <v>130854</v>
      </c>
      <c r="D127" s="27">
        <v>1</v>
      </c>
      <c r="E127" s="27">
        <v>6</v>
      </c>
      <c r="F127" s="52">
        <v>7</v>
      </c>
      <c r="G127" s="51" t="s">
        <v>130</v>
      </c>
    </row>
    <row r="128" spans="2:7" x14ac:dyDescent="0.25">
      <c r="B128" s="50">
        <v>130863</v>
      </c>
      <c r="C128" s="51">
        <v>130863</v>
      </c>
      <c r="D128" s="27">
        <v>0</v>
      </c>
      <c r="E128" s="27">
        <v>0</v>
      </c>
      <c r="F128" s="52">
        <v>5</v>
      </c>
      <c r="G128" s="51" t="s">
        <v>131</v>
      </c>
    </row>
    <row r="129" spans="2:7" x14ac:dyDescent="0.25">
      <c r="B129" s="50">
        <v>130872</v>
      </c>
      <c r="C129" s="51">
        <v>130872</v>
      </c>
      <c r="D129" s="27">
        <v>0</v>
      </c>
      <c r="E129" s="27">
        <v>0</v>
      </c>
      <c r="F129" s="52">
        <v>5</v>
      </c>
      <c r="G129" s="51" t="s">
        <v>132</v>
      </c>
    </row>
    <row r="130" spans="2:7" x14ac:dyDescent="0.25">
      <c r="B130" s="50">
        <v>130873</v>
      </c>
      <c r="C130" s="51">
        <v>130873</v>
      </c>
      <c r="D130" s="27">
        <v>1</v>
      </c>
      <c r="E130" s="27">
        <v>3</v>
      </c>
      <c r="F130" s="52">
        <v>6</v>
      </c>
      <c r="G130" s="51" t="s">
        <v>133</v>
      </c>
    </row>
    <row r="131" spans="2:7" x14ac:dyDescent="0.25">
      <c r="B131" s="50">
        <v>130874</v>
      </c>
      <c r="C131" s="51">
        <v>130874</v>
      </c>
      <c r="D131" s="27">
        <v>1</v>
      </c>
      <c r="E131" s="27">
        <v>6</v>
      </c>
      <c r="F131" s="52">
        <v>7</v>
      </c>
      <c r="G131" s="51" t="s">
        <v>134</v>
      </c>
    </row>
    <row r="132" spans="2:7" x14ac:dyDescent="0.25">
      <c r="B132" s="50">
        <v>130882</v>
      </c>
      <c r="C132" s="51">
        <v>130882</v>
      </c>
      <c r="D132" s="27">
        <v>0</v>
      </c>
      <c r="E132" s="27">
        <v>0</v>
      </c>
      <c r="F132" s="52">
        <v>5</v>
      </c>
      <c r="G132" s="51" t="s">
        <v>135</v>
      </c>
    </row>
    <row r="133" spans="2:7" x14ac:dyDescent="0.25">
      <c r="B133" s="50">
        <v>130883</v>
      </c>
      <c r="C133" s="51">
        <v>130883</v>
      </c>
      <c r="D133" s="27">
        <v>1</v>
      </c>
      <c r="E133" s="27">
        <v>3</v>
      </c>
      <c r="F133" s="52">
        <v>6</v>
      </c>
      <c r="G133" s="51" t="s">
        <v>136</v>
      </c>
    </row>
    <row r="134" spans="2:7" x14ac:dyDescent="0.25">
      <c r="B134" s="50">
        <v>130884</v>
      </c>
      <c r="C134" s="51">
        <v>130884</v>
      </c>
      <c r="D134" s="27">
        <v>1</v>
      </c>
      <c r="E134" s="27">
        <v>6</v>
      </c>
      <c r="F134" s="52">
        <v>7</v>
      </c>
      <c r="G134" s="51" t="s">
        <v>137</v>
      </c>
    </row>
    <row r="135" spans="2:7" x14ac:dyDescent="0.25">
      <c r="B135" s="50">
        <v>130894</v>
      </c>
      <c r="C135" s="51">
        <v>130894</v>
      </c>
      <c r="D135" s="27">
        <v>1</v>
      </c>
      <c r="E135" s="27">
        <v>6</v>
      </c>
      <c r="F135" s="52">
        <v>7</v>
      </c>
      <c r="G135" s="51" t="s">
        <v>138</v>
      </c>
    </row>
    <row r="136" spans="2:7" x14ac:dyDescent="0.25">
      <c r="B136" s="50">
        <v>130912</v>
      </c>
      <c r="C136" s="51">
        <v>130912</v>
      </c>
      <c r="D136" s="27">
        <v>0</v>
      </c>
      <c r="E136" s="27">
        <v>0</v>
      </c>
      <c r="F136" s="52">
        <v>5</v>
      </c>
      <c r="G136" s="51" t="s">
        <v>139</v>
      </c>
    </row>
    <row r="137" spans="2:7" x14ac:dyDescent="0.25">
      <c r="B137" s="50">
        <v>130913</v>
      </c>
      <c r="C137" s="51">
        <v>130913</v>
      </c>
      <c r="D137" s="27">
        <v>1</v>
      </c>
      <c r="E137" s="27">
        <v>3</v>
      </c>
      <c r="F137" s="52">
        <v>6</v>
      </c>
      <c r="G137" s="51" t="s">
        <v>140</v>
      </c>
    </row>
    <row r="138" spans="2:7" x14ac:dyDescent="0.25">
      <c r="B138" s="50">
        <v>130914</v>
      </c>
      <c r="C138" s="51">
        <v>130914</v>
      </c>
      <c r="D138" s="27">
        <v>1</v>
      </c>
      <c r="E138" s="27">
        <v>6</v>
      </c>
      <c r="F138" s="52">
        <v>7</v>
      </c>
      <c r="G138" s="51" t="s">
        <v>141</v>
      </c>
    </row>
    <row r="139" spans="2:7" x14ac:dyDescent="0.25">
      <c r="B139" s="50">
        <v>130922</v>
      </c>
      <c r="C139" s="51">
        <v>130922</v>
      </c>
      <c r="D139" s="27">
        <v>0</v>
      </c>
      <c r="E139" s="27">
        <v>0</v>
      </c>
      <c r="F139" s="52">
        <v>5</v>
      </c>
      <c r="G139" s="51" t="s">
        <v>142</v>
      </c>
    </row>
    <row r="140" spans="2:7" x14ac:dyDescent="0.25">
      <c r="B140" s="50">
        <v>130923</v>
      </c>
      <c r="C140" s="51">
        <v>130923</v>
      </c>
      <c r="D140" s="27">
        <v>1</v>
      </c>
      <c r="E140" s="27">
        <v>3</v>
      </c>
      <c r="F140" s="52">
        <v>6</v>
      </c>
      <c r="G140" s="51" t="s">
        <v>143</v>
      </c>
    </row>
    <row r="141" spans="2:7" x14ac:dyDescent="0.25">
      <c r="B141" s="50">
        <v>130924</v>
      </c>
      <c r="C141" s="51">
        <v>130924</v>
      </c>
      <c r="D141" s="27">
        <v>1</v>
      </c>
      <c r="E141" s="27">
        <v>6</v>
      </c>
      <c r="F141" s="52">
        <v>7</v>
      </c>
      <c r="G141" s="51" t="s">
        <v>144</v>
      </c>
    </row>
    <row r="142" spans="2:7" x14ac:dyDescent="0.25">
      <c r="B142" s="50">
        <v>130932</v>
      </c>
      <c r="C142" s="51">
        <v>130932</v>
      </c>
      <c r="D142" s="27">
        <v>0</v>
      </c>
      <c r="E142" s="27">
        <v>0</v>
      </c>
      <c r="F142" s="52">
        <v>5</v>
      </c>
      <c r="G142" s="51" t="s">
        <v>145</v>
      </c>
    </row>
    <row r="143" spans="2:7" x14ac:dyDescent="0.25">
      <c r="B143" s="50">
        <v>130933</v>
      </c>
      <c r="C143" s="51">
        <v>130933</v>
      </c>
      <c r="D143" s="27">
        <v>1</v>
      </c>
      <c r="E143" s="27">
        <v>3</v>
      </c>
      <c r="F143" s="52">
        <v>6</v>
      </c>
      <c r="G143" s="51" t="s">
        <v>146</v>
      </c>
    </row>
    <row r="144" spans="2:7" x14ac:dyDescent="0.25">
      <c r="B144" s="50">
        <v>130934</v>
      </c>
      <c r="C144" s="51">
        <v>130934</v>
      </c>
      <c r="D144" s="27">
        <v>1</v>
      </c>
      <c r="E144" s="27">
        <v>6</v>
      </c>
      <c r="F144" s="52">
        <v>7</v>
      </c>
      <c r="G144" s="51" t="s">
        <v>147</v>
      </c>
    </row>
    <row r="145" spans="2:7" x14ac:dyDescent="0.25">
      <c r="B145" s="50">
        <v>130942</v>
      </c>
      <c r="C145" s="51">
        <v>130942</v>
      </c>
      <c r="D145" s="27">
        <v>0</v>
      </c>
      <c r="E145" s="27">
        <v>0</v>
      </c>
      <c r="F145" s="52">
        <v>5</v>
      </c>
      <c r="G145" s="51" t="s">
        <v>148</v>
      </c>
    </row>
    <row r="146" spans="2:7" x14ac:dyDescent="0.25">
      <c r="B146" s="50">
        <v>130943</v>
      </c>
      <c r="C146" s="51">
        <v>130943</v>
      </c>
      <c r="D146" s="27">
        <v>1</v>
      </c>
      <c r="E146" s="27">
        <v>3</v>
      </c>
      <c r="F146" s="52">
        <v>6</v>
      </c>
      <c r="G146" s="51" t="s">
        <v>149</v>
      </c>
    </row>
    <row r="147" spans="2:7" x14ac:dyDescent="0.25">
      <c r="B147" s="50">
        <v>130944</v>
      </c>
      <c r="C147" s="51">
        <v>130944</v>
      </c>
      <c r="D147" s="27">
        <v>1</v>
      </c>
      <c r="E147" s="27">
        <v>6</v>
      </c>
      <c r="F147" s="52">
        <v>7</v>
      </c>
      <c r="G147" s="51" t="s">
        <v>150</v>
      </c>
    </row>
    <row r="148" spans="2:7" x14ac:dyDescent="0.25">
      <c r="B148" s="50">
        <v>130952</v>
      </c>
      <c r="C148" s="51">
        <v>130952</v>
      </c>
      <c r="D148" s="27">
        <v>0</v>
      </c>
      <c r="E148" s="27">
        <v>0</v>
      </c>
      <c r="F148" s="52">
        <v>5</v>
      </c>
      <c r="G148" s="51" t="s">
        <v>151</v>
      </c>
    </row>
    <row r="149" spans="2:7" x14ac:dyDescent="0.25">
      <c r="B149" s="50">
        <v>130953</v>
      </c>
      <c r="C149" s="51">
        <v>130953</v>
      </c>
      <c r="D149" s="27">
        <v>1</v>
      </c>
      <c r="E149" s="27">
        <v>3</v>
      </c>
      <c r="F149" s="52">
        <v>6</v>
      </c>
      <c r="G149" s="51" t="s">
        <v>152</v>
      </c>
    </row>
    <row r="150" spans="2:7" x14ac:dyDescent="0.25">
      <c r="B150" s="50">
        <v>130954</v>
      </c>
      <c r="C150" s="51">
        <v>130954</v>
      </c>
      <c r="D150" s="27">
        <v>1</v>
      </c>
      <c r="E150" s="27">
        <v>6</v>
      </c>
      <c r="F150" s="52">
        <v>7</v>
      </c>
      <c r="G150" s="51" t="s">
        <v>153</v>
      </c>
    </row>
    <row r="151" spans="2:7" x14ac:dyDescent="0.25">
      <c r="B151" s="50">
        <v>130962</v>
      </c>
      <c r="C151" s="51">
        <v>130962</v>
      </c>
      <c r="D151" s="27">
        <v>0</v>
      </c>
      <c r="E151" s="27">
        <v>0</v>
      </c>
      <c r="F151" s="52">
        <v>5</v>
      </c>
      <c r="G151" s="51" t="s">
        <v>154</v>
      </c>
    </row>
    <row r="152" spans="2:7" x14ac:dyDescent="0.25">
      <c r="B152" s="50">
        <v>130963</v>
      </c>
      <c r="C152" s="51">
        <v>130963</v>
      </c>
      <c r="D152" s="27">
        <v>1</v>
      </c>
      <c r="E152" s="27">
        <v>3</v>
      </c>
      <c r="F152" s="52">
        <v>6</v>
      </c>
      <c r="G152" s="51" t="s">
        <v>155</v>
      </c>
    </row>
    <row r="153" spans="2:7" x14ac:dyDescent="0.25">
      <c r="B153" s="50">
        <v>130964</v>
      </c>
      <c r="C153" s="51">
        <v>130964</v>
      </c>
      <c r="D153" s="27">
        <v>1</v>
      </c>
      <c r="E153" s="27">
        <v>6</v>
      </c>
      <c r="F153" s="52">
        <v>7</v>
      </c>
      <c r="G153" s="51" t="s">
        <v>156</v>
      </c>
    </row>
    <row r="154" spans="2:7" x14ac:dyDescent="0.25">
      <c r="B154" s="50">
        <v>130972</v>
      </c>
      <c r="C154" s="51">
        <v>130972</v>
      </c>
      <c r="D154" s="27">
        <v>0</v>
      </c>
      <c r="E154" s="27">
        <v>0</v>
      </c>
      <c r="F154" s="52">
        <v>5</v>
      </c>
      <c r="G154" s="51" t="s">
        <v>157</v>
      </c>
    </row>
    <row r="155" spans="2:7" x14ac:dyDescent="0.25">
      <c r="B155" s="50">
        <v>130973</v>
      </c>
      <c r="C155" s="51">
        <v>130973</v>
      </c>
      <c r="D155" s="27">
        <v>1</v>
      </c>
      <c r="E155" s="27">
        <v>3</v>
      </c>
      <c r="F155" s="52">
        <v>6</v>
      </c>
      <c r="G155" s="51" t="s">
        <v>158</v>
      </c>
    </row>
    <row r="156" spans="2:7" x14ac:dyDescent="0.25">
      <c r="B156" s="50">
        <v>130974</v>
      </c>
      <c r="C156" s="51">
        <v>130974</v>
      </c>
      <c r="D156" s="27">
        <v>1</v>
      </c>
      <c r="E156" s="27">
        <v>6</v>
      </c>
      <c r="F156" s="52">
        <v>7</v>
      </c>
      <c r="G156" s="51" t="s">
        <v>159</v>
      </c>
    </row>
    <row r="157" spans="2:7" x14ac:dyDescent="0.25">
      <c r="B157" s="50">
        <v>130982</v>
      </c>
      <c r="C157" s="51">
        <v>130982</v>
      </c>
      <c r="D157" s="27">
        <v>0</v>
      </c>
      <c r="E157" s="27">
        <v>0</v>
      </c>
      <c r="F157" s="52">
        <v>5</v>
      </c>
      <c r="G157" s="51" t="s">
        <v>160</v>
      </c>
    </row>
    <row r="158" spans="2:7" x14ac:dyDescent="0.25">
      <c r="B158" s="50">
        <v>130983</v>
      </c>
      <c r="C158" s="51">
        <v>130983</v>
      </c>
      <c r="D158" s="27">
        <v>1</v>
      </c>
      <c r="E158" s="27">
        <v>3</v>
      </c>
      <c r="F158" s="52">
        <v>6</v>
      </c>
      <c r="G158" s="51" t="s">
        <v>161</v>
      </c>
    </row>
    <row r="159" spans="2:7" x14ac:dyDescent="0.25">
      <c r="B159" s="50">
        <v>130984</v>
      </c>
      <c r="C159" s="51">
        <v>130984</v>
      </c>
      <c r="D159" s="27">
        <v>1</v>
      </c>
      <c r="E159" s="27">
        <v>6</v>
      </c>
      <c r="F159" s="52">
        <v>7</v>
      </c>
      <c r="G159" s="51" t="s">
        <v>162</v>
      </c>
    </row>
    <row r="160" spans="2:7" x14ac:dyDescent="0.25">
      <c r="B160" s="50">
        <v>130992</v>
      </c>
      <c r="C160" s="51">
        <v>130992</v>
      </c>
      <c r="D160" s="27">
        <v>0</v>
      </c>
      <c r="E160" s="27">
        <v>0</v>
      </c>
      <c r="F160" s="52">
        <v>5</v>
      </c>
      <c r="G160" s="51" t="s">
        <v>163</v>
      </c>
    </row>
    <row r="161" spans="2:7" x14ac:dyDescent="0.25">
      <c r="B161" s="50">
        <v>130993</v>
      </c>
      <c r="C161" s="51">
        <v>130993</v>
      </c>
      <c r="D161" s="27">
        <v>1</v>
      </c>
      <c r="E161" s="27">
        <v>3</v>
      </c>
      <c r="F161" s="52">
        <v>6</v>
      </c>
      <c r="G161" s="51" t="s">
        <v>164</v>
      </c>
    </row>
    <row r="162" spans="2:7" x14ac:dyDescent="0.25">
      <c r="B162" s="50">
        <v>130994</v>
      </c>
      <c r="C162" s="51">
        <v>130994</v>
      </c>
      <c r="D162" s="27">
        <v>1</v>
      </c>
      <c r="E162" s="27">
        <v>6</v>
      </c>
      <c r="F162" s="52">
        <v>7</v>
      </c>
      <c r="G162" s="51" t="s">
        <v>165</v>
      </c>
    </row>
    <row r="163" spans="2:7" x14ac:dyDescent="0.25">
      <c r="B163" s="50">
        <v>131002</v>
      </c>
      <c r="C163" s="51">
        <v>131002</v>
      </c>
      <c r="D163" s="27">
        <v>0</v>
      </c>
      <c r="E163" s="27">
        <v>0</v>
      </c>
      <c r="F163" s="52">
        <v>5</v>
      </c>
      <c r="G163" s="51" t="s">
        <v>166</v>
      </c>
    </row>
    <row r="164" spans="2:7" x14ac:dyDescent="0.25">
      <c r="B164" s="50">
        <v>131003</v>
      </c>
      <c r="C164" s="51">
        <v>131003</v>
      </c>
      <c r="D164" s="27">
        <v>1</v>
      </c>
      <c r="E164" s="27">
        <v>3</v>
      </c>
      <c r="F164" s="52">
        <v>6</v>
      </c>
      <c r="G164" s="51" t="s">
        <v>167</v>
      </c>
    </row>
    <row r="165" spans="2:7" x14ac:dyDescent="0.25">
      <c r="B165" s="50">
        <v>131004</v>
      </c>
      <c r="C165" s="51">
        <v>131004</v>
      </c>
      <c r="D165" s="27">
        <v>1</v>
      </c>
      <c r="E165" s="27">
        <v>6</v>
      </c>
      <c r="F165" s="52">
        <v>7</v>
      </c>
      <c r="G165" s="51" t="s">
        <v>168</v>
      </c>
    </row>
    <row r="166" spans="2:7" x14ac:dyDescent="0.25">
      <c r="B166" s="50">
        <v>131012</v>
      </c>
      <c r="C166" s="51">
        <v>131012</v>
      </c>
      <c r="D166" s="27">
        <v>0</v>
      </c>
      <c r="E166" s="27">
        <v>0</v>
      </c>
      <c r="F166" s="52">
        <v>5</v>
      </c>
      <c r="G166" s="51" t="s">
        <v>169</v>
      </c>
    </row>
    <row r="167" spans="2:7" x14ac:dyDescent="0.25">
      <c r="B167" s="50">
        <v>131013</v>
      </c>
      <c r="C167" s="51">
        <v>131013</v>
      </c>
      <c r="D167" s="27">
        <v>1</v>
      </c>
      <c r="E167" s="27">
        <v>3</v>
      </c>
      <c r="F167" s="52">
        <v>6</v>
      </c>
      <c r="G167" s="51" t="s">
        <v>170</v>
      </c>
    </row>
    <row r="168" spans="2:7" x14ac:dyDescent="0.25">
      <c r="B168" s="50">
        <v>131014</v>
      </c>
      <c r="C168" s="51">
        <v>131014</v>
      </c>
      <c r="D168" s="27">
        <v>1</v>
      </c>
      <c r="E168" s="27">
        <v>6</v>
      </c>
      <c r="F168" s="52">
        <v>7</v>
      </c>
      <c r="G168" s="51" t="s">
        <v>171</v>
      </c>
    </row>
    <row r="169" spans="2:7" x14ac:dyDescent="0.25">
      <c r="B169" s="50">
        <v>131022</v>
      </c>
      <c r="C169" s="51">
        <v>131022</v>
      </c>
      <c r="D169" s="27">
        <v>0</v>
      </c>
      <c r="E169" s="27">
        <v>0</v>
      </c>
      <c r="F169" s="52">
        <v>5</v>
      </c>
      <c r="G169" s="51" t="s">
        <v>172</v>
      </c>
    </row>
    <row r="170" spans="2:7" x14ac:dyDescent="0.25">
      <c r="B170" s="50">
        <v>131023</v>
      </c>
      <c r="C170" s="51">
        <v>131023</v>
      </c>
      <c r="D170" s="27">
        <v>1</v>
      </c>
      <c r="E170" s="27">
        <v>3</v>
      </c>
      <c r="F170" s="52">
        <v>6</v>
      </c>
      <c r="G170" s="51" t="s">
        <v>173</v>
      </c>
    </row>
    <row r="171" spans="2:7" x14ac:dyDescent="0.25">
      <c r="B171" s="50">
        <v>131024</v>
      </c>
      <c r="C171" s="51">
        <v>131024</v>
      </c>
      <c r="D171" s="27">
        <v>1</v>
      </c>
      <c r="E171" s="27">
        <v>6</v>
      </c>
      <c r="F171" s="52">
        <v>7</v>
      </c>
      <c r="G171" s="51" t="s">
        <v>174</v>
      </c>
    </row>
    <row r="172" spans="2:7" x14ac:dyDescent="0.25">
      <c r="B172" s="50">
        <v>131032</v>
      </c>
      <c r="C172" s="51">
        <v>131032</v>
      </c>
      <c r="D172" s="27">
        <v>0</v>
      </c>
      <c r="E172" s="27">
        <v>0</v>
      </c>
      <c r="F172" s="52">
        <v>5</v>
      </c>
      <c r="G172" s="51" t="s">
        <v>175</v>
      </c>
    </row>
    <row r="173" spans="2:7" x14ac:dyDescent="0.25">
      <c r="B173" s="50">
        <v>131033</v>
      </c>
      <c r="C173" s="51">
        <v>131033</v>
      </c>
      <c r="D173" s="27">
        <v>1</v>
      </c>
      <c r="E173" s="27">
        <v>3</v>
      </c>
      <c r="F173" s="52">
        <v>6</v>
      </c>
      <c r="G173" s="51" t="s">
        <v>176</v>
      </c>
    </row>
    <row r="174" spans="2:7" x14ac:dyDescent="0.25">
      <c r="B174" s="50">
        <v>131034</v>
      </c>
      <c r="C174" s="51">
        <v>131034</v>
      </c>
      <c r="D174" s="27">
        <v>1</v>
      </c>
      <c r="E174" s="27">
        <v>6</v>
      </c>
      <c r="F174" s="52">
        <v>7</v>
      </c>
      <c r="G174" s="51" t="s">
        <v>177</v>
      </c>
    </row>
    <row r="175" spans="2:7" x14ac:dyDescent="0.25">
      <c r="B175" s="50">
        <v>131042</v>
      </c>
      <c r="C175" s="51">
        <v>131042</v>
      </c>
      <c r="D175" s="27">
        <v>0</v>
      </c>
      <c r="E175" s="27">
        <v>0</v>
      </c>
      <c r="F175" s="52">
        <v>5</v>
      </c>
      <c r="G175" s="51" t="s">
        <v>178</v>
      </c>
    </row>
    <row r="176" spans="2:7" x14ac:dyDescent="0.25">
      <c r="B176" s="50">
        <v>131043</v>
      </c>
      <c r="C176" s="51">
        <v>131043</v>
      </c>
      <c r="D176" s="27">
        <v>1</v>
      </c>
      <c r="E176" s="27">
        <v>3</v>
      </c>
      <c r="F176" s="52">
        <v>6</v>
      </c>
      <c r="G176" s="51" t="s">
        <v>179</v>
      </c>
    </row>
    <row r="177" spans="2:7" x14ac:dyDescent="0.25">
      <c r="B177" s="50">
        <v>131044</v>
      </c>
      <c r="C177" s="51">
        <v>131044</v>
      </c>
      <c r="D177" s="27">
        <v>1</v>
      </c>
      <c r="E177" s="27">
        <v>6</v>
      </c>
      <c r="F177" s="52">
        <v>7</v>
      </c>
      <c r="G177" s="51" t="s">
        <v>180</v>
      </c>
    </row>
    <row r="178" spans="2:7" x14ac:dyDescent="0.25">
      <c r="B178" s="50">
        <v>131052</v>
      </c>
      <c r="C178" s="51">
        <v>131052</v>
      </c>
      <c r="D178" s="27">
        <v>0</v>
      </c>
      <c r="E178" s="27">
        <v>0</v>
      </c>
      <c r="F178" s="52">
        <v>5</v>
      </c>
      <c r="G178" s="51" t="s">
        <v>181</v>
      </c>
    </row>
    <row r="179" spans="2:7" x14ac:dyDescent="0.25">
      <c r="B179" s="50">
        <v>131053</v>
      </c>
      <c r="C179" s="51">
        <v>131053</v>
      </c>
      <c r="D179" s="27">
        <v>1</v>
      </c>
      <c r="E179" s="27">
        <v>3</v>
      </c>
      <c r="F179" s="52">
        <v>6</v>
      </c>
      <c r="G179" s="51" t="s">
        <v>182</v>
      </c>
    </row>
    <row r="180" spans="2:7" x14ac:dyDescent="0.25">
      <c r="B180" s="50">
        <v>131054</v>
      </c>
      <c r="C180" s="51">
        <v>131054</v>
      </c>
      <c r="D180" s="27">
        <v>1</v>
      </c>
      <c r="E180" s="27">
        <v>6</v>
      </c>
      <c r="F180" s="52">
        <v>7</v>
      </c>
      <c r="G180" s="51" t="s">
        <v>183</v>
      </c>
    </row>
    <row r="181" spans="2:7" x14ac:dyDescent="0.25">
      <c r="B181" s="50">
        <v>131062</v>
      </c>
      <c r="C181" s="51">
        <v>131062</v>
      </c>
      <c r="D181" s="27">
        <v>0</v>
      </c>
      <c r="E181" s="27">
        <v>0</v>
      </c>
      <c r="F181" s="52">
        <v>5</v>
      </c>
      <c r="G181" s="51" t="s">
        <v>184</v>
      </c>
    </row>
    <row r="182" spans="2:7" x14ac:dyDescent="0.25">
      <c r="B182" s="50">
        <v>131063</v>
      </c>
      <c r="C182" s="51">
        <v>131063</v>
      </c>
      <c r="D182" s="27">
        <v>1</v>
      </c>
      <c r="E182" s="27">
        <v>3</v>
      </c>
      <c r="F182" s="52">
        <v>6</v>
      </c>
      <c r="G182" s="51" t="s">
        <v>185</v>
      </c>
    </row>
    <row r="183" spans="2:7" x14ac:dyDescent="0.25">
      <c r="B183" s="50">
        <v>131064</v>
      </c>
      <c r="C183" s="51">
        <v>131064</v>
      </c>
      <c r="D183" s="27">
        <v>1</v>
      </c>
      <c r="E183" s="27">
        <v>6</v>
      </c>
      <c r="F183" s="52">
        <v>7</v>
      </c>
      <c r="G183" s="51" t="s">
        <v>186</v>
      </c>
    </row>
    <row r="184" spans="2:7" x14ac:dyDescent="0.25">
      <c r="B184" s="50">
        <v>131072</v>
      </c>
      <c r="C184" s="51">
        <v>131072</v>
      </c>
      <c r="D184" s="27">
        <v>0</v>
      </c>
      <c r="E184" s="27">
        <v>0</v>
      </c>
      <c r="F184" s="52">
        <v>5</v>
      </c>
      <c r="G184" s="51" t="s">
        <v>187</v>
      </c>
    </row>
    <row r="185" spans="2:7" x14ac:dyDescent="0.25">
      <c r="B185" s="50">
        <v>131073</v>
      </c>
      <c r="C185" s="51">
        <v>131073</v>
      </c>
      <c r="D185" s="27">
        <v>1</v>
      </c>
      <c r="E185" s="27">
        <v>3</v>
      </c>
      <c r="F185" s="52">
        <v>6</v>
      </c>
      <c r="G185" s="51" t="s">
        <v>188</v>
      </c>
    </row>
    <row r="186" spans="2:7" x14ac:dyDescent="0.25">
      <c r="B186" s="50">
        <v>131074</v>
      </c>
      <c r="C186" s="51">
        <v>131074</v>
      </c>
      <c r="D186" s="27">
        <v>1</v>
      </c>
      <c r="E186" s="27">
        <v>6</v>
      </c>
      <c r="F186" s="52">
        <v>7</v>
      </c>
      <c r="G186" s="51" t="s">
        <v>189</v>
      </c>
    </row>
    <row r="187" spans="2:7" x14ac:dyDescent="0.25">
      <c r="B187" s="50">
        <v>131082</v>
      </c>
      <c r="C187" s="51">
        <v>131082</v>
      </c>
      <c r="D187" s="27">
        <v>0</v>
      </c>
      <c r="E187" s="27">
        <v>0</v>
      </c>
      <c r="F187" s="52">
        <v>5</v>
      </c>
      <c r="G187" s="51" t="s">
        <v>190</v>
      </c>
    </row>
    <row r="188" spans="2:7" x14ac:dyDescent="0.25">
      <c r="B188" s="50">
        <v>131083</v>
      </c>
      <c r="C188" s="51">
        <v>131083</v>
      </c>
      <c r="D188" s="27">
        <v>1</v>
      </c>
      <c r="E188" s="27">
        <v>3</v>
      </c>
      <c r="F188" s="52">
        <v>6</v>
      </c>
      <c r="G188" s="51" t="s">
        <v>191</v>
      </c>
    </row>
    <row r="189" spans="2:7" x14ac:dyDescent="0.25">
      <c r="B189" s="50">
        <v>131084</v>
      </c>
      <c r="C189" s="51">
        <v>131084</v>
      </c>
      <c r="D189" s="27">
        <v>1</v>
      </c>
      <c r="E189" s="27">
        <v>6</v>
      </c>
      <c r="F189" s="52">
        <v>7</v>
      </c>
      <c r="G189" s="51" t="s">
        <v>192</v>
      </c>
    </row>
    <row r="190" spans="2:7" x14ac:dyDescent="0.25">
      <c r="B190" s="50">
        <v>131092</v>
      </c>
      <c r="C190" s="51">
        <v>131092</v>
      </c>
      <c r="D190" s="27">
        <v>0</v>
      </c>
      <c r="E190" s="27">
        <v>0</v>
      </c>
      <c r="F190" s="52">
        <v>5</v>
      </c>
      <c r="G190" s="51" t="s">
        <v>193</v>
      </c>
    </row>
    <row r="191" spans="2:7" x14ac:dyDescent="0.25">
      <c r="B191" s="50">
        <v>131093</v>
      </c>
      <c r="C191" s="51">
        <v>131093</v>
      </c>
      <c r="D191" s="27">
        <v>1</v>
      </c>
      <c r="E191" s="27">
        <v>3</v>
      </c>
      <c r="F191" s="52">
        <v>6</v>
      </c>
      <c r="G191" s="51" t="s">
        <v>194</v>
      </c>
    </row>
    <row r="192" spans="2:7" x14ac:dyDescent="0.25">
      <c r="B192" s="50">
        <v>131094</v>
      </c>
      <c r="C192" s="51">
        <v>131094</v>
      </c>
      <c r="D192" s="27">
        <v>1</v>
      </c>
      <c r="E192" s="27">
        <v>6</v>
      </c>
      <c r="F192" s="52">
        <v>7</v>
      </c>
      <c r="G192" s="51" t="s">
        <v>195</v>
      </c>
    </row>
    <row r="193" spans="2:7" x14ac:dyDescent="0.25">
      <c r="B193" s="50">
        <v>131102</v>
      </c>
      <c r="C193" s="51">
        <v>131102</v>
      </c>
      <c r="D193" s="27">
        <v>0</v>
      </c>
      <c r="E193" s="27">
        <v>0</v>
      </c>
      <c r="F193" s="52">
        <v>5</v>
      </c>
      <c r="G193" s="51" t="s">
        <v>196</v>
      </c>
    </row>
    <row r="194" spans="2:7" x14ac:dyDescent="0.25">
      <c r="B194" s="50">
        <v>131103</v>
      </c>
      <c r="C194" s="51">
        <v>131103</v>
      </c>
      <c r="D194" s="27">
        <v>1</v>
      </c>
      <c r="E194" s="27">
        <v>3</v>
      </c>
      <c r="F194" s="52">
        <v>6</v>
      </c>
      <c r="G194" s="51" t="s">
        <v>197</v>
      </c>
    </row>
    <row r="195" spans="2:7" x14ac:dyDescent="0.25">
      <c r="B195" s="50">
        <v>131104</v>
      </c>
      <c r="C195" s="51">
        <v>131104</v>
      </c>
      <c r="D195" s="27">
        <v>1</v>
      </c>
      <c r="E195" s="27">
        <v>6</v>
      </c>
      <c r="F195" s="52">
        <v>7</v>
      </c>
      <c r="G195" s="51" t="s">
        <v>198</v>
      </c>
    </row>
    <row r="196" spans="2:7" x14ac:dyDescent="0.25">
      <c r="B196" s="50">
        <v>131112</v>
      </c>
      <c r="C196" s="51">
        <v>131112</v>
      </c>
      <c r="D196" s="27">
        <v>0</v>
      </c>
      <c r="E196" s="27">
        <v>0</v>
      </c>
      <c r="F196" s="52">
        <v>5</v>
      </c>
      <c r="G196" s="51" t="s">
        <v>199</v>
      </c>
    </row>
    <row r="197" spans="2:7" x14ac:dyDescent="0.25">
      <c r="B197" s="50">
        <v>131113</v>
      </c>
      <c r="C197" s="51">
        <v>131113</v>
      </c>
      <c r="D197" s="27">
        <v>1</v>
      </c>
      <c r="E197" s="27">
        <v>3</v>
      </c>
      <c r="F197" s="52">
        <v>6</v>
      </c>
      <c r="G197" s="51" t="s">
        <v>200</v>
      </c>
    </row>
    <row r="198" spans="2:7" x14ac:dyDescent="0.25">
      <c r="B198" s="50">
        <v>131114</v>
      </c>
      <c r="C198" s="51">
        <v>131114</v>
      </c>
      <c r="D198" s="27">
        <v>1</v>
      </c>
      <c r="E198" s="27">
        <v>6</v>
      </c>
      <c r="F198" s="52">
        <v>7</v>
      </c>
      <c r="G198" s="51" t="s">
        <v>201</v>
      </c>
    </row>
    <row r="199" spans="2:7" x14ac:dyDescent="0.25">
      <c r="B199" s="50">
        <v>131122</v>
      </c>
      <c r="C199" s="51">
        <v>131122</v>
      </c>
      <c r="D199" s="27">
        <v>0</v>
      </c>
      <c r="E199" s="27">
        <v>0</v>
      </c>
      <c r="F199" s="52">
        <v>5</v>
      </c>
      <c r="G199" s="51" t="s">
        <v>202</v>
      </c>
    </row>
    <row r="200" spans="2:7" x14ac:dyDescent="0.25">
      <c r="B200" s="50">
        <v>131123</v>
      </c>
      <c r="C200" s="51">
        <v>131123</v>
      </c>
      <c r="D200" s="27">
        <v>1</v>
      </c>
      <c r="E200" s="27">
        <v>3</v>
      </c>
      <c r="F200" s="52">
        <v>6</v>
      </c>
      <c r="G200" s="51" t="s">
        <v>203</v>
      </c>
    </row>
    <row r="201" spans="2:7" x14ac:dyDescent="0.25">
      <c r="B201" s="50">
        <v>131124</v>
      </c>
      <c r="C201" s="51">
        <v>131124</v>
      </c>
      <c r="D201" s="27">
        <v>1</v>
      </c>
      <c r="E201" s="27">
        <v>6</v>
      </c>
      <c r="F201" s="52">
        <v>7</v>
      </c>
      <c r="G201" s="51" t="s">
        <v>204</v>
      </c>
    </row>
    <row r="202" spans="2:7" x14ac:dyDescent="0.25">
      <c r="B202" s="50">
        <v>131132</v>
      </c>
      <c r="C202" s="51">
        <v>131132</v>
      </c>
      <c r="D202" s="27">
        <v>0</v>
      </c>
      <c r="E202" s="27">
        <v>0</v>
      </c>
      <c r="F202" s="52">
        <v>5</v>
      </c>
      <c r="G202" s="51" t="s">
        <v>205</v>
      </c>
    </row>
    <row r="203" spans="2:7" x14ac:dyDescent="0.25">
      <c r="B203" s="50">
        <v>131133</v>
      </c>
      <c r="C203" s="51">
        <v>131133</v>
      </c>
      <c r="D203" s="27">
        <v>1</v>
      </c>
      <c r="E203" s="27">
        <v>3</v>
      </c>
      <c r="F203" s="52">
        <v>6</v>
      </c>
      <c r="G203" s="51" t="s">
        <v>206</v>
      </c>
    </row>
    <row r="204" spans="2:7" x14ac:dyDescent="0.25">
      <c r="B204" s="50">
        <v>131134</v>
      </c>
      <c r="C204" s="51">
        <v>131134</v>
      </c>
      <c r="D204" s="27">
        <v>1</v>
      </c>
      <c r="E204" s="27">
        <v>6</v>
      </c>
      <c r="F204" s="52">
        <v>7</v>
      </c>
      <c r="G204" s="51" t="s">
        <v>207</v>
      </c>
    </row>
    <row r="205" spans="2:7" x14ac:dyDescent="0.25">
      <c r="B205" s="50">
        <v>131142</v>
      </c>
      <c r="C205" s="51">
        <v>131142</v>
      </c>
      <c r="D205" s="27">
        <v>0</v>
      </c>
      <c r="E205" s="27">
        <v>0</v>
      </c>
      <c r="F205" s="52">
        <v>5</v>
      </c>
      <c r="G205" s="51" t="s">
        <v>208</v>
      </c>
    </row>
    <row r="206" spans="2:7" x14ac:dyDescent="0.25">
      <c r="B206" s="50">
        <v>131143</v>
      </c>
      <c r="C206" s="51">
        <v>131143</v>
      </c>
      <c r="D206" s="27">
        <v>1</v>
      </c>
      <c r="E206" s="27">
        <v>3</v>
      </c>
      <c r="F206" s="52">
        <v>6</v>
      </c>
      <c r="G206" s="51" t="s">
        <v>209</v>
      </c>
    </row>
    <row r="207" spans="2:7" x14ac:dyDescent="0.25">
      <c r="B207" s="50">
        <v>131144</v>
      </c>
      <c r="C207" s="51">
        <v>131144</v>
      </c>
      <c r="D207" s="27">
        <v>1</v>
      </c>
      <c r="E207" s="27">
        <v>6</v>
      </c>
      <c r="F207" s="52">
        <v>7</v>
      </c>
      <c r="G207" s="51" t="s">
        <v>210</v>
      </c>
    </row>
    <row r="208" spans="2:7" x14ac:dyDescent="0.25">
      <c r="B208" s="54">
        <v>131174</v>
      </c>
      <c r="C208" s="55">
        <v>131174</v>
      </c>
      <c r="D208" s="27">
        <v>1</v>
      </c>
      <c r="E208" s="27">
        <v>12</v>
      </c>
      <c r="F208" s="52">
        <v>8</v>
      </c>
      <c r="G208" s="51" t="s">
        <v>211</v>
      </c>
    </row>
    <row r="209" spans="2:7" x14ac:dyDescent="0.25">
      <c r="B209" s="54">
        <v>131183</v>
      </c>
      <c r="C209" s="55">
        <v>131183</v>
      </c>
      <c r="D209" s="27">
        <v>1</v>
      </c>
      <c r="E209" s="27">
        <v>6</v>
      </c>
      <c r="F209" s="52">
        <v>7</v>
      </c>
      <c r="G209" s="51" t="s">
        <v>212</v>
      </c>
    </row>
    <row r="210" spans="2:7" x14ac:dyDescent="0.25">
      <c r="B210" s="54">
        <v>131194</v>
      </c>
      <c r="C210" s="55">
        <v>131194</v>
      </c>
      <c r="D210" s="27">
        <v>1</v>
      </c>
      <c r="E210" s="27">
        <v>12</v>
      </c>
      <c r="F210" s="52">
        <v>8</v>
      </c>
      <c r="G210" s="51" t="s">
        <v>213</v>
      </c>
    </row>
    <row r="211" spans="2:7" x14ac:dyDescent="0.25">
      <c r="B211" s="54">
        <v>131204</v>
      </c>
      <c r="C211" s="55">
        <v>131204</v>
      </c>
      <c r="D211" s="27">
        <v>1</v>
      </c>
      <c r="E211" s="27">
        <v>12</v>
      </c>
      <c r="F211" s="52">
        <v>8</v>
      </c>
      <c r="G211" s="51" t="s">
        <v>214</v>
      </c>
    </row>
    <row r="212" spans="2:7" x14ac:dyDescent="0.25">
      <c r="B212" s="54">
        <v>131214</v>
      </c>
      <c r="C212" s="55">
        <v>131214</v>
      </c>
      <c r="D212" s="27">
        <v>1</v>
      </c>
      <c r="E212" s="27">
        <v>12</v>
      </c>
      <c r="F212" s="52">
        <v>8</v>
      </c>
      <c r="G212" s="51" t="s">
        <v>215</v>
      </c>
    </row>
    <row r="213" spans="2:7" x14ac:dyDescent="0.25">
      <c r="B213" s="54">
        <v>131224</v>
      </c>
      <c r="C213" s="55">
        <v>131224</v>
      </c>
      <c r="D213" s="27">
        <v>1</v>
      </c>
      <c r="E213" s="27">
        <v>12</v>
      </c>
      <c r="F213" s="52">
        <v>8</v>
      </c>
      <c r="G213" s="51" t="s">
        <v>216</v>
      </c>
    </row>
    <row r="214" spans="2:7" x14ac:dyDescent="0.25">
      <c r="B214" s="54">
        <v>131234</v>
      </c>
      <c r="C214" s="55">
        <v>131234</v>
      </c>
      <c r="D214" s="27">
        <v>1</v>
      </c>
      <c r="E214" s="27">
        <v>12</v>
      </c>
      <c r="F214" s="52">
        <v>8</v>
      </c>
      <c r="G214" s="51" t="s">
        <v>217</v>
      </c>
    </row>
    <row r="215" spans="2:7" x14ac:dyDescent="0.25">
      <c r="B215" s="54">
        <v>131244</v>
      </c>
      <c r="C215" s="55">
        <v>131244</v>
      </c>
      <c r="D215" s="27">
        <v>1</v>
      </c>
      <c r="E215" s="27">
        <v>12</v>
      </c>
      <c r="F215" s="52">
        <v>8</v>
      </c>
      <c r="G215" s="51" t="s">
        <v>218</v>
      </c>
    </row>
    <row r="216" spans="2:7" x14ac:dyDescent="0.25">
      <c r="B216" s="54">
        <v>131254</v>
      </c>
      <c r="C216" s="55">
        <v>131254</v>
      </c>
      <c r="D216" s="27">
        <v>1</v>
      </c>
      <c r="E216" s="27">
        <v>12</v>
      </c>
      <c r="F216" s="52">
        <v>8</v>
      </c>
      <c r="G216" s="51" t="s">
        <v>219</v>
      </c>
    </row>
    <row r="217" spans="2:7" x14ac:dyDescent="0.25">
      <c r="B217" s="54">
        <v>131264</v>
      </c>
      <c r="C217" s="55">
        <v>131264</v>
      </c>
      <c r="D217" s="27">
        <v>1</v>
      </c>
      <c r="E217" s="27">
        <v>12</v>
      </c>
      <c r="F217" s="52">
        <v>8</v>
      </c>
      <c r="G217" s="51" t="s">
        <v>220</v>
      </c>
    </row>
    <row r="218" spans="2:7" x14ac:dyDescent="0.25">
      <c r="B218" s="54">
        <v>131274</v>
      </c>
      <c r="C218" s="55">
        <v>131274</v>
      </c>
      <c r="D218" s="27">
        <v>1</v>
      </c>
      <c r="E218" s="27">
        <v>12</v>
      </c>
      <c r="F218" s="52">
        <v>8</v>
      </c>
      <c r="G218" s="51" t="s">
        <v>221</v>
      </c>
    </row>
    <row r="219" spans="2:7" x14ac:dyDescent="0.25">
      <c r="B219" s="54">
        <v>131284</v>
      </c>
      <c r="C219" s="55">
        <v>131284</v>
      </c>
      <c r="D219" s="27">
        <v>1</v>
      </c>
      <c r="E219" s="27">
        <v>12</v>
      </c>
      <c r="F219" s="52">
        <v>8</v>
      </c>
      <c r="G219" s="51" t="s">
        <v>222</v>
      </c>
    </row>
    <row r="220" spans="2:7" x14ac:dyDescent="0.25">
      <c r="B220" s="54">
        <v>131294</v>
      </c>
      <c r="C220" s="55">
        <v>131294</v>
      </c>
      <c r="D220" s="27">
        <v>1</v>
      </c>
      <c r="E220" s="27">
        <v>12</v>
      </c>
      <c r="F220" s="52">
        <v>8</v>
      </c>
      <c r="G220" s="51" t="s">
        <v>223</v>
      </c>
    </row>
    <row r="221" spans="2:7" x14ac:dyDescent="0.25">
      <c r="B221" s="54">
        <v>131304</v>
      </c>
      <c r="C221" s="55">
        <v>131304</v>
      </c>
      <c r="D221" s="27">
        <v>1</v>
      </c>
      <c r="E221" s="27">
        <v>12</v>
      </c>
      <c r="F221" s="52">
        <v>8</v>
      </c>
      <c r="G221" s="51" t="s">
        <v>224</v>
      </c>
    </row>
    <row r="222" spans="2:7" x14ac:dyDescent="0.25">
      <c r="B222" s="54">
        <v>131314</v>
      </c>
      <c r="C222" s="55">
        <v>131314</v>
      </c>
      <c r="D222" s="27">
        <v>1</v>
      </c>
      <c r="E222" s="27">
        <v>12</v>
      </c>
      <c r="F222" s="52">
        <v>8</v>
      </c>
      <c r="G222" s="51" t="s">
        <v>225</v>
      </c>
    </row>
    <row r="223" spans="2:7" x14ac:dyDescent="0.25">
      <c r="B223" s="54">
        <v>131322</v>
      </c>
      <c r="C223" s="55">
        <v>131322</v>
      </c>
      <c r="D223" s="27">
        <v>0</v>
      </c>
      <c r="E223" s="27">
        <v>0</v>
      </c>
      <c r="F223" s="52">
        <v>5</v>
      </c>
      <c r="G223" s="51" t="s">
        <v>226</v>
      </c>
    </row>
    <row r="224" spans="2:7" x14ac:dyDescent="0.25">
      <c r="B224" s="54">
        <v>131323</v>
      </c>
      <c r="C224" s="55">
        <v>131323</v>
      </c>
      <c r="D224" s="27">
        <v>1</v>
      </c>
      <c r="E224" s="27">
        <v>3</v>
      </c>
      <c r="F224" s="52">
        <v>6</v>
      </c>
      <c r="G224" s="51" t="s">
        <v>227</v>
      </c>
    </row>
    <row r="225" spans="2:7" x14ac:dyDescent="0.25">
      <c r="B225" s="54">
        <v>131324</v>
      </c>
      <c r="C225" s="55">
        <v>131324</v>
      </c>
      <c r="D225" s="27">
        <v>1</v>
      </c>
      <c r="E225" s="27">
        <v>6</v>
      </c>
      <c r="F225" s="52">
        <v>7</v>
      </c>
      <c r="G225" s="51" t="s">
        <v>228</v>
      </c>
    </row>
    <row r="226" spans="2:7" x14ac:dyDescent="0.25">
      <c r="B226" s="54">
        <v>131332</v>
      </c>
      <c r="C226" s="55">
        <v>131332</v>
      </c>
      <c r="D226" s="27">
        <v>0</v>
      </c>
      <c r="E226" s="27">
        <v>0</v>
      </c>
      <c r="F226" s="52">
        <v>5</v>
      </c>
      <c r="G226" s="51" t="s">
        <v>229</v>
      </c>
    </row>
    <row r="227" spans="2:7" x14ac:dyDescent="0.25">
      <c r="B227" s="54">
        <v>131333</v>
      </c>
      <c r="C227" s="55">
        <v>131333</v>
      </c>
      <c r="D227" s="27">
        <v>1</v>
      </c>
      <c r="E227" s="27">
        <v>3</v>
      </c>
      <c r="F227" s="52">
        <v>6</v>
      </c>
      <c r="G227" s="51" t="s">
        <v>230</v>
      </c>
    </row>
    <row r="228" spans="2:7" x14ac:dyDescent="0.25">
      <c r="B228" s="54">
        <v>131334</v>
      </c>
      <c r="C228" s="55">
        <v>131334</v>
      </c>
      <c r="D228" s="27">
        <v>1</v>
      </c>
      <c r="E228" s="27">
        <v>6</v>
      </c>
      <c r="F228" s="52">
        <v>7</v>
      </c>
      <c r="G228" s="51" t="s">
        <v>231</v>
      </c>
    </row>
    <row r="229" spans="2:7" x14ac:dyDescent="0.25">
      <c r="B229" s="54">
        <v>131342</v>
      </c>
      <c r="C229" s="55">
        <v>131342</v>
      </c>
      <c r="D229" s="27">
        <v>0</v>
      </c>
      <c r="E229" s="27">
        <v>0</v>
      </c>
      <c r="F229" s="52">
        <v>5</v>
      </c>
      <c r="G229" s="51" t="s">
        <v>232</v>
      </c>
    </row>
    <row r="230" spans="2:7" x14ac:dyDescent="0.25">
      <c r="B230" s="54">
        <v>131343</v>
      </c>
      <c r="C230" s="55">
        <v>131343</v>
      </c>
      <c r="D230" s="27">
        <v>1</v>
      </c>
      <c r="E230" s="27">
        <v>3</v>
      </c>
      <c r="F230" s="52">
        <v>6</v>
      </c>
      <c r="G230" s="51" t="s">
        <v>233</v>
      </c>
    </row>
    <row r="231" spans="2:7" x14ac:dyDescent="0.25">
      <c r="B231" s="54">
        <v>131344</v>
      </c>
      <c r="C231" s="55">
        <v>131344</v>
      </c>
      <c r="D231" s="27">
        <v>1</v>
      </c>
      <c r="E231" s="27">
        <v>6</v>
      </c>
      <c r="F231" s="52">
        <v>7</v>
      </c>
      <c r="G231" s="51" t="s">
        <v>234</v>
      </c>
    </row>
    <row r="232" spans="2:7" x14ac:dyDescent="0.25">
      <c r="B232" s="54">
        <v>131352</v>
      </c>
      <c r="C232" s="55">
        <v>131352</v>
      </c>
      <c r="D232" s="27">
        <v>0</v>
      </c>
      <c r="E232" s="27">
        <v>0</v>
      </c>
      <c r="F232" s="52">
        <v>5</v>
      </c>
      <c r="G232" s="51" t="s">
        <v>235</v>
      </c>
    </row>
    <row r="233" spans="2:7" x14ac:dyDescent="0.25">
      <c r="B233" s="54">
        <v>131353</v>
      </c>
      <c r="C233" s="55">
        <v>131353</v>
      </c>
      <c r="D233" s="27">
        <v>1</v>
      </c>
      <c r="E233" s="27">
        <v>3</v>
      </c>
      <c r="F233" s="52">
        <v>6</v>
      </c>
      <c r="G233" s="51" t="s">
        <v>236</v>
      </c>
    </row>
    <row r="234" spans="2:7" x14ac:dyDescent="0.25">
      <c r="B234" s="54">
        <v>131354</v>
      </c>
      <c r="C234" s="55">
        <v>131354</v>
      </c>
      <c r="D234" s="27">
        <v>1</v>
      </c>
      <c r="E234" s="27">
        <v>6</v>
      </c>
      <c r="F234" s="52">
        <v>7</v>
      </c>
      <c r="G234" s="51" t="s">
        <v>237</v>
      </c>
    </row>
    <row r="235" spans="2:7" x14ac:dyDescent="0.25">
      <c r="B235" s="54">
        <v>131362</v>
      </c>
      <c r="C235" s="55">
        <v>131362</v>
      </c>
      <c r="D235" s="27">
        <v>0</v>
      </c>
      <c r="E235" s="27">
        <v>0</v>
      </c>
      <c r="F235" s="52">
        <v>5</v>
      </c>
      <c r="G235" s="51" t="s">
        <v>238</v>
      </c>
    </row>
    <row r="236" spans="2:7" x14ac:dyDescent="0.25">
      <c r="B236" s="54">
        <v>131363</v>
      </c>
      <c r="C236" s="55">
        <v>131363</v>
      </c>
      <c r="D236" s="27">
        <v>1</v>
      </c>
      <c r="E236" s="27">
        <v>3</v>
      </c>
      <c r="F236" s="52">
        <v>6</v>
      </c>
      <c r="G236" s="51" t="s">
        <v>239</v>
      </c>
    </row>
    <row r="237" spans="2:7" x14ac:dyDescent="0.25">
      <c r="B237" s="54">
        <v>131364</v>
      </c>
      <c r="C237" s="55">
        <v>131364</v>
      </c>
      <c r="D237" s="27">
        <v>1</v>
      </c>
      <c r="E237" s="27">
        <v>6</v>
      </c>
      <c r="F237" s="52">
        <v>7</v>
      </c>
      <c r="G237" s="51" t="s">
        <v>240</v>
      </c>
    </row>
    <row r="238" spans="2:7" x14ac:dyDescent="0.25">
      <c r="B238" s="54">
        <v>131372</v>
      </c>
      <c r="C238" s="55">
        <v>131372</v>
      </c>
      <c r="D238" s="27">
        <v>0</v>
      </c>
      <c r="E238" s="27">
        <v>0</v>
      </c>
      <c r="F238" s="52">
        <v>5</v>
      </c>
      <c r="G238" s="51" t="s">
        <v>241</v>
      </c>
    </row>
    <row r="239" spans="2:7" x14ac:dyDescent="0.25">
      <c r="B239" s="54">
        <v>131373</v>
      </c>
      <c r="C239" s="55">
        <v>131373</v>
      </c>
      <c r="D239" s="27">
        <v>1</v>
      </c>
      <c r="E239" s="27">
        <v>3</v>
      </c>
      <c r="F239" s="52">
        <v>6</v>
      </c>
      <c r="G239" s="51" t="s">
        <v>242</v>
      </c>
    </row>
    <row r="240" spans="2:7" x14ac:dyDescent="0.25">
      <c r="B240" s="54">
        <v>131374</v>
      </c>
      <c r="C240" s="55">
        <v>131374</v>
      </c>
      <c r="D240" s="27">
        <v>1</v>
      </c>
      <c r="E240" s="27">
        <v>6</v>
      </c>
      <c r="F240" s="52">
        <v>7</v>
      </c>
      <c r="G240" s="51" t="s">
        <v>243</v>
      </c>
    </row>
    <row r="241" spans="2:7" x14ac:dyDescent="0.25">
      <c r="B241" s="54">
        <v>131382</v>
      </c>
      <c r="C241" s="55">
        <v>131382</v>
      </c>
      <c r="D241" s="27">
        <v>0</v>
      </c>
      <c r="E241" s="27">
        <v>0</v>
      </c>
      <c r="F241" s="52">
        <v>5</v>
      </c>
      <c r="G241" s="51" t="s">
        <v>244</v>
      </c>
    </row>
    <row r="242" spans="2:7" x14ac:dyDescent="0.25">
      <c r="B242" s="54">
        <v>131383</v>
      </c>
      <c r="C242" s="55">
        <v>131383</v>
      </c>
      <c r="D242" s="27">
        <v>1</v>
      </c>
      <c r="E242" s="27">
        <v>3</v>
      </c>
      <c r="F242" s="52">
        <v>6</v>
      </c>
      <c r="G242" s="51" t="s">
        <v>245</v>
      </c>
    </row>
    <row r="243" spans="2:7" x14ac:dyDescent="0.25">
      <c r="B243" s="54">
        <v>131384</v>
      </c>
      <c r="C243" s="55">
        <v>131384</v>
      </c>
      <c r="D243" s="27">
        <v>1</v>
      </c>
      <c r="E243" s="27">
        <v>6</v>
      </c>
      <c r="F243" s="52">
        <v>7</v>
      </c>
      <c r="G243" s="51" t="s">
        <v>246</v>
      </c>
    </row>
    <row r="244" spans="2:7" x14ac:dyDescent="0.25">
      <c r="B244" s="54">
        <v>131392</v>
      </c>
      <c r="C244" s="55">
        <v>131392</v>
      </c>
      <c r="D244" s="27">
        <v>0</v>
      </c>
      <c r="E244" s="27">
        <v>0</v>
      </c>
      <c r="F244" s="52">
        <v>5</v>
      </c>
      <c r="G244" s="51" t="s">
        <v>247</v>
      </c>
    </row>
    <row r="245" spans="2:7" x14ac:dyDescent="0.25">
      <c r="B245" s="54">
        <v>131393</v>
      </c>
      <c r="C245" s="55">
        <v>131393</v>
      </c>
      <c r="D245" s="27">
        <v>1</v>
      </c>
      <c r="E245" s="27">
        <v>3</v>
      </c>
      <c r="F245" s="52">
        <v>6</v>
      </c>
      <c r="G245" s="51" t="s">
        <v>248</v>
      </c>
    </row>
    <row r="246" spans="2:7" x14ac:dyDescent="0.25">
      <c r="B246" s="54">
        <v>131394</v>
      </c>
      <c r="C246" s="55">
        <v>131394</v>
      </c>
      <c r="D246" s="27">
        <v>1</v>
      </c>
      <c r="E246" s="27">
        <v>6</v>
      </c>
      <c r="F246" s="52">
        <v>7</v>
      </c>
      <c r="G246" s="51" t="s">
        <v>249</v>
      </c>
    </row>
    <row r="247" spans="2:7" x14ac:dyDescent="0.25">
      <c r="B247" s="54">
        <v>131402</v>
      </c>
      <c r="C247" s="55">
        <v>131402</v>
      </c>
      <c r="D247" s="27">
        <v>0</v>
      </c>
      <c r="E247" s="27">
        <v>0</v>
      </c>
      <c r="F247" s="52">
        <v>5</v>
      </c>
      <c r="G247" s="51" t="s">
        <v>250</v>
      </c>
    </row>
    <row r="248" spans="2:7" x14ac:dyDescent="0.25">
      <c r="B248" s="54">
        <v>131403</v>
      </c>
      <c r="C248" s="55">
        <v>131403</v>
      </c>
      <c r="D248" s="27">
        <v>1</v>
      </c>
      <c r="E248" s="27">
        <v>3</v>
      </c>
      <c r="F248" s="52">
        <v>6</v>
      </c>
      <c r="G248" s="51" t="s">
        <v>251</v>
      </c>
    </row>
    <row r="249" spans="2:7" x14ac:dyDescent="0.25">
      <c r="B249" s="54">
        <v>131404</v>
      </c>
      <c r="C249" s="55">
        <v>131404</v>
      </c>
      <c r="D249" s="27">
        <v>1</v>
      </c>
      <c r="E249" s="27">
        <v>6</v>
      </c>
      <c r="F249" s="52">
        <v>7</v>
      </c>
      <c r="G249" s="51" t="s">
        <v>252</v>
      </c>
    </row>
    <row r="250" spans="2:7" x14ac:dyDescent="0.25">
      <c r="B250" s="54">
        <v>131412</v>
      </c>
      <c r="C250" s="55">
        <v>131412</v>
      </c>
      <c r="D250" s="27">
        <v>0</v>
      </c>
      <c r="E250" s="27">
        <v>0</v>
      </c>
      <c r="F250" s="52">
        <v>5</v>
      </c>
      <c r="G250" s="51" t="s">
        <v>253</v>
      </c>
    </row>
    <row r="251" spans="2:7" x14ac:dyDescent="0.25">
      <c r="B251" s="54">
        <v>131413</v>
      </c>
      <c r="C251" s="55">
        <v>131413</v>
      </c>
      <c r="D251" s="27">
        <v>1</v>
      </c>
      <c r="E251" s="27">
        <v>3</v>
      </c>
      <c r="F251" s="52">
        <v>6</v>
      </c>
      <c r="G251" s="51" t="s">
        <v>254</v>
      </c>
    </row>
    <row r="252" spans="2:7" x14ac:dyDescent="0.25">
      <c r="B252" s="54">
        <v>131414</v>
      </c>
      <c r="C252" s="55">
        <v>131414</v>
      </c>
      <c r="D252" s="27">
        <v>1</v>
      </c>
      <c r="E252" s="27">
        <v>6</v>
      </c>
      <c r="F252" s="52">
        <v>7</v>
      </c>
      <c r="G252" s="51" t="s">
        <v>255</v>
      </c>
    </row>
    <row r="253" spans="2:7" x14ac:dyDescent="0.25">
      <c r="B253" s="54">
        <v>131422</v>
      </c>
      <c r="C253" s="55">
        <v>131422</v>
      </c>
      <c r="D253" s="27">
        <v>0</v>
      </c>
      <c r="E253" s="27">
        <v>0</v>
      </c>
      <c r="F253" s="52">
        <v>5</v>
      </c>
      <c r="G253" s="51" t="s">
        <v>256</v>
      </c>
    </row>
    <row r="254" spans="2:7" x14ac:dyDescent="0.25">
      <c r="B254" s="54">
        <v>131423</v>
      </c>
      <c r="C254" s="55">
        <v>131423</v>
      </c>
      <c r="D254" s="27">
        <v>1</v>
      </c>
      <c r="E254" s="27">
        <v>3</v>
      </c>
      <c r="F254" s="52">
        <v>6</v>
      </c>
      <c r="G254" s="51" t="s">
        <v>257</v>
      </c>
    </row>
    <row r="255" spans="2:7" x14ac:dyDescent="0.25">
      <c r="B255" s="54">
        <v>131424</v>
      </c>
      <c r="C255" s="55">
        <v>131424</v>
      </c>
      <c r="D255" s="27">
        <v>1</v>
      </c>
      <c r="E255" s="27">
        <v>6</v>
      </c>
      <c r="F255" s="52">
        <v>7</v>
      </c>
      <c r="G255" s="51" t="s">
        <v>258</v>
      </c>
    </row>
    <row r="256" spans="2:7" x14ac:dyDescent="0.25">
      <c r="B256" s="54">
        <v>131434</v>
      </c>
      <c r="C256" s="55">
        <v>131434</v>
      </c>
      <c r="D256" s="27">
        <v>1</v>
      </c>
      <c r="E256" s="27">
        <v>12</v>
      </c>
      <c r="F256" s="52">
        <v>8</v>
      </c>
      <c r="G256" s="51" t="s">
        <v>259</v>
      </c>
    </row>
    <row r="257" spans="2:7" x14ac:dyDescent="0.25">
      <c r="B257" s="54">
        <v>131444</v>
      </c>
      <c r="C257" s="55">
        <v>131444</v>
      </c>
      <c r="D257" s="27">
        <v>1</v>
      </c>
      <c r="E257" s="27">
        <v>12</v>
      </c>
      <c r="F257" s="52">
        <v>8</v>
      </c>
      <c r="G257" s="51" t="s">
        <v>260</v>
      </c>
    </row>
    <row r="258" spans="2:7" x14ac:dyDescent="0.25">
      <c r="B258" s="54">
        <v>131452</v>
      </c>
      <c r="C258" s="55">
        <v>131452</v>
      </c>
      <c r="D258" s="27">
        <v>0</v>
      </c>
      <c r="E258" s="27">
        <v>0</v>
      </c>
      <c r="F258" s="52">
        <v>5</v>
      </c>
      <c r="G258" s="51" t="s">
        <v>261</v>
      </c>
    </row>
    <row r="259" spans="2:7" x14ac:dyDescent="0.25">
      <c r="B259" s="54">
        <v>131453</v>
      </c>
      <c r="C259" s="55">
        <v>131453</v>
      </c>
      <c r="D259" s="27">
        <v>1</v>
      </c>
      <c r="E259" s="27">
        <v>3</v>
      </c>
      <c r="F259" s="52">
        <v>6</v>
      </c>
      <c r="G259" s="51" t="s">
        <v>262</v>
      </c>
    </row>
    <row r="260" spans="2:7" x14ac:dyDescent="0.25">
      <c r="B260" s="54">
        <v>131454</v>
      </c>
      <c r="C260" s="55">
        <v>131454</v>
      </c>
      <c r="D260" s="27">
        <v>1</v>
      </c>
      <c r="E260" s="27">
        <v>6</v>
      </c>
      <c r="F260" s="52">
        <v>7</v>
      </c>
      <c r="G260" s="51" t="s">
        <v>263</v>
      </c>
    </row>
    <row r="261" spans="2:7" x14ac:dyDescent="0.25">
      <c r="B261" s="54">
        <v>131462</v>
      </c>
      <c r="C261" s="55">
        <v>131462</v>
      </c>
      <c r="D261" s="27">
        <v>0</v>
      </c>
      <c r="E261" s="27">
        <v>0</v>
      </c>
      <c r="F261" s="52">
        <v>5</v>
      </c>
      <c r="G261" s="51" t="s">
        <v>264</v>
      </c>
    </row>
    <row r="262" spans="2:7" x14ac:dyDescent="0.25">
      <c r="B262" s="54">
        <v>131463</v>
      </c>
      <c r="C262" s="55">
        <v>131463</v>
      </c>
      <c r="D262" s="27">
        <v>1</v>
      </c>
      <c r="E262" s="27">
        <v>3</v>
      </c>
      <c r="F262" s="52">
        <v>6</v>
      </c>
      <c r="G262" s="51" t="s">
        <v>265</v>
      </c>
    </row>
    <row r="263" spans="2:7" x14ac:dyDescent="0.25">
      <c r="B263" s="54">
        <v>131464</v>
      </c>
      <c r="C263" s="55">
        <v>131464</v>
      </c>
      <c r="D263" s="27">
        <v>1</v>
      </c>
      <c r="E263" s="27">
        <v>6</v>
      </c>
      <c r="F263" s="52">
        <v>7</v>
      </c>
      <c r="G263" s="51" t="s">
        <v>266</v>
      </c>
    </row>
    <row r="264" spans="2:7" x14ac:dyDescent="0.25">
      <c r="B264" s="54">
        <v>131474</v>
      </c>
      <c r="C264" s="55">
        <v>131474</v>
      </c>
      <c r="D264" s="27">
        <v>1</v>
      </c>
      <c r="E264" s="27">
        <v>6</v>
      </c>
      <c r="F264" s="52">
        <v>7</v>
      </c>
      <c r="G264" s="51" t="s">
        <v>267</v>
      </c>
    </row>
    <row r="265" spans="2:7" x14ac:dyDescent="0.25">
      <c r="B265" s="54">
        <v>131484</v>
      </c>
      <c r="C265" s="55">
        <v>131484</v>
      </c>
      <c r="D265" s="27">
        <v>1</v>
      </c>
      <c r="E265" s="27">
        <v>12</v>
      </c>
      <c r="F265" s="52">
        <v>8</v>
      </c>
      <c r="G265" s="51" t="s">
        <v>268</v>
      </c>
    </row>
    <row r="266" spans="2:7" x14ac:dyDescent="0.25">
      <c r="B266" s="54">
        <v>131492</v>
      </c>
      <c r="C266" s="55">
        <v>131492</v>
      </c>
      <c r="D266" s="27">
        <v>0</v>
      </c>
      <c r="E266" s="27">
        <v>0</v>
      </c>
      <c r="F266" s="52">
        <v>5</v>
      </c>
      <c r="G266" s="51" t="s">
        <v>269</v>
      </c>
    </row>
    <row r="267" spans="2:7" x14ac:dyDescent="0.25">
      <c r="B267" s="54">
        <v>131493</v>
      </c>
      <c r="C267" s="55">
        <v>131493</v>
      </c>
      <c r="D267" s="27">
        <v>1</v>
      </c>
      <c r="E267" s="27">
        <v>3</v>
      </c>
      <c r="F267" s="52">
        <v>6</v>
      </c>
      <c r="G267" s="51" t="s">
        <v>270</v>
      </c>
    </row>
    <row r="268" spans="2:7" x14ac:dyDescent="0.25">
      <c r="B268" s="54">
        <v>131494</v>
      </c>
      <c r="C268" s="55">
        <v>131494</v>
      </c>
      <c r="D268" s="27">
        <v>1</v>
      </c>
      <c r="E268" s="27">
        <v>6</v>
      </c>
      <c r="F268" s="52">
        <v>7</v>
      </c>
      <c r="G268" s="51" t="s">
        <v>271</v>
      </c>
    </row>
    <row r="269" spans="2:7" x14ac:dyDescent="0.25">
      <c r="B269" s="54">
        <v>131521</v>
      </c>
      <c r="C269" s="55">
        <v>131521</v>
      </c>
      <c r="D269" s="27">
        <v>0</v>
      </c>
      <c r="E269" s="27">
        <v>0</v>
      </c>
      <c r="F269" s="52">
        <v>5</v>
      </c>
      <c r="G269" s="51" t="s">
        <v>272</v>
      </c>
    </row>
    <row r="270" spans="2:7" x14ac:dyDescent="0.25">
      <c r="B270" s="54">
        <v>131522</v>
      </c>
      <c r="C270" s="55">
        <v>131522</v>
      </c>
      <c r="D270" s="27">
        <v>1</v>
      </c>
      <c r="E270" s="27">
        <v>3</v>
      </c>
      <c r="F270" s="52">
        <v>6</v>
      </c>
      <c r="G270" s="51" t="s">
        <v>273</v>
      </c>
    </row>
    <row r="271" spans="2:7" x14ac:dyDescent="0.25">
      <c r="B271" s="54">
        <v>131523</v>
      </c>
      <c r="C271" s="55">
        <v>131523</v>
      </c>
      <c r="D271" s="27">
        <v>1</v>
      </c>
      <c r="E271" s="27">
        <v>6</v>
      </c>
      <c r="F271" s="52">
        <v>7</v>
      </c>
      <c r="G271" s="51" t="s">
        <v>274</v>
      </c>
    </row>
    <row r="272" spans="2:7" x14ac:dyDescent="0.25">
      <c r="B272" s="54">
        <v>131534</v>
      </c>
      <c r="C272" s="55">
        <v>131534</v>
      </c>
      <c r="D272" s="27">
        <v>1</v>
      </c>
      <c r="E272" s="27">
        <v>12</v>
      </c>
      <c r="F272" s="52">
        <v>8</v>
      </c>
      <c r="G272" s="56" t="s">
        <v>275</v>
      </c>
    </row>
    <row r="273" spans="2:7" x14ac:dyDescent="0.25">
      <c r="B273" s="54">
        <v>131544</v>
      </c>
      <c r="C273" s="55">
        <v>131544</v>
      </c>
      <c r="D273" s="27">
        <v>1</v>
      </c>
      <c r="E273" s="27">
        <v>12</v>
      </c>
      <c r="F273" s="52">
        <v>8</v>
      </c>
      <c r="G273" s="56" t="s">
        <v>275</v>
      </c>
    </row>
    <row r="274" spans="2:7" x14ac:dyDescent="0.25">
      <c r="B274" s="54">
        <v>131554</v>
      </c>
      <c r="C274" s="55">
        <v>131554</v>
      </c>
      <c r="D274" s="27">
        <v>1</v>
      </c>
      <c r="E274" s="27">
        <v>12</v>
      </c>
      <c r="F274" s="52">
        <v>8</v>
      </c>
      <c r="G274" s="57" t="s">
        <v>276</v>
      </c>
    </row>
    <row r="275" spans="2:7" x14ac:dyDescent="0.25">
      <c r="B275" s="54">
        <v>131564</v>
      </c>
      <c r="C275" s="55">
        <v>131564</v>
      </c>
      <c r="D275" s="27">
        <v>1</v>
      </c>
      <c r="E275" s="27">
        <v>12</v>
      </c>
      <c r="F275" s="52">
        <v>8</v>
      </c>
      <c r="G275" s="57" t="s">
        <v>277</v>
      </c>
    </row>
    <row r="276" spans="2:7" x14ac:dyDescent="0.25">
      <c r="B276" s="54">
        <v>131572</v>
      </c>
      <c r="C276" s="55">
        <v>131572</v>
      </c>
      <c r="D276" s="27">
        <v>0</v>
      </c>
      <c r="E276" s="27">
        <v>0</v>
      </c>
      <c r="F276" s="52">
        <v>5</v>
      </c>
      <c r="G276" s="57" t="s">
        <v>278</v>
      </c>
    </row>
    <row r="277" spans="2:7" x14ac:dyDescent="0.25">
      <c r="B277" s="54">
        <v>131573</v>
      </c>
      <c r="C277" s="55">
        <v>131573</v>
      </c>
      <c r="D277" s="27">
        <v>1</v>
      </c>
      <c r="E277" s="27">
        <v>3</v>
      </c>
      <c r="F277" s="52">
        <v>6</v>
      </c>
      <c r="G277" s="57" t="s">
        <v>278</v>
      </c>
    </row>
    <row r="278" spans="2:7" x14ac:dyDescent="0.25">
      <c r="B278" s="54">
        <v>131584</v>
      </c>
      <c r="C278" s="55">
        <v>131584</v>
      </c>
      <c r="D278" s="27">
        <v>1</v>
      </c>
      <c r="E278" s="27">
        <v>12</v>
      </c>
      <c r="F278" s="52">
        <v>8</v>
      </c>
      <c r="G278" s="57" t="s">
        <v>279</v>
      </c>
    </row>
    <row r="279" spans="2:7" x14ac:dyDescent="0.25">
      <c r="B279" s="54">
        <v>131593</v>
      </c>
      <c r="C279" s="55">
        <v>131593</v>
      </c>
      <c r="D279" s="27">
        <v>1</v>
      </c>
      <c r="E279" s="27">
        <v>6</v>
      </c>
      <c r="F279" s="52">
        <v>7</v>
      </c>
      <c r="G279" s="57" t="s">
        <v>280</v>
      </c>
    </row>
    <row r="280" spans="2:7" x14ac:dyDescent="0.25">
      <c r="B280" s="54">
        <v>131604</v>
      </c>
      <c r="C280" s="55">
        <v>131604</v>
      </c>
      <c r="D280" s="27">
        <v>1</v>
      </c>
      <c r="E280" s="27">
        <v>12</v>
      </c>
      <c r="F280" s="52">
        <v>8</v>
      </c>
      <c r="G280" s="57" t="s">
        <v>281</v>
      </c>
    </row>
    <row r="281" spans="2:7" x14ac:dyDescent="0.25">
      <c r="B281" s="54">
        <v>131614</v>
      </c>
      <c r="C281" s="55">
        <v>131614</v>
      </c>
      <c r="D281" s="27">
        <v>1</v>
      </c>
      <c r="E281" s="27">
        <v>12</v>
      </c>
      <c r="F281" s="52">
        <v>8</v>
      </c>
      <c r="G281" s="57" t="s">
        <v>282</v>
      </c>
    </row>
    <row r="282" spans="2:7" x14ac:dyDescent="0.25">
      <c r="B282" s="54">
        <v>131623</v>
      </c>
      <c r="C282" s="55">
        <v>131623</v>
      </c>
      <c r="D282" s="27">
        <v>1</v>
      </c>
      <c r="E282" s="27">
        <v>6</v>
      </c>
      <c r="F282" s="52">
        <v>7</v>
      </c>
      <c r="G282" s="51" t="s">
        <v>283</v>
      </c>
    </row>
    <row r="283" spans="2:7" x14ac:dyDescent="0.25">
      <c r="B283" s="54">
        <v>131638</v>
      </c>
      <c r="C283" s="55">
        <v>131638</v>
      </c>
      <c r="D283" s="27">
        <v>1</v>
      </c>
      <c r="E283" s="27">
        <v>12</v>
      </c>
      <c r="F283" s="52">
        <v>8</v>
      </c>
      <c r="G283" s="57" t="s">
        <v>284</v>
      </c>
    </row>
    <row r="284" spans="2:7" x14ac:dyDescent="0.25">
      <c r="B284" s="54">
        <v>131648</v>
      </c>
      <c r="C284" s="55">
        <v>131648</v>
      </c>
      <c r="D284" s="27">
        <v>1</v>
      </c>
      <c r="E284" s="27">
        <v>12</v>
      </c>
      <c r="F284" s="52">
        <v>8</v>
      </c>
      <c r="G284" s="57" t="s">
        <v>285</v>
      </c>
    </row>
    <row r="285" spans="2:7" x14ac:dyDescent="0.25">
      <c r="B285" s="54">
        <v>131657</v>
      </c>
      <c r="C285" s="55">
        <v>131657</v>
      </c>
      <c r="D285" s="27">
        <v>1</v>
      </c>
      <c r="E285" s="27">
        <v>6</v>
      </c>
      <c r="F285" s="52">
        <v>7</v>
      </c>
      <c r="G285" s="57" t="s">
        <v>286</v>
      </c>
    </row>
    <row r="286" spans="2:7" x14ac:dyDescent="0.25">
      <c r="B286" s="54">
        <v>131678</v>
      </c>
      <c r="C286" s="55">
        <v>131678</v>
      </c>
      <c r="D286" s="27">
        <v>1</v>
      </c>
      <c r="E286" s="27">
        <v>12</v>
      </c>
      <c r="F286" s="52">
        <v>8</v>
      </c>
      <c r="G286" s="51" t="s">
        <v>287</v>
      </c>
    </row>
    <row r="287" spans="2:7" x14ac:dyDescent="0.25">
      <c r="B287" s="54">
        <v>131688</v>
      </c>
      <c r="C287" s="55">
        <v>131688</v>
      </c>
      <c r="D287" s="27">
        <v>1</v>
      </c>
      <c r="E287" s="27">
        <v>12</v>
      </c>
      <c r="F287" s="52">
        <v>8</v>
      </c>
      <c r="G287" s="51" t="s">
        <v>288</v>
      </c>
    </row>
    <row r="288" spans="2:7" x14ac:dyDescent="0.25">
      <c r="B288" s="50">
        <v>131698</v>
      </c>
      <c r="C288" s="51">
        <v>131698</v>
      </c>
      <c r="D288" s="27">
        <v>1</v>
      </c>
      <c r="E288" s="27">
        <v>12</v>
      </c>
      <c r="F288" s="52">
        <v>8</v>
      </c>
      <c r="G288" s="51" t="s">
        <v>289</v>
      </c>
    </row>
    <row r="289" spans="2:7" x14ac:dyDescent="0.25">
      <c r="B289" s="53">
        <v>131838</v>
      </c>
      <c r="C289" s="42">
        <v>131838</v>
      </c>
      <c r="D289" s="27">
        <v>1</v>
      </c>
      <c r="E289" s="27">
        <v>12</v>
      </c>
      <c r="F289" s="58">
        <v>8</v>
      </c>
      <c r="G289" s="42" t="s">
        <v>290</v>
      </c>
    </row>
  </sheetData>
  <phoneticPr fontId="11" type="noConversion"/>
  <conditionalFormatting sqref="B6:B289">
    <cfRule type="duplicateValues" dxfId="1" priority="2"/>
  </conditionalFormatting>
  <conditionalFormatting sqref="C6:C289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H32" sqref="H32"/>
    </sheetView>
  </sheetViews>
  <sheetFormatPr defaultColWidth="9" defaultRowHeight="13.8" x14ac:dyDescent="0.25"/>
  <cols>
    <col min="3" max="4" width="22.88671875" customWidth="1"/>
    <col min="5" max="8" width="12.77734375" customWidth="1"/>
    <col min="9" max="10" width="16.109375" customWidth="1"/>
  </cols>
  <sheetData>
    <row r="1" spans="1:10" x14ac:dyDescent="0.25">
      <c r="A1" s="2" t="s">
        <v>0</v>
      </c>
      <c r="B1" s="43" t="s">
        <v>1</v>
      </c>
      <c r="C1" s="43" t="s">
        <v>291</v>
      </c>
      <c r="D1" s="43" t="s">
        <v>292</v>
      </c>
      <c r="E1" s="43" t="s">
        <v>293</v>
      </c>
      <c r="F1" s="43" t="s">
        <v>294</v>
      </c>
      <c r="G1" s="43" t="s">
        <v>295</v>
      </c>
      <c r="H1" s="43" t="s">
        <v>296</v>
      </c>
      <c r="I1" s="43" t="s">
        <v>297</v>
      </c>
      <c r="J1" s="43" t="s">
        <v>298</v>
      </c>
    </row>
    <row r="2" spans="1:10" x14ac:dyDescent="0.25">
      <c r="A2" s="2" t="s">
        <v>7</v>
      </c>
      <c r="B2" s="44" t="s">
        <v>8</v>
      </c>
      <c r="C2" s="44" t="s">
        <v>299</v>
      </c>
      <c r="D2" s="44" t="s">
        <v>300</v>
      </c>
      <c r="E2" s="44" t="s">
        <v>301</v>
      </c>
      <c r="F2" s="45"/>
      <c r="G2" s="45"/>
      <c r="H2" s="45"/>
      <c r="I2" s="45"/>
      <c r="J2" s="45"/>
    </row>
    <row r="3" spans="1:10" x14ac:dyDescent="0.25">
      <c r="A3" s="2" t="s">
        <v>12</v>
      </c>
      <c r="B3" s="44" t="s">
        <v>13</v>
      </c>
      <c r="C3" s="44" t="s">
        <v>302</v>
      </c>
      <c r="D3" s="44" t="s">
        <v>302</v>
      </c>
      <c r="E3" s="44" t="s">
        <v>303</v>
      </c>
      <c r="F3" s="45" t="s">
        <v>303</v>
      </c>
      <c r="G3" s="45" t="s">
        <v>303</v>
      </c>
      <c r="H3" s="45" t="s">
        <v>303</v>
      </c>
      <c r="I3" s="45" t="s">
        <v>303</v>
      </c>
      <c r="J3" s="45" t="s">
        <v>303</v>
      </c>
    </row>
    <row r="4" spans="1:10" x14ac:dyDescent="0.25">
      <c r="A4" s="2" t="s">
        <v>15</v>
      </c>
      <c r="B4" s="44" t="s">
        <v>16</v>
      </c>
      <c r="C4" s="44" t="s">
        <v>16</v>
      </c>
      <c r="D4" s="44" t="s">
        <v>16</v>
      </c>
      <c r="E4" s="44" t="s">
        <v>16</v>
      </c>
      <c r="F4" s="45"/>
      <c r="G4" s="45"/>
      <c r="H4" s="45"/>
      <c r="I4" s="45"/>
      <c r="J4" s="45"/>
    </row>
    <row r="5" spans="1:10" x14ac:dyDescent="0.25">
      <c r="A5" s="2" t="s">
        <v>17</v>
      </c>
      <c r="B5" s="44" t="s">
        <v>18</v>
      </c>
      <c r="C5" s="44" t="s">
        <v>304</v>
      </c>
      <c r="D5" s="44" t="s">
        <v>304</v>
      </c>
      <c r="E5" s="44" t="s">
        <v>304</v>
      </c>
      <c r="F5" s="45"/>
      <c r="G5" s="45"/>
      <c r="H5" s="45"/>
      <c r="I5" s="45"/>
      <c r="J5" s="45"/>
    </row>
    <row r="6" spans="1:10" x14ac:dyDescent="0.25">
      <c r="A6" s="46"/>
      <c r="B6" s="46">
        <v>2</v>
      </c>
      <c r="C6" s="46" t="str">
        <f>""&amp;F6&amp;";"&amp;G6&amp;";"&amp;H6&amp;""</f>
        <v>130334,130354;130013,130022,130043,130052,130063,130072,130082,130092,130102,130111,130122,130132,130142,130174,130181,130194,130202,130223,130254,130322,130342,130362,130372,130392,130402,130412,130422,130432,130442,130452,130462,130812,130833,130843,130853,130873,130883,130913,130923,130014,130023,130044,130053,130073,130083,130093,130103,130113,130123,130133,130143,130175,130195,130203,130256,130323,130343,130363,130373,130393,130403,130413,130423,130433,130443,130453,130463,130813,130834,130844,130854,130874,130884,130894,130914;130012,130042,130062,130071,130081,130091,130101,130114,130121,130131,130141,130162,130173,130193,130201,130222,130232,130242,130253,130321,130341,130361,130371,130382,130391,130401,130411,130421,130431,130441,130451,130461,130811,130832,130842,130863,130872,130882,130912,130922</v>
      </c>
      <c r="D6" s="46" t="str">
        <f>""&amp;J6&amp;";"&amp;I6&amp;""</f>
        <v>130013,130022,130043,130052,130063,130072,130082,130092,130102,130111,130122,130132,130142,130174,130181,130194,130202,130223,130254,130322,130342,130362,130372,130392,130402,130412,130422,130432,130442,130452,130462,130812,130833,130843,130853,130873,130883,130913,130923,130014,130023,130044,130053,130073,130083,130093,130103,130113,130123,130133,130143,130175,130195,130203,130256,130323,130343,130363,130373,130393,130403,130413,130423,130433,130443,130453,130463,130813,130834,130844,130854,130874,130884,130894,130914;130334,130354</v>
      </c>
      <c r="E6" s="47" t="s">
        <v>305</v>
      </c>
      <c r="F6" s="47" t="s">
        <v>306</v>
      </c>
      <c r="G6" s="47" t="s">
        <v>307</v>
      </c>
      <c r="H6" s="47" t="s">
        <v>308</v>
      </c>
      <c r="I6" s="47" t="s">
        <v>306</v>
      </c>
      <c r="J6" s="47" t="s">
        <v>307</v>
      </c>
    </row>
    <row r="7" spans="1:10" x14ac:dyDescent="0.25">
      <c r="A7" s="46"/>
      <c r="B7" s="46">
        <v>3</v>
      </c>
      <c r="C7" s="46" t="str">
        <f t="shared" ref="C7:C12" si="0">""&amp;F7&amp;";"&amp;G7&amp;";"&amp;H7&amp;""</f>
        <v>130334,130354;130013,130022,130043,130052,130063,130072,130082,130092,130102,130111,130122,130132,130142,130174,130181,130194,130202,130223,130254,130322,130342,130362,130372,130392,130402,130412,130422,130432,130442,130452,130462,130812,130833,130843,130853,130873,130883,130913,130923,130014,130023,130044,130053,130073,130083,130093,130103,130113,130123,130133,130143,130175,130195,130203,130256,130323,130343,130363,130373,130393,130403,130413,130423,130433,130443,130453,130463,130813,130834,130844,130854,130874,130884,130894,130914;130012,130042,130062,130071,130081,130091,130101,130114,130121,130131,130141,130162,130173,130193,130201,130222,130232,130242,130253,130321,130341,130361,130371,130382,130391,130401,130411,130421,130431,130441,130451,130461,130811,130832,130842,130863,130872,130882,130912,130922</v>
      </c>
      <c r="D7" s="46" t="str">
        <f t="shared" ref="D7:D12" si="1">""&amp;J7&amp;";"&amp;I7&amp;""</f>
        <v>130013,130022,130043,130052,130063,130072,130082,130092,130102,130111,130122,130132,130142,130174,130181,130194,130202,130223,130254,130322,130342,130362,130372,130392,130402,130412,130422,130432,130442,130452,130462,130812,130833,130843,130853,130873,130883,130913,130923,130014,130023,130044,130053,130073,130083,130093,130103,130113,130123,130133,130143,130175,130195,130203,130256,130323,130343,130363,130373,130393,130403,130413,130423,130433,130443,130453,130463,130813,130834,130844,130854,130874,130884,130894,130914;130334,130354</v>
      </c>
      <c r="E7" s="47" t="s">
        <v>305</v>
      </c>
      <c r="F7" s="47" t="s">
        <v>306</v>
      </c>
      <c r="G7" s="47" t="s">
        <v>307</v>
      </c>
      <c r="H7" s="47" t="s">
        <v>308</v>
      </c>
      <c r="I7" s="47" t="s">
        <v>306</v>
      </c>
      <c r="J7" s="47" t="s">
        <v>307</v>
      </c>
    </row>
    <row r="8" spans="1:10" x14ac:dyDescent="0.25">
      <c r="A8" s="46"/>
      <c r="B8" s="46">
        <v>4</v>
      </c>
      <c r="C8" s="46" t="str">
        <f t="shared" si="0"/>
        <v>130334,130354;130013,130022,130043,130052,130063,130072,130082,130092,130102,130111,130122,130132,130142,130174,130181,130194,130202,130223,130254,130322,130342,130362,130372,130392,130402,130412,130422,130432,130442,130452,130462,130812,130833,130843,130853,130873,130883,130913,130923,130014,130023,130044,130053,130073,130083,130093,130103,130113,130123,130133,130143,130175,130195,130203,130256,130323,130343,130363,130373,130393,130403,130413,130423,130433,130443,130453,130463,130813,130834,130844,130854,130874,130884,130894,130914;130012,130042,130062,130071,130081,130091,130101,130114,130121,130131,130141,130162,130173,130193,130201,130222,130232,130242,130253,130321,130341,130361,130371,130382,130391,130401,130411,130421,130431,130441,130451,130461,130811,130832,130842,130863,130872,130882,130912,130922</v>
      </c>
      <c r="D8" s="46" t="str">
        <f t="shared" si="1"/>
        <v>130013,130022,130043,130052,130063,130072,130082,130092,130102,130111,130122,130132,130142,130174,130181,130194,130202,130223,130254,130322,130342,130362,130372,130392,130402,130412,130422,130432,130442,130452,130462,130812,130833,130843,130853,130873,130883,130913,130923,130014,130023,130044,130053,130073,130083,130093,130103,130113,130123,130133,130143,130175,130195,130203,130256,130323,130343,130363,130373,130393,130403,130413,130423,130433,130443,130453,130463,130813,130834,130844,130854,130874,130884,130894,130914;130334,130354</v>
      </c>
      <c r="E8" s="47" t="s">
        <v>305</v>
      </c>
      <c r="F8" s="47" t="s">
        <v>306</v>
      </c>
      <c r="G8" s="47" t="s">
        <v>307</v>
      </c>
      <c r="H8" s="47" t="s">
        <v>308</v>
      </c>
      <c r="I8" s="47" t="s">
        <v>306</v>
      </c>
      <c r="J8" s="47" t="s">
        <v>307</v>
      </c>
    </row>
    <row r="9" spans="1:10" x14ac:dyDescent="0.25">
      <c r="A9" s="46"/>
      <c r="B9" s="46">
        <v>5</v>
      </c>
      <c r="C9" s="46" t="str">
        <f t="shared" si="0"/>
        <v>130334,130354;130014,130023,130044,130053,130073,130083,130093,130103,130113,130123,130133,130143,130175,130195,130203,130256,130323,130343,130363,130373,130393,130403,130413,130423,130433,130443,130453,130463,130813,130834,130844,130854,130874,130884,130894,130914;130012,130042,130062,130071,130081,130091,130101,130114,130121,130131,130141,130162,130173,130193,130201,130222,130232,130242,130253,130321,130341,130361,130371,130382,130391,130401,130411,130421,130431,130441,130451,130461,130811,130832,130842,130863,130872,130882,130912,130922</v>
      </c>
      <c r="D9" s="46" t="str">
        <f t="shared" si="1"/>
        <v>130013,130022,130043,130052,130063,130072,130082,130092,130102,130111,130122,130132,130142,130174,130181,130194,130202,130223,130254,130322,130342,130362,130372,130392,130402,130412,130422,130432,130442,130452,130462,130812,130833,130843,130853,130873,130883,130913,130923,130014,130023,130044,130053,130073,130083,130093,130103,130113,130123,130133,130143,130175,130195,130203,130256,130323,130343,130363,130373,130393,130403,130413,130423,130433,130443,130453,130463,130813,130834,130844,130854,130874,130884,130894,130914;130334,130354</v>
      </c>
      <c r="E9" s="47" t="s">
        <v>305</v>
      </c>
      <c r="F9" s="47" t="s">
        <v>306</v>
      </c>
      <c r="G9" s="47" t="s">
        <v>309</v>
      </c>
      <c r="H9" s="47" t="s">
        <v>308</v>
      </c>
      <c r="I9" s="47" t="s">
        <v>306</v>
      </c>
      <c r="J9" s="47" t="s">
        <v>307</v>
      </c>
    </row>
    <row r="10" spans="1:10" x14ac:dyDescent="0.25">
      <c r="A10" s="46"/>
      <c r="B10" s="46">
        <v>6</v>
      </c>
      <c r="C10" s="46" t="str">
        <f t="shared" si="0"/>
        <v>130334,130354;130014,130023,130044,130053,130073,130083,130093,130103,130113,130123,130133,130143,130175,130195,130203,130256,130323,130343,130363,130373,130393,130403,130413,130423,130433,130443,130453,130463,130813,130834,130844,130854,130874,130884,130894,130914;130012,130042,130062,130071,130081,130091,130101,130114,130121,130131,130141,130162,130173,130193,130201,130222,130232,130242,130253,130321,130341,130361,130371,130382,130391,130401,130411,130421,130431,130441,130451,130461,130811,130832,130842,130863,130872,130882,130912,130922</v>
      </c>
      <c r="D10" s="46" t="str">
        <f t="shared" si="1"/>
        <v>130014,130023,130044,130053,130073,130083,130093,130103,130113,130123,130133,130143,130175,130195,130203,130256,130323,130343,130363,130373,130393,130403,130413,130423,130433,130443,130453,130463,130813,130834,130844,130854,130874,130884,130894,130914;130334,130354</v>
      </c>
      <c r="E10" s="47" t="s">
        <v>305</v>
      </c>
      <c r="F10" s="47" t="s">
        <v>306</v>
      </c>
      <c r="G10" s="47" t="s">
        <v>309</v>
      </c>
      <c r="H10" s="47" t="s">
        <v>308</v>
      </c>
      <c r="I10" s="47" t="s">
        <v>306</v>
      </c>
      <c r="J10" s="47" t="s">
        <v>309</v>
      </c>
    </row>
    <row r="11" spans="1:10" x14ac:dyDescent="0.25">
      <c r="A11" s="46"/>
      <c r="B11" s="46">
        <v>7</v>
      </c>
      <c r="C11" s="46" t="str">
        <f t="shared" si="0"/>
        <v>130334,130354;130363,130373,130393,130403,130413,130423,130433,130443,130453,130463,130813,130834,130844,130854,130874,130884,130894,130914;130012,130042,130062,130071,130081,130091,130101,130114,130121,130131,130141,130162,130173,130193,130201,130222,130232,130242,130253,130321,130341,130361,130371,130382,130391,130401,130411,130421,130431,130441,130451,130461,130811,130832,130842,130863,130872,130882,130912,130922</v>
      </c>
      <c r="D11" s="46" t="str">
        <f t="shared" si="1"/>
        <v>130014,130023,130044,130053,130073,130083,130093,130103,130113,130123,130133,130143,130175,130195,130203,130256,130323,130343,130363,130373,130393,130403,130413,130423,130433,130443,130453,130463,130813,130834,130844,130854,130874,130884,130894,130914;130334,130354</v>
      </c>
      <c r="E11" s="47" t="s">
        <v>305</v>
      </c>
      <c r="F11" s="47" t="s">
        <v>306</v>
      </c>
      <c r="G11" s="47" t="s">
        <v>310</v>
      </c>
      <c r="H11" s="47" t="s">
        <v>308</v>
      </c>
      <c r="I11" s="47" t="s">
        <v>306</v>
      </c>
      <c r="J11" s="47" t="s">
        <v>309</v>
      </c>
    </row>
    <row r="12" spans="1:10" x14ac:dyDescent="0.25">
      <c r="B12" s="46">
        <v>8</v>
      </c>
      <c r="C12" s="46" t="str">
        <f t="shared" si="0"/>
        <v>130334,130354;130363,130373,130393,130403,130413,130423,130433,130443,130453,130463,130813,130834,130844,130854,130874,130884,130894,130914;130012,130042,130062,130071,130081,130091,130101,130114,130121,130131,130141,130162,130173,130193,130201,130222,130232,130242,130253,130321,130341,130361,130371,130382,130391,130401,130411,130421,130431,130441,130451,130461,130811,130832,130842,130863,130872,130882,130912,130922</v>
      </c>
      <c r="D12" s="46" t="str">
        <f t="shared" si="1"/>
        <v>130014,130023,130044,130053,130073,130083,130093,130103,130113,130123,130133,130143,130175,130195,130203,130256,130323,130343,130363,130373,130393,130403,130413,130423,130433,130443,130453,130463,130813,130834,130844,130854,130874,130884,130894,130914;130334,130354</v>
      </c>
      <c r="E12" s="47" t="s">
        <v>305</v>
      </c>
      <c r="F12" s="47" t="s">
        <v>306</v>
      </c>
      <c r="G12" s="47" t="s">
        <v>310</v>
      </c>
      <c r="H12" s="47" t="s">
        <v>308</v>
      </c>
      <c r="I12" s="47" t="s">
        <v>306</v>
      </c>
      <c r="J12" s="47" t="s">
        <v>309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D34" sqref="D34"/>
    </sheetView>
  </sheetViews>
  <sheetFormatPr defaultColWidth="9" defaultRowHeight="13.8" x14ac:dyDescent="0.25"/>
  <cols>
    <col min="2" max="2" width="25.77734375" customWidth="1"/>
    <col min="3" max="3" width="13" customWidth="1"/>
    <col min="4" max="4" width="10.109375" customWidth="1"/>
  </cols>
  <sheetData>
    <row r="1" spans="1:5" x14ac:dyDescent="0.25">
      <c r="A1" s="2" t="s">
        <v>0</v>
      </c>
      <c r="B1" s="5" t="s">
        <v>1</v>
      </c>
      <c r="C1" s="5" t="s">
        <v>311</v>
      </c>
      <c r="D1" s="8" t="s">
        <v>312</v>
      </c>
      <c r="E1" s="8" t="s">
        <v>313</v>
      </c>
    </row>
    <row r="2" spans="1:5" x14ac:dyDescent="0.25">
      <c r="A2" s="2" t="s">
        <v>7</v>
      </c>
      <c r="B2" s="6" t="s">
        <v>8</v>
      </c>
      <c r="C2" s="6" t="s">
        <v>314</v>
      </c>
      <c r="D2" s="6" t="s">
        <v>315</v>
      </c>
      <c r="E2" s="6" t="s">
        <v>316</v>
      </c>
    </row>
    <row r="3" spans="1:5" x14ac:dyDescent="0.25">
      <c r="A3" s="2" t="s">
        <v>12</v>
      </c>
      <c r="B3" s="6" t="s">
        <v>13</v>
      </c>
      <c r="C3" s="6" t="s">
        <v>13</v>
      </c>
      <c r="D3" s="6" t="s">
        <v>13</v>
      </c>
      <c r="E3" s="6" t="s">
        <v>14</v>
      </c>
    </row>
    <row r="4" spans="1:5" x14ac:dyDescent="0.25">
      <c r="A4" s="2" t="s">
        <v>15</v>
      </c>
      <c r="B4" s="6" t="s">
        <v>16</v>
      </c>
      <c r="C4" s="6" t="s">
        <v>16</v>
      </c>
      <c r="D4" s="6" t="s">
        <v>16</v>
      </c>
      <c r="E4" s="6" t="s">
        <v>16</v>
      </c>
    </row>
    <row r="5" spans="1:5" x14ac:dyDescent="0.25">
      <c r="A5" s="2" t="s">
        <v>17</v>
      </c>
      <c r="B5" s="6" t="s">
        <v>317</v>
      </c>
      <c r="C5" s="6">
        <v>1</v>
      </c>
      <c r="D5" s="6">
        <v>0</v>
      </c>
      <c r="E5" s="6">
        <v>0</v>
      </c>
    </row>
    <row r="6" spans="1:5" x14ac:dyDescent="0.25">
      <c r="B6" s="5">
        <v>1</v>
      </c>
      <c r="C6" s="8">
        <v>1</v>
      </c>
      <c r="D6" s="8">
        <v>0</v>
      </c>
      <c r="E6" s="8">
        <v>2</v>
      </c>
    </row>
    <row r="7" spans="1:5" x14ac:dyDescent="0.25">
      <c r="B7" s="8">
        <v>2</v>
      </c>
      <c r="C7" s="8">
        <v>1</v>
      </c>
      <c r="D7" s="8">
        <v>1</v>
      </c>
      <c r="E7" s="8" t="s">
        <v>318</v>
      </c>
    </row>
    <row r="8" spans="1:5" x14ac:dyDescent="0.25">
      <c r="B8" s="5">
        <v>3</v>
      </c>
      <c r="C8" s="8">
        <v>1</v>
      </c>
      <c r="D8" s="8">
        <v>1</v>
      </c>
      <c r="E8" s="8" t="s">
        <v>318</v>
      </c>
    </row>
    <row r="9" spans="1:5" x14ac:dyDescent="0.25">
      <c r="B9" s="8">
        <v>4</v>
      </c>
      <c r="C9" s="8">
        <v>1</v>
      </c>
      <c r="D9" s="8">
        <v>1</v>
      </c>
      <c r="E9" s="8" t="s">
        <v>319</v>
      </c>
    </row>
  </sheetData>
  <phoneticPr fontId="1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>
      <selection activeCell="E24" sqref="E24"/>
    </sheetView>
  </sheetViews>
  <sheetFormatPr defaultColWidth="9" defaultRowHeight="13.8" x14ac:dyDescent="0.25"/>
  <cols>
    <col min="2" max="2" width="16.77734375" customWidth="1"/>
    <col min="3" max="3" width="13" customWidth="1"/>
    <col min="4" max="4" width="45.109375" customWidth="1"/>
    <col min="5" max="5" width="15" customWidth="1"/>
    <col min="6" max="6" width="11" customWidth="1"/>
    <col min="7" max="9" width="17.21875" customWidth="1"/>
    <col min="10" max="10" width="40.33203125" customWidth="1"/>
    <col min="11" max="12" width="14.21875" customWidth="1"/>
  </cols>
  <sheetData>
    <row r="1" spans="1:12" x14ac:dyDescent="0.25">
      <c r="A1" s="2" t="s">
        <v>0</v>
      </c>
      <c r="B1" s="5" t="s">
        <v>1</v>
      </c>
      <c r="C1" s="5" t="s">
        <v>327</v>
      </c>
      <c r="D1" s="5" t="s">
        <v>328</v>
      </c>
      <c r="E1" s="5" t="s">
        <v>329</v>
      </c>
      <c r="F1" s="5" t="s">
        <v>321</v>
      </c>
      <c r="G1" s="5" t="s">
        <v>330</v>
      </c>
      <c r="H1" s="5" t="s">
        <v>330</v>
      </c>
      <c r="I1" s="5" t="s">
        <v>331</v>
      </c>
      <c r="J1" s="36" t="s">
        <v>331</v>
      </c>
      <c r="K1" s="37" t="s">
        <v>332</v>
      </c>
      <c r="L1" s="37" t="s">
        <v>333</v>
      </c>
    </row>
    <row r="2" spans="1:12" x14ac:dyDescent="0.25">
      <c r="A2" s="2" t="s">
        <v>7</v>
      </c>
      <c r="B2" s="6" t="s">
        <v>8</v>
      </c>
      <c r="C2" s="6" t="s">
        <v>314</v>
      </c>
      <c r="D2" s="6" t="s">
        <v>334</v>
      </c>
      <c r="E2" s="6" t="s">
        <v>335</v>
      </c>
      <c r="F2" s="6" t="s">
        <v>323</v>
      </c>
      <c r="G2" s="6" t="s">
        <v>336</v>
      </c>
      <c r="H2" s="6" t="s">
        <v>337</v>
      </c>
      <c r="I2" s="6" t="s">
        <v>324</v>
      </c>
      <c r="J2" s="36"/>
      <c r="K2" s="38" t="s">
        <v>338</v>
      </c>
      <c r="L2" s="38" t="s">
        <v>339</v>
      </c>
    </row>
    <row r="3" spans="1:12" ht="15.6" x14ac:dyDescent="0.3">
      <c r="A3" s="2" t="s">
        <v>12</v>
      </c>
      <c r="B3" s="6" t="s">
        <v>13</v>
      </c>
      <c r="C3" s="6" t="s">
        <v>13</v>
      </c>
      <c r="D3" s="6" t="s">
        <v>14</v>
      </c>
      <c r="E3" s="6" t="s">
        <v>13</v>
      </c>
      <c r="F3" s="6" t="s">
        <v>14</v>
      </c>
      <c r="G3" s="6" t="s">
        <v>13</v>
      </c>
      <c r="H3" s="6" t="s">
        <v>13</v>
      </c>
      <c r="I3" s="6" t="s">
        <v>13</v>
      </c>
      <c r="J3" s="36" t="s">
        <v>14</v>
      </c>
      <c r="K3" s="39" t="s">
        <v>14</v>
      </c>
      <c r="L3" s="39" t="s">
        <v>14</v>
      </c>
    </row>
    <row r="4" spans="1:12" x14ac:dyDescent="0.25">
      <c r="A4" s="2" t="s">
        <v>15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16</v>
      </c>
      <c r="L4" s="6" t="s">
        <v>16</v>
      </c>
    </row>
    <row r="5" spans="1:12" ht="15.6" x14ac:dyDescent="0.3">
      <c r="A5" s="2" t="s">
        <v>17</v>
      </c>
      <c r="B5" s="6" t="s">
        <v>340</v>
      </c>
      <c r="C5" s="6">
        <v>1</v>
      </c>
      <c r="D5" s="6">
        <v>1</v>
      </c>
      <c r="E5" s="6">
        <v>1</v>
      </c>
      <c r="F5" s="6">
        <v>0</v>
      </c>
      <c r="G5" s="6">
        <v>101</v>
      </c>
      <c r="H5" s="6">
        <v>101</v>
      </c>
      <c r="I5" s="6">
        <v>101</v>
      </c>
      <c r="J5" s="36">
        <v>101</v>
      </c>
      <c r="K5" s="38">
        <v>36526</v>
      </c>
      <c r="L5" s="39">
        <v>72686</v>
      </c>
    </row>
    <row r="6" spans="1:12" x14ac:dyDescent="0.25">
      <c r="B6" s="5">
        <v>1</v>
      </c>
      <c r="C6" s="5">
        <v>2</v>
      </c>
      <c r="D6" s="59" t="s">
        <v>341</v>
      </c>
      <c r="E6" s="5">
        <v>5</v>
      </c>
      <c r="F6" s="5">
        <v>120011</v>
      </c>
      <c r="G6" s="5">
        <v>2</v>
      </c>
      <c r="H6" s="5">
        <v>3888</v>
      </c>
      <c r="I6" s="5">
        <v>9300001</v>
      </c>
      <c r="J6" s="36" t="s">
        <v>342</v>
      </c>
      <c r="K6" s="40">
        <v>44302</v>
      </c>
      <c r="L6" s="40">
        <v>44344</v>
      </c>
    </row>
    <row r="7" spans="1:12" x14ac:dyDescent="0.25">
      <c r="B7" s="20">
        <v>2</v>
      </c>
      <c r="C7" s="20">
        <v>2</v>
      </c>
      <c r="D7" s="41" t="s">
        <v>343</v>
      </c>
      <c r="E7" s="5">
        <v>5</v>
      </c>
      <c r="F7" s="5">
        <v>120011</v>
      </c>
      <c r="G7" s="5">
        <v>2</v>
      </c>
      <c r="H7" s="20">
        <v>8888</v>
      </c>
      <c r="I7" s="20">
        <v>9300002</v>
      </c>
      <c r="J7" s="36" t="s">
        <v>344</v>
      </c>
      <c r="K7" s="40">
        <v>44344</v>
      </c>
      <c r="L7" s="40">
        <v>44770</v>
      </c>
    </row>
  </sheetData>
  <phoneticPr fontId="1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tabSelected="1" workbookViewId="0">
      <selection activeCell="C18" sqref="C18"/>
    </sheetView>
  </sheetViews>
  <sheetFormatPr defaultColWidth="9" defaultRowHeight="13.8" x14ac:dyDescent="0.25"/>
  <cols>
    <col min="2" max="2" width="25.77734375" customWidth="1"/>
    <col min="3" max="3" width="39.33203125" customWidth="1"/>
    <col min="4" max="4" width="22.88671875" customWidth="1"/>
    <col min="5" max="5" width="13.109375" customWidth="1"/>
    <col min="6" max="6" width="13.33203125" customWidth="1"/>
  </cols>
  <sheetData>
    <row r="1" spans="1:6" x14ac:dyDescent="0.25">
      <c r="A1" s="2" t="s">
        <v>0</v>
      </c>
      <c r="B1" s="5" t="s">
        <v>320</v>
      </c>
      <c r="C1" s="7" t="s">
        <v>331</v>
      </c>
      <c r="D1" s="5" t="s">
        <v>345</v>
      </c>
      <c r="E1" s="5" t="s">
        <v>346</v>
      </c>
      <c r="F1" s="5" t="s">
        <v>313</v>
      </c>
    </row>
    <row r="2" spans="1:6" x14ac:dyDescent="0.25">
      <c r="A2" s="2" t="s">
        <v>7</v>
      </c>
      <c r="B2" s="6" t="s">
        <v>8</v>
      </c>
      <c r="C2" s="7"/>
      <c r="D2" s="6" t="s">
        <v>315</v>
      </c>
      <c r="E2" s="6" t="s">
        <v>314</v>
      </c>
      <c r="F2" s="6" t="s">
        <v>347</v>
      </c>
    </row>
    <row r="3" spans="1:6" x14ac:dyDescent="0.25">
      <c r="A3" s="2" t="s">
        <v>12</v>
      </c>
      <c r="B3" s="6" t="s">
        <v>13</v>
      </c>
      <c r="C3" s="7" t="s">
        <v>14</v>
      </c>
      <c r="D3" s="6" t="s">
        <v>13</v>
      </c>
      <c r="E3" s="6" t="s">
        <v>13</v>
      </c>
      <c r="F3" s="6" t="s">
        <v>13</v>
      </c>
    </row>
    <row r="4" spans="1:6" x14ac:dyDescent="0.25">
      <c r="A4" s="2" t="s">
        <v>15</v>
      </c>
      <c r="B4" s="6" t="s">
        <v>16</v>
      </c>
      <c r="C4" s="7"/>
      <c r="D4" s="6" t="s">
        <v>16</v>
      </c>
      <c r="E4" s="6" t="s">
        <v>16</v>
      </c>
      <c r="F4" s="6" t="s">
        <v>16</v>
      </c>
    </row>
    <row r="5" spans="1:6" x14ac:dyDescent="0.25">
      <c r="A5" s="2" t="s">
        <v>17</v>
      </c>
      <c r="B5" s="6" t="s">
        <v>348</v>
      </c>
      <c r="C5" s="7">
        <v>0</v>
      </c>
      <c r="D5" s="8">
        <v>0</v>
      </c>
      <c r="E5" s="8">
        <v>0</v>
      </c>
      <c r="F5" s="8">
        <v>0</v>
      </c>
    </row>
    <row r="6" spans="1:6" x14ac:dyDescent="0.25">
      <c r="B6" s="5">
        <v>1</v>
      </c>
      <c r="C6" s="7" t="s">
        <v>349</v>
      </c>
      <c r="D6" s="8">
        <v>2</v>
      </c>
      <c r="E6" s="8">
        <v>1</v>
      </c>
      <c r="F6" s="8">
        <v>2</v>
      </c>
    </row>
    <row r="7" spans="1:6" x14ac:dyDescent="0.25">
      <c r="B7" s="8">
        <v>2</v>
      </c>
      <c r="C7" s="7" t="s">
        <v>349</v>
      </c>
      <c r="D7" s="8">
        <v>2</v>
      </c>
      <c r="E7" s="8">
        <v>1</v>
      </c>
      <c r="F7" s="8">
        <v>2</v>
      </c>
    </row>
    <row r="8" spans="1:6" x14ac:dyDescent="0.25">
      <c r="B8" s="8">
        <v>3</v>
      </c>
      <c r="C8" s="7" t="s">
        <v>349</v>
      </c>
      <c r="D8" s="8">
        <v>2</v>
      </c>
      <c r="E8" s="8">
        <v>1</v>
      </c>
      <c r="F8" s="8">
        <v>2</v>
      </c>
    </row>
    <row r="9" spans="1:6" x14ac:dyDescent="0.25">
      <c r="B9" s="5">
        <v>4</v>
      </c>
      <c r="C9" s="7" t="s">
        <v>349</v>
      </c>
      <c r="D9" s="8">
        <v>2</v>
      </c>
      <c r="E9" s="8">
        <v>1</v>
      </c>
      <c r="F9" s="8">
        <v>2</v>
      </c>
    </row>
    <row r="10" spans="1:6" x14ac:dyDescent="0.25">
      <c r="B10" s="8">
        <v>5</v>
      </c>
      <c r="C10" s="7" t="s">
        <v>349</v>
      </c>
      <c r="D10" s="8">
        <v>2</v>
      </c>
      <c r="E10" s="8">
        <v>1</v>
      </c>
      <c r="F10" s="8">
        <v>2</v>
      </c>
    </row>
  </sheetData>
  <phoneticPr fontId="1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workbookViewId="0">
      <selection activeCell="F32" sqref="F32:L32"/>
    </sheetView>
  </sheetViews>
  <sheetFormatPr defaultColWidth="9" defaultRowHeight="13.8" x14ac:dyDescent="0.25"/>
  <cols>
    <col min="2" max="2" width="25.77734375" customWidth="1"/>
    <col min="3" max="3" width="39.33203125" customWidth="1"/>
    <col min="4" max="4" width="22.88671875" customWidth="1"/>
    <col min="5" max="5" width="23.44140625" customWidth="1"/>
    <col min="6" max="7" width="25.33203125" customWidth="1"/>
    <col min="8" max="9" width="31.6640625" customWidth="1"/>
    <col min="10" max="10" width="29.6640625" customWidth="1"/>
    <col min="11" max="11" width="13.109375" customWidth="1"/>
    <col min="12" max="12" width="13.33203125" customWidth="1"/>
  </cols>
  <sheetData>
    <row r="1" spans="1:12" x14ac:dyDescent="0.25">
      <c r="A1" s="2" t="s">
        <v>0</v>
      </c>
      <c r="B1" s="5" t="s">
        <v>320</v>
      </c>
      <c r="C1" s="7" t="s">
        <v>331</v>
      </c>
      <c r="D1" s="5" t="s">
        <v>350</v>
      </c>
      <c r="E1" s="5" t="s">
        <v>351</v>
      </c>
      <c r="F1" s="5" t="s">
        <v>352</v>
      </c>
      <c r="G1" s="5" t="s">
        <v>353</v>
      </c>
      <c r="H1" s="7" t="s">
        <v>354</v>
      </c>
      <c r="I1" s="5" t="s">
        <v>355</v>
      </c>
      <c r="J1" s="7" t="s">
        <v>356</v>
      </c>
      <c r="K1" s="5" t="s">
        <v>355</v>
      </c>
      <c r="L1" s="5" t="s">
        <v>355</v>
      </c>
    </row>
    <row r="2" spans="1:12" x14ac:dyDescent="0.25">
      <c r="A2" s="2" t="s">
        <v>7</v>
      </c>
      <c r="B2" s="6" t="s">
        <v>8</v>
      </c>
      <c r="C2" s="7"/>
      <c r="D2" s="6" t="s">
        <v>315</v>
      </c>
      <c r="E2" s="6" t="s">
        <v>357</v>
      </c>
      <c r="F2" s="6" t="s">
        <v>358</v>
      </c>
      <c r="G2" s="6" t="s">
        <v>359</v>
      </c>
      <c r="H2" s="7"/>
      <c r="I2" s="6" t="s">
        <v>360</v>
      </c>
      <c r="J2" s="7"/>
      <c r="K2" s="6" t="s">
        <v>361</v>
      </c>
      <c r="L2" s="6" t="s">
        <v>362</v>
      </c>
    </row>
    <row r="3" spans="1:12" x14ac:dyDescent="0.25">
      <c r="A3" s="2" t="s">
        <v>12</v>
      </c>
      <c r="B3" s="6" t="s">
        <v>13</v>
      </c>
      <c r="C3" s="7"/>
      <c r="D3" s="6" t="s">
        <v>13</v>
      </c>
      <c r="E3" s="6" t="s">
        <v>13</v>
      </c>
      <c r="F3" s="6" t="s">
        <v>13</v>
      </c>
      <c r="G3" s="6" t="s">
        <v>13</v>
      </c>
      <c r="H3" s="7" t="s">
        <v>14</v>
      </c>
      <c r="I3" s="6" t="s">
        <v>13</v>
      </c>
      <c r="J3" s="7" t="s">
        <v>14</v>
      </c>
      <c r="K3" s="6" t="s">
        <v>13</v>
      </c>
      <c r="L3" s="6" t="s">
        <v>13</v>
      </c>
    </row>
    <row r="4" spans="1:12" x14ac:dyDescent="0.25">
      <c r="A4" s="2" t="s">
        <v>15</v>
      </c>
      <c r="B4" s="6" t="s">
        <v>16</v>
      </c>
      <c r="C4" s="7"/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16</v>
      </c>
      <c r="L4" s="6" t="s">
        <v>16</v>
      </c>
    </row>
    <row r="5" spans="1:12" x14ac:dyDescent="0.25">
      <c r="A5" s="2" t="s">
        <v>17</v>
      </c>
      <c r="B5" s="6" t="s">
        <v>363</v>
      </c>
      <c r="C5" s="7">
        <v>0</v>
      </c>
      <c r="D5" s="8">
        <v>0</v>
      </c>
      <c r="E5" s="8">
        <v>0</v>
      </c>
      <c r="F5" s="8">
        <v>0</v>
      </c>
      <c r="G5" s="8">
        <v>0</v>
      </c>
      <c r="H5" s="7">
        <v>0</v>
      </c>
      <c r="I5" s="8">
        <v>0</v>
      </c>
      <c r="J5" s="7">
        <v>0</v>
      </c>
      <c r="K5" s="8"/>
      <c r="L5" s="8"/>
    </row>
    <row r="6" spans="1:12" x14ac:dyDescent="0.25">
      <c r="B6" s="5">
        <v>1</v>
      </c>
      <c r="C6" s="7" t="s">
        <v>364</v>
      </c>
      <c r="D6" s="8">
        <v>1</v>
      </c>
      <c r="E6" s="8">
        <v>9500</v>
      </c>
      <c r="F6" s="8">
        <v>7</v>
      </c>
      <c r="G6" s="8">
        <v>340001</v>
      </c>
      <c r="H6" s="7" t="s">
        <v>365</v>
      </c>
      <c r="I6" s="8">
        <v>340002</v>
      </c>
      <c r="J6" s="7" t="s">
        <v>366</v>
      </c>
      <c r="K6" s="8">
        <v>120</v>
      </c>
      <c r="L6" s="8">
        <v>120</v>
      </c>
    </row>
    <row r="7" spans="1:12" x14ac:dyDescent="0.25">
      <c r="B7" s="8">
        <v>2</v>
      </c>
      <c r="C7" s="7" t="s">
        <v>367</v>
      </c>
      <c r="D7" s="8">
        <v>0</v>
      </c>
      <c r="E7" s="8">
        <v>9501</v>
      </c>
      <c r="F7" s="8">
        <v>0</v>
      </c>
      <c r="G7" s="8">
        <v>340011</v>
      </c>
      <c r="H7" s="7" t="s">
        <v>368</v>
      </c>
      <c r="I7" s="8">
        <v>340012</v>
      </c>
      <c r="J7" s="7" t="s">
        <v>368</v>
      </c>
      <c r="K7" s="8">
        <v>100</v>
      </c>
      <c r="L7" s="8">
        <v>100</v>
      </c>
    </row>
    <row r="8" spans="1:12" x14ac:dyDescent="0.25">
      <c r="B8" s="8">
        <v>3</v>
      </c>
      <c r="C8" s="7" t="s">
        <v>369</v>
      </c>
      <c r="D8" s="8">
        <v>0</v>
      </c>
      <c r="E8" s="8">
        <v>9502</v>
      </c>
      <c r="F8" s="8">
        <v>0</v>
      </c>
      <c r="G8" s="8">
        <v>340021</v>
      </c>
      <c r="H8" s="7" t="s">
        <v>370</v>
      </c>
      <c r="I8" s="8">
        <v>340022</v>
      </c>
      <c r="J8" s="7" t="s">
        <v>371</v>
      </c>
      <c r="K8" s="8">
        <v>75</v>
      </c>
      <c r="L8" s="8">
        <v>75</v>
      </c>
    </row>
    <row r="9" spans="1:12" x14ac:dyDescent="0.25">
      <c r="B9" s="5">
        <v>4</v>
      </c>
      <c r="C9" s="7" t="s">
        <v>372</v>
      </c>
      <c r="D9" s="8">
        <v>0</v>
      </c>
      <c r="E9" s="8">
        <v>9503</v>
      </c>
      <c r="F9" s="8">
        <v>0</v>
      </c>
      <c r="G9" s="8">
        <v>340031</v>
      </c>
      <c r="H9" s="7" t="s">
        <v>373</v>
      </c>
      <c r="I9" s="8">
        <v>340032</v>
      </c>
      <c r="J9" s="7" t="s">
        <v>374</v>
      </c>
      <c r="K9" s="8">
        <v>120</v>
      </c>
      <c r="L9" s="8">
        <v>120</v>
      </c>
    </row>
    <row r="10" spans="1:12" x14ac:dyDescent="0.25">
      <c r="B10" s="8">
        <v>5</v>
      </c>
      <c r="C10" s="7" t="s">
        <v>375</v>
      </c>
      <c r="D10" s="8">
        <v>1</v>
      </c>
      <c r="E10" s="8">
        <v>9504</v>
      </c>
      <c r="F10" s="8">
        <v>7</v>
      </c>
      <c r="G10" s="8">
        <v>340041</v>
      </c>
      <c r="H10" s="7" t="s">
        <v>365</v>
      </c>
      <c r="I10" s="8">
        <v>340042</v>
      </c>
      <c r="J10" s="7" t="s">
        <v>375</v>
      </c>
      <c r="K10" s="8">
        <v>120</v>
      </c>
      <c r="L10" s="8">
        <v>120</v>
      </c>
    </row>
  </sheetData>
  <phoneticPr fontId="1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>
      <selection sqref="A1:A5"/>
    </sheetView>
  </sheetViews>
  <sheetFormatPr defaultColWidth="9" defaultRowHeight="13.8" x14ac:dyDescent="0.25"/>
  <cols>
    <col min="2" max="2" width="12.21875" customWidth="1"/>
    <col min="3" max="3" width="13" customWidth="1"/>
    <col min="4" max="4" width="45.109375" customWidth="1"/>
    <col min="5" max="5" width="15" customWidth="1"/>
    <col min="6" max="8" width="15.33203125" customWidth="1"/>
  </cols>
  <sheetData>
    <row r="1" spans="1:9" x14ac:dyDescent="0.25">
      <c r="A1" s="2" t="s">
        <v>0</v>
      </c>
      <c r="B1" s="5" t="s">
        <v>1</v>
      </c>
      <c r="C1" s="5" t="s">
        <v>376</v>
      </c>
      <c r="D1" s="5" t="s">
        <v>377</v>
      </c>
      <c r="E1" s="5" t="s">
        <v>321</v>
      </c>
      <c r="F1" s="37" t="s">
        <v>332</v>
      </c>
      <c r="G1" s="37" t="s">
        <v>333</v>
      </c>
    </row>
    <row r="2" spans="1:9" x14ac:dyDescent="0.25">
      <c r="A2" s="2" t="s">
        <v>7</v>
      </c>
      <c r="B2" s="6" t="s">
        <v>8</v>
      </c>
      <c r="C2" s="6" t="s">
        <v>378</v>
      </c>
      <c r="D2" s="6" t="s">
        <v>379</v>
      </c>
      <c r="E2" s="6" t="s">
        <v>323</v>
      </c>
      <c r="F2" s="38" t="s">
        <v>338</v>
      </c>
      <c r="G2" s="38" t="s">
        <v>339</v>
      </c>
    </row>
    <row r="3" spans="1:9" ht="15.6" x14ac:dyDescent="0.3">
      <c r="A3" s="2" t="s">
        <v>12</v>
      </c>
      <c r="B3" s="6" t="s">
        <v>13</v>
      </c>
      <c r="C3" s="6" t="s">
        <v>14</v>
      </c>
      <c r="D3" s="6" t="s">
        <v>13</v>
      </c>
      <c r="E3" s="6" t="s">
        <v>14</v>
      </c>
      <c r="F3" s="39" t="s">
        <v>14</v>
      </c>
      <c r="G3" s="39" t="s">
        <v>14</v>
      </c>
    </row>
    <row r="4" spans="1:9" x14ac:dyDescent="0.25">
      <c r="A4" s="2" t="s">
        <v>15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16</v>
      </c>
      <c r="G4" s="6" t="s">
        <v>16</v>
      </c>
    </row>
    <row r="5" spans="1:9" ht="15.6" x14ac:dyDescent="0.3">
      <c r="A5" s="2" t="s">
        <v>17</v>
      </c>
      <c r="B5" s="6" t="s">
        <v>380</v>
      </c>
      <c r="C5" s="6">
        <v>101</v>
      </c>
      <c r="D5" s="6">
        <v>1</v>
      </c>
      <c r="E5" s="6">
        <v>0</v>
      </c>
      <c r="F5" s="38">
        <v>36526</v>
      </c>
      <c r="G5" s="39">
        <v>72686</v>
      </c>
    </row>
    <row r="6" spans="1:9" x14ac:dyDescent="0.25">
      <c r="B6" s="5">
        <v>1</v>
      </c>
      <c r="C6" s="8">
        <v>100172</v>
      </c>
      <c r="D6" s="5">
        <v>3</v>
      </c>
      <c r="E6" s="5">
        <v>120011</v>
      </c>
      <c r="F6" s="40">
        <v>80942</v>
      </c>
      <c r="G6" s="40">
        <v>80973</v>
      </c>
      <c r="I6" t="s">
        <v>381</v>
      </c>
    </row>
    <row r="7" spans="1:9" x14ac:dyDescent="0.25">
      <c r="B7" s="8">
        <v>2</v>
      </c>
      <c r="C7" s="8">
        <v>100153</v>
      </c>
      <c r="D7" s="8">
        <v>3</v>
      </c>
      <c r="E7" s="8">
        <v>120011</v>
      </c>
      <c r="F7" s="40">
        <v>80973</v>
      </c>
      <c r="G7" s="40">
        <v>81003</v>
      </c>
      <c r="I7" t="s">
        <v>382</v>
      </c>
    </row>
    <row r="8" spans="1:9" x14ac:dyDescent="0.25">
      <c r="B8" s="8">
        <v>3</v>
      </c>
      <c r="C8" s="8">
        <v>100033</v>
      </c>
      <c r="D8" s="8">
        <v>3</v>
      </c>
      <c r="E8" s="8">
        <v>120011</v>
      </c>
      <c r="F8" s="40">
        <v>81003</v>
      </c>
      <c r="G8" s="40">
        <v>81034</v>
      </c>
      <c r="I8" t="s">
        <v>383</v>
      </c>
    </row>
  </sheetData>
  <phoneticPr fontId="11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5"/>
  <sheetViews>
    <sheetView workbookViewId="0">
      <selection activeCell="D18" sqref="D18"/>
    </sheetView>
  </sheetViews>
  <sheetFormatPr defaultColWidth="9" defaultRowHeight="13.8" x14ac:dyDescent="0.25"/>
  <cols>
    <col min="2" max="2" width="15.109375" customWidth="1"/>
    <col min="3" max="3" width="13" customWidth="1"/>
    <col min="4" max="4" width="45.109375" customWidth="1"/>
    <col min="5" max="5" width="15.33203125" customWidth="1"/>
  </cols>
  <sheetData>
    <row r="1" spans="1:9" x14ac:dyDescent="0.25">
      <c r="A1" s="2" t="s">
        <v>0</v>
      </c>
      <c r="B1" s="5" t="s">
        <v>384</v>
      </c>
      <c r="C1" s="5" t="s">
        <v>385</v>
      </c>
      <c r="D1" s="5" t="s">
        <v>386</v>
      </c>
      <c r="E1" s="22"/>
      <c r="F1" s="22"/>
      <c r="G1" s="22"/>
    </row>
    <row r="2" spans="1:9" x14ac:dyDescent="0.25">
      <c r="A2" s="2" t="s">
        <v>7</v>
      </c>
      <c r="B2" s="6" t="s">
        <v>8</v>
      </c>
      <c r="C2" s="6" t="s">
        <v>387</v>
      </c>
      <c r="D2" s="6" t="s">
        <v>388</v>
      </c>
      <c r="E2" s="36"/>
      <c r="F2" s="36"/>
      <c r="G2" s="36"/>
    </row>
    <row r="3" spans="1:9" x14ac:dyDescent="0.25">
      <c r="A3" s="2" t="s">
        <v>12</v>
      </c>
      <c r="B3" s="6" t="s">
        <v>13</v>
      </c>
      <c r="C3" s="6" t="s">
        <v>13</v>
      </c>
      <c r="D3" s="6" t="s">
        <v>13</v>
      </c>
      <c r="E3" s="36"/>
      <c r="F3" s="36"/>
      <c r="G3" s="36"/>
    </row>
    <row r="4" spans="1:9" x14ac:dyDescent="0.25">
      <c r="A4" s="2" t="s">
        <v>15</v>
      </c>
      <c r="B4" s="6" t="s">
        <v>16</v>
      </c>
      <c r="C4" s="6" t="s">
        <v>16</v>
      </c>
      <c r="D4" s="6" t="s">
        <v>16</v>
      </c>
      <c r="E4" s="36"/>
      <c r="F4" s="36"/>
      <c r="G4" s="36"/>
    </row>
    <row r="5" spans="1:9" x14ac:dyDescent="0.25">
      <c r="A5" s="2" t="s">
        <v>17</v>
      </c>
      <c r="B5" s="6" t="s">
        <v>380</v>
      </c>
      <c r="C5" s="6">
        <v>1</v>
      </c>
      <c r="D5" s="6">
        <v>1</v>
      </c>
      <c r="E5" s="36" t="s">
        <v>384</v>
      </c>
      <c r="F5" s="36">
        <v>688</v>
      </c>
      <c r="G5" s="36">
        <v>688</v>
      </c>
    </row>
    <row r="6" spans="1:9" x14ac:dyDescent="0.25">
      <c r="B6" s="5">
        <v>1</v>
      </c>
      <c r="C6" s="8">
        <v>10</v>
      </c>
      <c r="D6">
        <v>150</v>
      </c>
      <c r="E6" s="36">
        <f>IF(MOD(B6,5)=0,1,0)</f>
        <v>0</v>
      </c>
      <c r="F6" s="36">
        <f>MAX(F5-C6,0)</f>
        <v>678</v>
      </c>
      <c r="G6" s="36">
        <f t="shared" ref="G6:G69" si="0">MAX(G5-I6,0)</f>
        <v>688</v>
      </c>
      <c r="I6" s="5"/>
    </row>
    <row r="7" spans="1:9" x14ac:dyDescent="0.25">
      <c r="B7" s="8">
        <v>2</v>
      </c>
      <c r="C7" s="8">
        <v>10</v>
      </c>
      <c r="D7">
        <v>150</v>
      </c>
      <c r="E7" s="36">
        <f t="shared" ref="E7:E70" si="1">IF(MOD(B7,5)=0,1,0)</f>
        <v>0</v>
      </c>
      <c r="F7" s="36">
        <f t="shared" ref="F7:F70" si="2">MAX(F6-C7,0)</f>
        <v>668</v>
      </c>
      <c r="G7" s="36">
        <f t="shared" si="0"/>
        <v>688</v>
      </c>
      <c r="I7" s="5"/>
    </row>
    <row r="8" spans="1:9" x14ac:dyDescent="0.25">
      <c r="B8" s="8">
        <v>3</v>
      </c>
      <c r="C8" s="8">
        <v>10</v>
      </c>
      <c r="D8">
        <v>150</v>
      </c>
      <c r="E8" s="36">
        <f t="shared" si="1"/>
        <v>0</v>
      </c>
      <c r="F8" s="36">
        <f t="shared" si="2"/>
        <v>658</v>
      </c>
      <c r="G8" s="36">
        <f t="shared" si="0"/>
        <v>688</v>
      </c>
      <c r="I8" s="5"/>
    </row>
    <row r="9" spans="1:9" x14ac:dyDescent="0.25">
      <c r="B9" s="5">
        <v>4</v>
      </c>
      <c r="C9" s="8">
        <v>10</v>
      </c>
      <c r="D9">
        <v>150</v>
      </c>
      <c r="E9" s="36">
        <f t="shared" si="1"/>
        <v>0</v>
      </c>
      <c r="F9" s="36">
        <f t="shared" si="2"/>
        <v>648</v>
      </c>
      <c r="G9" s="36">
        <f t="shared" si="0"/>
        <v>688</v>
      </c>
      <c r="I9" s="5"/>
    </row>
    <row r="10" spans="1:9" x14ac:dyDescent="0.25">
      <c r="B10" s="8">
        <v>5</v>
      </c>
      <c r="C10" s="8">
        <v>10</v>
      </c>
      <c r="D10">
        <v>300</v>
      </c>
      <c r="E10" s="36">
        <f t="shared" si="1"/>
        <v>1</v>
      </c>
      <c r="F10" s="36">
        <f t="shared" si="2"/>
        <v>638</v>
      </c>
      <c r="G10" s="36">
        <f t="shared" si="0"/>
        <v>688</v>
      </c>
      <c r="I10" s="5"/>
    </row>
    <row r="11" spans="1:9" x14ac:dyDescent="0.25">
      <c r="B11" s="8">
        <v>6</v>
      </c>
      <c r="C11" s="8">
        <v>10</v>
      </c>
      <c r="D11">
        <v>120</v>
      </c>
      <c r="E11" s="36">
        <f t="shared" si="1"/>
        <v>0</v>
      </c>
      <c r="F11" s="36">
        <f t="shared" si="2"/>
        <v>628</v>
      </c>
      <c r="G11" s="36">
        <f t="shared" si="0"/>
        <v>688</v>
      </c>
      <c r="I11" s="5"/>
    </row>
    <row r="12" spans="1:9" x14ac:dyDescent="0.25">
      <c r="B12" s="5">
        <v>7</v>
      </c>
      <c r="C12" s="8">
        <v>10</v>
      </c>
      <c r="D12">
        <v>120</v>
      </c>
      <c r="E12" s="36">
        <f t="shared" si="1"/>
        <v>0</v>
      </c>
      <c r="F12" s="36">
        <f t="shared" si="2"/>
        <v>618</v>
      </c>
      <c r="G12" s="36">
        <f t="shared" si="0"/>
        <v>688</v>
      </c>
      <c r="I12" s="5"/>
    </row>
    <row r="13" spans="1:9" x14ac:dyDescent="0.25">
      <c r="B13" s="8">
        <v>8</v>
      </c>
      <c r="C13" s="8">
        <v>10</v>
      </c>
      <c r="D13">
        <v>120</v>
      </c>
      <c r="E13" s="36">
        <f t="shared" si="1"/>
        <v>0</v>
      </c>
      <c r="F13" s="36">
        <f t="shared" si="2"/>
        <v>608</v>
      </c>
      <c r="G13" s="36">
        <f t="shared" si="0"/>
        <v>688</v>
      </c>
      <c r="I13" s="5"/>
    </row>
    <row r="14" spans="1:9" x14ac:dyDescent="0.25">
      <c r="B14" s="8">
        <v>9</v>
      </c>
      <c r="C14" s="8">
        <v>10</v>
      </c>
      <c r="D14">
        <v>120</v>
      </c>
      <c r="E14" s="36">
        <f t="shared" si="1"/>
        <v>0</v>
      </c>
      <c r="F14" s="36">
        <f t="shared" si="2"/>
        <v>598</v>
      </c>
      <c r="G14" s="36">
        <f t="shared" si="0"/>
        <v>688</v>
      </c>
      <c r="I14" s="5"/>
    </row>
    <row r="15" spans="1:9" x14ac:dyDescent="0.25">
      <c r="B15" s="5">
        <v>10</v>
      </c>
      <c r="C15" s="8">
        <v>10</v>
      </c>
      <c r="D15">
        <v>240</v>
      </c>
      <c r="E15" s="36">
        <f t="shared" si="1"/>
        <v>1</v>
      </c>
      <c r="F15" s="36">
        <f t="shared" si="2"/>
        <v>588</v>
      </c>
      <c r="G15" s="36">
        <f t="shared" si="0"/>
        <v>688</v>
      </c>
      <c r="I15" s="5"/>
    </row>
    <row r="16" spans="1:9" x14ac:dyDescent="0.25">
      <c r="B16" s="8">
        <v>11</v>
      </c>
      <c r="C16" s="8">
        <v>10</v>
      </c>
      <c r="D16">
        <v>50</v>
      </c>
      <c r="E16" s="36">
        <f t="shared" si="1"/>
        <v>0</v>
      </c>
      <c r="F16" s="36">
        <f t="shared" si="2"/>
        <v>578</v>
      </c>
      <c r="G16" s="36">
        <f t="shared" si="0"/>
        <v>688</v>
      </c>
      <c r="I16" s="5"/>
    </row>
    <row r="17" spans="2:9" x14ac:dyDescent="0.25">
      <c r="B17" s="8">
        <v>12</v>
      </c>
      <c r="C17" s="8">
        <v>10</v>
      </c>
      <c r="D17">
        <v>50</v>
      </c>
      <c r="E17" s="36">
        <f t="shared" si="1"/>
        <v>0</v>
      </c>
      <c r="F17" s="36">
        <f t="shared" si="2"/>
        <v>568</v>
      </c>
      <c r="G17" s="36">
        <f t="shared" si="0"/>
        <v>688</v>
      </c>
      <c r="I17" s="5"/>
    </row>
    <row r="18" spans="2:9" x14ac:dyDescent="0.25">
      <c r="B18" s="5">
        <v>13</v>
      </c>
      <c r="C18" s="8">
        <v>10</v>
      </c>
      <c r="D18">
        <v>50</v>
      </c>
      <c r="E18" s="36">
        <f t="shared" si="1"/>
        <v>0</v>
      </c>
      <c r="F18" s="36">
        <f t="shared" si="2"/>
        <v>558</v>
      </c>
      <c r="G18" s="36">
        <f t="shared" si="0"/>
        <v>688</v>
      </c>
      <c r="I18" s="5"/>
    </row>
    <row r="19" spans="2:9" x14ac:dyDescent="0.25">
      <c r="B19" s="8">
        <v>14</v>
      </c>
      <c r="C19" s="8">
        <v>10</v>
      </c>
      <c r="D19">
        <v>50</v>
      </c>
      <c r="E19" s="36">
        <f t="shared" si="1"/>
        <v>0</v>
      </c>
      <c r="F19" s="36">
        <f t="shared" si="2"/>
        <v>548</v>
      </c>
      <c r="G19" s="36">
        <f t="shared" si="0"/>
        <v>688</v>
      </c>
      <c r="I19" s="5"/>
    </row>
    <row r="20" spans="2:9" x14ac:dyDescent="0.25">
      <c r="B20" s="8">
        <v>15</v>
      </c>
      <c r="C20" s="8">
        <v>10</v>
      </c>
      <c r="D20">
        <v>100</v>
      </c>
      <c r="E20" s="36">
        <f t="shared" si="1"/>
        <v>1</v>
      </c>
      <c r="F20" s="36">
        <f t="shared" si="2"/>
        <v>538</v>
      </c>
      <c r="G20" s="36">
        <f t="shared" si="0"/>
        <v>688</v>
      </c>
      <c r="I20" s="5"/>
    </row>
    <row r="21" spans="2:9" x14ac:dyDescent="0.25">
      <c r="B21" s="5">
        <v>16</v>
      </c>
      <c r="C21" s="8">
        <v>10</v>
      </c>
      <c r="D21">
        <v>20</v>
      </c>
      <c r="E21" s="36">
        <f t="shared" si="1"/>
        <v>0</v>
      </c>
      <c r="F21" s="36">
        <f t="shared" si="2"/>
        <v>528</v>
      </c>
      <c r="G21" s="36">
        <f t="shared" si="0"/>
        <v>688</v>
      </c>
      <c r="I21" s="5"/>
    </row>
    <row r="22" spans="2:9" x14ac:dyDescent="0.25">
      <c r="B22" s="8">
        <v>17</v>
      </c>
      <c r="C22" s="8">
        <v>10</v>
      </c>
      <c r="D22">
        <v>20</v>
      </c>
      <c r="E22" s="36">
        <f t="shared" si="1"/>
        <v>0</v>
      </c>
      <c r="F22" s="36">
        <f t="shared" si="2"/>
        <v>518</v>
      </c>
      <c r="G22" s="36">
        <f t="shared" si="0"/>
        <v>688</v>
      </c>
      <c r="I22" s="5"/>
    </row>
    <row r="23" spans="2:9" x14ac:dyDescent="0.25">
      <c r="B23" s="8">
        <v>18</v>
      </c>
      <c r="C23" s="8">
        <v>10</v>
      </c>
      <c r="D23">
        <v>20</v>
      </c>
      <c r="E23" s="36">
        <f t="shared" si="1"/>
        <v>0</v>
      </c>
      <c r="F23" s="36">
        <f t="shared" si="2"/>
        <v>508</v>
      </c>
      <c r="G23" s="36">
        <f t="shared" si="0"/>
        <v>688</v>
      </c>
      <c r="I23" s="5"/>
    </row>
    <row r="24" spans="2:9" x14ac:dyDescent="0.25">
      <c r="B24" s="5">
        <v>19</v>
      </c>
      <c r="C24" s="8">
        <v>10</v>
      </c>
      <c r="D24">
        <v>20</v>
      </c>
      <c r="E24" s="36">
        <f t="shared" si="1"/>
        <v>0</v>
      </c>
      <c r="F24" s="36">
        <f t="shared" si="2"/>
        <v>498</v>
      </c>
      <c r="G24" s="36">
        <f t="shared" si="0"/>
        <v>688</v>
      </c>
      <c r="I24" s="5"/>
    </row>
    <row r="25" spans="2:9" x14ac:dyDescent="0.25">
      <c r="B25" s="8">
        <v>20</v>
      </c>
      <c r="C25" s="8">
        <v>10</v>
      </c>
      <c r="D25">
        <v>40</v>
      </c>
      <c r="E25" s="36">
        <f t="shared" si="1"/>
        <v>1</v>
      </c>
      <c r="F25" s="36">
        <f t="shared" si="2"/>
        <v>488</v>
      </c>
      <c r="G25" s="36">
        <f t="shared" si="0"/>
        <v>688</v>
      </c>
      <c r="I25" s="5"/>
    </row>
    <row r="26" spans="2:9" x14ac:dyDescent="0.25">
      <c r="B26" s="8">
        <v>21</v>
      </c>
      <c r="C26" s="8">
        <v>10</v>
      </c>
      <c r="D26">
        <v>10</v>
      </c>
      <c r="E26" s="36">
        <f t="shared" si="1"/>
        <v>0</v>
      </c>
      <c r="F26" s="36">
        <f t="shared" si="2"/>
        <v>478</v>
      </c>
      <c r="G26" s="36">
        <f t="shared" si="0"/>
        <v>688</v>
      </c>
      <c r="I26" s="5"/>
    </row>
    <row r="27" spans="2:9" x14ac:dyDescent="0.25">
      <c r="B27" s="5">
        <v>22</v>
      </c>
      <c r="C27" s="8">
        <v>10</v>
      </c>
      <c r="D27">
        <v>10</v>
      </c>
      <c r="E27" s="36">
        <f t="shared" si="1"/>
        <v>0</v>
      </c>
      <c r="F27" s="36">
        <f t="shared" si="2"/>
        <v>468</v>
      </c>
      <c r="G27" s="36">
        <f t="shared" si="0"/>
        <v>688</v>
      </c>
      <c r="I27" s="5"/>
    </row>
    <row r="28" spans="2:9" x14ac:dyDescent="0.25">
      <c r="B28" s="8">
        <v>23</v>
      </c>
      <c r="C28" s="8">
        <v>10</v>
      </c>
      <c r="D28">
        <v>10</v>
      </c>
      <c r="E28" s="36">
        <f t="shared" si="1"/>
        <v>0</v>
      </c>
      <c r="F28" s="36">
        <f t="shared" si="2"/>
        <v>458</v>
      </c>
      <c r="G28" s="36">
        <f t="shared" si="0"/>
        <v>688</v>
      </c>
      <c r="I28" s="5"/>
    </row>
    <row r="29" spans="2:9" x14ac:dyDescent="0.25">
      <c r="B29" s="8">
        <v>24</v>
      </c>
      <c r="C29" s="8">
        <v>10</v>
      </c>
      <c r="D29">
        <v>10</v>
      </c>
      <c r="E29" s="36">
        <f t="shared" si="1"/>
        <v>0</v>
      </c>
      <c r="F29" s="36">
        <f t="shared" si="2"/>
        <v>448</v>
      </c>
      <c r="G29" s="36">
        <f t="shared" si="0"/>
        <v>688</v>
      </c>
      <c r="I29" s="5"/>
    </row>
    <row r="30" spans="2:9" x14ac:dyDescent="0.25">
      <c r="B30" s="5">
        <v>25</v>
      </c>
      <c r="C30" s="8">
        <v>10</v>
      </c>
      <c r="D30">
        <v>20</v>
      </c>
      <c r="E30" s="36">
        <f t="shared" si="1"/>
        <v>1</v>
      </c>
      <c r="F30" s="36">
        <f t="shared" si="2"/>
        <v>438</v>
      </c>
      <c r="G30" s="36">
        <f t="shared" si="0"/>
        <v>688</v>
      </c>
      <c r="I30" s="5"/>
    </row>
    <row r="31" spans="2:9" x14ac:dyDescent="0.25">
      <c r="B31" s="8">
        <v>26</v>
      </c>
      <c r="C31" s="8">
        <v>10</v>
      </c>
      <c r="D31">
        <v>5</v>
      </c>
      <c r="E31" s="36">
        <f t="shared" si="1"/>
        <v>0</v>
      </c>
      <c r="F31" s="36">
        <f t="shared" si="2"/>
        <v>428</v>
      </c>
      <c r="G31" s="36">
        <f t="shared" si="0"/>
        <v>688</v>
      </c>
      <c r="I31" s="5"/>
    </row>
    <row r="32" spans="2:9" x14ac:dyDescent="0.25">
      <c r="B32" s="8">
        <v>27</v>
      </c>
      <c r="C32" s="8">
        <v>10</v>
      </c>
      <c r="D32">
        <v>5</v>
      </c>
      <c r="E32" s="36">
        <f t="shared" si="1"/>
        <v>0</v>
      </c>
      <c r="F32" s="36">
        <f t="shared" si="2"/>
        <v>418</v>
      </c>
      <c r="G32" s="36">
        <f t="shared" si="0"/>
        <v>688</v>
      </c>
      <c r="I32" s="5"/>
    </row>
    <row r="33" spans="2:9" x14ac:dyDescent="0.25">
      <c r="B33" s="5">
        <v>28</v>
      </c>
      <c r="C33" s="8">
        <v>10</v>
      </c>
      <c r="D33">
        <v>5</v>
      </c>
      <c r="E33" s="36">
        <f t="shared" si="1"/>
        <v>0</v>
      </c>
      <c r="F33" s="36">
        <f t="shared" si="2"/>
        <v>408</v>
      </c>
      <c r="G33" s="36">
        <f t="shared" si="0"/>
        <v>688</v>
      </c>
      <c r="I33" s="5"/>
    </row>
    <row r="34" spans="2:9" x14ac:dyDescent="0.25">
      <c r="B34" s="8">
        <v>29</v>
      </c>
      <c r="C34" s="8">
        <v>10</v>
      </c>
      <c r="D34">
        <v>5</v>
      </c>
      <c r="E34" s="36">
        <f t="shared" si="1"/>
        <v>0</v>
      </c>
      <c r="F34" s="36">
        <f t="shared" si="2"/>
        <v>398</v>
      </c>
      <c r="G34" s="36">
        <f t="shared" si="0"/>
        <v>688</v>
      </c>
      <c r="I34" s="5"/>
    </row>
    <row r="35" spans="2:9" x14ac:dyDescent="0.25">
      <c r="B35" s="8">
        <v>30</v>
      </c>
      <c r="C35" s="8">
        <v>10</v>
      </c>
      <c r="D35">
        <v>10</v>
      </c>
      <c r="E35" s="36">
        <f t="shared" si="1"/>
        <v>1</v>
      </c>
      <c r="F35" s="36">
        <f t="shared" si="2"/>
        <v>388</v>
      </c>
      <c r="G35" s="36">
        <f t="shared" si="0"/>
        <v>688</v>
      </c>
      <c r="I35" s="5"/>
    </row>
    <row r="36" spans="2:9" x14ac:dyDescent="0.25">
      <c r="B36" s="5">
        <v>31</v>
      </c>
      <c r="C36" s="8">
        <v>10</v>
      </c>
      <c r="D36">
        <v>5</v>
      </c>
      <c r="E36" s="36">
        <f t="shared" si="1"/>
        <v>0</v>
      </c>
      <c r="F36" s="36">
        <f t="shared" si="2"/>
        <v>378</v>
      </c>
      <c r="G36" s="36">
        <f t="shared" si="0"/>
        <v>688</v>
      </c>
      <c r="I36" s="5"/>
    </row>
    <row r="37" spans="2:9" x14ac:dyDescent="0.25">
      <c r="B37" s="8">
        <v>32</v>
      </c>
      <c r="C37" s="8">
        <v>10</v>
      </c>
      <c r="D37">
        <v>5</v>
      </c>
      <c r="E37" s="36">
        <f t="shared" si="1"/>
        <v>0</v>
      </c>
      <c r="F37" s="36">
        <f t="shared" si="2"/>
        <v>368</v>
      </c>
      <c r="G37" s="36">
        <f t="shared" si="0"/>
        <v>688</v>
      </c>
      <c r="I37" s="5"/>
    </row>
    <row r="38" spans="2:9" x14ac:dyDescent="0.25">
      <c r="B38" s="8">
        <v>33</v>
      </c>
      <c r="C38" s="8">
        <v>10</v>
      </c>
      <c r="D38">
        <v>5</v>
      </c>
      <c r="E38" s="36">
        <f t="shared" si="1"/>
        <v>0</v>
      </c>
      <c r="F38" s="36">
        <f t="shared" si="2"/>
        <v>358</v>
      </c>
      <c r="G38" s="36">
        <f t="shared" si="0"/>
        <v>688</v>
      </c>
      <c r="I38" s="5"/>
    </row>
    <row r="39" spans="2:9" x14ac:dyDescent="0.25">
      <c r="B39" s="5">
        <v>34</v>
      </c>
      <c r="C39" s="8">
        <v>10</v>
      </c>
      <c r="D39">
        <v>5</v>
      </c>
      <c r="E39" s="36">
        <f t="shared" si="1"/>
        <v>0</v>
      </c>
      <c r="F39" s="36">
        <f t="shared" si="2"/>
        <v>348</v>
      </c>
      <c r="G39" s="36">
        <f t="shared" si="0"/>
        <v>688</v>
      </c>
      <c r="I39" s="5"/>
    </row>
    <row r="40" spans="2:9" x14ac:dyDescent="0.25">
      <c r="B40" s="8">
        <v>35</v>
      </c>
      <c r="C40" s="8">
        <v>10</v>
      </c>
      <c r="D40">
        <v>10</v>
      </c>
      <c r="E40" s="36">
        <f t="shared" si="1"/>
        <v>1</v>
      </c>
      <c r="F40" s="36">
        <f t="shared" si="2"/>
        <v>338</v>
      </c>
      <c r="G40" s="36">
        <f t="shared" si="0"/>
        <v>688</v>
      </c>
      <c r="I40" s="5"/>
    </row>
    <row r="41" spans="2:9" x14ac:dyDescent="0.25">
      <c r="B41" s="8">
        <v>36</v>
      </c>
      <c r="C41" s="8">
        <v>10</v>
      </c>
      <c r="D41">
        <v>5</v>
      </c>
      <c r="E41" s="36">
        <f t="shared" si="1"/>
        <v>0</v>
      </c>
      <c r="F41" s="36">
        <f t="shared" si="2"/>
        <v>328</v>
      </c>
      <c r="G41" s="36">
        <f t="shared" si="0"/>
        <v>688</v>
      </c>
      <c r="I41" s="5"/>
    </row>
    <row r="42" spans="2:9" x14ac:dyDescent="0.25">
      <c r="B42" s="5">
        <v>37</v>
      </c>
      <c r="C42" s="8">
        <v>10</v>
      </c>
      <c r="D42">
        <v>5</v>
      </c>
      <c r="E42" s="36">
        <f t="shared" si="1"/>
        <v>0</v>
      </c>
      <c r="F42" s="36">
        <f t="shared" si="2"/>
        <v>318</v>
      </c>
      <c r="G42" s="36">
        <f t="shared" si="0"/>
        <v>688</v>
      </c>
      <c r="I42" s="5"/>
    </row>
    <row r="43" spans="2:9" x14ac:dyDescent="0.25">
      <c r="B43" s="8">
        <v>38</v>
      </c>
      <c r="C43" s="8">
        <v>10</v>
      </c>
      <c r="D43">
        <v>5</v>
      </c>
      <c r="E43" s="36">
        <f t="shared" si="1"/>
        <v>0</v>
      </c>
      <c r="F43" s="36">
        <f t="shared" si="2"/>
        <v>308</v>
      </c>
      <c r="G43" s="36">
        <f t="shared" si="0"/>
        <v>688</v>
      </c>
      <c r="I43" s="5"/>
    </row>
    <row r="44" spans="2:9" x14ac:dyDescent="0.25">
      <c r="B44" s="8">
        <v>39</v>
      </c>
      <c r="C44" s="8">
        <v>10</v>
      </c>
      <c r="D44">
        <v>5</v>
      </c>
      <c r="E44" s="36">
        <f t="shared" si="1"/>
        <v>0</v>
      </c>
      <c r="F44" s="36">
        <f t="shared" si="2"/>
        <v>298</v>
      </c>
      <c r="G44" s="36">
        <f t="shared" si="0"/>
        <v>688</v>
      </c>
      <c r="I44" s="5"/>
    </row>
    <row r="45" spans="2:9" x14ac:dyDescent="0.25">
      <c r="B45" s="5">
        <v>40</v>
      </c>
      <c r="C45" s="8">
        <v>10</v>
      </c>
      <c r="D45">
        <v>10</v>
      </c>
      <c r="E45" s="36">
        <f t="shared" si="1"/>
        <v>1</v>
      </c>
      <c r="F45" s="36">
        <f t="shared" si="2"/>
        <v>288</v>
      </c>
      <c r="G45" s="36">
        <f t="shared" si="0"/>
        <v>688</v>
      </c>
      <c r="I45" s="5"/>
    </row>
    <row r="46" spans="2:9" x14ac:dyDescent="0.25">
      <c r="B46" s="8">
        <v>41</v>
      </c>
      <c r="C46" s="8">
        <v>10</v>
      </c>
      <c r="D46">
        <v>5</v>
      </c>
      <c r="E46" s="36">
        <f t="shared" si="1"/>
        <v>0</v>
      </c>
      <c r="F46" s="36">
        <f t="shared" si="2"/>
        <v>278</v>
      </c>
      <c r="G46" s="36">
        <f t="shared" si="0"/>
        <v>688</v>
      </c>
      <c r="I46" s="5"/>
    </row>
    <row r="47" spans="2:9" x14ac:dyDescent="0.25">
      <c r="B47" s="8">
        <v>42</v>
      </c>
      <c r="C47" s="8">
        <v>10</v>
      </c>
      <c r="D47">
        <v>5</v>
      </c>
      <c r="E47" s="36">
        <f t="shared" si="1"/>
        <v>0</v>
      </c>
      <c r="F47" s="36">
        <f t="shared" si="2"/>
        <v>268</v>
      </c>
      <c r="G47" s="36">
        <f t="shared" si="0"/>
        <v>688</v>
      </c>
      <c r="I47" s="5"/>
    </row>
    <row r="48" spans="2:9" x14ac:dyDescent="0.25">
      <c r="B48" s="5">
        <v>43</v>
      </c>
      <c r="C48" s="8">
        <v>10</v>
      </c>
      <c r="D48">
        <v>5</v>
      </c>
      <c r="E48" s="36">
        <f t="shared" si="1"/>
        <v>0</v>
      </c>
      <c r="F48" s="36">
        <f t="shared" si="2"/>
        <v>258</v>
      </c>
      <c r="G48" s="36">
        <f t="shared" si="0"/>
        <v>688</v>
      </c>
      <c r="I48" s="5"/>
    </row>
    <row r="49" spans="2:9" x14ac:dyDescent="0.25">
      <c r="B49" s="8">
        <v>44</v>
      </c>
      <c r="C49" s="8">
        <v>10</v>
      </c>
      <c r="D49">
        <v>5</v>
      </c>
      <c r="E49" s="36">
        <f t="shared" si="1"/>
        <v>0</v>
      </c>
      <c r="F49" s="36">
        <f t="shared" si="2"/>
        <v>248</v>
      </c>
      <c r="G49" s="36">
        <f t="shared" si="0"/>
        <v>688</v>
      </c>
      <c r="I49" s="5"/>
    </row>
    <row r="50" spans="2:9" x14ac:dyDescent="0.25">
      <c r="B50" s="8">
        <v>45</v>
      </c>
      <c r="C50" s="8">
        <v>10</v>
      </c>
      <c r="D50">
        <v>10</v>
      </c>
      <c r="E50" s="36">
        <f t="shared" si="1"/>
        <v>1</v>
      </c>
      <c r="F50" s="36">
        <f t="shared" si="2"/>
        <v>238</v>
      </c>
      <c r="G50" s="36">
        <f t="shared" si="0"/>
        <v>688</v>
      </c>
      <c r="I50" s="5"/>
    </row>
    <row r="51" spans="2:9" x14ac:dyDescent="0.25">
      <c r="B51" s="5">
        <v>46</v>
      </c>
      <c r="C51" s="8">
        <v>10</v>
      </c>
      <c r="D51">
        <v>5</v>
      </c>
      <c r="E51" s="36">
        <f t="shared" si="1"/>
        <v>0</v>
      </c>
      <c r="F51" s="36">
        <f t="shared" si="2"/>
        <v>228</v>
      </c>
      <c r="G51" s="36">
        <f t="shared" si="0"/>
        <v>688</v>
      </c>
      <c r="I51" s="5"/>
    </row>
    <row r="52" spans="2:9" x14ac:dyDescent="0.25">
      <c r="B52" s="8">
        <v>47</v>
      </c>
      <c r="C52" s="8">
        <v>10</v>
      </c>
      <c r="D52">
        <v>5</v>
      </c>
      <c r="E52" s="36">
        <f t="shared" si="1"/>
        <v>0</v>
      </c>
      <c r="F52" s="36">
        <f t="shared" si="2"/>
        <v>218</v>
      </c>
      <c r="G52" s="36">
        <f t="shared" si="0"/>
        <v>688</v>
      </c>
      <c r="I52" s="5"/>
    </row>
    <row r="53" spans="2:9" x14ac:dyDescent="0.25">
      <c r="B53" s="8">
        <v>48</v>
      </c>
      <c r="C53" s="8">
        <v>10</v>
      </c>
      <c r="D53">
        <v>5</v>
      </c>
      <c r="E53" s="36">
        <f t="shared" si="1"/>
        <v>0</v>
      </c>
      <c r="F53" s="36">
        <f t="shared" si="2"/>
        <v>208</v>
      </c>
      <c r="G53" s="36">
        <f t="shared" si="0"/>
        <v>688</v>
      </c>
      <c r="I53" s="5"/>
    </row>
    <row r="54" spans="2:9" x14ac:dyDescent="0.25">
      <c r="B54" s="5">
        <v>49</v>
      </c>
      <c r="C54" s="8">
        <v>10</v>
      </c>
      <c r="D54">
        <v>5</v>
      </c>
      <c r="E54" s="36">
        <f t="shared" si="1"/>
        <v>0</v>
      </c>
      <c r="F54" s="36">
        <f t="shared" si="2"/>
        <v>198</v>
      </c>
      <c r="G54" s="36">
        <f t="shared" si="0"/>
        <v>688</v>
      </c>
      <c r="I54" s="5"/>
    </row>
    <row r="55" spans="2:9" x14ac:dyDescent="0.25">
      <c r="B55" s="8">
        <v>50</v>
      </c>
      <c r="C55" s="8">
        <v>10</v>
      </c>
      <c r="D55">
        <v>10</v>
      </c>
      <c r="E55" s="36">
        <f t="shared" si="1"/>
        <v>1</v>
      </c>
      <c r="F55" s="36">
        <f t="shared" si="2"/>
        <v>188</v>
      </c>
      <c r="G55" s="36">
        <f t="shared" si="0"/>
        <v>688</v>
      </c>
      <c r="I55" s="5"/>
    </row>
    <row r="56" spans="2:9" x14ac:dyDescent="0.25">
      <c r="B56" s="8">
        <v>51</v>
      </c>
      <c r="C56" s="8">
        <v>10</v>
      </c>
      <c r="D56">
        <v>5</v>
      </c>
      <c r="E56" s="36">
        <f t="shared" si="1"/>
        <v>0</v>
      </c>
      <c r="F56" s="36">
        <f t="shared" si="2"/>
        <v>178</v>
      </c>
      <c r="G56" s="36">
        <f t="shared" si="0"/>
        <v>688</v>
      </c>
      <c r="I56" s="5"/>
    </row>
    <row r="57" spans="2:9" x14ac:dyDescent="0.25">
      <c r="B57" s="5">
        <v>52</v>
      </c>
      <c r="C57" s="8">
        <v>10</v>
      </c>
      <c r="D57">
        <v>5</v>
      </c>
      <c r="E57" s="36">
        <f t="shared" si="1"/>
        <v>0</v>
      </c>
      <c r="F57" s="36">
        <f t="shared" si="2"/>
        <v>168</v>
      </c>
      <c r="G57" s="36">
        <f t="shared" si="0"/>
        <v>688</v>
      </c>
      <c r="I57" s="5"/>
    </row>
    <row r="58" spans="2:9" x14ac:dyDescent="0.25">
      <c r="B58" s="8">
        <v>53</v>
      </c>
      <c r="C58" s="8">
        <v>10</v>
      </c>
      <c r="D58">
        <v>5</v>
      </c>
      <c r="E58" s="36">
        <f t="shared" si="1"/>
        <v>0</v>
      </c>
      <c r="F58" s="36">
        <f t="shared" si="2"/>
        <v>158</v>
      </c>
      <c r="G58" s="36">
        <f t="shared" si="0"/>
        <v>688</v>
      </c>
      <c r="I58" s="5"/>
    </row>
    <row r="59" spans="2:9" x14ac:dyDescent="0.25">
      <c r="B59" s="8">
        <v>54</v>
      </c>
      <c r="C59" s="8">
        <v>10</v>
      </c>
      <c r="D59">
        <v>5</v>
      </c>
      <c r="E59" s="36">
        <f t="shared" si="1"/>
        <v>0</v>
      </c>
      <c r="F59" s="36">
        <f t="shared" si="2"/>
        <v>148</v>
      </c>
      <c r="G59" s="36">
        <f t="shared" si="0"/>
        <v>688</v>
      </c>
      <c r="I59" s="5"/>
    </row>
    <row r="60" spans="2:9" x14ac:dyDescent="0.25">
      <c r="B60" s="5">
        <v>55</v>
      </c>
      <c r="C60" s="8">
        <v>10</v>
      </c>
      <c r="D60">
        <v>10</v>
      </c>
      <c r="E60" s="36">
        <f t="shared" si="1"/>
        <v>1</v>
      </c>
      <c r="F60" s="36">
        <f t="shared" si="2"/>
        <v>138</v>
      </c>
      <c r="G60" s="36">
        <f t="shared" si="0"/>
        <v>688</v>
      </c>
      <c r="I60" s="5"/>
    </row>
    <row r="61" spans="2:9" x14ac:dyDescent="0.25">
      <c r="B61" s="8">
        <v>56</v>
      </c>
      <c r="C61" s="8">
        <v>10</v>
      </c>
      <c r="D61">
        <v>5</v>
      </c>
      <c r="E61" s="36">
        <f t="shared" si="1"/>
        <v>0</v>
      </c>
      <c r="F61" s="36">
        <f t="shared" si="2"/>
        <v>128</v>
      </c>
      <c r="G61" s="36">
        <f t="shared" si="0"/>
        <v>688</v>
      </c>
      <c r="I61" s="5"/>
    </row>
    <row r="62" spans="2:9" x14ac:dyDescent="0.25">
      <c r="B62" s="8">
        <v>57</v>
      </c>
      <c r="C62" s="8">
        <v>10</v>
      </c>
      <c r="D62">
        <v>5</v>
      </c>
      <c r="E62" s="36">
        <f t="shared" si="1"/>
        <v>0</v>
      </c>
      <c r="F62" s="36">
        <f t="shared" si="2"/>
        <v>118</v>
      </c>
      <c r="G62" s="36">
        <f t="shared" si="0"/>
        <v>688</v>
      </c>
      <c r="I62" s="5"/>
    </row>
    <row r="63" spans="2:9" x14ac:dyDescent="0.25">
      <c r="B63" s="5">
        <v>58</v>
      </c>
      <c r="C63" s="8">
        <v>10</v>
      </c>
      <c r="D63">
        <v>5</v>
      </c>
      <c r="E63" s="36">
        <f t="shared" si="1"/>
        <v>0</v>
      </c>
      <c r="F63" s="36">
        <f t="shared" si="2"/>
        <v>108</v>
      </c>
      <c r="G63" s="36">
        <f t="shared" si="0"/>
        <v>688</v>
      </c>
      <c r="I63" s="5"/>
    </row>
    <row r="64" spans="2:9" x14ac:dyDescent="0.25">
      <c r="B64" s="8">
        <v>59</v>
      </c>
      <c r="C64" s="8">
        <v>10</v>
      </c>
      <c r="D64">
        <v>5</v>
      </c>
      <c r="E64" s="36">
        <f t="shared" si="1"/>
        <v>0</v>
      </c>
      <c r="F64" s="36">
        <f t="shared" si="2"/>
        <v>98</v>
      </c>
      <c r="G64" s="36">
        <f t="shared" si="0"/>
        <v>688</v>
      </c>
      <c r="I64" s="5"/>
    </row>
    <row r="65" spans="2:9" x14ac:dyDescent="0.25">
      <c r="B65" s="8">
        <v>60</v>
      </c>
      <c r="C65" s="8">
        <v>10</v>
      </c>
      <c r="D65">
        <v>10</v>
      </c>
      <c r="E65" s="36">
        <f t="shared" si="1"/>
        <v>1</v>
      </c>
      <c r="F65" s="36">
        <f t="shared" si="2"/>
        <v>88</v>
      </c>
      <c r="G65" s="36">
        <f t="shared" si="0"/>
        <v>688</v>
      </c>
      <c r="I65" s="5"/>
    </row>
    <row r="66" spans="2:9" x14ac:dyDescent="0.25">
      <c r="B66" s="5">
        <v>61</v>
      </c>
      <c r="C66" s="8">
        <v>10</v>
      </c>
      <c r="D66">
        <v>5</v>
      </c>
      <c r="E66" s="36">
        <f t="shared" si="1"/>
        <v>0</v>
      </c>
      <c r="F66" s="36">
        <f t="shared" si="2"/>
        <v>78</v>
      </c>
      <c r="G66" s="36">
        <f t="shared" si="0"/>
        <v>688</v>
      </c>
      <c r="I66" s="5"/>
    </row>
    <row r="67" spans="2:9" x14ac:dyDescent="0.25">
      <c r="B67" s="8">
        <v>62</v>
      </c>
      <c r="C67" s="8">
        <v>10</v>
      </c>
      <c r="D67">
        <v>5</v>
      </c>
      <c r="E67" s="36">
        <f t="shared" si="1"/>
        <v>0</v>
      </c>
      <c r="F67" s="36">
        <f t="shared" si="2"/>
        <v>68</v>
      </c>
      <c r="G67" s="36">
        <f t="shared" si="0"/>
        <v>688</v>
      </c>
      <c r="I67" s="5"/>
    </row>
    <row r="68" spans="2:9" x14ac:dyDescent="0.25">
      <c r="B68" s="8">
        <v>63</v>
      </c>
      <c r="C68" s="8">
        <v>10</v>
      </c>
      <c r="D68">
        <v>5</v>
      </c>
      <c r="E68" s="36">
        <f t="shared" si="1"/>
        <v>0</v>
      </c>
      <c r="F68" s="36">
        <f t="shared" si="2"/>
        <v>58</v>
      </c>
      <c r="G68" s="36">
        <f t="shared" si="0"/>
        <v>688</v>
      </c>
      <c r="I68" s="5"/>
    </row>
    <row r="69" spans="2:9" x14ac:dyDescent="0.25">
      <c r="B69" s="5">
        <v>64</v>
      </c>
      <c r="C69" s="8">
        <v>10</v>
      </c>
      <c r="D69">
        <v>5</v>
      </c>
      <c r="E69" s="36">
        <f t="shared" si="1"/>
        <v>0</v>
      </c>
      <c r="F69" s="36">
        <f t="shared" si="2"/>
        <v>48</v>
      </c>
      <c r="G69" s="36">
        <f t="shared" si="0"/>
        <v>688</v>
      </c>
      <c r="I69" s="5"/>
    </row>
    <row r="70" spans="2:9" x14ac:dyDescent="0.25">
      <c r="B70" s="8">
        <v>65</v>
      </c>
      <c r="C70" s="8">
        <v>10</v>
      </c>
      <c r="D70">
        <v>10</v>
      </c>
      <c r="E70" s="36">
        <f t="shared" si="1"/>
        <v>1</v>
      </c>
      <c r="F70" s="36">
        <f t="shared" si="2"/>
        <v>38</v>
      </c>
      <c r="G70" s="36">
        <f t="shared" ref="G70:G133" si="3">MAX(G69-I70,0)</f>
        <v>688</v>
      </c>
      <c r="I70" s="5"/>
    </row>
    <row r="71" spans="2:9" x14ac:dyDescent="0.25">
      <c r="B71" s="8">
        <v>66</v>
      </c>
      <c r="C71" s="8">
        <v>10</v>
      </c>
      <c r="D71">
        <v>5</v>
      </c>
      <c r="E71" s="36">
        <f t="shared" ref="E71:E134" si="4">IF(MOD(B71,5)=0,1,0)</f>
        <v>0</v>
      </c>
      <c r="F71" s="36">
        <f t="shared" ref="F71:F134" si="5">MAX(F70-C71,0)</f>
        <v>28</v>
      </c>
      <c r="G71" s="36">
        <f t="shared" si="3"/>
        <v>688</v>
      </c>
      <c r="I71" s="5"/>
    </row>
    <row r="72" spans="2:9" x14ac:dyDescent="0.25">
      <c r="B72" s="5">
        <v>67</v>
      </c>
      <c r="C72" s="8">
        <v>10</v>
      </c>
      <c r="D72">
        <v>5</v>
      </c>
      <c r="E72" s="36">
        <f t="shared" si="4"/>
        <v>0</v>
      </c>
      <c r="F72" s="36">
        <f t="shared" si="5"/>
        <v>18</v>
      </c>
      <c r="G72" s="36">
        <f t="shared" si="3"/>
        <v>688</v>
      </c>
      <c r="I72" s="5"/>
    </row>
    <row r="73" spans="2:9" x14ac:dyDescent="0.25">
      <c r="B73" s="8">
        <v>68</v>
      </c>
      <c r="C73" s="8">
        <v>10</v>
      </c>
      <c r="D73">
        <v>5</v>
      </c>
      <c r="E73" s="36">
        <f t="shared" si="4"/>
        <v>0</v>
      </c>
      <c r="F73" s="36">
        <f t="shared" si="5"/>
        <v>8</v>
      </c>
      <c r="G73" s="36">
        <f t="shared" si="3"/>
        <v>688</v>
      </c>
      <c r="I73" s="5"/>
    </row>
    <row r="74" spans="2:9" x14ac:dyDescent="0.25">
      <c r="B74" s="8">
        <v>69</v>
      </c>
      <c r="C74" s="8">
        <v>10</v>
      </c>
      <c r="D74">
        <v>5</v>
      </c>
      <c r="E74" s="36">
        <f t="shared" si="4"/>
        <v>0</v>
      </c>
      <c r="F74" s="36">
        <f t="shared" si="5"/>
        <v>0</v>
      </c>
      <c r="G74" s="36">
        <f t="shared" si="3"/>
        <v>688</v>
      </c>
      <c r="I74" s="5"/>
    </row>
    <row r="75" spans="2:9" x14ac:dyDescent="0.25">
      <c r="B75" s="5">
        <v>70</v>
      </c>
      <c r="C75" s="8">
        <v>10</v>
      </c>
      <c r="D75">
        <v>10</v>
      </c>
      <c r="E75" s="36">
        <f t="shared" si="4"/>
        <v>1</v>
      </c>
      <c r="F75" s="36">
        <f t="shared" si="5"/>
        <v>0</v>
      </c>
      <c r="G75" s="36">
        <f t="shared" si="3"/>
        <v>688</v>
      </c>
      <c r="I75" s="5"/>
    </row>
    <row r="76" spans="2:9" x14ac:dyDescent="0.25">
      <c r="B76" s="8">
        <v>71</v>
      </c>
      <c r="C76" s="8">
        <v>10</v>
      </c>
      <c r="D76">
        <v>1</v>
      </c>
      <c r="E76" s="36">
        <f t="shared" si="4"/>
        <v>0</v>
      </c>
      <c r="F76" s="36">
        <f t="shared" si="5"/>
        <v>0</v>
      </c>
      <c r="G76" s="36">
        <f t="shared" si="3"/>
        <v>688</v>
      </c>
      <c r="I76" s="5"/>
    </row>
    <row r="77" spans="2:9" x14ac:dyDescent="0.25">
      <c r="B77" s="8">
        <v>72</v>
      </c>
      <c r="C77" s="8">
        <v>10</v>
      </c>
      <c r="D77">
        <v>1</v>
      </c>
      <c r="E77" s="36">
        <f t="shared" si="4"/>
        <v>0</v>
      </c>
      <c r="F77" s="36">
        <f t="shared" si="5"/>
        <v>0</v>
      </c>
      <c r="G77" s="36">
        <f t="shared" si="3"/>
        <v>688</v>
      </c>
      <c r="I77" s="5"/>
    </row>
    <row r="78" spans="2:9" x14ac:dyDescent="0.25">
      <c r="B78" s="5">
        <v>73</v>
      </c>
      <c r="C78" s="8">
        <v>10</v>
      </c>
      <c r="D78">
        <v>1</v>
      </c>
      <c r="E78" s="36">
        <f t="shared" si="4"/>
        <v>0</v>
      </c>
      <c r="F78" s="36">
        <f t="shared" si="5"/>
        <v>0</v>
      </c>
      <c r="G78" s="36">
        <f t="shared" si="3"/>
        <v>688</v>
      </c>
      <c r="I78" s="5"/>
    </row>
    <row r="79" spans="2:9" x14ac:dyDescent="0.25">
      <c r="B79" s="8">
        <v>74</v>
      </c>
      <c r="C79" s="8">
        <v>10</v>
      </c>
      <c r="D79">
        <v>1</v>
      </c>
      <c r="E79" s="36">
        <f t="shared" si="4"/>
        <v>0</v>
      </c>
      <c r="F79" s="36">
        <f t="shared" si="5"/>
        <v>0</v>
      </c>
      <c r="G79" s="36">
        <f t="shared" si="3"/>
        <v>688</v>
      </c>
      <c r="I79" s="5"/>
    </row>
    <row r="80" spans="2:9" x14ac:dyDescent="0.25">
      <c r="B80" s="8">
        <v>75</v>
      </c>
      <c r="C80" s="8">
        <v>10</v>
      </c>
      <c r="D80">
        <v>2</v>
      </c>
      <c r="E80" s="36">
        <f t="shared" si="4"/>
        <v>1</v>
      </c>
      <c r="F80" s="36">
        <f t="shared" si="5"/>
        <v>0</v>
      </c>
      <c r="G80" s="36">
        <f t="shared" si="3"/>
        <v>688</v>
      </c>
      <c r="I80" s="5"/>
    </row>
    <row r="81" spans="2:9" x14ac:dyDescent="0.25">
      <c r="B81" s="5">
        <v>76</v>
      </c>
      <c r="C81" s="8">
        <v>10</v>
      </c>
      <c r="D81">
        <v>1</v>
      </c>
      <c r="E81" s="36">
        <f t="shared" si="4"/>
        <v>0</v>
      </c>
      <c r="F81" s="36">
        <f t="shared" si="5"/>
        <v>0</v>
      </c>
      <c r="G81" s="36">
        <f t="shared" si="3"/>
        <v>688</v>
      </c>
      <c r="I81" s="5"/>
    </row>
    <row r="82" spans="2:9" x14ac:dyDescent="0.25">
      <c r="B82" s="8">
        <v>77</v>
      </c>
      <c r="C82" s="8">
        <v>10</v>
      </c>
      <c r="D82">
        <v>1</v>
      </c>
      <c r="E82" s="36">
        <f t="shared" si="4"/>
        <v>0</v>
      </c>
      <c r="F82" s="36">
        <f t="shared" si="5"/>
        <v>0</v>
      </c>
      <c r="G82" s="36">
        <f t="shared" si="3"/>
        <v>688</v>
      </c>
      <c r="I82" s="5"/>
    </row>
    <row r="83" spans="2:9" x14ac:dyDescent="0.25">
      <c r="B83" s="8">
        <v>78</v>
      </c>
      <c r="C83" s="8">
        <v>10</v>
      </c>
      <c r="D83">
        <v>1</v>
      </c>
      <c r="E83" s="36">
        <f t="shared" si="4"/>
        <v>0</v>
      </c>
      <c r="F83" s="36">
        <f t="shared" si="5"/>
        <v>0</v>
      </c>
      <c r="G83" s="36">
        <f t="shared" si="3"/>
        <v>688</v>
      </c>
      <c r="I83" s="5"/>
    </row>
    <row r="84" spans="2:9" x14ac:dyDescent="0.25">
      <c r="B84" s="5">
        <v>79</v>
      </c>
      <c r="C84" s="8">
        <v>10</v>
      </c>
      <c r="D84">
        <v>1</v>
      </c>
      <c r="E84" s="36">
        <f t="shared" si="4"/>
        <v>0</v>
      </c>
      <c r="F84" s="36">
        <f t="shared" si="5"/>
        <v>0</v>
      </c>
      <c r="G84" s="36">
        <f t="shared" si="3"/>
        <v>688</v>
      </c>
      <c r="I84" s="5"/>
    </row>
    <row r="85" spans="2:9" x14ac:dyDescent="0.25">
      <c r="B85" s="8">
        <v>80</v>
      </c>
      <c r="C85" s="8">
        <v>10</v>
      </c>
      <c r="D85">
        <v>2</v>
      </c>
      <c r="E85" s="36">
        <f t="shared" si="4"/>
        <v>1</v>
      </c>
      <c r="F85" s="36">
        <f t="shared" si="5"/>
        <v>0</v>
      </c>
      <c r="G85" s="36">
        <f t="shared" si="3"/>
        <v>688</v>
      </c>
      <c r="I85" s="5"/>
    </row>
    <row r="86" spans="2:9" x14ac:dyDescent="0.25">
      <c r="B86" s="8">
        <v>81</v>
      </c>
      <c r="C86" s="8">
        <v>10</v>
      </c>
      <c r="D86">
        <v>1</v>
      </c>
      <c r="E86" s="36">
        <f t="shared" si="4"/>
        <v>0</v>
      </c>
      <c r="F86" s="36">
        <f t="shared" si="5"/>
        <v>0</v>
      </c>
      <c r="G86" s="36">
        <f t="shared" si="3"/>
        <v>688</v>
      </c>
      <c r="I86" s="5"/>
    </row>
    <row r="87" spans="2:9" x14ac:dyDescent="0.25">
      <c r="B87" s="5">
        <v>82</v>
      </c>
      <c r="C87" s="8">
        <v>10</v>
      </c>
      <c r="D87">
        <v>1</v>
      </c>
      <c r="E87" s="36">
        <f t="shared" si="4"/>
        <v>0</v>
      </c>
      <c r="F87" s="36">
        <f t="shared" si="5"/>
        <v>0</v>
      </c>
      <c r="G87" s="36">
        <f t="shared" si="3"/>
        <v>688</v>
      </c>
      <c r="I87" s="5"/>
    </row>
    <row r="88" spans="2:9" x14ac:dyDescent="0.25">
      <c r="B88" s="8">
        <v>83</v>
      </c>
      <c r="C88" s="8">
        <v>10</v>
      </c>
      <c r="D88">
        <v>1</v>
      </c>
      <c r="E88" s="36">
        <f t="shared" si="4"/>
        <v>0</v>
      </c>
      <c r="F88" s="36">
        <f t="shared" si="5"/>
        <v>0</v>
      </c>
      <c r="G88" s="36">
        <f t="shared" si="3"/>
        <v>688</v>
      </c>
      <c r="I88" s="5"/>
    </row>
    <row r="89" spans="2:9" x14ac:dyDescent="0.25">
      <c r="B89" s="8">
        <v>84</v>
      </c>
      <c r="C89" s="8">
        <v>10</v>
      </c>
      <c r="D89">
        <v>1</v>
      </c>
      <c r="E89" s="36">
        <f t="shared" si="4"/>
        <v>0</v>
      </c>
      <c r="F89" s="36">
        <f t="shared" si="5"/>
        <v>0</v>
      </c>
      <c r="G89" s="36">
        <f t="shared" si="3"/>
        <v>688</v>
      </c>
      <c r="I89" s="5"/>
    </row>
    <row r="90" spans="2:9" x14ac:dyDescent="0.25">
      <c r="B90" s="5">
        <v>85</v>
      </c>
      <c r="C90" s="8">
        <v>10</v>
      </c>
      <c r="D90">
        <v>2</v>
      </c>
      <c r="E90" s="36">
        <f t="shared" si="4"/>
        <v>1</v>
      </c>
      <c r="F90" s="36">
        <f t="shared" si="5"/>
        <v>0</v>
      </c>
      <c r="G90" s="36">
        <f t="shared" si="3"/>
        <v>688</v>
      </c>
      <c r="I90" s="5"/>
    </row>
    <row r="91" spans="2:9" x14ac:dyDescent="0.25">
      <c r="B91" s="8">
        <v>86</v>
      </c>
      <c r="C91" s="8">
        <v>10</v>
      </c>
      <c r="D91">
        <v>1</v>
      </c>
      <c r="E91" s="36">
        <f t="shared" si="4"/>
        <v>0</v>
      </c>
      <c r="F91" s="36">
        <f t="shared" si="5"/>
        <v>0</v>
      </c>
      <c r="G91" s="36">
        <f t="shared" si="3"/>
        <v>688</v>
      </c>
      <c r="I91" s="5"/>
    </row>
    <row r="92" spans="2:9" x14ac:dyDescent="0.25">
      <c r="B92" s="8">
        <v>87</v>
      </c>
      <c r="C92" s="8">
        <v>10</v>
      </c>
      <c r="D92">
        <v>1</v>
      </c>
      <c r="E92" s="36">
        <f t="shared" si="4"/>
        <v>0</v>
      </c>
      <c r="F92" s="36">
        <f t="shared" si="5"/>
        <v>0</v>
      </c>
      <c r="G92" s="36">
        <f t="shared" si="3"/>
        <v>688</v>
      </c>
      <c r="I92" s="5"/>
    </row>
    <row r="93" spans="2:9" x14ac:dyDescent="0.25">
      <c r="B93" s="5">
        <v>88</v>
      </c>
      <c r="C93" s="8">
        <v>10</v>
      </c>
      <c r="D93">
        <v>1</v>
      </c>
      <c r="E93" s="36">
        <f t="shared" si="4"/>
        <v>0</v>
      </c>
      <c r="F93" s="36">
        <f t="shared" si="5"/>
        <v>0</v>
      </c>
      <c r="G93" s="36">
        <f t="shared" si="3"/>
        <v>688</v>
      </c>
      <c r="I93" s="5"/>
    </row>
    <row r="94" spans="2:9" x14ac:dyDescent="0.25">
      <c r="B94" s="8">
        <v>89</v>
      </c>
      <c r="C94" s="8">
        <v>10</v>
      </c>
      <c r="D94">
        <v>1</v>
      </c>
      <c r="E94" s="36">
        <f t="shared" si="4"/>
        <v>0</v>
      </c>
      <c r="F94" s="36">
        <f t="shared" si="5"/>
        <v>0</v>
      </c>
      <c r="G94" s="36">
        <f t="shared" si="3"/>
        <v>688</v>
      </c>
      <c r="I94" s="5"/>
    </row>
    <row r="95" spans="2:9" x14ac:dyDescent="0.25">
      <c r="B95" s="8">
        <v>90</v>
      </c>
      <c r="C95" s="8">
        <v>10</v>
      </c>
      <c r="D95">
        <v>2</v>
      </c>
      <c r="E95" s="36">
        <f t="shared" si="4"/>
        <v>1</v>
      </c>
      <c r="F95" s="36">
        <f t="shared" si="5"/>
        <v>0</v>
      </c>
      <c r="G95" s="36">
        <f t="shared" si="3"/>
        <v>688</v>
      </c>
      <c r="I95" s="5"/>
    </row>
    <row r="96" spans="2:9" x14ac:dyDescent="0.25">
      <c r="B96" s="5">
        <v>91</v>
      </c>
      <c r="C96" s="8">
        <v>10</v>
      </c>
      <c r="D96">
        <v>1</v>
      </c>
      <c r="E96" s="36">
        <f t="shared" si="4"/>
        <v>0</v>
      </c>
      <c r="F96" s="36">
        <f t="shared" si="5"/>
        <v>0</v>
      </c>
      <c r="G96" s="36">
        <f t="shared" si="3"/>
        <v>688</v>
      </c>
      <c r="I96" s="5"/>
    </row>
    <row r="97" spans="2:9" x14ac:dyDescent="0.25">
      <c r="B97" s="8">
        <v>92</v>
      </c>
      <c r="C97" s="8">
        <v>10</v>
      </c>
      <c r="D97">
        <v>1</v>
      </c>
      <c r="E97" s="36">
        <f t="shared" si="4"/>
        <v>0</v>
      </c>
      <c r="F97" s="36">
        <f t="shared" si="5"/>
        <v>0</v>
      </c>
      <c r="G97" s="36">
        <f t="shared" si="3"/>
        <v>688</v>
      </c>
      <c r="I97" s="5"/>
    </row>
    <row r="98" spans="2:9" x14ac:dyDescent="0.25">
      <c r="B98" s="8">
        <v>93</v>
      </c>
      <c r="C98" s="8">
        <v>10</v>
      </c>
      <c r="D98">
        <v>1</v>
      </c>
      <c r="E98" s="36">
        <f t="shared" si="4"/>
        <v>0</v>
      </c>
      <c r="F98" s="36">
        <f t="shared" si="5"/>
        <v>0</v>
      </c>
      <c r="G98" s="36">
        <f t="shared" si="3"/>
        <v>688</v>
      </c>
      <c r="I98" s="5"/>
    </row>
    <row r="99" spans="2:9" x14ac:dyDescent="0.25">
      <c r="B99" s="5">
        <v>94</v>
      </c>
      <c r="C99" s="8">
        <v>10</v>
      </c>
      <c r="D99">
        <v>1</v>
      </c>
      <c r="E99" s="36">
        <f t="shared" si="4"/>
        <v>0</v>
      </c>
      <c r="F99" s="36">
        <f t="shared" si="5"/>
        <v>0</v>
      </c>
      <c r="G99" s="36">
        <f t="shared" si="3"/>
        <v>688</v>
      </c>
      <c r="I99" s="5"/>
    </row>
    <row r="100" spans="2:9" x14ac:dyDescent="0.25">
      <c r="B100" s="8">
        <v>95</v>
      </c>
      <c r="C100" s="8">
        <v>10</v>
      </c>
      <c r="D100">
        <v>2</v>
      </c>
      <c r="E100" s="36">
        <f t="shared" si="4"/>
        <v>1</v>
      </c>
      <c r="F100" s="36">
        <f t="shared" si="5"/>
        <v>0</v>
      </c>
      <c r="G100" s="36">
        <f t="shared" si="3"/>
        <v>688</v>
      </c>
      <c r="I100" s="5"/>
    </row>
    <row r="101" spans="2:9" x14ac:dyDescent="0.25">
      <c r="B101" s="8">
        <v>96</v>
      </c>
      <c r="C101" s="8">
        <v>10</v>
      </c>
      <c r="D101">
        <v>1</v>
      </c>
      <c r="E101" s="36">
        <f t="shared" si="4"/>
        <v>0</v>
      </c>
      <c r="F101" s="36">
        <f t="shared" si="5"/>
        <v>0</v>
      </c>
      <c r="G101" s="36">
        <f t="shared" si="3"/>
        <v>688</v>
      </c>
      <c r="I101" s="5"/>
    </row>
    <row r="102" spans="2:9" x14ac:dyDescent="0.25">
      <c r="B102" s="5">
        <v>97</v>
      </c>
      <c r="C102" s="8">
        <v>10</v>
      </c>
      <c r="D102">
        <v>1</v>
      </c>
      <c r="E102" s="36">
        <f t="shared" si="4"/>
        <v>0</v>
      </c>
      <c r="F102" s="36">
        <f t="shared" si="5"/>
        <v>0</v>
      </c>
      <c r="G102" s="36">
        <f t="shared" si="3"/>
        <v>688</v>
      </c>
      <c r="I102" s="5"/>
    </row>
    <row r="103" spans="2:9" x14ac:dyDescent="0.25">
      <c r="B103" s="8">
        <v>98</v>
      </c>
      <c r="C103" s="8">
        <v>10</v>
      </c>
      <c r="D103">
        <v>1</v>
      </c>
      <c r="E103" s="36">
        <f t="shared" si="4"/>
        <v>0</v>
      </c>
      <c r="F103" s="36">
        <f t="shared" si="5"/>
        <v>0</v>
      </c>
      <c r="G103" s="36">
        <f t="shared" si="3"/>
        <v>688</v>
      </c>
      <c r="I103" s="5"/>
    </row>
    <row r="104" spans="2:9" x14ac:dyDescent="0.25">
      <c r="B104" s="8">
        <v>99</v>
      </c>
      <c r="C104" s="8">
        <v>10</v>
      </c>
      <c r="D104">
        <v>1</v>
      </c>
      <c r="E104" s="36">
        <f t="shared" si="4"/>
        <v>0</v>
      </c>
      <c r="F104" s="36">
        <f t="shared" si="5"/>
        <v>0</v>
      </c>
      <c r="G104" s="36">
        <f t="shared" si="3"/>
        <v>688</v>
      </c>
      <c r="I104" s="5"/>
    </row>
    <row r="105" spans="2:9" x14ac:dyDescent="0.25">
      <c r="B105" s="5">
        <v>100</v>
      </c>
      <c r="C105" s="8">
        <v>10</v>
      </c>
      <c r="D105">
        <v>2</v>
      </c>
      <c r="E105" s="36">
        <f t="shared" si="4"/>
        <v>1</v>
      </c>
      <c r="F105" s="36">
        <f t="shared" si="5"/>
        <v>0</v>
      </c>
      <c r="G105" s="36">
        <f t="shared" si="3"/>
        <v>688</v>
      </c>
      <c r="I105" s="5"/>
    </row>
    <row r="106" spans="2:9" x14ac:dyDescent="0.25">
      <c r="B106" s="8">
        <v>101</v>
      </c>
      <c r="C106" s="8">
        <v>10</v>
      </c>
      <c r="D106">
        <v>1</v>
      </c>
      <c r="E106" s="36">
        <f t="shared" si="4"/>
        <v>0</v>
      </c>
      <c r="F106" s="36">
        <f t="shared" si="5"/>
        <v>0</v>
      </c>
      <c r="G106" s="36">
        <f t="shared" si="3"/>
        <v>688</v>
      </c>
      <c r="I106" s="5"/>
    </row>
    <row r="107" spans="2:9" x14ac:dyDescent="0.25">
      <c r="B107" s="8">
        <v>102</v>
      </c>
      <c r="C107" s="8">
        <v>10</v>
      </c>
      <c r="D107">
        <v>1</v>
      </c>
      <c r="E107" s="36">
        <f t="shared" si="4"/>
        <v>0</v>
      </c>
      <c r="F107" s="36">
        <f t="shared" si="5"/>
        <v>0</v>
      </c>
      <c r="G107" s="36">
        <f t="shared" si="3"/>
        <v>688</v>
      </c>
      <c r="I107" s="5"/>
    </row>
    <row r="108" spans="2:9" x14ac:dyDescent="0.25">
      <c r="B108" s="5">
        <v>103</v>
      </c>
      <c r="C108" s="8">
        <v>10</v>
      </c>
      <c r="D108">
        <v>1</v>
      </c>
      <c r="E108" s="36">
        <f t="shared" si="4"/>
        <v>0</v>
      </c>
      <c r="F108" s="36">
        <f t="shared" si="5"/>
        <v>0</v>
      </c>
      <c r="G108" s="36">
        <f t="shared" si="3"/>
        <v>688</v>
      </c>
      <c r="I108" s="5"/>
    </row>
    <row r="109" spans="2:9" x14ac:dyDescent="0.25">
      <c r="B109" s="8">
        <v>104</v>
      </c>
      <c r="C109" s="8">
        <v>10</v>
      </c>
      <c r="D109">
        <v>1</v>
      </c>
      <c r="E109" s="36">
        <f t="shared" si="4"/>
        <v>0</v>
      </c>
      <c r="F109" s="36">
        <f t="shared" si="5"/>
        <v>0</v>
      </c>
      <c r="G109" s="36">
        <f t="shared" si="3"/>
        <v>688</v>
      </c>
      <c r="I109" s="5"/>
    </row>
    <row r="110" spans="2:9" x14ac:dyDescent="0.25">
      <c r="B110" s="8">
        <v>105</v>
      </c>
      <c r="C110" s="8">
        <v>10</v>
      </c>
      <c r="D110">
        <v>2</v>
      </c>
      <c r="E110" s="36">
        <f t="shared" si="4"/>
        <v>1</v>
      </c>
      <c r="F110" s="36">
        <f t="shared" si="5"/>
        <v>0</v>
      </c>
      <c r="G110" s="36">
        <f t="shared" si="3"/>
        <v>688</v>
      </c>
      <c r="I110" s="5"/>
    </row>
    <row r="111" spans="2:9" x14ac:dyDescent="0.25">
      <c r="B111" s="8">
        <v>106</v>
      </c>
      <c r="C111" s="8">
        <v>10</v>
      </c>
      <c r="D111">
        <v>1</v>
      </c>
      <c r="E111" s="36">
        <f t="shared" si="4"/>
        <v>0</v>
      </c>
      <c r="F111" s="36">
        <f t="shared" si="5"/>
        <v>0</v>
      </c>
      <c r="G111" s="36">
        <f t="shared" si="3"/>
        <v>688</v>
      </c>
      <c r="I111" s="5"/>
    </row>
    <row r="112" spans="2:9" x14ac:dyDescent="0.25">
      <c r="B112" s="8">
        <v>107</v>
      </c>
      <c r="C112" s="8">
        <v>10</v>
      </c>
      <c r="D112">
        <v>1</v>
      </c>
      <c r="E112" s="36">
        <f t="shared" si="4"/>
        <v>0</v>
      </c>
      <c r="F112" s="36">
        <f t="shared" si="5"/>
        <v>0</v>
      </c>
      <c r="G112" s="36">
        <f t="shared" si="3"/>
        <v>688</v>
      </c>
      <c r="I112" s="5"/>
    </row>
    <row r="113" spans="2:9" x14ac:dyDescent="0.25">
      <c r="B113" s="5">
        <v>108</v>
      </c>
      <c r="C113" s="8">
        <v>10</v>
      </c>
      <c r="D113">
        <v>1</v>
      </c>
      <c r="E113" s="36">
        <f t="shared" si="4"/>
        <v>0</v>
      </c>
      <c r="F113" s="36">
        <f t="shared" si="5"/>
        <v>0</v>
      </c>
      <c r="G113" s="36">
        <f t="shared" si="3"/>
        <v>688</v>
      </c>
      <c r="I113" s="5"/>
    </row>
    <row r="114" spans="2:9" x14ac:dyDescent="0.25">
      <c r="B114" s="8">
        <v>109</v>
      </c>
      <c r="C114" s="8">
        <v>10</v>
      </c>
      <c r="D114">
        <v>1</v>
      </c>
      <c r="E114" s="36">
        <f t="shared" si="4"/>
        <v>0</v>
      </c>
      <c r="F114" s="36">
        <f t="shared" si="5"/>
        <v>0</v>
      </c>
      <c r="G114" s="36">
        <f t="shared" si="3"/>
        <v>688</v>
      </c>
      <c r="I114" s="5"/>
    </row>
    <row r="115" spans="2:9" x14ac:dyDescent="0.25">
      <c r="B115" s="8">
        <v>110</v>
      </c>
      <c r="C115" s="8">
        <v>10</v>
      </c>
      <c r="D115">
        <v>2</v>
      </c>
      <c r="E115" s="36">
        <f t="shared" si="4"/>
        <v>1</v>
      </c>
      <c r="F115" s="36">
        <f t="shared" si="5"/>
        <v>0</v>
      </c>
      <c r="G115" s="36">
        <f t="shared" si="3"/>
        <v>688</v>
      </c>
      <c r="I115" s="5"/>
    </row>
    <row r="116" spans="2:9" x14ac:dyDescent="0.25">
      <c r="B116" s="5">
        <v>111</v>
      </c>
      <c r="C116" s="8">
        <v>10</v>
      </c>
      <c r="D116">
        <v>1</v>
      </c>
      <c r="E116" s="36">
        <f t="shared" si="4"/>
        <v>0</v>
      </c>
      <c r="F116" s="36">
        <f t="shared" si="5"/>
        <v>0</v>
      </c>
      <c r="G116" s="36">
        <f t="shared" si="3"/>
        <v>688</v>
      </c>
      <c r="I116" s="5"/>
    </row>
    <row r="117" spans="2:9" x14ac:dyDescent="0.25">
      <c r="B117" s="8">
        <v>112</v>
      </c>
      <c r="C117" s="8">
        <v>10</v>
      </c>
      <c r="D117">
        <v>1</v>
      </c>
      <c r="E117" s="36">
        <f t="shared" si="4"/>
        <v>0</v>
      </c>
      <c r="F117" s="36">
        <f t="shared" si="5"/>
        <v>0</v>
      </c>
      <c r="G117" s="36">
        <f t="shared" si="3"/>
        <v>688</v>
      </c>
      <c r="I117" s="5"/>
    </row>
    <row r="118" spans="2:9" x14ac:dyDescent="0.25">
      <c r="B118" s="8">
        <v>113</v>
      </c>
      <c r="C118" s="8">
        <v>10</v>
      </c>
      <c r="D118">
        <v>1</v>
      </c>
      <c r="E118" s="36">
        <f t="shared" si="4"/>
        <v>0</v>
      </c>
      <c r="F118" s="36">
        <f t="shared" si="5"/>
        <v>0</v>
      </c>
      <c r="G118" s="36">
        <f t="shared" si="3"/>
        <v>688</v>
      </c>
      <c r="I118" s="5"/>
    </row>
    <row r="119" spans="2:9" x14ac:dyDescent="0.25">
      <c r="B119" s="8">
        <v>114</v>
      </c>
      <c r="C119" s="8">
        <v>10</v>
      </c>
      <c r="D119">
        <v>1</v>
      </c>
      <c r="E119" s="36">
        <f t="shared" si="4"/>
        <v>0</v>
      </c>
      <c r="F119" s="36">
        <f t="shared" si="5"/>
        <v>0</v>
      </c>
      <c r="G119" s="36">
        <f t="shared" si="3"/>
        <v>688</v>
      </c>
      <c r="I119" s="5"/>
    </row>
    <row r="120" spans="2:9" x14ac:dyDescent="0.25">
      <c r="B120" s="8">
        <v>115</v>
      </c>
      <c r="C120" s="8">
        <v>10</v>
      </c>
      <c r="D120">
        <v>2</v>
      </c>
      <c r="E120" s="36">
        <f t="shared" si="4"/>
        <v>1</v>
      </c>
      <c r="F120" s="36">
        <f t="shared" si="5"/>
        <v>0</v>
      </c>
      <c r="G120" s="36">
        <f t="shared" si="3"/>
        <v>688</v>
      </c>
      <c r="I120" s="5"/>
    </row>
    <row r="121" spans="2:9" x14ac:dyDescent="0.25">
      <c r="B121" s="5">
        <v>116</v>
      </c>
      <c r="C121" s="8">
        <v>10</v>
      </c>
      <c r="D121">
        <v>1</v>
      </c>
      <c r="E121" s="36">
        <f t="shared" si="4"/>
        <v>0</v>
      </c>
      <c r="F121" s="36">
        <f t="shared" si="5"/>
        <v>0</v>
      </c>
      <c r="G121" s="36">
        <f t="shared" si="3"/>
        <v>688</v>
      </c>
      <c r="I121" s="5"/>
    </row>
    <row r="122" spans="2:9" x14ac:dyDescent="0.25">
      <c r="B122" s="8">
        <v>117</v>
      </c>
      <c r="C122" s="8">
        <v>10</v>
      </c>
      <c r="D122">
        <v>1</v>
      </c>
      <c r="E122" s="36">
        <f t="shared" si="4"/>
        <v>0</v>
      </c>
      <c r="F122" s="36">
        <f t="shared" si="5"/>
        <v>0</v>
      </c>
      <c r="G122" s="36">
        <f t="shared" si="3"/>
        <v>688</v>
      </c>
      <c r="I122" s="5"/>
    </row>
    <row r="123" spans="2:9" x14ac:dyDescent="0.25">
      <c r="B123" s="8">
        <v>118</v>
      </c>
      <c r="C123" s="8">
        <v>10</v>
      </c>
      <c r="D123">
        <v>1</v>
      </c>
      <c r="E123" s="36">
        <f t="shared" si="4"/>
        <v>0</v>
      </c>
      <c r="F123" s="36">
        <f t="shared" si="5"/>
        <v>0</v>
      </c>
      <c r="G123" s="36">
        <f t="shared" si="3"/>
        <v>688</v>
      </c>
      <c r="I123" s="5"/>
    </row>
    <row r="124" spans="2:9" x14ac:dyDescent="0.25">
      <c r="B124" s="5">
        <v>119</v>
      </c>
      <c r="C124" s="8">
        <v>10</v>
      </c>
      <c r="D124">
        <v>1</v>
      </c>
      <c r="E124" s="36">
        <f t="shared" si="4"/>
        <v>0</v>
      </c>
      <c r="F124" s="36">
        <f t="shared" si="5"/>
        <v>0</v>
      </c>
      <c r="G124" s="36">
        <f t="shared" si="3"/>
        <v>688</v>
      </c>
      <c r="I124" s="5"/>
    </row>
    <row r="125" spans="2:9" x14ac:dyDescent="0.25">
      <c r="B125" s="8">
        <v>120</v>
      </c>
      <c r="C125" s="8">
        <v>10</v>
      </c>
      <c r="D125">
        <v>2</v>
      </c>
      <c r="E125" s="36">
        <f t="shared" si="4"/>
        <v>1</v>
      </c>
      <c r="F125" s="36">
        <f t="shared" si="5"/>
        <v>0</v>
      </c>
      <c r="G125" s="36">
        <f t="shared" si="3"/>
        <v>688</v>
      </c>
      <c r="I125" s="5"/>
    </row>
    <row r="126" spans="2:9" x14ac:dyDescent="0.25">
      <c r="B126" s="8">
        <v>121</v>
      </c>
      <c r="C126" s="8">
        <v>10</v>
      </c>
      <c r="D126">
        <v>1</v>
      </c>
      <c r="E126" s="36">
        <f t="shared" si="4"/>
        <v>0</v>
      </c>
      <c r="F126" s="36">
        <f t="shared" si="5"/>
        <v>0</v>
      </c>
      <c r="G126" s="36">
        <f t="shared" si="3"/>
        <v>688</v>
      </c>
      <c r="I126" s="5"/>
    </row>
    <row r="127" spans="2:9" x14ac:dyDescent="0.25">
      <c r="B127" s="8">
        <v>122</v>
      </c>
      <c r="C127" s="8">
        <v>10</v>
      </c>
      <c r="D127">
        <v>1</v>
      </c>
      <c r="E127" s="36">
        <f t="shared" si="4"/>
        <v>0</v>
      </c>
      <c r="F127" s="36">
        <f t="shared" si="5"/>
        <v>0</v>
      </c>
      <c r="G127" s="36">
        <f t="shared" si="3"/>
        <v>688</v>
      </c>
      <c r="I127" s="5"/>
    </row>
    <row r="128" spans="2:9" x14ac:dyDescent="0.25">
      <c r="B128" s="8">
        <v>123</v>
      </c>
      <c r="C128" s="8">
        <v>10</v>
      </c>
      <c r="D128">
        <v>1</v>
      </c>
      <c r="E128" s="36">
        <f t="shared" si="4"/>
        <v>0</v>
      </c>
      <c r="F128" s="36">
        <f t="shared" si="5"/>
        <v>0</v>
      </c>
      <c r="G128" s="36">
        <f t="shared" si="3"/>
        <v>688</v>
      </c>
      <c r="I128" s="5"/>
    </row>
    <row r="129" spans="2:9" x14ac:dyDescent="0.25">
      <c r="B129" s="5">
        <v>124</v>
      </c>
      <c r="C129" s="8">
        <v>10</v>
      </c>
      <c r="D129">
        <v>1</v>
      </c>
      <c r="E129" s="36">
        <f t="shared" si="4"/>
        <v>0</v>
      </c>
      <c r="F129" s="36">
        <f t="shared" si="5"/>
        <v>0</v>
      </c>
      <c r="G129" s="36">
        <f t="shared" si="3"/>
        <v>688</v>
      </c>
      <c r="I129" s="5"/>
    </row>
    <row r="130" spans="2:9" x14ac:dyDescent="0.25">
      <c r="B130" s="8">
        <v>125</v>
      </c>
      <c r="C130" s="8">
        <v>10</v>
      </c>
      <c r="D130">
        <v>2</v>
      </c>
      <c r="E130" s="36">
        <f t="shared" si="4"/>
        <v>1</v>
      </c>
      <c r="F130" s="36">
        <f t="shared" si="5"/>
        <v>0</v>
      </c>
      <c r="G130" s="36">
        <f t="shared" si="3"/>
        <v>688</v>
      </c>
      <c r="I130" s="5"/>
    </row>
    <row r="131" spans="2:9" x14ac:dyDescent="0.25">
      <c r="B131" s="8">
        <v>126</v>
      </c>
      <c r="C131" s="8">
        <v>10</v>
      </c>
      <c r="D131">
        <v>1</v>
      </c>
      <c r="E131" s="36">
        <f t="shared" si="4"/>
        <v>0</v>
      </c>
      <c r="F131" s="36">
        <f t="shared" si="5"/>
        <v>0</v>
      </c>
      <c r="G131" s="36">
        <f t="shared" si="3"/>
        <v>688</v>
      </c>
      <c r="I131" s="5"/>
    </row>
    <row r="132" spans="2:9" x14ac:dyDescent="0.25">
      <c r="B132" s="5">
        <v>127</v>
      </c>
      <c r="C132" s="8">
        <v>10</v>
      </c>
      <c r="D132">
        <v>1</v>
      </c>
      <c r="E132" s="36">
        <f t="shared" si="4"/>
        <v>0</v>
      </c>
      <c r="F132" s="36">
        <f t="shared" si="5"/>
        <v>0</v>
      </c>
      <c r="G132" s="36">
        <f t="shared" si="3"/>
        <v>688</v>
      </c>
      <c r="I132" s="5"/>
    </row>
    <row r="133" spans="2:9" x14ac:dyDescent="0.25">
      <c r="B133" s="8">
        <v>128</v>
      </c>
      <c r="C133" s="8">
        <v>10</v>
      </c>
      <c r="D133">
        <v>1</v>
      </c>
      <c r="E133" s="36">
        <f t="shared" si="4"/>
        <v>0</v>
      </c>
      <c r="F133" s="36">
        <f t="shared" si="5"/>
        <v>0</v>
      </c>
      <c r="G133" s="36">
        <f t="shared" si="3"/>
        <v>688</v>
      </c>
      <c r="I133" s="5"/>
    </row>
    <row r="134" spans="2:9" x14ac:dyDescent="0.25">
      <c r="B134" s="8">
        <v>129</v>
      </c>
      <c r="C134" s="8">
        <v>10</v>
      </c>
      <c r="D134">
        <v>1</v>
      </c>
      <c r="E134" s="36">
        <f t="shared" si="4"/>
        <v>0</v>
      </c>
      <c r="F134" s="36">
        <f t="shared" si="5"/>
        <v>0</v>
      </c>
      <c r="G134" s="36">
        <f t="shared" ref="G134:G197" si="6">MAX(G133-I134,0)</f>
        <v>688</v>
      </c>
      <c r="I134" s="5"/>
    </row>
    <row r="135" spans="2:9" x14ac:dyDescent="0.25">
      <c r="B135" s="8">
        <v>130</v>
      </c>
      <c r="C135" s="8">
        <v>10</v>
      </c>
      <c r="D135">
        <v>2</v>
      </c>
      <c r="E135" s="36">
        <f t="shared" ref="E135:E198" si="7">IF(MOD(B135,5)=0,1,0)</f>
        <v>1</v>
      </c>
      <c r="F135" s="36">
        <f t="shared" ref="F135:F198" si="8">MAX(F134-C135,0)</f>
        <v>0</v>
      </c>
      <c r="G135" s="36">
        <f t="shared" si="6"/>
        <v>688</v>
      </c>
      <c r="I135" s="5"/>
    </row>
    <row r="136" spans="2:9" x14ac:dyDescent="0.25">
      <c r="B136" s="8">
        <v>131</v>
      </c>
      <c r="C136" s="8">
        <v>10</v>
      </c>
      <c r="D136">
        <v>1</v>
      </c>
      <c r="E136" s="36">
        <f t="shared" si="7"/>
        <v>0</v>
      </c>
      <c r="F136" s="36">
        <f t="shared" si="8"/>
        <v>0</v>
      </c>
      <c r="G136" s="36">
        <f t="shared" si="6"/>
        <v>688</v>
      </c>
      <c r="I136" s="5"/>
    </row>
    <row r="137" spans="2:9" x14ac:dyDescent="0.25">
      <c r="B137" s="5">
        <v>132</v>
      </c>
      <c r="C137" s="8">
        <v>10</v>
      </c>
      <c r="D137">
        <v>1</v>
      </c>
      <c r="E137" s="36">
        <f t="shared" si="7"/>
        <v>0</v>
      </c>
      <c r="F137" s="36">
        <f t="shared" si="8"/>
        <v>0</v>
      </c>
      <c r="G137" s="36">
        <f t="shared" si="6"/>
        <v>688</v>
      </c>
      <c r="I137" s="5"/>
    </row>
    <row r="138" spans="2:9" x14ac:dyDescent="0.25">
      <c r="B138" s="8">
        <v>133</v>
      </c>
      <c r="C138" s="8">
        <v>10</v>
      </c>
      <c r="D138">
        <v>1</v>
      </c>
      <c r="E138" s="36">
        <f t="shared" si="7"/>
        <v>0</v>
      </c>
      <c r="F138" s="36">
        <f t="shared" si="8"/>
        <v>0</v>
      </c>
      <c r="G138" s="36">
        <f t="shared" si="6"/>
        <v>688</v>
      </c>
      <c r="I138" s="5"/>
    </row>
    <row r="139" spans="2:9" x14ac:dyDescent="0.25">
      <c r="B139" s="8">
        <v>134</v>
      </c>
      <c r="C139" s="8">
        <v>10</v>
      </c>
      <c r="D139">
        <v>1</v>
      </c>
      <c r="E139" s="36">
        <f t="shared" si="7"/>
        <v>0</v>
      </c>
      <c r="F139" s="36">
        <f t="shared" si="8"/>
        <v>0</v>
      </c>
      <c r="G139" s="36">
        <f t="shared" si="6"/>
        <v>688</v>
      </c>
      <c r="I139" s="5"/>
    </row>
    <row r="140" spans="2:9" x14ac:dyDescent="0.25">
      <c r="B140" s="5">
        <v>135</v>
      </c>
      <c r="C140" s="8">
        <v>10</v>
      </c>
      <c r="D140">
        <v>2</v>
      </c>
      <c r="E140" s="36">
        <f t="shared" si="7"/>
        <v>1</v>
      </c>
      <c r="F140" s="36">
        <f t="shared" si="8"/>
        <v>0</v>
      </c>
      <c r="G140" s="36">
        <f t="shared" si="6"/>
        <v>688</v>
      </c>
      <c r="I140" s="5"/>
    </row>
    <row r="141" spans="2:9" x14ac:dyDescent="0.25">
      <c r="B141" s="8">
        <v>136</v>
      </c>
      <c r="C141" s="8">
        <v>10</v>
      </c>
      <c r="D141">
        <v>1</v>
      </c>
      <c r="E141" s="36">
        <f t="shared" si="7"/>
        <v>0</v>
      </c>
      <c r="F141" s="36">
        <f t="shared" si="8"/>
        <v>0</v>
      </c>
      <c r="G141" s="36">
        <f t="shared" si="6"/>
        <v>688</v>
      </c>
      <c r="I141" s="5"/>
    </row>
    <row r="142" spans="2:9" x14ac:dyDescent="0.25">
      <c r="B142" s="8">
        <v>137</v>
      </c>
      <c r="C142" s="8">
        <v>10</v>
      </c>
      <c r="D142">
        <v>1</v>
      </c>
      <c r="E142" s="36">
        <f t="shared" si="7"/>
        <v>0</v>
      </c>
      <c r="F142" s="36">
        <f t="shared" si="8"/>
        <v>0</v>
      </c>
      <c r="G142" s="36">
        <f t="shared" si="6"/>
        <v>688</v>
      </c>
      <c r="I142" s="5"/>
    </row>
    <row r="143" spans="2:9" x14ac:dyDescent="0.25">
      <c r="B143" s="8">
        <v>138</v>
      </c>
      <c r="C143" s="8">
        <v>10</v>
      </c>
      <c r="D143">
        <v>1</v>
      </c>
      <c r="E143" s="36">
        <f t="shared" si="7"/>
        <v>0</v>
      </c>
      <c r="F143" s="36">
        <f t="shared" si="8"/>
        <v>0</v>
      </c>
      <c r="G143" s="36">
        <f t="shared" si="6"/>
        <v>688</v>
      </c>
      <c r="I143" s="5"/>
    </row>
    <row r="144" spans="2:9" x14ac:dyDescent="0.25">
      <c r="B144" s="8">
        <v>139</v>
      </c>
      <c r="C144" s="8">
        <v>10</v>
      </c>
      <c r="D144">
        <v>1</v>
      </c>
      <c r="E144" s="36">
        <f t="shared" si="7"/>
        <v>0</v>
      </c>
      <c r="F144" s="36">
        <f t="shared" si="8"/>
        <v>0</v>
      </c>
      <c r="G144" s="36">
        <f t="shared" si="6"/>
        <v>688</v>
      </c>
      <c r="I144" s="5"/>
    </row>
    <row r="145" spans="2:9" x14ac:dyDescent="0.25">
      <c r="B145" s="5">
        <v>140</v>
      </c>
      <c r="C145" s="8">
        <v>10</v>
      </c>
      <c r="D145">
        <v>2</v>
      </c>
      <c r="E145" s="36">
        <f t="shared" si="7"/>
        <v>1</v>
      </c>
      <c r="F145" s="36">
        <f t="shared" si="8"/>
        <v>0</v>
      </c>
      <c r="G145" s="36">
        <f t="shared" si="6"/>
        <v>688</v>
      </c>
      <c r="I145" s="5"/>
    </row>
    <row r="146" spans="2:9" x14ac:dyDescent="0.25">
      <c r="B146" s="8">
        <v>141</v>
      </c>
      <c r="C146" s="8">
        <v>10</v>
      </c>
      <c r="D146">
        <v>1</v>
      </c>
      <c r="E146" s="36">
        <f t="shared" si="7"/>
        <v>0</v>
      </c>
      <c r="F146" s="36">
        <f t="shared" si="8"/>
        <v>0</v>
      </c>
      <c r="G146" s="36">
        <f t="shared" si="6"/>
        <v>688</v>
      </c>
      <c r="I146" s="5"/>
    </row>
    <row r="147" spans="2:9" x14ac:dyDescent="0.25">
      <c r="B147" s="8">
        <v>142</v>
      </c>
      <c r="C147" s="8">
        <v>10</v>
      </c>
      <c r="D147">
        <v>1</v>
      </c>
      <c r="E147" s="36">
        <f t="shared" si="7"/>
        <v>0</v>
      </c>
      <c r="F147" s="36">
        <f t="shared" si="8"/>
        <v>0</v>
      </c>
      <c r="G147" s="36">
        <f t="shared" si="6"/>
        <v>688</v>
      </c>
      <c r="I147" s="5"/>
    </row>
    <row r="148" spans="2:9" x14ac:dyDescent="0.25">
      <c r="B148" s="5">
        <v>143</v>
      </c>
      <c r="C148" s="8">
        <v>10</v>
      </c>
      <c r="D148">
        <v>1</v>
      </c>
      <c r="E148" s="36">
        <f t="shared" si="7"/>
        <v>0</v>
      </c>
      <c r="F148" s="36">
        <f t="shared" si="8"/>
        <v>0</v>
      </c>
      <c r="G148" s="36">
        <f t="shared" si="6"/>
        <v>688</v>
      </c>
      <c r="I148" s="5"/>
    </row>
    <row r="149" spans="2:9" x14ac:dyDescent="0.25">
      <c r="B149" s="8">
        <v>144</v>
      </c>
      <c r="C149" s="8">
        <v>10</v>
      </c>
      <c r="D149">
        <v>1</v>
      </c>
      <c r="E149" s="36">
        <f t="shared" si="7"/>
        <v>0</v>
      </c>
      <c r="F149" s="36">
        <f t="shared" si="8"/>
        <v>0</v>
      </c>
      <c r="G149" s="36">
        <f t="shared" si="6"/>
        <v>688</v>
      </c>
      <c r="I149" s="5"/>
    </row>
    <row r="150" spans="2:9" x14ac:dyDescent="0.25">
      <c r="B150" s="8">
        <v>145</v>
      </c>
      <c r="C150" s="8">
        <v>10</v>
      </c>
      <c r="D150">
        <v>2</v>
      </c>
      <c r="E150" s="36">
        <f t="shared" si="7"/>
        <v>1</v>
      </c>
      <c r="F150" s="36">
        <f t="shared" si="8"/>
        <v>0</v>
      </c>
      <c r="G150" s="36">
        <f t="shared" si="6"/>
        <v>688</v>
      </c>
      <c r="I150" s="5"/>
    </row>
    <row r="151" spans="2:9" x14ac:dyDescent="0.25">
      <c r="B151" s="8">
        <v>146</v>
      </c>
      <c r="C151" s="8">
        <v>10</v>
      </c>
      <c r="D151">
        <v>1</v>
      </c>
      <c r="E151" s="36">
        <f t="shared" si="7"/>
        <v>0</v>
      </c>
      <c r="F151" s="36">
        <f t="shared" si="8"/>
        <v>0</v>
      </c>
      <c r="G151" s="36">
        <f t="shared" si="6"/>
        <v>688</v>
      </c>
      <c r="I151" s="5"/>
    </row>
    <row r="152" spans="2:9" x14ac:dyDescent="0.25">
      <c r="B152" s="8">
        <v>147</v>
      </c>
      <c r="C152" s="8">
        <v>10</v>
      </c>
      <c r="D152">
        <v>1</v>
      </c>
      <c r="E152" s="36">
        <f t="shared" si="7"/>
        <v>0</v>
      </c>
      <c r="F152" s="36">
        <f t="shared" si="8"/>
        <v>0</v>
      </c>
      <c r="G152" s="36">
        <f t="shared" si="6"/>
        <v>688</v>
      </c>
      <c r="I152" s="5"/>
    </row>
    <row r="153" spans="2:9" x14ac:dyDescent="0.25">
      <c r="B153" s="5">
        <v>148</v>
      </c>
      <c r="C153" s="8">
        <v>10</v>
      </c>
      <c r="D153">
        <v>1</v>
      </c>
      <c r="E153" s="36">
        <f t="shared" si="7"/>
        <v>0</v>
      </c>
      <c r="F153" s="36">
        <f t="shared" si="8"/>
        <v>0</v>
      </c>
      <c r="G153" s="36">
        <f t="shared" si="6"/>
        <v>688</v>
      </c>
      <c r="I153" s="5"/>
    </row>
    <row r="154" spans="2:9" x14ac:dyDescent="0.25">
      <c r="B154" s="8">
        <v>149</v>
      </c>
      <c r="C154" s="8">
        <v>10</v>
      </c>
      <c r="D154">
        <v>1</v>
      </c>
      <c r="E154" s="36">
        <f t="shared" si="7"/>
        <v>0</v>
      </c>
      <c r="F154" s="36">
        <f t="shared" si="8"/>
        <v>0</v>
      </c>
      <c r="G154" s="36">
        <f t="shared" si="6"/>
        <v>688</v>
      </c>
      <c r="I154" s="5"/>
    </row>
    <row r="155" spans="2:9" x14ac:dyDescent="0.25">
      <c r="B155" s="8">
        <v>150</v>
      </c>
      <c r="C155" s="8">
        <v>10</v>
      </c>
      <c r="D155">
        <v>2</v>
      </c>
      <c r="E155" s="36">
        <f t="shared" si="7"/>
        <v>1</v>
      </c>
      <c r="F155" s="36">
        <f t="shared" si="8"/>
        <v>0</v>
      </c>
      <c r="G155" s="36">
        <f t="shared" si="6"/>
        <v>688</v>
      </c>
      <c r="I155" s="5"/>
    </row>
    <row r="156" spans="2:9" x14ac:dyDescent="0.25">
      <c r="B156" s="5">
        <v>151</v>
      </c>
      <c r="C156" s="8">
        <v>10</v>
      </c>
      <c r="D156">
        <v>1</v>
      </c>
      <c r="E156" s="36">
        <f t="shared" si="7"/>
        <v>0</v>
      </c>
      <c r="F156" s="36">
        <f t="shared" si="8"/>
        <v>0</v>
      </c>
      <c r="G156" s="36">
        <f t="shared" si="6"/>
        <v>688</v>
      </c>
      <c r="I156" s="5"/>
    </row>
    <row r="157" spans="2:9" x14ac:dyDescent="0.25">
      <c r="B157" s="8">
        <v>152</v>
      </c>
      <c r="C157" s="8">
        <v>10</v>
      </c>
      <c r="D157">
        <v>1</v>
      </c>
      <c r="E157" s="36">
        <f t="shared" si="7"/>
        <v>0</v>
      </c>
      <c r="F157" s="36">
        <f t="shared" si="8"/>
        <v>0</v>
      </c>
      <c r="G157" s="36">
        <f t="shared" si="6"/>
        <v>688</v>
      </c>
      <c r="I157" s="5"/>
    </row>
    <row r="158" spans="2:9" x14ac:dyDescent="0.25">
      <c r="B158" s="8">
        <v>153</v>
      </c>
      <c r="C158" s="8">
        <v>10</v>
      </c>
      <c r="D158">
        <v>1</v>
      </c>
      <c r="E158" s="36">
        <f t="shared" si="7"/>
        <v>0</v>
      </c>
      <c r="F158" s="36">
        <f t="shared" si="8"/>
        <v>0</v>
      </c>
      <c r="G158" s="36">
        <f t="shared" si="6"/>
        <v>688</v>
      </c>
      <c r="I158" s="5"/>
    </row>
    <row r="159" spans="2:9" x14ac:dyDescent="0.25">
      <c r="B159" s="5">
        <v>154</v>
      </c>
      <c r="C159" s="8">
        <v>10</v>
      </c>
      <c r="D159">
        <v>1</v>
      </c>
      <c r="E159" s="36">
        <f t="shared" si="7"/>
        <v>0</v>
      </c>
      <c r="F159" s="36">
        <f t="shared" si="8"/>
        <v>0</v>
      </c>
      <c r="G159" s="36">
        <f t="shared" si="6"/>
        <v>688</v>
      </c>
      <c r="I159" s="5"/>
    </row>
    <row r="160" spans="2:9" x14ac:dyDescent="0.25">
      <c r="B160" s="8">
        <v>155</v>
      </c>
      <c r="C160" s="8">
        <v>10</v>
      </c>
      <c r="D160">
        <v>2</v>
      </c>
      <c r="E160" s="36">
        <f t="shared" si="7"/>
        <v>1</v>
      </c>
      <c r="F160" s="36">
        <f t="shared" si="8"/>
        <v>0</v>
      </c>
      <c r="G160" s="36">
        <f t="shared" si="6"/>
        <v>688</v>
      </c>
      <c r="I160" s="5"/>
    </row>
    <row r="161" spans="2:9" x14ac:dyDescent="0.25">
      <c r="B161" s="8">
        <v>156</v>
      </c>
      <c r="C161" s="8">
        <v>10</v>
      </c>
      <c r="D161">
        <v>1</v>
      </c>
      <c r="E161" s="36">
        <f t="shared" si="7"/>
        <v>0</v>
      </c>
      <c r="F161" s="36">
        <f t="shared" si="8"/>
        <v>0</v>
      </c>
      <c r="G161" s="36">
        <f t="shared" si="6"/>
        <v>688</v>
      </c>
      <c r="I161" s="5"/>
    </row>
    <row r="162" spans="2:9" x14ac:dyDescent="0.25">
      <c r="B162" s="5">
        <v>157</v>
      </c>
      <c r="C162" s="8">
        <v>10</v>
      </c>
      <c r="D162">
        <v>1</v>
      </c>
      <c r="E162" s="36">
        <f t="shared" si="7"/>
        <v>0</v>
      </c>
      <c r="F162" s="36">
        <f t="shared" si="8"/>
        <v>0</v>
      </c>
      <c r="G162" s="36">
        <f t="shared" si="6"/>
        <v>688</v>
      </c>
      <c r="I162" s="5"/>
    </row>
    <row r="163" spans="2:9" x14ac:dyDescent="0.25">
      <c r="B163" s="8">
        <v>158</v>
      </c>
      <c r="C163" s="8">
        <v>10</v>
      </c>
      <c r="D163">
        <v>1</v>
      </c>
      <c r="E163" s="36">
        <f t="shared" si="7"/>
        <v>0</v>
      </c>
      <c r="F163" s="36">
        <f t="shared" si="8"/>
        <v>0</v>
      </c>
      <c r="G163" s="36">
        <f t="shared" si="6"/>
        <v>688</v>
      </c>
      <c r="I163" s="5"/>
    </row>
    <row r="164" spans="2:9" x14ac:dyDescent="0.25">
      <c r="B164" s="8">
        <v>159</v>
      </c>
      <c r="C164" s="8">
        <v>10</v>
      </c>
      <c r="D164">
        <v>1</v>
      </c>
      <c r="E164" s="36">
        <f t="shared" si="7"/>
        <v>0</v>
      </c>
      <c r="F164" s="36">
        <f t="shared" si="8"/>
        <v>0</v>
      </c>
      <c r="G164" s="36">
        <f t="shared" si="6"/>
        <v>688</v>
      </c>
      <c r="I164" s="5"/>
    </row>
    <row r="165" spans="2:9" x14ac:dyDescent="0.25">
      <c r="B165" s="8">
        <v>160</v>
      </c>
      <c r="C165" s="8">
        <v>10</v>
      </c>
      <c r="D165">
        <v>2</v>
      </c>
      <c r="E165" s="36">
        <f t="shared" si="7"/>
        <v>1</v>
      </c>
      <c r="F165" s="36">
        <f t="shared" si="8"/>
        <v>0</v>
      </c>
      <c r="G165" s="36">
        <f t="shared" si="6"/>
        <v>688</v>
      </c>
      <c r="I165" s="5"/>
    </row>
    <row r="166" spans="2:9" x14ac:dyDescent="0.25">
      <c r="B166" s="8">
        <v>161</v>
      </c>
      <c r="C166" s="8">
        <v>10</v>
      </c>
      <c r="D166">
        <v>1</v>
      </c>
      <c r="E166" s="36">
        <f t="shared" si="7"/>
        <v>0</v>
      </c>
      <c r="F166" s="36">
        <f t="shared" si="8"/>
        <v>0</v>
      </c>
      <c r="G166" s="36">
        <f t="shared" si="6"/>
        <v>688</v>
      </c>
      <c r="I166" s="5"/>
    </row>
    <row r="167" spans="2:9" x14ac:dyDescent="0.25">
      <c r="B167" s="5">
        <v>162</v>
      </c>
      <c r="C167" s="8">
        <v>10</v>
      </c>
      <c r="D167">
        <v>1</v>
      </c>
      <c r="E167" s="36">
        <f t="shared" si="7"/>
        <v>0</v>
      </c>
      <c r="F167" s="36">
        <f t="shared" si="8"/>
        <v>0</v>
      </c>
      <c r="G167" s="36">
        <f t="shared" si="6"/>
        <v>688</v>
      </c>
      <c r="I167" s="5"/>
    </row>
    <row r="168" spans="2:9" x14ac:dyDescent="0.25">
      <c r="B168" s="8">
        <v>163</v>
      </c>
      <c r="C168" s="8">
        <v>10</v>
      </c>
      <c r="D168">
        <v>1</v>
      </c>
      <c r="E168" s="36">
        <f t="shared" si="7"/>
        <v>0</v>
      </c>
      <c r="F168" s="36">
        <f t="shared" si="8"/>
        <v>0</v>
      </c>
      <c r="G168" s="36">
        <f t="shared" si="6"/>
        <v>688</v>
      </c>
      <c r="I168" s="5"/>
    </row>
    <row r="169" spans="2:9" x14ac:dyDescent="0.25">
      <c r="B169" s="8">
        <v>164</v>
      </c>
      <c r="C169" s="8">
        <v>10</v>
      </c>
      <c r="D169">
        <v>1</v>
      </c>
      <c r="E169" s="36">
        <f t="shared" si="7"/>
        <v>0</v>
      </c>
      <c r="F169" s="36">
        <f t="shared" si="8"/>
        <v>0</v>
      </c>
      <c r="G169" s="36">
        <f t="shared" si="6"/>
        <v>688</v>
      </c>
      <c r="I169" s="5"/>
    </row>
    <row r="170" spans="2:9" x14ac:dyDescent="0.25">
      <c r="B170" s="5">
        <v>165</v>
      </c>
      <c r="C170" s="8">
        <v>10</v>
      </c>
      <c r="D170">
        <v>2</v>
      </c>
      <c r="E170" s="36">
        <f t="shared" si="7"/>
        <v>1</v>
      </c>
      <c r="F170" s="36">
        <f t="shared" si="8"/>
        <v>0</v>
      </c>
      <c r="G170" s="36">
        <f t="shared" si="6"/>
        <v>688</v>
      </c>
      <c r="I170" s="5"/>
    </row>
    <row r="171" spans="2:9" x14ac:dyDescent="0.25">
      <c r="B171" s="8">
        <v>166</v>
      </c>
      <c r="C171" s="8">
        <v>10</v>
      </c>
      <c r="D171">
        <v>1</v>
      </c>
      <c r="E171" s="36">
        <f t="shared" si="7"/>
        <v>0</v>
      </c>
      <c r="F171" s="36">
        <f t="shared" si="8"/>
        <v>0</v>
      </c>
      <c r="G171" s="36">
        <f t="shared" si="6"/>
        <v>688</v>
      </c>
      <c r="I171" s="5"/>
    </row>
    <row r="172" spans="2:9" x14ac:dyDescent="0.25">
      <c r="B172" s="8">
        <v>167</v>
      </c>
      <c r="C172" s="8">
        <v>10</v>
      </c>
      <c r="D172">
        <v>1</v>
      </c>
      <c r="E172" s="36">
        <f t="shared" si="7"/>
        <v>0</v>
      </c>
      <c r="F172" s="36">
        <f t="shared" si="8"/>
        <v>0</v>
      </c>
      <c r="G172" s="36">
        <f t="shared" si="6"/>
        <v>688</v>
      </c>
      <c r="I172" s="5"/>
    </row>
    <row r="173" spans="2:9" x14ac:dyDescent="0.25">
      <c r="B173" s="8">
        <v>168</v>
      </c>
      <c r="C173" s="8">
        <v>10</v>
      </c>
      <c r="D173">
        <v>1</v>
      </c>
      <c r="E173" s="36">
        <f t="shared" si="7"/>
        <v>0</v>
      </c>
      <c r="F173" s="36">
        <f t="shared" si="8"/>
        <v>0</v>
      </c>
      <c r="G173" s="36">
        <f t="shared" si="6"/>
        <v>688</v>
      </c>
      <c r="I173" s="5"/>
    </row>
    <row r="174" spans="2:9" x14ac:dyDescent="0.25">
      <c r="B174" s="8">
        <v>169</v>
      </c>
      <c r="C174" s="8">
        <v>10</v>
      </c>
      <c r="D174">
        <v>1</v>
      </c>
      <c r="E174" s="36">
        <f t="shared" si="7"/>
        <v>0</v>
      </c>
      <c r="F174" s="36">
        <f t="shared" si="8"/>
        <v>0</v>
      </c>
      <c r="G174" s="36">
        <f t="shared" si="6"/>
        <v>688</v>
      </c>
      <c r="I174" s="5"/>
    </row>
    <row r="175" spans="2:9" x14ac:dyDescent="0.25">
      <c r="B175" s="5">
        <v>170</v>
      </c>
      <c r="C175" s="8">
        <v>10</v>
      </c>
      <c r="D175">
        <v>2</v>
      </c>
      <c r="E175" s="36">
        <f t="shared" si="7"/>
        <v>1</v>
      </c>
      <c r="F175" s="36">
        <f t="shared" si="8"/>
        <v>0</v>
      </c>
      <c r="G175" s="36">
        <f t="shared" si="6"/>
        <v>688</v>
      </c>
      <c r="I175" s="5"/>
    </row>
    <row r="176" spans="2:9" x14ac:dyDescent="0.25">
      <c r="B176" s="8">
        <v>171</v>
      </c>
      <c r="C176" s="8">
        <v>10</v>
      </c>
      <c r="D176">
        <v>1</v>
      </c>
      <c r="E176" s="36">
        <f t="shared" si="7"/>
        <v>0</v>
      </c>
      <c r="F176" s="36">
        <f t="shared" si="8"/>
        <v>0</v>
      </c>
      <c r="G176" s="36">
        <f t="shared" si="6"/>
        <v>688</v>
      </c>
      <c r="I176" s="5"/>
    </row>
    <row r="177" spans="2:9" x14ac:dyDescent="0.25">
      <c r="B177" s="8">
        <v>172</v>
      </c>
      <c r="C177" s="8">
        <v>10</v>
      </c>
      <c r="D177">
        <v>1</v>
      </c>
      <c r="E177" s="36">
        <f t="shared" si="7"/>
        <v>0</v>
      </c>
      <c r="F177" s="36">
        <f t="shared" si="8"/>
        <v>0</v>
      </c>
      <c r="G177" s="36">
        <f t="shared" si="6"/>
        <v>688</v>
      </c>
      <c r="I177" s="5"/>
    </row>
    <row r="178" spans="2:9" x14ac:dyDescent="0.25">
      <c r="B178" s="5">
        <v>173</v>
      </c>
      <c r="C178" s="8">
        <v>10</v>
      </c>
      <c r="D178">
        <v>1</v>
      </c>
      <c r="E178" s="36">
        <f t="shared" si="7"/>
        <v>0</v>
      </c>
      <c r="F178" s="36">
        <f t="shared" si="8"/>
        <v>0</v>
      </c>
      <c r="G178" s="36">
        <f t="shared" si="6"/>
        <v>688</v>
      </c>
      <c r="I178" s="5"/>
    </row>
    <row r="179" spans="2:9" x14ac:dyDescent="0.25">
      <c r="B179" s="8">
        <v>174</v>
      </c>
      <c r="C179" s="8">
        <v>10</v>
      </c>
      <c r="D179">
        <v>1</v>
      </c>
      <c r="E179" s="36">
        <f t="shared" si="7"/>
        <v>0</v>
      </c>
      <c r="F179" s="36">
        <f t="shared" si="8"/>
        <v>0</v>
      </c>
      <c r="G179" s="36">
        <f t="shared" si="6"/>
        <v>688</v>
      </c>
      <c r="I179" s="5"/>
    </row>
    <row r="180" spans="2:9" x14ac:dyDescent="0.25">
      <c r="B180" s="8">
        <v>175</v>
      </c>
      <c r="C180" s="8">
        <v>10</v>
      </c>
      <c r="D180">
        <v>2</v>
      </c>
      <c r="E180" s="36">
        <f t="shared" si="7"/>
        <v>1</v>
      </c>
      <c r="F180" s="36">
        <f t="shared" si="8"/>
        <v>0</v>
      </c>
      <c r="G180" s="36">
        <f t="shared" si="6"/>
        <v>688</v>
      </c>
      <c r="I180" s="5"/>
    </row>
    <row r="181" spans="2:9" x14ac:dyDescent="0.25">
      <c r="B181" s="8">
        <v>176</v>
      </c>
      <c r="C181" s="8">
        <v>10</v>
      </c>
      <c r="D181">
        <v>1</v>
      </c>
      <c r="E181" s="36">
        <f t="shared" si="7"/>
        <v>0</v>
      </c>
      <c r="F181" s="36">
        <f t="shared" si="8"/>
        <v>0</v>
      </c>
      <c r="G181" s="36">
        <f t="shared" si="6"/>
        <v>688</v>
      </c>
      <c r="I181" s="5"/>
    </row>
    <row r="182" spans="2:9" x14ac:dyDescent="0.25">
      <c r="B182" s="8">
        <v>177</v>
      </c>
      <c r="C182" s="8">
        <v>10</v>
      </c>
      <c r="D182">
        <v>1</v>
      </c>
      <c r="E182" s="36">
        <f t="shared" si="7"/>
        <v>0</v>
      </c>
      <c r="F182" s="36">
        <f t="shared" si="8"/>
        <v>0</v>
      </c>
      <c r="G182" s="36">
        <f t="shared" si="6"/>
        <v>688</v>
      </c>
      <c r="I182" s="5"/>
    </row>
    <row r="183" spans="2:9" x14ac:dyDescent="0.25">
      <c r="B183" s="5">
        <v>178</v>
      </c>
      <c r="C183" s="8">
        <v>10</v>
      </c>
      <c r="D183">
        <v>1</v>
      </c>
      <c r="E183" s="36">
        <f t="shared" si="7"/>
        <v>0</v>
      </c>
      <c r="F183" s="36">
        <f t="shared" si="8"/>
        <v>0</v>
      </c>
      <c r="G183" s="36">
        <f t="shared" si="6"/>
        <v>688</v>
      </c>
      <c r="I183" s="5"/>
    </row>
    <row r="184" spans="2:9" x14ac:dyDescent="0.25">
      <c r="B184" s="8">
        <v>179</v>
      </c>
      <c r="C184" s="8">
        <v>10</v>
      </c>
      <c r="D184">
        <v>1</v>
      </c>
      <c r="E184" s="36">
        <f t="shared" si="7"/>
        <v>0</v>
      </c>
      <c r="F184" s="36">
        <f t="shared" si="8"/>
        <v>0</v>
      </c>
      <c r="G184" s="36">
        <f t="shared" si="6"/>
        <v>688</v>
      </c>
      <c r="I184" s="5"/>
    </row>
    <row r="185" spans="2:9" x14ac:dyDescent="0.25">
      <c r="B185" s="8">
        <v>180</v>
      </c>
      <c r="C185" s="8">
        <v>10</v>
      </c>
      <c r="D185">
        <v>2</v>
      </c>
      <c r="E185" s="36">
        <f t="shared" si="7"/>
        <v>1</v>
      </c>
      <c r="F185" s="36">
        <f t="shared" si="8"/>
        <v>0</v>
      </c>
      <c r="G185" s="36">
        <f t="shared" si="6"/>
        <v>688</v>
      </c>
      <c r="I185" s="5"/>
    </row>
    <row r="186" spans="2:9" x14ac:dyDescent="0.25">
      <c r="B186" s="5">
        <v>181</v>
      </c>
      <c r="C186" s="8">
        <v>10</v>
      </c>
      <c r="D186">
        <v>1</v>
      </c>
      <c r="E186" s="36">
        <f t="shared" si="7"/>
        <v>0</v>
      </c>
      <c r="F186" s="36">
        <f t="shared" si="8"/>
        <v>0</v>
      </c>
      <c r="G186" s="36">
        <f t="shared" si="6"/>
        <v>688</v>
      </c>
      <c r="I186" s="5"/>
    </row>
    <row r="187" spans="2:9" x14ac:dyDescent="0.25">
      <c r="B187" s="8">
        <v>182</v>
      </c>
      <c r="C187" s="8">
        <v>10</v>
      </c>
      <c r="D187">
        <v>1</v>
      </c>
      <c r="E187" s="36">
        <f t="shared" si="7"/>
        <v>0</v>
      </c>
      <c r="F187" s="36">
        <f t="shared" si="8"/>
        <v>0</v>
      </c>
      <c r="G187" s="36">
        <f t="shared" si="6"/>
        <v>688</v>
      </c>
      <c r="I187" s="5"/>
    </row>
    <row r="188" spans="2:9" x14ac:dyDescent="0.25">
      <c r="B188" s="8">
        <v>183</v>
      </c>
      <c r="C188" s="8">
        <v>10</v>
      </c>
      <c r="D188">
        <v>1</v>
      </c>
      <c r="E188" s="36">
        <f t="shared" si="7"/>
        <v>0</v>
      </c>
      <c r="F188" s="36">
        <f t="shared" si="8"/>
        <v>0</v>
      </c>
      <c r="G188" s="36">
        <f t="shared" si="6"/>
        <v>688</v>
      </c>
      <c r="I188" s="5"/>
    </row>
    <row r="189" spans="2:9" x14ac:dyDescent="0.25">
      <c r="B189" s="8">
        <v>184</v>
      </c>
      <c r="C189" s="8">
        <v>10</v>
      </c>
      <c r="D189">
        <v>1</v>
      </c>
      <c r="E189" s="36">
        <f t="shared" si="7"/>
        <v>0</v>
      </c>
      <c r="F189" s="36">
        <f t="shared" si="8"/>
        <v>0</v>
      </c>
      <c r="G189" s="36">
        <f t="shared" si="6"/>
        <v>688</v>
      </c>
      <c r="I189" s="5"/>
    </row>
    <row r="190" spans="2:9" x14ac:dyDescent="0.25">
      <c r="B190" s="8">
        <v>185</v>
      </c>
      <c r="C190" s="8">
        <v>10</v>
      </c>
      <c r="D190">
        <v>2</v>
      </c>
      <c r="E190" s="36">
        <f t="shared" si="7"/>
        <v>1</v>
      </c>
      <c r="F190" s="36">
        <f t="shared" si="8"/>
        <v>0</v>
      </c>
      <c r="G190" s="36">
        <f t="shared" si="6"/>
        <v>688</v>
      </c>
      <c r="I190" s="5"/>
    </row>
    <row r="191" spans="2:9" x14ac:dyDescent="0.25">
      <c r="B191" s="5">
        <v>186</v>
      </c>
      <c r="C191" s="8">
        <v>10</v>
      </c>
      <c r="D191">
        <v>1</v>
      </c>
      <c r="E191" s="36">
        <f t="shared" si="7"/>
        <v>0</v>
      </c>
      <c r="F191" s="36">
        <f t="shared" si="8"/>
        <v>0</v>
      </c>
      <c r="G191" s="36">
        <f t="shared" si="6"/>
        <v>688</v>
      </c>
      <c r="I191" s="5"/>
    </row>
    <row r="192" spans="2:9" x14ac:dyDescent="0.25">
      <c r="B192" s="8">
        <v>187</v>
      </c>
      <c r="C192" s="8">
        <v>10</v>
      </c>
      <c r="D192">
        <v>1</v>
      </c>
      <c r="E192" s="36">
        <f t="shared" si="7"/>
        <v>0</v>
      </c>
      <c r="F192" s="36">
        <f t="shared" si="8"/>
        <v>0</v>
      </c>
      <c r="G192" s="36">
        <f t="shared" si="6"/>
        <v>688</v>
      </c>
      <c r="I192" s="5"/>
    </row>
    <row r="193" spans="2:9" x14ac:dyDescent="0.25">
      <c r="B193" s="8">
        <v>188</v>
      </c>
      <c r="C193" s="8">
        <v>10</v>
      </c>
      <c r="D193">
        <v>1</v>
      </c>
      <c r="E193" s="36">
        <f t="shared" si="7"/>
        <v>0</v>
      </c>
      <c r="F193" s="36">
        <f t="shared" si="8"/>
        <v>0</v>
      </c>
      <c r="G193" s="36">
        <f t="shared" si="6"/>
        <v>688</v>
      </c>
      <c r="I193" s="5"/>
    </row>
    <row r="194" spans="2:9" x14ac:dyDescent="0.25">
      <c r="B194" s="5">
        <v>189</v>
      </c>
      <c r="C194" s="8">
        <v>10</v>
      </c>
      <c r="D194">
        <v>1</v>
      </c>
      <c r="E194" s="36">
        <f t="shared" si="7"/>
        <v>0</v>
      </c>
      <c r="F194" s="36">
        <f t="shared" si="8"/>
        <v>0</v>
      </c>
      <c r="G194" s="36">
        <f t="shared" si="6"/>
        <v>688</v>
      </c>
      <c r="I194" s="5"/>
    </row>
    <row r="195" spans="2:9" x14ac:dyDescent="0.25">
      <c r="B195" s="8">
        <v>190</v>
      </c>
      <c r="C195" s="8">
        <v>10</v>
      </c>
      <c r="D195">
        <v>2</v>
      </c>
      <c r="E195" s="36">
        <f t="shared" si="7"/>
        <v>1</v>
      </c>
      <c r="F195" s="36">
        <f t="shared" si="8"/>
        <v>0</v>
      </c>
      <c r="G195" s="36">
        <f t="shared" si="6"/>
        <v>688</v>
      </c>
      <c r="I195" s="5"/>
    </row>
    <row r="196" spans="2:9" x14ac:dyDescent="0.25">
      <c r="B196" s="8">
        <v>191</v>
      </c>
      <c r="C196" s="8">
        <v>10</v>
      </c>
      <c r="D196">
        <v>1</v>
      </c>
      <c r="E196" s="36">
        <f t="shared" si="7"/>
        <v>0</v>
      </c>
      <c r="F196" s="36">
        <f t="shared" si="8"/>
        <v>0</v>
      </c>
      <c r="G196" s="36">
        <f t="shared" si="6"/>
        <v>688</v>
      </c>
      <c r="I196" s="5"/>
    </row>
    <row r="197" spans="2:9" x14ac:dyDescent="0.25">
      <c r="B197" s="8">
        <v>192</v>
      </c>
      <c r="C197" s="8">
        <v>10</v>
      </c>
      <c r="D197">
        <v>1</v>
      </c>
      <c r="E197" s="36">
        <f t="shared" si="7"/>
        <v>0</v>
      </c>
      <c r="F197" s="36">
        <f t="shared" si="8"/>
        <v>0</v>
      </c>
      <c r="G197" s="36">
        <f t="shared" si="6"/>
        <v>688</v>
      </c>
      <c r="I197" s="5"/>
    </row>
    <row r="198" spans="2:9" x14ac:dyDescent="0.25">
      <c r="B198" s="8">
        <v>193</v>
      </c>
      <c r="C198" s="8">
        <v>10</v>
      </c>
      <c r="D198">
        <v>1</v>
      </c>
      <c r="E198" s="36">
        <f t="shared" si="7"/>
        <v>0</v>
      </c>
      <c r="F198" s="36">
        <f t="shared" si="8"/>
        <v>0</v>
      </c>
      <c r="G198" s="36">
        <f t="shared" ref="G198:G249" si="9">MAX(G197-I198,0)</f>
        <v>688</v>
      </c>
      <c r="I198" s="5"/>
    </row>
    <row r="199" spans="2:9" x14ac:dyDescent="0.25">
      <c r="B199" s="5">
        <v>194</v>
      </c>
      <c r="C199" s="8">
        <v>10</v>
      </c>
      <c r="D199">
        <v>1</v>
      </c>
      <c r="E199" s="36">
        <f t="shared" ref="E199:E249" si="10">IF(MOD(B199,5)=0,1,0)</f>
        <v>0</v>
      </c>
      <c r="F199" s="36">
        <f t="shared" ref="F199:F249" si="11">MAX(F198-C199,0)</f>
        <v>0</v>
      </c>
      <c r="G199" s="36">
        <f t="shared" si="9"/>
        <v>688</v>
      </c>
      <c r="I199" s="5"/>
    </row>
    <row r="200" spans="2:9" x14ac:dyDescent="0.25">
      <c r="B200" s="8">
        <v>195</v>
      </c>
      <c r="C200" s="8">
        <v>10</v>
      </c>
      <c r="D200">
        <v>2</v>
      </c>
      <c r="E200" s="36">
        <f t="shared" si="10"/>
        <v>1</v>
      </c>
      <c r="F200" s="36">
        <f t="shared" si="11"/>
        <v>0</v>
      </c>
      <c r="G200" s="36">
        <f t="shared" si="9"/>
        <v>688</v>
      </c>
      <c r="I200" s="5"/>
    </row>
    <row r="201" spans="2:9" x14ac:dyDescent="0.25">
      <c r="B201" s="8">
        <v>196</v>
      </c>
      <c r="C201" s="8">
        <v>10</v>
      </c>
      <c r="D201">
        <v>1</v>
      </c>
      <c r="E201" s="36">
        <f t="shared" si="10"/>
        <v>0</v>
      </c>
      <c r="F201" s="36">
        <f t="shared" si="11"/>
        <v>0</v>
      </c>
      <c r="G201" s="36">
        <f t="shared" si="9"/>
        <v>688</v>
      </c>
      <c r="I201" s="5"/>
    </row>
    <row r="202" spans="2:9" x14ac:dyDescent="0.25">
      <c r="B202" s="5">
        <v>197</v>
      </c>
      <c r="C202" s="8">
        <v>10</v>
      </c>
      <c r="D202">
        <v>1</v>
      </c>
      <c r="E202" s="36">
        <f t="shared" si="10"/>
        <v>0</v>
      </c>
      <c r="F202" s="36">
        <f t="shared" si="11"/>
        <v>0</v>
      </c>
      <c r="G202" s="36">
        <f t="shared" si="9"/>
        <v>688</v>
      </c>
      <c r="I202" s="5"/>
    </row>
    <row r="203" spans="2:9" x14ac:dyDescent="0.25">
      <c r="B203" s="8">
        <v>198</v>
      </c>
      <c r="C203" s="8">
        <v>10</v>
      </c>
      <c r="D203">
        <v>1</v>
      </c>
      <c r="E203" s="36">
        <f t="shared" si="10"/>
        <v>0</v>
      </c>
      <c r="F203" s="36">
        <f t="shared" si="11"/>
        <v>0</v>
      </c>
      <c r="G203" s="36">
        <f t="shared" si="9"/>
        <v>688</v>
      </c>
      <c r="I203" s="5"/>
    </row>
    <row r="204" spans="2:9" x14ac:dyDescent="0.25">
      <c r="B204" s="8">
        <v>199</v>
      </c>
      <c r="C204" s="8">
        <v>10</v>
      </c>
      <c r="D204">
        <v>1</v>
      </c>
      <c r="E204" s="36">
        <f t="shared" si="10"/>
        <v>0</v>
      </c>
      <c r="F204" s="36">
        <f t="shared" si="11"/>
        <v>0</v>
      </c>
      <c r="G204" s="36">
        <f t="shared" si="9"/>
        <v>688</v>
      </c>
      <c r="I204" s="5"/>
    </row>
    <row r="205" spans="2:9" x14ac:dyDescent="0.25">
      <c r="B205" s="8">
        <v>200</v>
      </c>
      <c r="C205" s="8">
        <v>10</v>
      </c>
      <c r="D205">
        <v>2</v>
      </c>
      <c r="E205" s="36">
        <f t="shared" si="10"/>
        <v>1</v>
      </c>
      <c r="F205" s="36">
        <f t="shared" si="11"/>
        <v>0</v>
      </c>
      <c r="G205" s="36">
        <f t="shared" si="9"/>
        <v>688</v>
      </c>
      <c r="I205" s="5"/>
    </row>
    <row r="206" spans="2:9" x14ac:dyDescent="0.25">
      <c r="B206" s="8">
        <v>201</v>
      </c>
      <c r="C206" s="8">
        <v>10</v>
      </c>
      <c r="D206">
        <v>1</v>
      </c>
      <c r="E206" s="36">
        <f t="shared" si="10"/>
        <v>0</v>
      </c>
      <c r="F206" s="36">
        <f t="shared" si="11"/>
        <v>0</v>
      </c>
      <c r="G206" s="36">
        <f t="shared" si="9"/>
        <v>688</v>
      </c>
      <c r="I206" s="5"/>
    </row>
    <row r="207" spans="2:9" x14ac:dyDescent="0.25">
      <c r="B207" s="5">
        <v>202</v>
      </c>
      <c r="C207" s="8">
        <v>10</v>
      </c>
      <c r="D207">
        <v>1</v>
      </c>
      <c r="E207" s="36">
        <f t="shared" si="10"/>
        <v>0</v>
      </c>
      <c r="F207" s="36">
        <f t="shared" si="11"/>
        <v>0</v>
      </c>
      <c r="G207" s="36">
        <f t="shared" si="9"/>
        <v>688</v>
      </c>
      <c r="I207" s="5"/>
    </row>
    <row r="208" spans="2:9" x14ac:dyDescent="0.25">
      <c r="B208" s="8">
        <v>203</v>
      </c>
      <c r="C208" s="8">
        <v>10</v>
      </c>
      <c r="D208">
        <v>1</v>
      </c>
      <c r="E208" s="36">
        <f t="shared" si="10"/>
        <v>0</v>
      </c>
      <c r="F208" s="36">
        <f t="shared" si="11"/>
        <v>0</v>
      </c>
      <c r="G208" s="36">
        <f t="shared" si="9"/>
        <v>688</v>
      </c>
      <c r="I208" s="5"/>
    </row>
    <row r="209" spans="2:9" x14ac:dyDescent="0.25">
      <c r="B209" s="8">
        <v>204</v>
      </c>
      <c r="C209" s="8">
        <v>10</v>
      </c>
      <c r="D209">
        <v>1</v>
      </c>
      <c r="E209" s="36">
        <f t="shared" si="10"/>
        <v>0</v>
      </c>
      <c r="F209" s="36">
        <f t="shared" si="11"/>
        <v>0</v>
      </c>
      <c r="G209" s="36">
        <f t="shared" si="9"/>
        <v>688</v>
      </c>
      <c r="I209" s="5"/>
    </row>
    <row r="210" spans="2:9" x14ac:dyDescent="0.25">
      <c r="B210" s="8">
        <v>205</v>
      </c>
      <c r="C210" s="8">
        <v>10</v>
      </c>
      <c r="D210">
        <v>2</v>
      </c>
      <c r="E210" s="36">
        <f t="shared" si="10"/>
        <v>1</v>
      </c>
      <c r="F210" s="36">
        <f t="shared" si="11"/>
        <v>0</v>
      </c>
      <c r="G210" s="36">
        <f t="shared" si="9"/>
        <v>688</v>
      </c>
      <c r="I210" s="5"/>
    </row>
    <row r="211" spans="2:9" x14ac:dyDescent="0.25">
      <c r="B211" s="8">
        <v>206</v>
      </c>
      <c r="C211" s="8">
        <v>10</v>
      </c>
      <c r="D211">
        <v>1</v>
      </c>
      <c r="E211" s="36">
        <f t="shared" si="10"/>
        <v>0</v>
      </c>
      <c r="F211" s="36">
        <f t="shared" si="11"/>
        <v>0</v>
      </c>
      <c r="G211" s="36">
        <f t="shared" si="9"/>
        <v>688</v>
      </c>
      <c r="I211" s="5"/>
    </row>
    <row r="212" spans="2:9" x14ac:dyDescent="0.25">
      <c r="B212" s="5">
        <v>207</v>
      </c>
      <c r="C212" s="8">
        <v>10</v>
      </c>
      <c r="D212">
        <v>1</v>
      </c>
      <c r="E212" s="36">
        <f t="shared" si="10"/>
        <v>0</v>
      </c>
      <c r="F212" s="36">
        <f t="shared" si="11"/>
        <v>0</v>
      </c>
      <c r="G212" s="36">
        <f t="shared" si="9"/>
        <v>688</v>
      </c>
      <c r="I212" s="5"/>
    </row>
    <row r="213" spans="2:9" x14ac:dyDescent="0.25">
      <c r="B213" s="8">
        <v>208</v>
      </c>
      <c r="C213" s="8">
        <v>10</v>
      </c>
      <c r="D213">
        <v>1</v>
      </c>
      <c r="E213" s="36">
        <f t="shared" si="10"/>
        <v>0</v>
      </c>
      <c r="F213" s="36">
        <f t="shared" si="11"/>
        <v>0</v>
      </c>
      <c r="G213" s="36">
        <f t="shared" si="9"/>
        <v>688</v>
      </c>
      <c r="I213" s="5"/>
    </row>
    <row r="214" spans="2:9" x14ac:dyDescent="0.25">
      <c r="B214" s="8">
        <v>209</v>
      </c>
      <c r="C214" s="8">
        <v>10</v>
      </c>
      <c r="D214">
        <v>1</v>
      </c>
      <c r="E214" s="36">
        <f t="shared" si="10"/>
        <v>0</v>
      </c>
      <c r="F214" s="36">
        <f t="shared" si="11"/>
        <v>0</v>
      </c>
      <c r="G214" s="36">
        <f t="shared" si="9"/>
        <v>688</v>
      </c>
      <c r="I214" s="5"/>
    </row>
    <row r="215" spans="2:9" x14ac:dyDescent="0.25">
      <c r="B215" s="8">
        <v>210</v>
      </c>
      <c r="C215" s="8">
        <v>10</v>
      </c>
      <c r="D215">
        <v>2</v>
      </c>
      <c r="E215" s="36">
        <f t="shared" si="10"/>
        <v>1</v>
      </c>
      <c r="F215" s="36">
        <f t="shared" si="11"/>
        <v>0</v>
      </c>
      <c r="G215" s="36">
        <f t="shared" si="9"/>
        <v>688</v>
      </c>
      <c r="I215" s="5"/>
    </row>
    <row r="216" spans="2:9" x14ac:dyDescent="0.25">
      <c r="B216" s="8">
        <v>211</v>
      </c>
      <c r="C216" s="8">
        <v>10</v>
      </c>
      <c r="D216">
        <v>1</v>
      </c>
      <c r="E216" s="36">
        <f t="shared" si="10"/>
        <v>0</v>
      </c>
      <c r="F216" s="36">
        <f t="shared" si="11"/>
        <v>0</v>
      </c>
      <c r="G216" s="36">
        <f t="shared" si="9"/>
        <v>688</v>
      </c>
      <c r="I216" s="5"/>
    </row>
    <row r="217" spans="2:9" x14ac:dyDescent="0.25">
      <c r="B217" s="5">
        <v>212</v>
      </c>
      <c r="C217" s="8">
        <v>10</v>
      </c>
      <c r="D217">
        <v>1</v>
      </c>
      <c r="E217" s="36">
        <f t="shared" si="10"/>
        <v>0</v>
      </c>
      <c r="F217" s="36">
        <f t="shared" si="11"/>
        <v>0</v>
      </c>
      <c r="G217" s="36">
        <f t="shared" si="9"/>
        <v>688</v>
      </c>
      <c r="I217" s="5"/>
    </row>
    <row r="218" spans="2:9" x14ac:dyDescent="0.25">
      <c r="B218" s="8">
        <v>213</v>
      </c>
      <c r="C218" s="8">
        <v>10</v>
      </c>
      <c r="D218">
        <v>1</v>
      </c>
      <c r="E218" s="36">
        <f t="shared" si="10"/>
        <v>0</v>
      </c>
      <c r="F218" s="36">
        <f t="shared" si="11"/>
        <v>0</v>
      </c>
      <c r="G218" s="36">
        <f t="shared" si="9"/>
        <v>688</v>
      </c>
      <c r="I218" s="5"/>
    </row>
    <row r="219" spans="2:9" x14ac:dyDescent="0.25">
      <c r="B219" s="8">
        <v>214</v>
      </c>
      <c r="C219" s="8">
        <v>10</v>
      </c>
      <c r="D219">
        <v>1</v>
      </c>
      <c r="E219" s="36">
        <f t="shared" si="10"/>
        <v>0</v>
      </c>
      <c r="F219" s="36">
        <f t="shared" si="11"/>
        <v>0</v>
      </c>
      <c r="G219" s="36">
        <f t="shared" si="9"/>
        <v>688</v>
      </c>
      <c r="I219" s="5"/>
    </row>
    <row r="220" spans="2:9" x14ac:dyDescent="0.25">
      <c r="B220" s="8">
        <v>215</v>
      </c>
      <c r="C220" s="8">
        <v>10</v>
      </c>
      <c r="D220">
        <v>2</v>
      </c>
      <c r="E220" s="36">
        <f t="shared" si="10"/>
        <v>1</v>
      </c>
      <c r="F220" s="36">
        <f t="shared" si="11"/>
        <v>0</v>
      </c>
      <c r="G220" s="36">
        <f t="shared" si="9"/>
        <v>688</v>
      </c>
      <c r="I220" s="5"/>
    </row>
    <row r="221" spans="2:9" x14ac:dyDescent="0.25">
      <c r="B221" s="8">
        <v>216</v>
      </c>
      <c r="C221" s="8">
        <v>10</v>
      </c>
      <c r="D221">
        <v>1</v>
      </c>
      <c r="E221" s="36">
        <f t="shared" si="10"/>
        <v>0</v>
      </c>
      <c r="F221" s="36">
        <f t="shared" si="11"/>
        <v>0</v>
      </c>
      <c r="G221" s="36">
        <f t="shared" si="9"/>
        <v>688</v>
      </c>
      <c r="I221" s="5"/>
    </row>
    <row r="222" spans="2:9" x14ac:dyDescent="0.25">
      <c r="B222" s="5">
        <v>217</v>
      </c>
      <c r="C222" s="8">
        <v>10</v>
      </c>
      <c r="D222">
        <v>1</v>
      </c>
      <c r="E222" s="36">
        <f t="shared" si="10"/>
        <v>0</v>
      </c>
      <c r="F222" s="36">
        <f t="shared" si="11"/>
        <v>0</v>
      </c>
      <c r="G222" s="36">
        <f t="shared" si="9"/>
        <v>688</v>
      </c>
      <c r="I222" s="5"/>
    </row>
    <row r="223" spans="2:9" x14ac:dyDescent="0.25">
      <c r="B223" s="8">
        <v>218</v>
      </c>
      <c r="C223" s="8">
        <v>10</v>
      </c>
      <c r="D223">
        <v>1</v>
      </c>
      <c r="E223" s="36">
        <f t="shared" si="10"/>
        <v>0</v>
      </c>
      <c r="F223" s="36">
        <f t="shared" si="11"/>
        <v>0</v>
      </c>
      <c r="G223" s="36">
        <f t="shared" si="9"/>
        <v>688</v>
      </c>
      <c r="I223" s="5"/>
    </row>
    <row r="224" spans="2:9" x14ac:dyDescent="0.25">
      <c r="B224" s="8">
        <v>219</v>
      </c>
      <c r="C224" s="8">
        <v>10</v>
      </c>
      <c r="D224">
        <v>1</v>
      </c>
      <c r="E224" s="36">
        <f t="shared" si="10"/>
        <v>0</v>
      </c>
      <c r="F224" s="36">
        <f t="shared" si="11"/>
        <v>0</v>
      </c>
      <c r="G224" s="36">
        <f t="shared" si="9"/>
        <v>688</v>
      </c>
      <c r="I224" s="5"/>
    </row>
    <row r="225" spans="2:9" x14ac:dyDescent="0.25">
      <c r="B225" s="5">
        <v>220</v>
      </c>
      <c r="C225" s="8">
        <v>10</v>
      </c>
      <c r="D225">
        <v>2</v>
      </c>
      <c r="E225" s="36">
        <f t="shared" si="10"/>
        <v>1</v>
      </c>
      <c r="F225" s="36">
        <f t="shared" si="11"/>
        <v>0</v>
      </c>
      <c r="G225" s="36">
        <f t="shared" si="9"/>
        <v>688</v>
      </c>
      <c r="I225" s="5"/>
    </row>
    <row r="226" spans="2:9" x14ac:dyDescent="0.25">
      <c r="B226" s="8">
        <v>221</v>
      </c>
      <c r="C226" s="8">
        <v>10</v>
      </c>
      <c r="D226">
        <v>1</v>
      </c>
      <c r="E226" s="36">
        <f t="shared" si="10"/>
        <v>0</v>
      </c>
      <c r="F226" s="36">
        <f t="shared" si="11"/>
        <v>0</v>
      </c>
      <c r="G226" s="36">
        <f t="shared" si="9"/>
        <v>688</v>
      </c>
      <c r="I226" s="5"/>
    </row>
    <row r="227" spans="2:9" x14ac:dyDescent="0.25">
      <c r="B227" s="8">
        <v>222</v>
      </c>
      <c r="C227" s="8">
        <v>10</v>
      </c>
      <c r="D227">
        <v>1</v>
      </c>
      <c r="E227" s="36">
        <f t="shared" si="10"/>
        <v>0</v>
      </c>
      <c r="F227" s="36">
        <f t="shared" si="11"/>
        <v>0</v>
      </c>
      <c r="G227" s="36">
        <f t="shared" si="9"/>
        <v>688</v>
      </c>
      <c r="I227" s="5"/>
    </row>
    <row r="228" spans="2:9" x14ac:dyDescent="0.25">
      <c r="B228" s="8">
        <v>223</v>
      </c>
      <c r="C228" s="8">
        <v>10</v>
      </c>
      <c r="D228">
        <v>1</v>
      </c>
      <c r="E228" s="36">
        <f t="shared" si="10"/>
        <v>0</v>
      </c>
      <c r="F228" s="36">
        <f t="shared" si="11"/>
        <v>0</v>
      </c>
      <c r="G228" s="36">
        <f t="shared" si="9"/>
        <v>688</v>
      </c>
      <c r="I228" s="5"/>
    </row>
    <row r="229" spans="2:9" x14ac:dyDescent="0.25">
      <c r="B229" s="8">
        <v>224</v>
      </c>
      <c r="C229" s="8">
        <v>10</v>
      </c>
      <c r="D229">
        <v>1</v>
      </c>
      <c r="E229" s="36">
        <f t="shared" si="10"/>
        <v>0</v>
      </c>
      <c r="F229" s="36">
        <f t="shared" si="11"/>
        <v>0</v>
      </c>
      <c r="G229" s="36">
        <f t="shared" si="9"/>
        <v>688</v>
      </c>
      <c r="I229" s="5"/>
    </row>
    <row r="230" spans="2:9" x14ac:dyDescent="0.25">
      <c r="B230" s="5">
        <v>225</v>
      </c>
      <c r="C230" s="8">
        <v>10</v>
      </c>
      <c r="D230">
        <v>2</v>
      </c>
      <c r="E230" s="36">
        <f t="shared" si="10"/>
        <v>1</v>
      </c>
      <c r="F230" s="36">
        <f t="shared" si="11"/>
        <v>0</v>
      </c>
      <c r="G230" s="36">
        <f t="shared" si="9"/>
        <v>688</v>
      </c>
      <c r="I230" s="5"/>
    </row>
    <row r="231" spans="2:9" x14ac:dyDescent="0.25">
      <c r="B231" s="8">
        <v>226</v>
      </c>
      <c r="C231" s="8">
        <v>10</v>
      </c>
      <c r="D231">
        <v>1</v>
      </c>
      <c r="E231" s="36">
        <f t="shared" si="10"/>
        <v>0</v>
      </c>
      <c r="F231" s="36">
        <f t="shared" si="11"/>
        <v>0</v>
      </c>
      <c r="G231" s="36">
        <f t="shared" si="9"/>
        <v>688</v>
      </c>
      <c r="I231" s="5"/>
    </row>
    <row r="232" spans="2:9" x14ac:dyDescent="0.25">
      <c r="B232" s="8">
        <v>227</v>
      </c>
      <c r="C232" s="8">
        <v>10</v>
      </c>
      <c r="D232">
        <v>1</v>
      </c>
      <c r="E232" s="36">
        <f t="shared" si="10"/>
        <v>0</v>
      </c>
      <c r="F232" s="36">
        <f t="shared" si="11"/>
        <v>0</v>
      </c>
      <c r="G232" s="36">
        <f t="shared" si="9"/>
        <v>688</v>
      </c>
      <c r="I232" s="5"/>
    </row>
    <row r="233" spans="2:9" x14ac:dyDescent="0.25">
      <c r="B233" s="8">
        <v>228</v>
      </c>
      <c r="C233" s="8">
        <v>10</v>
      </c>
      <c r="D233">
        <v>1</v>
      </c>
      <c r="E233" s="36">
        <f t="shared" si="10"/>
        <v>0</v>
      </c>
      <c r="F233" s="36">
        <f t="shared" si="11"/>
        <v>0</v>
      </c>
      <c r="G233" s="36">
        <f t="shared" si="9"/>
        <v>688</v>
      </c>
      <c r="I233" s="5"/>
    </row>
    <row r="234" spans="2:9" x14ac:dyDescent="0.25">
      <c r="B234" s="8">
        <v>229</v>
      </c>
      <c r="C234" s="8">
        <v>10</v>
      </c>
      <c r="D234">
        <v>1</v>
      </c>
      <c r="E234" s="36">
        <f t="shared" si="10"/>
        <v>0</v>
      </c>
      <c r="F234" s="36">
        <f t="shared" si="11"/>
        <v>0</v>
      </c>
      <c r="G234" s="36">
        <f t="shared" si="9"/>
        <v>688</v>
      </c>
      <c r="I234" s="5"/>
    </row>
    <row r="235" spans="2:9" x14ac:dyDescent="0.25">
      <c r="B235" s="8">
        <v>230</v>
      </c>
      <c r="C235" s="8">
        <v>10</v>
      </c>
      <c r="D235">
        <v>2</v>
      </c>
      <c r="E235" s="36">
        <f t="shared" si="10"/>
        <v>1</v>
      </c>
      <c r="F235" s="36">
        <f t="shared" si="11"/>
        <v>0</v>
      </c>
      <c r="G235" s="36">
        <f t="shared" si="9"/>
        <v>688</v>
      </c>
      <c r="I235" s="5"/>
    </row>
    <row r="236" spans="2:9" x14ac:dyDescent="0.25">
      <c r="B236" s="8">
        <v>231</v>
      </c>
      <c r="C236" s="8">
        <v>10</v>
      </c>
      <c r="D236">
        <v>1</v>
      </c>
      <c r="E236" s="36">
        <f t="shared" si="10"/>
        <v>0</v>
      </c>
      <c r="F236" s="36">
        <f t="shared" si="11"/>
        <v>0</v>
      </c>
      <c r="G236" s="36">
        <f t="shared" si="9"/>
        <v>688</v>
      </c>
      <c r="I236" s="5"/>
    </row>
    <row r="237" spans="2:9" x14ac:dyDescent="0.25">
      <c r="B237" s="5">
        <v>232</v>
      </c>
      <c r="C237" s="8">
        <v>10</v>
      </c>
      <c r="D237">
        <v>1</v>
      </c>
      <c r="E237" s="36">
        <f t="shared" si="10"/>
        <v>0</v>
      </c>
      <c r="F237" s="36">
        <f t="shared" si="11"/>
        <v>0</v>
      </c>
      <c r="G237" s="36">
        <f t="shared" si="9"/>
        <v>688</v>
      </c>
      <c r="I237" s="5"/>
    </row>
    <row r="238" spans="2:9" x14ac:dyDescent="0.25">
      <c r="B238" s="8">
        <v>233</v>
      </c>
      <c r="C238" s="8">
        <v>10</v>
      </c>
      <c r="D238">
        <v>1</v>
      </c>
      <c r="E238" s="36">
        <f t="shared" si="10"/>
        <v>0</v>
      </c>
      <c r="F238" s="36">
        <f t="shared" si="11"/>
        <v>0</v>
      </c>
      <c r="G238" s="36">
        <f t="shared" si="9"/>
        <v>688</v>
      </c>
      <c r="I238" s="5"/>
    </row>
    <row r="239" spans="2:9" x14ac:dyDescent="0.25">
      <c r="B239" s="8">
        <v>234</v>
      </c>
      <c r="C239" s="8">
        <v>10</v>
      </c>
      <c r="D239">
        <v>1</v>
      </c>
      <c r="E239" s="36">
        <f t="shared" si="10"/>
        <v>0</v>
      </c>
      <c r="F239" s="36">
        <f t="shared" si="11"/>
        <v>0</v>
      </c>
      <c r="G239" s="36">
        <f t="shared" si="9"/>
        <v>688</v>
      </c>
      <c r="I239" s="5"/>
    </row>
    <row r="240" spans="2:9" x14ac:dyDescent="0.25">
      <c r="B240" s="8">
        <v>235</v>
      </c>
      <c r="C240" s="8">
        <v>10</v>
      </c>
      <c r="D240">
        <v>2</v>
      </c>
      <c r="E240" s="36">
        <f t="shared" si="10"/>
        <v>1</v>
      </c>
      <c r="F240" s="36">
        <f t="shared" si="11"/>
        <v>0</v>
      </c>
      <c r="G240" s="36">
        <f t="shared" si="9"/>
        <v>688</v>
      </c>
      <c r="I240" s="5"/>
    </row>
    <row r="241" spans="2:9" x14ac:dyDescent="0.25">
      <c r="B241" s="8">
        <v>236</v>
      </c>
      <c r="C241" s="8">
        <v>10</v>
      </c>
      <c r="D241">
        <v>1</v>
      </c>
      <c r="E241" s="36">
        <f t="shared" si="10"/>
        <v>0</v>
      </c>
      <c r="F241" s="36">
        <f t="shared" si="11"/>
        <v>0</v>
      </c>
      <c r="G241" s="36">
        <f t="shared" si="9"/>
        <v>688</v>
      </c>
      <c r="I241" s="5"/>
    </row>
    <row r="242" spans="2:9" x14ac:dyDescent="0.25">
      <c r="B242" s="8">
        <v>237</v>
      </c>
      <c r="C242" s="8">
        <v>10</v>
      </c>
      <c r="D242">
        <v>1</v>
      </c>
      <c r="E242" s="36">
        <f t="shared" si="10"/>
        <v>0</v>
      </c>
      <c r="F242" s="36">
        <f t="shared" si="11"/>
        <v>0</v>
      </c>
      <c r="G242" s="36">
        <f t="shared" si="9"/>
        <v>688</v>
      </c>
      <c r="I242" s="5"/>
    </row>
    <row r="243" spans="2:9" x14ac:dyDescent="0.25">
      <c r="B243" s="8">
        <v>238</v>
      </c>
      <c r="C243" s="8">
        <v>10</v>
      </c>
      <c r="D243">
        <v>1</v>
      </c>
      <c r="E243" s="36">
        <f t="shared" si="10"/>
        <v>0</v>
      </c>
      <c r="F243" s="36">
        <f t="shared" si="11"/>
        <v>0</v>
      </c>
      <c r="G243" s="36">
        <f t="shared" si="9"/>
        <v>688</v>
      </c>
      <c r="I243" s="5"/>
    </row>
    <row r="244" spans="2:9" x14ac:dyDescent="0.25">
      <c r="B244" s="8">
        <v>239</v>
      </c>
      <c r="C244" s="8">
        <v>10</v>
      </c>
      <c r="D244">
        <v>1</v>
      </c>
      <c r="E244" s="36">
        <f t="shared" si="10"/>
        <v>0</v>
      </c>
      <c r="F244" s="36">
        <f t="shared" si="11"/>
        <v>0</v>
      </c>
      <c r="G244" s="36">
        <f t="shared" si="9"/>
        <v>688</v>
      </c>
      <c r="I244" s="5"/>
    </row>
    <row r="245" spans="2:9" x14ac:dyDescent="0.25">
      <c r="B245" s="8">
        <v>240</v>
      </c>
      <c r="C245" s="8">
        <v>10</v>
      </c>
      <c r="D245">
        <v>2</v>
      </c>
      <c r="E245" s="36">
        <f t="shared" si="10"/>
        <v>1</v>
      </c>
      <c r="F245" s="36">
        <f t="shared" si="11"/>
        <v>0</v>
      </c>
      <c r="G245" s="36">
        <f t="shared" si="9"/>
        <v>688</v>
      </c>
      <c r="I245" s="5"/>
    </row>
    <row r="246" spans="2:9" x14ac:dyDescent="0.25">
      <c r="B246" s="5">
        <v>241</v>
      </c>
      <c r="C246" s="8">
        <v>10</v>
      </c>
      <c r="D246">
        <v>1</v>
      </c>
      <c r="E246" s="36">
        <f t="shared" si="10"/>
        <v>0</v>
      </c>
      <c r="F246" s="36">
        <f t="shared" si="11"/>
        <v>0</v>
      </c>
      <c r="G246" s="36">
        <f t="shared" si="9"/>
        <v>688</v>
      </c>
      <c r="I246" s="5"/>
    </row>
    <row r="247" spans="2:9" x14ac:dyDescent="0.25">
      <c r="B247" s="8">
        <v>242</v>
      </c>
      <c r="C247" s="8">
        <v>10</v>
      </c>
      <c r="D247">
        <v>1</v>
      </c>
      <c r="E247" s="36">
        <f t="shared" si="10"/>
        <v>0</v>
      </c>
      <c r="F247" s="36">
        <f t="shared" si="11"/>
        <v>0</v>
      </c>
      <c r="G247" s="36">
        <f t="shared" si="9"/>
        <v>688</v>
      </c>
      <c r="I247" s="5"/>
    </row>
    <row r="248" spans="2:9" x14ac:dyDescent="0.25">
      <c r="B248" s="5">
        <v>243</v>
      </c>
      <c r="C248" s="8">
        <v>10</v>
      </c>
      <c r="D248">
        <v>1</v>
      </c>
      <c r="E248" s="36">
        <f t="shared" si="10"/>
        <v>0</v>
      </c>
      <c r="F248" s="36">
        <f t="shared" si="11"/>
        <v>0</v>
      </c>
      <c r="G248" s="36">
        <f t="shared" si="9"/>
        <v>688</v>
      </c>
      <c r="I248" s="5"/>
    </row>
    <row r="249" spans="2:9" x14ac:dyDescent="0.25">
      <c r="B249" s="8">
        <v>244</v>
      </c>
      <c r="C249" s="8">
        <v>10</v>
      </c>
      <c r="D249">
        <v>1</v>
      </c>
      <c r="E249" s="36">
        <f t="shared" si="10"/>
        <v>0</v>
      </c>
      <c r="F249" s="36">
        <f t="shared" si="11"/>
        <v>0</v>
      </c>
      <c r="G249" s="36">
        <f t="shared" si="9"/>
        <v>688</v>
      </c>
      <c r="I249" s="5"/>
    </row>
    <row r="250" spans="2:9" x14ac:dyDescent="0.25">
      <c r="B250" s="8">
        <v>245</v>
      </c>
      <c r="C250" s="8">
        <v>10</v>
      </c>
      <c r="D250">
        <v>2</v>
      </c>
    </row>
    <row r="251" spans="2:9" x14ac:dyDescent="0.25">
      <c r="B251" s="5">
        <v>246</v>
      </c>
      <c r="C251" s="8">
        <v>10</v>
      </c>
      <c r="D251">
        <v>1</v>
      </c>
    </row>
    <row r="252" spans="2:9" x14ac:dyDescent="0.25">
      <c r="B252" s="8">
        <v>247</v>
      </c>
      <c r="C252" s="8">
        <v>10</v>
      </c>
      <c r="D252">
        <v>1</v>
      </c>
    </row>
    <row r="253" spans="2:9" x14ac:dyDescent="0.25">
      <c r="B253" s="8">
        <v>248</v>
      </c>
      <c r="C253" s="8">
        <v>10</v>
      </c>
      <c r="D253">
        <v>1</v>
      </c>
    </row>
    <row r="254" spans="2:9" x14ac:dyDescent="0.25">
      <c r="B254" s="5">
        <v>249</v>
      </c>
      <c r="C254" s="8">
        <v>10</v>
      </c>
      <c r="D254">
        <v>1</v>
      </c>
    </row>
    <row r="255" spans="2:9" x14ac:dyDescent="0.25">
      <c r="B255" s="8">
        <v>250</v>
      </c>
      <c r="C255" s="8">
        <v>10</v>
      </c>
      <c r="D255">
        <v>2</v>
      </c>
    </row>
    <row r="256" spans="2:9" x14ac:dyDescent="0.25">
      <c r="B256" s="8">
        <v>251</v>
      </c>
      <c r="C256" s="8">
        <v>10</v>
      </c>
      <c r="D256">
        <v>1</v>
      </c>
    </row>
    <row r="257" spans="2:4" x14ac:dyDescent="0.25">
      <c r="B257" s="5">
        <v>252</v>
      </c>
      <c r="C257" s="8">
        <v>10</v>
      </c>
      <c r="D257">
        <v>1</v>
      </c>
    </row>
    <row r="258" spans="2:4" x14ac:dyDescent="0.25">
      <c r="B258" s="8">
        <v>253</v>
      </c>
      <c r="C258" s="8">
        <v>10</v>
      </c>
      <c r="D258">
        <v>1</v>
      </c>
    </row>
    <row r="259" spans="2:4" x14ac:dyDescent="0.25">
      <c r="B259" s="8">
        <v>254</v>
      </c>
      <c r="C259" s="8">
        <v>10</v>
      </c>
      <c r="D259">
        <v>1</v>
      </c>
    </row>
    <row r="260" spans="2:4" x14ac:dyDescent="0.25">
      <c r="B260" s="5">
        <v>255</v>
      </c>
      <c r="C260" s="8">
        <v>10</v>
      </c>
      <c r="D260">
        <v>2</v>
      </c>
    </row>
    <row r="261" spans="2:4" x14ac:dyDescent="0.25">
      <c r="B261" s="8">
        <v>256</v>
      </c>
      <c r="C261" s="8">
        <v>10</v>
      </c>
      <c r="D261">
        <v>1</v>
      </c>
    </row>
    <row r="262" spans="2:4" x14ac:dyDescent="0.25">
      <c r="B262" s="8">
        <v>257</v>
      </c>
      <c r="C262" s="8">
        <v>10</v>
      </c>
      <c r="D262">
        <v>1</v>
      </c>
    </row>
    <row r="263" spans="2:4" x14ac:dyDescent="0.25">
      <c r="B263" s="5">
        <v>258</v>
      </c>
      <c r="C263" s="8">
        <v>10</v>
      </c>
      <c r="D263">
        <v>1</v>
      </c>
    </row>
    <row r="264" spans="2:4" x14ac:dyDescent="0.25">
      <c r="B264" s="8">
        <v>259</v>
      </c>
      <c r="C264" s="8">
        <v>10</v>
      </c>
      <c r="D264">
        <v>1</v>
      </c>
    </row>
    <row r="265" spans="2:4" x14ac:dyDescent="0.25">
      <c r="B265" s="8">
        <v>260</v>
      </c>
      <c r="C265" s="8">
        <v>10</v>
      </c>
      <c r="D265">
        <v>2</v>
      </c>
    </row>
    <row r="266" spans="2:4" x14ac:dyDescent="0.25">
      <c r="B266" s="5">
        <v>261</v>
      </c>
      <c r="C266" s="8">
        <v>10</v>
      </c>
      <c r="D266">
        <v>1</v>
      </c>
    </row>
    <row r="267" spans="2:4" x14ac:dyDescent="0.25">
      <c r="B267" s="8">
        <v>262</v>
      </c>
      <c r="C267" s="8">
        <v>10</v>
      </c>
      <c r="D267">
        <v>1</v>
      </c>
    </row>
    <row r="268" spans="2:4" x14ac:dyDescent="0.25">
      <c r="B268" s="8">
        <v>263</v>
      </c>
      <c r="C268" s="8">
        <v>10</v>
      </c>
      <c r="D268">
        <v>1</v>
      </c>
    </row>
    <row r="269" spans="2:4" x14ac:dyDescent="0.25">
      <c r="B269" s="5">
        <v>264</v>
      </c>
      <c r="C269" s="8">
        <v>10</v>
      </c>
      <c r="D269">
        <v>1</v>
      </c>
    </row>
    <row r="270" spans="2:4" x14ac:dyDescent="0.25">
      <c r="B270" s="8">
        <v>265</v>
      </c>
      <c r="C270" s="8">
        <v>10</v>
      </c>
      <c r="D270">
        <v>2</v>
      </c>
    </row>
    <row r="271" spans="2:4" x14ac:dyDescent="0.25">
      <c r="B271" s="8">
        <v>266</v>
      </c>
      <c r="C271" s="8">
        <v>10</v>
      </c>
      <c r="D271">
        <v>1</v>
      </c>
    </row>
    <row r="272" spans="2:4" x14ac:dyDescent="0.25">
      <c r="B272" s="5">
        <v>267</v>
      </c>
      <c r="C272" s="8">
        <v>10</v>
      </c>
      <c r="D272">
        <v>1</v>
      </c>
    </row>
    <row r="273" spans="2:4" x14ac:dyDescent="0.25">
      <c r="B273" s="8">
        <v>268</v>
      </c>
      <c r="C273" s="8">
        <v>10</v>
      </c>
      <c r="D273">
        <v>1</v>
      </c>
    </row>
    <row r="274" spans="2:4" x14ac:dyDescent="0.25">
      <c r="B274" s="8">
        <v>269</v>
      </c>
      <c r="C274" s="8">
        <v>10</v>
      </c>
      <c r="D274">
        <v>1</v>
      </c>
    </row>
    <row r="275" spans="2:4" x14ac:dyDescent="0.25">
      <c r="B275" s="5">
        <v>270</v>
      </c>
      <c r="C275" s="8">
        <v>10</v>
      </c>
      <c r="D275">
        <v>2</v>
      </c>
    </row>
    <row r="276" spans="2:4" x14ac:dyDescent="0.25">
      <c r="B276" s="8">
        <v>271</v>
      </c>
      <c r="C276" s="8">
        <v>10</v>
      </c>
      <c r="D276">
        <v>1</v>
      </c>
    </row>
    <row r="277" spans="2:4" x14ac:dyDescent="0.25">
      <c r="B277" s="8">
        <v>272</v>
      </c>
      <c r="C277" s="8">
        <v>10</v>
      </c>
      <c r="D277">
        <v>1</v>
      </c>
    </row>
    <row r="278" spans="2:4" x14ac:dyDescent="0.25">
      <c r="B278" s="5">
        <v>273</v>
      </c>
      <c r="C278" s="8">
        <v>10</v>
      </c>
      <c r="D278">
        <v>1</v>
      </c>
    </row>
    <row r="279" spans="2:4" x14ac:dyDescent="0.25">
      <c r="B279" s="8">
        <v>274</v>
      </c>
      <c r="C279" s="8">
        <v>10</v>
      </c>
      <c r="D279">
        <v>1</v>
      </c>
    </row>
    <row r="280" spans="2:4" x14ac:dyDescent="0.25">
      <c r="B280" s="8">
        <v>275</v>
      </c>
      <c r="C280" s="8">
        <v>10</v>
      </c>
      <c r="D280">
        <v>2</v>
      </c>
    </row>
    <row r="281" spans="2:4" x14ac:dyDescent="0.25">
      <c r="B281" s="5">
        <v>276</v>
      </c>
      <c r="C281" s="8">
        <v>10</v>
      </c>
      <c r="D281">
        <v>1</v>
      </c>
    </row>
    <row r="282" spans="2:4" x14ac:dyDescent="0.25">
      <c r="B282" s="8">
        <v>277</v>
      </c>
      <c r="C282" s="8">
        <v>10</v>
      </c>
      <c r="D282">
        <v>1</v>
      </c>
    </row>
    <row r="283" spans="2:4" x14ac:dyDescent="0.25">
      <c r="B283" s="8">
        <v>278</v>
      </c>
      <c r="C283" s="8">
        <v>10</v>
      </c>
      <c r="D283">
        <v>1</v>
      </c>
    </row>
    <row r="284" spans="2:4" x14ac:dyDescent="0.25">
      <c r="B284" s="5">
        <v>279</v>
      </c>
      <c r="C284" s="8">
        <v>10</v>
      </c>
      <c r="D284">
        <v>1</v>
      </c>
    </row>
    <row r="285" spans="2:4" x14ac:dyDescent="0.25">
      <c r="B285" s="8">
        <v>280</v>
      </c>
      <c r="C285" s="8">
        <v>10</v>
      </c>
      <c r="D285">
        <v>2</v>
      </c>
    </row>
    <row r="286" spans="2:4" x14ac:dyDescent="0.25">
      <c r="B286" s="8">
        <v>281</v>
      </c>
      <c r="C286" s="8">
        <v>10</v>
      </c>
      <c r="D286">
        <v>1</v>
      </c>
    </row>
    <row r="287" spans="2:4" x14ac:dyDescent="0.25">
      <c r="B287" s="5">
        <v>282</v>
      </c>
      <c r="C287" s="8">
        <v>10</v>
      </c>
      <c r="D287">
        <v>1</v>
      </c>
    </row>
    <row r="288" spans="2:4" x14ac:dyDescent="0.25">
      <c r="B288" s="8">
        <v>283</v>
      </c>
      <c r="C288" s="8">
        <v>10</v>
      </c>
      <c r="D288">
        <v>1</v>
      </c>
    </row>
    <row r="289" spans="2:4" x14ac:dyDescent="0.25">
      <c r="B289" s="8">
        <v>284</v>
      </c>
      <c r="C289" s="8">
        <v>10</v>
      </c>
      <c r="D289">
        <v>1</v>
      </c>
    </row>
    <row r="290" spans="2:4" x14ac:dyDescent="0.25">
      <c r="B290" s="5">
        <v>285</v>
      </c>
      <c r="C290" s="8">
        <v>10</v>
      </c>
      <c r="D290">
        <v>2</v>
      </c>
    </row>
    <row r="291" spans="2:4" x14ac:dyDescent="0.25">
      <c r="B291" s="8">
        <v>286</v>
      </c>
      <c r="C291" s="8">
        <v>10</v>
      </c>
      <c r="D291">
        <v>1</v>
      </c>
    </row>
    <row r="292" spans="2:4" x14ac:dyDescent="0.25">
      <c r="B292" s="8">
        <v>287</v>
      </c>
      <c r="C292" s="8">
        <v>10</v>
      </c>
      <c r="D292">
        <v>1</v>
      </c>
    </row>
    <row r="293" spans="2:4" x14ac:dyDescent="0.25">
      <c r="B293" s="5">
        <v>288</v>
      </c>
      <c r="C293" s="8">
        <v>10</v>
      </c>
      <c r="D293">
        <v>1</v>
      </c>
    </row>
    <row r="294" spans="2:4" x14ac:dyDescent="0.25">
      <c r="B294" s="8">
        <v>289</v>
      </c>
      <c r="C294" s="8">
        <v>10</v>
      </c>
      <c r="D294">
        <v>1</v>
      </c>
    </row>
    <row r="295" spans="2:4" x14ac:dyDescent="0.25">
      <c r="B295" s="8">
        <v>290</v>
      </c>
      <c r="C295" s="8">
        <v>10</v>
      </c>
      <c r="D295">
        <v>2</v>
      </c>
    </row>
    <row r="296" spans="2:4" x14ac:dyDescent="0.25">
      <c r="B296" s="5">
        <v>291</v>
      </c>
      <c r="C296" s="8">
        <v>10</v>
      </c>
      <c r="D296">
        <v>1</v>
      </c>
    </row>
    <row r="297" spans="2:4" x14ac:dyDescent="0.25">
      <c r="B297" s="8">
        <v>292</v>
      </c>
      <c r="C297" s="8">
        <v>10</v>
      </c>
      <c r="D297">
        <v>1</v>
      </c>
    </row>
    <row r="298" spans="2:4" x14ac:dyDescent="0.25">
      <c r="B298" s="8">
        <v>293</v>
      </c>
      <c r="C298" s="8">
        <v>10</v>
      </c>
      <c r="D298">
        <v>1</v>
      </c>
    </row>
    <row r="299" spans="2:4" x14ac:dyDescent="0.25">
      <c r="B299" s="5">
        <v>294</v>
      </c>
      <c r="C299" s="8">
        <v>10</v>
      </c>
      <c r="D299">
        <v>1</v>
      </c>
    </row>
    <row r="300" spans="2:4" x14ac:dyDescent="0.25">
      <c r="B300" s="8">
        <v>295</v>
      </c>
      <c r="C300" s="8">
        <v>10</v>
      </c>
      <c r="D300">
        <v>2</v>
      </c>
    </row>
    <row r="301" spans="2:4" x14ac:dyDescent="0.25">
      <c r="B301" s="8">
        <v>296</v>
      </c>
      <c r="C301" s="8">
        <v>10</v>
      </c>
      <c r="D301">
        <v>1</v>
      </c>
    </row>
    <row r="302" spans="2:4" x14ac:dyDescent="0.25">
      <c r="B302" s="5">
        <v>297</v>
      </c>
      <c r="C302" s="8">
        <v>10</v>
      </c>
      <c r="D302">
        <v>1</v>
      </c>
    </row>
    <row r="303" spans="2:4" x14ac:dyDescent="0.25">
      <c r="B303" s="8">
        <v>298</v>
      </c>
      <c r="C303" s="8">
        <v>10</v>
      </c>
      <c r="D303">
        <v>1</v>
      </c>
    </row>
    <row r="304" spans="2:4" x14ac:dyDescent="0.25">
      <c r="B304" s="8">
        <v>299</v>
      </c>
      <c r="C304" s="8">
        <v>10</v>
      </c>
      <c r="D304">
        <v>1</v>
      </c>
    </row>
    <row r="305" spans="2:4" x14ac:dyDescent="0.25">
      <c r="B305" s="5">
        <v>300</v>
      </c>
      <c r="C305" s="8">
        <v>10</v>
      </c>
      <c r="D305">
        <v>2</v>
      </c>
    </row>
  </sheetData>
  <phoneticPr fontId="1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>
      <selection activeCell="G13" sqref="G13"/>
    </sheetView>
  </sheetViews>
  <sheetFormatPr defaultColWidth="9" defaultRowHeight="13.8" x14ac:dyDescent="0.25"/>
  <cols>
    <col min="2" max="2" width="25.77734375" customWidth="1"/>
    <col min="3" max="3" width="13" customWidth="1"/>
    <col min="4" max="4" width="45.109375" customWidth="1"/>
    <col min="5" max="5" width="15" customWidth="1"/>
    <col min="6" max="6" width="14.33203125" customWidth="1"/>
    <col min="7" max="7" width="11" customWidth="1"/>
    <col min="8" max="8" width="13.109375" customWidth="1"/>
    <col min="9" max="10" width="15.33203125" customWidth="1"/>
  </cols>
  <sheetData>
    <row r="1" spans="1:6" x14ac:dyDescent="0.25">
      <c r="A1" s="2" t="s">
        <v>0</v>
      </c>
      <c r="B1" s="5" t="s">
        <v>1</v>
      </c>
      <c r="C1" s="5" t="s">
        <v>327</v>
      </c>
      <c r="D1" s="5" t="s">
        <v>329</v>
      </c>
      <c r="E1" s="5" t="s">
        <v>376</v>
      </c>
      <c r="F1" s="5" t="s">
        <v>389</v>
      </c>
    </row>
    <row r="2" spans="1:6" x14ac:dyDescent="0.25">
      <c r="A2" s="2" t="s">
        <v>7</v>
      </c>
      <c r="B2" s="6" t="s">
        <v>8</v>
      </c>
      <c r="C2" s="6" t="s">
        <v>314</v>
      </c>
      <c r="D2" s="6" t="s">
        <v>335</v>
      </c>
      <c r="E2" s="6" t="s">
        <v>378</v>
      </c>
      <c r="F2" s="6" t="s">
        <v>390</v>
      </c>
    </row>
    <row r="3" spans="1:6" x14ac:dyDescent="0.25">
      <c r="A3" s="2" t="s">
        <v>12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391</v>
      </c>
    </row>
    <row r="4" spans="1:6" x14ac:dyDescent="0.25">
      <c r="A4" s="2" t="s">
        <v>15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16</v>
      </c>
    </row>
    <row r="5" spans="1:6" x14ac:dyDescent="0.25">
      <c r="A5" s="2" t="s">
        <v>17</v>
      </c>
      <c r="B5" s="6" t="s">
        <v>340</v>
      </c>
      <c r="C5" s="6">
        <v>1</v>
      </c>
      <c r="D5" s="6">
        <v>1</v>
      </c>
      <c r="E5" s="6">
        <v>101</v>
      </c>
      <c r="F5" s="6" t="s">
        <v>304</v>
      </c>
    </row>
    <row r="6" spans="1:6" x14ac:dyDescent="0.25">
      <c r="B6" s="5">
        <v>1</v>
      </c>
      <c r="C6" s="5">
        <v>510051</v>
      </c>
      <c r="D6" s="5">
        <v>5</v>
      </c>
      <c r="E6" s="5">
        <v>100055</v>
      </c>
      <c r="F6" s="5" t="s">
        <v>392</v>
      </c>
    </row>
    <row r="7" spans="1:6" x14ac:dyDescent="0.25">
      <c r="B7" s="5">
        <v>2</v>
      </c>
      <c r="C7" s="8">
        <v>510221</v>
      </c>
      <c r="D7" s="8">
        <v>5</v>
      </c>
      <c r="E7" s="8">
        <v>100221</v>
      </c>
      <c r="F7" s="8" t="s">
        <v>393</v>
      </c>
    </row>
    <row r="8" spans="1:6" x14ac:dyDescent="0.25">
      <c r="B8" s="5">
        <v>3</v>
      </c>
      <c r="C8" s="8">
        <v>510041</v>
      </c>
      <c r="D8" s="8">
        <v>5</v>
      </c>
      <c r="E8" s="8">
        <v>100041</v>
      </c>
      <c r="F8" s="8" t="s">
        <v>394</v>
      </c>
    </row>
  </sheetData>
  <phoneticPr fontId="1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selection activeCell="F3" sqref="F3"/>
    </sheetView>
  </sheetViews>
  <sheetFormatPr defaultColWidth="9" defaultRowHeight="13.8" x14ac:dyDescent="0.25"/>
  <cols>
    <col min="2" max="2" width="23.77734375" customWidth="1"/>
    <col min="3" max="3" width="13.77734375" customWidth="1"/>
    <col min="4" max="4" width="25.88671875" customWidth="1"/>
    <col min="5" max="5" width="32" customWidth="1"/>
    <col min="6" max="6" width="18.88671875" customWidth="1"/>
  </cols>
  <sheetData>
    <row r="1" spans="1:6" x14ac:dyDescent="0.25">
      <c r="A1" s="2" t="s">
        <v>0</v>
      </c>
      <c r="B1" s="2" t="s">
        <v>389</v>
      </c>
      <c r="C1" t="s">
        <v>395</v>
      </c>
      <c r="D1" s="2" t="s">
        <v>396</v>
      </c>
      <c r="E1" s="2" t="s">
        <v>397</v>
      </c>
      <c r="F1" s="2" t="s">
        <v>398</v>
      </c>
    </row>
    <row r="2" spans="1:6" x14ac:dyDescent="0.25">
      <c r="A2" s="2" t="s">
        <v>7</v>
      </c>
      <c r="B2" s="4" t="s">
        <v>8</v>
      </c>
      <c r="C2" s="4" t="s">
        <v>399</v>
      </c>
      <c r="D2" s="4" t="s">
        <v>400</v>
      </c>
      <c r="E2" s="3"/>
      <c r="F2" s="4" t="s">
        <v>401</v>
      </c>
    </row>
    <row r="3" spans="1:6" x14ac:dyDescent="0.25">
      <c r="A3" s="2" t="s">
        <v>12</v>
      </c>
      <c r="B3" s="4" t="s">
        <v>13</v>
      </c>
      <c r="C3" s="4" t="s">
        <v>13</v>
      </c>
      <c r="D3" s="4" t="s">
        <v>13</v>
      </c>
      <c r="E3" s="3" t="s">
        <v>14</v>
      </c>
      <c r="F3" s="33" t="s">
        <v>302</v>
      </c>
    </row>
    <row r="4" spans="1:6" x14ac:dyDescent="0.25">
      <c r="A4" s="2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</row>
    <row r="5" spans="1:6" x14ac:dyDescent="0.25">
      <c r="A5" s="2" t="s">
        <v>17</v>
      </c>
      <c r="B5" s="4" t="s">
        <v>402</v>
      </c>
      <c r="C5" s="4">
        <v>0</v>
      </c>
      <c r="D5" s="4">
        <v>0</v>
      </c>
      <c r="E5" s="3"/>
      <c r="F5" s="4" t="s">
        <v>304</v>
      </c>
    </row>
    <row r="6" spans="1:6" x14ac:dyDescent="0.25">
      <c r="B6">
        <v>1</v>
      </c>
      <c r="C6">
        <v>1</v>
      </c>
      <c r="D6">
        <v>495001</v>
      </c>
      <c r="E6" s="30" t="s">
        <v>403</v>
      </c>
      <c r="F6" s="31" t="s">
        <v>404</v>
      </c>
    </row>
    <row r="7" spans="1:6" x14ac:dyDescent="0.25">
      <c r="B7">
        <v>2</v>
      </c>
      <c r="C7">
        <v>2</v>
      </c>
      <c r="D7">
        <v>495002</v>
      </c>
      <c r="E7" s="30" t="s">
        <v>405</v>
      </c>
      <c r="F7" s="31" t="s">
        <v>404</v>
      </c>
    </row>
    <row r="8" spans="1:6" x14ac:dyDescent="0.25">
      <c r="B8">
        <v>3</v>
      </c>
      <c r="C8">
        <v>3</v>
      </c>
      <c r="D8">
        <v>495003</v>
      </c>
      <c r="E8" s="30" t="s">
        <v>406</v>
      </c>
      <c r="F8" s="31" t="s">
        <v>404</v>
      </c>
    </row>
    <row r="9" spans="1:6" x14ac:dyDescent="0.25">
      <c r="B9">
        <v>4</v>
      </c>
      <c r="C9">
        <v>4</v>
      </c>
      <c r="D9">
        <v>495004</v>
      </c>
      <c r="E9" s="30" t="s">
        <v>407</v>
      </c>
      <c r="F9" s="31" t="s">
        <v>404</v>
      </c>
    </row>
    <row r="10" spans="1:6" x14ac:dyDescent="0.25">
      <c r="B10">
        <v>5</v>
      </c>
      <c r="C10">
        <v>5</v>
      </c>
      <c r="D10">
        <v>495005</v>
      </c>
      <c r="E10" s="30" t="s">
        <v>408</v>
      </c>
      <c r="F10" s="31" t="s">
        <v>404</v>
      </c>
    </row>
    <row r="11" spans="1:6" ht="15.6" x14ac:dyDescent="0.25">
      <c r="B11" s="34">
        <v>6</v>
      </c>
      <c r="C11" s="34">
        <v>1</v>
      </c>
      <c r="D11" s="34">
        <v>495001</v>
      </c>
      <c r="E11" s="35" t="s">
        <v>403</v>
      </c>
      <c r="F11" s="31" t="s">
        <v>409</v>
      </c>
    </row>
    <row r="12" spans="1:6" ht="15.6" x14ac:dyDescent="0.25">
      <c r="B12" s="34">
        <v>7</v>
      </c>
      <c r="C12" s="34">
        <v>2</v>
      </c>
      <c r="D12" s="34">
        <v>495002</v>
      </c>
      <c r="E12" s="35" t="s">
        <v>405</v>
      </c>
      <c r="F12" s="31" t="s">
        <v>409</v>
      </c>
    </row>
    <row r="13" spans="1:6" ht="15.6" x14ac:dyDescent="0.25">
      <c r="B13" s="34">
        <v>8</v>
      </c>
      <c r="C13" s="34">
        <v>3</v>
      </c>
      <c r="D13" s="34">
        <v>495003</v>
      </c>
      <c r="E13" s="35" t="s">
        <v>406</v>
      </c>
      <c r="F13" s="31" t="s">
        <v>409</v>
      </c>
    </row>
    <row r="14" spans="1:6" ht="15.6" x14ac:dyDescent="0.25">
      <c r="B14" s="34">
        <v>9</v>
      </c>
      <c r="C14" s="34">
        <v>4</v>
      </c>
      <c r="D14" s="34">
        <v>495004</v>
      </c>
      <c r="E14" s="35" t="s">
        <v>407</v>
      </c>
      <c r="F14" s="31" t="s">
        <v>409</v>
      </c>
    </row>
    <row r="15" spans="1:6" ht="15.6" x14ac:dyDescent="0.25">
      <c r="B15" s="34">
        <v>10</v>
      </c>
      <c r="C15" s="34">
        <v>5</v>
      </c>
      <c r="D15" s="34">
        <v>495005</v>
      </c>
      <c r="E15" s="35" t="s">
        <v>408</v>
      </c>
      <c r="F15" s="31" t="s">
        <v>409</v>
      </c>
    </row>
    <row r="16" spans="1:6" ht="15.6" x14ac:dyDescent="0.25">
      <c r="B16" s="34">
        <v>11</v>
      </c>
      <c r="C16" s="34">
        <v>1</v>
      </c>
      <c r="D16" s="34">
        <v>495001</v>
      </c>
      <c r="E16" s="35" t="s">
        <v>403</v>
      </c>
      <c r="F16" s="31" t="s">
        <v>410</v>
      </c>
    </row>
    <row r="17" spans="2:6" ht="15.6" x14ac:dyDescent="0.25">
      <c r="B17" s="34">
        <v>12</v>
      </c>
      <c r="C17" s="34">
        <v>2</v>
      </c>
      <c r="D17" s="34">
        <v>495002</v>
      </c>
      <c r="E17" s="35" t="s">
        <v>405</v>
      </c>
      <c r="F17" s="31" t="s">
        <v>410</v>
      </c>
    </row>
    <row r="18" spans="2:6" ht="15.6" x14ac:dyDescent="0.25">
      <c r="B18" s="34">
        <v>13</v>
      </c>
      <c r="C18" s="34">
        <v>3</v>
      </c>
      <c r="D18" s="34">
        <v>495003</v>
      </c>
      <c r="E18" s="35" t="s">
        <v>406</v>
      </c>
      <c r="F18" s="31" t="s">
        <v>410</v>
      </c>
    </row>
    <row r="19" spans="2:6" ht="15.6" x14ac:dyDescent="0.25">
      <c r="B19" s="34">
        <v>14</v>
      </c>
      <c r="C19" s="34">
        <v>4</v>
      </c>
      <c r="D19" s="34">
        <v>495004</v>
      </c>
      <c r="E19" s="35" t="s">
        <v>407</v>
      </c>
      <c r="F19" s="31" t="s">
        <v>410</v>
      </c>
    </row>
    <row r="20" spans="2:6" ht="15.6" x14ac:dyDescent="0.25">
      <c r="B20" s="34">
        <v>15</v>
      </c>
      <c r="C20" s="34">
        <v>5</v>
      </c>
      <c r="D20" s="34">
        <v>495005</v>
      </c>
      <c r="E20" s="35" t="s">
        <v>408</v>
      </c>
      <c r="F20" s="31" t="s">
        <v>410</v>
      </c>
    </row>
  </sheetData>
  <phoneticPr fontId="1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>
      <selection activeCell="D23" sqref="D23"/>
    </sheetView>
  </sheetViews>
  <sheetFormatPr defaultColWidth="9" defaultRowHeight="13.8" x14ac:dyDescent="0.25"/>
  <cols>
    <col min="2" max="2" width="19.33203125" customWidth="1"/>
    <col min="3" max="3" width="23.88671875" customWidth="1"/>
    <col min="4" max="4" width="24" customWidth="1"/>
    <col min="5" max="5" width="23.77734375" customWidth="1"/>
    <col min="6" max="6" width="23.33203125" customWidth="1"/>
  </cols>
  <sheetData>
    <row r="1" spans="1:6" x14ac:dyDescent="0.25">
      <c r="A1" s="2" t="s">
        <v>0</v>
      </c>
      <c r="B1" s="2" t="s">
        <v>389</v>
      </c>
      <c r="C1" t="s">
        <v>411</v>
      </c>
      <c r="D1" s="2" t="s">
        <v>396</v>
      </c>
      <c r="E1" s="2" t="s">
        <v>397</v>
      </c>
      <c r="F1" s="2" t="s">
        <v>398</v>
      </c>
    </row>
    <row r="2" spans="1:6" x14ac:dyDescent="0.25">
      <c r="A2" s="2" t="s">
        <v>7</v>
      </c>
      <c r="B2" s="4" t="s">
        <v>8</v>
      </c>
      <c r="C2" s="4" t="s">
        <v>412</v>
      </c>
      <c r="D2" s="4" t="s">
        <v>413</v>
      </c>
      <c r="E2" s="3"/>
      <c r="F2" s="4" t="s">
        <v>414</v>
      </c>
    </row>
    <row r="3" spans="1:6" x14ac:dyDescent="0.25">
      <c r="A3" s="2" t="s">
        <v>12</v>
      </c>
      <c r="B3" s="4" t="s">
        <v>13</v>
      </c>
      <c r="C3" s="4" t="s">
        <v>13</v>
      </c>
      <c r="D3" s="4" t="s">
        <v>13</v>
      </c>
      <c r="E3" s="3"/>
      <c r="F3" s="4" t="s">
        <v>391</v>
      </c>
    </row>
    <row r="4" spans="1:6" x14ac:dyDescent="0.25">
      <c r="A4" s="2" t="s">
        <v>15</v>
      </c>
      <c r="B4" s="4" t="s">
        <v>16</v>
      </c>
      <c r="C4" s="4" t="s">
        <v>16</v>
      </c>
      <c r="D4" s="4" t="s">
        <v>16</v>
      </c>
      <c r="E4" s="3"/>
      <c r="F4" s="4" t="s">
        <v>16</v>
      </c>
    </row>
    <row r="5" spans="1:6" x14ac:dyDescent="0.25">
      <c r="A5" s="2" t="s">
        <v>17</v>
      </c>
      <c r="B5" s="4" t="s">
        <v>415</v>
      </c>
      <c r="C5" s="4">
        <v>0</v>
      </c>
      <c r="D5" s="4">
        <v>0</v>
      </c>
      <c r="E5" s="3"/>
      <c r="F5" s="4" t="s">
        <v>304</v>
      </c>
    </row>
    <row r="6" spans="1:6" x14ac:dyDescent="0.25">
      <c r="B6">
        <v>1</v>
      </c>
      <c r="C6">
        <v>1</v>
      </c>
      <c r="D6">
        <v>495006</v>
      </c>
      <c r="E6" s="30" t="s">
        <v>416</v>
      </c>
      <c r="F6" s="31" t="s">
        <v>417</v>
      </c>
    </row>
    <row r="7" spans="1:6" x14ac:dyDescent="0.25">
      <c r="B7">
        <v>2</v>
      </c>
      <c r="C7">
        <v>3</v>
      </c>
      <c r="D7">
        <v>495007</v>
      </c>
      <c r="E7" s="30" t="s">
        <v>418</v>
      </c>
      <c r="F7" s="31" t="s">
        <v>419</v>
      </c>
    </row>
    <row r="8" spans="1:6" x14ac:dyDescent="0.25">
      <c r="B8">
        <v>3</v>
      </c>
      <c r="C8">
        <v>5</v>
      </c>
      <c r="D8">
        <v>495008</v>
      </c>
      <c r="E8" s="30" t="s">
        <v>420</v>
      </c>
      <c r="F8" s="31" t="s">
        <v>421</v>
      </c>
    </row>
    <row r="9" spans="1:6" x14ac:dyDescent="0.25">
      <c r="E9" s="30"/>
      <c r="F9" s="31"/>
    </row>
    <row r="10" spans="1:6" x14ac:dyDescent="0.25">
      <c r="E10" s="30"/>
      <c r="F10" s="31"/>
    </row>
  </sheetData>
  <phoneticPr fontId="11" type="noConversion"/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1"/>
  <sheetViews>
    <sheetView workbookViewId="0">
      <selection activeCell="B1" sqref="B1"/>
    </sheetView>
  </sheetViews>
  <sheetFormatPr defaultColWidth="9" defaultRowHeight="13.8" x14ac:dyDescent="0.25"/>
  <cols>
    <col min="2" max="2" width="13" customWidth="1"/>
    <col min="3" max="3" width="45.109375" customWidth="1"/>
    <col min="4" max="4" width="29.6640625" customWidth="1"/>
  </cols>
  <sheetData>
    <row r="1" spans="1:4" x14ac:dyDescent="0.25">
      <c r="A1" s="1" t="s">
        <v>422</v>
      </c>
      <c r="B1" s="2"/>
      <c r="C1" s="2" t="s">
        <v>423</v>
      </c>
    </row>
    <row r="2" spans="1:4" x14ac:dyDescent="0.25">
      <c r="A2" s="1" t="s">
        <v>424</v>
      </c>
      <c r="B2" s="2" t="s">
        <v>425</v>
      </c>
      <c r="C2" s="2" t="s">
        <v>426</v>
      </c>
    </row>
    <row r="3" spans="1:4" x14ac:dyDescent="0.25">
      <c r="A3" s="1" t="s">
        <v>427</v>
      </c>
      <c r="B3" s="3" t="s">
        <v>428</v>
      </c>
      <c r="C3" s="2" t="s">
        <v>429</v>
      </c>
    </row>
    <row r="4" spans="1:4" x14ac:dyDescent="0.25">
      <c r="A4" s="1" t="s">
        <v>430</v>
      </c>
      <c r="B4" s="4" t="s">
        <v>431</v>
      </c>
      <c r="C4" s="2"/>
    </row>
    <row r="5" spans="1:4" x14ac:dyDescent="0.25">
      <c r="A5" s="1" t="s">
        <v>432</v>
      </c>
      <c r="B5" s="2"/>
      <c r="C5" s="2" t="s">
        <v>433</v>
      </c>
    </row>
    <row r="6" spans="1:4" x14ac:dyDescent="0.25">
      <c r="A6" s="1" t="s">
        <v>434</v>
      </c>
      <c r="B6" s="2">
        <v>4</v>
      </c>
      <c r="C6" s="2" t="s">
        <v>435</v>
      </c>
    </row>
    <row r="7" spans="1:4" x14ac:dyDescent="0.25">
      <c r="A7" s="1" t="s">
        <v>436</v>
      </c>
      <c r="B7" s="2"/>
      <c r="C7" s="2"/>
    </row>
    <row r="8" spans="1:4" x14ac:dyDescent="0.25">
      <c r="A8" s="1" t="s">
        <v>437</v>
      </c>
      <c r="B8" s="2"/>
      <c r="C8" s="2"/>
    </row>
    <row r="9" spans="1:4" x14ac:dyDescent="0.25">
      <c r="A9" s="2"/>
      <c r="C9" s="2"/>
    </row>
    <row r="10" spans="1:4" x14ac:dyDescent="0.25">
      <c r="A10" s="2"/>
      <c r="B10" s="2"/>
      <c r="C10" s="2"/>
    </row>
    <row r="11" spans="1:4" x14ac:dyDescent="0.25">
      <c r="A11" s="5" t="s">
        <v>384</v>
      </c>
      <c r="B11" s="5" t="s">
        <v>346</v>
      </c>
      <c r="C11" s="5" t="s">
        <v>313</v>
      </c>
      <c r="D11" s="5" t="s">
        <v>438</v>
      </c>
    </row>
    <row r="12" spans="1:4" x14ac:dyDescent="0.25">
      <c r="A12" s="6" t="s">
        <v>8</v>
      </c>
      <c r="B12" s="6" t="s">
        <v>314</v>
      </c>
      <c r="C12" s="6" t="s">
        <v>439</v>
      </c>
      <c r="D12" s="6" t="s">
        <v>325</v>
      </c>
    </row>
    <row r="13" spans="1:4" x14ac:dyDescent="0.25">
      <c r="A13" s="6" t="s">
        <v>13</v>
      </c>
      <c r="B13" s="6" t="s">
        <v>13</v>
      </c>
      <c r="C13" s="6" t="s">
        <v>13</v>
      </c>
      <c r="D13" s="6" t="s">
        <v>13</v>
      </c>
    </row>
    <row r="14" spans="1:4" x14ac:dyDescent="0.25">
      <c r="A14" s="6" t="s">
        <v>440</v>
      </c>
      <c r="B14" s="6" t="s">
        <v>441</v>
      </c>
      <c r="C14" s="6" t="s">
        <v>441</v>
      </c>
      <c r="D14" s="6" t="s">
        <v>441</v>
      </c>
    </row>
    <row r="15" spans="1:4" x14ac:dyDescent="0.25">
      <c r="A15" s="6"/>
      <c r="B15" s="6">
        <v>1</v>
      </c>
      <c r="C15" s="6">
        <v>0</v>
      </c>
      <c r="D15" s="6">
        <v>1</v>
      </c>
    </row>
    <row r="16" spans="1:4" x14ac:dyDescent="0.25">
      <c r="A16" s="5">
        <v>1</v>
      </c>
      <c r="B16" s="8">
        <v>1</v>
      </c>
      <c r="C16" s="8">
        <v>600</v>
      </c>
      <c r="D16" s="32">
        <v>1</v>
      </c>
    </row>
    <row r="17" spans="1:4" x14ac:dyDescent="0.25">
      <c r="A17" s="8">
        <v>2</v>
      </c>
      <c r="B17" s="8">
        <v>1</v>
      </c>
      <c r="C17" s="8">
        <v>300</v>
      </c>
      <c r="D17" s="32">
        <v>2</v>
      </c>
    </row>
    <row r="18" spans="1:4" x14ac:dyDescent="0.25">
      <c r="A18" s="5">
        <v>3</v>
      </c>
      <c r="B18" s="8">
        <v>1</v>
      </c>
      <c r="C18" s="8">
        <v>180</v>
      </c>
      <c r="D18" s="32">
        <v>5</v>
      </c>
    </row>
    <row r="19" spans="1:4" x14ac:dyDescent="0.25">
      <c r="A19" s="8">
        <v>4</v>
      </c>
      <c r="B19" s="8">
        <v>1</v>
      </c>
      <c r="C19" s="8">
        <v>90</v>
      </c>
      <c r="D19" s="32">
        <v>50</v>
      </c>
    </row>
    <row r="20" spans="1:4" x14ac:dyDescent="0.25">
      <c r="A20" s="5">
        <v>5</v>
      </c>
      <c r="B20" s="8">
        <v>1</v>
      </c>
      <c r="C20" s="8">
        <v>60</v>
      </c>
      <c r="D20" s="32">
        <v>50</v>
      </c>
    </row>
    <row r="21" spans="1:4" x14ac:dyDescent="0.25">
      <c r="A21" s="8">
        <v>6</v>
      </c>
      <c r="B21" s="8">
        <v>1</v>
      </c>
      <c r="C21" s="8">
        <v>30</v>
      </c>
      <c r="D21" s="32">
        <v>100</v>
      </c>
    </row>
  </sheetData>
  <phoneticPr fontId="11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0"/>
  <sheetViews>
    <sheetView workbookViewId="0">
      <selection activeCell="B1" sqref="B1"/>
    </sheetView>
  </sheetViews>
  <sheetFormatPr defaultColWidth="9" defaultRowHeight="13.8" x14ac:dyDescent="0.25"/>
  <cols>
    <col min="1" max="1" width="19.33203125" customWidth="1"/>
    <col min="2" max="2" width="23.88671875" customWidth="1"/>
    <col min="3" max="3" width="24" customWidth="1"/>
    <col min="4" max="4" width="23.77734375" customWidth="1"/>
    <col min="5" max="5" width="23.33203125" customWidth="1"/>
  </cols>
  <sheetData>
    <row r="1" spans="1:5" x14ac:dyDescent="0.25">
      <c r="A1" s="1" t="s">
        <v>422</v>
      </c>
      <c r="B1" s="2"/>
      <c r="C1" s="2" t="s">
        <v>423</v>
      </c>
      <c r="D1" s="2"/>
      <c r="E1" s="2"/>
    </row>
    <row r="2" spans="1:5" x14ac:dyDescent="0.25">
      <c r="A2" s="1" t="s">
        <v>424</v>
      </c>
      <c r="B2" s="2" t="s">
        <v>442</v>
      </c>
      <c r="C2" s="2" t="s">
        <v>426</v>
      </c>
      <c r="D2" s="2"/>
      <c r="E2" s="2"/>
    </row>
    <row r="3" spans="1:5" x14ac:dyDescent="0.25">
      <c r="A3" s="1" t="s">
        <v>427</v>
      </c>
      <c r="B3" s="3" t="s">
        <v>428</v>
      </c>
      <c r="C3" s="2" t="s">
        <v>429</v>
      </c>
      <c r="D3" s="2"/>
      <c r="E3" s="2"/>
    </row>
    <row r="4" spans="1:5" x14ac:dyDescent="0.25">
      <c r="A4" s="1" t="s">
        <v>430</v>
      </c>
      <c r="B4" s="4" t="s">
        <v>431</v>
      </c>
      <c r="C4" s="2"/>
      <c r="D4" s="2"/>
      <c r="E4" s="2"/>
    </row>
    <row r="5" spans="1:5" x14ac:dyDescent="0.25">
      <c r="A5" s="1" t="s">
        <v>432</v>
      </c>
      <c r="B5" s="2"/>
      <c r="C5" s="2" t="s">
        <v>433</v>
      </c>
      <c r="D5" s="2"/>
      <c r="E5" s="2"/>
    </row>
    <row r="6" spans="1:5" x14ac:dyDescent="0.25">
      <c r="A6" s="1" t="s">
        <v>434</v>
      </c>
      <c r="B6" s="2">
        <v>4</v>
      </c>
      <c r="C6" s="2" t="s">
        <v>435</v>
      </c>
      <c r="D6" s="2"/>
      <c r="E6" s="2"/>
    </row>
    <row r="7" spans="1:5" x14ac:dyDescent="0.25">
      <c r="A7" s="1" t="s">
        <v>436</v>
      </c>
      <c r="B7" s="2"/>
      <c r="C7" s="2"/>
      <c r="D7" s="2"/>
      <c r="E7" s="2"/>
    </row>
    <row r="8" spans="1:5" x14ac:dyDescent="0.25">
      <c r="A8" s="1" t="s">
        <v>437</v>
      </c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 t="s">
        <v>389</v>
      </c>
      <c r="B11" t="s">
        <v>395</v>
      </c>
      <c r="C11" s="2" t="s">
        <v>396</v>
      </c>
      <c r="D11" s="2" t="s">
        <v>397</v>
      </c>
      <c r="E11" s="2" t="s">
        <v>398</v>
      </c>
    </row>
    <row r="12" spans="1:5" x14ac:dyDescent="0.25">
      <c r="A12" s="4" t="s">
        <v>8</v>
      </c>
      <c r="B12" s="4" t="s">
        <v>399</v>
      </c>
      <c r="C12" s="4" t="s">
        <v>400</v>
      </c>
      <c r="D12" s="3" t="s">
        <v>443</v>
      </c>
      <c r="E12" s="4" t="s">
        <v>401</v>
      </c>
    </row>
    <row r="13" spans="1:5" x14ac:dyDescent="0.25">
      <c r="A13" s="4" t="s">
        <v>13</v>
      </c>
      <c r="B13" s="4" t="s">
        <v>13</v>
      </c>
      <c r="C13" s="4" t="s">
        <v>13</v>
      </c>
      <c r="D13" s="3" t="s">
        <v>14</v>
      </c>
      <c r="E13" s="4" t="s">
        <v>444</v>
      </c>
    </row>
    <row r="14" spans="1:5" x14ac:dyDescent="0.25">
      <c r="A14" s="4" t="s">
        <v>440</v>
      </c>
      <c r="B14" s="4" t="s">
        <v>441</v>
      </c>
      <c r="C14" s="4" t="s">
        <v>441</v>
      </c>
      <c r="D14" s="3" t="s">
        <v>326</v>
      </c>
      <c r="E14" s="4" t="s">
        <v>441</v>
      </c>
    </row>
    <row r="15" spans="1:5" x14ac:dyDescent="0.25">
      <c r="A15" s="4"/>
      <c r="B15" s="4">
        <v>0</v>
      </c>
      <c r="C15" s="4">
        <v>0</v>
      </c>
      <c r="D15" s="3"/>
      <c r="E15" s="4" t="s">
        <v>304</v>
      </c>
    </row>
    <row r="16" spans="1:5" x14ac:dyDescent="0.25">
      <c r="A16">
        <v>1</v>
      </c>
      <c r="B16">
        <v>1</v>
      </c>
      <c r="C16">
        <v>496001</v>
      </c>
      <c r="D16" s="30" t="s">
        <v>445</v>
      </c>
      <c r="E16" s="31" t="s">
        <v>446</v>
      </c>
    </row>
    <row r="17" spans="1:5" x14ac:dyDescent="0.25">
      <c r="A17">
        <v>2</v>
      </c>
      <c r="B17">
        <v>3</v>
      </c>
      <c r="C17">
        <v>496002</v>
      </c>
      <c r="D17" s="30" t="s">
        <v>447</v>
      </c>
      <c r="E17" s="31" t="s">
        <v>448</v>
      </c>
    </row>
    <row r="18" spans="1:5" x14ac:dyDescent="0.25">
      <c r="A18">
        <v>3</v>
      </c>
      <c r="B18">
        <v>5</v>
      </c>
      <c r="C18">
        <v>496003</v>
      </c>
      <c r="D18" s="30" t="s">
        <v>449</v>
      </c>
      <c r="E18" s="31" t="s">
        <v>450</v>
      </c>
    </row>
    <row r="19" spans="1:5" x14ac:dyDescent="0.25">
      <c r="D19" s="30"/>
      <c r="E19" s="31"/>
    </row>
    <row r="20" spans="1:5" x14ac:dyDescent="0.25">
      <c r="D20" s="30"/>
      <c r="E20" s="31"/>
    </row>
  </sheetData>
  <phoneticPr fontId="11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workbookViewId="0">
      <selection activeCell="B1" sqref="B1"/>
    </sheetView>
  </sheetViews>
  <sheetFormatPr defaultColWidth="9" defaultRowHeight="13.8" x14ac:dyDescent="0.25"/>
  <cols>
    <col min="1" max="1" width="16.109375" style="2" customWidth="1"/>
    <col min="2" max="2" width="20.109375" style="2" customWidth="1"/>
    <col min="3" max="3" width="45.109375" style="2" customWidth="1"/>
    <col min="4" max="6" width="10.6640625" style="2" customWidth="1"/>
    <col min="7" max="16384" width="9" style="2"/>
  </cols>
  <sheetData>
    <row r="1" spans="1:5" x14ac:dyDescent="0.25">
      <c r="A1" s="1" t="s">
        <v>422</v>
      </c>
      <c r="C1" s="2" t="s">
        <v>423</v>
      </c>
    </row>
    <row r="2" spans="1:5" x14ac:dyDescent="0.25">
      <c r="A2" s="1" t="s">
        <v>424</v>
      </c>
      <c r="B2" s="2" t="s">
        <v>451</v>
      </c>
      <c r="C2" s="2" t="s">
        <v>426</v>
      </c>
    </row>
    <row r="3" spans="1:5" x14ac:dyDescent="0.25">
      <c r="A3" s="1" t="s">
        <v>427</v>
      </c>
      <c r="B3" s="3" t="s">
        <v>428</v>
      </c>
      <c r="C3" s="2" t="s">
        <v>429</v>
      </c>
    </row>
    <row r="4" spans="1:5" x14ac:dyDescent="0.25">
      <c r="A4" s="1" t="s">
        <v>430</v>
      </c>
      <c r="B4" s="4" t="s">
        <v>431</v>
      </c>
    </row>
    <row r="5" spans="1:5" x14ac:dyDescent="0.25">
      <c r="A5" s="1" t="s">
        <v>432</v>
      </c>
      <c r="C5" s="2" t="s">
        <v>433</v>
      </c>
    </row>
    <row r="6" spans="1:5" x14ac:dyDescent="0.25">
      <c r="A6" s="1" t="s">
        <v>434</v>
      </c>
      <c r="B6" s="2">
        <v>4</v>
      </c>
      <c r="C6" s="2" t="s">
        <v>435</v>
      </c>
    </row>
    <row r="7" spans="1:5" x14ac:dyDescent="0.25">
      <c r="A7" s="1" t="s">
        <v>436</v>
      </c>
    </row>
    <row r="8" spans="1:5" x14ac:dyDescent="0.25">
      <c r="A8" s="1" t="s">
        <v>437</v>
      </c>
    </row>
    <row r="11" spans="1:5" x14ac:dyDescent="0.25">
      <c r="A11" s="2" t="s">
        <v>389</v>
      </c>
      <c r="B11" s="2" t="s">
        <v>396</v>
      </c>
      <c r="C11" s="2" t="s">
        <v>397</v>
      </c>
      <c r="D11" s="2" t="s">
        <v>452</v>
      </c>
      <c r="E11" s="2" t="s">
        <v>398</v>
      </c>
    </row>
    <row r="12" spans="1:5" x14ac:dyDescent="0.25">
      <c r="A12" s="4" t="s">
        <v>8</v>
      </c>
      <c r="B12" s="4" t="s">
        <v>400</v>
      </c>
      <c r="C12" s="3" t="s">
        <v>443</v>
      </c>
      <c r="D12" s="4" t="s">
        <v>453</v>
      </c>
      <c r="E12" s="4" t="s">
        <v>401</v>
      </c>
    </row>
    <row r="13" spans="1:5" x14ac:dyDescent="0.25">
      <c r="A13" s="4" t="s">
        <v>13</v>
      </c>
      <c r="B13" s="4" t="s">
        <v>13</v>
      </c>
      <c r="C13" s="3" t="s">
        <v>14</v>
      </c>
      <c r="D13" s="4" t="s">
        <v>13</v>
      </c>
      <c r="E13" s="4" t="s">
        <v>13</v>
      </c>
    </row>
    <row r="14" spans="1:5" x14ac:dyDescent="0.25">
      <c r="A14" s="4" t="s">
        <v>440</v>
      </c>
      <c r="B14" s="4" t="s">
        <v>441</v>
      </c>
      <c r="C14" s="3" t="s">
        <v>326</v>
      </c>
      <c r="D14" s="4" t="s">
        <v>441</v>
      </c>
      <c r="E14" s="4" t="s">
        <v>441</v>
      </c>
    </row>
    <row r="15" spans="1:5" x14ac:dyDescent="0.25">
      <c r="A15" s="4"/>
      <c r="B15" s="4">
        <v>0</v>
      </c>
      <c r="C15" s="3"/>
      <c r="D15" s="4">
        <v>0</v>
      </c>
      <c r="E15" s="4">
        <v>0</v>
      </c>
    </row>
    <row r="16" spans="1:5" x14ac:dyDescent="0.25">
      <c r="A16" s="2">
        <v>1</v>
      </c>
      <c r="B16" s="2">
        <v>494001</v>
      </c>
      <c r="C16" s="28" t="s">
        <v>454</v>
      </c>
      <c r="D16" s="2">
        <v>39</v>
      </c>
      <c r="E16" s="2">
        <v>801</v>
      </c>
    </row>
    <row r="17" spans="1:5" x14ac:dyDescent="0.25">
      <c r="A17" s="2">
        <v>2</v>
      </c>
      <c r="B17" s="2">
        <v>494002</v>
      </c>
      <c r="C17" s="28" t="s">
        <v>455</v>
      </c>
      <c r="D17" s="2">
        <v>39</v>
      </c>
      <c r="E17" s="2">
        <v>802</v>
      </c>
    </row>
    <row r="18" spans="1:5" x14ac:dyDescent="0.25">
      <c r="A18" s="2">
        <v>3</v>
      </c>
      <c r="B18" s="2">
        <v>494003</v>
      </c>
      <c r="C18" s="28" t="s">
        <v>456</v>
      </c>
      <c r="D18" s="2">
        <v>39</v>
      </c>
      <c r="E18" s="2">
        <v>803</v>
      </c>
    </row>
    <row r="19" spans="1:5" x14ac:dyDescent="0.25">
      <c r="C19" s="28"/>
      <c r="D19" s="29"/>
    </row>
    <row r="20" spans="1:5" x14ac:dyDescent="0.25">
      <c r="C20" s="28"/>
    </row>
  </sheetData>
  <phoneticPr fontId="11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6"/>
  <sheetViews>
    <sheetView workbookViewId="0">
      <selection activeCell="B1" sqref="B1"/>
    </sheetView>
  </sheetViews>
  <sheetFormatPr defaultColWidth="9" defaultRowHeight="13.8" x14ac:dyDescent="0.25"/>
  <cols>
    <col min="1" max="1" width="25.77734375" customWidth="1"/>
    <col min="2" max="2" width="13" customWidth="1"/>
  </cols>
  <sheetData>
    <row r="1" spans="1:8" x14ac:dyDescent="0.25">
      <c r="A1" s="1" t="s">
        <v>422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424</v>
      </c>
      <c r="B2" s="2" t="s">
        <v>457</v>
      </c>
      <c r="C2" s="2"/>
      <c r="D2" s="2"/>
      <c r="E2" s="2"/>
      <c r="F2" s="2"/>
      <c r="G2" s="2"/>
      <c r="H2" s="2"/>
    </row>
    <row r="3" spans="1:8" x14ac:dyDescent="0.25">
      <c r="A3" s="1" t="s">
        <v>427</v>
      </c>
      <c r="B3" s="3" t="s">
        <v>428</v>
      </c>
      <c r="C3" s="2"/>
      <c r="D3" s="2"/>
      <c r="E3" s="2"/>
      <c r="F3" s="2"/>
      <c r="G3" s="2"/>
      <c r="H3" s="2"/>
    </row>
    <row r="4" spans="1:8" x14ac:dyDescent="0.25">
      <c r="A4" s="1" t="s">
        <v>430</v>
      </c>
      <c r="B4" s="4" t="s">
        <v>431</v>
      </c>
      <c r="C4" s="2"/>
      <c r="D4" s="2"/>
      <c r="E4" s="2"/>
      <c r="F4" s="2"/>
      <c r="G4" s="2"/>
      <c r="H4" s="2"/>
    </row>
    <row r="5" spans="1:8" x14ac:dyDescent="0.25">
      <c r="A5" s="1" t="s">
        <v>432</v>
      </c>
      <c r="B5" s="2"/>
      <c r="C5" s="2"/>
      <c r="D5" s="2"/>
      <c r="E5" s="2"/>
      <c r="F5" s="2"/>
      <c r="G5" s="2"/>
      <c r="H5" s="2"/>
    </row>
    <row r="6" spans="1:8" x14ac:dyDescent="0.25">
      <c r="A6" s="1" t="s">
        <v>434</v>
      </c>
      <c r="B6" s="2">
        <v>4</v>
      </c>
      <c r="C6" s="2"/>
      <c r="D6" s="2"/>
      <c r="E6" s="2"/>
      <c r="F6" s="2"/>
      <c r="G6" s="2"/>
      <c r="H6" s="2"/>
    </row>
    <row r="7" spans="1:8" x14ac:dyDescent="0.25">
      <c r="A7" s="1" t="s">
        <v>436</v>
      </c>
      <c r="B7" s="2"/>
      <c r="C7" s="2"/>
      <c r="D7" s="2"/>
      <c r="E7" s="2"/>
      <c r="F7" s="2"/>
      <c r="G7" s="2"/>
    </row>
    <row r="8" spans="1:8" x14ac:dyDescent="0.25">
      <c r="A8" s="1" t="s">
        <v>437</v>
      </c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5" t="s">
        <v>1</v>
      </c>
      <c r="B11" s="5" t="s">
        <v>458</v>
      </c>
      <c r="C11" s="8" t="s">
        <v>459</v>
      </c>
      <c r="D11" s="8" t="s">
        <v>293</v>
      </c>
    </row>
    <row r="12" spans="1:8" x14ac:dyDescent="0.25">
      <c r="A12" s="6" t="s">
        <v>8</v>
      </c>
      <c r="B12" s="6" t="s">
        <v>460</v>
      </c>
      <c r="C12" s="6" t="s">
        <v>461</v>
      </c>
      <c r="D12" s="6" t="s">
        <v>462</v>
      </c>
    </row>
    <row r="13" spans="1:8" x14ac:dyDescent="0.25">
      <c r="A13" s="6" t="s">
        <v>13</v>
      </c>
      <c r="B13" s="6" t="s">
        <v>13</v>
      </c>
      <c r="C13" s="6" t="s">
        <v>13</v>
      </c>
      <c r="D13" s="6" t="s">
        <v>14</v>
      </c>
    </row>
    <row r="14" spans="1:8" x14ac:dyDescent="0.25">
      <c r="A14" s="6" t="s">
        <v>440</v>
      </c>
      <c r="B14" s="6" t="s">
        <v>441</v>
      </c>
      <c r="C14" s="6" t="s">
        <v>441</v>
      </c>
      <c r="D14" s="6" t="s">
        <v>441</v>
      </c>
    </row>
    <row r="15" spans="1:8" x14ac:dyDescent="0.25">
      <c r="A15" s="6"/>
      <c r="B15" s="6">
        <v>1</v>
      </c>
      <c r="C15" s="6">
        <v>0</v>
      </c>
      <c r="D15" s="6">
        <v>0</v>
      </c>
    </row>
    <row r="16" spans="1:8" ht="15.6" x14ac:dyDescent="0.25">
      <c r="A16" s="5">
        <v>1</v>
      </c>
      <c r="B16" s="8">
        <v>310006</v>
      </c>
      <c r="C16" s="8">
        <v>1</v>
      </c>
      <c r="D16" s="8" t="s">
        <v>463</v>
      </c>
      <c r="F16" s="23" t="s">
        <v>464</v>
      </c>
      <c r="G16" t="s">
        <v>465</v>
      </c>
    </row>
    <row r="17" spans="1:9" ht="15.6" x14ac:dyDescent="0.25">
      <c r="A17" s="5">
        <v>2</v>
      </c>
      <c r="B17" s="8">
        <v>310007</v>
      </c>
      <c r="C17" s="8">
        <v>1</v>
      </c>
      <c r="D17" s="8" t="s">
        <v>463</v>
      </c>
      <c r="F17" s="23" t="s">
        <v>466</v>
      </c>
      <c r="G17" t="s">
        <v>467</v>
      </c>
    </row>
    <row r="18" spans="1:9" ht="15.6" x14ac:dyDescent="0.25">
      <c r="A18" s="5">
        <v>3</v>
      </c>
      <c r="B18" s="8">
        <v>310008</v>
      </c>
      <c r="C18" s="8">
        <v>1</v>
      </c>
      <c r="D18" s="8" t="s">
        <v>463</v>
      </c>
      <c r="F18" s="23" t="s">
        <v>468</v>
      </c>
      <c r="G18" t="s">
        <v>465</v>
      </c>
    </row>
    <row r="19" spans="1:9" ht="15.6" x14ac:dyDescent="0.25">
      <c r="A19" s="8">
        <v>4</v>
      </c>
      <c r="B19" s="8">
        <v>310009</v>
      </c>
      <c r="C19" s="8">
        <v>1</v>
      </c>
      <c r="D19" s="8" t="s">
        <v>463</v>
      </c>
      <c r="F19" s="23" t="s">
        <v>469</v>
      </c>
      <c r="G19" t="s">
        <v>467</v>
      </c>
    </row>
    <row r="20" spans="1:9" ht="15.6" x14ac:dyDescent="0.25">
      <c r="A20" s="5">
        <v>5</v>
      </c>
      <c r="B20" s="8">
        <v>310010</v>
      </c>
      <c r="C20" s="8">
        <v>1</v>
      </c>
      <c r="D20" s="8" t="s">
        <v>463</v>
      </c>
      <c r="F20" s="23" t="s">
        <v>470</v>
      </c>
      <c r="G20" t="s">
        <v>467</v>
      </c>
    </row>
    <row r="21" spans="1:9" ht="15.6" x14ac:dyDescent="0.25">
      <c r="A21" s="8">
        <v>6</v>
      </c>
      <c r="B21" s="8">
        <v>310011</v>
      </c>
      <c r="C21" s="8">
        <v>1</v>
      </c>
      <c r="D21" s="8" t="s">
        <v>463</v>
      </c>
      <c r="F21" s="24" t="s">
        <v>471</v>
      </c>
      <c r="G21" t="s">
        <v>467</v>
      </c>
      <c r="I21" s="25"/>
    </row>
    <row r="22" spans="1:9" ht="15.6" x14ac:dyDescent="0.25">
      <c r="A22" s="5">
        <v>7</v>
      </c>
      <c r="B22" s="8">
        <v>310012</v>
      </c>
      <c r="C22" s="8">
        <v>1</v>
      </c>
      <c r="D22" s="8" t="s">
        <v>463</v>
      </c>
      <c r="F22" s="23" t="s">
        <v>472</v>
      </c>
      <c r="G22" t="s">
        <v>467</v>
      </c>
      <c r="I22" s="5"/>
    </row>
    <row r="23" spans="1:9" ht="15.6" x14ac:dyDescent="0.25">
      <c r="A23" s="5">
        <v>8</v>
      </c>
      <c r="B23" s="8">
        <v>310013</v>
      </c>
      <c r="C23" s="8">
        <v>1</v>
      </c>
      <c r="D23" s="8" t="s">
        <v>463</v>
      </c>
      <c r="F23" s="23" t="s">
        <v>473</v>
      </c>
      <c r="G23" t="s">
        <v>467</v>
      </c>
    </row>
    <row r="24" spans="1:9" ht="15.6" x14ac:dyDescent="0.25">
      <c r="A24" s="25">
        <v>9</v>
      </c>
      <c r="B24" s="8">
        <v>310014</v>
      </c>
      <c r="C24" s="8">
        <v>1</v>
      </c>
      <c r="D24" s="8" t="s">
        <v>463</v>
      </c>
      <c r="F24" s="23" t="s">
        <v>474</v>
      </c>
      <c r="G24" t="s">
        <v>467</v>
      </c>
    </row>
    <row r="25" spans="1:9" ht="15.6" x14ac:dyDescent="0.25">
      <c r="A25" s="5">
        <v>10</v>
      </c>
      <c r="B25" s="8">
        <v>310015</v>
      </c>
      <c r="C25" s="8">
        <v>1</v>
      </c>
      <c r="D25" s="8" t="s">
        <v>463</v>
      </c>
      <c r="F25" s="23" t="s">
        <v>475</v>
      </c>
      <c r="G25" t="s">
        <v>467</v>
      </c>
    </row>
    <row r="26" spans="1:9" ht="15.6" x14ac:dyDescent="0.25">
      <c r="A26" s="5">
        <v>11</v>
      </c>
      <c r="B26" s="8">
        <v>310016</v>
      </c>
      <c r="C26" s="8">
        <v>1</v>
      </c>
      <c r="D26" s="8" t="s">
        <v>463</v>
      </c>
      <c r="F26" s="23" t="s">
        <v>476</v>
      </c>
      <c r="G26" t="s">
        <v>467</v>
      </c>
    </row>
    <row r="27" spans="1:9" ht="15.6" x14ac:dyDescent="0.25">
      <c r="A27" s="5">
        <v>12</v>
      </c>
      <c r="B27" s="8">
        <v>310017</v>
      </c>
      <c r="C27" s="8">
        <v>1</v>
      </c>
      <c r="D27" s="8" t="s">
        <v>463</v>
      </c>
      <c r="F27" s="23" t="s">
        <v>477</v>
      </c>
      <c r="G27" t="s">
        <v>467</v>
      </c>
    </row>
    <row r="28" spans="1:9" ht="15.6" x14ac:dyDescent="0.25">
      <c r="A28" s="25">
        <v>13</v>
      </c>
      <c r="B28" s="8">
        <v>310018</v>
      </c>
      <c r="C28" s="8">
        <v>1</v>
      </c>
      <c r="D28" s="8" t="s">
        <v>463</v>
      </c>
      <c r="F28" s="23" t="s">
        <v>478</v>
      </c>
      <c r="G28" t="s">
        <v>467</v>
      </c>
    </row>
    <row r="29" spans="1:9" ht="15.6" x14ac:dyDescent="0.25">
      <c r="A29" s="5">
        <v>14</v>
      </c>
      <c r="B29" s="8">
        <v>310019</v>
      </c>
      <c r="C29" s="8">
        <v>1</v>
      </c>
      <c r="D29" s="8" t="s">
        <v>463</v>
      </c>
      <c r="F29" s="23" t="s">
        <v>479</v>
      </c>
      <c r="G29" t="s">
        <v>467</v>
      </c>
    </row>
    <row r="35" spans="1:4" x14ac:dyDescent="0.25">
      <c r="A35" s="26"/>
      <c r="B35" s="27"/>
      <c r="C35" s="27"/>
      <c r="D35" s="27"/>
    </row>
    <row r="36" spans="1:4" x14ac:dyDescent="0.25">
      <c r="A36" s="26"/>
      <c r="B36" s="27"/>
      <c r="C36" s="27"/>
      <c r="D36" s="27"/>
    </row>
  </sheetData>
  <phoneticPr fontId="11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3"/>
  <sheetViews>
    <sheetView workbookViewId="0">
      <selection activeCell="C6" sqref="C6"/>
    </sheetView>
  </sheetViews>
  <sheetFormatPr defaultColWidth="9" defaultRowHeight="13.8" x14ac:dyDescent="0.25"/>
  <cols>
    <col min="1" max="1" width="25.77734375" customWidth="1"/>
    <col min="2" max="2" width="13" customWidth="1"/>
    <col min="3" max="3" width="17.21875" customWidth="1"/>
    <col min="4" max="6" width="10.109375" customWidth="1"/>
    <col min="7" max="9" width="14.109375" customWidth="1"/>
    <col min="10" max="10" width="25.44140625" customWidth="1"/>
  </cols>
  <sheetData>
    <row r="1" spans="1:10" x14ac:dyDescent="0.25">
      <c r="A1" s="1" t="s">
        <v>422</v>
      </c>
      <c r="B1" s="2"/>
      <c r="C1" s="2"/>
      <c r="D1" s="2"/>
      <c r="E1" s="2"/>
      <c r="F1" s="2"/>
      <c r="G1" s="2"/>
      <c r="H1" s="2"/>
      <c r="I1" s="2"/>
    </row>
    <row r="2" spans="1:10" x14ac:dyDescent="0.25">
      <c r="A2" s="1" t="s">
        <v>424</v>
      </c>
      <c r="B2" s="2" t="s">
        <v>480</v>
      </c>
      <c r="C2" s="2"/>
      <c r="D2" s="2"/>
      <c r="E2" s="2"/>
      <c r="F2" s="2"/>
      <c r="G2" s="2"/>
      <c r="H2" s="2"/>
      <c r="I2" s="2"/>
    </row>
    <row r="3" spans="1:10" x14ac:dyDescent="0.25">
      <c r="A3" s="1" t="s">
        <v>427</v>
      </c>
      <c r="B3" s="3" t="s">
        <v>428</v>
      </c>
      <c r="C3" s="3"/>
      <c r="D3" s="2"/>
      <c r="E3" s="2"/>
      <c r="F3" s="2"/>
      <c r="G3" s="2"/>
      <c r="H3" s="2"/>
      <c r="I3" s="2"/>
    </row>
    <row r="4" spans="1:10" x14ac:dyDescent="0.25">
      <c r="A4" s="1" t="s">
        <v>430</v>
      </c>
      <c r="B4" s="4" t="s">
        <v>431</v>
      </c>
      <c r="C4" s="4"/>
      <c r="D4" s="2"/>
      <c r="E4" s="2"/>
      <c r="F4" s="2"/>
      <c r="G4" s="2"/>
      <c r="H4" s="2"/>
      <c r="I4" s="2"/>
    </row>
    <row r="5" spans="1:10" x14ac:dyDescent="0.25">
      <c r="A5" s="1" t="s">
        <v>432</v>
      </c>
      <c r="B5" s="2"/>
      <c r="C5" s="2"/>
      <c r="D5" s="2"/>
      <c r="E5" s="2"/>
      <c r="F5" s="2"/>
      <c r="G5" s="2"/>
      <c r="H5" s="2"/>
      <c r="I5" s="2"/>
    </row>
    <row r="6" spans="1:10" x14ac:dyDescent="0.25">
      <c r="A6" s="1" t="s">
        <v>434</v>
      </c>
      <c r="B6" s="2">
        <v>4</v>
      </c>
      <c r="C6" s="2"/>
      <c r="D6" s="2"/>
      <c r="E6" s="2"/>
      <c r="F6" s="2"/>
      <c r="G6" s="2"/>
      <c r="H6" s="2"/>
      <c r="I6" s="2"/>
    </row>
    <row r="7" spans="1:10" x14ac:dyDescent="0.25">
      <c r="A7" s="1" t="s">
        <v>436</v>
      </c>
      <c r="B7" s="2"/>
      <c r="C7" s="2"/>
      <c r="D7" s="2"/>
      <c r="E7" s="2"/>
      <c r="F7" s="2"/>
      <c r="G7" s="2"/>
      <c r="H7" s="2"/>
      <c r="I7" s="2"/>
    </row>
    <row r="8" spans="1:10" x14ac:dyDescent="0.25">
      <c r="A8" s="1" t="s">
        <v>437</v>
      </c>
      <c r="B8" s="2"/>
      <c r="C8" s="2"/>
      <c r="D8" s="2"/>
      <c r="E8" s="2"/>
      <c r="F8" s="2"/>
      <c r="G8" s="2"/>
      <c r="H8" s="2"/>
      <c r="I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10" x14ac:dyDescent="0.25">
      <c r="A11" s="5" t="s">
        <v>1</v>
      </c>
      <c r="B11" s="7" t="s">
        <v>331</v>
      </c>
      <c r="C11" s="8" t="s">
        <v>2</v>
      </c>
      <c r="D11" s="8" t="s">
        <v>481</v>
      </c>
      <c r="E11" s="8" t="s">
        <v>482</v>
      </c>
      <c r="F11" s="8" t="s">
        <v>483</v>
      </c>
      <c r="G11" s="8" t="s">
        <v>484</v>
      </c>
      <c r="H11" s="8" t="s">
        <v>485</v>
      </c>
      <c r="I11" s="8" t="s">
        <v>486</v>
      </c>
      <c r="J11" s="8" t="s">
        <v>487</v>
      </c>
    </row>
    <row r="12" spans="1:10" x14ac:dyDescent="0.25">
      <c r="A12" s="6" t="s">
        <v>8</v>
      </c>
      <c r="B12" s="7"/>
      <c r="C12" s="6" t="s">
        <v>488</v>
      </c>
      <c r="D12" s="6" t="s">
        <v>489</v>
      </c>
      <c r="E12" s="6" t="s">
        <v>490</v>
      </c>
      <c r="F12" s="6" t="s">
        <v>491</v>
      </c>
      <c r="G12" s="6" t="s">
        <v>492</v>
      </c>
      <c r="H12" s="6" t="s">
        <v>493</v>
      </c>
      <c r="I12" s="6" t="s">
        <v>494</v>
      </c>
      <c r="J12" s="6" t="s">
        <v>495</v>
      </c>
    </row>
    <row r="13" spans="1:10" x14ac:dyDescent="0.25">
      <c r="A13" s="6" t="s">
        <v>13</v>
      </c>
      <c r="B13" s="7"/>
      <c r="C13" s="6" t="s">
        <v>13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13</v>
      </c>
      <c r="I13" s="6" t="s">
        <v>13</v>
      </c>
      <c r="J13" s="6" t="s">
        <v>13</v>
      </c>
    </row>
    <row r="14" spans="1:10" x14ac:dyDescent="0.25">
      <c r="A14" s="6" t="s">
        <v>440</v>
      </c>
      <c r="B14" s="7"/>
      <c r="C14" s="6" t="s">
        <v>441</v>
      </c>
      <c r="D14" s="6" t="s">
        <v>441</v>
      </c>
      <c r="E14" s="6" t="s">
        <v>441</v>
      </c>
      <c r="F14" s="6" t="s">
        <v>441</v>
      </c>
      <c r="G14" s="6" t="s">
        <v>441</v>
      </c>
      <c r="H14" s="6" t="s">
        <v>441</v>
      </c>
      <c r="I14" s="6" t="s">
        <v>441</v>
      </c>
      <c r="J14" s="6" t="s">
        <v>441</v>
      </c>
    </row>
    <row r="15" spans="1:10" x14ac:dyDescent="0.25">
      <c r="A15" s="6"/>
      <c r="B15" s="7">
        <v>1</v>
      </c>
      <c r="C15" s="6">
        <v>0</v>
      </c>
      <c r="D15" s="6">
        <v>0</v>
      </c>
      <c r="E15" s="6">
        <v>0</v>
      </c>
      <c r="F15" s="6">
        <v>0</v>
      </c>
      <c r="G15" s="6">
        <v>60</v>
      </c>
      <c r="H15" s="6">
        <v>60</v>
      </c>
      <c r="I15" s="6">
        <v>60</v>
      </c>
      <c r="J15" s="6">
        <v>120</v>
      </c>
    </row>
    <row r="16" spans="1:10" x14ac:dyDescent="0.25">
      <c r="A16" s="5">
        <v>1</v>
      </c>
      <c r="B16" s="7" t="s">
        <v>496</v>
      </c>
      <c r="C16" s="8">
        <v>100011</v>
      </c>
      <c r="D16" s="8">
        <v>80001</v>
      </c>
      <c r="E16" s="8">
        <v>80002</v>
      </c>
      <c r="F16" s="8">
        <v>80003</v>
      </c>
      <c r="G16" s="8">
        <v>120</v>
      </c>
      <c r="H16" s="8">
        <v>240</v>
      </c>
      <c r="I16" s="8">
        <v>720</v>
      </c>
      <c r="J16" s="22">
        <v>120</v>
      </c>
    </row>
    <row r="17" spans="1:10" x14ac:dyDescent="0.25">
      <c r="A17" s="8">
        <v>2</v>
      </c>
      <c r="B17" s="7" t="s">
        <v>497</v>
      </c>
      <c r="C17" s="8">
        <v>100071</v>
      </c>
      <c r="D17" s="8">
        <v>80011</v>
      </c>
      <c r="E17" s="8">
        <v>80012</v>
      </c>
      <c r="F17" s="8">
        <v>80013</v>
      </c>
      <c r="G17" s="8">
        <v>120</v>
      </c>
      <c r="H17" s="8">
        <v>240</v>
      </c>
      <c r="I17" s="8">
        <v>720</v>
      </c>
      <c r="J17" s="22">
        <v>120</v>
      </c>
    </row>
    <row r="18" spans="1:10" x14ac:dyDescent="0.25">
      <c r="A18" s="5">
        <v>3</v>
      </c>
      <c r="B18" s="7" t="s">
        <v>498</v>
      </c>
      <c r="C18" s="8">
        <v>100081</v>
      </c>
      <c r="D18" s="8">
        <v>80021</v>
      </c>
      <c r="E18" s="8">
        <v>80022</v>
      </c>
      <c r="F18" s="8">
        <v>80023</v>
      </c>
      <c r="G18" s="8">
        <v>120</v>
      </c>
      <c r="H18" s="8">
        <v>240</v>
      </c>
      <c r="I18" s="8">
        <v>720</v>
      </c>
      <c r="J18" s="22">
        <v>120</v>
      </c>
    </row>
    <row r="19" spans="1:10" x14ac:dyDescent="0.25">
      <c r="A19" s="20"/>
      <c r="B19" s="21"/>
      <c r="C19" s="20"/>
      <c r="D19" s="20"/>
      <c r="E19" s="20"/>
      <c r="F19" s="8"/>
      <c r="G19" s="22"/>
      <c r="H19" s="22"/>
      <c r="I19" s="22"/>
      <c r="J19" s="22"/>
    </row>
    <row r="20" spans="1:10" x14ac:dyDescent="0.25">
      <c r="A20" s="8"/>
      <c r="B20" s="7"/>
      <c r="C20" s="8"/>
      <c r="D20" s="8"/>
      <c r="E20" s="8"/>
      <c r="F20" s="8"/>
      <c r="G20" s="22"/>
      <c r="H20" s="22"/>
      <c r="I20" s="22"/>
      <c r="J20" s="22"/>
    </row>
    <row r="21" spans="1:10" x14ac:dyDescent="0.25">
      <c r="A21" s="8"/>
      <c r="B21" s="7"/>
      <c r="C21" s="8"/>
      <c r="D21" s="8"/>
      <c r="E21" s="8"/>
      <c r="F21" s="8"/>
      <c r="G21" s="22"/>
      <c r="H21" s="22"/>
      <c r="I21" s="22"/>
      <c r="J21" s="22"/>
    </row>
    <row r="22" spans="1:10" x14ac:dyDescent="0.25">
      <c r="A22" s="8"/>
      <c r="B22" s="7"/>
      <c r="C22" s="8"/>
      <c r="D22" s="8"/>
      <c r="E22" s="8"/>
      <c r="F22" s="8"/>
      <c r="G22" s="22"/>
      <c r="H22" s="22"/>
      <c r="I22" s="22"/>
      <c r="J22" s="22"/>
    </row>
    <row r="23" spans="1:10" x14ac:dyDescent="0.25">
      <c r="A23" s="8"/>
      <c r="B23" s="7"/>
      <c r="C23" s="8"/>
      <c r="D23" s="8"/>
      <c r="E23" s="8"/>
      <c r="F23" s="8"/>
      <c r="G23" s="22"/>
      <c r="H23" s="22"/>
      <c r="I23" s="22"/>
      <c r="J23" s="22"/>
    </row>
  </sheetData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43"/>
  <sheetViews>
    <sheetView workbookViewId="0">
      <selection activeCell="B1" sqref="B1"/>
    </sheetView>
  </sheetViews>
  <sheetFormatPr defaultColWidth="9" defaultRowHeight="13.8" x14ac:dyDescent="0.25"/>
  <cols>
    <col min="1" max="1" width="25.77734375" customWidth="1"/>
    <col min="2" max="2" width="21.6640625" customWidth="1"/>
    <col min="3" max="3" width="43.21875" customWidth="1"/>
    <col min="4" max="6" width="32.88671875" customWidth="1"/>
    <col min="7" max="7" width="13.109375" customWidth="1"/>
    <col min="8" max="8" width="13.33203125" customWidth="1"/>
    <col min="12" max="12" width="22.33203125" customWidth="1"/>
    <col min="13" max="13" width="15.21875" customWidth="1"/>
  </cols>
  <sheetData>
    <row r="1" spans="1:28" x14ac:dyDescent="0.25">
      <c r="A1" s="1" t="s">
        <v>422</v>
      </c>
      <c r="B1" s="2"/>
      <c r="C1" s="2" t="s">
        <v>423</v>
      </c>
      <c r="D1" s="2"/>
      <c r="E1" s="2"/>
      <c r="F1" s="2"/>
    </row>
    <row r="2" spans="1:28" x14ac:dyDescent="0.25">
      <c r="A2" s="1" t="s">
        <v>424</v>
      </c>
      <c r="B2" s="2" t="s">
        <v>499</v>
      </c>
      <c r="C2" s="2" t="s">
        <v>426</v>
      </c>
      <c r="D2" s="2"/>
      <c r="E2" s="2"/>
      <c r="F2" s="2"/>
    </row>
    <row r="3" spans="1:28" x14ac:dyDescent="0.25">
      <c r="A3" s="1" t="s">
        <v>427</v>
      </c>
      <c r="B3" s="3" t="s">
        <v>428</v>
      </c>
      <c r="C3" s="2" t="s">
        <v>429</v>
      </c>
      <c r="D3" s="2"/>
      <c r="E3" s="2"/>
      <c r="F3" s="2"/>
    </row>
    <row r="4" spans="1:28" x14ac:dyDescent="0.25">
      <c r="A4" s="1" t="s">
        <v>430</v>
      </c>
      <c r="B4" s="4" t="s">
        <v>431</v>
      </c>
      <c r="C4" s="2"/>
      <c r="D4" s="2"/>
      <c r="E4" s="2"/>
      <c r="F4" s="2"/>
    </row>
    <row r="5" spans="1:28" x14ac:dyDescent="0.25">
      <c r="A5" s="1" t="s">
        <v>432</v>
      </c>
      <c r="B5" s="2"/>
      <c r="C5" s="2" t="s">
        <v>433</v>
      </c>
      <c r="D5" s="2"/>
      <c r="E5" s="2"/>
      <c r="F5" s="2"/>
    </row>
    <row r="6" spans="1:28" x14ac:dyDescent="0.25">
      <c r="A6" s="1" t="s">
        <v>434</v>
      </c>
      <c r="B6" s="2">
        <v>4</v>
      </c>
      <c r="C6" s="2" t="s">
        <v>435</v>
      </c>
      <c r="D6" s="2"/>
      <c r="E6" s="2"/>
      <c r="F6" s="2"/>
    </row>
    <row r="7" spans="1:28" x14ac:dyDescent="0.25">
      <c r="A7" s="1" t="s">
        <v>436</v>
      </c>
      <c r="B7" s="2"/>
      <c r="C7" s="2"/>
      <c r="D7" s="2"/>
      <c r="E7" s="2"/>
      <c r="F7" s="2"/>
    </row>
    <row r="8" spans="1:28" x14ac:dyDescent="0.25">
      <c r="A8" s="1" t="s">
        <v>437</v>
      </c>
      <c r="B8" s="2"/>
      <c r="C8" s="2"/>
      <c r="D8" s="2"/>
      <c r="E8" s="2"/>
      <c r="F8" s="2"/>
    </row>
    <row r="9" spans="1:28" x14ac:dyDescent="0.25">
      <c r="A9" s="2"/>
      <c r="B9" s="2"/>
      <c r="C9" s="2"/>
      <c r="D9" s="2"/>
      <c r="E9" s="2"/>
      <c r="F9" s="2"/>
      <c r="G9" s="2"/>
    </row>
    <row r="10" spans="1:28" x14ac:dyDescent="0.25">
      <c r="A10" s="2"/>
      <c r="B10" s="2"/>
      <c r="C10" s="2"/>
    </row>
    <row r="11" spans="1:28" x14ac:dyDescent="0.25">
      <c r="A11" s="5" t="s">
        <v>500</v>
      </c>
      <c r="B11" s="7" t="s">
        <v>501</v>
      </c>
      <c r="C11" s="5" t="s">
        <v>351</v>
      </c>
      <c r="D11" s="5" t="s">
        <v>502</v>
      </c>
    </row>
    <row r="12" spans="1:28" x14ac:dyDescent="0.25">
      <c r="A12" s="6" t="s">
        <v>8</v>
      </c>
      <c r="B12" s="7"/>
      <c r="C12" s="6" t="s">
        <v>357</v>
      </c>
      <c r="D12" s="6" t="s">
        <v>503</v>
      </c>
      <c r="F12" t="s">
        <v>504</v>
      </c>
      <c r="G12" t="s">
        <v>505</v>
      </c>
      <c r="H12" t="s">
        <v>506</v>
      </c>
    </row>
    <row r="13" spans="1:28" x14ac:dyDescent="0.25">
      <c r="A13" s="6" t="s">
        <v>13</v>
      </c>
      <c r="B13" s="7"/>
      <c r="C13" s="6" t="s">
        <v>13</v>
      </c>
      <c r="D13" s="6" t="s">
        <v>13</v>
      </c>
      <c r="G13">
        <v>8</v>
      </c>
      <c r="N13">
        <v>10</v>
      </c>
    </row>
    <row r="14" spans="1:28" x14ac:dyDescent="0.25">
      <c r="A14" s="6" t="s">
        <v>440</v>
      </c>
      <c r="B14" s="7"/>
      <c r="C14" s="6" t="s">
        <v>441</v>
      </c>
      <c r="D14" s="6" t="s">
        <v>441</v>
      </c>
      <c r="K14">
        <f>10000/7</f>
        <v>1428.57142857143</v>
      </c>
    </row>
    <row r="15" spans="1:28" x14ac:dyDescent="0.25">
      <c r="A15" s="6"/>
      <c r="B15" s="7"/>
      <c r="C15" s="6">
        <v>0</v>
      </c>
      <c r="D15" s="6">
        <v>0</v>
      </c>
      <c r="G15" t="s">
        <v>8</v>
      </c>
      <c r="H15" t="s">
        <v>507</v>
      </c>
      <c r="I15" t="s">
        <v>508</v>
      </c>
      <c r="J15" t="s">
        <v>509</v>
      </c>
      <c r="K15" t="s">
        <v>322</v>
      </c>
      <c r="N15" t="s">
        <v>510</v>
      </c>
      <c r="P15" t="s">
        <v>508</v>
      </c>
      <c r="Q15" t="s">
        <v>509</v>
      </c>
      <c r="R15" t="s">
        <v>322</v>
      </c>
      <c r="W15" t="s">
        <v>511</v>
      </c>
      <c r="X15" t="s">
        <v>511</v>
      </c>
      <c r="Y15" t="s">
        <v>509</v>
      </c>
      <c r="Z15" t="s">
        <v>508</v>
      </c>
      <c r="AA15" t="s">
        <v>322</v>
      </c>
    </row>
    <row r="16" spans="1:28" x14ac:dyDescent="0.25">
      <c r="A16" s="5">
        <v>1</v>
      </c>
      <c r="B16" s="7" t="s">
        <v>512</v>
      </c>
      <c r="C16" s="5">
        <v>9001</v>
      </c>
      <c r="D16" s="5">
        <v>0</v>
      </c>
      <c r="F16" t="s">
        <v>513</v>
      </c>
      <c r="G16">
        <v>470031</v>
      </c>
      <c r="H16" t="s">
        <v>514</v>
      </c>
      <c r="I16">
        <v>1</v>
      </c>
      <c r="J16">
        <v>1</v>
      </c>
      <c r="K16">
        <v>1500</v>
      </c>
      <c r="L16" t="str">
        <f>CONCATENATE($F$12,G16,$G$12,I16,$G$12,J16,$G$12,K16,$H$12)</f>
        <v>[470031,1,1,1500]</v>
      </c>
      <c r="N16">
        <v>420011</v>
      </c>
      <c r="O16" t="s">
        <v>515</v>
      </c>
      <c r="P16">
        <v>1</v>
      </c>
      <c r="Q16">
        <v>1</v>
      </c>
      <c r="R16">
        <f>10000/$N$13</f>
        <v>1000</v>
      </c>
      <c r="S16" t="str">
        <f>CONCATENATE($F$12,N16,$G$12,P16,$G$12,Q16,$G$12,R16,$H$12)</f>
        <v>[420011,1,1,1000]</v>
      </c>
      <c r="W16">
        <v>510001</v>
      </c>
      <c r="X16" t="s">
        <v>516</v>
      </c>
      <c r="Y16">
        <v>3</v>
      </c>
      <c r="Z16">
        <v>3</v>
      </c>
      <c r="AA16">
        <v>2000</v>
      </c>
      <c r="AB16" t="str">
        <f>CONCATENATE($F$12,W16,$G$12,Y16,$G$12,Z16,$G$12,AA16,$H$12)</f>
        <v>[510001,3,3,2000]</v>
      </c>
    </row>
    <row r="17" spans="1:28" x14ac:dyDescent="0.25">
      <c r="A17" s="5">
        <v>2</v>
      </c>
      <c r="B17" s="7" t="s">
        <v>517</v>
      </c>
      <c r="C17" s="5">
        <v>9000</v>
      </c>
      <c r="D17" s="5">
        <v>0</v>
      </c>
    </row>
    <row r="18" spans="1:28" x14ac:dyDescent="0.25">
      <c r="A18" s="8">
        <v>3</v>
      </c>
      <c r="B18" s="7" t="s">
        <v>518</v>
      </c>
      <c r="C18" s="5">
        <v>9004</v>
      </c>
      <c r="D18" s="5">
        <v>0</v>
      </c>
      <c r="F18" t="s">
        <v>513</v>
      </c>
      <c r="G18">
        <v>470151</v>
      </c>
      <c r="H18" t="s">
        <v>519</v>
      </c>
      <c r="I18">
        <v>1</v>
      </c>
      <c r="J18">
        <v>1</v>
      </c>
      <c r="K18">
        <v>1500</v>
      </c>
      <c r="L18" t="str">
        <f t="shared" ref="L18:L24" si="0">CONCATENATE($F$12,G18,$G$12,I18,$G$12,J18,$G$12,K18,$H$12)</f>
        <v>[470151,1,1,1500]</v>
      </c>
      <c r="N18">
        <v>420021</v>
      </c>
      <c r="O18" t="s">
        <v>520</v>
      </c>
      <c r="P18">
        <v>1</v>
      </c>
      <c r="Q18">
        <v>1</v>
      </c>
      <c r="R18">
        <f t="shared" ref="R18:R26" si="1">10000/$N$13</f>
        <v>1000</v>
      </c>
      <c r="S18" t="str">
        <f t="shared" ref="S18:S26" si="2">CONCATENATE($F$12,N18,$G$12,P18,$G$12,Q18,$G$12,R18,$H$12)</f>
        <v>[420021,1,1,1000]</v>
      </c>
      <c r="W18">
        <v>510021</v>
      </c>
      <c r="X18" t="s">
        <v>474</v>
      </c>
    </row>
    <row r="19" spans="1:28" x14ac:dyDescent="0.25">
      <c r="A19" s="5">
        <v>4</v>
      </c>
      <c r="B19" s="7" t="s">
        <v>521</v>
      </c>
      <c r="C19" s="5">
        <v>9002</v>
      </c>
      <c r="D19" s="5">
        <v>0</v>
      </c>
      <c r="F19" t="s">
        <v>513</v>
      </c>
      <c r="G19">
        <v>470180</v>
      </c>
      <c r="H19" t="s">
        <v>522</v>
      </c>
      <c r="I19">
        <v>1</v>
      </c>
      <c r="J19">
        <v>1</v>
      </c>
      <c r="K19">
        <v>1400</v>
      </c>
      <c r="L19" t="str">
        <f t="shared" si="0"/>
        <v>[470180,1,1,1400]</v>
      </c>
      <c r="N19">
        <v>420031</v>
      </c>
      <c r="O19" t="s">
        <v>523</v>
      </c>
      <c r="P19">
        <v>1</v>
      </c>
      <c r="Q19">
        <v>1</v>
      </c>
      <c r="R19">
        <f t="shared" si="1"/>
        <v>1000</v>
      </c>
      <c r="S19" t="str">
        <f t="shared" si="2"/>
        <v>[420031,1,1,1000]</v>
      </c>
      <c r="W19">
        <v>510031</v>
      </c>
      <c r="X19" t="s">
        <v>524</v>
      </c>
      <c r="Y19">
        <v>3</v>
      </c>
      <c r="Z19">
        <v>3</v>
      </c>
      <c r="AA19">
        <v>2000</v>
      </c>
      <c r="AB19" t="str">
        <f>CONCATENATE($F$12,W19,$G$12,Y19,$G$12,Z19,$G$12,AA19,$H$12)</f>
        <v>[510031,3,3,2000]</v>
      </c>
    </row>
    <row r="20" spans="1:28" x14ac:dyDescent="0.25">
      <c r="A20" s="8">
        <v>5</v>
      </c>
      <c r="B20" s="7" t="s">
        <v>521</v>
      </c>
      <c r="C20" s="5">
        <v>9003</v>
      </c>
      <c r="D20" s="5">
        <v>1</v>
      </c>
      <c r="F20" t="s">
        <v>525</v>
      </c>
      <c r="G20">
        <v>410011</v>
      </c>
      <c r="H20" t="s">
        <v>526</v>
      </c>
      <c r="I20">
        <v>1</v>
      </c>
      <c r="J20">
        <v>1</v>
      </c>
      <c r="N20">
        <v>420041</v>
      </c>
      <c r="O20" t="s">
        <v>527</v>
      </c>
      <c r="P20">
        <v>1</v>
      </c>
      <c r="Q20">
        <v>1</v>
      </c>
      <c r="R20">
        <f t="shared" si="1"/>
        <v>1000</v>
      </c>
      <c r="S20" t="str">
        <f t="shared" si="2"/>
        <v>[420041,1,1,1000]</v>
      </c>
      <c r="W20">
        <v>510041</v>
      </c>
      <c r="X20" t="s">
        <v>528</v>
      </c>
      <c r="Y20">
        <v>3</v>
      </c>
      <c r="Z20">
        <v>3</v>
      </c>
      <c r="AA20">
        <v>2000</v>
      </c>
      <c r="AB20" t="str">
        <f>CONCATENATE($F$12,W20,$G$12,Y20,$G$12,Z20,$G$12,AA20,$H$12)</f>
        <v>[510041,3,3,2000]</v>
      </c>
    </row>
    <row r="21" spans="1:28" x14ac:dyDescent="0.25">
      <c r="A21" s="8">
        <v>9999</v>
      </c>
      <c r="B21" s="7" t="s">
        <v>529</v>
      </c>
      <c r="C21" s="5">
        <v>9005</v>
      </c>
      <c r="D21" s="8">
        <v>2</v>
      </c>
      <c r="F21" t="s">
        <v>525</v>
      </c>
      <c r="G21">
        <v>410021</v>
      </c>
      <c r="H21" t="s">
        <v>530</v>
      </c>
      <c r="I21">
        <v>1</v>
      </c>
      <c r="J21">
        <v>1</v>
      </c>
      <c r="K21">
        <v>1400</v>
      </c>
      <c r="L21" t="str">
        <f t="shared" si="0"/>
        <v>[410021,1,1,1400]</v>
      </c>
      <c r="N21">
        <v>420051</v>
      </c>
      <c r="O21" t="s">
        <v>531</v>
      </c>
      <c r="P21">
        <v>1</v>
      </c>
      <c r="Q21">
        <v>1</v>
      </c>
      <c r="R21">
        <f t="shared" si="1"/>
        <v>1000</v>
      </c>
      <c r="S21" t="str">
        <f t="shared" si="2"/>
        <v>[420051,1,1,1000]</v>
      </c>
      <c r="W21">
        <v>510051</v>
      </c>
      <c r="X21" t="s">
        <v>532</v>
      </c>
    </row>
    <row r="22" spans="1:28" x14ac:dyDescent="0.25">
      <c r="F22" t="s">
        <v>525</v>
      </c>
      <c r="G22">
        <v>410031</v>
      </c>
      <c r="H22" t="s">
        <v>533</v>
      </c>
      <c r="I22">
        <v>1</v>
      </c>
      <c r="J22">
        <v>1</v>
      </c>
      <c r="K22">
        <v>1400</v>
      </c>
      <c r="L22" t="str">
        <f t="shared" si="0"/>
        <v>[410031,1,1,1400]</v>
      </c>
      <c r="N22">
        <v>420061</v>
      </c>
      <c r="O22" t="s">
        <v>464</v>
      </c>
      <c r="P22">
        <v>1</v>
      </c>
      <c r="Q22">
        <v>1</v>
      </c>
      <c r="R22">
        <f t="shared" si="1"/>
        <v>1000</v>
      </c>
      <c r="S22" t="str">
        <f t="shared" si="2"/>
        <v>[420061,1,1,1000]</v>
      </c>
      <c r="W22">
        <v>510061</v>
      </c>
      <c r="X22" t="s">
        <v>530</v>
      </c>
    </row>
    <row r="23" spans="1:28" x14ac:dyDescent="0.25">
      <c r="F23" t="s">
        <v>525</v>
      </c>
      <c r="G23">
        <v>410041</v>
      </c>
      <c r="H23" t="s">
        <v>534</v>
      </c>
      <c r="I23">
        <v>1</v>
      </c>
      <c r="J23">
        <v>1</v>
      </c>
      <c r="K23">
        <v>1400</v>
      </c>
      <c r="L23" t="str">
        <f t="shared" si="0"/>
        <v>[410041,1,1,1400]</v>
      </c>
      <c r="N23">
        <v>420071</v>
      </c>
      <c r="O23" t="s">
        <v>466</v>
      </c>
      <c r="P23">
        <v>1</v>
      </c>
      <c r="Q23">
        <v>1</v>
      </c>
      <c r="R23">
        <f t="shared" si="1"/>
        <v>1000</v>
      </c>
      <c r="S23" t="str">
        <f t="shared" si="2"/>
        <v>[420071,1,1,1000]</v>
      </c>
      <c r="W23">
        <v>510071</v>
      </c>
      <c r="X23" t="s">
        <v>535</v>
      </c>
      <c r="Y23">
        <v>3</v>
      </c>
      <c r="Z23">
        <v>3</v>
      </c>
      <c r="AA23">
        <v>2000</v>
      </c>
      <c r="AB23" t="str">
        <f>CONCATENATE($F$12,W23,$G$12,Y23,$G$12,Z23,$G$12,AA23,$H$12)</f>
        <v>[510071,3,3,2000]</v>
      </c>
    </row>
    <row r="24" spans="1:28" x14ac:dyDescent="0.25">
      <c r="F24" t="s">
        <v>525</v>
      </c>
      <c r="G24">
        <v>410051</v>
      </c>
      <c r="H24" t="s">
        <v>536</v>
      </c>
      <c r="I24">
        <v>1</v>
      </c>
      <c r="J24">
        <v>1</v>
      </c>
      <c r="K24">
        <v>1400</v>
      </c>
      <c r="L24" t="str">
        <f t="shared" si="0"/>
        <v>[410051,1,1,1400]</v>
      </c>
      <c r="N24">
        <v>420081</v>
      </c>
      <c r="O24" t="s">
        <v>468</v>
      </c>
      <c r="P24">
        <v>1</v>
      </c>
      <c r="Q24">
        <v>1</v>
      </c>
      <c r="R24">
        <f t="shared" si="1"/>
        <v>1000</v>
      </c>
      <c r="S24" t="str">
        <f t="shared" si="2"/>
        <v>[420081,1,1,1000]</v>
      </c>
      <c r="W24">
        <v>510081</v>
      </c>
      <c r="X24" t="s">
        <v>537</v>
      </c>
      <c r="Y24">
        <v>3</v>
      </c>
      <c r="Z24">
        <v>3</v>
      </c>
      <c r="AA24">
        <v>2000</v>
      </c>
      <c r="AB24" t="str">
        <f>CONCATENATE($F$12,W24,$G$12,Y24,$G$12,Z24,$G$12,AA24,$H$12)</f>
        <v>[510081,3,3,2000]</v>
      </c>
    </row>
    <row r="25" spans="1:28" x14ac:dyDescent="0.25">
      <c r="K25">
        <f>SUM(K16:K24)</f>
        <v>10000</v>
      </c>
      <c r="L25" t="str">
        <f>CONCATENATE($F$12,L16,$G$12,L18,$G$12,L19,$G$12,L20,$G$12,L21,$G$12,L22,$G$12,L23,$G$12,L24,$H$12)</f>
        <v>[[470031,1,1,1500],[470151,1,1,1500],[470180,1,1,1400],,[410021,1,1,1400],[410031,1,1,1400],[410041,1,1,1400],[410051,1,1,1400]]</v>
      </c>
      <c r="N25">
        <v>420091</v>
      </c>
      <c r="O25" t="s">
        <v>469</v>
      </c>
      <c r="P25">
        <v>1</v>
      </c>
      <c r="Q25">
        <v>1</v>
      </c>
      <c r="R25">
        <f t="shared" si="1"/>
        <v>1000</v>
      </c>
      <c r="S25" t="str">
        <f t="shared" si="2"/>
        <v>[420091,1,1,1000]</v>
      </c>
      <c r="W25">
        <v>510091</v>
      </c>
      <c r="X25" t="s">
        <v>538</v>
      </c>
      <c r="AB25" t="str">
        <f>CONCATENATE($F$12,AB16,$G$12,AB19,$G$12,AB20,$G$12,AB23,$G$12,AB24,$H$12)</f>
        <v>[[510001,3,3,2000],[510031,3,3,2000],[510041,3,3,2000],[510071,3,3,2000],[510081,3,3,2000]]</v>
      </c>
    </row>
    <row r="26" spans="1:28" x14ac:dyDescent="0.25">
      <c r="N26">
        <v>420101</v>
      </c>
      <c r="O26" t="s">
        <v>470</v>
      </c>
      <c r="P26">
        <v>1</v>
      </c>
      <c r="Q26">
        <v>1</v>
      </c>
      <c r="R26">
        <f t="shared" si="1"/>
        <v>1000</v>
      </c>
      <c r="S26" t="str">
        <f t="shared" si="2"/>
        <v>[420101,1,1,1000]</v>
      </c>
      <c r="W26">
        <v>510101</v>
      </c>
      <c r="X26" t="s">
        <v>539</v>
      </c>
    </row>
    <row r="27" spans="1:28" x14ac:dyDescent="0.25">
      <c r="N27">
        <v>420111</v>
      </c>
      <c r="O27" t="s">
        <v>471</v>
      </c>
      <c r="P27">
        <v>1</v>
      </c>
      <c r="Q27">
        <v>1</v>
      </c>
      <c r="S27" t="str">
        <f>CONCATENATE($F$12,S19,$G$12,S20,$G$12,S21,$G$12,S22,$G$12,S23,$G$12,S24,$G$12,S25,$G$12,S26,$G$12,S16,$G$12,S18,$H$12)</f>
        <v>[[420031,1,1,1000],[420041,1,1,1000],[420051,1,1,1000],[420061,1,1,1000],[420071,1,1,1000],[420081,1,1,1000],[420091,1,1,1000],[420101,1,1,1000],[420011,1,1,1000],[420021,1,1,1000]]</v>
      </c>
      <c r="W27">
        <v>510111</v>
      </c>
      <c r="X27" t="s">
        <v>472</v>
      </c>
    </row>
    <row r="28" spans="1:28" x14ac:dyDescent="0.25">
      <c r="N28">
        <v>420121</v>
      </c>
      <c r="O28" t="s">
        <v>472</v>
      </c>
      <c r="P28">
        <v>1</v>
      </c>
      <c r="Q28">
        <v>1</v>
      </c>
      <c r="W28">
        <v>510121</v>
      </c>
      <c r="X28" t="s">
        <v>540</v>
      </c>
    </row>
    <row r="29" spans="1:28" x14ac:dyDescent="0.25">
      <c r="W29">
        <v>510131</v>
      </c>
      <c r="X29" t="s">
        <v>541</v>
      </c>
    </row>
    <row r="30" spans="1:28" x14ac:dyDescent="0.25">
      <c r="W30">
        <v>510141</v>
      </c>
      <c r="X30" t="s">
        <v>542</v>
      </c>
    </row>
    <row r="31" spans="1:28" x14ac:dyDescent="0.25">
      <c r="W31">
        <v>510151</v>
      </c>
      <c r="X31" t="s">
        <v>382</v>
      </c>
    </row>
    <row r="32" spans="1:28" x14ac:dyDescent="0.25">
      <c r="G32">
        <v>400031</v>
      </c>
      <c r="N32">
        <v>420011</v>
      </c>
      <c r="W32">
        <v>510161</v>
      </c>
      <c r="X32" t="s">
        <v>543</v>
      </c>
    </row>
    <row r="33" spans="7:24" x14ac:dyDescent="0.25">
      <c r="G33">
        <v>400151</v>
      </c>
      <c r="N33">
        <v>420021</v>
      </c>
      <c r="W33">
        <v>510181</v>
      </c>
      <c r="X33" t="s">
        <v>544</v>
      </c>
    </row>
    <row r="34" spans="7:24" x14ac:dyDescent="0.25">
      <c r="G34">
        <v>400180</v>
      </c>
      <c r="N34">
        <v>420031</v>
      </c>
      <c r="W34">
        <v>510191</v>
      </c>
      <c r="X34" t="s">
        <v>545</v>
      </c>
    </row>
    <row r="35" spans="7:24" x14ac:dyDescent="0.25">
      <c r="G35">
        <v>410011</v>
      </c>
      <c r="N35">
        <v>420041</v>
      </c>
      <c r="W35">
        <v>510201</v>
      </c>
      <c r="X35" t="s">
        <v>546</v>
      </c>
    </row>
    <row r="36" spans="7:24" x14ac:dyDescent="0.25">
      <c r="G36">
        <v>410021</v>
      </c>
      <c r="N36">
        <v>420051</v>
      </c>
    </row>
    <row r="37" spans="7:24" x14ac:dyDescent="0.25">
      <c r="G37">
        <v>410031</v>
      </c>
      <c r="N37">
        <v>420061</v>
      </c>
    </row>
    <row r="38" spans="7:24" x14ac:dyDescent="0.25">
      <c r="G38">
        <v>410041</v>
      </c>
      <c r="N38">
        <v>420071</v>
      </c>
    </row>
    <row r="39" spans="7:24" x14ac:dyDescent="0.25">
      <c r="G39">
        <v>410051</v>
      </c>
      <c r="N39">
        <v>420081</v>
      </c>
    </row>
    <row r="40" spans="7:24" x14ac:dyDescent="0.25">
      <c r="N40">
        <v>420091</v>
      </c>
    </row>
    <row r="41" spans="7:24" x14ac:dyDescent="0.25">
      <c r="N41">
        <v>420101</v>
      </c>
    </row>
    <row r="42" spans="7:24" x14ac:dyDescent="0.25">
      <c r="N42">
        <v>420111</v>
      </c>
    </row>
    <row r="43" spans="7:24" x14ac:dyDescent="0.25">
      <c r="N43">
        <v>420121</v>
      </c>
    </row>
  </sheetData>
  <phoneticPr fontId="11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6"/>
  <sheetViews>
    <sheetView workbookViewId="0">
      <selection activeCell="B1" sqref="B1"/>
    </sheetView>
  </sheetViews>
  <sheetFormatPr defaultColWidth="9" defaultRowHeight="13.8" x14ac:dyDescent="0.25"/>
  <cols>
    <col min="2" max="2" width="13" customWidth="1"/>
    <col min="3" max="3" width="45.109375" customWidth="1"/>
    <col min="4" max="5" width="29.6640625" customWidth="1"/>
    <col min="6" max="6" width="10.88671875" customWidth="1"/>
    <col min="7" max="7" width="29.6640625" customWidth="1"/>
    <col min="9" max="9" width="17.44140625" customWidth="1"/>
    <col min="10" max="10" width="17.6640625" customWidth="1"/>
  </cols>
  <sheetData>
    <row r="1" spans="1:10" x14ac:dyDescent="0.25">
      <c r="A1" s="1" t="s">
        <v>422</v>
      </c>
      <c r="B1" s="2"/>
      <c r="C1" s="2" t="s">
        <v>423</v>
      </c>
    </row>
    <row r="2" spans="1:10" x14ac:dyDescent="0.25">
      <c r="A2" s="1" t="s">
        <v>424</v>
      </c>
      <c r="B2" s="2" t="s">
        <v>547</v>
      </c>
      <c r="C2" s="2" t="s">
        <v>426</v>
      </c>
    </row>
    <row r="3" spans="1:10" x14ac:dyDescent="0.25">
      <c r="A3" s="1" t="s">
        <v>427</v>
      </c>
      <c r="B3" s="3" t="s">
        <v>428</v>
      </c>
      <c r="C3" s="2" t="s">
        <v>429</v>
      </c>
    </row>
    <row r="4" spans="1:10" x14ac:dyDescent="0.25">
      <c r="A4" s="1" t="s">
        <v>430</v>
      </c>
      <c r="B4" s="4" t="s">
        <v>431</v>
      </c>
      <c r="C4" s="2"/>
    </row>
    <row r="5" spans="1:10" x14ac:dyDescent="0.25">
      <c r="A5" s="1" t="s">
        <v>432</v>
      </c>
      <c r="B5" s="2"/>
      <c r="C5" s="2" t="s">
        <v>433</v>
      </c>
    </row>
    <row r="6" spans="1:10" x14ac:dyDescent="0.25">
      <c r="A6" s="1" t="s">
        <v>434</v>
      </c>
      <c r="B6" s="2">
        <v>4</v>
      </c>
      <c r="C6" s="2" t="s">
        <v>435</v>
      </c>
    </row>
    <row r="7" spans="1:10" x14ac:dyDescent="0.25">
      <c r="A7" s="1" t="s">
        <v>436</v>
      </c>
      <c r="B7" s="2"/>
      <c r="C7" s="2"/>
    </row>
    <row r="8" spans="1:10" x14ac:dyDescent="0.25">
      <c r="A8" s="1" t="s">
        <v>437</v>
      </c>
      <c r="B8" s="2"/>
      <c r="C8" s="2"/>
    </row>
    <row r="9" spans="1:10" x14ac:dyDescent="0.25">
      <c r="A9" s="2"/>
      <c r="C9" s="2"/>
    </row>
    <row r="10" spans="1:10" x14ac:dyDescent="0.25">
      <c r="A10" s="2"/>
      <c r="B10" s="2"/>
      <c r="C10" s="2"/>
    </row>
    <row r="11" spans="1:10" x14ac:dyDescent="0.25">
      <c r="A11" s="5" t="s">
        <v>384</v>
      </c>
      <c r="B11" s="5" t="s">
        <v>346</v>
      </c>
      <c r="C11" s="5" t="s">
        <v>548</v>
      </c>
      <c r="D11" s="5" t="s">
        <v>549</v>
      </c>
      <c r="E11" s="5" t="s">
        <v>550</v>
      </c>
      <c r="F11" s="5" t="s">
        <v>551</v>
      </c>
      <c r="G11" s="5" t="s">
        <v>552</v>
      </c>
      <c r="H11" s="5" t="s">
        <v>550</v>
      </c>
      <c r="I11" s="13" t="s">
        <v>553</v>
      </c>
      <c r="J11" s="13" t="s">
        <v>554</v>
      </c>
    </row>
    <row r="12" spans="1:10" x14ac:dyDescent="0.25">
      <c r="A12" s="6" t="s">
        <v>8</v>
      </c>
      <c r="B12" s="6" t="s">
        <v>314</v>
      </c>
      <c r="C12" s="6" t="s">
        <v>555</v>
      </c>
      <c r="D12" s="7" t="s">
        <v>555</v>
      </c>
      <c r="E12" s="6" t="s">
        <v>556</v>
      </c>
      <c r="F12" s="6" t="s">
        <v>557</v>
      </c>
      <c r="G12" s="7" t="s">
        <v>557</v>
      </c>
      <c r="H12" s="6" t="s">
        <v>558</v>
      </c>
      <c r="I12" s="14" t="s">
        <v>559</v>
      </c>
      <c r="J12" s="14" t="s">
        <v>560</v>
      </c>
    </row>
    <row r="13" spans="1:10" x14ac:dyDescent="0.25">
      <c r="A13" s="6" t="s">
        <v>13</v>
      </c>
      <c r="B13" s="6" t="s">
        <v>13</v>
      </c>
      <c r="C13" s="6" t="s">
        <v>13</v>
      </c>
      <c r="D13" s="7" t="s">
        <v>14</v>
      </c>
      <c r="E13" s="6" t="s">
        <v>14</v>
      </c>
      <c r="F13" s="6" t="s">
        <v>13</v>
      </c>
      <c r="G13" s="7" t="s">
        <v>14</v>
      </c>
      <c r="H13" s="6" t="s">
        <v>14</v>
      </c>
      <c r="I13" s="14" t="s">
        <v>14</v>
      </c>
      <c r="J13" s="14" t="s">
        <v>14</v>
      </c>
    </row>
    <row r="14" spans="1:10" x14ac:dyDescent="0.25">
      <c r="A14" s="6" t="s">
        <v>440</v>
      </c>
      <c r="B14" s="6" t="s">
        <v>441</v>
      </c>
      <c r="C14" s="6" t="s">
        <v>441</v>
      </c>
      <c r="D14" s="7" t="s">
        <v>326</v>
      </c>
      <c r="E14" s="6" t="s">
        <v>441</v>
      </c>
      <c r="F14" s="6" t="s">
        <v>441</v>
      </c>
      <c r="G14" s="7" t="s">
        <v>326</v>
      </c>
      <c r="H14" s="6" t="s">
        <v>441</v>
      </c>
      <c r="I14" s="14" t="s">
        <v>441</v>
      </c>
      <c r="J14" s="14" t="s">
        <v>441</v>
      </c>
    </row>
    <row r="15" spans="1:10" ht="15.6" x14ac:dyDescent="0.3">
      <c r="A15" s="6"/>
      <c r="B15" s="6">
        <v>1</v>
      </c>
      <c r="C15" s="6">
        <v>0</v>
      </c>
      <c r="D15" s="7">
        <v>0</v>
      </c>
      <c r="E15" s="6">
        <v>1</v>
      </c>
      <c r="F15" s="6">
        <v>0</v>
      </c>
      <c r="G15" s="7">
        <v>0</v>
      </c>
      <c r="H15" s="6">
        <v>1</v>
      </c>
      <c r="I15" s="15">
        <v>36526</v>
      </c>
      <c r="J15" s="16">
        <v>72686</v>
      </c>
    </row>
    <row r="16" spans="1:10" x14ac:dyDescent="0.25">
      <c r="A16" s="3">
        <v>1</v>
      </c>
      <c r="B16" s="8">
        <v>100081</v>
      </c>
      <c r="C16" s="8">
        <v>10101</v>
      </c>
      <c r="D16" s="7" t="s">
        <v>561</v>
      </c>
      <c r="E16" s="9">
        <v>0.2</v>
      </c>
      <c r="F16" s="8">
        <v>10201</v>
      </c>
      <c r="G16" s="7" t="s">
        <v>562</v>
      </c>
      <c r="H16" s="9">
        <v>0.1</v>
      </c>
      <c r="I16" s="17">
        <v>44570</v>
      </c>
      <c r="J16" s="17">
        <v>44571</v>
      </c>
    </row>
    <row r="17" spans="1:10" x14ac:dyDescent="0.25">
      <c r="A17" s="3">
        <v>2</v>
      </c>
      <c r="B17" s="8">
        <v>100101</v>
      </c>
      <c r="C17" s="8">
        <v>10102</v>
      </c>
      <c r="D17" s="7" t="s">
        <v>561</v>
      </c>
      <c r="E17" s="9">
        <v>0.2</v>
      </c>
      <c r="F17" s="8">
        <v>10202</v>
      </c>
      <c r="G17" s="7" t="s">
        <v>562</v>
      </c>
      <c r="H17" s="9">
        <v>0.1</v>
      </c>
      <c r="I17" s="17">
        <v>44571</v>
      </c>
      <c r="J17" s="17">
        <v>44572</v>
      </c>
    </row>
    <row r="18" spans="1:10" x14ac:dyDescent="0.25">
      <c r="A18" s="3">
        <v>3</v>
      </c>
      <c r="B18" s="8">
        <v>100181</v>
      </c>
      <c r="C18" s="8">
        <v>10101</v>
      </c>
      <c r="D18" s="7" t="s">
        <v>561</v>
      </c>
      <c r="E18" s="9">
        <v>2</v>
      </c>
      <c r="F18" s="8">
        <v>10201</v>
      </c>
      <c r="G18" s="7" t="s">
        <v>563</v>
      </c>
      <c r="H18" s="9">
        <v>1</v>
      </c>
      <c r="I18" s="17">
        <v>44572</v>
      </c>
      <c r="J18" s="17">
        <v>44573</v>
      </c>
    </row>
    <row r="19" spans="1:10" ht="15.6" x14ac:dyDescent="0.25">
      <c r="A19" s="3">
        <v>4</v>
      </c>
      <c r="B19" s="10">
        <v>100013</v>
      </c>
      <c r="C19" s="8">
        <v>10102</v>
      </c>
      <c r="D19" s="7" t="s">
        <v>561</v>
      </c>
      <c r="E19" s="9">
        <v>2</v>
      </c>
      <c r="F19" s="8">
        <v>10202</v>
      </c>
      <c r="G19" s="7" t="s">
        <v>563</v>
      </c>
      <c r="H19" s="9">
        <v>1</v>
      </c>
      <c r="I19" s="17">
        <v>44573</v>
      </c>
      <c r="J19" s="17">
        <v>44574</v>
      </c>
    </row>
    <row r="20" spans="1:10" x14ac:dyDescent="0.25">
      <c r="A20" s="3">
        <v>5</v>
      </c>
      <c r="B20" s="8">
        <v>100223</v>
      </c>
      <c r="C20" s="8">
        <v>10102</v>
      </c>
      <c r="D20" s="7" t="s">
        <v>561</v>
      </c>
      <c r="E20" s="9">
        <v>2</v>
      </c>
      <c r="F20" s="8">
        <v>10202</v>
      </c>
      <c r="G20" s="7" t="s">
        <v>563</v>
      </c>
      <c r="H20" s="9">
        <v>1</v>
      </c>
      <c r="I20" s="17">
        <v>44574</v>
      </c>
      <c r="J20" s="17">
        <v>44575</v>
      </c>
    </row>
    <row r="21" spans="1:10" ht="15.6" x14ac:dyDescent="0.3">
      <c r="A21" s="3">
        <v>6</v>
      </c>
      <c r="B21" s="8">
        <v>100412</v>
      </c>
      <c r="C21" s="8">
        <v>10102</v>
      </c>
      <c r="D21" s="8"/>
      <c r="E21" s="9">
        <v>2</v>
      </c>
      <c r="F21" s="8">
        <v>10202</v>
      </c>
      <c r="G21" s="8"/>
      <c r="H21" s="9">
        <v>1</v>
      </c>
      <c r="I21" s="17">
        <v>44645</v>
      </c>
      <c r="J21" s="18">
        <v>44659</v>
      </c>
    </row>
    <row r="22" spans="1:10" ht="15.6" x14ac:dyDescent="0.3">
      <c r="A22" s="3">
        <v>7</v>
      </c>
      <c r="B22" s="8">
        <v>100092</v>
      </c>
      <c r="C22" s="8">
        <v>10102</v>
      </c>
      <c r="D22" s="8"/>
      <c r="E22" s="9">
        <v>2</v>
      </c>
      <c r="F22" s="8">
        <v>10202</v>
      </c>
      <c r="G22" s="8"/>
      <c r="H22" s="9">
        <v>1</v>
      </c>
      <c r="I22" s="18">
        <v>44659</v>
      </c>
      <c r="J22" s="18">
        <v>44673</v>
      </c>
    </row>
    <row r="23" spans="1:10" ht="15.6" x14ac:dyDescent="0.3">
      <c r="A23" s="3">
        <v>8</v>
      </c>
      <c r="B23" s="8">
        <v>100082</v>
      </c>
      <c r="C23" s="8">
        <v>10102</v>
      </c>
      <c r="D23" s="8"/>
      <c r="E23" s="9">
        <v>2</v>
      </c>
      <c r="F23" s="8">
        <v>10202</v>
      </c>
      <c r="G23" s="8"/>
      <c r="H23" s="9">
        <v>1</v>
      </c>
      <c r="I23" s="18">
        <v>44673</v>
      </c>
      <c r="J23" s="18">
        <v>44686.999305555597</v>
      </c>
    </row>
    <row r="24" spans="1:10" ht="15.6" x14ac:dyDescent="0.3">
      <c r="A24" s="3">
        <v>9</v>
      </c>
      <c r="B24" s="8">
        <v>100254</v>
      </c>
      <c r="C24" s="8">
        <v>10102</v>
      </c>
      <c r="D24" s="8"/>
      <c r="E24" s="9">
        <v>2</v>
      </c>
      <c r="F24" s="8">
        <v>10202</v>
      </c>
      <c r="G24" s="8"/>
      <c r="H24" s="9">
        <v>1</v>
      </c>
      <c r="I24" s="18">
        <v>44687</v>
      </c>
      <c r="J24" s="18">
        <v>44700.999305555597</v>
      </c>
    </row>
    <row r="25" spans="1:10" ht="15.6" x14ac:dyDescent="0.3">
      <c r="A25" s="3">
        <v>10</v>
      </c>
      <c r="B25" s="8">
        <v>100072</v>
      </c>
      <c r="C25" s="8">
        <v>10102</v>
      </c>
      <c r="D25" s="8"/>
      <c r="E25" s="9">
        <v>2</v>
      </c>
      <c r="F25" s="8">
        <v>10202</v>
      </c>
      <c r="G25" s="8"/>
      <c r="H25" s="9">
        <v>1</v>
      </c>
      <c r="I25" s="18">
        <v>44701</v>
      </c>
      <c r="J25" s="18">
        <v>44712.999305555597</v>
      </c>
    </row>
    <row r="26" spans="1:10" ht="15.6" x14ac:dyDescent="0.3">
      <c r="A26" s="3">
        <v>11</v>
      </c>
      <c r="B26" s="8">
        <v>100052</v>
      </c>
      <c r="C26" s="8">
        <v>10102</v>
      </c>
      <c r="D26" s="8"/>
      <c r="E26" s="9">
        <v>2</v>
      </c>
      <c r="F26" s="8">
        <v>10202</v>
      </c>
      <c r="G26" s="8"/>
      <c r="H26" s="9">
        <v>1</v>
      </c>
      <c r="I26" s="18">
        <v>44713</v>
      </c>
      <c r="J26" s="18">
        <v>44724.999305555597</v>
      </c>
    </row>
    <row r="27" spans="1:10" ht="15.6" x14ac:dyDescent="0.3">
      <c r="A27" s="3">
        <v>12</v>
      </c>
      <c r="B27" s="8">
        <v>100102</v>
      </c>
      <c r="C27" s="8">
        <v>10102</v>
      </c>
      <c r="D27" s="8"/>
      <c r="E27" s="9">
        <v>2</v>
      </c>
      <c r="F27" s="8">
        <v>10202</v>
      </c>
      <c r="G27" s="8"/>
      <c r="H27" s="9">
        <v>1</v>
      </c>
      <c r="I27" s="18">
        <v>44725</v>
      </c>
      <c r="J27" s="18">
        <v>44737.999305555597</v>
      </c>
    </row>
    <row r="28" spans="1:10" ht="15.6" x14ac:dyDescent="0.3">
      <c r="A28" s="3">
        <v>13</v>
      </c>
      <c r="B28" s="8">
        <v>100043</v>
      </c>
      <c r="C28" s="8">
        <v>10102</v>
      </c>
      <c r="D28" s="8"/>
      <c r="E28" s="9">
        <v>2</v>
      </c>
      <c r="F28" s="8">
        <v>10202</v>
      </c>
      <c r="G28" s="8"/>
      <c r="H28" s="9">
        <v>1</v>
      </c>
      <c r="I28" s="18">
        <v>44738</v>
      </c>
      <c r="J28" s="18">
        <v>44750.999305555597</v>
      </c>
    </row>
    <row r="29" spans="1:10" ht="15.6" x14ac:dyDescent="0.3">
      <c r="A29" s="3">
        <v>14</v>
      </c>
      <c r="B29" s="8">
        <v>100122</v>
      </c>
      <c r="C29" s="8">
        <v>10102</v>
      </c>
      <c r="D29" s="8"/>
      <c r="E29" s="9">
        <v>2</v>
      </c>
      <c r="F29" s="8">
        <v>10202</v>
      </c>
      <c r="G29" s="8"/>
      <c r="H29" s="9">
        <v>1</v>
      </c>
      <c r="I29" s="18">
        <v>44751</v>
      </c>
      <c r="J29" s="18">
        <v>44762.999305555597</v>
      </c>
    </row>
    <row r="30" spans="1:10" ht="15.6" x14ac:dyDescent="0.3">
      <c r="A30" s="3">
        <v>15</v>
      </c>
      <c r="B30" s="8">
        <v>100174</v>
      </c>
      <c r="C30" s="8">
        <v>10102</v>
      </c>
      <c r="D30" s="8"/>
      <c r="E30" s="9">
        <v>2</v>
      </c>
      <c r="F30" s="8">
        <v>10202</v>
      </c>
      <c r="G30" s="8"/>
      <c r="H30" s="9">
        <v>1</v>
      </c>
      <c r="I30" s="18">
        <v>44763</v>
      </c>
      <c r="J30" s="18">
        <v>44773.999305555597</v>
      </c>
    </row>
    <row r="31" spans="1:10" ht="15.6" x14ac:dyDescent="0.3">
      <c r="A31" s="3">
        <v>16</v>
      </c>
      <c r="B31" s="11">
        <v>100092</v>
      </c>
      <c r="C31" s="11">
        <v>10102</v>
      </c>
      <c r="D31" s="11"/>
      <c r="E31" s="12">
        <v>2</v>
      </c>
      <c r="F31" s="11">
        <v>10202</v>
      </c>
      <c r="G31" s="11"/>
      <c r="H31" s="12">
        <v>1</v>
      </c>
      <c r="I31" s="19">
        <v>44774</v>
      </c>
      <c r="J31" s="19">
        <v>44783.999305555597</v>
      </c>
    </row>
    <row r="32" spans="1:10" ht="15.6" x14ac:dyDescent="0.3">
      <c r="A32" s="3">
        <v>17</v>
      </c>
      <c r="B32" s="11">
        <v>100102</v>
      </c>
      <c r="C32" s="11">
        <v>10102</v>
      </c>
      <c r="D32" s="11"/>
      <c r="E32" s="12">
        <v>2</v>
      </c>
      <c r="F32" s="11">
        <v>10202</v>
      </c>
      <c r="G32" s="11"/>
      <c r="H32" s="12">
        <v>1</v>
      </c>
      <c r="I32" s="19">
        <v>44784</v>
      </c>
      <c r="J32" s="19">
        <v>44794.999305555597</v>
      </c>
    </row>
    <row r="33" spans="1:10" ht="15.6" x14ac:dyDescent="0.3">
      <c r="A33" s="3">
        <v>18</v>
      </c>
      <c r="B33" s="11">
        <v>100132</v>
      </c>
      <c r="C33" s="11">
        <v>10102</v>
      </c>
      <c r="D33" s="11"/>
      <c r="E33" s="12">
        <v>2</v>
      </c>
      <c r="F33" s="11">
        <v>10202</v>
      </c>
      <c r="G33" s="11"/>
      <c r="H33" s="12">
        <v>1</v>
      </c>
      <c r="I33" s="19">
        <v>44795</v>
      </c>
      <c r="J33" s="19">
        <v>44804.999305555597</v>
      </c>
    </row>
    <row r="34" spans="1:10" ht="15.6" x14ac:dyDescent="0.3">
      <c r="A34" s="3">
        <v>19</v>
      </c>
      <c r="B34" s="11">
        <v>100043</v>
      </c>
      <c r="C34" s="11">
        <v>10102</v>
      </c>
      <c r="D34" s="11"/>
      <c r="E34" s="12">
        <v>2</v>
      </c>
      <c r="F34" s="11">
        <v>10202</v>
      </c>
      <c r="G34" s="11"/>
      <c r="H34" s="12">
        <v>1</v>
      </c>
      <c r="I34" s="19">
        <v>44805</v>
      </c>
      <c r="J34" s="19">
        <v>44819.999305555597</v>
      </c>
    </row>
    <row r="35" spans="1:10" ht="15.6" x14ac:dyDescent="0.3">
      <c r="A35" s="2">
        <v>20</v>
      </c>
      <c r="B35" s="11">
        <v>100027</v>
      </c>
      <c r="C35" s="11">
        <v>10102</v>
      </c>
      <c r="D35" s="11"/>
      <c r="E35" s="12">
        <v>2</v>
      </c>
      <c r="F35" s="11">
        <v>10202</v>
      </c>
      <c r="G35" s="11"/>
      <c r="H35" s="12">
        <v>1</v>
      </c>
      <c r="I35" s="19">
        <v>44820</v>
      </c>
      <c r="J35" s="19">
        <v>44834.999305555597</v>
      </c>
    </row>
    <row r="36" spans="1:10" ht="15.6" x14ac:dyDescent="0.3">
      <c r="A36" s="2">
        <v>21</v>
      </c>
      <c r="B36" s="11">
        <v>100027</v>
      </c>
      <c r="C36" s="11">
        <v>10102</v>
      </c>
      <c r="D36" s="11"/>
      <c r="E36" s="12">
        <v>2</v>
      </c>
      <c r="F36" s="11">
        <v>10202</v>
      </c>
      <c r="G36" s="11"/>
      <c r="H36" s="12">
        <v>1</v>
      </c>
      <c r="I36" s="19">
        <v>45087</v>
      </c>
      <c r="J36" s="19">
        <v>45102.999988425901</v>
      </c>
    </row>
  </sheetData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tryout_price</vt:lpstr>
      <vt:lpstr>tryout_reward</vt:lpstr>
      <vt:lpstr>red</vt:lpstr>
      <vt:lpstr>invited_coin</vt:lpstr>
      <vt:lpstr>flight_cue</vt:lpstr>
      <vt:lpstr>no_banner</vt:lpstr>
      <vt:lpstr>battle_cue</vt:lpstr>
      <vt:lpstr>bargin</vt:lpstr>
      <vt:lpstr>invited_cue</vt:lpstr>
      <vt:lpstr>share_new</vt:lpstr>
      <vt:lpstr>share_new_coin</vt:lpstr>
      <vt:lpstr>weeklypay</vt:lpstr>
      <vt:lpstr>daily_invite</vt:lpstr>
      <vt:lpstr>share_gift</vt:lpstr>
      <vt:lpstr>tryout_table</vt:lpstr>
      <vt:lpstr>free_cue</vt:lpstr>
      <vt:lpstr>egg</vt:lpstr>
      <vt:lpstr>bargin_prize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zhen zhou</cp:lastModifiedBy>
  <dcterms:created xsi:type="dcterms:W3CDTF">2021-03-02T08:08:00Z</dcterms:created>
  <dcterms:modified xsi:type="dcterms:W3CDTF">2025-09-16T12:14:38Z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5496073c</vt:lpwstr>
  </property>
  <property fmtid="{D5CDD505-2E9C-101B-9397-08002B2CF9AE}" pid="3" name="ICV">
    <vt:lpwstr>48C1CA7E6BE245209F365D5C6CA0B159</vt:lpwstr>
  </property>
  <property fmtid="{D5CDD505-2E9C-101B-9397-08002B2CF9AE}" pid="4" name="KSOProductBuildVer">
    <vt:lpwstr>2052-12.1.0.22529</vt:lpwstr>
  </property>
  <property fmtid="{D5CDD505-2E9C-101B-9397-08002B2CF9AE}" pid="5" name="KSOReadingLayout">
    <vt:bool>true</vt:bool>
  </property>
</Properties>
</file>