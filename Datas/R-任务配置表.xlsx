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76" firstSheet="1" activeTab="4"/>
  </bookViews>
  <sheets>
    <sheet name="activity_task" sheetId="1" r:id="rId1"/>
    <sheet name="task_reward_activity" sheetId="5" r:id="rId2"/>
    <sheet name="achievement" sheetId="3" r:id="rId3"/>
    <sheet name="achievement_level" sheetId="4" r:id="rId4"/>
    <sheet name="title" sheetId="8" r:id="rId5"/>
    <sheet name="master_task" sheetId="10" r:id="rId6"/>
    <sheet name="ring" sheetId="11" r:id="rId7"/>
    <sheet name="badge" sheetId="13" r:id="rId8"/>
    <sheet name="couple_clock" sheetId="12" r:id="rId9"/>
    <sheet name="blood_task" sheetId="15" r:id="rId10"/>
    <sheet name="blood_exchange" sheetId="16" r:id="rId11"/>
    <sheet name="Sheet1" sheetId="14" r:id="rId12"/>
    <sheet name="任务完成条件说明" sheetId="6" r:id="rId13"/>
    <sheet name="成就完成条件说明" sheetId="7" r:id="rId14"/>
    <sheet name="称号完成条件说明" sheetId="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  <author>Aki</author>
    <author>zhouzhen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1、2、3…根据相同数字，划分权重分组</t>
        </r>
      </text>
    </commen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各个组权重任务每日刷新按概率取其中一个</t>
        </r>
      </text>
    </comment>
    <comment ref="E2" authorId="1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0：不屏蔽
1：ios屏蔽</t>
        </r>
      </text>
    </comment>
    <comment ref="F2" authorId="2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0:普通任务
1:特殊一次性任务</t>
        </r>
      </text>
    </comment>
    <comment ref="G2" authorId="2">
      <text/>
    </comment>
  </commentList>
</comments>
</file>

<file path=xl/comments2.xml><?xml version="1.0" encoding="utf-8"?>
<comments xmlns="http://schemas.openxmlformats.org/spreadsheetml/2006/main">
  <authors>
    <author>Win10</author>
    <author>杨宗水</author>
  </authors>
  <commentList>
    <comment ref="C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1：日活奖励
2：周活奖励</t>
        </r>
      </text>
    </comment>
    <comment ref="D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仅权重任务生效，所有权重任务每日刷新按概率取其中一个</t>
        </r>
      </text>
    </comment>
  </commentList>
</comments>
</file>

<file path=xl/comments3.xml><?xml version="1.0" encoding="utf-8"?>
<comments xmlns="http://schemas.openxmlformats.org/spreadsheetml/2006/main">
  <authors>
    <author>杨宗水</author>
    <author>Piao Shengning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每个成就的标识</t>
        </r>
      </text>
    </commen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同一个成就的不同阶级
1~3个，根据配置显示</t>
        </r>
      </text>
    </comment>
    <comment ref="E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成就类型，根据类型分别显示在对应分页
1：通用
2：8球
3：闯关
4：大型赛事
5：活动
6之后拓展</t>
        </r>
      </text>
    </comment>
    <comment ref="F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G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H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实际生效任务描述
需配置id到语言包</t>
        </r>
      </text>
    </comment>
    <comment ref="I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中文描述
方便策划维护</t>
        </r>
      </text>
    </comment>
    <comment ref="J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每类成就的判断条件类型，根据游戏进度逐步新增</t>
        </r>
      </text>
    </comment>
    <comment ref="K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根据条件类型，不同阶级成就的数字区分</t>
        </r>
      </text>
    </comment>
    <comment ref="L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成就达成时，点亮的动态徽章</t>
        </r>
      </text>
    </comment>
    <comment ref="M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成就完成时，获得的成就经验点数
</t>
        </r>
      </text>
    </comment>
    <comment ref="F3" authorId="1">
      <text>
        <r>
          <rPr>
            <sz val="11"/>
            <color indexed="8"/>
            <rFont val="Helvetica"/>
            <charset val="134"/>
          </rPr>
          <t xml:space="preserve">Piao Shengning:
</t>
        </r>
        <r>
          <rPr>
            <sz val="11"/>
            <color indexed="8"/>
            <rFont val="宋体"/>
            <charset val="134"/>
          </rPr>
          <t>字段类型</t>
        </r>
        <r>
          <rPr>
            <sz val="11"/>
            <color indexed="8"/>
            <rFont val="Helvetica"/>
            <charset val="134"/>
          </rPr>
          <t>:int32</t>
        </r>
        <r>
          <rPr>
            <sz val="11"/>
            <color indexed="8"/>
            <rFont val="宋体"/>
            <charset val="134"/>
          </rPr>
          <t>、int64、double、string等</t>
        </r>
      </text>
    </comment>
  </commentList>
</comments>
</file>

<file path=xl/comments4.xml><?xml version="1.0" encoding="utf-8"?>
<comments xmlns="http://schemas.openxmlformats.org/spreadsheetml/2006/main">
  <authors>
    <author>杨宗水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point点数根据所有成就完成的情况，累计记录，达成一定等级要求，即可升级</t>
        </r>
      </text>
    </commen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各自成就等级，可领取的奖励，配置奖励item id和数量，可配置头像框？</t>
        </r>
      </text>
    </comment>
    <comment ref="E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不同成就等级，使用的等级徽章底图，中央等级数字根据level技术写入</t>
        </r>
      </text>
    </comment>
  </commentList>
</comments>
</file>

<file path=xl/comments5.xml><?xml version="1.0" encoding="utf-8"?>
<comments xmlns="http://schemas.openxmlformats.org/spreadsheetml/2006/main">
  <authors>
    <author>Administrator</author>
    <author>杨宗水</author>
    <author>86131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标识同一种称号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同一种称号的不同级别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G2" authorId="1">
      <text>
        <r>
          <rPr>
            <sz val="9"/>
            <rFont val="宋体"/>
            <charset val="134"/>
          </rPr>
          <t>实际生效任务描述
需配置id到语言包</t>
        </r>
      </text>
    </comment>
    <comment ref="H2" authorId="1">
      <text>
        <r>
          <rPr>
            <sz val="9"/>
            <rFont val="宋体"/>
            <charset val="134"/>
          </rPr>
          <t>中文描述
方便策划维护</t>
        </r>
      </text>
    </comment>
    <comment ref="I2" authorId="1">
      <text>
        <r>
          <rPr>
            <sz val="9"/>
            <rFont val="宋体"/>
            <charset val="134"/>
          </rPr>
          <t>每类称号的判断条件类型，根据游戏进度逐步新增
1表示清台次数
2表示累计进球颗数
3连胜次数
4魅力评分
5累计关注
6累计充值
7出师个数
8连续打卡天数
6</t>
        </r>
      </text>
    </comment>
    <comment ref="J2" authorId="1">
      <text>
        <r>
          <rPr>
            <sz val="9"/>
            <rFont val="宋体"/>
            <charset val="134"/>
          </rPr>
          <t>根据条件类型，不同阶级称号的数字区分</t>
        </r>
      </text>
    </comment>
    <comment ref="L2" authorId="2">
      <text>
        <r>
          <rPr>
            <sz val="9"/>
            <rFont val="宋体"/>
            <charset val="134"/>
          </rPr>
          <t xml:space="preserve">0:不显示按钮
其他数字：对应跳转id
</t>
        </r>
      </text>
    </comment>
    <comment ref="M2" authorId="2">
      <text>
        <r>
          <rPr>
            <sz val="9"/>
            <rFont val="宋体"/>
            <charset val="134"/>
          </rPr>
          <t xml:space="preserve">0为非任务获得称号
数字为任务总表id
</t>
        </r>
      </text>
    </comment>
  </commentList>
</comments>
</file>

<file path=xl/comments6.xml><?xml version="1.0" encoding="utf-8"?>
<comments xmlns="http://schemas.openxmlformats.org/spreadsheetml/2006/main">
  <authors>
    <author>杨宗水</author>
    <author>zhouzhen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Dam: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sz val="9"/>
            <rFont val="宋体"/>
            <charset val="134"/>
          </rPr>
          <t>Gino:
1：PVP比赛次数X-----次数
2：累积登录：累积登录多少天-----次数
3：指定日期登录：登录游戏（未做）
4：累积充值：累积充值多少-----金额（元）
5：分享（未做）
6：闯关：累积玩多少局闯关-----次数
7：一周内某天登录：周几登录游戏(0-6:周日-周六）   
8：玩家一杆N球M次-----次数，次数
9：8球模式在某场次及以上的对局X局-----数量，次数
10：玩家8球连杆击数目X-----次数
11：玩家8球一杆清台的次数X-----次数
12:任意8球比赛X特殊进球次数X-----类型id，次数
13:8球模式开球打进X颗-----次数
14:8球模式连胜X局-----次数
15:8球模式连输X局-----次数
16：累积消费X钻石-----数量
17：任意模式加注X次-----次数
18：看任意的视频X次-----次数
19：签到X次-----次数
20：累积充值X天-----次数
21：PVP比赛XX模式次数X-----类型id，次数
22：周几累积在线时间      
23：周几PVP比赛次数X     
24：参加好友约战的次数X-----次数
25：参加幸运夺宝的次数X-----次数
26：PVP比赛获胜次数X-----次数
27：PVP比赛累积进球次数X-----次数
28：X金币场及以上场次比赛次数X-----金币数，次数
29：X金币场及以上场次比赛获胜次数X-----金币数，次数
30：X金币场及以上场次比赛进球次数X-----金币数，次数
31：X金币场完成X次比赛----金币数，次数
32：玩家所达到的等级----等级数</t>
        </r>
      </text>
    </comment>
    <comment ref="F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1、所需次数
24、所需次数
11、所需次数
32、所需等级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点击【前往】跳转的对应界面链接
2、选模式8球
7、约战</t>
        </r>
      </text>
    </comment>
    <comment ref="H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奖励id</t>
        </r>
      </text>
    </comment>
    <comment ref="I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奖励数量</t>
        </r>
      </text>
    </comment>
    <comment ref="J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0：普通条件
1：判断条件</t>
        </r>
      </text>
    </comment>
  </commentList>
</comments>
</file>

<file path=xl/comments7.xml><?xml version="1.0" encoding="utf-8"?>
<comments xmlns="http://schemas.openxmlformats.org/spreadsheetml/2006/main">
  <authors>
    <author>杨宗水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Dam: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戒指等级按由小到大递增</t>
        </r>
      </text>
    </comment>
    <comment ref="F2" authorId="0">
      <text>
        <r>
          <rPr>
            <sz val="9"/>
            <rFont val="宋体"/>
            <charset val="134"/>
          </rPr>
          <t>实际生效任务描述
需配置id到语言包</t>
        </r>
      </text>
    </comment>
    <comment ref="G2" authorId="0">
      <text>
        <r>
          <rPr>
            <sz val="9"/>
            <rFont val="宋体"/>
            <charset val="134"/>
          </rPr>
          <t>中文描述
方便策划维护</t>
        </r>
      </text>
    </comment>
    <comment ref="H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达成任务时条件所需数量</t>
        </r>
      </text>
    </comment>
  </commentList>
</comments>
</file>

<file path=xl/comments8.xml><?xml version="1.0" encoding="utf-8"?>
<comments xmlns="http://schemas.openxmlformats.org/spreadsheetml/2006/main">
  <authors>
    <author>杨宗水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Dam: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sz val="9"/>
            <rFont val="宋体"/>
            <charset val="134"/>
          </rPr>
          <t>实际生效任务描述
需配置id到语言包</t>
        </r>
      </text>
    </comment>
    <comment ref="F2" authorId="0">
      <text>
        <r>
          <rPr>
            <sz val="9"/>
            <rFont val="宋体"/>
            <charset val="134"/>
          </rPr>
          <t>中文描述
方便策划维护</t>
        </r>
      </text>
    </comment>
    <comment ref="G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达成任务时条件所需数量</t>
        </r>
      </text>
    </comment>
    <comment ref="I2" authorId="0">
      <text>
        <r>
          <rPr>
            <b/>
            <sz val="9"/>
            <rFont val="宋体"/>
            <charset val="134"/>
          </rPr>
          <t>Dan</t>
        </r>
        <r>
          <rPr>
            <sz val="9"/>
            <rFont val="宋体"/>
            <charset val="134"/>
          </rPr>
          <t>：
师傅可获取徒弟所充值钻石数的百分比</t>
        </r>
      </text>
    </comment>
    <comment ref="J2" authorId="0">
      <text>
        <r>
          <rPr>
            <sz val="9"/>
            <rFont val="宋体"/>
            <charset val="134"/>
          </rPr>
          <t>实际生效任务描述
需配置id到语言包</t>
        </r>
      </text>
    </comment>
    <comment ref="K2" authorId="0">
      <text>
        <r>
          <rPr>
            <sz val="9"/>
            <rFont val="宋体"/>
            <charset val="134"/>
          </rPr>
          <t>中文描述
方便策划维护</t>
        </r>
      </text>
    </comment>
  </commentList>
</comments>
</file>

<file path=xl/comments9.xml><?xml version="1.0" encoding="utf-8"?>
<comments xmlns="http://schemas.openxmlformats.org/spreadsheetml/2006/main">
  <authors>
    <author>zhouzhen</author>
    <author>杨宗水</author>
  </authors>
  <commentList>
    <comment ref="C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1、999档位道具
2、1999档位道具</t>
        </r>
      </text>
    </comment>
    <comment ref="D2" authorId="1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获得打卡奖励时所需连续打卡天数</t>
        </r>
      </text>
    </commen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[奖励id，数量]</t>
        </r>
      </text>
    </comment>
  </commentList>
</comments>
</file>

<file path=xl/comments10.xml><?xml version="1.0" encoding="utf-8"?>
<comments xmlns="http://schemas.openxmlformats.org/spreadsheetml/2006/main">
  <authors>
    <author>zhouzhen</author>
  </authors>
  <commentList>
    <comment ref="C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1、每日任务
2、挑战任务</t>
        </r>
      </text>
    </comment>
  </commentList>
</comments>
</file>

<file path=xl/comments11.xml><?xml version="1.0" encoding="utf-8"?>
<comments xmlns="http://schemas.openxmlformats.org/spreadsheetml/2006/main">
  <authors>
    <author>zhouzhen</author>
  </authors>
  <commentLis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[兑换道具，数量]</t>
        </r>
      </text>
    </comment>
    <comment ref="G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0表示不限购</t>
        </r>
      </text>
    </comment>
  </commentList>
</comments>
</file>

<file path=xl/comments12.xml><?xml version="1.0" encoding="utf-8"?>
<comments xmlns="http://schemas.openxmlformats.org/spreadsheetml/2006/main">
  <authors>
    <author>zhouzhen</author>
  </authors>
  <commentList>
    <comment ref="C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模式：1、8球
      2、斯洛克
      3、9球
连胜数：x表示x连胜
连杆数、类型id读取对局击球提醒配置表
</t>
        </r>
      </text>
    </comment>
  </commentList>
</comments>
</file>

<file path=xl/comments13.xml><?xml version="1.0" encoding="utf-8"?>
<comments xmlns="http://schemas.openxmlformats.org/spreadsheetml/2006/main">
  <authors>
    <author>zhouzhen</author>
  </authors>
  <commentList>
    <comment ref="C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类型id ：读取对局击球提醒配置表</t>
        </r>
      </text>
    </comment>
  </commentList>
</comments>
</file>

<file path=xl/sharedStrings.xml><?xml version="1.0" encoding="utf-8"?>
<sst xmlns="http://schemas.openxmlformats.org/spreadsheetml/2006/main" count="1240" uniqueCount="764">
  <si>
    <t>##comment</t>
  </si>
  <si>
    <t>任务序号</t>
  </si>
  <si>
    <t>任务分组</t>
  </si>
  <si>
    <t>任务权重</t>
  </si>
  <si>
    <t>ios屏蔽处理</t>
  </si>
  <si>
    <t>任务类型</t>
  </si>
  <si>
    <t>生效平台</t>
  </si>
  <si>
    <t>##var</t>
  </si>
  <si>
    <t>id</t>
  </si>
  <si>
    <t>group</t>
  </si>
  <si>
    <t>weight</t>
  </si>
  <si>
    <t>ios_block</t>
  </si>
  <si>
    <t>type_condition</t>
  </si>
  <si>
    <t>platform</t>
  </si>
  <si>
    <t>##type</t>
  </si>
  <si>
    <t>int32</t>
  </si>
  <si>
    <t>string</t>
  </si>
  <si>
    <t>##group</t>
  </si>
  <si>
    <t>c,s</t>
  </si>
  <si>
    <t>##</t>
  </si>
  <si>
    <t>序号</t>
  </si>
  <si>
    <t>奖励类型</t>
  </si>
  <si>
    <t>活跃度</t>
  </si>
  <si>
    <t>奖励</t>
  </si>
  <si>
    <t>type</t>
  </si>
  <si>
    <t>point</t>
  </si>
  <si>
    <t>reward</t>
  </si>
  <si>
    <t>(list#sep=|),reward1</t>
  </si>
  <si>
    <t>1,100</t>
  </si>
  <si>
    <t>1,100|2,100</t>
  </si>
  <si>
    <t>成就唯一标识</t>
  </si>
  <si>
    <t>成就级别</t>
  </si>
  <si>
    <t>成就分类</t>
  </si>
  <si>
    <t>成就语言序号</t>
  </si>
  <si>
    <t>成就参考中文</t>
  </si>
  <si>
    <t>描述语言序号</t>
  </si>
  <si>
    <t>参考中文描述</t>
  </si>
  <si>
    <t>完成条件类型</t>
  </si>
  <si>
    <t>完成条件字段</t>
  </si>
  <si>
    <t>徽章动图</t>
  </si>
  <si>
    <t>完成获得积分</t>
  </si>
  <si>
    <t>achieve_id</t>
  </si>
  <si>
    <t>grade</t>
  </si>
  <si>
    <t>name</t>
  </si>
  <si>
    <t>des</t>
  </si>
  <si>
    <t>condition</t>
  </si>
  <si>
    <t>condition_field</t>
  </si>
  <si>
    <t>mode_achievement</t>
  </si>
  <si>
    <t>point_reward</t>
  </si>
  <si>
    <t>achievement_1_1</t>
  </si>
  <si>
    <t>成就主表</t>
  </si>
  <si>
    <t>初级账号</t>
  </si>
  <si>
    <t>等级达到10级</t>
  </si>
  <si>
    <t>中级账号</t>
  </si>
  <si>
    <t>等级达到30级</t>
  </si>
  <si>
    <t>achievement_1_2</t>
  </si>
  <si>
    <t>高级账号</t>
  </si>
  <si>
    <t>等级达到60级</t>
  </si>
  <si>
    <t>achievement_1_3</t>
  </si>
  <si>
    <t>中级球杆</t>
  </si>
  <si>
    <t>拥有1根S级球杆</t>
  </si>
  <si>
    <t>achievement_2_1</t>
  </si>
  <si>
    <t>高级球杆</t>
  </si>
  <si>
    <t>拥有1根SS级球杆</t>
  </si>
  <si>
    <t>achievement_2_2</t>
  </si>
  <si>
    <t>顶级球杆</t>
  </si>
  <si>
    <t>拥有1根SSS级球杆</t>
  </si>
  <si>
    <t>achievement_2_3</t>
  </si>
  <si>
    <t>球杆爱好者</t>
  </si>
  <si>
    <t>拥有3根球杆</t>
  </si>
  <si>
    <t>achievement_3_1</t>
  </si>
  <si>
    <t>球杆发烧友</t>
  </si>
  <si>
    <t>拥有10根球杆</t>
  </si>
  <si>
    <t>achievement_3_2</t>
  </si>
  <si>
    <t>球杆收藏家</t>
  </si>
  <si>
    <t>拥有30根球杆</t>
  </si>
  <si>
    <t>achievement_3_3</t>
  </si>
  <si>
    <t>球坛新秀</t>
  </si>
  <si>
    <t>拥有10位粉丝</t>
  </si>
  <si>
    <t>achievement_4_1</t>
  </si>
  <si>
    <t>球坛网红</t>
  </si>
  <si>
    <t>拥有50位粉丝</t>
  </si>
  <si>
    <t>achievement_4_2</t>
  </si>
  <si>
    <t>球坛名人</t>
  </si>
  <si>
    <t>拥有100位粉丝</t>
  </si>
  <si>
    <t>achievement_4_3</t>
  </si>
  <si>
    <t>头像爱好者</t>
  </si>
  <si>
    <t>拥有5个头像框</t>
  </si>
  <si>
    <t>achievement_5_1</t>
  </si>
  <si>
    <t>头像发烧友</t>
  </si>
  <si>
    <t>拥有15个头像框</t>
  </si>
  <si>
    <t>achievement_5_2</t>
  </si>
  <si>
    <t>头像收藏家</t>
  </si>
  <si>
    <t>拥有30个头像框</t>
  </si>
  <si>
    <t>achievement_5_3</t>
  </si>
  <si>
    <t>穿搭萌新</t>
  </si>
  <si>
    <t>魅力值达到10000</t>
  </si>
  <si>
    <t>achievement_6_1</t>
  </si>
  <si>
    <t>穿搭高手</t>
  </si>
  <si>
    <t>魅力值达到50000</t>
  </si>
  <si>
    <t>achievement_6_2</t>
  </si>
  <si>
    <t>穿搭王者</t>
  </si>
  <si>
    <t>魅力值达到100000</t>
  </si>
  <si>
    <t>achievement_6_3</t>
  </si>
  <si>
    <t>新晋贵族</t>
  </si>
  <si>
    <t>VIP等级达到1</t>
  </si>
  <si>
    <t>achievement_7_1</t>
  </si>
  <si>
    <t>贵族气质</t>
  </si>
  <si>
    <t>VIP等级达到4</t>
  </si>
  <si>
    <t>achievement_7_2</t>
  </si>
  <si>
    <t>贵族王者</t>
  </si>
  <si>
    <t>VIP等级达到8</t>
  </si>
  <si>
    <t>achievement_7_3</t>
  </si>
  <si>
    <t>腰缠万贯</t>
  </si>
  <si>
    <t>累计获得10万金币</t>
  </si>
  <si>
    <t>achievement_8_1</t>
  </si>
  <si>
    <t>富可敌国</t>
  </si>
  <si>
    <t>累计获得500万金币</t>
  </si>
  <si>
    <t>achievement_8_2</t>
  </si>
  <si>
    <t>亿万富翁</t>
  </si>
  <si>
    <t>累计获得1亿金币</t>
  </si>
  <si>
    <t>achievement_8_3</t>
  </si>
  <si>
    <t>挥金如土</t>
  </si>
  <si>
    <t>累计赠送礼物1次</t>
  </si>
  <si>
    <t>achievement_9_1</t>
  </si>
  <si>
    <t>财大气粗</t>
  </si>
  <si>
    <t>累计赠送礼物10次</t>
  </si>
  <si>
    <t>achievement_9_2</t>
  </si>
  <si>
    <t>豪气冲天</t>
  </si>
  <si>
    <t>累计赠送礼物50次</t>
  </si>
  <si>
    <t>achievement_9_3</t>
  </si>
  <si>
    <t>魅力担当</t>
  </si>
  <si>
    <t>累计收到礼物1次</t>
  </si>
  <si>
    <t>achievement_10_1</t>
  </si>
  <si>
    <t>收礼收到手软</t>
  </si>
  <si>
    <t>累计收到礼物10次</t>
  </si>
  <si>
    <t>achievement_10_2</t>
  </si>
  <si>
    <t>这该死的魅力</t>
  </si>
  <si>
    <t>累计收到礼物50次</t>
  </si>
  <si>
    <t>achievement_10_3</t>
  </si>
  <si>
    <t>赠送新手</t>
  </si>
  <si>
    <t>连续赠送球友金币10天</t>
  </si>
  <si>
    <t>achievement_11_1</t>
  </si>
  <si>
    <t>赠送达人</t>
  </si>
  <si>
    <t>连续赠送球友金币45天</t>
  </si>
  <si>
    <t>achievement_11_2</t>
  </si>
  <si>
    <t>赠送之王</t>
  </si>
  <si>
    <t>连续赠送球友金币75天</t>
  </si>
  <si>
    <t>achievement_11_3</t>
  </si>
  <si>
    <t>任务新手</t>
  </si>
  <si>
    <t>累计完成100次任务</t>
  </si>
  <si>
    <t>achievement_12_1</t>
  </si>
  <si>
    <t>任务达人</t>
  </si>
  <si>
    <t>累计完成200次任务</t>
  </si>
  <si>
    <t>achievement_12_2</t>
  </si>
  <si>
    <t>任务之王</t>
  </si>
  <si>
    <t>累计完成500次任务</t>
  </si>
  <si>
    <t>achievement_12_3</t>
  </si>
  <si>
    <t>坚持不懈</t>
  </si>
  <si>
    <t>连续签到7天</t>
  </si>
  <si>
    <t>achievement_13_1</t>
  </si>
  <si>
    <t>持之以恒</t>
  </si>
  <si>
    <t>连续签到30天</t>
  </si>
  <si>
    <t>achievement_13_2</t>
  </si>
  <si>
    <t>铁杵成针</t>
  </si>
  <si>
    <t>连续签到90天</t>
  </si>
  <si>
    <t>achievement_13_3</t>
  </si>
  <si>
    <t>常胜将军</t>
  </si>
  <si>
    <t>对局连续获胜5局</t>
  </si>
  <si>
    <t>achievement_14_1</t>
  </si>
  <si>
    <t>百战百胜</t>
  </si>
  <si>
    <t>对局连续获胜10局</t>
  </si>
  <si>
    <t>achievement_14_2</t>
  </si>
  <si>
    <t>孤独求败</t>
  </si>
  <si>
    <t>对局连续获胜15局</t>
  </si>
  <si>
    <t>achievement_14_3</t>
  </si>
  <si>
    <t>手感火热</t>
  </si>
  <si>
    <t>对局完成5连杆</t>
  </si>
  <si>
    <t>achievement_15_1</t>
  </si>
  <si>
    <t>球技高超</t>
  </si>
  <si>
    <t>对局完成6连杆</t>
  </si>
  <si>
    <t>achievement_15_2</t>
  </si>
  <si>
    <t>球技精湛</t>
  </si>
  <si>
    <t>对局完成7连杆</t>
  </si>
  <si>
    <t>achievement_15_3</t>
  </si>
  <si>
    <t>一杆清台</t>
  </si>
  <si>
    <t>对局一杆清台1次</t>
  </si>
  <si>
    <t>achievement_16_1</t>
  </si>
  <si>
    <t>清台高手</t>
  </si>
  <si>
    <t>对局一杆清台10次</t>
  </si>
  <si>
    <t>achievement_16_2</t>
  </si>
  <si>
    <t>清台王者</t>
  </si>
  <si>
    <t>对局一杆清台100次</t>
  </si>
  <si>
    <t>achievement_16_3</t>
  </si>
  <si>
    <t>联赛冠军</t>
  </si>
  <si>
    <t>累计获得1次8球锦标赛冠军</t>
  </si>
  <si>
    <t>achievement_17_1</t>
  </si>
  <si>
    <t>累计获得30次8球锦标赛冠军</t>
  </si>
  <si>
    <t>achievement_17_2</t>
  </si>
  <si>
    <t>累计获得100次8球锦标赛冠军</t>
  </si>
  <si>
    <t>achievement_17_3</t>
  </si>
  <si>
    <t>初露头角</t>
  </si>
  <si>
    <t>对局胜场达到50</t>
  </si>
  <si>
    <t>achievement_18_1</t>
  </si>
  <si>
    <t>屡战屡胜</t>
  </si>
  <si>
    <t>对局胜场达到150</t>
  </si>
  <si>
    <t>achievement_18_2</t>
  </si>
  <si>
    <t>所向披靡</t>
  </si>
  <si>
    <t>对局胜场达到300</t>
  </si>
  <si>
    <t>achievement_18_3</t>
  </si>
  <si>
    <t>新人球手</t>
  </si>
  <si>
    <t>对局累计进球100个</t>
  </si>
  <si>
    <t>achievement_19_1</t>
  </si>
  <si>
    <t>专业球手</t>
  </si>
  <si>
    <t>对局累计进球500个</t>
  </si>
  <si>
    <t>achievement_19_2</t>
  </si>
  <si>
    <t>职业球手</t>
  </si>
  <si>
    <t>对局累计进球2000个</t>
  </si>
  <si>
    <t>achievement_19_3</t>
  </si>
  <si>
    <t>添彩新手</t>
  </si>
  <si>
    <t>对局累计添彩50次</t>
  </si>
  <si>
    <t>achievement_20_1</t>
  </si>
  <si>
    <t>添彩达人</t>
  </si>
  <si>
    <t>对局累计添彩200次</t>
  </si>
  <si>
    <t>achievement_20_2</t>
  </si>
  <si>
    <t>添彩之王</t>
  </si>
  <si>
    <t>对局累计添彩1000次</t>
  </si>
  <si>
    <t>achievement_20_3</t>
  </si>
  <si>
    <t>运气爆棚</t>
  </si>
  <si>
    <t>对局完成一杆二球</t>
  </si>
  <si>
    <t>achievement_21_1</t>
  </si>
  <si>
    <t>神乎其技</t>
  </si>
  <si>
    <t>对局完成一杆三球</t>
  </si>
  <si>
    <t>achievement_21_2</t>
  </si>
  <si>
    <t>奇迹时刻</t>
  </si>
  <si>
    <t>对局完成一杆五球</t>
  </si>
  <si>
    <t>achievement_21_3</t>
  </si>
  <si>
    <t>灌球新手</t>
  </si>
  <si>
    <t>对局累计灌球10次</t>
  </si>
  <si>
    <t>2,10</t>
  </si>
  <si>
    <t>achievement_22_1</t>
  </si>
  <si>
    <t>灌球达人</t>
  </si>
  <si>
    <t>对局累计灌球50次</t>
  </si>
  <si>
    <t>2,50</t>
  </si>
  <si>
    <t>achievement_22_2</t>
  </si>
  <si>
    <t>灌球之王</t>
  </si>
  <si>
    <t>对局累计灌球200次</t>
  </si>
  <si>
    <t>2,200</t>
  </si>
  <si>
    <t>achievement_22_3</t>
  </si>
  <si>
    <t>解球新手</t>
  </si>
  <si>
    <t>对局累计解球10次</t>
  </si>
  <si>
    <t>1,10</t>
  </si>
  <si>
    <t>achievement_23_1</t>
  </si>
  <si>
    <t>解球达人</t>
  </si>
  <si>
    <t>对局累计解球50次</t>
  </si>
  <si>
    <t>1,50</t>
  </si>
  <si>
    <t>achievement_23_2</t>
  </si>
  <si>
    <t>解球之王</t>
  </si>
  <si>
    <t>对局累计解球200次</t>
  </si>
  <si>
    <t>1,200</t>
  </si>
  <si>
    <t>achievement_23_3</t>
  </si>
  <si>
    <t>组合球新手</t>
  </si>
  <si>
    <t>对局累计组合球10次</t>
  </si>
  <si>
    <t>5,10</t>
  </si>
  <si>
    <t>achievement_24_1</t>
  </si>
  <si>
    <t>组合球达人</t>
  </si>
  <si>
    <t>对局累计组合球50次</t>
  </si>
  <si>
    <t>5,50</t>
  </si>
  <si>
    <t>achievement_24_2</t>
  </si>
  <si>
    <t>组合球之王</t>
  </si>
  <si>
    <t>对局累计组合球200次</t>
  </si>
  <si>
    <t>5,200</t>
  </si>
  <si>
    <t>achievement_24_3</t>
  </si>
  <si>
    <t>借球新手</t>
  </si>
  <si>
    <t>对局累计借球10次</t>
  </si>
  <si>
    <t>3,10</t>
  </si>
  <si>
    <t>achievement_25_1</t>
  </si>
  <si>
    <t>借球达人</t>
  </si>
  <si>
    <t>对局累计借球50次</t>
  </si>
  <si>
    <t>3,50</t>
  </si>
  <si>
    <t>achievement_25_2</t>
  </si>
  <si>
    <t>借球之王</t>
  </si>
  <si>
    <t>对局累计借球200次</t>
  </si>
  <si>
    <t>3,200</t>
  </si>
  <si>
    <t>achievement_25_3</t>
  </si>
  <si>
    <t>过关斩将</t>
  </si>
  <si>
    <t>闯关累计通关10关</t>
  </si>
  <si>
    <t>achievement_26_1</t>
  </si>
  <si>
    <t>势不可挡</t>
  </si>
  <si>
    <t>闯关累计通关60关</t>
  </si>
  <si>
    <t>achievement_26_2</t>
  </si>
  <si>
    <t>一往无前</t>
  </si>
  <si>
    <t>闯关累计通关180关</t>
  </si>
  <si>
    <t>achievement_26_3</t>
  </si>
  <si>
    <t>追求极致</t>
  </si>
  <si>
    <t>闯关三星通过20关</t>
  </si>
  <si>
    <t>achievement_27_1</t>
  </si>
  <si>
    <t>闯关三星通过70关</t>
  </si>
  <si>
    <t>achievement_27_2</t>
  </si>
  <si>
    <t>闯关三星通过200关</t>
  </si>
  <si>
    <t>achievement_27_3</t>
  </si>
  <si>
    <t>出类拔萃</t>
  </si>
  <si>
    <t>xx赛进入前8</t>
  </si>
  <si>
    <t>achievement_28_1</t>
  </si>
  <si>
    <t>天资卓越</t>
  </si>
  <si>
    <t>xx赛进入前4</t>
  </si>
  <si>
    <t>achievement_28_2</t>
  </si>
  <si>
    <t>高出不胜寒</t>
  </si>
  <si>
    <t>xx赛获得第1名</t>
  </si>
  <si>
    <t>achievement_28_3</t>
  </si>
  <si>
    <t>俱乐部荣耀</t>
  </si>
  <si>
    <t>achievement_29_1</t>
  </si>
  <si>
    <t>achievement_29_2</t>
  </si>
  <si>
    <t>achievement_29_3</t>
  </si>
  <si>
    <t>抽奖新手</t>
  </si>
  <si>
    <t>累计抽奖10次</t>
  </si>
  <si>
    <t>achievement_30_1</t>
  </si>
  <si>
    <t>抽奖达人</t>
  </si>
  <si>
    <t>累计抽奖50次</t>
  </si>
  <si>
    <t>achievement_30_2</t>
  </si>
  <si>
    <t>抽奖之王</t>
  </si>
  <si>
    <t>累计抽奖200次</t>
  </si>
  <si>
    <t>achievement_30_3</t>
  </si>
  <si>
    <t>转盘夺宝</t>
  </si>
  <si>
    <t>累计夺宝10次</t>
  </si>
  <si>
    <t>achievement_31_1</t>
  </si>
  <si>
    <t>累计夺宝20次</t>
  </si>
  <si>
    <t>achievement_31_2</t>
  </si>
  <si>
    <t>累计夺宝50次</t>
  </si>
  <si>
    <t>achievement_31_3</t>
  </si>
  <si>
    <t>开宝箱</t>
  </si>
  <si>
    <t>累计打开宝箱10次</t>
  </si>
  <si>
    <t>achievement_32_1</t>
  </si>
  <si>
    <t>累计打开宝箱20次</t>
  </si>
  <si>
    <t>achievement_32_2</t>
  </si>
  <si>
    <t>累计打开宝箱30次</t>
  </si>
  <si>
    <t>achievement_32_3</t>
  </si>
  <si>
    <t>成就等级</t>
  </si>
  <si>
    <t>升级累计积分</t>
  </si>
  <si>
    <t>奖励组id</t>
  </si>
  <si>
    <t>等级徽章动图模板</t>
  </si>
  <si>
    <t>level</t>
  </si>
  <si>
    <t>point_achieve</t>
  </si>
  <si>
    <t>mode_badge_lv</t>
  </si>
  <si>
    <t>badge_lv_0</t>
  </si>
  <si>
    <t>成就等级经验表</t>
  </si>
  <si>
    <t>badge_lv_1</t>
  </si>
  <si>
    <t>badge_lv_2</t>
  </si>
  <si>
    <t>badge_lv_3</t>
  </si>
  <si>
    <t>badge_lv_4</t>
  </si>
  <si>
    <t>称号唯一标识</t>
  </si>
  <si>
    <t>同种称号标识</t>
  </si>
  <si>
    <t>称号级别</t>
  </si>
  <si>
    <t>称号语言序号</t>
  </si>
  <si>
    <t>称号中文参考</t>
  </si>
  <si>
    <t>称号预览图</t>
  </si>
  <si>
    <t>跳转按钮</t>
  </si>
  <si>
    <t>任务id</t>
  </si>
  <si>
    <t>title_id</t>
  </si>
  <si>
    <t>title_grade</t>
  </si>
  <si>
    <t>title_name</t>
  </si>
  <si>
    <t>title_des</t>
  </si>
  <si>
    <t>title_condition</t>
  </si>
  <si>
    <t>title_condition_field</t>
  </si>
  <si>
    <t>title_icon</t>
  </si>
  <si>
    <t>link_button</t>
  </si>
  <si>
    <t>title_taskid</t>
  </si>
  <si>
    <t>title_0001</t>
  </si>
  <si>
    <t>称号配置表</t>
  </si>
  <si>
    <t>清台次数：</t>
  </si>
  <si>
    <t>清台达人</t>
  </si>
  <si>
    <t>title_0002</t>
  </si>
  <si>
    <t>title_0003</t>
  </si>
  <si>
    <t>清台冠军</t>
  </si>
  <si>
    <t>title_0004</t>
  </si>
  <si>
    <t>title_0005</t>
  </si>
  <si>
    <t>进球熟手</t>
  </si>
  <si>
    <t>累计进球颗数：</t>
  </si>
  <si>
    <t>title_0006</t>
  </si>
  <si>
    <t>进球达人</t>
  </si>
  <si>
    <t>title_0007</t>
  </si>
  <si>
    <t>进球高手</t>
  </si>
  <si>
    <t>title_0008</t>
  </si>
  <si>
    <t>进球冠军</t>
  </si>
  <si>
    <t>title_0009</t>
  </si>
  <si>
    <t>进球王者</t>
  </si>
  <si>
    <t>title_0010</t>
  </si>
  <si>
    <t>连胜熟手</t>
  </si>
  <si>
    <t>连胜次数：</t>
  </si>
  <si>
    <t>title_0011</t>
  </si>
  <si>
    <t>常胜达人</t>
  </si>
  <si>
    <t>title_0012</t>
  </si>
  <si>
    <t>常胜高手</t>
  </si>
  <si>
    <t>title_0013</t>
  </si>
  <si>
    <t>常胜冠军</t>
  </si>
  <si>
    <t>title_0014</t>
  </si>
  <si>
    <t>常胜王者</t>
  </si>
  <si>
    <t>title_0015</t>
  </si>
  <si>
    <t>收藏能手</t>
  </si>
  <si>
    <t>魅力评分：</t>
  </si>
  <si>
    <t>title_0016</t>
  </si>
  <si>
    <t>收藏达人</t>
  </si>
  <si>
    <t>title_0017</t>
  </si>
  <si>
    <t>收藏高手</t>
  </si>
  <si>
    <t>title_0018</t>
  </si>
  <si>
    <t>收藏冠军</t>
  </si>
  <si>
    <t>title_0019</t>
  </si>
  <si>
    <t>收藏王者</t>
  </si>
  <si>
    <t>title_0020</t>
  </si>
  <si>
    <t>小有名气</t>
  </si>
  <si>
    <t>累计关注人数：</t>
  </si>
  <si>
    <t>title_0021</t>
  </si>
  <si>
    <t>备受瞩目</t>
  </si>
  <si>
    <t>title_0022</t>
  </si>
  <si>
    <t>小明星</t>
  </si>
  <si>
    <t>title_0023</t>
  </si>
  <si>
    <t>大明星</t>
  </si>
  <si>
    <t>title_0024</t>
  </si>
  <si>
    <t>万人迷</t>
  </si>
  <si>
    <t>title_0025</t>
  </si>
  <si>
    <t>小财主</t>
  </si>
  <si>
    <t>累计充值：</t>
  </si>
  <si>
    <t>title_0026</t>
  </si>
  <si>
    <t>小富商</t>
  </si>
  <si>
    <t>title_0027</t>
  </si>
  <si>
    <t>大土豪</t>
  </si>
  <si>
    <t>title_0028</t>
  </si>
  <si>
    <t>大富豪</t>
  </si>
  <si>
    <t>title_0029</t>
  </si>
  <si>
    <t>大财神</t>
  </si>
  <si>
    <t>title_0030</t>
  </si>
  <si>
    <t>新晋教习</t>
  </si>
  <si>
    <t>徒弟出师个数：</t>
  </si>
  <si>
    <t>title_0033</t>
  </si>
  <si>
    <t>精英训导</t>
  </si>
  <si>
    <t>title_0034</t>
  </si>
  <si>
    <t>为人师表</t>
  </si>
  <si>
    <t>title_0035</t>
  </si>
  <si>
    <t>桃李天下</t>
  </si>
  <si>
    <t>title_0036</t>
  </si>
  <si>
    <t>当代师尊</t>
  </si>
  <si>
    <t>title_0037</t>
  </si>
  <si>
    <t>传奇名师</t>
  </si>
  <si>
    <t>title_0038</t>
  </si>
  <si>
    <t>[@$@]的徒弟</t>
  </si>
  <si>
    <t>成为徒弟</t>
  </si>
  <si>
    <t>title_0031</t>
  </si>
  <si>
    <t>[@$@]的伴侣</t>
  </si>
  <si>
    <t>成为伴侣</t>
  </si>
  <si>
    <t>title_0032</t>
  </si>
  <si>
    <t>崭露头角</t>
  </si>
  <si>
    <t>累计人气值：</t>
  </si>
  <si>
    <t>title_0041</t>
  </si>
  <si>
    <t>社交好手</t>
  </si>
  <si>
    <t>title_0042</t>
  </si>
  <si>
    <t>社交达人</t>
  </si>
  <si>
    <t>title_0043</t>
  </si>
  <si>
    <t>人气巨星</t>
  </si>
  <si>
    <t>title_0044</t>
  </si>
  <si>
    <t>人气天王</t>
  </si>
  <si>
    <t>title_0045</t>
  </si>
  <si>
    <t>豪华俱乐部</t>
  </si>
  <si>
    <t>A级俱乐部前十获得</t>
  </si>
  <si>
    <t>title_0046</t>
  </si>
  <si>
    <t>殿堂俱乐部</t>
  </si>
  <si>
    <t>S级俱乐部获得</t>
  </si>
  <si>
    <t>title_0047</t>
  </si>
  <si>
    <t>最强殿堂俱乐部</t>
  </si>
  <si>
    <t>S+级俱乐部获得</t>
  </si>
  <si>
    <t>title_0048</t>
  </si>
  <si>
    <t>一掷千金</t>
  </si>
  <si>
    <t>送礼榜周榜前三获得</t>
  </si>
  <si>
    <t>title_0049</t>
  </si>
  <si>
    <t>富甲一方</t>
  </si>
  <si>
    <t>送礼榜总榜前三获得</t>
  </si>
  <si>
    <t>title_0050</t>
  </si>
  <si>
    <t>神仙眷侣</t>
  </si>
  <si>
    <t>限时活动获得</t>
  </si>
  <si>
    <t>title_0051</t>
  </si>
  <si>
    <t>处女星旅</t>
  </si>
  <si>
    <t>十二星宫战令处女座专属称号</t>
  </si>
  <si>
    <t>title_0052</t>
  </si>
  <si>
    <t>平衡星梦</t>
  </si>
  <si>
    <t>十二星宫战令天秤座专属称号</t>
  </si>
  <si>
    <t>title_0053</t>
  </si>
  <si>
    <t>蝎芒幽光</t>
  </si>
  <si>
    <t>十二星宫战令天蝎座专属称号</t>
  </si>
  <si>
    <t>title_0054</t>
  </si>
  <si>
    <t>神射星辉</t>
  </si>
  <si>
    <t>十二星宫战令射手座专属称号</t>
  </si>
  <si>
    <t>title_0055</t>
  </si>
  <si>
    <t>羯梦逐光</t>
  </si>
  <si>
    <t>十二星宫战令摩羯座专属称号</t>
  </si>
  <si>
    <t>title_0056</t>
  </si>
  <si>
    <t>灵犀水瓶</t>
  </si>
  <si>
    <t>十二星宫战令水瓶座专属称号</t>
  </si>
  <si>
    <t>title_0057</t>
  </si>
  <si>
    <t>梦幻双鱼</t>
  </si>
  <si>
    <t>十二星宫战令双鱼座专属称号</t>
  </si>
  <si>
    <t>title_0058</t>
  </si>
  <si>
    <t>灵蛇送喜</t>
  </si>
  <si>
    <t>蛇年春节专属称号</t>
  </si>
  <si>
    <t>title_0059</t>
  </si>
  <si>
    <t>白羊跃动</t>
  </si>
  <si>
    <t>十二星宫战令白羊座专属称号</t>
  </si>
  <si>
    <t>title_0060</t>
  </si>
  <si>
    <t>冠军俱乐部</t>
  </si>
  <si>
    <t>俱乐部赛事冠军称号</t>
  </si>
  <si>
    <t>title_0061</t>
  </si>
  <si>
    <t>亚军俱乐部</t>
  </si>
  <si>
    <t>俱乐部赛事亚军称号</t>
  </si>
  <si>
    <t>title_0062</t>
  </si>
  <si>
    <t>耀世金牛</t>
  </si>
  <si>
    <t>十二星宫战令金牛座专属称号</t>
  </si>
  <si>
    <t>title_0063</t>
  </si>
  <si>
    <t>任务语言序号</t>
  </si>
  <si>
    <t>任务中文参考</t>
  </si>
  <si>
    <t>类型解释字段</t>
  </si>
  <si>
    <t>前往链接</t>
  </si>
  <si>
    <t>完成奖励id</t>
  </si>
  <si>
    <t>完成奖励数量</t>
  </si>
  <si>
    <t>条件类型</t>
  </si>
  <si>
    <t>type_task</t>
  </si>
  <si>
    <t>explain</t>
  </si>
  <si>
    <t>link</t>
  </si>
  <si>
    <t>id_item</t>
  </si>
  <si>
    <t>num_item</t>
  </si>
  <si>
    <t>师徒任务</t>
  </si>
  <si>
    <t>与师傅约战3局</t>
  </si>
  <si>
    <t>完成10次对局</t>
  </si>
  <si>
    <t>完成50次对局</t>
  </si>
  <si>
    <t>完成100次对局</t>
  </si>
  <si>
    <t>完成一杆清台</t>
  </si>
  <si>
    <t>等级达到20级</t>
  </si>
  <si>
    <t>戒指序号</t>
  </si>
  <si>
    <t>戒指语言序号</t>
  </si>
  <si>
    <t>戒指中文参考</t>
  </si>
  <si>
    <t>戒指等级</t>
  </si>
  <si>
    <t>完成条件字段（进度记录）</t>
  </si>
  <si>
    <t>戒指预览图</t>
  </si>
  <si>
    <t>ring_grade</t>
  </si>
  <si>
    <t>ring_des</t>
  </si>
  <si>
    <t>field</t>
  </si>
  <si>
    <t>ring_icon</t>
  </si>
  <si>
    <t>icon_720001</t>
  </si>
  <si>
    <t>伴侣戒指</t>
  </si>
  <si>
    <t>纯洁白银</t>
  </si>
  <si>
    <t>伴侣累计打卡的天数：</t>
  </si>
  <si>
    <t>爱心翡翠</t>
  </si>
  <si>
    <t>icon_720002</t>
  </si>
  <si>
    <t>奢华粉钻</t>
  </si>
  <si>
    <t>icon_720003</t>
  </si>
  <si>
    <t>比翼双飞</t>
  </si>
  <si>
    <t>icon_720004</t>
  </si>
  <si>
    <t>璀璨蝶心</t>
  </si>
  <si>
    <t>icon_720005</t>
  </si>
  <si>
    <t>神圣彩虹</t>
  </si>
  <si>
    <t>icon_720006</t>
  </si>
  <si>
    <t>徽章序号</t>
  </si>
  <si>
    <t>徽章语言序号</t>
  </si>
  <si>
    <t>徽章中文参考</t>
  </si>
  <si>
    <t>徽章预览图</t>
  </si>
  <si>
    <t>钻石获取百分比</t>
  </si>
  <si>
    <t>badge_des</t>
  </si>
  <si>
    <t>badge_icon</t>
  </si>
  <si>
    <t>per</t>
  </si>
  <si>
    <t>badge_state</t>
  </si>
  <si>
    <t>ui_st_ch_1</t>
  </si>
  <si>
    <t>师徒徽章</t>
  </si>
  <si>
    <t>新晋教习/n    &lt;color=#0000FF&gt;1&lt;/color&gt;名徒弟出师后解锁。/n     徒弟充值钻石时，师傅直接获得 &lt;color=#0000FF&gt;8%&lt;/color&gt;钻石数量</t>
  </si>
  <si>
    <t>ui_st_ch_2</t>
  </si>
  <si>
    <t>精英训导/n    &lt;color=#0000FF&gt;2&lt;/color&gt;名徒弟出师后解锁。/n     徒弟充值钻石时，师傅直接获得 &lt;color=#0000FF&gt;10%&lt;/color&gt;钻石数量</t>
  </si>
  <si>
    <t>ui_st_ch_3</t>
  </si>
  <si>
    <t>为人师表/n    &lt;color=#0000FF&gt;4&lt;/color&gt;名徒弟出师后解锁。/n     徒弟充值钻石时，师傅直接获得 &lt;color=#0000FF&gt;12%&lt;/color&gt;钻石数量</t>
  </si>
  <si>
    <t>ui_st_ch_4</t>
  </si>
  <si>
    <t>桃李天下/n    &lt;color=#0000FF&gt;6&lt;/color&gt;名徒弟出师后解锁。/n     徒弟充值钻石时，师傅直接获得 &lt;color=#0000FF&gt;16%&lt;/color&gt;钻石数量</t>
  </si>
  <si>
    <t>ui_st_ch_5</t>
  </si>
  <si>
    <t>当代师尊/n    &lt;color=#0000FF&gt;8&lt;/color&gt;名徒弟出师后解锁。/n     徒弟充值钻石时，师傅直接获得 &lt;color=#0000FF&gt;18%&lt;/color&gt;钻石数量</t>
  </si>
  <si>
    <t>ui_st_ch_6</t>
  </si>
  <si>
    <t>传奇名师/n    &lt;color=#0000FF&gt;10&lt;/color&gt;名徒弟出师后解锁。/n     徒弟充值钻石时，师傅直接获得 &lt;color=#0000FF&gt;20%&lt;/color&gt;钻石数量</t>
  </si>
  <si>
    <t>打卡天数序号</t>
  </si>
  <si>
    <t>页签类型</t>
  </si>
  <si>
    <t>连续打卡天数完成条件字段（进度记录）</t>
  </si>
  <si>
    <t>打卡完成奖励</t>
  </si>
  <si>
    <t>增加恩爱度</t>
  </si>
  <si>
    <t>couple_clock_reward</t>
  </si>
  <si>
    <t>increase_affection</t>
  </si>
  <si>
    <t>(list#sep=;),int</t>
  </si>
  <si>
    <t>伴侣连续打卡天数奖励</t>
  </si>
  <si>
    <t>1;3</t>
  </si>
  <si>
    <t>1;1</t>
  </si>
  <si>
    <t>4;7</t>
  </si>
  <si>
    <t>1;2</t>
  </si>
  <si>
    <t>8;10</t>
  </si>
  <si>
    <t>11;14</t>
  </si>
  <si>
    <t>1;4</t>
  </si>
  <si>
    <t>15;9999</t>
  </si>
  <si>
    <t>1;5</t>
  </si>
  <si>
    <t>3;4</t>
  </si>
  <si>
    <t>5;6</t>
  </si>
  <si>
    <t>1;6</t>
  </si>
  <si>
    <t>7;8</t>
  </si>
  <si>
    <t>1;7</t>
  </si>
  <si>
    <t>9;11</t>
  </si>
  <si>
    <t>1;8</t>
  </si>
  <si>
    <t>12;14</t>
  </si>
  <si>
    <t>1;9</t>
  </si>
  <si>
    <t>1;10</t>
  </si>
  <si>
    <t>任务名称</t>
  </si>
  <si>
    <t>参考中文</t>
  </si>
  <si>
    <t>解释字段</t>
  </si>
  <si>
    <t>任务奖励</t>
  </si>
  <si>
    <t>跳转</t>
  </si>
  <si>
    <t>describe</t>
  </si>
  <si>
    <t>task_type</t>
  </si>
  <si>
    <t>多人血流任务配置表</t>
  </si>
  <si>
    <t>玩2局欢乐3人血流</t>
  </si>
  <si>
    <t>玩3局欢乐3人血流</t>
  </si>
  <si>
    <t>玩5局欢乐3人血流</t>
  </si>
  <si>
    <t>累计玩5局欢乐3人血流</t>
  </si>
  <si>
    <t>累计玩10局欢乐3人血流</t>
  </si>
  <si>
    <t>累计玩20局欢乐3人血流</t>
  </si>
  <si>
    <t>累计玩30局欢乐3人血流</t>
  </si>
  <si>
    <t>累计玩50局欢乐3人血流</t>
  </si>
  <si>
    <t>累计玩75局欢乐3人血流</t>
  </si>
  <si>
    <t>累计玩100局欢乐3人血流</t>
  </si>
  <si>
    <t>兑换id</t>
  </si>
  <si>
    <t>兑换道具</t>
  </si>
  <si>
    <t>道具名称</t>
  </si>
  <si>
    <t>兑换价格</t>
  </si>
  <si>
    <t>限购次数</t>
  </si>
  <si>
    <t>item_id</t>
  </si>
  <si>
    <t>price</t>
  </si>
  <si>
    <t>limit</t>
  </si>
  <si>
    <t>[]</t>
  </si>
  <si>
    <t>多人血流兑换配置表</t>
  </si>
  <si>
    <t>101571;1</t>
  </si>
  <si>
    <t>财源滚滚球杆x1</t>
  </si>
  <si>
    <t>67;120</t>
  </si>
  <si>
    <t>511571;1</t>
  </si>
  <si>
    <t>球杆碎片x1</t>
  </si>
  <si>
    <t>67;1</t>
  </si>
  <si>
    <t>2;10000</t>
  </si>
  <si>
    <t>金币x10000</t>
  </si>
  <si>
    <t>67;20</t>
  </si>
  <si>
    <t>600001;1</t>
  </si>
  <si>
    <t>升星木x1</t>
  </si>
  <si>
    <t>67;5</t>
  </si>
  <si>
    <t>13;1</t>
  </si>
  <si>
    <t>强化币x1</t>
  </si>
  <si>
    <t>CONFIG_NAME</t>
  </si>
  <si>
    <t>配置名, 如果没有这个字段, 则这个Sheet不会导出</t>
  </si>
  <si>
    <t>CONFIG_DESCRIPTION</t>
  </si>
  <si>
    <t>排行榜称号配置表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</si>
  <si>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</si>
  <si>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</si>
  <si>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</si>
  <si>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</si>
  <si>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</si>
  <si>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</si>
  <si>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</si>
  <si>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</si>
  <si>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</si>
  <si>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</si>
  <si>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</si>
  <si>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</si>
  <si>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榜单</t>
  </si>
  <si>
    <t>备注</t>
  </si>
  <si>
    <t>榜单类型</t>
  </si>
  <si>
    <t>高级称号奖励</t>
  </si>
  <si>
    <t>次级称号奖励</t>
  </si>
  <si>
    <t>榜单规则</t>
  </si>
  <si>
    <t>title_1</t>
  </si>
  <si>
    <t>title_2</t>
  </si>
  <si>
    <t>rule</t>
  </si>
  <si>
    <t>key,lua,pb,json</t>
  </si>
  <si>
    <t>lua,pb,json</t>
  </si>
  <si>
    <t>球杆榜-全国</t>
  </si>
  <si>
    <t>财富榜-全国</t>
  </si>
  <si>
    <t>伴侣榜-全国</t>
  </si>
  <si>
    <t>名人榜-全国</t>
  </si>
  <si>
    <t>人气榜-全国</t>
  </si>
  <si>
    <t>任务完成条件id</t>
  </si>
  <si>
    <t>完成任务条件说明</t>
  </si>
  <si>
    <t>条件解释字段说明</t>
  </si>
  <si>
    <t>每日签到</t>
  </si>
  <si>
    <t>次数</t>
  </si>
  <si>
    <r>
      <rPr>
        <sz val="12"/>
        <color theme="1"/>
        <rFont val="等线"/>
        <charset val="134"/>
        <scheme val="minor"/>
      </rPr>
      <t>参与任意房间的8球比赛的次数（约战、练习不算）</t>
    </r>
    <r>
      <rPr>
        <sz val="12"/>
        <color rgb="FFFF0000"/>
        <rFont val="等线"/>
        <charset val="134"/>
        <scheme val="minor"/>
      </rPr>
      <t>所有pvp玩法</t>
    </r>
  </si>
  <si>
    <t>在任意房间的8球比赛中获得胜利次数（约战、练习不算）</t>
  </si>
  <si>
    <t>在8球比赛中获得3连胜，不限房间（约战、练习不算）</t>
  </si>
  <si>
    <t>连胜数，次数</t>
  </si>
  <si>
    <t>在8球比赛中完成连杆的次数（约战、练习不算）</t>
  </si>
  <si>
    <t>连杆数，次数</t>
  </si>
  <si>
    <t>在任意房间的比赛中累计击入目标球个数（约战、练习不算）</t>
  </si>
  <si>
    <t>模式，个数</t>
  </si>
  <si>
    <t>在任意房间的比赛中开局累计击入球个数（约战、练习不算）</t>
  </si>
  <si>
    <t>在任意房间的比赛中一杆击入2颗以上球（白球不算、约战、练习不算）</t>
  </si>
  <si>
    <t>模式，次数</t>
  </si>
  <si>
    <t>向好友赠送金币次数</t>
  </si>
  <si>
    <t>任意模式累计盈利金币数量</t>
  </si>
  <si>
    <t>数量</t>
  </si>
  <si>
    <t>参与闯关</t>
  </si>
  <si>
    <t>进行抽奖</t>
  </si>
  <si>
    <t>进行寻宝</t>
  </si>
  <si>
    <t>累计消耗金币数量</t>
  </si>
  <si>
    <t>在任意房间的8球比赛中完成特殊进球的次数，借球、解球等</t>
  </si>
  <si>
    <t>类型id，次数</t>
  </si>
  <si>
    <t>俱乐部打卡X次</t>
  </si>
  <si>
    <t>任意的分享X次</t>
  </si>
  <si>
    <t>玩幸运一击X次</t>
  </si>
  <si>
    <t>看任意的视频X次</t>
  </si>
  <si>
    <t>玩极限挑战X次</t>
  </si>
  <si>
    <t>每日参与好友约战的次数</t>
  </si>
  <si>
    <t>每日充值金额（直接购买礼包也算）</t>
  </si>
  <si>
    <t>金额（元）</t>
  </si>
  <si>
    <t>每日在商城中购买x次任意物品</t>
  </si>
  <si>
    <t>分享到群X次</t>
  </si>
  <si>
    <t>完成条件类型id</t>
  </si>
  <si>
    <t>完成条件说明</t>
  </si>
  <si>
    <t>完成条件字段解释</t>
  </si>
  <si>
    <t>玩家等级</t>
  </si>
  <si>
    <t>等级</t>
  </si>
  <si>
    <t>拥有球杆的品质</t>
  </si>
  <si>
    <t>品质（B:1 A:2 C:3)</t>
  </si>
  <si>
    <t>拥有球杆的数量</t>
  </si>
  <si>
    <t>拥有粉丝的数量</t>
  </si>
  <si>
    <t>拥有的头像框数量</t>
  </si>
  <si>
    <t>玩家魅力值</t>
  </si>
  <si>
    <t>魅力值</t>
  </si>
  <si>
    <t>玩家VIP等级</t>
  </si>
  <si>
    <t>VIP等级</t>
  </si>
  <si>
    <t>玩家累计获得的金币总数量</t>
  </si>
  <si>
    <t>玩家累计赠送礼物的次数</t>
  </si>
  <si>
    <t>玩家累计收到礼物的次数</t>
  </si>
  <si>
    <t>玩家连续赠送同一名好友金币的天数</t>
  </si>
  <si>
    <t>天数</t>
  </si>
  <si>
    <t>玩家完成日常任务的次数</t>
  </si>
  <si>
    <t>玩家连续签到的天数</t>
  </si>
  <si>
    <t>8球比赛中连续获胜的场数，不限房间（约战、练习不算）</t>
  </si>
  <si>
    <t>场数</t>
  </si>
  <si>
    <t>任意房间8球比赛中连续击入目标球的个数（约战、练习不算）</t>
  </si>
  <si>
    <t>个数</t>
  </si>
  <si>
    <t>任意房间8球比赛中一杆清台的次数（约战、练习不算）</t>
  </si>
  <si>
    <t>获得锦标赛冠军的次数</t>
  </si>
  <si>
    <t>任意房间累计胜场的数量（约战、练习不算）</t>
  </si>
  <si>
    <t>任意房间8球比赛中累计击入目标球的个数（约战、练习不算）</t>
  </si>
  <si>
    <t>任意房间8球比赛中累计添彩的次数（约战、练习不算）</t>
  </si>
  <si>
    <t>任意房间8球比赛中一杆打进多个目标球（约战、练习不算）</t>
  </si>
  <si>
    <t>任意房间8球比赛中累计打出特殊球的次数（约战、练习不算）</t>
  </si>
  <si>
    <t>pve关卡累计通过的关数</t>
  </si>
  <si>
    <t>pve关卡累计满星通过的关数</t>
  </si>
  <si>
    <t>赛事获得名次</t>
  </si>
  <si>
    <t>名次</t>
  </si>
  <si>
    <t>累计参与抽奖次数</t>
  </si>
  <si>
    <t>累计参与寻宝次数</t>
  </si>
  <si>
    <t>累计打开宝箱的次数</t>
  </si>
  <si>
    <t>在任意房间的8球比赛中一杆清台次数（约战、练习不算）</t>
  </si>
  <si>
    <t>在任意房间8球比赛中累计进球的颗数（约战、练习不算）</t>
  </si>
  <si>
    <t>颗数</t>
  </si>
  <si>
    <t>在任意房间8球比赛中连胜次数（约战、练习不算）</t>
  </si>
  <si>
    <t>玩家的魅力评分</t>
  </si>
  <si>
    <t>玩家拥有的累计关注人数</t>
  </si>
  <si>
    <t>玩家的累计充值数</t>
  </si>
  <si>
    <t>玩家的徒弟出徒的人数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</si>
</sst>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sz val="11"/>
      <color indexed="8"/>
      <name val="等线"/>
      <charset val="134"/>
    </font>
    <font>
      <sz val="11"/>
      <color rgb="FFFF0000"/>
      <name val="等线"/>
      <charset val="134"/>
      <scheme val="minor"/>
    </font>
    <font>
      <sz val="12"/>
      <name val="等线"/>
      <charset val="134"/>
    </font>
    <font>
      <sz val="11"/>
      <color rgb="FFFF0000"/>
      <name val="等线"/>
      <charset val="134"/>
    </font>
    <font>
      <sz val="11"/>
      <color theme="1"/>
      <name val="微软雅黑"/>
      <charset val="134"/>
    </font>
    <font>
      <sz val="12"/>
      <color indexed="8"/>
      <name val="等线"/>
      <charset val="134"/>
    </font>
    <font>
      <sz val="12"/>
      <color rgb="FFFF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indexed="8"/>
      <name val="Helvetica"/>
      <charset val="134"/>
    </font>
    <font>
      <sz val="10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58">
    <xf numFmtId="0" fontId="0" fillId="0" borderId="0" xfId="0"/>
    <xf numFmtId="0" fontId="0" fillId="0" borderId="0" xfId="49">
      <alignment vertical="center"/>
    </xf>
    <xf numFmtId="0" fontId="0" fillId="2" borderId="0" xfId="49" applyFill="1">
      <alignment vertical="center"/>
    </xf>
    <xf numFmtId="0" fontId="0" fillId="3" borderId="0" xfId="49" applyFill="1">
      <alignment vertical="center"/>
    </xf>
    <xf numFmtId="0" fontId="1" fillId="0" borderId="0" xfId="49" applyFont="1">
      <alignment vertical="center"/>
    </xf>
    <xf numFmtId="0" fontId="1" fillId="2" borderId="0" xfId="49" applyFont="1" applyFill="1">
      <alignment vertical="center"/>
    </xf>
    <xf numFmtId="0" fontId="1" fillId="0" borderId="0" xfId="49" applyFont="1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1" fillId="0" borderId="0" xfId="0" applyFont="1"/>
    <xf numFmtId="0" fontId="0" fillId="0" borderId="0" xfId="49" applyAlignment="1"/>
    <xf numFmtId="0" fontId="0" fillId="6" borderId="0" xfId="49" applyFill="1" applyAlignment="1"/>
    <xf numFmtId="0" fontId="0" fillId="5" borderId="0" xfId="49" applyFill="1" applyAlignment="1"/>
    <xf numFmtId="0" fontId="2" fillId="0" borderId="0" xfId="49" applyFont="1" applyAlignment="1"/>
    <xf numFmtId="49" fontId="2" fillId="0" borderId="0" xfId="49" applyNumberFormat="1" applyFont="1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0" fontId="3" fillId="6" borderId="0" xfId="0" applyFont="1" applyFill="1"/>
    <xf numFmtId="0" fontId="4" fillId="0" borderId="0" xfId="0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3" fillId="0" borderId="0" xfId="50" applyFont="1" applyAlignment="1">
      <alignment horizontal="right" vertical="center"/>
    </xf>
    <xf numFmtId="0" fontId="3" fillId="0" borderId="0" xfId="49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49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2" fillId="0" borderId="0" xfId="49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Font="1"/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11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115" zoomScaleNormal="115" workbookViewId="0">
      <selection activeCell="F14" sqref="F14"/>
    </sheetView>
  </sheetViews>
  <sheetFormatPr defaultColWidth="11" defaultRowHeight="14.25" outlineLevelCol="6"/>
  <cols>
    <col min="1" max="16384" width="11" style="42"/>
  </cols>
  <sheetData>
    <row r="1" ht="15.75" spans="1:7">
      <c r="A1" s="49" t="s">
        <v>0</v>
      </c>
      <c r="B1" s="42" t="s">
        <v>1</v>
      </c>
      <c r="C1" s="44" t="s">
        <v>2</v>
      </c>
      <c r="D1" s="44" t="s">
        <v>3</v>
      </c>
      <c r="E1" s="42" t="s">
        <v>4</v>
      </c>
      <c r="F1" s="42" t="s">
        <v>5</v>
      </c>
      <c r="G1" s="42" t="s">
        <v>6</v>
      </c>
    </row>
    <row r="2" spans="1:7">
      <c r="A2" s="49" t="s">
        <v>7</v>
      </c>
      <c r="B2" s="46" t="s">
        <v>8</v>
      </c>
      <c r="C2" s="46" t="s">
        <v>9</v>
      </c>
      <c r="D2" s="46" t="s">
        <v>10</v>
      </c>
      <c r="E2" s="46" t="s">
        <v>11</v>
      </c>
      <c r="F2" s="46" t="s">
        <v>12</v>
      </c>
      <c r="G2" s="46" t="s">
        <v>13</v>
      </c>
    </row>
    <row r="3" spans="1:7">
      <c r="A3" s="49" t="s">
        <v>14</v>
      </c>
      <c r="B3" s="46" t="s">
        <v>15</v>
      </c>
      <c r="C3" s="46" t="s">
        <v>15</v>
      </c>
      <c r="D3" s="46" t="s">
        <v>15</v>
      </c>
      <c r="E3" s="46" t="s">
        <v>15</v>
      </c>
      <c r="F3" s="46" t="s">
        <v>15</v>
      </c>
      <c r="G3" s="46" t="s">
        <v>16</v>
      </c>
    </row>
    <row r="4" spans="1:7">
      <c r="A4" s="49" t="s">
        <v>17</v>
      </c>
      <c r="B4" s="46" t="s">
        <v>18</v>
      </c>
      <c r="C4" s="46" t="s">
        <v>18</v>
      </c>
      <c r="D4" s="46" t="s">
        <v>18</v>
      </c>
      <c r="E4" s="46" t="s">
        <v>18</v>
      </c>
      <c r="F4" s="46" t="s">
        <v>18</v>
      </c>
      <c r="G4" s="46" t="s">
        <v>18</v>
      </c>
    </row>
    <row r="5" spans="1:7">
      <c r="A5" s="49" t="s">
        <v>19</v>
      </c>
      <c r="B5" s="46"/>
      <c r="C5" s="46">
        <v>0</v>
      </c>
      <c r="D5" s="46">
        <v>100</v>
      </c>
      <c r="E5" s="46">
        <v>0</v>
      </c>
      <c r="F5" s="46">
        <v>0</v>
      </c>
      <c r="G5" s="46"/>
    </row>
    <row r="6" ht="16.5" spans="1:7">
      <c r="A6" s="49"/>
      <c r="B6" s="34">
        <v>1124</v>
      </c>
      <c r="C6" s="51">
        <v>1</v>
      </c>
      <c r="D6" s="51">
        <v>100</v>
      </c>
      <c r="E6" s="52">
        <v>0</v>
      </c>
      <c r="F6" s="52"/>
      <c r="G6" s="52"/>
    </row>
    <row r="7" ht="16.5" spans="1:7">
      <c r="A7" s="49"/>
      <c r="B7" s="34">
        <v>1125</v>
      </c>
      <c r="C7" s="53">
        <v>2</v>
      </c>
      <c r="D7" s="53">
        <v>100</v>
      </c>
      <c r="E7" s="54">
        <v>0</v>
      </c>
      <c r="F7" s="54"/>
      <c r="G7" s="54"/>
    </row>
    <row r="8" ht="16.5" spans="1:7">
      <c r="A8" s="49"/>
      <c r="B8" s="34">
        <v>1126</v>
      </c>
      <c r="C8" s="53">
        <v>3</v>
      </c>
      <c r="D8" s="51">
        <v>100</v>
      </c>
      <c r="E8" s="55">
        <v>0</v>
      </c>
      <c r="F8" s="55"/>
      <c r="G8" s="55"/>
    </row>
    <row r="9" ht="16.5" spans="1:7">
      <c r="A9" s="49"/>
      <c r="B9" s="34">
        <v>1127</v>
      </c>
      <c r="C9" s="51">
        <v>4</v>
      </c>
      <c r="D9" s="53">
        <v>100</v>
      </c>
      <c r="E9" s="56">
        <v>0</v>
      </c>
      <c r="F9" s="56"/>
      <c r="G9" s="56"/>
    </row>
    <row r="10" ht="16.5" spans="1:7">
      <c r="A10" s="49"/>
      <c r="B10" s="34">
        <v>1128</v>
      </c>
      <c r="C10" s="53">
        <v>5</v>
      </c>
      <c r="D10" s="51">
        <v>100</v>
      </c>
      <c r="E10" s="56">
        <v>0</v>
      </c>
      <c r="F10" s="56"/>
      <c r="G10" s="56"/>
    </row>
    <row r="11" ht="16.5" spans="1:7">
      <c r="A11" s="49"/>
      <c r="B11" s="34">
        <v>1129</v>
      </c>
      <c r="C11" s="53">
        <v>6</v>
      </c>
      <c r="D11" s="53">
        <v>100</v>
      </c>
      <c r="E11" s="57">
        <v>0</v>
      </c>
      <c r="F11" s="57"/>
      <c r="G11" s="57"/>
    </row>
    <row r="12" ht="16.5" spans="1:7">
      <c r="A12" s="49"/>
      <c r="B12" s="34">
        <v>1130</v>
      </c>
      <c r="C12" s="51">
        <v>7</v>
      </c>
      <c r="D12" s="51">
        <v>100</v>
      </c>
      <c r="E12" s="57">
        <v>0</v>
      </c>
      <c r="F12" s="57"/>
      <c r="G12" s="57"/>
    </row>
    <row r="13" ht="16.5" spans="1:7">
      <c r="A13" s="49"/>
      <c r="B13" s="34"/>
      <c r="C13" s="53"/>
      <c r="D13" s="53"/>
      <c r="E13" s="57"/>
      <c r="F13" s="57"/>
      <c r="G13" s="57"/>
    </row>
    <row r="14" ht="16.5" spans="1:7">
      <c r="A14" s="49"/>
      <c r="B14" s="34"/>
      <c r="C14" s="53"/>
      <c r="D14" s="51"/>
      <c r="E14" s="52"/>
      <c r="F14" s="52"/>
      <c r="G14" s="52"/>
    </row>
    <row r="15" ht="16.5" spans="1:7">
      <c r="A15" s="49"/>
      <c r="B15" s="34"/>
      <c r="C15" s="51"/>
      <c r="D15" s="53"/>
      <c r="E15" s="57"/>
      <c r="F15" s="57"/>
      <c r="G15" s="57"/>
    </row>
    <row r="16" ht="16.5" spans="2:5">
      <c r="B16" s="34"/>
      <c r="C16" s="51"/>
      <c r="D16" s="51"/>
      <c r="E16" s="52"/>
    </row>
    <row r="17" ht="16.5" spans="2:5">
      <c r="B17" s="34"/>
      <c r="C17" s="53"/>
      <c r="D17" s="53"/>
      <c r="E17" s="54"/>
    </row>
    <row r="18" ht="16.5" spans="2:5">
      <c r="B18" s="34"/>
      <c r="C18" s="53"/>
      <c r="D18" s="51"/>
      <c r="E18" s="55"/>
    </row>
    <row r="19" ht="16.5" spans="2:5">
      <c r="B19" s="34"/>
      <c r="C19" s="51"/>
      <c r="D19" s="53"/>
      <c r="E19" s="5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E30" sqref="E30"/>
    </sheetView>
  </sheetViews>
  <sheetFormatPr defaultColWidth="11" defaultRowHeight="14.25" outlineLevelCol="4"/>
  <cols>
    <col min="1" max="2" width="11" style="8"/>
    <col min="3" max="3" width="26.8833333333333" style="42" customWidth="1"/>
    <col min="4" max="4" width="15.375" style="42" customWidth="1"/>
    <col min="5" max="5" width="16.775" style="43" customWidth="1"/>
    <col min="8" max="16384" width="11" style="8"/>
  </cols>
  <sheetData>
    <row r="1" ht="15.75" spans="1:5">
      <c r="A1" t="s">
        <v>0</v>
      </c>
      <c r="B1" t="s">
        <v>20</v>
      </c>
      <c r="C1" s="42" t="s">
        <v>21</v>
      </c>
      <c r="D1" s="44" t="s">
        <v>22</v>
      </c>
      <c r="E1" s="45" t="s">
        <v>23</v>
      </c>
    </row>
    <row r="2" spans="1:5">
      <c r="A2" t="s">
        <v>7</v>
      </c>
      <c r="B2" s="46" t="s">
        <v>8</v>
      </c>
      <c r="C2" s="46" t="s">
        <v>24</v>
      </c>
      <c r="D2" s="46" t="s">
        <v>25</v>
      </c>
      <c r="E2" s="47" t="s">
        <v>26</v>
      </c>
    </row>
    <row r="3" spans="1:5">
      <c r="A3" t="s">
        <v>14</v>
      </c>
      <c r="B3" s="46" t="s">
        <v>15</v>
      </c>
      <c r="C3" s="46" t="s">
        <v>15</v>
      </c>
      <c r="D3" s="46" t="s">
        <v>15</v>
      </c>
      <c r="E3" s="48" t="s">
        <v>27</v>
      </c>
    </row>
    <row r="4" spans="1:5">
      <c r="A4" t="s">
        <v>17</v>
      </c>
      <c r="B4" s="46" t="s">
        <v>18</v>
      </c>
      <c r="C4" s="46" t="s">
        <v>18</v>
      </c>
      <c r="D4" s="46" t="s">
        <v>18</v>
      </c>
      <c r="E4" s="47" t="s">
        <v>18</v>
      </c>
    </row>
    <row r="5" spans="1:5">
      <c r="A5" t="s">
        <v>19</v>
      </c>
      <c r="B5" s="46"/>
      <c r="C5" s="46"/>
      <c r="D5" s="46">
        <v>0</v>
      </c>
      <c r="E5" s="47">
        <v>0</v>
      </c>
    </row>
    <row r="6" spans="2:5">
      <c r="B6" s="8">
        <v>1</v>
      </c>
      <c r="C6" s="49">
        <v>1</v>
      </c>
      <c r="D6" s="49">
        <v>20</v>
      </c>
      <c r="E6" s="43" t="s">
        <v>28</v>
      </c>
    </row>
    <row r="7" spans="2:5">
      <c r="B7" s="8">
        <v>2</v>
      </c>
      <c r="C7" s="49">
        <v>1</v>
      </c>
      <c r="D7" s="49">
        <v>40</v>
      </c>
      <c r="E7" s="43" t="s">
        <v>28</v>
      </c>
    </row>
    <row r="8" s="7" customFormat="1" ht="15.75" spans="2:5">
      <c r="B8" s="7">
        <v>3</v>
      </c>
      <c r="C8" s="44">
        <v>1</v>
      </c>
      <c r="D8" s="44">
        <v>60</v>
      </c>
      <c r="E8" s="43" t="s">
        <v>28</v>
      </c>
    </row>
    <row r="9" s="7" customFormat="1" ht="15.75" spans="2:5">
      <c r="B9" s="8">
        <v>4</v>
      </c>
      <c r="C9" s="44">
        <v>1</v>
      </c>
      <c r="D9" s="44">
        <v>80</v>
      </c>
      <c r="E9" s="43" t="s">
        <v>28</v>
      </c>
    </row>
    <row r="10" s="7" customFormat="1" ht="15.75" spans="2:5">
      <c r="B10" s="8">
        <v>5</v>
      </c>
      <c r="C10" s="49">
        <v>1</v>
      </c>
      <c r="D10" s="44">
        <v>100</v>
      </c>
      <c r="E10" s="43" t="s">
        <v>29</v>
      </c>
    </row>
    <row r="11" s="7" customFormat="1" ht="15.75" spans="2:5">
      <c r="B11" s="7">
        <v>6</v>
      </c>
      <c r="C11" s="44">
        <v>2</v>
      </c>
      <c r="D11" s="44">
        <v>105</v>
      </c>
      <c r="E11" s="43" t="s">
        <v>28</v>
      </c>
    </row>
    <row r="12" ht="15.75" spans="2:5">
      <c r="B12" s="8">
        <v>7</v>
      </c>
      <c r="C12" s="44">
        <v>2</v>
      </c>
      <c r="D12" s="44">
        <v>210</v>
      </c>
      <c r="E12" s="43" t="s">
        <v>28</v>
      </c>
    </row>
    <row r="13" s="7" customFormat="1" ht="15.75" spans="2:5">
      <c r="B13" s="8">
        <v>8</v>
      </c>
      <c r="C13" s="44">
        <v>2</v>
      </c>
      <c r="D13" s="44">
        <v>315</v>
      </c>
      <c r="E13" s="43" t="s">
        <v>28</v>
      </c>
    </row>
    <row r="14" s="7" customFormat="1" ht="15.75" spans="2:5">
      <c r="B14" s="7">
        <v>9</v>
      </c>
      <c r="C14" s="44">
        <v>2</v>
      </c>
      <c r="D14" s="44">
        <v>420</v>
      </c>
      <c r="E14" s="43" t="s">
        <v>28</v>
      </c>
    </row>
    <row r="15" s="7" customFormat="1" ht="15.75" spans="2:5">
      <c r="B15" s="8">
        <v>10</v>
      </c>
      <c r="C15" s="44">
        <v>2</v>
      </c>
      <c r="D15" s="44">
        <v>525</v>
      </c>
      <c r="E15" s="43" t="s">
        <v>29</v>
      </c>
    </row>
    <row r="16" s="7" customFormat="1" ht="15.75" spans="3:5">
      <c r="C16" s="44"/>
      <c r="D16" s="44"/>
      <c r="E16" s="50"/>
    </row>
    <row r="17" ht="15.75" spans="3:5">
      <c r="C17" s="49"/>
      <c r="D17" s="44"/>
      <c r="E17" s="45"/>
    </row>
    <row r="18" s="7" customFormat="1" ht="15.75" spans="3:5">
      <c r="C18" s="44"/>
      <c r="D18" s="44"/>
      <c r="E18" s="50"/>
    </row>
    <row r="19" spans="3:5">
      <c r="C19" s="49"/>
      <c r="D19" s="49"/>
      <c r="E19" s="45"/>
    </row>
    <row r="20" spans="3:5">
      <c r="C20" s="49"/>
      <c r="D20" s="49"/>
      <c r="E20" s="45"/>
    </row>
    <row r="21" spans="3:5">
      <c r="C21" s="49"/>
      <c r="D21" s="49"/>
      <c r="E21" s="45"/>
    </row>
    <row r="22" spans="3:5">
      <c r="C22" s="49"/>
      <c r="D22" s="49"/>
      <c r="E22" s="45"/>
    </row>
    <row r="23" spans="3:5">
      <c r="C23" s="49"/>
      <c r="D23" s="49"/>
      <c r="E23" s="45"/>
    </row>
    <row r="24" spans="3:5">
      <c r="C24" s="49"/>
      <c r="D24" s="49"/>
      <c r="E24" s="45"/>
    </row>
    <row r="25" spans="3:5">
      <c r="C25" s="49"/>
      <c r="D25" s="49"/>
      <c r="E25" s="45"/>
    </row>
    <row r="26" spans="3:5">
      <c r="C26" s="49"/>
      <c r="D26" s="49"/>
      <c r="E26" s="45"/>
    </row>
    <row r="27" spans="3:5">
      <c r="C27" s="49"/>
      <c r="D27" s="49"/>
      <c r="E27" s="45"/>
    </row>
    <row r="28" spans="3:5">
      <c r="C28" s="49"/>
      <c r="D28" s="49"/>
      <c r="E28" s="45"/>
    </row>
    <row r="29" spans="3:5">
      <c r="C29" s="49"/>
      <c r="D29" s="49"/>
      <c r="E29" s="45"/>
    </row>
    <row r="30" spans="3:5">
      <c r="C30" s="49"/>
      <c r="D30" s="49"/>
      <c r="E30" s="45"/>
    </row>
    <row r="31" spans="3:5">
      <c r="C31" s="49"/>
      <c r="D31" s="49"/>
      <c r="E31" s="45"/>
    </row>
    <row r="32" spans="3:5">
      <c r="C32" s="49"/>
      <c r="D32" s="49"/>
      <c r="E32" s="45"/>
    </row>
    <row r="33" spans="3:5">
      <c r="C33" s="49"/>
      <c r="D33" s="49"/>
      <c r="E33" s="45"/>
    </row>
    <row r="34" spans="3:5">
      <c r="C34" s="49"/>
      <c r="D34" s="49"/>
      <c r="E34" s="45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opLeftCell="A13" workbookViewId="0">
      <selection activeCell="B65" sqref="B65"/>
    </sheetView>
  </sheetViews>
  <sheetFormatPr defaultColWidth="11" defaultRowHeight="14.25"/>
  <cols>
    <col min="1" max="1" width="11" style="8"/>
    <col min="2" max="2" width="26.8833333333333" style="8" customWidth="1"/>
    <col min="3" max="3" width="14" style="8" customWidth="1"/>
    <col min="4" max="4" width="12.2166666666667" style="8" customWidth="1"/>
    <col min="5" max="5" width="14.2166666666667" style="8" customWidth="1"/>
    <col min="6" max="6" width="13" style="8" customWidth="1"/>
    <col min="7" max="7" width="14.2166666666667" style="8" customWidth="1"/>
    <col min="8" max="8" width="31.8833333333333" style="8" customWidth="1"/>
    <col min="9" max="9" width="17.4416666666667" style="8" customWidth="1"/>
    <col min="10" max="10" width="14.775" style="8" customWidth="1"/>
    <col min="11" max="11" width="12.8833333333333" style="8" customWidth="1"/>
    <col min="12" max="12" width="15.775" style="8" customWidth="1"/>
    <col min="13" max="13" width="11" style="8" customWidth="1"/>
    <col min="14" max="16384" width="11" style="8"/>
  </cols>
  <sheetData>
    <row r="1" spans="1:13">
      <c r="A1" t="s">
        <v>0</v>
      </c>
      <c r="B1" t="s">
        <v>30</v>
      </c>
      <c r="C1" t="s">
        <v>31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>
      <c r="A2" t="s">
        <v>7</v>
      </c>
      <c r="B2" s="11" t="s">
        <v>8</v>
      </c>
      <c r="C2" s="11" t="s">
        <v>41</v>
      </c>
      <c r="D2" s="11" t="s">
        <v>42</v>
      </c>
      <c r="E2" s="11" t="s">
        <v>24</v>
      </c>
      <c r="F2" s="11" t="s">
        <v>43</v>
      </c>
      <c r="G2" s="10"/>
      <c r="H2" s="11" t="s">
        <v>44</v>
      </c>
      <c r="I2" s="10"/>
      <c r="J2" s="11" t="s">
        <v>45</v>
      </c>
      <c r="K2" s="11" t="s">
        <v>46</v>
      </c>
      <c r="L2" s="11" t="s">
        <v>47</v>
      </c>
      <c r="M2" s="11" t="s">
        <v>48</v>
      </c>
    </row>
    <row r="3" spans="1:13">
      <c r="A3" t="s">
        <v>14</v>
      </c>
      <c r="B3" s="11" t="s">
        <v>15</v>
      </c>
      <c r="C3" s="11" t="s">
        <v>15</v>
      </c>
      <c r="D3" s="11" t="s">
        <v>15</v>
      </c>
      <c r="E3" s="11" t="s">
        <v>15</v>
      </c>
      <c r="F3" s="11" t="s">
        <v>15</v>
      </c>
      <c r="G3" s="10" t="s">
        <v>16</v>
      </c>
      <c r="H3" s="11" t="s">
        <v>15</v>
      </c>
      <c r="I3" s="10" t="s">
        <v>16</v>
      </c>
      <c r="J3" s="11" t="s">
        <v>15</v>
      </c>
      <c r="K3" s="11" t="s">
        <v>16</v>
      </c>
      <c r="L3" s="11" t="s">
        <v>16</v>
      </c>
      <c r="M3" s="11" t="s">
        <v>15</v>
      </c>
    </row>
    <row r="4" spans="1:13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18</v>
      </c>
    </row>
    <row r="5" spans="1:13">
      <c r="A5" t="s">
        <v>19</v>
      </c>
      <c r="B5" s="11"/>
      <c r="C5" s="11">
        <v>1</v>
      </c>
      <c r="D5" s="11">
        <v>1</v>
      </c>
      <c r="E5" s="11">
        <v>1</v>
      </c>
      <c r="F5" s="11">
        <v>0</v>
      </c>
      <c r="G5" s="10">
        <v>0</v>
      </c>
      <c r="H5" s="11">
        <v>0</v>
      </c>
      <c r="I5" s="10">
        <v>0</v>
      </c>
      <c r="J5" s="11">
        <v>0</v>
      </c>
      <c r="K5" s="11">
        <v>0</v>
      </c>
      <c r="L5" s="11" t="s">
        <v>49</v>
      </c>
      <c r="M5" s="11">
        <v>0</v>
      </c>
    </row>
    <row r="6" spans="1:13">
      <c r="A6" t="s">
        <v>50</v>
      </c>
      <c r="B6">
        <v>1</v>
      </c>
      <c r="C6">
        <v>1</v>
      </c>
      <c r="D6">
        <v>1</v>
      </c>
      <c r="E6">
        <v>1</v>
      </c>
      <c r="F6">
        <v>405011</v>
      </c>
      <c r="G6" t="s">
        <v>51</v>
      </c>
      <c r="H6">
        <v>405012</v>
      </c>
      <c r="I6" t="s">
        <v>52</v>
      </c>
      <c r="J6" s="8">
        <v>1</v>
      </c>
      <c r="K6" s="8">
        <v>10</v>
      </c>
      <c r="L6" t="s">
        <v>49</v>
      </c>
      <c r="M6" s="8">
        <v>10</v>
      </c>
    </row>
    <row r="7" spans="2:13">
      <c r="B7">
        <v>2</v>
      </c>
      <c r="C7">
        <v>1</v>
      </c>
      <c r="D7">
        <v>2</v>
      </c>
      <c r="E7">
        <v>1</v>
      </c>
      <c r="F7">
        <v>405021</v>
      </c>
      <c r="G7" t="s">
        <v>53</v>
      </c>
      <c r="H7">
        <v>405022</v>
      </c>
      <c r="I7" t="s">
        <v>54</v>
      </c>
      <c r="J7" s="8">
        <v>1</v>
      </c>
      <c r="K7" s="8">
        <v>30</v>
      </c>
      <c r="L7" t="s">
        <v>55</v>
      </c>
      <c r="M7" s="8">
        <v>50</v>
      </c>
    </row>
    <row r="8" spans="2:13">
      <c r="B8">
        <v>3</v>
      </c>
      <c r="C8">
        <v>1</v>
      </c>
      <c r="D8">
        <v>3</v>
      </c>
      <c r="E8">
        <v>1</v>
      </c>
      <c r="F8">
        <v>405031</v>
      </c>
      <c r="G8" t="s">
        <v>56</v>
      </c>
      <c r="H8">
        <v>405032</v>
      </c>
      <c r="I8" t="s">
        <v>57</v>
      </c>
      <c r="J8" s="8">
        <v>1</v>
      </c>
      <c r="K8" s="8">
        <v>60</v>
      </c>
      <c r="L8" t="s">
        <v>58</v>
      </c>
      <c r="M8" s="8">
        <v>100</v>
      </c>
    </row>
    <row r="9" spans="2:13">
      <c r="B9">
        <v>4</v>
      </c>
      <c r="C9">
        <v>2</v>
      </c>
      <c r="D9">
        <v>1</v>
      </c>
      <c r="E9">
        <v>1</v>
      </c>
      <c r="F9">
        <v>405041</v>
      </c>
      <c r="G9" t="s">
        <v>59</v>
      </c>
      <c r="H9">
        <v>405042</v>
      </c>
      <c r="I9" t="s">
        <v>60</v>
      </c>
      <c r="J9" s="8">
        <v>2</v>
      </c>
      <c r="K9">
        <v>5</v>
      </c>
      <c r="L9" t="s">
        <v>61</v>
      </c>
      <c r="M9" s="8">
        <v>10</v>
      </c>
    </row>
    <row r="10" spans="2:13">
      <c r="B10">
        <v>5</v>
      </c>
      <c r="C10">
        <v>2</v>
      </c>
      <c r="D10">
        <v>2</v>
      </c>
      <c r="E10">
        <v>1</v>
      </c>
      <c r="F10">
        <v>405051</v>
      </c>
      <c r="G10" t="s">
        <v>62</v>
      </c>
      <c r="H10">
        <v>405052</v>
      </c>
      <c r="I10" t="s">
        <v>63</v>
      </c>
      <c r="J10" s="8">
        <v>2</v>
      </c>
      <c r="K10">
        <v>6</v>
      </c>
      <c r="L10" t="s">
        <v>64</v>
      </c>
      <c r="M10" s="8">
        <v>50</v>
      </c>
    </row>
    <row r="11" spans="2:13">
      <c r="B11">
        <v>6</v>
      </c>
      <c r="C11">
        <v>2</v>
      </c>
      <c r="D11">
        <v>3</v>
      </c>
      <c r="E11">
        <v>1</v>
      </c>
      <c r="F11">
        <v>405061</v>
      </c>
      <c r="G11" t="s">
        <v>65</v>
      </c>
      <c r="H11">
        <v>405062</v>
      </c>
      <c r="I11" t="s">
        <v>66</v>
      </c>
      <c r="J11" s="8">
        <v>2</v>
      </c>
      <c r="K11">
        <v>7</v>
      </c>
      <c r="L11" t="s">
        <v>67</v>
      </c>
      <c r="M11" s="8">
        <v>100</v>
      </c>
    </row>
    <row r="12" spans="2:13">
      <c r="B12">
        <v>7</v>
      </c>
      <c r="C12">
        <v>3</v>
      </c>
      <c r="D12">
        <v>1</v>
      </c>
      <c r="E12">
        <v>1</v>
      </c>
      <c r="F12">
        <v>405071</v>
      </c>
      <c r="G12" t="s">
        <v>68</v>
      </c>
      <c r="H12">
        <v>405072</v>
      </c>
      <c r="I12" t="s">
        <v>69</v>
      </c>
      <c r="J12" s="8">
        <v>3</v>
      </c>
      <c r="K12">
        <v>3</v>
      </c>
      <c r="L12" t="s">
        <v>70</v>
      </c>
      <c r="M12" s="8">
        <v>10</v>
      </c>
    </row>
    <row r="13" spans="2:13">
      <c r="B13">
        <v>8</v>
      </c>
      <c r="C13">
        <v>3</v>
      </c>
      <c r="D13">
        <v>2</v>
      </c>
      <c r="E13">
        <v>1</v>
      </c>
      <c r="F13">
        <v>405081</v>
      </c>
      <c r="G13" t="s">
        <v>71</v>
      </c>
      <c r="H13">
        <v>405082</v>
      </c>
      <c r="I13" t="s">
        <v>72</v>
      </c>
      <c r="J13" s="8">
        <v>3</v>
      </c>
      <c r="K13">
        <v>10</v>
      </c>
      <c r="L13" t="s">
        <v>73</v>
      </c>
      <c r="M13" s="8">
        <v>50</v>
      </c>
    </row>
    <row r="14" spans="2:13">
      <c r="B14">
        <v>9</v>
      </c>
      <c r="C14">
        <v>3</v>
      </c>
      <c r="D14">
        <v>3</v>
      </c>
      <c r="E14">
        <v>1</v>
      </c>
      <c r="F14">
        <v>405091</v>
      </c>
      <c r="G14" t="s">
        <v>74</v>
      </c>
      <c r="H14">
        <v>405092</v>
      </c>
      <c r="I14" t="s">
        <v>75</v>
      </c>
      <c r="J14" s="8">
        <v>3</v>
      </c>
      <c r="K14">
        <v>30</v>
      </c>
      <c r="L14" t="s">
        <v>76</v>
      </c>
      <c r="M14" s="8">
        <v>100</v>
      </c>
    </row>
    <row r="15" customFormat="1" spans="2:13">
      <c r="B15">
        <v>10</v>
      </c>
      <c r="C15">
        <v>4</v>
      </c>
      <c r="D15">
        <v>1</v>
      </c>
      <c r="E15">
        <v>1</v>
      </c>
      <c r="F15">
        <v>405101</v>
      </c>
      <c r="G15" t="s">
        <v>77</v>
      </c>
      <c r="H15">
        <v>405102</v>
      </c>
      <c r="I15" t="s">
        <v>78</v>
      </c>
      <c r="J15">
        <v>4</v>
      </c>
      <c r="K15">
        <v>10</v>
      </c>
      <c r="L15" t="s">
        <v>79</v>
      </c>
      <c r="M15">
        <v>10</v>
      </c>
    </row>
    <row r="16" customFormat="1" spans="2:13">
      <c r="B16">
        <v>11</v>
      </c>
      <c r="C16">
        <v>4</v>
      </c>
      <c r="D16">
        <v>2</v>
      </c>
      <c r="E16">
        <v>1</v>
      </c>
      <c r="F16">
        <v>405111</v>
      </c>
      <c r="G16" t="s">
        <v>80</v>
      </c>
      <c r="H16">
        <v>405112</v>
      </c>
      <c r="I16" t="s">
        <v>81</v>
      </c>
      <c r="J16">
        <v>4</v>
      </c>
      <c r="K16">
        <v>50</v>
      </c>
      <c r="L16" t="s">
        <v>82</v>
      </c>
      <c r="M16">
        <v>50</v>
      </c>
    </row>
    <row r="17" customFormat="1" spans="2:13">
      <c r="B17">
        <v>12</v>
      </c>
      <c r="C17">
        <v>4</v>
      </c>
      <c r="D17">
        <v>3</v>
      </c>
      <c r="E17">
        <v>1</v>
      </c>
      <c r="F17">
        <v>405121</v>
      </c>
      <c r="G17" t="s">
        <v>83</v>
      </c>
      <c r="H17">
        <v>405122</v>
      </c>
      <c r="I17" t="s">
        <v>84</v>
      </c>
      <c r="J17">
        <v>4</v>
      </c>
      <c r="K17">
        <v>100</v>
      </c>
      <c r="L17" t="s">
        <v>85</v>
      </c>
      <c r="M17">
        <v>100</v>
      </c>
    </row>
    <row r="18" customFormat="1" spans="2:13">
      <c r="B18" s="10">
        <v>13</v>
      </c>
      <c r="C18">
        <v>5</v>
      </c>
      <c r="D18">
        <v>1</v>
      </c>
      <c r="E18">
        <v>1</v>
      </c>
      <c r="F18">
        <v>405131</v>
      </c>
      <c r="G18" t="s">
        <v>86</v>
      </c>
      <c r="H18">
        <v>405132</v>
      </c>
      <c r="I18" t="s">
        <v>87</v>
      </c>
      <c r="J18">
        <v>5</v>
      </c>
      <c r="K18">
        <v>5</v>
      </c>
      <c r="L18" t="s">
        <v>88</v>
      </c>
      <c r="M18">
        <v>10</v>
      </c>
    </row>
    <row r="19" customFormat="1" spans="2:13">
      <c r="B19" s="10">
        <v>14</v>
      </c>
      <c r="C19">
        <v>5</v>
      </c>
      <c r="D19">
        <v>2</v>
      </c>
      <c r="E19">
        <v>1</v>
      </c>
      <c r="F19">
        <v>405141</v>
      </c>
      <c r="G19" t="s">
        <v>89</v>
      </c>
      <c r="H19">
        <v>405142</v>
      </c>
      <c r="I19" t="s">
        <v>90</v>
      </c>
      <c r="J19">
        <v>5</v>
      </c>
      <c r="K19">
        <v>15</v>
      </c>
      <c r="L19" t="s">
        <v>91</v>
      </c>
      <c r="M19">
        <v>50</v>
      </c>
    </row>
    <row r="20" customFormat="1" spans="2:13">
      <c r="B20" s="10">
        <v>15</v>
      </c>
      <c r="C20">
        <v>5</v>
      </c>
      <c r="D20">
        <v>3</v>
      </c>
      <c r="E20">
        <v>1</v>
      </c>
      <c r="F20">
        <v>405151</v>
      </c>
      <c r="G20" t="s">
        <v>92</v>
      </c>
      <c r="H20">
        <v>405152</v>
      </c>
      <c r="I20" t="s">
        <v>93</v>
      </c>
      <c r="J20">
        <v>5</v>
      </c>
      <c r="K20">
        <v>30</v>
      </c>
      <c r="L20" t="s">
        <v>94</v>
      </c>
      <c r="M20">
        <v>100</v>
      </c>
    </row>
    <row r="21" customFormat="1" spans="2:13">
      <c r="B21">
        <v>16</v>
      </c>
      <c r="C21">
        <v>6</v>
      </c>
      <c r="D21">
        <v>1</v>
      </c>
      <c r="E21">
        <v>1</v>
      </c>
      <c r="F21">
        <v>405161</v>
      </c>
      <c r="G21" t="s">
        <v>95</v>
      </c>
      <c r="H21">
        <v>405162</v>
      </c>
      <c r="I21" t="s">
        <v>96</v>
      </c>
      <c r="J21">
        <v>6</v>
      </c>
      <c r="K21">
        <v>10000</v>
      </c>
      <c r="L21" t="s">
        <v>97</v>
      </c>
      <c r="M21">
        <v>10</v>
      </c>
    </row>
    <row r="22" customFormat="1" spans="2:13">
      <c r="B22">
        <v>17</v>
      </c>
      <c r="C22">
        <v>6</v>
      </c>
      <c r="D22">
        <v>2</v>
      </c>
      <c r="E22">
        <v>1</v>
      </c>
      <c r="F22">
        <v>405171</v>
      </c>
      <c r="G22" t="s">
        <v>98</v>
      </c>
      <c r="H22">
        <v>405172</v>
      </c>
      <c r="I22" t="s">
        <v>99</v>
      </c>
      <c r="J22">
        <v>6</v>
      </c>
      <c r="K22">
        <v>50000</v>
      </c>
      <c r="L22" t="s">
        <v>100</v>
      </c>
      <c r="M22">
        <v>50</v>
      </c>
    </row>
    <row r="23" customFormat="1" spans="2:13">
      <c r="B23">
        <v>18</v>
      </c>
      <c r="C23">
        <v>6</v>
      </c>
      <c r="D23">
        <v>3</v>
      </c>
      <c r="E23">
        <v>1</v>
      </c>
      <c r="F23">
        <v>405181</v>
      </c>
      <c r="G23" t="s">
        <v>101</v>
      </c>
      <c r="H23">
        <v>405182</v>
      </c>
      <c r="I23" t="s">
        <v>102</v>
      </c>
      <c r="J23">
        <v>6</v>
      </c>
      <c r="K23">
        <v>100000</v>
      </c>
      <c r="L23" t="s">
        <v>103</v>
      </c>
      <c r="M23">
        <v>100</v>
      </c>
    </row>
    <row r="24" customFormat="1" spans="2:13">
      <c r="B24">
        <v>19</v>
      </c>
      <c r="C24">
        <v>7</v>
      </c>
      <c r="D24">
        <v>1</v>
      </c>
      <c r="E24">
        <v>1</v>
      </c>
      <c r="F24">
        <v>405191</v>
      </c>
      <c r="G24" t="s">
        <v>104</v>
      </c>
      <c r="H24">
        <v>405192</v>
      </c>
      <c r="I24" t="s">
        <v>105</v>
      </c>
      <c r="J24">
        <v>7</v>
      </c>
      <c r="K24">
        <v>1</v>
      </c>
      <c r="L24" t="s">
        <v>106</v>
      </c>
      <c r="M24">
        <v>10</v>
      </c>
    </row>
    <row r="25" customFormat="1" spans="2:13">
      <c r="B25">
        <v>20</v>
      </c>
      <c r="C25">
        <v>7</v>
      </c>
      <c r="D25">
        <v>2</v>
      </c>
      <c r="E25">
        <v>1</v>
      </c>
      <c r="F25">
        <v>405201</v>
      </c>
      <c r="G25" t="s">
        <v>107</v>
      </c>
      <c r="H25">
        <v>405202</v>
      </c>
      <c r="I25" t="s">
        <v>108</v>
      </c>
      <c r="J25">
        <v>7</v>
      </c>
      <c r="K25">
        <v>4</v>
      </c>
      <c r="L25" t="s">
        <v>109</v>
      </c>
      <c r="M25">
        <v>50</v>
      </c>
    </row>
    <row r="26" customFormat="1" spans="2:13">
      <c r="B26">
        <v>21</v>
      </c>
      <c r="C26">
        <v>7</v>
      </c>
      <c r="D26">
        <v>3</v>
      </c>
      <c r="E26">
        <v>1</v>
      </c>
      <c r="F26">
        <v>405211</v>
      </c>
      <c r="G26" t="s">
        <v>110</v>
      </c>
      <c r="H26">
        <v>405212</v>
      </c>
      <c r="I26" t="s">
        <v>111</v>
      </c>
      <c r="J26">
        <v>7</v>
      </c>
      <c r="K26">
        <v>8</v>
      </c>
      <c r="L26" t="s">
        <v>112</v>
      </c>
      <c r="M26">
        <v>100</v>
      </c>
    </row>
    <row r="27" spans="2:13">
      <c r="B27">
        <v>22</v>
      </c>
      <c r="C27">
        <v>8</v>
      </c>
      <c r="D27">
        <v>1</v>
      </c>
      <c r="E27">
        <v>1</v>
      </c>
      <c r="F27">
        <v>405221</v>
      </c>
      <c r="G27" t="s">
        <v>113</v>
      </c>
      <c r="H27">
        <v>405222</v>
      </c>
      <c r="I27" t="s">
        <v>114</v>
      </c>
      <c r="J27">
        <v>8</v>
      </c>
      <c r="K27">
        <v>100000</v>
      </c>
      <c r="L27" t="s">
        <v>115</v>
      </c>
      <c r="M27" s="8">
        <v>10</v>
      </c>
    </row>
    <row r="28" spans="2:13">
      <c r="B28">
        <v>23</v>
      </c>
      <c r="C28">
        <v>8</v>
      </c>
      <c r="D28">
        <v>2</v>
      </c>
      <c r="E28">
        <v>1</v>
      </c>
      <c r="F28">
        <v>405231</v>
      </c>
      <c r="G28" t="s">
        <v>116</v>
      </c>
      <c r="H28">
        <v>405232</v>
      </c>
      <c r="I28" t="s">
        <v>117</v>
      </c>
      <c r="J28">
        <v>8</v>
      </c>
      <c r="K28">
        <v>5000000</v>
      </c>
      <c r="L28" t="s">
        <v>118</v>
      </c>
      <c r="M28" s="8">
        <v>50</v>
      </c>
    </row>
    <row r="29" spans="2:13">
      <c r="B29">
        <v>24</v>
      </c>
      <c r="C29">
        <v>8</v>
      </c>
      <c r="D29">
        <v>3</v>
      </c>
      <c r="E29">
        <v>1</v>
      </c>
      <c r="F29">
        <v>405241</v>
      </c>
      <c r="G29" t="s">
        <v>119</v>
      </c>
      <c r="H29">
        <v>405242</v>
      </c>
      <c r="I29" t="s">
        <v>120</v>
      </c>
      <c r="J29">
        <v>8</v>
      </c>
      <c r="K29">
        <v>100000000</v>
      </c>
      <c r="L29" t="s">
        <v>121</v>
      </c>
      <c r="M29" s="8">
        <v>100</v>
      </c>
    </row>
    <row r="30" s="10" customFormat="1" spans="1:13">
      <c r="A30" t="s">
        <v>19</v>
      </c>
      <c r="B30" s="10">
        <v>25</v>
      </c>
      <c r="C30" s="10">
        <v>9</v>
      </c>
      <c r="D30" s="10">
        <v>1</v>
      </c>
      <c r="E30" s="10">
        <v>1</v>
      </c>
      <c r="F30">
        <v>405251</v>
      </c>
      <c r="G30" s="10" t="s">
        <v>122</v>
      </c>
      <c r="H30">
        <v>405252</v>
      </c>
      <c r="I30" s="10" t="s">
        <v>123</v>
      </c>
      <c r="J30" s="10">
        <v>9</v>
      </c>
      <c r="K30" s="10">
        <v>1</v>
      </c>
      <c r="L30" s="10" t="s">
        <v>124</v>
      </c>
      <c r="M30" s="10">
        <v>10</v>
      </c>
    </row>
    <row r="31" s="10" customFormat="1" spans="1:13">
      <c r="A31" t="s">
        <v>19</v>
      </c>
      <c r="B31" s="10">
        <v>26</v>
      </c>
      <c r="C31" s="10">
        <v>9</v>
      </c>
      <c r="D31" s="10">
        <v>2</v>
      </c>
      <c r="E31" s="10">
        <v>1</v>
      </c>
      <c r="F31">
        <v>405261</v>
      </c>
      <c r="G31" s="10" t="s">
        <v>125</v>
      </c>
      <c r="H31">
        <v>405262</v>
      </c>
      <c r="I31" s="10" t="s">
        <v>126</v>
      </c>
      <c r="J31" s="10">
        <v>9</v>
      </c>
      <c r="K31" s="10">
        <v>10</v>
      </c>
      <c r="L31" s="10" t="s">
        <v>127</v>
      </c>
      <c r="M31" s="10">
        <v>50</v>
      </c>
    </row>
    <row r="32" s="10" customFormat="1" spans="1:13">
      <c r="A32" t="s">
        <v>19</v>
      </c>
      <c r="B32" s="10">
        <v>27</v>
      </c>
      <c r="C32" s="10">
        <v>9</v>
      </c>
      <c r="D32" s="10">
        <v>3</v>
      </c>
      <c r="E32" s="10">
        <v>1</v>
      </c>
      <c r="F32">
        <v>405271</v>
      </c>
      <c r="G32" s="10" t="s">
        <v>128</v>
      </c>
      <c r="H32">
        <v>405272</v>
      </c>
      <c r="I32" s="10" t="s">
        <v>129</v>
      </c>
      <c r="J32" s="10">
        <v>9</v>
      </c>
      <c r="K32" s="10">
        <v>50</v>
      </c>
      <c r="L32" s="10" t="s">
        <v>130</v>
      </c>
      <c r="M32" s="10">
        <v>100</v>
      </c>
    </row>
    <row r="33" s="10" customFormat="1" spans="1:13">
      <c r="A33" t="s">
        <v>19</v>
      </c>
      <c r="B33" s="10">
        <v>28</v>
      </c>
      <c r="C33" s="10">
        <v>10</v>
      </c>
      <c r="D33" s="10">
        <v>1</v>
      </c>
      <c r="E33" s="10">
        <v>1</v>
      </c>
      <c r="F33">
        <v>405281</v>
      </c>
      <c r="G33" s="10" t="s">
        <v>131</v>
      </c>
      <c r="H33">
        <v>405282</v>
      </c>
      <c r="I33" s="10" t="s">
        <v>132</v>
      </c>
      <c r="J33" s="10">
        <v>10</v>
      </c>
      <c r="K33" s="10">
        <v>1</v>
      </c>
      <c r="L33" s="10" t="s">
        <v>133</v>
      </c>
      <c r="M33" s="10">
        <v>10</v>
      </c>
    </row>
    <row r="34" s="10" customFormat="1" spans="1:13">
      <c r="A34" t="s">
        <v>19</v>
      </c>
      <c r="B34" s="10">
        <v>29</v>
      </c>
      <c r="C34" s="10">
        <v>10</v>
      </c>
      <c r="D34" s="10">
        <v>2</v>
      </c>
      <c r="E34" s="10">
        <v>1</v>
      </c>
      <c r="F34">
        <v>405291</v>
      </c>
      <c r="G34" s="10" t="s">
        <v>134</v>
      </c>
      <c r="H34">
        <v>405292</v>
      </c>
      <c r="I34" s="10" t="s">
        <v>135</v>
      </c>
      <c r="J34" s="10">
        <v>10</v>
      </c>
      <c r="K34" s="10">
        <v>10</v>
      </c>
      <c r="L34" s="10" t="s">
        <v>136</v>
      </c>
      <c r="M34" s="10">
        <v>50</v>
      </c>
    </row>
    <row r="35" s="10" customFormat="1" spans="1:13">
      <c r="A35" t="s">
        <v>19</v>
      </c>
      <c r="B35" s="10">
        <v>30</v>
      </c>
      <c r="C35" s="10">
        <v>10</v>
      </c>
      <c r="D35" s="10">
        <v>3</v>
      </c>
      <c r="E35" s="10">
        <v>1</v>
      </c>
      <c r="F35">
        <v>405301</v>
      </c>
      <c r="G35" s="10" t="s">
        <v>137</v>
      </c>
      <c r="H35">
        <v>405302</v>
      </c>
      <c r="I35" s="10" t="s">
        <v>138</v>
      </c>
      <c r="J35" s="10">
        <v>10</v>
      </c>
      <c r="K35" s="10">
        <v>50</v>
      </c>
      <c r="L35" s="10" t="s">
        <v>139</v>
      </c>
      <c r="M35" s="10">
        <v>100</v>
      </c>
    </row>
    <row r="36" customFormat="1" spans="2:13">
      <c r="B36">
        <v>31</v>
      </c>
      <c r="C36">
        <v>11</v>
      </c>
      <c r="D36">
        <v>1</v>
      </c>
      <c r="E36">
        <v>1</v>
      </c>
      <c r="F36">
        <v>405311</v>
      </c>
      <c r="G36" t="s">
        <v>140</v>
      </c>
      <c r="H36">
        <v>405312</v>
      </c>
      <c r="I36" t="s">
        <v>141</v>
      </c>
      <c r="J36">
        <v>11</v>
      </c>
      <c r="K36">
        <v>10</v>
      </c>
      <c r="L36" t="s">
        <v>142</v>
      </c>
      <c r="M36">
        <v>10</v>
      </c>
    </row>
    <row r="37" customFormat="1" spans="2:13">
      <c r="B37">
        <v>32</v>
      </c>
      <c r="C37">
        <v>11</v>
      </c>
      <c r="D37">
        <v>2</v>
      </c>
      <c r="E37">
        <v>1</v>
      </c>
      <c r="F37">
        <v>405321</v>
      </c>
      <c r="G37" t="s">
        <v>143</v>
      </c>
      <c r="H37">
        <v>405322</v>
      </c>
      <c r="I37" t="s">
        <v>144</v>
      </c>
      <c r="J37">
        <v>11</v>
      </c>
      <c r="K37">
        <v>45</v>
      </c>
      <c r="L37" t="s">
        <v>145</v>
      </c>
      <c r="M37">
        <v>50</v>
      </c>
    </row>
    <row r="38" customFormat="1" spans="2:13">
      <c r="B38">
        <v>33</v>
      </c>
      <c r="C38">
        <v>11</v>
      </c>
      <c r="D38">
        <v>3</v>
      </c>
      <c r="E38">
        <v>1</v>
      </c>
      <c r="F38">
        <v>405331</v>
      </c>
      <c r="G38" t="s">
        <v>146</v>
      </c>
      <c r="H38">
        <v>405332</v>
      </c>
      <c r="I38" t="s">
        <v>147</v>
      </c>
      <c r="J38">
        <v>11</v>
      </c>
      <c r="K38">
        <v>75</v>
      </c>
      <c r="L38" t="s">
        <v>148</v>
      </c>
      <c r="M38">
        <v>100</v>
      </c>
    </row>
    <row r="39" spans="2:13">
      <c r="B39">
        <v>34</v>
      </c>
      <c r="C39" s="8">
        <v>12</v>
      </c>
      <c r="D39" s="8">
        <v>1</v>
      </c>
      <c r="E39" s="8">
        <v>1</v>
      </c>
      <c r="F39">
        <v>405341</v>
      </c>
      <c r="G39" s="8" t="s">
        <v>149</v>
      </c>
      <c r="H39">
        <v>405342</v>
      </c>
      <c r="I39" s="8" t="s">
        <v>150</v>
      </c>
      <c r="J39">
        <v>12</v>
      </c>
      <c r="K39" s="8">
        <v>100</v>
      </c>
      <c r="L39" t="s">
        <v>151</v>
      </c>
      <c r="M39" s="8">
        <v>10</v>
      </c>
    </row>
    <row r="40" spans="2:13">
      <c r="B40">
        <v>35</v>
      </c>
      <c r="C40" s="8">
        <v>12</v>
      </c>
      <c r="D40" s="8">
        <v>2</v>
      </c>
      <c r="E40" s="8">
        <v>1</v>
      </c>
      <c r="F40">
        <v>405351</v>
      </c>
      <c r="G40" s="8" t="s">
        <v>152</v>
      </c>
      <c r="H40">
        <v>405352</v>
      </c>
      <c r="I40" s="8" t="s">
        <v>153</v>
      </c>
      <c r="J40">
        <v>12</v>
      </c>
      <c r="K40" s="8">
        <v>200</v>
      </c>
      <c r="L40" t="s">
        <v>154</v>
      </c>
      <c r="M40" s="8">
        <v>50</v>
      </c>
    </row>
    <row r="41" spans="2:13">
      <c r="B41">
        <v>36</v>
      </c>
      <c r="C41" s="8">
        <v>12</v>
      </c>
      <c r="D41" s="8">
        <v>3</v>
      </c>
      <c r="E41" s="8">
        <v>1</v>
      </c>
      <c r="F41">
        <v>405361</v>
      </c>
      <c r="G41" s="8" t="s">
        <v>155</v>
      </c>
      <c r="H41">
        <v>405362</v>
      </c>
      <c r="I41" s="8" t="s">
        <v>156</v>
      </c>
      <c r="J41">
        <v>12</v>
      </c>
      <c r="K41" s="8">
        <v>500</v>
      </c>
      <c r="L41" t="s">
        <v>157</v>
      </c>
      <c r="M41" s="8">
        <v>100</v>
      </c>
    </row>
    <row r="42" customFormat="1" spans="2:13">
      <c r="B42">
        <v>37</v>
      </c>
      <c r="C42">
        <v>13</v>
      </c>
      <c r="D42">
        <v>1</v>
      </c>
      <c r="E42">
        <v>1</v>
      </c>
      <c r="F42">
        <v>405371</v>
      </c>
      <c r="G42" t="s">
        <v>158</v>
      </c>
      <c r="H42">
        <v>405372</v>
      </c>
      <c r="I42" t="s">
        <v>159</v>
      </c>
      <c r="J42">
        <v>13</v>
      </c>
      <c r="K42">
        <v>7</v>
      </c>
      <c r="L42" t="s">
        <v>160</v>
      </c>
      <c r="M42">
        <v>10</v>
      </c>
    </row>
    <row r="43" customFormat="1" spans="2:13">
      <c r="B43">
        <v>38</v>
      </c>
      <c r="C43">
        <v>13</v>
      </c>
      <c r="D43">
        <v>2</v>
      </c>
      <c r="E43">
        <v>1</v>
      </c>
      <c r="F43">
        <v>405381</v>
      </c>
      <c r="G43" t="s">
        <v>161</v>
      </c>
      <c r="H43">
        <v>405382</v>
      </c>
      <c r="I43" t="s">
        <v>162</v>
      </c>
      <c r="J43">
        <v>13</v>
      </c>
      <c r="K43">
        <v>30</v>
      </c>
      <c r="L43" t="s">
        <v>163</v>
      </c>
      <c r="M43">
        <v>50</v>
      </c>
    </row>
    <row r="44" customFormat="1" spans="2:13">
      <c r="B44">
        <v>39</v>
      </c>
      <c r="C44">
        <v>13</v>
      </c>
      <c r="D44">
        <v>3</v>
      </c>
      <c r="E44">
        <v>1</v>
      </c>
      <c r="F44">
        <v>405391</v>
      </c>
      <c r="G44" t="s">
        <v>164</v>
      </c>
      <c r="H44">
        <v>405392</v>
      </c>
      <c r="I44" t="s">
        <v>165</v>
      </c>
      <c r="J44">
        <v>13</v>
      </c>
      <c r="K44">
        <v>90</v>
      </c>
      <c r="L44" t="s">
        <v>166</v>
      </c>
      <c r="M44">
        <v>100</v>
      </c>
    </row>
    <row r="45" spans="2:13">
      <c r="B45">
        <v>40</v>
      </c>
      <c r="C45" s="8">
        <v>14</v>
      </c>
      <c r="D45" s="8">
        <v>1</v>
      </c>
      <c r="E45" s="8">
        <v>2</v>
      </c>
      <c r="F45">
        <v>405401</v>
      </c>
      <c r="G45" s="8" t="s">
        <v>167</v>
      </c>
      <c r="H45">
        <v>405402</v>
      </c>
      <c r="I45" s="8" t="s">
        <v>168</v>
      </c>
      <c r="J45">
        <v>14</v>
      </c>
      <c r="K45" s="8">
        <v>5</v>
      </c>
      <c r="L45" t="s">
        <v>169</v>
      </c>
      <c r="M45" s="8">
        <v>10</v>
      </c>
    </row>
    <row r="46" spans="2:13">
      <c r="B46">
        <v>41</v>
      </c>
      <c r="C46" s="8">
        <v>14</v>
      </c>
      <c r="D46" s="8">
        <v>2</v>
      </c>
      <c r="E46" s="8">
        <v>2</v>
      </c>
      <c r="F46">
        <v>405411</v>
      </c>
      <c r="G46" s="8" t="s">
        <v>170</v>
      </c>
      <c r="H46">
        <v>405412</v>
      </c>
      <c r="I46" s="8" t="s">
        <v>171</v>
      </c>
      <c r="J46">
        <v>14</v>
      </c>
      <c r="K46" s="8">
        <v>10</v>
      </c>
      <c r="L46" t="s">
        <v>172</v>
      </c>
      <c r="M46" s="8">
        <v>50</v>
      </c>
    </row>
    <row r="47" spans="2:13">
      <c r="B47">
        <v>42</v>
      </c>
      <c r="C47" s="8">
        <v>14</v>
      </c>
      <c r="D47" s="8">
        <v>3</v>
      </c>
      <c r="E47" s="8">
        <v>2</v>
      </c>
      <c r="F47">
        <v>405421</v>
      </c>
      <c r="G47" s="8" t="s">
        <v>173</v>
      </c>
      <c r="H47">
        <v>405422</v>
      </c>
      <c r="I47" s="8" t="s">
        <v>174</v>
      </c>
      <c r="J47">
        <v>14</v>
      </c>
      <c r="K47" s="8">
        <v>15</v>
      </c>
      <c r="L47" t="s">
        <v>175</v>
      </c>
      <c r="M47" s="8">
        <v>100</v>
      </c>
    </row>
    <row r="48" spans="2:13">
      <c r="B48">
        <v>43</v>
      </c>
      <c r="C48" s="8">
        <v>15</v>
      </c>
      <c r="D48" s="8">
        <v>1</v>
      </c>
      <c r="E48" s="8">
        <v>2</v>
      </c>
      <c r="F48">
        <v>405431</v>
      </c>
      <c r="G48" s="8" t="s">
        <v>176</v>
      </c>
      <c r="H48">
        <v>405432</v>
      </c>
      <c r="I48" s="8" t="s">
        <v>177</v>
      </c>
      <c r="J48">
        <v>15</v>
      </c>
      <c r="K48" s="8">
        <v>5</v>
      </c>
      <c r="L48" t="s">
        <v>178</v>
      </c>
      <c r="M48" s="8">
        <v>10</v>
      </c>
    </row>
    <row r="49" spans="2:13">
      <c r="B49">
        <v>44</v>
      </c>
      <c r="C49" s="8">
        <v>15</v>
      </c>
      <c r="D49" s="8">
        <v>2</v>
      </c>
      <c r="E49" s="8">
        <v>2</v>
      </c>
      <c r="F49">
        <v>405441</v>
      </c>
      <c r="G49" s="8" t="s">
        <v>179</v>
      </c>
      <c r="H49">
        <v>405442</v>
      </c>
      <c r="I49" s="8" t="s">
        <v>180</v>
      </c>
      <c r="J49">
        <v>15</v>
      </c>
      <c r="K49" s="8">
        <v>6</v>
      </c>
      <c r="L49" t="s">
        <v>181</v>
      </c>
      <c r="M49" s="8">
        <v>50</v>
      </c>
    </row>
    <row r="50" spans="2:13">
      <c r="B50">
        <v>45</v>
      </c>
      <c r="C50" s="8">
        <v>15</v>
      </c>
      <c r="D50" s="8">
        <v>3</v>
      </c>
      <c r="E50" s="8">
        <v>2</v>
      </c>
      <c r="F50">
        <v>405451</v>
      </c>
      <c r="G50" s="8" t="s">
        <v>182</v>
      </c>
      <c r="H50">
        <v>405452</v>
      </c>
      <c r="I50" s="8" t="s">
        <v>183</v>
      </c>
      <c r="J50">
        <v>15</v>
      </c>
      <c r="K50" s="8">
        <v>7</v>
      </c>
      <c r="L50" t="s">
        <v>184</v>
      </c>
      <c r="M50" s="8">
        <v>100</v>
      </c>
    </row>
    <row r="51" spans="2:13">
      <c r="B51">
        <v>46</v>
      </c>
      <c r="C51" s="8">
        <v>16</v>
      </c>
      <c r="D51" s="8">
        <v>1</v>
      </c>
      <c r="E51" s="8">
        <v>2</v>
      </c>
      <c r="F51">
        <v>405461</v>
      </c>
      <c r="G51" s="8" t="s">
        <v>185</v>
      </c>
      <c r="H51">
        <v>405462</v>
      </c>
      <c r="I51" s="8" t="s">
        <v>186</v>
      </c>
      <c r="J51">
        <v>16</v>
      </c>
      <c r="K51" s="8">
        <v>1</v>
      </c>
      <c r="L51" t="s">
        <v>187</v>
      </c>
      <c r="M51" s="8">
        <v>10</v>
      </c>
    </row>
    <row r="52" spans="2:13">
      <c r="B52">
        <v>47</v>
      </c>
      <c r="C52" s="8">
        <v>16</v>
      </c>
      <c r="D52" s="8">
        <v>2</v>
      </c>
      <c r="E52" s="8">
        <v>2</v>
      </c>
      <c r="F52">
        <v>405471</v>
      </c>
      <c r="G52" s="8" t="s">
        <v>188</v>
      </c>
      <c r="H52">
        <v>405472</v>
      </c>
      <c r="I52" s="8" t="s">
        <v>189</v>
      </c>
      <c r="J52">
        <v>16</v>
      </c>
      <c r="K52" s="8">
        <v>10</v>
      </c>
      <c r="L52" t="s">
        <v>190</v>
      </c>
      <c r="M52" s="8">
        <v>50</v>
      </c>
    </row>
    <row r="53" spans="2:13">
      <c r="B53">
        <v>48</v>
      </c>
      <c r="C53" s="8">
        <v>16</v>
      </c>
      <c r="D53" s="8">
        <v>3</v>
      </c>
      <c r="E53" s="8">
        <v>2</v>
      </c>
      <c r="F53">
        <v>405481</v>
      </c>
      <c r="G53" s="8" t="s">
        <v>191</v>
      </c>
      <c r="H53">
        <v>405482</v>
      </c>
      <c r="I53" s="8" t="s">
        <v>192</v>
      </c>
      <c r="J53">
        <v>16</v>
      </c>
      <c r="K53" s="8">
        <v>100</v>
      </c>
      <c r="L53" t="s">
        <v>193</v>
      </c>
      <c r="M53" s="8">
        <v>100</v>
      </c>
    </row>
    <row r="54" s="10" customFormat="1" spans="1:13">
      <c r="A54" t="s">
        <v>19</v>
      </c>
      <c r="B54" s="10">
        <v>49</v>
      </c>
      <c r="C54" s="10">
        <v>17</v>
      </c>
      <c r="D54" s="10">
        <v>1</v>
      </c>
      <c r="E54" s="10">
        <v>2</v>
      </c>
      <c r="F54">
        <v>405491</v>
      </c>
      <c r="G54" s="10" t="s">
        <v>194</v>
      </c>
      <c r="H54">
        <v>405492</v>
      </c>
      <c r="I54" s="10" t="s">
        <v>195</v>
      </c>
      <c r="J54" s="10">
        <v>17</v>
      </c>
      <c r="K54" s="10">
        <v>1</v>
      </c>
      <c r="L54" s="10" t="s">
        <v>196</v>
      </c>
      <c r="M54" s="10">
        <v>10</v>
      </c>
    </row>
    <row r="55" s="10" customFormat="1" spans="1:13">
      <c r="A55" t="s">
        <v>19</v>
      </c>
      <c r="B55" s="10">
        <v>50</v>
      </c>
      <c r="C55" s="10">
        <v>17</v>
      </c>
      <c r="D55" s="10">
        <v>2</v>
      </c>
      <c r="E55" s="10">
        <v>2</v>
      </c>
      <c r="F55">
        <v>405501</v>
      </c>
      <c r="G55" s="10" t="s">
        <v>194</v>
      </c>
      <c r="H55">
        <v>405502</v>
      </c>
      <c r="I55" s="10" t="s">
        <v>197</v>
      </c>
      <c r="J55" s="10">
        <v>17</v>
      </c>
      <c r="K55" s="10">
        <v>30</v>
      </c>
      <c r="L55" s="10" t="s">
        <v>198</v>
      </c>
      <c r="M55" s="10">
        <v>50</v>
      </c>
    </row>
    <row r="56" s="10" customFormat="1" spans="1:13">
      <c r="A56" t="s">
        <v>19</v>
      </c>
      <c r="B56" s="10">
        <v>51</v>
      </c>
      <c r="C56" s="10">
        <v>17</v>
      </c>
      <c r="D56" s="10">
        <v>3</v>
      </c>
      <c r="E56" s="10">
        <v>2</v>
      </c>
      <c r="F56">
        <v>405511</v>
      </c>
      <c r="G56" s="10" t="s">
        <v>194</v>
      </c>
      <c r="H56">
        <v>405512</v>
      </c>
      <c r="I56" s="10" t="s">
        <v>199</v>
      </c>
      <c r="J56" s="10">
        <v>17</v>
      </c>
      <c r="K56" s="10">
        <v>100</v>
      </c>
      <c r="L56" s="10" t="s">
        <v>200</v>
      </c>
      <c r="M56" s="10">
        <v>100</v>
      </c>
    </row>
    <row r="57" spans="2:13">
      <c r="B57">
        <v>52</v>
      </c>
      <c r="C57" s="8">
        <v>18</v>
      </c>
      <c r="D57" s="8">
        <v>1</v>
      </c>
      <c r="E57" s="8">
        <v>2</v>
      </c>
      <c r="F57">
        <v>405521</v>
      </c>
      <c r="G57" s="8" t="s">
        <v>201</v>
      </c>
      <c r="H57">
        <v>405522</v>
      </c>
      <c r="I57" s="8" t="s">
        <v>202</v>
      </c>
      <c r="J57">
        <v>18</v>
      </c>
      <c r="K57" s="8">
        <v>50</v>
      </c>
      <c r="L57" t="s">
        <v>203</v>
      </c>
      <c r="M57" s="8">
        <v>10</v>
      </c>
    </row>
    <row r="58" spans="2:13">
      <c r="B58">
        <v>53</v>
      </c>
      <c r="C58" s="8">
        <v>18</v>
      </c>
      <c r="D58" s="8">
        <v>2</v>
      </c>
      <c r="E58" s="8">
        <v>2</v>
      </c>
      <c r="F58">
        <v>405531</v>
      </c>
      <c r="G58" s="8" t="s">
        <v>204</v>
      </c>
      <c r="H58">
        <v>405532</v>
      </c>
      <c r="I58" s="8" t="s">
        <v>205</v>
      </c>
      <c r="J58">
        <v>18</v>
      </c>
      <c r="K58" s="8">
        <v>150</v>
      </c>
      <c r="L58" t="s">
        <v>206</v>
      </c>
      <c r="M58" s="8">
        <v>50</v>
      </c>
    </row>
    <row r="59" spans="2:13">
      <c r="B59">
        <v>54</v>
      </c>
      <c r="C59" s="8">
        <v>18</v>
      </c>
      <c r="D59" s="8">
        <v>3</v>
      </c>
      <c r="E59" s="8">
        <v>2</v>
      </c>
      <c r="F59">
        <v>405541</v>
      </c>
      <c r="G59" s="8" t="s">
        <v>207</v>
      </c>
      <c r="H59">
        <v>405542</v>
      </c>
      <c r="I59" s="8" t="s">
        <v>208</v>
      </c>
      <c r="J59">
        <v>18</v>
      </c>
      <c r="K59" s="8">
        <v>300</v>
      </c>
      <c r="L59" t="s">
        <v>209</v>
      </c>
      <c r="M59" s="8">
        <v>100</v>
      </c>
    </row>
    <row r="60" spans="2:13">
      <c r="B60">
        <v>55</v>
      </c>
      <c r="C60" s="8">
        <v>19</v>
      </c>
      <c r="D60" s="8">
        <v>1</v>
      </c>
      <c r="E60" s="8">
        <v>2</v>
      </c>
      <c r="F60">
        <v>405551</v>
      </c>
      <c r="G60" s="8" t="s">
        <v>210</v>
      </c>
      <c r="H60">
        <v>405552</v>
      </c>
      <c r="I60" s="8" t="s">
        <v>211</v>
      </c>
      <c r="J60">
        <v>19</v>
      </c>
      <c r="K60" s="8">
        <v>100</v>
      </c>
      <c r="L60" t="s">
        <v>212</v>
      </c>
      <c r="M60" s="8">
        <v>10</v>
      </c>
    </row>
    <row r="61" spans="2:13">
      <c r="B61">
        <v>56</v>
      </c>
      <c r="C61" s="8">
        <v>19</v>
      </c>
      <c r="D61" s="8">
        <v>2</v>
      </c>
      <c r="E61" s="8">
        <v>2</v>
      </c>
      <c r="F61">
        <v>405561</v>
      </c>
      <c r="G61" s="8" t="s">
        <v>213</v>
      </c>
      <c r="H61">
        <v>405562</v>
      </c>
      <c r="I61" s="8" t="s">
        <v>214</v>
      </c>
      <c r="J61">
        <v>19</v>
      </c>
      <c r="K61" s="8">
        <v>500</v>
      </c>
      <c r="L61" t="s">
        <v>215</v>
      </c>
      <c r="M61" s="8">
        <v>50</v>
      </c>
    </row>
    <row r="62" spans="2:13">
      <c r="B62">
        <v>57</v>
      </c>
      <c r="C62" s="8">
        <v>19</v>
      </c>
      <c r="D62" s="8">
        <v>3</v>
      </c>
      <c r="E62" s="8">
        <v>2</v>
      </c>
      <c r="F62">
        <v>405571</v>
      </c>
      <c r="G62" s="8" t="s">
        <v>216</v>
      </c>
      <c r="H62">
        <v>405572</v>
      </c>
      <c r="I62" s="8" t="s">
        <v>217</v>
      </c>
      <c r="J62">
        <v>19</v>
      </c>
      <c r="K62" s="8">
        <v>2000</v>
      </c>
      <c r="L62" t="s">
        <v>218</v>
      </c>
      <c r="M62" s="8">
        <v>100</v>
      </c>
    </row>
    <row r="63" customFormat="1" spans="2:13">
      <c r="B63">
        <v>58</v>
      </c>
      <c r="C63">
        <v>20</v>
      </c>
      <c r="D63">
        <v>1</v>
      </c>
      <c r="E63">
        <v>2</v>
      </c>
      <c r="F63">
        <v>405581</v>
      </c>
      <c r="G63" t="s">
        <v>219</v>
      </c>
      <c r="H63">
        <v>405582</v>
      </c>
      <c r="I63" t="s">
        <v>220</v>
      </c>
      <c r="J63">
        <v>20</v>
      </c>
      <c r="K63">
        <v>50</v>
      </c>
      <c r="L63" t="s">
        <v>221</v>
      </c>
      <c r="M63">
        <v>10</v>
      </c>
    </row>
    <row r="64" customFormat="1" spans="2:13">
      <c r="B64">
        <v>59</v>
      </c>
      <c r="C64">
        <v>20</v>
      </c>
      <c r="D64">
        <v>2</v>
      </c>
      <c r="E64">
        <v>2</v>
      </c>
      <c r="F64">
        <v>405591</v>
      </c>
      <c r="G64" t="s">
        <v>222</v>
      </c>
      <c r="H64">
        <v>405592</v>
      </c>
      <c r="I64" t="s">
        <v>223</v>
      </c>
      <c r="J64">
        <v>20</v>
      </c>
      <c r="K64">
        <v>200</v>
      </c>
      <c r="L64" t="s">
        <v>224</v>
      </c>
      <c r="M64">
        <v>50</v>
      </c>
    </row>
    <row r="65" customFormat="1" spans="2:13">
      <c r="B65">
        <v>60</v>
      </c>
      <c r="C65">
        <v>20</v>
      </c>
      <c r="D65">
        <v>3</v>
      </c>
      <c r="E65">
        <v>2</v>
      </c>
      <c r="F65">
        <v>405601</v>
      </c>
      <c r="G65" t="s">
        <v>225</v>
      </c>
      <c r="H65">
        <v>405602</v>
      </c>
      <c r="I65" t="s">
        <v>226</v>
      </c>
      <c r="J65">
        <v>20</v>
      </c>
      <c r="K65">
        <v>1000</v>
      </c>
      <c r="L65" t="s">
        <v>227</v>
      </c>
      <c r="M65">
        <v>100</v>
      </c>
    </row>
    <row r="66" spans="2:13">
      <c r="B66">
        <v>61</v>
      </c>
      <c r="C66" s="8">
        <v>21</v>
      </c>
      <c r="D66" s="8">
        <v>1</v>
      </c>
      <c r="E66" s="8">
        <v>2</v>
      </c>
      <c r="F66">
        <v>405611</v>
      </c>
      <c r="G66" s="8" t="s">
        <v>228</v>
      </c>
      <c r="H66">
        <v>405612</v>
      </c>
      <c r="I66" s="8" t="s">
        <v>229</v>
      </c>
      <c r="J66">
        <v>21</v>
      </c>
      <c r="K66" s="8">
        <v>2</v>
      </c>
      <c r="L66" t="s">
        <v>230</v>
      </c>
      <c r="M66" s="8">
        <v>10</v>
      </c>
    </row>
    <row r="67" spans="2:13">
      <c r="B67">
        <v>62</v>
      </c>
      <c r="C67" s="8">
        <v>21</v>
      </c>
      <c r="D67" s="8">
        <v>2</v>
      </c>
      <c r="E67" s="8">
        <v>2</v>
      </c>
      <c r="F67">
        <v>405621</v>
      </c>
      <c r="G67" s="8" t="s">
        <v>231</v>
      </c>
      <c r="H67">
        <v>405622</v>
      </c>
      <c r="I67" s="8" t="s">
        <v>232</v>
      </c>
      <c r="J67">
        <v>21</v>
      </c>
      <c r="K67" s="8">
        <v>3</v>
      </c>
      <c r="L67" t="s">
        <v>233</v>
      </c>
      <c r="M67" s="8">
        <v>50</v>
      </c>
    </row>
    <row r="68" spans="2:13">
      <c r="B68">
        <v>63</v>
      </c>
      <c r="C68" s="8">
        <v>21</v>
      </c>
      <c r="D68" s="8">
        <v>3</v>
      </c>
      <c r="E68" s="8">
        <v>2</v>
      </c>
      <c r="F68">
        <v>405631</v>
      </c>
      <c r="G68" s="8" t="s">
        <v>234</v>
      </c>
      <c r="H68">
        <v>405632</v>
      </c>
      <c r="I68" s="8" t="s">
        <v>235</v>
      </c>
      <c r="J68">
        <v>21</v>
      </c>
      <c r="K68" s="8">
        <v>5</v>
      </c>
      <c r="L68" t="s">
        <v>236</v>
      </c>
      <c r="M68" s="8">
        <v>100</v>
      </c>
    </row>
    <row r="69" spans="2:13">
      <c r="B69">
        <v>64</v>
      </c>
      <c r="C69" s="8">
        <v>22</v>
      </c>
      <c r="D69" s="8">
        <v>1</v>
      </c>
      <c r="E69" s="8">
        <v>2</v>
      </c>
      <c r="F69">
        <v>405641</v>
      </c>
      <c r="G69" s="8" t="s">
        <v>237</v>
      </c>
      <c r="H69">
        <v>405642</v>
      </c>
      <c r="I69" s="8" t="s">
        <v>238</v>
      </c>
      <c r="J69">
        <v>22</v>
      </c>
      <c r="K69" s="8" t="s">
        <v>239</v>
      </c>
      <c r="L69" t="s">
        <v>240</v>
      </c>
      <c r="M69" s="8">
        <v>10</v>
      </c>
    </row>
    <row r="70" spans="2:13">
      <c r="B70">
        <v>65</v>
      </c>
      <c r="C70" s="8">
        <v>22</v>
      </c>
      <c r="D70" s="8">
        <v>2</v>
      </c>
      <c r="E70" s="8">
        <v>2</v>
      </c>
      <c r="F70">
        <v>405651</v>
      </c>
      <c r="G70" s="8" t="s">
        <v>241</v>
      </c>
      <c r="H70">
        <v>405652</v>
      </c>
      <c r="I70" s="8" t="s">
        <v>242</v>
      </c>
      <c r="J70">
        <v>22</v>
      </c>
      <c r="K70" s="8" t="s">
        <v>243</v>
      </c>
      <c r="L70" t="s">
        <v>244</v>
      </c>
      <c r="M70" s="8">
        <v>50</v>
      </c>
    </row>
    <row r="71" spans="2:13">
      <c r="B71">
        <v>66</v>
      </c>
      <c r="C71" s="8">
        <v>22</v>
      </c>
      <c r="D71" s="8">
        <v>3</v>
      </c>
      <c r="E71" s="8">
        <v>2</v>
      </c>
      <c r="F71">
        <v>405661</v>
      </c>
      <c r="G71" s="8" t="s">
        <v>245</v>
      </c>
      <c r="H71">
        <v>405662</v>
      </c>
      <c r="I71" s="8" t="s">
        <v>246</v>
      </c>
      <c r="J71">
        <v>22</v>
      </c>
      <c r="K71" s="41" t="s">
        <v>247</v>
      </c>
      <c r="L71" t="s">
        <v>248</v>
      </c>
      <c r="M71" s="8">
        <v>100</v>
      </c>
    </row>
    <row r="72" spans="2:13">
      <c r="B72">
        <v>67</v>
      </c>
      <c r="C72" s="8">
        <v>23</v>
      </c>
      <c r="D72" s="8">
        <v>1</v>
      </c>
      <c r="E72" s="8">
        <v>2</v>
      </c>
      <c r="F72">
        <v>405671</v>
      </c>
      <c r="G72" s="8" t="s">
        <v>249</v>
      </c>
      <c r="H72">
        <v>405672</v>
      </c>
      <c r="I72" s="8" t="s">
        <v>250</v>
      </c>
      <c r="J72">
        <v>22</v>
      </c>
      <c r="K72" s="8" t="s">
        <v>251</v>
      </c>
      <c r="L72" t="s">
        <v>252</v>
      </c>
      <c r="M72" s="8">
        <v>10</v>
      </c>
    </row>
    <row r="73" spans="2:13">
      <c r="B73">
        <v>68</v>
      </c>
      <c r="C73" s="8">
        <v>23</v>
      </c>
      <c r="D73" s="8">
        <v>2</v>
      </c>
      <c r="E73" s="8">
        <v>2</v>
      </c>
      <c r="F73">
        <v>405681</v>
      </c>
      <c r="G73" s="8" t="s">
        <v>253</v>
      </c>
      <c r="H73">
        <v>405682</v>
      </c>
      <c r="I73" s="8" t="s">
        <v>254</v>
      </c>
      <c r="J73">
        <v>22</v>
      </c>
      <c r="K73" s="8" t="s">
        <v>255</v>
      </c>
      <c r="L73" t="s">
        <v>256</v>
      </c>
      <c r="M73" s="8">
        <v>50</v>
      </c>
    </row>
    <row r="74" spans="2:13">
      <c r="B74">
        <v>69</v>
      </c>
      <c r="C74" s="8">
        <v>23</v>
      </c>
      <c r="D74" s="8">
        <v>3</v>
      </c>
      <c r="E74" s="8">
        <v>2</v>
      </c>
      <c r="F74">
        <v>405691</v>
      </c>
      <c r="G74" s="8" t="s">
        <v>257</v>
      </c>
      <c r="H74">
        <v>405692</v>
      </c>
      <c r="I74" s="8" t="s">
        <v>258</v>
      </c>
      <c r="J74">
        <v>22</v>
      </c>
      <c r="K74" s="41" t="s">
        <v>259</v>
      </c>
      <c r="L74" t="s">
        <v>260</v>
      </c>
      <c r="M74" s="8">
        <v>100</v>
      </c>
    </row>
    <row r="75" spans="2:13">
      <c r="B75">
        <v>70</v>
      </c>
      <c r="C75" s="8">
        <v>24</v>
      </c>
      <c r="D75" s="8">
        <v>1</v>
      </c>
      <c r="E75" s="8">
        <v>2</v>
      </c>
      <c r="F75">
        <v>405701</v>
      </c>
      <c r="G75" s="8" t="s">
        <v>261</v>
      </c>
      <c r="H75">
        <v>405702</v>
      </c>
      <c r="I75" s="8" t="s">
        <v>262</v>
      </c>
      <c r="J75">
        <v>22</v>
      </c>
      <c r="K75" s="8" t="s">
        <v>263</v>
      </c>
      <c r="L75" t="s">
        <v>264</v>
      </c>
      <c r="M75" s="8">
        <v>10</v>
      </c>
    </row>
    <row r="76" spans="2:13">
      <c r="B76">
        <v>71</v>
      </c>
      <c r="C76" s="8">
        <v>24</v>
      </c>
      <c r="D76" s="8">
        <v>2</v>
      </c>
      <c r="E76" s="8">
        <v>2</v>
      </c>
      <c r="F76">
        <v>405711</v>
      </c>
      <c r="G76" s="8" t="s">
        <v>265</v>
      </c>
      <c r="H76">
        <v>405712</v>
      </c>
      <c r="I76" s="8" t="s">
        <v>266</v>
      </c>
      <c r="J76">
        <v>22</v>
      </c>
      <c r="K76" s="8" t="s">
        <v>267</v>
      </c>
      <c r="L76" t="s">
        <v>268</v>
      </c>
      <c r="M76" s="8">
        <v>50</v>
      </c>
    </row>
    <row r="77" spans="2:13">
      <c r="B77">
        <v>72</v>
      </c>
      <c r="C77" s="8">
        <v>24</v>
      </c>
      <c r="D77" s="8">
        <v>3</v>
      </c>
      <c r="E77" s="8">
        <v>2</v>
      </c>
      <c r="F77">
        <v>405721</v>
      </c>
      <c r="G77" s="8" t="s">
        <v>269</v>
      </c>
      <c r="H77">
        <v>405722</v>
      </c>
      <c r="I77" s="8" t="s">
        <v>270</v>
      </c>
      <c r="J77">
        <v>22</v>
      </c>
      <c r="K77" s="41" t="s">
        <v>271</v>
      </c>
      <c r="L77" t="s">
        <v>272</v>
      </c>
      <c r="M77" s="8">
        <v>100</v>
      </c>
    </row>
    <row r="78" spans="2:13">
      <c r="B78">
        <v>73</v>
      </c>
      <c r="C78" s="8">
        <v>25</v>
      </c>
      <c r="D78" s="8">
        <v>1</v>
      </c>
      <c r="E78" s="8">
        <v>2</v>
      </c>
      <c r="F78">
        <v>405731</v>
      </c>
      <c r="G78" s="8" t="s">
        <v>273</v>
      </c>
      <c r="H78">
        <v>405732</v>
      </c>
      <c r="I78" s="8" t="s">
        <v>274</v>
      </c>
      <c r="J78">
        <v>22</v>
      </c>
      <c r="K78" s="8" t="s">
        <v>275</v>
      </c>
      <c r="L78" t="s">
        <v>276</v>
      </c>
      <c r="M78" s="8">
        <v>10</v>
      </c>
    </row>
    <row r="79" spans="2:13">
      <c r="B79">
        <v>74</v>
      </c>
      <c r="C79" s="8">
        <v>25</v>
      </c>
      <c r="D79" s="8">
        <v>2</v>
      </c>
      <c r="E79" s="8">
        <v>2</v>
      </c>
      <c r="F79">
        <v>405741</v>
      </c>
      <c r="G79" s="8" t="s">
        <v>277</v>
      </c>
      <c r="H79">
        <v>405742</v>
      </c>
      <c r="I79" s="8" t="s">
        <v>278</v>
      </c>
      <c r="J79">
        <v>22</v>
      </c>
      <c r="K79" s="8" t="s">
        <v>279</v>
      </c>
      <c r="L79" t="s">
        <v>280</v>
      </c>
      <c r="M79" s="8">
        <v>50</v>
      </c>
    </row>
    <row r="80" spans="2:13">
      <c r="B80">
        <v>75</v>
      </c>
      <c r="C80" s="8">
        <v>25</v>
      </c>
      <c r="D80" s="8">
        <v>3</v>
      </c>
      <c r="E80" s="8">
        <v>2</v>
      </c>
      <c r="F80">
        <v>405751</v>
      </c>
      <c r="G80" s="8" t="s">
        <v>281</v>
      </c>
      <c r="H80">
        <v>405752</v>
      </c>
      <c r="I80" s="8" t="s">
        <v>282</v>
      </c>
      <c r="J80">
        <v>22</v>
      </c>
      <c r="K80" s="41" t="s">
        <v>283</v>
      </c>
      <c r="L80" t="s">
        <v>284</v>
      </c>
      <c r="M80" s="8">
        <v>100</v>
      </c>
    </row>
    <row r="81" spans="2:13">
      <c r="B81">
        <v>76</v>
      </c>
      <c r="C81" s="8">
        <v>26</v>
      </c>
      <c r="D81" s="8">
        <v>1</v>
      </c>
      <c r="E81" s="8">
        <v>3</v>
      </c>
      <c r="F81">
        <v>405761</v>
      </c>
      <c r="G81" s="8" t="s">
        <v>285</v>
      </c>
      <c r="H81">
        <v>405762</v>
      </c>
      <c r="I81" s="8" t="s">
        <v>286</v>
      </c>
      <c r="J81">
        <v>23</v>
      </c>
      <c r="K81" s="8">
        <v>10</v>
      </c>
      <c r="L81" t="s">
        <v>287</v>
      </c>
      <c r="M81" s="8">
        <v>10</v>
      </c>
    </row>
    <row r="82" spans="2:13">
      <c r="B82">
        <v>77</v>
      </c>
      <c r="C82" s="8">
        <v>26</v>
      </c>
      <c r="D82" s="8">
        <v>2</v>
      </c>
      <c r="E82" s="8">
        <v>3</v>
      </c>
      <c r="F82">
        <v>405771</v>
      </c>
      <c r="G82" s="8" t="s">
        <v>288</v>
      </c>
      <c r="H82">
        <v>405772</v>
      </c>
      <c r="I82" s="8" t="s">
        <v>289</v>
      </c>
      <c r="J82">
        <v>23</v>
      </c>
      <c r="K82" s="8">
        <v>60</v>
      </c>
      <c r="L82" t="s">
        <v>290</v>
      </c>
      <c r="M82" s="8">
        <v>50</v>
      </c>
    </row>
    <row r="83" spans="2:13">
      <c r="B83">
        <v>78</v>
      </c>
      <c r="C83" s="8">
        <v>26</v>
      </c>
      <c r="D83" s="8">
        <v>3</v>
      </c>
      <c r="E83" s="8">
        <v>3</v>
      </c>
      <c r="F83">
        <v>405781</v>
      </c>
      <c r="G83" s="8" t="s">
        <v>291</v>
      </c>
      <c r="H83">
        <v>405782</v>
      </c>
      <c r="I83" s="8" t="s">
        <v>292</v>
      </c>
      <c r="J83">
        <v>23</v>
      </c>
      <c r="K83" s="8">
        <v>180</v>
      </c>
      <c r="L83" t="s">
        <v>293</v>
      </c>
      <c r="M83" s="8">
        <v>100</v>
      </c>
    </row>
    <row r="84" spans="2:13">
      <c r="B84">
        <v>79</v>
      </c>
      <c r="C84" s="8">
        <v>27</v>
      </c>
      <c r="D84" s="8">
        <v>1</v>
      </c>
      <c r="E84" s="8">
        <v>3</v>
      </c>
      <c r="F84">
        <v>405791</v>
      </c>
      <c r="G84" s="8" t="s">
        <v>294</v>
      </c>
      <c r="H84">
        <v>405792</v>
      </c>
      <c r="I84" s="8" t="s">
        <v>295</v>
      </c>
      <c r="J84">
        <v>24</v>
      </c>
      <c r="K84" s="8">
        <v>20</v>
      </c>
      <c r="L84" t="s">
        <v>296</v>
      </c>
      <c r="M84" s="8">
        <v>10</v>
      </c>
    </row>
    <row r="85" spans="2:13">
      <c r="B85">
        <v>80</v>
      </c>
      <c r="C85" s="8">
        <v>27</v>
      </c>
      <c r="D85" s="8">
        <v>2</v>
      </c>
      <c r="E85" s="8">
        <v>3</v>
      </c>
      <c r="F85">
        <v>405801</v>
      </c>
      <c r="G85" s="8" t="s">
        <v>294</v>
      </c>
      <c r="H85">
        <v>405802</v>
      </c>
      <c r="I85" s="8" t="s">
        <v>297</v>
      </c>
      <c r="J85">
        <v>24</v>
      </c>
      <c r="K85" s="8">
        <v>70</v>
      </c>
      <c r="L85" t="s">
        <v>298</v>
      </c>
      <c r="M85" s="8">
        <v>50</v>
      </c>
    </row>
    <row r="86" spans="2:13">
      <c r="B86">
        <v>81</v>
      </c>
      <c r="C86" s="8">
        <v>27</v>
      </c>
      <c r="D86" s="8">
        <v>3</v>
      </c>
      <c r="E86" s="8">
        <v>3</v>
      </c>
      <c r="F86">
        <v>405811</v>
      </c>
      <c r="G86" s="8" t="s">
        <v>294</v>
      </c>
      <c r="H86">
        <v>405812</v>
      </c>
      <c r="I86" s="8" t="s">
        <v>299</v>
      </c>
      <c r="J86">
        <v>24</v>
      </c>
      <c r="K86" s="8">
        <v>200</v>
      </c>
      <c r="L86" t="s">
        <v>300</v>
      </c>
      <c r="M86" s="8">
        <v>100</v>
      </c>
    </row>
    <row r="87" s="10" customFormat="1" spans="1:13">
      <c r="A87" t="s">
        <v>19</v>
      </c>
      <c r="B87" s="10">
        <v>82</v>
      </c>
      <c r="C87" s="10">
        <v>28</v>
      </c>
      <c r="D87" s="10">
        <v>1</v>
      </c>
      <c r="E87" s="10">
        <v>4</v>
      </c>
      <c r="F87">
        <v>405821</v>
      </c>
      <c r="G87" s="10" t="s">
        <v>301</v>
      </c>
      <c r="H87">
        <v>405822</v>
      </c>
      <c r="I87" s="10" t="s">
        <v>302</v>
      </c>
      <c r="J87" s="10">
        <v>25</v>
      </c>
      <c r="K87" s="10">
        <v>8</v>
      </c>
      <c r="L87" s="10" t="s">
        <v>303</v>
      </c>
      <c r="M87" s="10">
        <v>10</v>
      </c>
    </row>
    <row r="88" s="10" customFormat="1" spans="1:13">
      <c r="A88" t="s">
        <v>19</v>
      </c>
      <c r="B88" s="10">
        <v>83</v>
      </c>
      <c r="C88" s="10">
        <v>28</v>
      </c>
      <c r="D88" s="10">
        <v>2</v>
      </c>
      <c r="E88" s="10">
        <v>4</v>
      </c>
      <c r="F88">
        <v>405831</v>
      </c>
      <c r="G88" s="10" t="s">
        <v>304</v>
      </c>
      <c r="H88">
        <v>405832</v>
      </c>
      <c r="I88" s="10" t="s">
        <v>305</v>
      </c>
      <c r="J88" s="10">
        <v>25</v>
      </c>
      <c r="K88" s="10">
        <v>4</v>
      </c>
      <c r="L88" s="10" t="s">
        <v>306</v>
      </c>
      <c r="M88" s="10">
        <v>50</v>
      </c>
    </row>
    <row r="89" s="10" customFormat="1" spans="1:13">
      <c r="A89" t="s">
        <v>19</v>
      </c>
      <c r="B89" s="10">
        <v>84</v>
      </c>
      <c r="C89" s="10">
        <v>28</v>
      </c>
      <c r="D89" s="10">
        <v>3</v>
      </c>
      <c r="E89" s="10">
        <v>4</v>
      </c>
      <c r="F89">
        <v>405841</v>
      </c>
      <c r="G89" s="10" t="s">
        <v>307</v>
      </c>
      <c r="H89">
        <v>405842</v>
      </c>
      <c r="I89" s="10" t="s">
        <v>308</v>
      </c>
      <c r="J89" s="10">
        <v>25</v>
      </c>
      <c r="K89" s="10">
        <v>1</v>
      </c>
      <c r="L89" s="10" t="s">
        <v>309</v>
      </c>
      <c r="M89" s="10">
        <v>100</v>
      </c>
    </row>
    <row r="90" s="10" customFormat="1" spans="1:13">
      <c r="A90" t="s">
        <v>19</v>
      </c>
      <c r="B90" s="10">
        <v>85</v>
      </c>
      <c r="C90" s="10">
        <v>29</v>
      </c>
      <c r="D90" s="10">
        <v>1</v>
      </c>
      <c r="E90" s="10">
        <v>5</v>
      </c>
      <c r="F90">
        <v>405851</v>
      </c>
      <c r="G90" s="10" t="s">
        <v>310</v>
      </c>
      <c r="H90">
        <v>405852</v>
      </c>
      <c r="J90" s="10">
        <v>26</v>
      </c>
      <c r="L90" s="10" t="s">
        <v>311</v>
      </c>
      <c r="M90" s="10">
        <v>10</v>
      </c>
    </row>
    <row r="91" s="10" customFormat="1" spans="1:13">
      <c r="A91" t="s">
        <v>19</v>
      </c>
      <c r="B91" s="10">
        <v>86</v>
      </c>
      <c r="C91" s="10">
        <v>29</v>
      </c>
      <c r="D91" s="10">
        <v>2</v>
      </c>
      <c r="E91" s="10">
        <v>5</v>
      </c>
      <c r="F91">
        <v>405861</v>
      </c>
      <c r="G91" s="10" t="s">
        <v>310</v>
      </c>
      <c r="H91">
        <v>405862</v>
      </c>
      <c r="J91" s="10">
        <v>26</v>
      </c>
      <c r="L91" s="10" t="s">
        <v>312</v>
      </c>
      <c r="M91" s="10">
        <v>50</v>
      </c>
    </row>
    <row r="92" s="10" customFormat="1" spans="1:13">
      <c r="A92" t="s">
        <v>19</v>
      </c>
      <c r="B92" s="10">
        <v>87</v>
      </c>
      <c r="C92" s="10">
        <v>29</v>
      </c>
      <c r="D92" s="10">
        <v>3</v>
      </c>
      <c r="E92" s="10">
        <v>5</v>
      </c>
      <c r="F92">
        <v>405871</v>
      </c>
      <c r="G92" s="10" t="s">
        <v>310</v>
      </c>
      <c r="H92">
        <v>405872</v>
      </c>
      <c r="J92" s="10">
        <v>26</v>
      </c>
      <c r="L92" s="10" t="s">
        <v>313</v>
      </c>
      <c r="M92" s="10">
        <v>100</v>
      </c>
    </row>
    <row r="93" customFormat="1" spans="2:13">
      <c r="B93">
        <v>88</v>
      </c>
      <c r="C93">
        <v>30</v>
      </c>
      <c r="D93">
        <v>1</v>
      </c>
      <c r="E93">
        <v>5</v>
      </c>
      <c r="F93">
        <v>405881</v>
      </c>
      <c r="G93" t="s">
        <v>314</v>
      </c>
      <c r="H93">
        <v>405882</v>
      </c>
      <c r="I93" t="s">
        <v>315</v>
      </c>
      <c r="J93">
        <v>27</v>
      </c>
      <c r="K93">
        <v>10</v>
      </c>
      <c r="L93" t="s">
        <v>316</v>
      </c>
      <c r="M93">
        <v>10</v>
      </c>
    </row>
    <row r="94" customFormat="1" spans="2:13">
      <c r="B94">
        <v>89</v>
      </c>
      <c r="C94">
        <v>30</v>
      </c>
      <c r="D94">
        <v>2</v>
      </c>
      <c r="E94">
        <v>5</v>
      </c>
      <c r="F94">
        <v>405891</v>
      </c>
      <c r="G94" t="s">
        <v>317</v>
      </c>
      <c r="H94">
        <v>405892</v>
      </c>
      <c r="I94" t="s">
        <v>318</v>
      </c>
      <c r="J94">
        <v>27</v>
      </c>
      <c r="K94">
        <v>50</v>
      </c>
      <c r="L94" t="s">
        <v>319</v>
      </c>
      <c r="M94">
        <v>50</v>
      </c>
    </row>
    <row r="95" customFormat="1" spans="2:13">
      <c r="B95">
        <v>90</v>
      </c>
      <c r="C95">
        <v>30</v>
      </c>
      <c r="D95">
        <v>3</v>
      </c>
      <c r="E95">
        <v>5</v>
      </c>
      <c r="F95">
        <v>405901</v>
      </c>
      <c r="G95" t="s">
        <v>320</v>
      </c>
      <c r="H95">
        <v>405902</v>
      </c>
      <c r="I95" t="s">
        <v>321</v>
      </c>
      <c r="J95">
        <v>27</v>
      </c>
      <c r="K95">
        <v>200</v>
      </c>
      <c r="L95" t="s">
        <v>322</v>
      </c>
      <c r="M95">
        <v>100</v>
      </c>
    </row>
    <row r="96" s="10" customFormat="1" spans="1:13">
      <c r="A96" t="s">
        <v>19</v>
      </c>
      <c r="B96" s="10">
        <v>91</v>
      </c>
      <c r="C96" s="10">
        <v>31</v>
      </c>
      <c r="D96" s="10">
        <v>1</v>
      </c>
      <c r="E96" s="10">
        <v>5</v>
      </c>
      <c r="F96">
        <v>405911</v>
      </c>
      <c r="G96" s="10" t="s">
        <v>323</v>
      </c>
      <c r="H96">
        <v>405912</v>
      </c>
      <c r="I96" s="10" t="s">
        <v>324</v>
      </c>
      <c r="J96" s="10">
        <v>28</v>
      </c>
      <c r="K96" s="10">
        <v>10</v>
      </c>
      <c r="L96" s="10" t="s">
        <v>325</v>
      </c>
      <c r="M96" s="10">
        <v>10</v>
      </c>
    </row>
    <row r="97" s="10" customFormat="1" spans="1:13">
      <c r="A97" t="s">
        <v>19</v>
      </c>
      <c r="B97" s="10">
        <v>92</v>
      </c>
      <c r="C97" s="10">
        <v>31</v>
      </c>
      <c r="D97" s="10">
        <v>2</v>
      </c>
      <c r="E97" s="10">
        <v>5</v>
      </c>
      <c r="F97">
        <v>405921</v>
      </c>
      <c r="G97" s="10" t="s">
        <v>323</v>
      </c>
      <c r="H97">
        <v>405922</v>
      </c>
      <c r="I97" s="10" t="s">
        <v>326</v>
      </c>
      <c r="J97" s="10">
        <v>28</v>
      </c>
      <c r="K97" s="10">
        <v>20</v>
      </c>
      <c r="L97" s="10" t="s">
        <v>327</v>
      </c>
      <c r="M97" s="10">
        <v>50</v>
      </c>
    </row>
    <row r="98" s="10" customFormat="1" spans="1:13">
      <c r="A98" t="s">
        <v>19</v>
      </c>
      <c r="B98" s="10">
        <v>93</v>
      </c>
      <c r="C98" s="10">
        <v>31</v>
      </c>
      <c r="D98" s="10">
        <v>3</v>
      </c>
      <c r="E98" s="10">
        <v>5</v>
      </c>
      <c r="F98">
        <v>405931</v>
      </c>
      <c r="G98" s="10" t="s">
        <v>323</v>
      </c>
      <c r="H98">
        <v>405932</v>
      </c>
      <c r="I98" s="10" t="s">
        <v>328</v>
      </c>
      <c r="J98" s="10">
        <v>28</v>
      </c>
      <c r="K98" s="10">
        <v>50</v>
      </c>
      <c r="L98" s="10" t="s">
        <v>329</v>
      </c>
      <c r="M98" s="10">
        <v>100</v>
      </c>
    </row>
    <row r="99" s="10" customFormat="1" spans="1:13">
      <c r="A99" t="s">
        <v>19</v>
      </c>
      <c r="B99" s="10">
        <v>94</v>
      </c>
      <c r="C99" s="10">
        <v>32</v>
      </c>
      <c r="D99" s="10">
        <v>1</v>
      </c>
      <c r="E99" s="10">
        <v>5</v>
      </c>
      <c r="F99">
        <v>405941</v>
      </c>
      <c r="G99" s="10" t="s">
        <v>330</v>
      </c>
      <c r="H99">
        <v>405942</v>
      </c>
      <c r="I99" s="10" t="s">
        <v>331</v>
      </c>
      <c r="J99" s="10">
        <v>29</v>
      </c>
      <c r="K99" s="10">
        <v>10</v>
      </c>
      <c r="L99" s="10" t="s">
        <v>332</v>
      </c>
      <c r="M99" s="10">
        <v>10</v>
      </c>
    </row>
    <row r="100" s="10" customFormat="1" spans="1:13">
      <c r="A100" t="s">
        <v>19</v>
      </c>
      <c r="B100" s="10">
        <v>95</v>
      </c>
      <c r="C100" s="10">
        <v>32</v>
      </c>
      <c r="D100" s="10">
        <v>2</v>
      </c>
      <c r="E100" s="10">
        <v>5</v>
      </c>
      <c r="F100">
        <v>405951</v>
      </c>
      <c r="G100" s="10" t="s">
        <v>330</v>
      </c>
      <c r="H100">
        <v>405952</v>
      </c>
      <c r="I100" s="10" t="s">
        <v>333</v>
      </c>
      <c r="J100" s="10">
        <v>29</v>
      </c>
      <c r="K100" s="10">
        <v>20</v>
      </c>
      <c r="L100" s="10" t="s">
        <v>334</v>
      </c>
      <c r="M100" s="10">
        <v>50</v>
      </c>
    </row>
    <row r="101" s="10" customFormat="1" spans="1:13">
      <c r="A101" t="s">
        <v>19</v>
      </c>
      <c r="B101" s="10">
        <v>96</v>
      </c>
      <c r="C101" s="10">
        <v>32</v>
      </c>
      <c r="D101" s="10">
        <v>3</v>
      </c>
      <c r="E101" s="10">
        <v>5</v>
      </c>
      <c r="F101">
        <v>405961</v>
      </c>
      <c r="G101" s="10" t="s">
        <v>330</v>
      </c>
      <c r="H101">
        <v>405962</v>
      </c>
      <c r="I101" s="10" t="s">
        <v>335</v>
      </c>
      <c r="J101" s="10">
        <v>29</v>
      </c>
      <c r="K101" s="10">
        <v>30</v>
      </c>
      <c r="L101" s="10" t="s">
        <v>336</v>
      </c>
      <c r="M101" s="10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workbookViewId="0">
      <selection activeCell="A1" sqref="A1:A5"/>
    </sheetView>
  </sheetViews>
  <sheetFormatPr defaultColWidth="11" defaultRowHeight="14.25" outlineLevelCol="6"/>
  <cols>
    <col min="1" max="1" width="11" style="8"/>
    <col min="2" max="2" width="26.8833333333333" style="8" customWidth="1"/>
    <col min="3" max="3" width="16.8833333333333" style="8" customWidth="1"/>
    <col min="4" max="4" width="12.2166666666667" style="8" customWidth="1"/>
    <col min="5" max="5" width="17.2166666666667" style="8" customWidth="1"/>
    <col min="6" max="6" width="14.775" style="8" customWidth="1"/>
    <col min="7" max="7" width="12.8833333333333" style="8" customWidth="1"/>
    <col min="8" max="8" width="13" style="8" customWidth="1"/>
    <col min="9" max="9" width="11" style="8" customWidth="1"/>
    <col min="10" max="16384" width="11" style="8"/>
  </cols>
  <sheetData>
    <row r="1" spans="1:5">
      <c r="A1" t="s">
        <v>0</v>
      </c>
      <c r="B1" s="8" t="s">
        <v>337</v>
      </c>
      <c r="C1" t="s">
        <v>338</v>
      </c>
      <c r="D1" s="8" t="s">
        <v>339</v>
      </c>
      <c r="E1" s="8" t="s">
        <v>340</v>
      </c>
    </row>
    <row r="2" ht="15.75" spans="1:5">
      <c r="A2" t="s">
        <v>7</v>
      </c>
      <c r="B2" s="11" t="s">
        <v>341</v>
      </c>
      <c r="C2" s="11" t="s">
        <v>342</v>
      </c>
      <c r="D2" s="11" t="s">
        <v>26</v>
      </c>
      <c r="E2" s="12" t="s">
        <v>343</v>
      </c>
    </row>
    <row r="3" spans="1:5">
      <c r="A3" t="s">
        <v>14</v>
      </c>
      <c r="B3" s="11" t="s">
        <v>15</v>
      </c>
      <c r="C3" s="11" t="s">
        <v>15</v>
      </c>
      <c r="D3" s="11" t="s">
        <v>15</v>
      </c>
      <c r="E3" s="11" t="s">
        <v>16</v>
      </c>
    </row>
    <row r="4" spans="1:5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</row>
    <row r="5" spans="1:5">
      <c r="A5" t="s">
        <v>19</v>
      </c>
      <c r="B5" s="11"/>
      <c r="C5" s="11">
        <v>0</v>
      </c>
      <c r="D5" s="11">
        <v>0</v>
      </c>
      <c r="E5" s="11" t="s">
        <v>344</v>
      </c>
    </row>
    <row r="6" spans="1:5">
      <c r="A6" s="8" t="s">
        <v>345</v>
      </c>
      <c r="B6">
        <v>1</v>
      </c>
      <c r="C6" s="8">
        <v>10</v>
      </c>
      <c r="D6" s="8">
        <v>2001</v>
      </c>
      <c r="E6" s="8" t="s">
        <v>344</v>
      </c>
    </row>
    <row r="7" s="7" customFormat="1" ht="15.75" spans="2:5">
      <c r="B7" s="13">
        <v>2</v>
      </c>
      <c r="C7" s="7">
        <v>50</v>
      </c>
      <c r="D7" s="8">
        <v>2001</v>
      </c>
      <c r="E7" s="7" t="s">
        <v>344</v>
      </c>
    </row>
    <row r="8" s="7" customFormat="1" ht="15.75" spans="2:5">
      <c r="B8">
        <v>3</v>
      </c>
      <c r="C8" s="7">
        <v>100</v>
      </c>
      <c r="D8" s="8">
        <v>2001</v>
      </c>
      <c r="E8" s="7" t="s">
        <v>344</v>
      </c>
    </row>
    <row r="9" s="7" customFormat="1" ht="15.75" spans="2:7">
      <c r="B9" s="13">
        <v>4</v>
      </c>
      <c r="C9" s="7">
        <v>160</v>
      </c>
      <c r="D9" s="8">
        <v>2001</v>
      </c>
      <c r="E9" s="7" t="s">
        <v>344</v>
      </c>
      <c r="F9" s="13"/>
      <c r="G9" s="13"/>
    </row>
    <row r="10" s="7" customFormat="1" ht="15.75" spans="2:7">
      <c r="B10">
        <v>5</v>
      </c>
      <c r="C10" s="7">
        <v>230</v>
      </c>
      <c r="D10" s="8">
        <v>2005</v>
      </c>
      <c r="E10" s="7" t="s">
        <v>344</v>
      </c>
      <c r="F10" s="13"/>
      <c r="G10" s="13"/>
    </row>
    <row r="11" ht="15.75" spans="2:7">
      <c r="B11" s="13">
        <v>6</v>
      </c>
      <c r="C11" s="7">
        <v>310</v>
      </c>
      <c r="D11" s="8">
        <v>2001</v>
      </c>
      <c r="E11" s="8" t="s">
        <v>344</v>
      </c>
      <c r="F11"/>
      <c r="G11"/>
    </row>
    <row r="12" s="7" customFormat="1" ht="15.75" spans="2:7">
      <c r="B12">
        <v>7</v>
      </c>
      <c r="C12" s="7">
        <v>400</v>
      </c>
      <c r="D12" s="8">
        <v>2001</v>
      </c>
      <c r="E12" s="7" t="s">
        <v>344</v>
      </c>
      <c r="F12" s="13"/>
      <c r="G12" s="13"/>
    </row>
    <row r="13" s="7" customFormat="1" ht="15.75" spans="2:7">
      <c r="B13" s="13">
        <v>8</v>
      </c>
      <c r="C13" s="7">
        <v>500</v>
      </c>
      <c r="D13" s="8">
        <v>2001</v>
      </c>
      <c r="E13" s="7" t="s">
        <v>344</v>
      </c>
      <c r="F13" s="13"/>
      <c r="G13" s="13"/>
    </row>
    <row r="14" s="7" customFormat="1" ht="15.75" spans="2:7">
      <c r="B14">
        <v>9</v>
      </c>
      <c r="C14" s="7">
        <v>610</v>
      </c>
      <c r="D14" s="8">
        <v>2001</v>
      </c>
      <c r="E14" s="7" t="s">
        <v>344</v>
      </c>
      <c r="F14" s="13"/>
      <c r="G14" s="13"/>
    </row>
    <row r="15" s="7" customFormat="1" ht="15.75" spans="2:7">
      <c r="B15" s="13">
        <v>10</v>
      </c>
      <c r="C15" s="7">
        <v>730</v>
      </c>
      <c r="D15" s="8">
        <v>2005</v>
      </c>
      <c r="E15" s="7" t="s">
        <v>344</v>
      </c>
      <c r="F15" s="13"/>
      <c r="G15" s="13"/>
    </row>
    <row r="16" ht="15.75" spans="2:7">
      <c r="B16">
        <v>11</v>
      </c>
      <c r="C16" s="7">
        <v>860</v>
      </c>
      <c r="D16" s="8">
        <v>2001</v>
      </c>
      <c r="E16" s="8" t="s">
        <v>346</v>
      </c>
      <c r="F16"/>
      <c r="G16"/>
    </row>
    <row r="17" s="7" customFormat="1" ht="15.75" spans="2:7">
      <c r="B17" s="13">
        <v>12</v>
      </c>
      <c r="C17" s="7">
        <v>1000</v>
      </c>
      <c r="D17" s="8">
        <v>2001</v>
      </c>
      <c r="E17" s="7" t="s">
        <v>346</v>
      </c>
      <c r="F17" s="13"/>
      <c r="G17" s="13"/>
    </row>
    <row r="18" ht="15.75" spans="2:7">
      <c r="B18">
        <v>13</v>
      </c>
      <c r="C18" s="7">
        <v>1150</v>
      </c>
      <c r="D18" s="8">
        <v>2001</v>
      </c>
      <c r="E18" t="s">
        <v>346</v>
      </c>
      <c r="F18"/>
      <c r="G18"/>
    </row>
    <row r="19" ht="15.75" spans="2:7">
      <c r="B19" s="13">
        <v>14</v>
      </c>
      <c r="C19" s="7">
        <v>1310</v>
      </c>
      <c r="D19" s="8">
        <v>2001</v>
      </c>
      <c r="E19" s="8" t="s">
        <v>346</v>
      </c>
      <c r="F19"/>
      <c r="G19"/>
    </row>
    <row r="20" ht="15.75" spans="2:7">
      <c r="B20">
        <v>15</v>
      </c>
      <c r="C20" s="7">
        <v>1480</v>
      </c>
      <c r="D20" s="8">
        <v>2005</v>
      </c>
      <c r="E20" s="8" t="s">
        <v>346</v>
      </c>
      <c r="F20"/>
      <c r="G20"/>
    </row>
    <row r="21" ht="15.75" spans="2:7">
      <c r="B21" s="13">
        <v>16</v>
      </c>
      <c r="C21" s="7">
        <v>1660</v>
      </c>
      <c r="D21" s="8">
        <v>2001</v>
      </c>
      <c r="E21" s="8" t="s">
        <v>346</v>
      </c>
      <c r="F21"/>
      <c r="G21"/>
    </row>
    <row r="22" ht="15.75" spans="2:7">
      <c r="B22">
        <v>17</v>
      </c>
      <c r="C22" s="7">
        <v>1850</v>
      </c>
      <c r="D22" s="8">
        <v>2001</v>
      </c>
      <c r="E22" s="8" t="s">
        <v>346</v>
      </c>
      <c r="F22"/>
      <c r="G22"/>
    </row>
    <row r="23" ht="15.75" spans="2:5">
      <c r="B23" s="13">
        <v>18</v>
      </c>
      <c r="C23" s="7">
        <v>2050</v>
      </c>
      <c r="D23" s="8">
        <v>2001</v>
      </c>
      <c r="E23" s="8" t="s">
        <v>346</v>
      </c>
    </row>
    <row r="24" ht="15.75" spans="2:5">
      <c r="B24">
        <v>19</v>
      </c>
      <c r="C24" s="7">
        <v>2260</v>
      </c>
      <c r="D24" s="8">
        <v>2001</v>
      </c>
      <c r="E24" s="8" t="s">
        <v>346</v>
      </c>
    </row>
    <row r="25" ht="15.75" spans="2:5">
      <c r="B25" s="13">
        <v>20</v>
      </c>
      <c r="C25" s="7">
        <v>2480</v>
      </c>
      <c r="D25" s="8">
        <v>2005</v>
      </c>
      <c r="E25" t="s">
        <v>346</v>
      </c>
    </row>
    <row r="26" ht="15.75" spans="2:5">
      <c r="B26">
        <v>21</v>
      </c>
      <c r="C26" s="7">
        <v>2710</v>
      </c>
      <c r="D26" s="8">
        <v>2001</v>
      </c>
      <c r="E26" s="8" t="s">
        <v>347</v>
      </c>
    </row>
    <row r="27" ht="15.75" spans="2:5">
      <c r="B27" s="13">
        <v>22</v>
      </c>
      <c r="C27" s="7">
        <v>2950</v>
      </c>
      <c r="D27" s="8">
        <v>2001</v>
      </c>
      <c r="E27" s="8" t="s">
        <v>347</v>
      </c>
    </row>
    <row r="28" ht="15.75" spans="2:5">
      <c r="B28">
        <v>23</v>
      </c>
      <c r="C28" s="7">
        <v>3200</v>
      </c>
      <c r="D28" s="8">
        <v>2001</v>
      </c>
      <c r="E28" s="8" t="s">
        <v>347</v>
      </c>
    </row>
    <row r="29" ht="15.75" spans="2:5">
      <c r="B29" s="13">
        <v>24</v>
      </c>
      <c r="C29" s="7">
        <v>3460</v>
      </c>
      <c r="D29" s="8">
        <v>2001</v>
      </c>
      <c r="E29" s="8" t="s">
        <v>347</v>
      </c>
    </row>
    <row r="30" ht="15.75" spans="2:5">
      <c r="B30">
        <v>25</v>
      </c>
      <c r="C30" s="7">
        <v>3730</v>
      </c>
      <c r="D30" s="8">
        <v>2005</v>
      </c>
      <c r="E30" s="8" t="s">
        <v>347</v>
      </c>
    </row>
    <row r="31" ht="15.75" spans="2:5">
      <c r="B31" s="13">
        <v>26</v>
      </c>
      <c r="C31" s="7">
        <v>4010</v>
      </c>
      <c r="D31" s="8">
        <v>2001</v>
      </c>
      <c r="E31" s="8" t="s">
        <v>347</v>
      </c>
    </row>
    <row r="32" ht="15.75" spans="2:5">
      <c r="B32">
        <v>27</v>
      </c>
      <c r="C32" s="7">
        <v>4300</v>
      </c>
      <c r="D32" s="8">
        <v>2001</v>
      </c>
      <c r="E32" s="8" t="s">
        <v>347</v>
      </c>
    </row>
    <row r="33" ht="15.75" spans="2:5">
      <c r="B33" s="13">
        <v>28</v>
      </c>
      <c r="C33" s="7">
        <v>4600</v>
      </c>
      <c r="D33" s="8">
        <v>2001</v>
      </c>
      <c r="E33" s="8" t="s">
        <v>347</v>
      </c>
    </row>
    <row r="34" ht="15.75" spans="2:5">
      <c r="B34">
        <v>29</v>
      </c>
      <c r="C34" s="7">
        <v>4910</v>
      </c>
      <c r="D34" s="8">
        <v>2001</v>
      </c>
      <c r="E34" s="8" t="s">
        <v>347</v>
      </c>
    </row>
    <row r="35" ht="15.75" spans="2:5">
      <c r="B35" s="13">
        <v>30</v>
      </c>
      <c r="C35" s="7">
        <v>5230</v>
      </c>
      <c r="D35" s="8">
        <v>2030</v>
      </c>
      <c r="E35" s="8" t="s">
        <v>347</v>
      </c>
    </row>
    <row r="36" ht="15.75" spans="2:5">
      <c r="B36" s="10">
        <v>31</v>
      </c>
      <c r="C36" s="7">
        <v>5560</v>
      </c>
      <c r="D36" s="8">
        <v>2001</v>
      </c>
      <c r="E36" t="s">
        <v>348</v>
      </c>
    </row>
    <row r="37" ht="15.75" spans="2:5">
      <c r="B37" s="10">
        <v>32</v>
      </c>
      <c r="C37" s="7">
        <v>5900</v>
      </c>
      <c r="D37" s="8">
        <v>2001</v>
      </c>
      <c r="E37" t="s">
        <v>348</v>
      </c>
    </row>
    <row r="38" ht="15.75" spans="2:5">
      <c r="B38" s="10">
        <v>33</v>
      </c>
      <c r="C38" s="7">
        <v>6250</v>
      </c>
      <c r="D38" s="8">
        <v>2001</v>
      </c>
      <c r="E38" t="s">
        <v>348</v>
      </c>
    </row>
    <row r="39" ht="15.75" spans="2:5">
      <c r="B39" s="10">
        <v>34</v>
      </c>
      <c r="C39" s="7">
        <v>6610</v>
      </c>
      <c r="D39" s="8">
        <v>2001</v>
      </c>
      <c r="E39" t="s">
        <v>348</v>
      </c>
    </row>
    <row r="40" ht="15.75" spans="2:5">
      <c r="B40" s="10">
        <v>35</v>
      </c>
      <c r="C40" s="7">
        <v>6980</v>
      </c>
      <c r="D40" s="8">
        <f>2000+B40</f>
        <v>2035</v>
      </c>
      <c r="E40" t="s">
        <v>348</v>
      </c>
    </row>
    <row r="41" ht="15.75" spans="2:5">
      <c r="B41" s="10">
        <v>36</v>
      </c>
      <c r="C41" s="7">
        <v>7360</v>
      </c>
      <c r="D41" s="8">
        <v>2001</v>
      </c>
      <c r="E41" t="s">
        <v>348</v>
      </c>
    </row>
    <row r="42" ht="15.75" spans="2:5">
      <c r="B42" s="10">
        <v>37</v>
      </c>
      <c r="C42" s="7">
        <v>7750</v>
      </c>
      <c r="D42" s="8">
        <v>2001</v>
      </c>
      <c r="E42" t="s">
        <v>348</v>
      </c>
    </row>
    <row r="43" ht="15.75" spans="2:5">
      <c r="B43" s="10">
        <v>38</v>
      </c>
      <c r="C43" s="7">
        <v>8150</v>
      </c>
      <c r="D43" s="8">
        <v>2001</v>
      </c>
      <c r="E43" t="s">
        <v>348</v>
      </c>
    </row>
    <row r="44" ht="15.75" spans="2:5">
      <c r="B44" s="10">
        <v>39</v>
      </c>
      <c r="C44" s="7">
        <v>8560</v>
      </c>
      <c r="D44" s="8">
        <v>2001</v>
      </c>
      <c r="E44" t="s">
        <v>348</v>
      </c>
    </row>
    <row r="45" ht="15.75" spans="2:5">
      <c r="B45" s="10">
        <v>40</v>
      </c>
      <c r="C45" s="7">
        <v>8980</v>
      </c>
      <c r="D45" s="8">
        <f>2000+B45</f>
        <v>2040</v>
      </c>
      <c r="E45" t="s">
        <v>348</v>
      </c>
    </row>
    <row r="46" ht="15.75" spans="2:5">
      <c r="B46" s="10">
        <v>41</v>
      </c>
      <c r="C46" s="7">
        <v>9410</v>
      </c>
      <c r="D46" s="8">
        <v>2001</v>
      </c>
      <c r="E46" t="s">
        <v>349</v>
      </c>
    </row>
    <row r="47" ht="15.75" spans="2:5">
      <c r="B47" s="10">
        <v>42</v>
      </c>
      <c r="C47" s="7">
        <v>9850</v>
      </c>
      <c r="D47" s="8">
        <v>2001</v>
      </c>
      <c r="E47" t="s">
        <v>349</v>
      </c>
    </row>
    <row r="48" ht="15.75" spans="2:5">
      <c r="B48" s="10">
        <v>43</v>
      </c>
      <c r="C48" s="7">
        <v>10300</v>
      </c>
      <c r="D48" s="8">
        <v>2001</v>
      </c>
      <c r="E48" t="s">
        <v>349</v>
      </c>
    </row>
    <row r="49" ht="15.75" spans="2:5">
      <c r="B49" s="10">
        <v>44</v>
      </c>
      <c r="C49" s="7">
        <v>10760</v>
      </c>
      <c r="D49" s="8">
        <v>2001</v>
      </c>
      <c r="E49" t="s">
        <v>349</v>
      </c>
    </row>
    <row r="50" ht="15.75" spans="2:5">
      <c r="B50" s="10">
        <v>45</v>
      </c>
      <c r="C50" s="7">
        <v>11230</v>
      </c>
      <c r="D50" s="8">
        <f>2000+B50</f>
        <v>2045</v>
      </c>
      <c r="E50" t="s">
        <v>349</v>
      </c>
    </row>
    <row r="51" ht="15.75" spans="2:5">
      <c r="B51" s="10">
        <v>46</v>
      </c>
      <c r="C51" s="7">
        <v>11710</v>
      </c>
      <c r="D51" s="8">
        <v>2001</v>
      </c>
      <c r="E51" t="s">
        <v>349</v>
      </c>
    </row>
    <row r="52" ht="15.75" spans="2:5">
      <c r="B52" s="10">
        <v>47</v>
      </c>
      <c r="C52" s="7">
        <v>12200</v>
      </c>
      <c r="D52" s="8">
        <v>2001</v>
      </c>
      <c r="E52" t="s">
        <v>349</v>
      </c>
    </row>
    <row r="53" ht="15.75" spans="2:5">
      <c r="B53" s="10">
        <v>48</v>
      </c>
      <c r="C53" s="7">
        <v>12700</v>
      </c>
      <c r="D53" s="8">
        <v>2001</v>
      </c>
      <c r="E53" t="s">
        <v>349</v>
      </c>
    </row>
    <row r="54" ht="15.75" spans="2:5">
      <c r="B54" s="10">
        <v>49</v>
      </c>
      <c r="C54" s="7">
        <v>13210</v>
      </c>
      <c r="D54" s="8">
        <v>2001</v>
      </c>
      <c r="E54" t="s">
        <v>349</v>
      </c>
    </row>
    <row r="55" ht="15.75" spans="2:5">
      <c r="B55" s="10">
        <v>50</v>
      </c>
      <c r="C55" s="7">
        <v>13730</v>
      </c>
      <c r="D55" s="8">
        <f>2000+B55</f>
        <v>2050</v>
      </c>
      <c r="E55" t="s">
        <v>349</v>
      </c>
    </row>
    <row r="56" spans="2:2">
      <c r="B56"/>
    </row>
    <row r="57" ht="15.75" spans="2:2">
      <c r="B57" s="13"/>
    </row>
    <row r="58" spans="2:2">
      <c r="B58"/>
    </row>
    <row r="59" ht="15.75" spans="2:2">
      <c r="B59" s="13"/>
    </row>
    <row r="60" spans="2:2">
      <c r="B60"/>
    </row>
    <row r="61" ht="15.75" spans="2:2">
      <c r="B61" s="13"/>
    </row>
    <row r="62" spans="2:2">
      <c r="B62"/>
    </row>
    <row r="63" ht="15.75" spans="2:2">
      <c r="B63" s="13"/>
    </row>
    <row r="64" spans="2:2">
      <c r="B64"/>
    </row>
    <row r="65" ht="15.75" spans="2:2">
      <c r="B65" s="13"/>
    </row>
    <row r="66" spans="2:2">
      <c r="B66"/>
    </row>
    <row r="67" ht="15.75" spans="2:2">
      <c r="B67" s="13"/>
    </row>
    <row r="68" spans="2:2">
      <c r="B68"/>
    </row>
    <row r="69" ht="15.75" spans="2:2">
      <c r="B69" s="13"/>
    </row>
    <row r="70" spans="2:2">
      <c r="B70"/>
    </row>
    <row r="71" ht="15.75" spans="2:2">
      <c r="B71" s="13"/>
    </row>
    <row r="72" spans="2:2">
      <c r="B72"/>
    </row>
    <row r="73" ht="15.75" spans="2:2">
      <c r="B73" s="13"/>
    </row>
    <row r="74" spans="2:2">
      <c r="B74"/>
    </row>
    <row r="75" ht="15.75" spans="2:2">
      <c r="B75" s="13"/>
    </row>
    <row r="76" spans="2:2">
      <c r="B76"/>
    </row>
    <row r="77" ht="15.75" spans="2:2">
      <c r="B77" s="13"/>
    </row>
    <row r="78" spans="2:2">
      <c r="B78"/>
    </row>
    <row r="79" ht="15.75" spans="2:2">
      <c r="B79" s="13"/>
    </row>
    <row r="80" spans="2:2">
      <c r="B80"/>
    </row>
    <row r="81" ht="15.75" spans="2:2">
      <c r="B81" s="13"/>
    </row>
    <row r="82" spans="2:2">
      <c r="B82"/>
    </row>
    <row r="83" ht="15.75" spans="2:2">
      <c r="B83" s="13"/>
    </row>
    <row r="84" spans="2:2">
      <c r="B84"/>
    </row>
    <row r="85" ht="15.75" spans="2:2">
      <c r="B85" s="13"/>
    </row>
    <row r="86" spans="2:2">
      <c r="B86"/>
    </row>
    <row r="87" ht="15.75" spans="2:2">
      <c r="B87" s="13"/>
    </row>
    <row r="88" spans="2:2">
      <c r="B88"/>
    </row>
    <row r="89" ht="15.75" spans="2:2">
      <c r="B89" s="13"/>
    </row>
    <row r="90" spans="2:2">
      <c r="B90"/>
    </row>
    <row r="91" ht="15.75" spans="2:2">
      <c r="B91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tabSelected="1" topLeftCell="C1" workbookViewId="0">
      <pane ySplit="5" topLeftCell="A6" activePane="bottomLeft" state="frozen"/>
      <selection/>
      <selection pane="bottomLeft" activeCell="N9" sqref="N9"/>
    </sheetView>
  </sheetViews>
  <sheetFormatPr defaultColWidth="9" defaultRowHeight="14.25"/>
  <cols>
    <col min="1" max="1" width="15.1083333333333" customWidth="1"/>
    <col min="2" max="2" width="28.6666666666667" customWidth="1"/>
    <col min="3" max="3" width="16.6666666666667" customWidth="1"/>
    <col min="4" max="4" width="15.775" customWidth="1"/>
    <col min="5" max="5" width="17" customWidth="1"/>
    <col min="6" max="6" width="18.3333333333333" customWidth="1"/>
    <col min="7" max="7" width="18.6666666666667" customWidth="1"/>
    <col min="8" max="8" width="18.2166666666667" customWidth="1"/>
    <col min="9" max="9" width="14" customWidth="1"/>
    <col min="10" max="10" width="18" customWidth="1"/>
    <col min="11" max="11" width="16.4416666666667" customWidth="1"/>
    <col min="12" max="12" width="13.625" customWidth="1"/>
    <col min="13" max="13" width="12.25" customWidth="1"/>
  </cols>
  <sheetData>
    <row r="1" ht="15.75" spans="1:13">
      <c r="A1" t="s">
        <v>0</v>
      </c>
      <c r="B1" s="20" t="s">
        <v>350</v>
      </c>
      <c r="C1" t="s">
        <v>351</v>
      </c>
      <c r="D1" t="s">
        <v>352</v>
      </c>
      <c r="E1" s="20" t="s">
        <v>353</v>
      </c>
      <c r="F1" s="20" t="s">
        <v>354</v>
      </c>
      <c r="G1" t="s">
        <v>35</v>
      </c>
      <c r="H1" t="s">
        <v>36</v>
      </c>
      <c r="I1" t="s">
        <v>37</v>
      </c>
      <c r="J1" t="s">
        <v>38</v>
      </c>
      <c r="K1" s="20" t="s">
        <v>355</v>
      </c>
      <c r="L1" s="20" t="s">
        <v>356</v>
      </c>
      <c r="M1" t="s">
        <v>357</v>
      </c>
    </row>
    <row r="2" ht="15.75" spans="1:13">
      <c r="A2" t="s">
        <v>7</v>
      </c>
      <c r="B2" s="21" t="s">
        <v>8</v>
      </c>
      <c r="C2" s="11" t="s">
        <v>358</v>
      </c>
      <c r="D2" s="11" t="s">
        <v>359</v>
      </c>
      <c r="E2" s="21" t="s">
        <v>360</v>
      </c>
      <c r="F2" s="25"/>
      <c r="G2" s="11" t="s">
        <v>361</v>
      </c>
      <c r="H2" s="10"/>
      <c r="I2" s="11" t="s">
        <v>362</v>
      </c>
      <c r="J2" s="11" t="s">
        <v>363</v>
      </c>
      <c r="K2" s="21" t="s">
        <v>364</v>
      </c>
      <c r="L2" s="21" t="s">
        <v>365</v>
      </c>
      <c r="M2" s="21" t="s">
        <v>366</v>
      </c>
    </row>
    <row r="3" ht="15.75" spans="1:13">
      <c r="A3" t="s">
        <v>14</v>
      </c>
      <c r="B3" s="21" t="s">
        <v>15</v>
      </c>
      <c r="C3" s="11" t="s">
        <v>15</v>
      </c>
      <c r="D3" s="11" t="s">
        <v>15</v>
      </c>
      <c r="E3" s="21" t="s">
        <v>15</v>
      </c>
      <c r="F3" s="25" t="s">
        <v>16</v>
      </c>
      <c r="G3" s="11" t="s">
        <v>15</v>
      </c>
      <c r="H3" s="10" t="s">
        <v>16</v>
      </c>
      <c r="I3" s="11" t="s">
        <v>15</v>
      </c>
      <c r="J3" s="11" t="s">
        <v>15</v>
      </c>
      <c r="K3" s="21" t="s">
        <v>16</v>
      </c>
      <c r="L3" s="21" t="s">
        <v>15</v>
      </c>
      <c r="M3" s="21" t="s">
        <v>15</v>
      </c>
    </row>
    <row r="4" ht="15.75" spans="1:13">
      <c r="A4" t="s">
        <v>17</v>
      </c>
      <c r="B4" s="21" t="s">
        <v>18</v>
      </c>
      <c r="C4" s="21" t="s">
        <v>18</v>
      </c>
      <c r="D4" s="21" t="s">
        <v>18</v>
      </c>
      <c r="E4" s="21" t="s">
        <v>18</v>
      </c>
      <c r="F4" s="21" t="s">
        <v>18</v>
      </c>
      <c r="G4" s="21" t="s">
        <v>18</v>
      </c>
      <c r="H4" s="21" t="s">
        <v>18</v>
      </c>
      <c r="I4" s="21" t="s">
        <v>18</v>
      </c>
      <c r="J4" s="21" t="s">
        <v>18</v>
      </c>
      <c r="K4" s="21" t="s">
        <v>18</v>
      </c>
      <c r="L4" s="21" t="s">
        <v>18</v>
      </c>
      <c r="M4" s="21" t="s">
        <v>18</v>
      </c>
    </row>
    <row r="5" ht="15.75" spans="1:13">
      <c r="A5" t="s">
        <v>19</v>
      </c>
      <c r="B5" s="21"/>
      <c r="C5" s="11">
        <v>1</v>
      </c>
      <c r="D5" s="11">
        <v>1</v>
      </c>
      <c r="E5" s="21">
        <v>0</v>
      </c>
      <c r="F5" s="25">
        <v>0</v>
      </c>
      <c r="G5" s="11">
        <v>0</v>
      </c>
      <c r="H5" s="10">
        <v>0</v>
      </c>
      <c r="I5" s="11">
        <v>0</v>
      </c>
      <c r="J5" s="11">
        <v>0</v>
      </c>
      <c r="K5" s="21" t="s">
        <v>367</v>
      </c>
      <c r="L5" s="21">
        <v>0</v>
      </c>
      <c r="M5" s="21">
        <v>0</v>
      </c>
    </row>
    <row r="6" ht="15.75" spans="1:13">
      <c r="A6" s="20" t="s">
        <v>368</v>
      </c>
      <c r="B6" s="26">
        <v>890000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ht="16.5" spans="2:13">
      <c r="B7" s="26">
        <v>890001</v>
      </c>
      <c r="C7">
        <v>1</v>
      </c>
      <c r="D7">
        <v>1</v>
      </c>
      <c r="E7" s="27">
        <v>8900011</v>
      </c>
      <c r="F7" t="s">
        <v>185</v>
      </c>
      <c r="G7" s="27">
        <v>8900012</v>
      </c>
      <c r="H7" t="s">
        <v>369</v>
      </c>
      <c r="I7">
        <v>1</v>
      </c>
      <c r="J7">
        <v>1</v>
      </c>
      <c r="K7" t="s">
        <v>367</v>
      </c>
      <c r="L7">
        <v>3</v>
      </c>
      <c r="M7" s="34">
        <v>2001</v>
      </c>
    </row>
    <row r="8" ht="16.5" spans="2:13">
      <c r="B8" s="26">
        <f>B7+1</f>
        <v>890002</v>
      </c>
      <c r="C8">
        <v>1</v>
      </c>
      <c r="D8">
        <v>2</v>
      </c>
      <c r="E8" s="27">
        <f>E7+10</f>
        <v>8900021</v>
      </c>
      <c r="F8" t="s">
        <v>370</v>
      </c>
      <c r="G8" s="27">
        <f>G7+10</f>
        <v>8900022</v>
      </c>
      <c r="H8" t="s">
        <v>369</v>
      </c>
      <c r="I8">
        <v>1</v>
      </c>
      <c r="J8">
        <v>5</v>
      </c>
      <c r="K8" t="s">
        <v>371</v>
      </c>
      <c r="L8">
        <v>3</v>
      </c>
      <c r="M8" s="34">
        <v>2002</v>
      </c>
    </row>
    <row r="9" ht="16.5" spans="2:13">
      <c r="B9" s="26">
        <f t="shared" ref="B9:B44" si="0">B8+1</f>
        <v>890003</v>
      </c>
      <c r="C9">
        <v>1</v>
      </c>
      <c r="D9">
        <v>3</v>
      </c>
      <c r="E9" s="27">
        <f t="shared" ref="E9:E13" si="1">E8+10</f>
        <v>8900031</v>
      </c>
      <c r="F9" t="s">
        <v>188</v>
      </c>
      <c r="G9" s="27">
        <f t="shared" ref="G9:G13" si="2">G8+10</f>
        <v>8900032</v>
      </c>
      <c r="H9" t="s">
        <v>369</v>
      </c>
      <c r="I9">
        <v>1</v>
      </c>
      <c r="J9">
        <v>20</v>
      </c>
      <c r="K9" t="s">
        <v>372</v>
      </c>
      <c r="L9">
        <v>3</v>
      </c>
      <c r="M9" s="34">
        <v>2003</v>
      </c>
    </row>
    <row r="10" ht="16.5" spans="2:13">
      <c r="B10" s="26">
        <f t="shared" si="0"/>
        <v>890004</v>
      </c>
      <c r="C10">
        <v>1</v>
      </c>
      <c r="D10">
        <v>4</v>
      </c>
      <c r="E10" s="27">
        <f t="shared" si="1"/>
        <v>8900041</v>
      </c>
      <c r="F10" t="s">
        <v>373</v>
      </c>
      <c r="G10" s="27">
        <f t="shared" si="2"/>
        <v>8900042</v>
      </c>
      <c r="H10" t="s">
        <v>369</v>
      </c>
      <c r="I10">
        <v>1</v>
      </c>
      <c r="J10">
        <v>100</v>
      </c>
      <c r="K10" t="s">
        <v>374</v>
      </c>
      <c r="L10">
        <v>3</v>
      </c>
      <c r="M10" s="34">
        <v>2004</v>
      </c>
    </row>
    <row r="11" ht="16.5" spans="2:13">
      <c r="B11" s="26">
        <f t="shared" si="0"/>
        <v>890005</v>
      </c>
      <c r="C11">
        <v>1</v>
      </c>
      <c r="D11">
        <v>5</v>
      </c>
      <c r="E11" s="27">
        <f t="shared" si="1"/>
        <v>8900051</v>
      </c>
      <c r="F11" t="s">
        <v>191</v>
      </c>
      <c r="G11" s="27">
        <f t="shared" si="2"/>
        <v>8900052</v>
      </c>
      <c r="H11" t="s">
        <v>369</v>
      </c>
      <c r="I11">
        <v>1</v>
      </c>
      <c r="J11">
        <v>500</v>
      </c>
      <c r="K11" t="s">
        <v>375</v>
      </c>
      <c r="L11">
        <v>3</v>
      </c>
      <c r="M11" s="34">
        <v>2005</v>
      </c>
    </row>
    <row r="12" ht="16.5" spans="2:13">
      <c r="B12" s="26">
        <f t="shared" si="0"/>
        <v>890006</v>
      </c>
      <c r="C12">
        <v>2</v>
      </c>
      <c r="D12">
        <v>1</v>
      </c>
      <c r="E12" s="27">
        <f t="shared" si="1"/>
        <v>8900061</v>
      </c>
      <c r="F12" t="s">
        <v>376</v>
      </c>
      <c r="G12" s="27">
        <f t="shared" si="2"/>
        <v>8900062</v>
      </c>
      <c r="H12" t="s">
        <v>377</v>
      </c>
      <c r="I12">
        <v>2</v>
      </c>
      <c r="J12">
        <v>200</v>
      </c>
      <c r="K12" t="s">
        <v>378</v>
      </c>
      <c r="L12">
        <v>3</v>
      </c>
      <c r="M12" s="34">
        <v>2006</v>
      </c>
    </row>
    <row r="13" ht="16.5" spans="2:13">
      <c r="B13" s="26">
        <f t="shared" si="0"/>
        <v>890007</v>
      </c>
      <c r="C13">
        <v>2</v>
      </c>
      <c r="D13">
        <v>2</v>
      </c>
      <c r="E13" s="27">
        <f t="shared" si="1"/>
        <v>8900071</v>
      </c>
      <c r="F13" t="s">
        <v>379</v>
      </c>
      <c r="G13" s="27">
        <f t="shared" si="2"/>
        <v>8900072</v>
      </c>
      <c r="H13" t="s">
        <v>377</v>
      </c>
      <c r="I13">
        <v>2</v>
      </c>
      <c r="J13">
        <v>500</v>
      </c>
      <c r="K13" t="s">
        <v>380</v>
      </c>
      <c r="L13">
        <v>3</v>
      </c>
      <c r="M13" s="34">
        <v>2007</v>
      </c>
    </row>
    <row r="14" ht="16.5" spans="2:13">
      <c r="B14" s="26">
        <f t="shared" si="0"/>
        <v>890008</v>
      </c>
      <c r="C14">
        <v>2</v>
      </c>
      <c r="D14">
        <v>3</v>
      </c>
      <c r="E14">
        <f t="shared" ref="E14:E44" si="3">E13+10</f>
        <v>8900081</v>
      </c>
      <c r="F14" t="s">
        <v>381</v>
      </c>
      <c r="G14">
        <f t="shared" ref="G14:G44" si="4">G13+10</f>
        <v>8900082</v>
      </c>
      <c r="H14" t="s">
        <v>377</v>
      </c>
      <c r="I14">
        <v>2</v>
      </c>
      <c r="J14">
        <v>1000</v>
      </c>
      <c r="K14" t="s">
        <v>382</v>
      </c>
      <c r="L14">
        <v>3</v>
      </c>
      <c r="M14" s="34">
        <v>2008</v>
      </c>
    </row>
    <row r="15" ht="16.5" spans="2:13">
      <c r="B15" s="26">
        <f t="shared" si="0"/>
        <v>890009</v>
      </c>
      <c r="C15">
        <v>2</v>
      </c>
      <c r="D15">
        <v>4</v>
      </c>
      <c r="E15">
        <f t="shared" si="3"/>
        <v>8900091</v>
      </c>
      <c r="F15" t="s">
        <v>383</v>
      </c>
      <c r="G15">
        <f t="shared" si="4"/>
        <v>8900092</v>
      </c>
      <c r="H15" t="s">
        <v>377</v>
      </c>
      <c r="I15">
        <v>2</v>
      </c>
      <c r="J15">
        <v>5000</v>
      </c>
      <c r="K15" t="s">
        <v>384</v>
      </c>
      <c r="L15">
        <v>3</v>
      </c>
      <c r="M15" s="34">
        <v>2009</v>
      </c>
    </row>
    <row r="16" ht="16.5" spans="2:13">
      <c r="B16" s="26">
        <f t="shared" si="0"/>
        <v>890010</v>
      </c>
      <c r="C16">
        <v>2</v>
      </c>
      <c r="D16">
        <v>5</v>
      </c>
      <c r="E16">
        <f t="shared" si="3"/>
        <v>8900101</v>
      </c>
      <c r="F16" t="s">
        <v>385</v>
      </c>
      <c r="G16">
        <f t="shared" si="4"/>
        <v>8900102</v>
      </c>
      <c r="H16" t="s">
        <v>377</v>
      </c>
      <c r="I16">
        <v>2</v>
      </c>
      <c r="J16">
        <v>10000</v>
      </c>
      <c r="K16" t="s">
        <v>386</v>
      </c>
      <c r="L16">
        <v>3</v>
      </c>
      <c r="M16" s="34">
        <v>2010</v>
      </c>
    </row>
    <row r="17" ht="16.5" spans="2:13">
      <c r="B17" s="26">
        <f t="shared" si="0"/>
        <v>890011</v>
      </c>
      <c r="C17">
        <v>3</v>
      </c>
      <c r="D17">
        <v>1</v>
      </c>
      <c r="E17">
        <f t="shared" si="3"/>
        <v>8900111</v>
      </c>
      <c r="F17" t="s">
        <v>387</v>
      </c>
      <c r="G17">
        <f t="shared" si="4"/>
        <v>8900112</v>
      </c>
      <c r="H17" t="s">
        <v>388</v>
      </c>
      <c r="I17">
        <v>3</v>
      </c>
      <c r="J17">
        <v>3</v>
      </c>
      <c r="K17" t="s">
        <v>389</v>
      </c>
      <c r="L17">
        <v>3</v>
      </c>
      <c r="M17" s="34">
        <v>2011</v>
      </c>
    </row>
    <row r="18" ht="16.5" spans="2:13">
      <c r="B18" s="26">
        <f t="shared" si="0"/>
        <v>890012</v>
      </c>
      <c r="C18">
        <v>3</v>
      </c>
      <c r="D18">
        <v>2</v>
      </c>
      <c r="E18">
        <f t="shared" si="3"/>
        <v>8900121</v>
      </c>
      <c r="F18" t="s">
        <v>390</v>
      </c>
      <c r="G18">
        <f t="shared" si="4"/>
        <v>8900122</v>
      </c>
      <c r="H18" t="s">
        <v>388</v>
      </c>
      <c r="I18">
        <v>3</v>
      </c>
      <c r="J18">
        <v>6</v>
      </c>
      <c r="K18" t="s">
        <v>391</v>
      </c>
      <c r="L18">
        <v>3</v>
      </c>
      <c r="M18" s="34">
        <v>2012</v>
      </c>
    </row>
    <row r="19" ht="16.5" spans="2:13">
      <c r="B19" s="26">
        <f t="shared" si="0"/>
        <v>890013</v>
      </c>
      <c r="C19">
        <v>3</v>
      </c>
      <c r="D19">
        <v>3</v>
      </c>
      <c r="E19">
        <f t="shared" si="3"/>
        <v>8900131</v>
      </c>
      <c r="F19" t="s">
        <v>392</v>
      </c>
      <c r="G19">
        <f t="shared" si="4"/>
        <v>8900132</v>
      </c>
      <c r="H19" t="s">
        <v>388</v>
      </c>
      <c r="I19">
        <v>3</v>
      </c>
      <c r="J19">
        <v>9</v>
      </c>
      <c r="K19" t="s">
        <v>393</v>
      </c>
      <c r="L19">
        <v>3</v>
      </c>
      <c r="M19" s="34">
        <v>2013</v>
      </c>
    </row>
    <row r="20" ht="16.5" spans="2:13">
      <c r="B20" s="26">
        <f t="shared" si="0"/>
        <v>890014</v>
      </c>
      <c r="C20">
        <v>3</v>
      </c>
      <c r="D20">
        <v>4</v>
      </c>
      <c r="E20">
        <f t="shared" si="3"/>
        <v>8900141</v>
      </c>
      <c r="F20" t="s">
        <v>394</v>
      </c>
      <c r="G20">
        <f t="shared" si="4"/>
        <v>8900142</v>
      </c>
      <c r="H20" t="s">
        <v>388</v>
      </c>
      <c r="I20">
        <v>3</v>
      </c>
      <c r="J20">
        <v>12</v>
      </c>
      <c r="K20" t="s">
        <v>395</v>
      </c>
      <c r="L20">
        <v>3</v>
      </c>
      <c r="M20" s="34">
        <v>2014</v>
      </c>
    </row>
    <row r="21" ht="16.5" spans="2:13">
      <c r="B21" s="26">
        <f t="shared" si="0"/>
        <v>890015</v>
      </c>
      <c r="C21">
        <v>3</v>
      </c>
      <c r="D21">
        <v>5</v>
      </c>
      <c r="E21">
        <f t="shared" si="3"/>
        <v>8900151</v>
      </c>
      <c r="F21" t="s">
        <v>396</v>
      </c>
      <c r="G21">
        <f t="shared" si="4"/>
        <v>8900152</v>
      </c>
      <c r="H21" t="s">
        <v>388</v>
      </c>
      <c r="I21">
        <v>3</v>
      </c>
      <c r="J21">
        <v>16</v>
      </c>
      <c r="K21" t="s">
        <v>397</v>
      </c>
      <c r="L21">
        <v>3</v>
      </c>
      <c r="M21" s="34">
        <v>2015</v>
      </c>
    </row>
    <row r="22" ht="16.5" spans="2:13">
      <c r="B22" s="26">
        <f t="shared" si="0"/>
        <v>890016</v>
      </c>
      <c r="C22">
        <v>4</v>
      </c>
      <c r="D22">
        <v>1</v>
      </c>
      <c r="E22">
        <f t="shared" si="3"/>
        <v>8900161</v>
      </c>
      <c r="F22" t="s">
        <v>398</v>
      </c>
      <c r="G22">
        <f t="shared" si="4"/>
        <v>8900162</v>
      </c>
      <c r="H22" t="s">
        <v>399</v>
      </c>
      <c r="I22">
        <v>4</v>
      </c>
      <c r="J22">
        <v>10000</v>
      </c>
      <c r="K22" t="s">
        <v>400</v>
      </c>
      <c r="L22">
        <v>1</v>
      </c>
      <c r="M22" s="34">
        <v>2016</v>
      </c>
    </row>
    <row r="23" ht="16.5" spans="2:13">
      <c r="B23" s="26">
        <f t="shared" si="0"/>
        <v>890017</v>
      </c>
      <c r="C23">
        <v>4</v>
      </c>
      <c r="D23">
        <v>2</v>
      </c>
      <c r="E23">
        <f t="shared" si="3"/>
        <v>8900171</v>
      </c>
      <c r="F23" t="s">
        <v>401</v>
      </c>
      <c r="G23">
        <f t="shared" si="4"/>
        <v>8900172</v>
      </c>
      <c r="H23" t="s">
        <v>399</v>
      </c>
      <c r="I23">
        <v>4</v>
      </c>
      <c r="J23">
        <v>20000</v>
      </c>
      <c r="K23" t="s">
        <v>402</v>
      </c>
      <c r="L23">
        <v>1</v>
      </c>
      <c r="M23" s="34">
        <v>2017</v>
      </c>
    </row>
    <row r="24" ht="16.5" spans="2:13">
      <c r="B24" s="26">
        <f t="shared" si="0"/>
        <v>890018</v>
      </c>
      <c r="C24">
        <v>4</v>
      </c>
      <c r="D24">
        <v>3</v>
      </c>
      <c r="E24">
        <f t="shared" si="3"/>
        <v>8900181</v>
      </c>
      <c r="F24" t="s">
        <v>403</v>
      </c>
      <c r="G24">
        <f t="shared" si="4"/>
        <v>8900182</v>
      </c>
      <c r="H24" t="s">
        <v>399</v>
      </c>
      <c r="I24">
        <v>4</v>
      </c>
      <c r="J24">
        <v>50000</v>
      </c>
      <c r="K24" t="s">
        <v>404</v>
      </c>
      <c r="L24">
        <v>1</v>
      </c>
      <c r="M24" s="34">
        <v>2018</v>
      </c>
    </row>
    <row r="25" ht="16.5" spans="2:13">
      <c r="B25" s="26">
        <f t="shared" si="0"/>
        <v>890019</v>
      </c>
      <c r="C25">
        <v>4</v>
      </c>
      <c r="D25">
        <v>4</v>
      </c>
      <c r="E25">
        <f t="shared" si="3"/>
        <v>8900191</v>
      </c>
      <c r="F25" t="s">
        <v>405</v>
      </c>
      <c r="G25">
        <f t="shared" si="4"/>
        <v>8900192</v>
      </c>
      <c r="H25" t="s">
        <v>399</v>
      </c>
      <c r="I25">
        <v>4</v>
      </c>
      <c r="J25">
        <v>100000</v>
      </c>
      <c r="K25" t="s">
        <v>406</v>
      </c>
      <c r="L25">
        <v>1</v>
      </c>
      <c r="M25" s="34">
        <v>2019</v>
      </c>
    </row>
    <row r="26" ht="16.5" spans="2:13">
      <c r="B26" s="26">
        <f t="shared" si="0"/>
        <v>890020</v>
      </c>
      <c r="C26">
        <v>4</v>
      </c>
      <c r="D26">
        <v>5</v>
      </c>
      <c r="E26">
        <f t="shared" si="3"/>
        <v>8900201</v>
      </c>
      <c r="F26" t="s">
        <v>407</v>
      </c>
      <c r="G26">
        <f t="shared" si="4"/>
        <v>8900202</v>
      </c>
      <c r="H26" t="s">
        <v>399</v>
      </c>
      <c r="I26">
        <v>4</v>
      </c>
      <c r="J26">
        <v>300000</v>
      </c>
      <c r="K26" t="s">
        <v>408</v>
      </c>
      <c r="L26">
        <v>1</v>
      </c>
      <c r="M26" s="34">
        <v>2020</v>
      </c>
    </row>
    <row r="27" ht="16.5" spans="2:13">
      <c r="B27" s="26">
        <f t="shared" si="0"/>
        <v>890021</v>
      </c>
      <c r="C27">
        <v>5</v>
      </c>
      <c r="D27">
        <v>1</v>
      </c>
      <c r="E27">
        <f t="shared" si="3"/>
        <v>8900211</v>
      </c>
      <c r="F27" t="s">
        <v>409</v>
      </c>
      <c r="G27">
        <f t="shared" si="4"/>
        <v>8900212</v>
      </c>
      <c r="H27" t="s">
        <v>410</v>
      </c>
      <c r="I27">
        <v>5</v>
      </c>
      <c r="J27">
        <v>20</v>
      </c>
      <c r="K27" t="s">
        <v>411</v>
      </c>
      <c r="L27">
        <v>1</v>
      </c>
      <c r="M27" s="34">
        <v>2021</v>
      </c>
    </row>
    <row r="28" ht="16.5" spans="2:13">
      <c r="B28" s="26">
        <f t="shared" si="0"/>
        <v>890022</v>
      </c>
      <c r="C28">
        <v>5</v>
      </c>
      <c r="D28">
        <v>2</v>
      </c>
      <c r="E28">
        <f t="shared" si="3"/>
        <v>8900221</v>
      </c>
      <c r="F28" t="s">
        <v>412</v>
      </c>
      <c r="G28">
        <f t="shared" si="4"/>
        <v>8900222</v>
      </c>
      <c r="H28" t="s">
        <v>410</v>
      </c>
      <c r="I28">
        <v>5</v>
      </c>
      <c r="J28">
        <v>50</v>
      </c>
      <c r="K28" t="s">
        <v>413</v>
      </c>
      <c r="L28">
        <v>1</v>
      </c>
      <c r="M28" s="34">
        <v>2022</v>
      </c>
    </row>
    <row r="29" ht="16.5" spans="2:13">
      <c r="B29" s="26">
        <f t="shared" si="0"/>
        <v>890023</v>
      </c>
      <c r="C29">
        <v>5</v>
      </c>
      <c r="D29">
        <v>3</v>
      </c>
      <c r="E29">
        <f t="shared" si="3"/>
        <v>8900231</v>
      </c>
      <c r="F29" t="s">
        <v>414</v>
      </c>
      <c r="G29">
        <f t="shared" si="4"/>
        <v>8900232</v>
      </c>
      <c r="H29" t="s">
        <v>410</v>
      </c>
      <c r="I29">
        <v>5</v>
      </c>
      <c r="J29">
        <v>100</v>
      </c>
      <c r="K29" t="s">
        <v>415</v>
      </c>
      <c r="L29">
        <v>1</v>
      </c>
      <c r="M29" s="34">
        <v>2023</v>
      </c>
    </row>
    <row r="30" ht="16.5" spans="2:13">
      <c r="B30" s="26">
        <f t="shared" si="0"/>
        <v>890024</v>
      </c>
      <c r="C30">
        <v>5</v>
      </c>
      <c r="D30">
        <v>4</v>
      </c>
      <c r="E30">
        <f t="shared" si="3"/>
        <v>8900241</v>
      </c>
      <c r="F30" t="s">
        <v>416</v>
      </c>
      <c r="G30">
        <f t="shared" si="4"/>
        <v>8900242</v>
      </c>
      <c r="H30" t="s">
        <v>410</v>
      </c>
      <c r="I30">
        <v>5</v>
      </c>
      <c r="J30">
        <v>200</v>
      </c>
      <c r="K30" t="s">
        <v>417</v>
      </c>
      <c r="L30">
        <v>1</v>
      </c>
      <c r="M30" s="34">
        <v>2024</v>
      </c>
    </row>
    <row r="31" ht="16.5" spans="2:13">
      <c r="B31" s="26">
        <f t="shared" si="0"/>
        <v>890025</v>
      </c>
      <c r="C31">
        <v>5</v>
      </c>
      <c r="D31">
        <v>5</v>
      </c>
      <c r="E31">
        <f t="shared" si="3"/>
        <v>8900251</v>
      </c>
      <c r="F31" t="s">
        <v>418</v>
      </c>
      <c r="G31">
        <f t="shared" si="4"/>
        <v>8900252</v>
      </c>
      <c r="H31" t="s">
        <v>410</v>
      </c>
      <c r="I31">
        <v>5</v>
      </c>
      <c r="J31">
        <v>500</v>
      </c>
      <c r="K31" t="s">
        <v>419</v>
      </c>
      <c r="L31">
        <v>1</v>
      </c>
      <c r="M31" s="34">
        <v>2025</v>
      </c>
    </row>
    <row r="32" ht="16.5" spans="2:13">
      <c r="B32" s="26">
        <f t="shared" si="0"/>
        <v>890026</v>
      </c>
      <c r="C32">
        <v>6</v>
      </c>
      <c r="D32">
        <v>1</v>
      </c>
      <c r="E32">
        <f t="shared" si="3"/>
        <v>8900261</v>
      </c>
      <c r="F32" t="s">
        <v>420</v>
      </c>
      <c r="G32">
        <f t="shared" si="4"/>
        <v>8900262</v>
      </c>
      <c r="H32" t="s">
        <v>421</v>
      </c>
      <c r="I32">
        <v>6</v>
      </c>
      <c r="J32">
        <v>100</v>
      </c>
      <c r="K32" t="s">
        <v>422</v>
      </c>
      <c r="L32">
        <v>1</v>
      </c>
      <c r="M32" s="34">
        <v>2026</v>
      </c>
    </row>
    <row r="33" ht="16.5" spans="2:13">
      <c r="B33" s="26">
        <f t="shared" si="0"/>
        <v>890027</v>
      </c>
      <c r="C33">
        <v>6</v>
      </c>
      <c r="D33">
        <v>2</v>
      </c>
      <c r="E33">
        <f t="shared" si="3"/>
        <v>8900271</v>
      </c>
      <c r="F33" t="s">
        <v>423</v>
      </c>
      <c r="G33">
        <f t="shared" si="4"/>
        <v>8900272</v>
      </c>
      <c r="H33" t="s">
        <v>421</v>
      </c>
      <c r="I33">
        <v>6</v>
      </c>
      <c r="J33">
        <v>500</v>
      </c>
      <c r="K33" t="s">
        <v>424</v>
      </c>
      <c r="L33">
        <v>1</v>
      </c>
      <c r="M33" s="34">
        <v>2027</v>
      </c>
    </row>
    <row r="34" ht="16.5" spans="2:13">
      <c r="B34" s="26">
        <f t="shared" si="0"/>
        <v>890028</v>
      </c>
      <c r="C34">
        <v>6</v>
      </c>
      <c r="D34">
        <v>3</v>
      </c>
      <c r="E34">
        <f t="shared" si="3"/>
        <v>8900281</v>
      </c>
      <c r="F34" t="s">
        <v>425</v>
      </c>
      <c r="G34">
        <f t="shared" si="4"/>
        <v>8900282</v>
      </c>
      <c r="H34" t="s">
        <v>421</v>
      </c>
      <c r="I34">
        <v>6</v>
      </c>
      <c r="J34">
        <v>1000</v>
      </c>
      <c r="K34" t="s">
        <v>426</v>
      </c>
      <c r="L34">
        <v>1</v>
      </c>
      <c r="M34" s="34">
        <v>2028</v>
      </c>
    </row>
    <row r="35" ht="16.5" spans="2:13">
      <c r="B35" s="26">
        <f t="shared" si="0"/>
        <v>890029</v>
      </c>
      <c r="C35">
        <v>6</v>
      </c>
      <c r="D35">
        <v>4</v>
      </c>
      <c r="E35">
        <f t="shared" si="3"/>
        <v>8900291</v>
      </c>
      <c r="F35" t="s">
        <v>427</v>
      </c>
      <c r="G35">
        <f t="shared" si="4"/>
        <v>8900292</v>
      </c>
      <c r="H35" t="s">
        <v>421</v>
      </c>
      <c r="I35">
        <v>6</v>
      </c>
      <c r="J35">
        <v>3000</v>
      </c>
      <c r="K35" t="s">
        <v>428</v>
      </c>
      <c r="L35">
        <v>1</v>
      </c>
      <c r="M35" s="34">
        <v>2029</v>
      </c>
    </row>
    <row r="36" ht="16.5" spans="2:13">
      <c r="B36" s="26">
        <f t="shared" si="0"/>
        <v>890030</v>
      </c>
      <c r="C36">
        <v>6</v>
      </c>
      <c r="D36">
        <v>5</v>
      </c>
      <c r="E36">
        <f t="shared" si="3"/>
        <v>8900301</v>
      </c>
      <c r="F36" t="s">
        <v>429</v>
      </c>
      <c r="G36">
        <f t="shared" si="4"/>
        <v>8900302</v>
      </c>
      <c r="H36" t="s">
        <v>421</v>
      </c>
      <c r="I36">
        <v>6</v>
      </c>
      <c r="J36">
        <v>5000</v>
      </c>
      <c r="K36" t="s">
        <v>430</v>
      </c>
      <c r="L36">
        <v>1</v>
      </c>
      <c r="M36" s="34">
        <v>2030</v>
      </c>
    </row>
    <row r="37" ht="16.5" spans="2:13">
      <c r="B37" s="26">
        <f t="shared" si="0"/>
        <v>890031</v>
      </c>
      <c r="C37">
        <v>7</v>
      </c>
      <c r="D37">
        <v>1</v>
      </c>
      <c r="E37">
        <f t="shared" si="3"/>
        <v>8900311</v>
      </c>
      <c r="F37" t="s">
        <v>431</v>
      </c>
      <c r="G37">
        <f t="shared" si="4"/>
        <v>8900312</v>
      </c>
      <c r="H37" t="s">
        <v>432</v>
      </c>
      <c r="I37">
        <v>7</v>
      </c>
      <c r="J37">
        <v>1</v>
      </c>
      <c r="K37" t="s">
        <v>433</v>
      </c>
      <c r="L37">
        <v>0</v>
      </c>
      <c r="M37" s="34">
        <v>2031</v>
      </c>
    </row>
    <row r="38" ht="16.5" spans="2:13">
      <c r="B38" s="26">
        <f t="shared" si="0"/>
        <v>890032</v>
      </c>
      <c r="C38">
        <v>7</v>
      </c>
      <c r="D38">
        <v>2</v>
      </c>
      <c r="E38">
        <f t="shared" si="3"/>
        <v>8900321</v>
      </c>
      <c r="F38" t="s">
        <v>434</v>
      </c>
      <c r="G38">
        <f t="shared" si="4"/>
        <v>8900322</v>
      </c>
      <c r="H38" t="s">
        <v>432</v>
      </c>
      <c r="I38">
        <v>7</v>
      </c>
      <c r="J38">
        <v>2</v>
      </c>
      <c r="K38" t="s">
        <v>435</v>
      </c>
      <c r="L38">
        <v>0</v>
      </c>
      <c r="M38" s="34">
        <v>2032</v>
      </c>
    </row>
    <row r="39" ht="16.5" spans="2:13">
      <c r="B39" s="26">
        <f t="shared" si="0"/>
        <v>890033</v>
      </c>
      <c r="C39">
        <v>7</v>
      </c>
      <c r="D39">
        <v>3</v>
      </c>
      <c r="E39">
        <f t="shared" si="3"/>
        <v>8900331</v>
      </c>
      <c r="F39" t="s">
        <v>436</v>
      </c>
      <c r="G39">
        <f t="shared" si="4"/>
        <v>8900332</v>
      </c>
      <c r="H39" t="s">
        <v>432</v>
      </c>
      <c r="I39">
        <v>7</v>
      </c>
      <c r="J39">
        <v>3</v>
      </c>
      <c r="K39" t="s">
        <v>437</v>
      </c>
      <c r="L39">
        <v>0</v>
      </c>
      <c r="M39" s="34">
        <v>2033</v>
      </c>
    </row>
    <row r="40" ht="16.5" spans="2:13">
      <c r="B40" s="26">
        <f t="shared" si="0"/>
        <v>890034</v>
      </c>
      <c r="C40">
        <v>7</v>
      </c>
      <c r="D40">
        <v>4</v>
      </c>
      <c r="E40">
        <f t="shared" si="3"/>
        <v>8900341</v>
      </c>
      <c r="F40" t="s">
        <v>438</v>
      </c>
      <c r="G40">
        <f t="shared" si="4"/>
        <v>8900342</v>
      </c>
      <c r="H40" t="s">
        <v>432</v>
      </c>
      <c r="I40">
        <v>7</v>
      </c>
      <c r="J40">
        <v>6</v>
      </c>
      <c r="K40" t="s">
        <v>439</v>
      </c>
      <c r="L40">
        <v>0</v>
      </c>
      <c r="M40" s="34">
        <v>2034</v>
      </c>
    </row>
    <row r="41" ht="16.5" spans="2:13">
      <c r="B41" s="26">
        <f t="shared" si="0"/>
        <v>890035</v>
      </c>
      <c r="C41">
        <v>7</v>
      </c>
      <c r="D41">
        <v>5</v>
      </c>
      <c r="E41">
        <f t="shared" si="3"/>
        <v>8900351</v>
      </c>
      <c r="F41" t="s">
        <v>440</v>
      </c>
      <c r="G41">
        <f t="shared" si="4"/>
        <v>8900352</v>
      </c>
      <c r="H41" t="s">
        <v>432</v>
      </c>
      <c r="I41">
        <v>7</v>
      </c>
      <c r="J41">
        <v>8</v>
      </c>
      <c r="K41" t="s">
        <v>441</v>
      </c>
      <c r="L41">
        <v>0</v>
      </c>
      <c r="M41" s="34">
        <v>2035</v>
      </c>
    </row>
    <row r="42" ht="16.5" spans="2:13">
      <c r="B42" s="26">
        <f t="shared" si="0"/>
        <v>890036</v>
      </c>
      <c r="C42">
        <v>7</v>
      </c>
      <c r="D42">
        <v>6</v>
      </c>
      <c r="E42">
        <f t="shared" si="3"/>
        <v>8900361</v>
      </c>
      <c r="F42" t="s">
        <v>442</v>
      </c>
      <c r="G42">
        <f t="shared" si="4"/>
        <v>8900362</v>
      </c>
      <c r="H42" t="s">
        <v>432</v>
      </c>
      <c r="I42">
        <v>7</v>
      </c>
      <c r="J42">
        <v>10</v>
      </c>
      <c r="K42" t="s">
        <v>443</v>
      </c>
      <c r="L42">
        <v>0</v>
      </c>
      <c r="M42" s="34">
        <v>2036</v>
      </c>
    </row>
    <row r="43" ht="16.5" spans="2:13">
      <c r="B43" s="26">
        <f t="shared" si="0"/>
        <v>890037</v>
      </c>
      <c r="C43">
        <v>8</v>
      </c>
      <c r="D43">
        <v>1</v>
      </c>
      <c r="E43">
        <f t="shared" si="3"/>
        <v>8900371</v>
      </c>
      <c r="F43" t="s">
        <v>444</v>
      </c>
      <c r="G43">
        <f t="shared" si="4"/>
        <v>8900372</v>
      </c>
      <c r="H43" t="s">
        <v>445</v>
      </c>
      <c r="I43">
        <v>8</v>
      </c>
      <c r="J43">
        <v>1</v>
      </c>
      <c r="K43" t="s">
        <v>446</v>
      </c>
      <c r="L43">
        <v>0</v>
      </c>
      <c r="M43" s="34">
        <v>2037</v>
      </c>
    </row>
    <row r="44" ht="16.5" spans="2:13">
      <c r="B44" s="26">
        <f t="shared" si="0"/>
        <v>890038</v>
      </c>
      <c r="C44">
        <v>9</v>
      </c>
      <c r="D44">
        <v>1</v>
      </c>
      <c r="E44">
        <f t="shared" si="3"/>
        <v>8900381</v>
      </c>
      <c r="F44" t="s">
        <v>447</v>
      </c>
      <c r="G44">
        <f t="shared" si="4"/>
        <v>8900382</v>
      </c>
      <c r="H44" t="s">
        <v>448</v>
      </c>
      <c r="I44">
        <v>9</v>
      </c>
      <c r="J44">
        <v>1</v>
      </c>
      <c r="K44" t="s">
        <v>449</v>
      </c>
      <c r="L44">
        <v>0</v>
      </c>
      <c r="M44" s="34">
        <v>2038</v>
      </c>
    </row>
    <row r="45" ht="16.5" spans="2:13">
      <c r="B45" s="26">
        <v>890041</v>
      </c>
      <c r="C45">
        <v>10</v>
      </c>
      <c r="D45">
        <v>1</v>
      </c>
      <c r="E45">
        <v>8900411</v>
      </c>
      <c r="F45" t="s">
        <v>450</v>
      </c>
      <c r="G45">
        <v>8900412</v>
      </c>
      <c r="H45" t="s">
        <v>451</v>
      </c>
      <c r="I45">
        <v>10</v>
      </c>
      <c r="J45">
        <v>1000</v>
      </c>
      <c r="K45" s="13" t="s">
        <v>452</v>
      </c>
      <c r="L45">
        <v>3</v>
      </c>
      <c r="M45" s="34">
        <v>2039</v>
      </c>
    </row>
    <row r="46" ht="16.5" spans="2:13">
      <c r="B46" s="26">
        <v>890042</v>
      </c>
      <c r="C46">
        <v>10</v>
      </c>
      <c r="D46">
        <v>2</v>
      </c>
      <c r="E46">
        <v>8900421</v>
      </c>
      <c r="F46" t="s">
        <v>453</v>
      </c>
      <c r="G46">
        <v>8900422</v>
      </c>
      <c r="H46" t="s">
        <v>451</v>
      </c>
      <c r="I46">
        <v>10</v>
      </c>
      <c r="J46">
        <v>10000</v>
      </c>
      <c r="K46" s="13" t="s">
        <v>454</v>
      </c>
      <c r="L46">
        <v>3</v>
      </c>
      <c r="M46" s="34">
        <v>2040</v>
      </c>
    </row>
    <row r="47" ht="16.5" spans="2:13">
      <c r="B47" s="26">
        <v>890043</v>
      </c>
      <c r="C47">
        <v>10</v>
      </c>
      <c r="D47">
        <v>3</v>
      </c>
      <c r="E47">
        <v>8900431</v>
      </c>
      <c r="F47" t="s">
        <v>455</v>
      </c>
      <c r="G47">
        <v>8900432</v>
      </c>
      <c r="H47" t="s">
        <v>451</v>
      </c>
      <c r="I47">
        <v>10</v>
      </c>
      <c r="J47">
        <v>50000</v>
      </c>
      <c r="K47" s="13" t="s">
        <v>456</v>
      </c>
      <c r="L47">
        <v>3</v>
      </c>
      <c r="M47" s="34">
        <v>2041</v>
      </c>
    </row>
    <row r="48" ht="16.5" spans="2:13">
      <c r="B48" s="26">
        <v>890044</v>
      </c>
      <c r="C48">
        <v>10</v>
      </c>
      <c r="D48">
        <v>4</v>
      </c>
      <c r="E48">
        <v>8900441</v>
      </c>
      <c r="F48" t="s">
        <v>457</v>
      </c>
      <c r="G48">
        <v>8900442</v>
      </c>
      <c r="H48" t="s">
        <v>451</v>
      </c>
      <c r="I48">
        <v>10</v>
      </c>
      <c r="J48">
        <v>200000</v>
      </c>
      <c r="K48" s="13" t="s">
        <v>458</v>
      </c>
      <c r="L48">
        <v>3</v>
      </c>
      <c r="M48" s="34">
        <v>2042</v>
      </c>
    </row>
    <row r="49" ht="16.5" spans="2:13">
      <c r="B49">
        <v>890045</v>
      </c>
      <c r="C49">
        <v>10</v>
      </c>
      <c r="D49">
        <v>5</v>
      </c>
      <c r="E49">
        <v>8900451</v>
      </c>
      <c r="F49" t="s">
        <v>459</v>
      </c>
      <c r="G49">
        <v>8900452</v>
      </c>
      <c r="H49" t="s">
        <v>451</v>
      </c>
      <c r="I49">
        <v>10</v>
      </c>
      <c r="J49">
        <v>1000000</v>
      </c>
      <c r="K49" t="s">
        <v>460</v>
      </c>
      <c r="L49">
        <v>3</v>
      </c>
      <c r="M49" s="34">
        <v>2043</v>
      </c>
    </row>
    <row r="50" s="23" customFormat="1" ht="15.75" spans="2:13">
      <c r="B50" s="28">
        <v>890046</v>
      </c>
      <c r="C50" s="23">
        <v>11</v>
      </c>
      <c r="D50" s="23">
        <v>1</v>
      </c>
      <c r="E50" s="23">
        <v>8900461</v>
      </c>
      <c r="F50" s="23" t="s">
        <v>461</v>
      </c>
      <c r="G50" s="23">
        <v>8900462</v>
      </c>
      <c r="H50" s="23" t="s">
        <v>462</v>
      </c>
      <c r="I50" s="23">
        <v>99</v>
      </c>
      <c r="J50" s="23">
        <v>0</v>
      </c>
      <c r="K50" s="35" t="s">
        <v>463</v>
      </c>
      <c r="L50">
        <v>0</v>
      </c>
      <c r="M50" s="36">
        <v>0</v>
      </c>
    </row>
    <row r="51" s="23" customFormat="1" ht="15.75" spans="2:13">
      <c r="B51" s="28">
        <v>890047</v>
      </c>
      <c r="C51" s="23">
        <v>12</v>
      </c>
      <c r="D51" s="23">
        <v>1</v>
      </c>
      <c r="E51" s="23">
        <v>8900471</v>
      </c>
      <c r="F51" s="23" t="s">
        <v>464</v>
      </c>
      <c r="G51" s="23">
        <v>8900472</v>
      </c>
      <c r="H51" s="23" t="s">
        <v>465</v>
      </c>
      <c r="I51" s="23">
        <v>99</v>
      </c>
      <c r="J51" s="23">
        <v>0</v>
      </c>
      <c r="K51" s="35" t="s">
        <v>466</v>
      </c>
      <c r="L51">
        <v>0</v>
      </c>
      <c r="M51" s="36">
        <v>0</v>
      </c>
    </row>
    <row r="52" s="23" customFormat="1" ht="15.75" spans="2:13">
      <c r="B52" s="23">
        <v>890048</v>
      </c>
      <c r="C52" s="23">
        <v>13</v>
      </c>
      <c r="D52" s="23">
        <v>1</v>
      </c>
      <c r="E52" s="23">
        <v>8900481</v>
      </c>
      <c r="F52" s="23" t="s">
        <v>467</v>
      </c>
      <c r="G52" s="23">
        <v>8900482</v>
      </c>
      <c r="H52" s="23" t="s">
        <v>468</v>
      </c>
      <c r="I52" s="23">
        <v>99</v>
      </c>
      <c r="J52" s="23">
        <v>0</v>
      </c>
      <c r="K52" s="35" t="s">
        <v>469</v>
      </c>
      <c r="L52">
        <v>0</v>
      </c>
      <c r="M52" s="36">
        <v>0</v>
      </c>
    </row>
    <row r="53" spans="2:13">
      <c r="B53">
        <v>890049</v>
      </c>
      <c r="C53">
        <v>14</v>
      </c>
      <c r="D53">
        <v>1</v>
      </c>
      <c r="E53">
        <v>8900491</v>
      </c>
      <c r="F53" t="s">
        <v>470</v>
      </c>
      <c r="G53">
        <v>8900492</v>
      </c>
      <c r="H53" t="s">
        <v>471</v>
      </c>
      <c r="I53">
        <v>99</v>
      </c>
      <c r="J53">
        <v>0</v>
      </c>
      <c r="K53" t="s">
        <v>472</v>
      </c>
      <c r="L53">
        <v>0</v>
      </c>
      <c r="M53" s="36">
        <v>0</v>
      </c>
    </row>
    <row r="54" spans="2:13">
      <c r="B54">
        <v>890050</v>
      </c>
      <c r="C54">
        <v>15</v>
      </c>
      <c r="D54">
        <v>1</v>
      </c>
      <c r="E54">
        <v>8900501</v>
      </c>
      <c r="F54" t="s">
        <v>473</v>
      </c>
      <c r="G54">
        <v>8900502</v>
      </c>
      <c r="H54" t="s">
        <v>474</v>
      </c>
      <c r="I54">
        <v>99</v>
      </c>
      <c r="J54">
        <v>0</v>
      </c>
      <c r="K54" t="s">
        <v>475</v>
      </c>
      <c r="L54">
        <v>0</v>
      </c>
      <c r="M54" s="36">
        <v>0</v>
      </c>
    </row>
    <row r="55" ht="15.75" spans="2:13">
      <c r="B55">
        <v>890051</v>
      </c>
      <c r="C55" s="23">
        <v>16</v>
      </c>
      <c r="D55" s="23">
        <v>1</v>
      </c>
      <c r="E55" s="23">
        <v>8900511</v>
      </c>
      <c r="F55" s="23" t="s">
        <v>476</v>
      </c>
      <c r="G55" s="23">
        <v>8900512</v>
      </c>
      <c r="H55" s="23" t="s">
        <v>477</v>
      </c>
      <c r="I55" s="23">
        <v>99</v>
      </c>
      <c r="J55" s="23">
        <v>0</v>
      </c>
      <c r="K55" s="35" t="s">
        <v>478</v>
      </c>
      <c r="L55">
        <v>0</v>
      </c>
      <c r="M55" s="36">
        <v>0</v>
      </c>
    </row>
    <row r="56" s="24" customFormat="1" ht="15.75" spans="2:13">
      <c r="B56" s="24">
        <v>890052</v>
      </c>
      <c r="C56" s="24">
        <v>17</v>
      </c>
      <c r="D56" s="24">
        <v>1</v>
      </c>
      <c r="E56" s="24">
        <v>8900521</v>
      </c>
      <c r="F56" s="24" t="s">
        <v>479</v>
      </c>
      <c r="G56" s="24">
        <v>8900522</v>
      </c>
      <c r="H56" s="24" t="s">
        <v>480</v>
      </c>
      <c r="I56" s="24">
        <v>99</v>
      </c>
      <c r="J56" s="24">
        <v>0</v>
      </c>
      <c r="K56" s="37" t="s">
        <v>481</v>
      </c>
      <c r="L56">
        <v>0</v>
      </c>
      <c r="M56" s="36">
        <v>0</v>
      </c>
    </row>
    <row r="57" ht="15.75" spans="2:13">
      <c r="B57">
        <v>890053</v>
      </c>
      <c r="C57">
        <v>18</v>
      </c>
      <c r="D57">
        <v>1</v>
      </c>
      <c r="E57">
        <v>8900531</v>
      </c>
      <c r="F57" s="29" t="s">
        <v>482</v>
      </c>
      <c r="G57" s="30">
        <v>8900532</v>
      </c>
      <c r="H57" s="24" t="s">
        <v>483</v>
      </c>
      <c r="I57">
        <v>99</v>
      </c>
      <c r="J57">
        <v>0</v>
      </c>
      <c r="K57" s="37" t="s">
        <v>484</v>
      </c>
      <c r="L57">
        <v>0</v>
      </c>
      <c r="M57" s="36">
        <v>0</v>
      </c>
    </row>
    <row r="58" ht="15.75" spans="2:13">
      <c r="B58">
        <v>890054</v>
      </c>
      <c r="C58">
        <v>19</v>
      </c>
      <c r="D58">
        <v>1</v>
      </c>
      <c r="E58" s="31">
        <v>8900541</v>
      </c>
      <c r="F58" s="29" t="s">
        <v>485</v>
      </c>
      <c r="G58" s="30">
        <v>8900542</v>
      </c>
      <c r="H58" s="24" t="s">
        <v>486</v>
      </c>
      <c r="I58">
        <v>99</v>
      </c>
      <c r="J58">
        <v>0</v>
      </c>
      <c r="K58" s="37" t="s">
        <v>487</v>
      </c>
      <c r="L58">
        <v>0</v>
      </c>
      <c r="M58" s="36">
        <v>0</v>
      </c>
    </row>
    <row r="59" ht="15.75" spans="2:13">
      <c r="B59">
        <v>890055</v>
      </c>
      <c r="C59">
        <v>20</v>
      </c>
      <c r="D59">
        <v>1</v>
      </c>
      <c r="E59" s="31">
        <v>8900551</v>
      </c>
      <c r="F59" s="29" t="s">
        <v>488</v>
      </c>
      <c r="G59" s="30">
        <v>8900552</v>
      </c>
      <c r="H59" s="24" t="s">
        <v>489</v>
      </c>
      <c r="I59">
        <v>99</v>
      </c>
      <c r="J59">
        <v>0</v>
      </c>
      <c r="K59" s="37" t="s">
        <v>490</v>
      </c>
      <c r="L59">
        <v>0</v>
      </c>
      <c r="M59" s="36">
        <v>0</v>
      </c>
    </row>
    <row r="60" ht="15.75" spans="2:13">
      <c r="B60">
        <v>890056</v>
      </c>
      <c r="C60">
        <v>21</v>
      </c>
      <c r="D60">
        <v>1</v>
      </c>
      <c r="E60" s="30">
        <v>8900561</v>
      </c>
      <c r="F60" s="24" t="s">
        <v>491</v>
      </c>
      <c r="G60" s="30">
        <v>8900562</v>
      </c>
      <c r="H60" s="24" t="s">
        <v>492</v>
      </c>
      <c r="I60">
        <v>99</v>
      </c>
      <c r="J60">
        <v>0</v>
      </c>
      <c r="K60" s="37" t="s">
        <v>493</v>
      </c>
      <c r="L60">
        <v>0</v>
      </c>
      <c r="M60" s="36">
        <v>0</v>
      </c>
    </row>
    <row r="61" ht="15.75" spans="2:13">
      <c r="B61">
        <v>890057</v>
      </c>
      <c r="C61">
        <v>22</v>
      </c>
      <c r="D61">
        <v>1</v>
      </c>
      <c r="E61">
        <v>8900571</v>
      </c>
      <c r="F61" t="s">
        <v>494</v>
      </c>
      <c r="G61">
        <v>8900572</v>
      </c>
      <c r="H61" s="24" t="s">
        <v>495</v>
      </c>
      <c r="I61">
        <v>99</v>
      </c>
      <c r="J61">
        <v>0</v>
      </c>
      <c r="K61" s="37" t="s">
        <v>496</v>
      </c>
      <c r="L61">
        <v>0</v>
      </c>
      <c r="M61" s="36">
        <v>0</v>
      </c>
    </row>
    <row r="62" ht="15.75" spans="2:13">
      <c r="B62">
        <v>890058</v>
      </c>
      <c r="C62">
        <v>24</v>
      </c>
      <c r="D62">
        <v>1</v>
      </c>
      <c r="E62" s="30">
        <v>8900581</v>
      </c>
      <c r="F62" s="24" t="s">
        <v>497</v>
      </c>
      <c r="G62" s="30">
        <v>8900582</v>
      </c>
      <c r="H62" s="24" t="s">
        <v>498</v>
      </c>
      <c r="I62">
        <v>99</v>
      </c>
      <c r="J62">
        <v>0</v>
      </c>
      <c r="K62" s="37" t="s">
        <v>499</v>
      </c>
      <c r="L62">
        <v>0</v>
      </c>
      <c r="M62" s="36">
        <v>0</v>
      </c>
    </row>
    <row r="63" ht="15.75" spans="2:13">
      <c r="B63">
        <v>890059</v>
      </c>
      <c r="C63">
        <v>23</v>
      </c>
      <c r="D63">
        <v>1</v>
      </c>
      <c r="E63" s="30">
        <v>8900591</v>
      </c>
      <c r="F63" s="24" t="s">
        <v>500</v>
      </c>
      <c r="G63" s="30">
        <v>5900592</v>
      </c>
      <c r="H63" s="24" t="s">
        <v>501</v>
      </c>
      <c r="I63">
        <v>99</v>
      </c>
      <c r="J63">
        <v>0</v>
      </c>
      <c r="K63" s="37" t="s">
        <v>502</v>
      </c>
      <c r="L63">
        <v>0</v>
      </c>
      <c r="M63" s="36">
        <v>0</v>
      </c>
    </row>
    <row r="64" ht="15.75" spans="2:13">
      <c r="B64">
        <v>890060</v>
      </c>
      <c r="C64">
        <v>25</v>
      </c>
      <c r="D64">
        <v>1</v>
      </c>
      <c r="E64" s="32">
        <v>8900601</v>
      </c>
      <c r="F64" s="33" t="s">
        <v>503</v>
      </c>
      <c r="G64" s="32">
        <v>8900602</v>
      </c>
      <c r="H64" s="24" t="s">
        <v>504</v>
      </c>
      <c r="I64">
        <v>99</v>
      </c>
      <c r="J64">
        <v>0</v>
      </c>
      <c r="K64" s="37" t="s">
        <v>505</v>
      </c>
      <c r="L64">
        <v>0</v>
      </c>
      <c r="M64" s="36">
        <v>0</v>
      </c>
    </row>
    <row r="65" ht="15.75" spans="2:13">
      <c r="B65">
        <v>890061</v>
      </c>
      <c r="C65">
        <v>26</v>
      </c>
      <c r="D65">
        <v>1</v>
      </c>
      <c r="E65" s="38">
        <v>8900611</v>
      </c>
      <c r="F65" s="39" t="s">
        <v>506</v>
      </c>
      <c r="G65" s="32">
        <v>8900612</v>
      </c>
      <c r="H65" s="39" t="s">
        <v>507</v>
      </c>
      <c r="I65">
        <v>99</v>
      </c>
      <c r="J65">
        <v>0</v>
      </c>
      <c r="K65" s="37" t="s">
        <v>508</v>
      </c>
      <c r="L65">
        <v>0</v>
      </c>
      <c r="M65" s="36">
        <v>0</v>
      </c>
    </row>
    <row r="66" ht="15.75" spans="2:13">
      <c r="B66">
        <v>890062</v>
      </c>
      <c r="C66">
        <v>27</v>
      </c>
      <c r="D66">
        <v>1</v>
      </c>
      <c r="E66" s="38">
        <v>8900621</v>
      </c>
      <c r="F66" s="39" t="s">
        <v>509</v>
      </c>
      <c r="G66" s="32">
        <v>8900622</v>
      </c>
      <c r="H66" s="39" t="s">
        <v>510</v>
      </c>
      <c r="I66">
        <v>99</v>
      </c>
      <c r="J66">
        <v>0</v>
      </c>
      <c r="K66" s="37" t="s">
        <v>511</v>
      </c>
      <c r="L66">
        <v>0</v>
      </c>
      <c r="M66" s="36">
        <v>0</v>
      </c>
    </row>
    <row r="67" ht="15.75" spans="1:13">
      <c r="A67" s="40" t="s">
        <v>19</v>
      </c>
      <c r="B67">
        <v>890063</v>
      </c>
      <c r="C67">
        <v>28</v>
      </c>
      <c r="D67">
        <v>1</v>
      </c>
      <c r="E67">
        <v>8900631</v>
      </c>
      <c r="F67" t="s">
        <v>512</v>
      </c>
      <c r="G67">
        <v>8900632</v>
      </c>
      <c r="H67" s="24" t="s">
        <v>513</v>
      </c>
      <c r="I67">
        <v>99</v>
      </c>
      <c r="J67">
        <v>0</v>
      </c>
      <c r="K67" s="37" t="s">
        <v>514</v>
      </c>
      <c r="L67">
        <v>0</v>
      </c>
      <c r="M67" s="36">
        <v>0</v>
      </c>
    </row>
  </sheetData>
  <conditionalFormatting sqref="E60">
    <cfRule type="duplicateValues" dxfId="0" priority="11"/>
  </conditionalFormatting>
  <conditionalFormatting sqref="G60">
    <cfRule type="duplicateValues" dxfId="0" priority="10"/>
  </conditionalFormatting>
  <conditionalFormatting sqref="E62">
    <cfRule type="duplicateValues" dxfId="0" priority="7"/>
  </conditionalFormatting>
  <conditionalFormatting sqref="G62">
    <cfRule type="duplicateValues" dxfId="0" priority="6"/>
  </conditionalFormatting>
  <conditionalFormatting sqref="E63">
    <cfRule type="duplicateValues" dxfId="0" priority="9"/>
  </conditionalFormatting>
  <conditionalFormatting sqref="G63">
    <cfRule type="duplicateValues" dxfId="0" priority="8"/>
  </conditionalFormatting>
  <conditionalFormatting sqref="E64">
    <cfRule type="duplicateValues" dxfId="0" priority="5"/>
  </conditionalFormatting>
  <conditionalFormatting sqref="G64">
    <cfRule type="duplicateValues" dxfId="0" priority="4"/>
  </conditionalFormatting>
  <conditionalFormatting sqref="E65:E66">
    <cfRule type="duplicateValues" dxfId="0" priority="2"/>
  </conditionalFormatting>
  <conditionalFormatting sqref="G65:G66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:A5"/>
    </sheetView>
  </sheetViews>
  <sheetFormatPr defaultColWidth="9" defaultRowHeight="14.25"/>
  <cols>
    <col min="2" max="2" width="25.775" customWidth="1"/>
    <col min="3" max="3" width="25.8833333333333" customWidth="1"/>
    <col min="4" max="4" width="21" customWidth="1"/>
    <col min="5" max="5" width="22.4416666666667" customWidth="1"/>
    <col min="6" max="6" width="22.775" customWidth="1"/>
    <col min="7" max="7" width="25" customWidth="1"/>
    <col min="8" max="10" width="18.3333333333333" customWidth="1"/>
  </cols>
  <sheetData>
    <row r="1" spans="1:10">
      <c r="A1" t="s">
        <v>0</v>
      </c>
      <c r="B1" s="8" t="s">
        <v>1</v>
      </c>
      <c r="C1" t="s">
        <v>515</v>
      </c>
      <c r="D1" t="s">
        <v>516</v>
      </c>
      <c r="E1" t="s">
        <v>5</v>
      </c>
      <c r="F1" t="s">
        <v>517</v>
      </c>
      <c r="G1" t="s">
        <v>518</v>
      </c>
      <c r="H1" t="s">
        <v>519</v>
      </c>
      <c r="I1" t="s">
        <v>520</v>
      </c>
      <c r="J1" t="s">
        <v>521</v>
      </c>
    </row>
    <row r="2" spans="1:10">
      <c r="A2" t="s">
        <v>7</v>
      </c>
      <c r="B2" s="11" t="s">
        <v>8</v>
      </c>
      <c r="C2" s="11" t="s">
        <v>43</v>
      </c>
      <c r="D2" s="10"/>
      <c r="E2" s="11" t="s">
        <v>522</v>
      </c>
      <c r="F2" s="11" t="s">
        <v>523</v>
      </c>
      <c r="G2" s="11" t="s">
        <v>524</v>
      </c>
      <c r="H2" s="11" t="s">
        <v>525</v>
      </c>
      <c r="I2" s="11" t="s">
        <v>526</v>
      </c>
      <c r="J2" s="11" t="s">
        <v>12</v>
      </c>
    </row>
    <row r="3" spans="1:10">
      <c r="A3" t="s">
        <v>14</v>
      </c>
      <c r="B3" s="11" t="s">
        <v>15</v>
      </c>
      <c r="C3" s="11" t="s">
        <v>15</v>
      </c>
      <c r="D3" s="10" t="s">
        <v>16</v>
      </c>
      <c r="E3" s="11" t="s">
        <v>15</v>
      </c>
      <c r="F3" s="11" t="s">
        <v>16</v>
      </c>
      <c r="G3" s="11" t="s">
        <v>15</v>
      </c>
      <c r="H3" s="11" t="s">
        <v>15</v>
      </c>
      <c r="I3" s="11" t="s">
        <v>15</v>
      </c>
      <c r="J3" s="11" t="s">
        <v>15</v>
      </c>
    </row>
    <row r="4" spans="1:10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</row>
    <row r="5" spans="1:10">
      <c r="A5" t="s">
        <v>19</v>
      </c>
      <c r="B5" s="11"/>
      <c r="C5" s="11">
        <v>0</v>
      </c>
      <c r="D5" s="10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</row>
    <row r="6" spans="1:13">
      <c r="A6" s="8" t="s">
        <v>527</v>
      </c>
      <c r="B6">
        <v>1</v>
      </c>
      <c r="C6">
        <v>403011</v>
      </c>
      <c r="D6" t="s">
        <v>528</v>
      </c>
      <c r="E6">
        <v>33</v>
      </c>
      <c r="F6">
        <v>3</v>
      </c>
      <c r="G6">
        <v>7</v>
      </c>
      <c r="H6">
        <v>1</v>
      </c>
      <c r="I6">
        <v>5</v>
      </c>
      <c r="J6">
        <v>0</v>
      </c>
      <c r="L6">
        <v>33</v>
      </c>
      <c r="M6">
        <v>3</v>
      </c>
    </row>
    <row r="7" spans="2:13">
      <c r="B7">
        <v>2</v>
      </c>
      <c r="C7">
        <f>C6+10</f>
        <v>403021</v>
      </c>
      <c r="D7" t="s">
        <v>529</v>
      </c>
      <c r="E7">
        <v>1</v>
      </c>
      <c r="F7">
        <v>10</v>
      </c>
      <c r="G7">
        <v>2</v>
      </c>
      <c r="H7">
        <v>1</v>
      </c>
      <c r="I7">
        <v>5</v>
      </c>
      <c r="J7">
        <v>0</v>
      </c>
      <c r="L7">
        <v>1</v>
      </c>
      <c r="M7">
        <v>10</v>
      </c>
    </row>
    <row r="8" spans="2:13">
      <c r="B8">
        <v>3</v>
      </c>
      <c r="C8">
        <f t="shared" ref="C8:C11" si="0">C7+10</f>
        <v>403031</v>
      </c>
      <c r="D8" t="s">
        <v>530</v>
      </c>
      <c r="E8">
        <v>1</v>
      </c>
      <c r="F8">
        <v>50</v>
      </c>
      <c r="G8">
        <v>2</v>
      </c>
      <c r="H8">
        <v>1</v>
      </c>
      <c r="I8">
        <v>5</v>
      </c>
      <c r="J8">
        <v>0</v>
      </c>
      <c r="L8">
        <v>1</v>
      </c>
      <c r="M8">
        <v>50</v>
      </c>
    </row>
    <row r="9" spans="2:13">
      <c r="B9">
        <v>4</v>
      </c>
      <c r="C9">
        <f t="shared" si="0"/>
        <v>403041</v>
      </c>
      <c r="D9" t="s">
        <v>531</v>
      </c>
      <c r="E9">
        <v>1</v>
      </c>
      <c r="F9">
        <v>100</v>
      </c>
      <c r="G9">
        <v>2</v>
      </c>
      <c r="H9">
        <v>1</v>
      </c>
      <c r="I9">
        <v>5</v>
      </c>
      <c r="J9">
        <v>0</v>
      </c>
      <c r="L9">
        <v>1</v>
      </c>
      <c r="M9">
        <v>100</v>
      </c>
    </row>
    <row r="10" spans="2:13">
      <c r="B10">
        <v>5</v>
      </c>
      <c r="C10">
        <f t="shared" si="0"/>
        <v>403051</v>
      </c>
      <c r="D10" t="s">
        <v>532</v>
      </c>
      <c r="E10">
        <v>11</v>
      </c>
      <c r="F10">
        <v>1</v>
      </c>
      <c r="G10">
        <v>2</v>
      </c>
      <c r="H10">
        <v>1</v>
      </c>
      <c r="I10">
        <v>5</v>
      </c>
      <c r="J10">
        <v>0</v>
      </c>
      <c r="L10">
        <v>11</v>
      </c>
      <c r="M10">
        <v>1</v>
      </c>
    </row>
    <row r="11" spans="2:13">
      <c r="B11">
        <v>6</v>
      </c>
      <c r="C11">
        <f t="shared" si="0"/>
        <v>403061</v>
      </c>
      <c r="D11" t="s">
        <v>533</v>
      </c>
      <c r="E11">
        <v>32</v>
      </c>
      <c r="F11">
        <v>20</v>
      </c>
      <c r="G11">
        <v>2</v>
      </c>
      <c r="H11">
        <v>1</v>
      </c>
      <c r="I11">
        <v>5</v>
      </c>
      <c r="J11">
        <v>1</v>
      </c>
      <c r="L11">
        <v>32</v>
      </c>
      <c r="M11">
        <v>20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:A5"/>
    </sheetView>
  </sheetViews>
  <sheetFormatPr defaultColWidth="9" defaultRowHeight="14.25"/>
  <cols>
    <col min="2" max="2" width="24.6666666666667" customWidth="1"/>
    <col min="3" max="3" width="19.1083333333333" customWidth="1"/>
    <col min="4" max="4" width="22.2166666666667" customWidth="1"/>
    <col min="5" max="5" width="14.775" customWidth="1"/>
    <col min="6" max="6" width="19.4416666666667" customWidth="1"/>
    <col min="7" max="7" width="28.4416666666667" customWidth="1"/>
    <col min="8" max="8" width="27.8833333333333" customWidth="1"/>
    <col min="9" max="9" width="18.1083333333333" customWidth="1"/>
  </cols>
  <sheetData>
    <row r="1" ht="15.75" spans="1:9">
      <c r="A1" t="s">
        <v>0</v>
      </c>
      <c r="B1" s="8" t="s">
        <v>534</v>
      </c>
      <c r="C1" t="s">
        <v>535</v>
      </c>
      <c r="D1" t="s">
        <v>536</v>
      </c>
      <c r="E1" s="13" t="s">
        <v>537</v>
      </c>
      <c r="F1" t="s">
        <v>35</v>
      </c>
      <c r="G1" t="s">
        <v>36</v>
      </c>
      <c r="H1" s="13" t="s">
        <v>538</v>
      </c>
      <c r="I1" s="20" t="s">
        <v>539</v>
      </c>
    </row>
    <row r="2" ht="15.75" spans="1:9">
      <c r="A2" t="s">
        <v>7</v>
      </c>
      <c r="B2" s="11" t="s">
        <v>8</v>
      </c>
      <c r="C2" s="11" t="s">
        <v>43</v>
      </c>
      <c r="D2" s="10"/>
      <c r="E2" s="12" t="s">
        <v>540</v>
      </c>
      <c r="F2" s="11" t="s">
        <v>541</v>
      </c>
      <c r="G2" s="10"/>
      <c r="H2" s="11" t="s">
        <v>542</v>
      </c>
      <c r="I2" s="21" t="s">
        <v>543</v>
      </c>
    </row>
    <row r="3" ht="15.75" spans="1:9">
      <c r="A3" t="s">
        <v>14</v>
      </c>
      <c r="B3" s="11" t="s">
        <v>15</v>
      </c>
      <c r="C3" s="11" t="s">
        <v>15</v>
      </c>
      <c r="D3" s="10" t="s">
        <v>16</v>
      </c>
      <c r="E3" s="11" t="s">
        <v>15</v>
      </c>
      <c r="F3" s="11" t="s">
        <v>15</v>
      </c>
      <c r="G3" s="10" t="s">
        <v>16</v>
      </c>
      <c r="H3" s="11" t="s">
        <v>15</v>
      </c>
      <c r="I3" s="21" t="s">
        <v>16</v>
      </c>
    </row>
    <row r="4" spans="1:9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18</v>
      </c>
      <c r="I4" s="11" t="s">
        <v>18</v>
      </c>
    </row>
    <row r="5" ht="15.75" spans="1:9">
      <c r="A5" t="s">
        <v>19</v>
      </c>
      <c r="B5" s="11"/>
      <c r="C5" s="11">
        <v>0</v>
      </c>
      <c r="D5" s="10">
        <v>0</v>
      </c>
      <c r="E5" s="11">
        <v>0</v>
      </c>
      <c r="F5" s="11">
        <v>0</v>
      </c>
      <c r="G5" s="10">
        <v>0</v>
      </c>
      <c r="H5" s="11">
        <v>0</v>
      </c>
      <c r="I5" s="21" t="s">
        <v>544</v>
      </c>
    </row>
    <row r="6" ht="15.75" spans="1:9">
      <c r="A6" s="8" t="s">
        <v>545</v>
      </c>
      <c r="B6">
        <v>1</v>
      </c>
      <c r="C6">
        <v>402011</v>
      </c>
      <c r="D6" t="s">
        <v>546</v>
      </c>
      <c r="E6">
        <v>1</v>
      </c>
      <c r="F6">
        <v>402012</v>
      </c>
      <c r="G6" t="s">
        <v>547</v>
      </c>
      <c r="H6">
        <v>0</v>
      </c>
      <c r="I6" s="13" t="s">
        <v>544</v>
      </c>
    </row>
    <row r="7" ht="15.75" spans="2:9">
      <c r="B7">
        <v>2</v>
      </c>
      <c r="C7">
        <f>C6+10</f>
        <v>402021</v>
      </c>
      <c r="D7" t="s">
        <v>548</v>
      </c>
      <c r="E7">
        <v>2</v>
      </c>
      <c r="F7">
        <f>F6+10</f>
        <v>402022</v>
      </c>
      <c r="G7" t="s">
        <v>547</v>
      </c>
      <c r="H7">
        <v>100</v>
      </c>
      <c r="I7" s="13" t="s">
        <v>549</v>
      </c>
    </row>
    <row r="8" ht="15.75" spans="2:9">
      <c r="B8">
        <v>3</v>
      </c>
      <c r="C8">
        <f t="shared" ref="C8:C15" si="0">C7+10</f>
        <v>402031</v>
      </c>
      <c r="D8" t="s">
        <v>550</v>
      </c>
      <c r="E8">
        <v>3</v>
      </c>
      <c r="F8">
        <f t="shared" ref="F8:F15" si="1">F7+10</f>
        <v>402032</v>
      </c>
      <c r="G8" t="s">
        <v>547</v>
      </c>
      <c r="H8">
        <v>500</v>
      </c>
      <c r="I8" s="13" t="s">
        <v>551</v>
      </c>
    </row>
    <row r="9" ht="15.75" spans="2:9">
      <c r="B9">
        <v>4</v>
      </c>
      <c r="C9">
        <f t="shared" si="0"/>
        <v>402041</v>
      </c>
      <c r="D9" t="s">
        <v>552</v>
      </c>
      <c r="E9">
        <v>4</v>
      </c>
      <c r="F9">
        <f t="shared" si="1"/>
        <v>402042</v>
      </c>
      <c r="G9" t="s">
        <v>547</v>
      </c>
      <c r="H9">
        <v>1000</v>
      </c>
      <c r="I9" s="13" t="s">
        <v>553</v>
      </c>
    </row>
    <row r="10" ht="15.75" spans="2:9">
      <c r="B10">
        <v>5</v>
      </c>
      <c r="C10">
        <f t="shared" si="0"/>
        <v>402051</v>
      </c>
      <c r="D10" t="s">
        <v>554</v>
      </c>
      <c r="E10">
        <v>5</v>
      </c>
      <c r="F10">
        <f t="shared" si="1"/>
        <v>402052</v>
      </c>
      <c r="G10" t="s">
        <v>547</v>
      </c>
      <c r="H10">
        <v>2500</v>
      </c>
      <c r="I10" s="13" t="s">
        <v>555</v>
      </c>
    </row>
    <row r="11" ht="15.75" spans="2:9">
      <c r="B11">
        <v>6</v>
      </c>
      <c r="C11">
        <f t="shared" si="0"/>
        <v>402061</v>
      </c>
      <c r="D11" t="s">
        <v>556</v>
      </c>
      <c r="E11">
        <v>6</v>
      </c>
      <c r="F11">
        <f t="shared" si="1"/>
        <v>402062</v>
      </c>
      <c r="G11" t="s">
        <v>547</v>
      </c>
      <c r="H11">
        <v>5000</v>
      </c>
      <c r="I11" s="13" t="s">
        <v>557</v>
      </c>
    </row>
    <row r="12" ht="15.75" spans="2:9">
      <c r="B12">
        <v>7</v>
      </c>
      <c r="C12">
        <f t="shared" si="0"/>
        <v>402071</v>
      </c>
      <c r="D12" t="s">
        <v>556</v>
      </c>
      <c r="E12">
        <v>7</v>
      </c>
      <c r="F12">
        <f t="shared" si="1"/>
        <v>402072</v>
      </c>
      <c r="G12" t="s">
        <v>547</v>
      </c>
      <c r="H12">
        <v>10000</v>
      </c>
      <c r="I12" s="13" t="s">
        <v>557</v>
      </c>
    </row>
    <row r="13" ht="15.75" spans="2:9">
      <c r="B13">
        <v>8</v>
      </c>
      <c r="C13">
        <f t="shared" si="0"/>
        <v>402081</v>
      </c>
      <c r="D13" t="s">
        <v>556</v>
      </c>
      <c r="E13">
        <v>8</v>
      </c>
      <c r="F13">
        <f t="shared" si="1"/>
        <v>402082</v>
      </c>
      <c r="G13" t="s">
        <v>547</v>
      </c>
      <c r="H13">
        <v>20000</v>
      </c>
      <c r="I13" s="13" t="s">
        <v>557</v>
      </c>
    </row>
    <row r="14" ht="15.75" spans="2:9">
      <c r="B14">
        <v>9</v>
      </c>
      <c r="C14">
        <f t="shared" si="0"/>
        <v>402091</v>
      </c>
      <c r="D14" t="s">
        <v>556</v>
      </c>
      <c r="E14">
        <v>9</v>
      </c>
      <c r="F14">
        <f t="shared" si="1"/>
        <v>402092</v>
      </c>
      <c r="G14" t="s">
        <v>547</v>
      </c>
      <c r="H14">
        <v>50000</v>
      </c>
      <c r="I14" s="13" t="s">
        <v>557</v>
      </c>
    </row>
    <row r="15" ht="15.75" spans="2:9">
      <c r="B15">
        <v>10</v>
      </c>
      <c r="C15">
        <f t="shared" si="0"/>
        <v>402101</v>
      </c>
      <c r="D15" t="s">
        <v>556</v>
      </c>
      <c r="E15">
        <v>10</v>
      </c>
      <c r="F15">
        <f t="shared" si="1"/>
        <v>402102</v>
      </c>
      <c r="G15" t="s">
        <v>547</v>
      </c>
      <c r="H15">
        <v>100000</v>
      </c>
      <c r="I15" s="13" t="s">
        <v>557</v>
      </c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D16" sqref="D16"/>
    </sheetView>
  </sheetViews>
  <sheetFormatPr defaultColWidth="9" defaultRowHeight="14.25"/>
  <cols>
    <col min="2" max="2" width="24.775" customWidth="1"/>
    <col min="3" max="3" width="22.2166666666667" customWidth="1"/>
    <col min="4" max="4" width="25.4416666666667" customWidth="1"/>
    <col min="5" max="5" width="17.4416666666667" customWidth="1"/>
    <col min="6" max="6" width="18.6666666666667" customWidth="1"/>
    <col min="7" max="7" width="24.6666666666667" customWidth="1"/>
    <col min="8" max="8" width="16.3333333333333" customWidth="1"/>
    <col min="9" max="9" width="15.4416666666667" customWidth="1"/>
    <col min="10" max="10" width="15.775" customWidth="1"/>
    <col min="11" max="11" width="19.775" customWidth="1"/>
  </cols>
  <sheetData>
    <row r="1" ht="15.75" spans="1:11">
      <c r="A1" t="s">
        <v>0</v>
      </c>
      <c r="B1" s="8" t="s">
        <v>558</v>
      </c>
      <c r="C1" t="s">
        <v>559</v>
      </c>
      <c r="D1" t="s">
        <v>560</v>
      </c>
      <c r="E1" t="s">
        <v>35</v>
      </c>
      <c r="F1" t="s">
        <v>36</v>
      </c>
      <c r="G1" s="13" t="s">
        <v>538</v>
      </c>
      <c r="H1" s="20" t="s">
        <v>561</v>
      </c>
      <c r="I1" t="s">
        <v>562</v>
      </c>
      <c r="J1" t="s">
        <v>35</v>
      </c>
      <c r="K1" t="s">
        <v>36</v>
      </c>
    </row>
    <row r="2" ht="15.75" spans="1:11">
      <c r="A2" t="s">
        <v>7</v>
      </c>
      <c r="B2" s="11" t="s">
        <v>8</v>
      </c>
      <c r="C2" s="11" t="s">
        <v>43</v>
      </c>
      <c r="D2" s="10"/>
      <c r="E2" s="11" t="s">
        <v>563</v>
      </c>
      <c r="F2" s="10"/>
      <c r="G2" s="11" t="s">
        <v>542</v>
      </c>
      <c r="H2" s="21" t="s">
        <v>564</v>
      </c>
      <c r="I2" s="22" t="s">
        <v>565</v>
      </c>
      <c r="J2" s="11" t="s">
        <v>566</v>
      </c>
      <c r="K2" s="10"/>
    </row>
    <row r="3" ht="15.75" spans="1:11">
      <c r="A3" t="s">
        <v>14</v>
      </c>
      <c r="B3" s="11" t="s">
        <v>15</v>
      </c>
      <c r="C3" s="11" t="s">
        <v>15</v>
      </c>
      <c r="D3" s="10" t="s">
        <v>16</v>
      </c>
      <c r="E3" s="11" t="s">
        <v>15</v>
      </c>
      <c r="F3" s="10" t="s">
        <v>16</v>
      </c>
      <c r="G3" s="11" t="s">
        <v>15</v>
      </c>
      <c r="H3" s="21" t="s">
        <v>16</v>
      </c>
      <c r="I3" s="22" t="s">
        <v>15</v>
      </c>
      <c r="J3" s="11" t="s">
        <v>15</v>
      </c>
      <c r="K3" s="10" t="s">
        <v>16</v>
      </c>
    </row>
    <row r="4" spans="1:11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18</v>
      </c>
    </row>
    <row r="5" ht="15.75" spans="1:11">
      <c r="A5" t="s">
        <v>19</v>
      </c>
      <c r="B5" s="11"/>
      <c r="C5" s="11">
        <v>0</v>
      </c>
      <c r="D5" s="10">
        <v>0</v>
      </c>
      <c r="E5" s="11">
        <v>0</v>
      </c>
      <c r="F5" s="10">
        <v>0</v>
      </c>
      <c r="G5" s="11">
        <v>0</v>
      </c>
      <c r="H5" s="21" t="s">
        <v>567</v>
      </c>
      <c r="I5" s="22">
        <v>0</v>
      </c>
      <c r="J5" s="11">
        <v>0</v>
      </c>
      <c r="K5" s="10">
        <v>0</v>
      </c>
    </row>
    <row r="6" ht="15.75" spans="1:11">
      <c r="A6" s="8" t="s">
        <v>568</v>
      </c>
      <c r="B6">
        <v>1</v>
      </c>
      <c r="C6" s="8">
        <v>401011</v>
      </c>
      <c r="D6" t="s">
        <v>431</v>
      </c>
      <c r="E6">
        <f t="shared" ref="E6:E11" si="0">C6+1</f>
        <v>401012</v>
      </c>
      <c r="F6" t="s">
        <v>432</v>
      </c>
      <c r="G6">
        <v>1</v>
      </c>
      <c r="H6" s="13" t="s">
        <v>567</v>
      </c>
      <c r="I6">
        <v>5</v>
      </c>
      <c r="J6">
        <f t="shared" ref="J6:J11" si="1">E6+1</f>
        <v>401013</v>
      </c>
      <c r="K6" t="s">
        <v>569</v>
      </c>
    </row>
    <row r="7" ht="15.75" spans="2:11">
      <c r="B7">
        <v>2</v>
      </c>
      <c r="C7">
        <f>C6+10</f>
        <v>401021</v>
      </c>
      <c r="D7" t="s">
        <v>434</v>
      </c>
      <c r="E7">
        <f t="shared" si="0"/>
        <v>401022</v>
      </c>
      <c r="F7" t="s">
        <v>432</v>
      </c>
      <c r="G7">
        <v>2</v>
      </c>
      <c r="H7" s="13" t="s">
        <v>570</v>
      </c>
      <c r="I7">
        <v>5</v>
      </c>
      <c r="J7">
        <f t="shared" si="1"/>
        <v>401023</v>
      </c>
      <c r="K7" t="s">
        <v>571</v>
      </c>
    </row>
    <row r="8" ht="15.75" spans="2:11">
      <c r="B8">
        <v>3</v>
      </c>
      <c r="C8">
        <f t="shared" ref="C8:C11" si="2">C7+10</f>
        <v>401031</v>
      </c>
      <c r="D8" t="s">
        <v>436</v>
      </c>
      <c r="E8">
        <f t="shared" si="0"/>
        <v>401032</v>
      </c>
      <c r="F8" t="s">
        <v>432</v>
      </c>
      <c r="G8">
        <v>3</v>
      </c>
      <c r="H8" s="13" t="s">
        <v>572</v>
      </c>
      <c r="I8">
        <v>5</v>
      </c>
      <c r="J8">
        <f t="shared" si="1"/>
        <v>401033</v>
      </c>
      <c r="K8" t="s">
        <v>573</v>
      </c>
    </row>
    <row r="9" ht="15.75" spans="2:11">
      <c r="B9">
        <v>4</v>
      </c>
      <c r="C9">
        <f t="shared" si="2"/>
        <v>401041</v>
      </c>
      <c r="D9" t="s">
        <v>438</v>
      </c>
      <c r="E9">
        <f t="shared" si="0"/>
        <v>401042</v>
      </c>
      <c r="F9" t="s">
        <v>432</v>
      </c>
      <c r="G9">
        <v>6</v>
      </c>
      <c r="H9" s="13" t="s">
        <v>574</v>
      </c>
      <c r="I9">
        <v>5</v>
      </c>
      <c r="J9">
        <f t="shared" si="1"/>
        <v>401043</v>
      </c>
      <c r="K9" t="s">
        <v>575</v>
      </c>
    </row>
    <row r="10" ht="15.75" spans="2:11">
      <c r="B10">
        <v>5</v>
      </c>
      <c r="C10">
        <f t="shared" si="2"/>
        <v>401051</v>
      </c>
      <c r="D10" t="s">
        <v>440</v>
      </c>
      <c r="E10">
        <f t="shared" si="0"/>
        <v>401052</v>
      </c>
      <c r="F10" t="s">
        <v>432</v>
      </c>
      <c r="G10">
        <v>8</v>
      </c>
      <c r="H10" s="13" t="s">
        <v>576</v>
      </c>
      <c r="I10">
        <v>5</v>
      </c>
      <c r="J10">
        <f t="shared" si="1"/>
        <v>401053</v>
      </c>
      <c r="K10" t="s">
        <v>577</v>
      </c>
    </row>
    <row r="11" ht="15.75" spans="2:11">
      <c r="B11">
        <v>6</v>
      </c>
      <c r="C11">
        <f t="shared" si="2"/>
        <v>401061</v>
      </c>
      <c r="D11" t="s">
        <v>442</v>
      </c>
      <c r="E11">
        <f t="shared" si="0"/>
        <v>401062</v>
      </c>
      <c r="F11" t="s">
        <v>432</v>
      </c>
      <c r="G11">
        <v>10</v>
      </c>
      <c r="H11" s="13" t="s">
        <v>578</v>
      </c>
      <c r="I11">
        <v>5</v>
      </c>
      <c r="J11">
        <f t="shared" si="1"/>
        <v>401063</v>
      </c>
      <c r="K11" t="s">
        <v>579</v>
      </c>
    </row>
    <row r="13" spans="1:9">
      <c r="A13" t="s">
        <v>19</v>
      </c>
      <c r="I13">
        <v>8</v>
      </c>
    </row>
    <row r="14" spans="1:9">
      <c r="A14" t="s">
        <v>19</v>
      </c>
      <c r="I14">
        <v>10</v>
      </c>
    </row>
    <row r="15" spans="1:9">
      <c r="A15" t="s">
        <v>19</v>
      </c>
      <c r="I15">
        <v>12</v>
      </c>
    </row>
    <row r="16" spans="1:9">
      <c r="A16" t="s">
        <v>19</v>
      </c>
      <c r="I16">
        <v>16</v>
      </c>
    </row>
    <row r="17" spans="1:9">
      <c r="A17" t="s">
        <v>19</v>
      </c>
      <c r="I17">
        <v>18</v>
      </c>
    </row>
    <row r="18" spans="1:9">
      <c r="A18" t="s">
        <v>19</v>
      </c>
      <c r="I18">
        <v>20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F19" sqref="F19"/>
    </sheetView>
  </sheetViews>
  <sheetFormatPr defaultColWidth="9" defaultRowHeight="14.25"/>
  <cols>
    <col min="2" max="2" width="14.4416666666667" customWidth="1"/>
    <col min="3" max="3" width="13.775" customWidth="1"/>
    <col min="4" max="4" width="35.8833333333333" customWidth="1"/>
    <col min="5" max="5" width="19.4416666666667" customWidth="1"/>
    <col min="6" max="6" width="17.4416666666667" customWidth="1"/>
    <col min="7" max="7" width="17.8833333333333" customWidth="1"/>
    <col min="8" max="8" width="15.6666666666667" customWidth="1"/>
    <col min="9" max="9" width="15.775" customWidth="1"/>
  </cols>
  <sheetData>
    <row r="1" ht="15.75" spans="1:9">
      <c r="A1" t="s">
        <v>0</v>
      </c>
      <c r="B1" s="8" t="s">
        <v>580</v>
      </c>
      <c r="C1" t="s">
        <v>581</v>
      </c>
      <c r="D1" s="13" t="s">
        <v>582</v>
      </c>
      <c r="E1" t="s">
        <v>583</v>
      </c>
      <c r="F1" t="s">
        <v>584</v>
      </c>
      <c r="H1" s="13"/>
      <c r="I1" s="20"/>
    </row>
    <row r="2" spans="1:6">
      <c r="A2" t="s">
        <v>7</v>
      </c>
      <c r="B2" s="11" t="s">
        <v>8</v>
      </c>
      <c r="C2" s="11" t="s">
        <v>24</v>
      </c>
      <c r="D2" s="11" t="s">
        <v>542</v>
      </c>
      <c r="E2" s="11" t="s">
        <v>585</v>
      </c>
      <c r="F2" s="11" t="s">
        <v>586</v>
      </c>
    </row>
    <row r="3" spans="1:6">
      <c r="A3" t="s">
        <v>14</v>
      </c>
      <c r="B3" s="11" t="s">
        <v>15</v>
      </c>
      <c r="C3" s="11" t="s">
        <v>15</v>
      </c>
      <c r="D3" s="11" t="s">
        <v>587</v>
      </c>
      <c r="E3" s="11" t="s">
        <v>587</v>
      </c>
      <c r="F3" s="11" t="s">
        <v>15</v>
      </c>
    </row>
    <row r="4" spans="1:6">
      <c r="A4" t="s">
        <v>17</v>
      </c>
      <c r="B4" s="11" t="s">
        <v>18</v>
      </c>
      <c r="C4" s="11" t="s">
        <v>18</v>
      </c>
      <c r="D4" s="11" t="s">
        <v>18</v>
      </c>
      <c r="E4" s="11" t="s">
        <v>18</v>
      </c>
      <c r="F4" s="11" t="s">
        <v>18</v>
      </c>
    </row>
    <row r="5" spans="1:6">
      <c r="A5" t="s">
        <v>19</v>
      </c>
      <c r="B5" s="11"/>
      <c r="C5" s="11">
        <v>0</v>
      </c>
      <c r="D5" s="11">
        <v>0</v>
      </c>
      <c r="E5" s="11"/>
      <c r="F5" s="11">
        <v>0</v>
      </c>
    </row>
    <row r="6" spans="1:6">
      <c r="A6" s="8" t="s">
        <v>588</v>
      </c>
      <c r="B6">
        <v>1</v>
      </c>
      <c r="C6">
        <v>610001</v>
      </c>
      <c r="D6" s="19" t="s">
        <v>589</v>
      </c>
      <c r="E6" s="19" t="s">
        <v>590</v>
      </c>
      <c r="F6">
        <v>3</v>
      </c>
    </row>
    <row r="7" spans="2:6">
      <c r="B7">
        <v>2</v>
      </c>
      <c r="C7">
        <v>610001</v>
      </c>
      <c r="D7" s="19" t="s">
        <v>591</v>
      </c>
      <c r="E7" s="19" t="s">
        <v>592</v>
      </c>
      <c r="F7">
        <v>4</v>
      </c>
    </row>
    <row r="8" spans="2:6">
      <c r="B8">
        <v>3</v>
      </c>
      <c r="C8">
        <v>610001</v>
      </c>
      <c r="D8" s="19" t="s">
        <v>593</v>
      </c>
      <c r="E8" s="19" t="s">
        <v>589</v>
      </c>
      <c r="F8">
        <v>6</v>
      </c>
    </row>
    <row r="9" spans="2:6">
      <c r="B9">
        <v>4</v>
      </c>
      <c r="C9">
        <v>610001</v>
      </c>
      <c r="D9" s="19" t="s">
        <v>594</v>
      </c>
      <c r="E9" s="19" t="s">
        <v>595</v>
      </c>
      <c r="F9">
        <v>9</v>
      </c>
    </row>
    <row r="10" ht="15.75" spans="2:9">
      <c r="B10">
        <v>5</v>
      </c>
      <c r="C10">
        <v>610001</v>
      </c>
      <c r="D10" s="19" t="s">
        <v>596</v>
      </c>
      <c r="E10" s="19" t="s">
        <v>597</v>
      </c>
      <c r="F10">
        <v>13</v>
      </c>
      <c r="I10" s="13"/>
    </row>
    <row r="11" ht="15.75" spans="2:9">
      <c r="B11">
        <v>6</v>
      </c>
      <c r="C11">
        <v>610002</v>
      </c>
      <c r="D11" s="19" t="s">
        <v>592</v>
      </c>
      <c r="E11" s="19" t="s">
        <v>595</v>
      </c>
      <c r="F11">
        <v>6</v>
      </c>
      <c r="I11" s="13"/>
    </row>
    <row r="12" ht="15.75" spans="2:9">
      <c r="B12">
        <v>7</v>
      </c>
      <c r="C12">
        <v>610002</v>
      </c>
      <c r="D12" s="19" t="s">
        <v>598</v>
      </c>
      <c r="E12" s="19" t="s">
        <v>597</v>
      </c>
      <c r="F12">
        <v>7</v>
      </c>
      <c r="I12" s="13"/>
    </row>
    <row r="13" spans="2:6">
      <c r="B13">
        <v>8</v>
      </c>
      <c r="C13">
        <v>610002</v>
      </c>
      <c r="D13" s="19" t="s">
        <v>599</v>
      </c>
      <c r="E13" s="19" t="s">
        <v>600</v>
      </c>
      <c r="F13">
        <v>9</v>
      </c>
    </row>
    <row r="14" spans="2:6">
      <c r="B14">
        <v>9</v>
      </c>
      <c r="C14">
        <v>610002</v>
      </c>
      <c r="D14" s="19" t="s">
        <v>601</v>
      </c>
      <c r="E14" s="19" t="s">
        <v>602</v>
      </c>
      <c r="F14">
        <v>12</v>
      </c>
    </row>
    <row r="15" spans="2:6">
      <c r="B15">
        <v>10</v>
      </c>
      <c r="C15">
        <v>610002</v>
      </c>
      <c r="D15" s="19" t="s">
        <v>603</v>
      </c>
      <c r="E15" s="19" t="s">
        <v>604</v>
      </c>
      <c r="F15">
        <v>15</v>
      </c>
    </row>
    <row r="16" spans="2:6">
      <c r="B16">
        <v>11</v>
      </c>
      <c r="C16">
        <v>610002</v>
      </c>
      <c r="D16" s="19" t="s">
        <v>605</v>
      </c>
      <c r="E16" s="19" t="s">
        <v>606</v>
      </c>
      <c r="F16">
        <v>18</v>
      </c>
    </row>
    <row r="17" spans="2:6">
      <c r="B17">
        <v>12</v>
      </c>
      <c r="C17">
        <v>610002</v>
      </c>
      <c r="D17" s="19" t="s">
        <v>596</v>
      </c>
      <c r="E17" s="19" t="s">
        <v>607</v>
      </c>
      <c r="F17">
        <v>21</v>
      </c>
    </row>
    <row r="19" spans="4:5">
      <c r="D19" s="19"/>
      <c r="E19" s="19"/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22" sqref="I22"/>
    </sheetView>
  </sheetViews>
  <sheetFormatPr defaultColWidth="13.4416666666667" defaultRowHeight="14.25"/>
  <cols>
    <col min="1" max="1" width="13.4416666666667" style="14"/>
    <col min="2" max="2" width="22.1083333333333" style="14" customWidth="1"/>
    <col min="3" max="3" width="18.8833333333333" style="14" customWidth="1"/>
    <col min="4" max="4" width="13.8833333333333" style="14" customWidth="1"/>
    <col min="5" max="5" width="29.8833333333333" style="14" customWidth="1"/>
    <col min="6" max="16384" width="13.4416666666667" style="14"/>
  </cols>
  <sheetData>
    <row r="1" spans="1:9">
      <c r="A1" t="s">
        <v>0</v>
      </c>
      <c r="B1" s="14" t="s">
        <v>357</v>
      </c>
      <c r="C1" s="14" t="s">
        <v>5</v>
      </c>
      <c r="D1" s="14" t="s">
        <v>608</v>
      </c>
      <c r="E1" s="14" t="s">
        <v>609</v>
      </c>
      <c r="F1" s="14" t="s">
        <v>5</v>
      </c>
      <c r="G1" s="14" t="s">
        <v>610</v>
      </c>
      <c r="H1" s="14" t="s">
        <v>611</v>
      </c>
      <c r="I1" s="14" t="s">
        <v>612</v>
      </c>
    </row>
    <row r="2" spans="1:9">
      <c r="A2" t="s">
        <v>7</v>
      </c>
      <c r="B2" s="15" t="s">
        <v>8</v>
      </c>
      <c r="C2" s="15" t="s">
        <v>24</v>
      </c>
      <c r="D2" s="15" t="s">
        <v>613</v>
      </c>
      <c r="E2" s="16"/>
      <c r="F2" s="15" t="s">
        <v>614</v>
      </c>
      <c r="G2" s="15" t="s">
        <v>523</v>
      </c>
      <c r="H2" s="15" t="s">
        <v>26</v>
      </c>
      <c r="I2" s="15" t="s">
        <v>524</v>
      </c>
    </row>
    <row r="3" spans="1:9">
      <c r="A3" t="s">
        <v>14</v>
      </c>
      <c r="B3" s="15" t="s">
        <v>15</v>
      </c>
      <c r="C3" s="15" t="s">
        <v>15</v>
      </c>
      <c r="D3" s="15" t="s">
        <v>15</v>
      </c>
      <c r="E3" s="16"/>
      <c r="F3" s="15" t="s">
        <v>15</v>
      </c>
      <c r="G3" s="15" t="s">
        <v>15</v>
      </c>
      <c r="H3" s="15" t="s">
        <v>15</v>
      </c>
      <c r="I3" s="15" t="s">
        <v>15</v>
      </c>
    </row>
    <row r="4" spans="1:9">
      <c r="A4" t="s">
        <v>17</v>
      </c>
      <c r="B4" s="15" t="s">
        <v>18</v>
      </c>
      <c r="C4" s="15" t="s">
        <v>18</v>
      </c>
      <c r="D4" s="15" t="s">
        <v>18</v>
      </c>
      <c r="E4" s="16"/>
      <c r="F4" s="15" t="s">
        <v>18</v>
      </c>
      <c r="G4" s="15" t="s">
        <v>18</v>
      </c>
      <c r="H4" s="15" t="s">
        <v>18</v>
      </c>
      <c r="I4" s="15" t="s">
        <v>18</v>
      </c>
    </row>
    <row r="5" spans="1:9">
      <c r="A5" t="s">
        <v>19</v>
      </c>
      <c r="B5" s="15"/>
      <c r="C5" s="15">
        <v>0</v>
      </c>
      <c r="D5" s="15">
        <v>0</v>
      </c>
      <c r="E5" s="16"/>
      <c r="F5" s="15">
        <v>0</v>
      </c>
      <c r="G5" s="15">
        <v>0</v>
      </c>
      <c r="H5" s="15">
        <v>0</v>
      </c>
      <c r="I5" s="15">
        <v>0</v>
      </c>
    </row>
    <row r="6" spans="1:9">
      <c r="A6" s="14" t="s">
        <v>615</v>
      </c>
      <c r="B6" s="14">
        <v>1</v>
      </c>
      <c r="C6" s="14">
        <v>1</v>
      </c>
      <c r="D6" s="17">
        <v>400411</v>
      </c>
      <c r="E6" s="18" t="s">
        <v>616</v>
      </c>
      <c r="F6" s="14">
        <v>47</v>
      </c>
      <c r="G6" s="14">
        <v>2</v>
      </c>
      <c r="H6" s="8">
        <v>1101</v>
      </c>
      <c r="I6" s="14">
        <v>84</v>
      </c>
    </row>
    <row r="7" spans="2:9">
      <c r="B7" s="14">
        <v>2</v>
      </c>
      <c r="C7" s="14">
        <v>1</v>
      </c>
      <c r="D7" s="17">
        <v>400421</v>
      </c>
      <c r="E7" s="18" t="s">
        <v>617</v>
      </c>
      <c r="F7" s="14">
        <v>47</v>
      </c>
      <c r="G7" s="14">
        <v>3</v>
      </c>
      <c r="H7" s="8">
        <v>1102</v>
      </c>
      <c r="I7" s="14">
        <v>84</v>
      </c>
    </row>
    <row r="8" spans="2:9">
      <c r="B8" s="14">
        <v>3</v>
      </c>
      <c r="C8" s="14">
        <v>1</v>
      </c>
      <c r="D8" s="17">
        <v>400431</v>
      </c>
      <c r="E8" s="18" t="s">
        <v>618</v>
      </c>
      <c r="F8" s="14">
        <v>47</v>
      </c>
      <c r="G8" s="14">
        <v>5</v>
      </c>
      <c r="H8" s="14">
        <v>1103</v>
      </c>
      <c r="I8" s="14">
        <v>84</v>
      </c>
    </row>
    <row r="9" spans="2:9">
      <c r="B9" s="14">
        <v>4</v>
      </c>
      <c r="C9" s="14">
        <v>2</v>
      </c>
      <c r="D9" s="17">
        <v>400441</v>
      </c>
      <c r="E9" s="18" t="s">
        <v>619</v>
      </c>
      <c r="F9" s="14">
        <v>47</v>
      </c>
      <c r="G9" s="14">
        <v>5</v>
      </c>
      <c r="H9" s="8">
        <v>1111</v>
      </c>
      <c r="I9" s="14">
        <v>84</v>
      </c>
    </row>
    <row r="10" spans="2:9">
      <c r="B10" s="14">
        <v>5</v>
      </c>
      <c r="C10" s="14">
        <v>2</v>
      </c>
      <c r="D10" s="17">
        <v>400451</v>
      </c>
      <c r="E10" s="18" t="s">
        <v>620</v>
      </c>
      <c r="F10" s="14">
        <v>47</v>
      </c>
      <c r="G10" s="14">
        <v>10</v>
      </c>
      <c r="H10" s="8">
        <v>1112</v>
      </c>
      <c r="I10" s="14">
        <v>84</v>
      </c>
    </row>
    <row r="11" spans="2:9">
      <c r="B11" s="14">
        <v>6</v>
      </c>
      <c r="C11" s="14">
        <v>2</v>
      </c>
      <c r="D11" s="17">
        <v>400461</v>
      </c>
      <c r="E11" s="18" t="s">
        <v>621</v>
      </c>
      <c r="F11" s="14">
        <v>47</v>
      </c>
      <c r="G11" s="14">
        <v>20</v>
      </c>
      <c r="H11" s="8">
        <v>1113</v>
      </c>
      <c r="I11" s="14">
        <v>84</v>
      </c>
    </row>
    <row r="12" spans="2:9">
      <c r="B12" s="14">
        <v>7</v>
      </c>
      <c r="C12" s="14">
        <v>2</v>
      </c>
      <c r="D12" s="17">
        <v>400471</v>
      </c>
      <c r="E12" s="18" t="s">
        <v>622</v>
      </c>
      <c r="F12" s="14">
        <v>47</v>
      </c>
      <c r="G12" s="14">
        <v>30</v>
      </c>
      <c r="H12" s="8">
        <v>1114</v>
      </c>
      <c r="I12" s="14">
        <v>84</v>
      </c>
    </row>
    <row r="13" spans="2:9">
      <c r="B13" s="14">
        <v>8</v>
      </c>
      <c r="C13" s="14">
        <v>2</v>
      </c>
      <c r="D13" s="17">
        <v>400481</v>
      </c>
      <c r="E13" s="18" t="s">
        <v>623</v>
      </c>
      <c r="F13" s="14">
        <v>47</v>
      </c>
      <c r="G13" s="14">
        <v>50</v>
      </c>
      <c r="H13" s="8">
        <v>1115</v>
      </c>
      <c r="I13" s="14">
        <v>84</v>
      </c>
    </row>
    <row r="14" spans="2:9">
      <c r="B14" s="14">
        <v>9</v>
      </c>
      <c r="C14" s="14">
        <v>2</v>
      </c>
      <c r="D14" s="17">
        <v>400491</v>
      </c>
      <c r="E14" s="18" t="s">
        <v>624</v>
      </c>
      <c r="F14" s="14">
        <v>47</v>
      </c>
      <c r="G14" s="14">
        <v>75</v>
      </c>
      <c r="H14" s="8">
        <v>1116</v>
      </c>
      <c r="I14" s="14">
        <v>84</v>
      </c>
    </row>
    <row r="15" spans="2:9">
      <c r="B15" s="14">
        <v>10</v>
      </c>
      <c r="C15" s="14">
        <v>2</v>
      </c>
      <c r="D15" s="17">
        <v>400501</v>
      </c>
      <c r="E15" s="18" t="s">
        <v>625</v>
      </c>
      <c r="F15" s="14">
        <v>47</v>
      </c>
      <c r="G15" s="14">
        <v>100</v>
      </c>
      <c r="H15" s="8">
        <v>1117</v>
      </c>
      <c r="I15" s="14">
        <v>84</v>
      </c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opLeftCell="B1" workbookViewId="0">
      <selection activeCell="D18" sqref="D18"/>
    </sheetView>
  </sheetViews>
  <sheetFormatPr defaultColWidth="13.4416666666667" defaultRowHeight="14.25" outlineLevelCol="6"/>
  <cols>
    <col min="1" max="1" width="13.4416666666667" style="14"/>
    <col min="2" max="2" width="14.1083333333333" style="14" customWidth="1"/>
    <col min="3" max="3" width="18.8833333333333" style="14" customWidth="1"/>
    <col min="4" max="4" width="14.4416666666667" style="14" customWidth="1"/>
    <col min="5" max="5" width="16.6666666666667" style="14" customWidth="1"/>
    <col min="6" max="6" width="19" style="14" customWidth="1"/>
    <col min="7" max="16384" width="13.4416666666667" style="14"/>
  </cols>
  <sheetData>
    <row r="1" spans="1:7">
      <c r="A1" t="s">
        <v>0</v>
      </c>
      <c r="B1" s="14" t="s">
        <v>626</v>
      </c>
      <c r="C1" s="14" t="s">
        <v>627</v>
      </c>
      <c r="D1" s="14" t="s">
        <v>628</v>
      </c>
      <c r="E1" s="14" t="s">
        <v>609</v>
      </c>
      <c r="F1" s="14" t="s">
        <v>629</v>
      </c>
      <c r="G1" s="14" t="s">
        <v>630</v>
      </c>
    </row>
    <row r="2" spans="1:7">
      <c r="A2" t="s">
        <v>7</v>
      </c>
      <c r="B2" s="15" t="s">
        <v>8</v>
      </c>
      <c r="C2" s="15" t="s">
        <v>631</v>
      </c>
      <c r="D2" s="15" t="s">
        <v>43</v>
      </c>
      <c r="E2" s="16"/>
      <c r="F2" s="15" t="s">
        <v>632</v>
      </c>
      <c r="G2" s="15" t="s">
        <v>633</v>
      </c>
    </row>
    <row r="3" spans="1:7">
      <c r="A3" t="s">
        <v>14</v>
      </c>
      <c r="B3" s="15" t="s">
        <v>15</v>
      </c>
      <c r="C3" s="15" t="s">
        <v>587</v>
      </c>
      <c r="D3" s="15" t="s">
        <v>15</v>
      </c>
      <c r="E3" s="16"/>
      <c r="F3" s="15" t="s">
        <v>587</v>
      </c>
      <c r="G3" s="15" t="s">
        <v>15</v>
      </c>
    </row>
    <row r="4" spans="1:7">
      <c r="A4" t="s">
        <v>17</v>
      </c>
      <c r="B4" s="15" t="s">
        <v>18</v>
      </c>
      <c r="C4" s="15" t="s">
        <v>18</v>
      </c>
      <c r="D4" s="15" t="s">
        <v>18</v>
      </c>
      <c r="E4" s="16"/>
      <c r="F4" s="15" t="s">
        <v>18</v>
      </c>
      <c r="G4" s="15" t="s">
        <v>18</v>
      </c>
    </row>
    <row r="5" spans="1:7">
      <c r="A5" t="s">
        <v>19</v>
      </c>
      <c r="B5" s="15"/>
      <c r="C5" s="15" t="s">
        <v>634</v>
      </c>
      <c r="D5" s="15">
        <v>0</v>
      </c>
      <c r="E5" s="16"/>
      <c r="F5" s="15" t="s">
        <v>634</v>
      </c>
      <c r="G5" s="15">
        <v>0</v>
      </c>
    </row>
    <row r="6" spans="1:7">
      <c r="A6" s="14" t="s">
        <v>635</v>
      </c>
      <c r="B6" s="14">
        <v>1</v>
      </c>
      <c r="C6" s="14" t="s">
        <v>636</v>
      </c>
      <c r="D6" s="14">
        <v>400601</v>
      </c>
      <c r="E6" s="14" t="s">
        <v>637</v>
      </c>
      <c r="F6" s="14" t="s">
        <v>638</v>
      </c>
      <c r="G6" s="14">
        <v>1</v>
      </c>
    </row>
    <row r="7" spans="2:7">
      <c r="B7" s="14">
        <v>2</v>
      </c>
      <c r="C7" s="14" t="s">
        <v>639</v>
      </c>
      <c r="D7" s="14">
        <v>400611</v>
      </c>
      <c r="E7" s="14" t="s">
        <v>640</v>
      </c>
      <c r="F7" s="14" t="s">
        <v>641</v>
      </c>
      <c r="G7" s="14">
        <v>0</v>
      </c>
    </row>
    <row r="8" spans="2:7">
      <c r="B8" s="14">
        <v>3</v>
      </c>
      <c r="C8" s="14" t="s">
        <v>639</v>
      </c>
      <c r="D8" s="14">
        <v>400621</v>
      </c>
      <c r="E8" s="14" t="s">
        <v>640</v>
      </c>
      <c r="F8" s="14" t="s">
        <v>597</v>
      </c>
      <c r="G8" s="14">
        <v>0</v>
      </c>
    </row>
    <row r="9" spans="2:7">
      <c r="B9" s="14">
        <v>4</v>
      </c>
      <c r="C9" s="14" t="s">
        <v>642</v>
      </c>
      <c r="D9" s="14">
        <v>400631</v>
      </c>
      <c r="E9" s="14" t="s">
        <v>643</v>
      </c>
      <c r="F9" s="14" t="s">
        <v>644</v>
      </c>
      <c r="G9" s="14">
        <v>1</v>
      </c>
    </row>
    <row r="10" spans="2:7">
      <c r="B10" s="14">
        <v>5</v>
      </c>
      <c r="C10" s="14" t="s">
        <v>645</v>
      </c>
      <c r="D10" s="14">
        <v>400641</v>
      </c>
      <c r="E10" s="14" t="s">
        <v>646</v>
      </c>
      <c r="F10" s="14" t="s">
        <v>647</v>
      </c>
      <c r="G10" s="14">
        <v>0</v>
      </c>
    </row>
    <row r="11" spans="2:7">
      <c r="B11" s="14">
        <v>6</v>
      </c>
      <c r="C11" s="14" t="s">
        <v>648</v>
      </c>
      <c r="D11" s="14">
        <v>400651</v>
      </c>
      <c r="E11" s="14" t="s">
        <v>649</v>
      </c>
      <c r="F11" s="14" t="s">
        <v>641</v>
      </c>
      <c r="G11" s="14">
        <v>0</v>
      </c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workbookViewId="0">
      <selection activeCell="J18" sqref="J18"/>
    </sheetView>
  </sheetViews>
  <sheetFormatPr defaultColWidth="11" defaultRowHeight="14.25" outlineLevelCol="5"/>
  <cols>
    <col min="1" max="1" width="26.8833333333333" style="8" customWidth="1"/>
    <col min="2" max="2" width="18.3333333333333" style="8" customWidth="1"/>
    <col min="3" max="3" width="12.2166666666667" style="8" customWidth="1"/>
    <col min="4" max="4" width="17.2166666666667" style="8" customWidth="1"/>
    <col min="5" max="5" width="14.775" style="8" customWidth="1"/>
    <col min="6" max="6" width="12.8833333333333" style="8" customWidth="1"/>
    <col min="7" max="7" width="13" style="8" customWidth="1"/>
    <col min="8" max="16384" width="11" style="8"/>
  </cols>
  <sheetData>
    <row r="1" spans="1:3">
      <c r="A1" s="9" t="s">
        <v>650</v>
      </c>
      <c r="C1" s="8" t="s">
        <v>651</v>
      </c>
    </row>
    <row r="2" spans="1:3">
      <c r="A2" s="9" t="s">
        <v>652</v>
      </c>
      <c r="B2" s="8" t="s">
        <v>653</v>
      </c>
      <c r="C2" s="8" t="s">
        <v>654</v>
      </c>
    </row>
    <row r="3" spans="1:3">
      <c r="A3" s="9" t="s">
        <v>655</v>
      </c>
      <c r="B3" s="10" t="s">
        <v>656</v>
      </c>
      <c r="C3" s="8" t="s">
        <v>657</v>
      </c>
    </row>
    <row r="4" spans="1:2">
      <c r="A4" s="9" t="s">
        <v>658</v>
      </c>
      <c r="B4" s="11" t="s">
        <v>659</v>
      </c>
    </row>
    <row r="5" spans="1:3">
      <c r="A5" s="9" t="s">
        <v>660</v>
      </c>
      <c r="C5" s="8" t="s">
        <v>661</v>
      </c>
    </row>
    <row r="6" spans="1:3">
      <c r="A6" s="9" t="s">
        <v>662</v>
      </c>
      <c r="B6" s="8">
        <v>4</v>
      </c>
      <c r="C6" s="8" t="s">
        <v>663</v>
      </c>
    </row>
    <row r="7" spans="1:1">
      <c r="A7" s="9" t="s">
        <v>664</v>
      </c>
    </row>
    <row r="8" spans="1:1">
      <c r="A8" s="9" t="s">
        <v>665</v>
      </c>
    </row>
    <row r="11" spans="1:6">
      <c r="A11" s="8" t="s">
        <v>666</v>
      </c>
      <c r="B11" t="s">
        <v>667</v>
      </c>
      <c r="C11" s="8" t="s">
        <v>668</v>
      </c>
      <c r="D11" s="8" t="s">
        <v>669</v>
      </c>
      <c r="E11" s="8" t="s">
        <v>670</v>
      </c>
      <c r="F11" s="8" t="s">
        <v>671</v>
      </c>
    </row>
    <row r="12" ht="15.75" spans="1:6">
      <c r="A12" s="11" t="s">
        <v>8</v>
      </c>
      <c r="B12" s="10"/>
      <c r="C12" s="11" t="s">
        <v>24</v>
      </c>
      <c r="D12" s="12" t="s">
        <v>672</v>
      </c>
      <c r="E12" s="12" t="s">
        <v>673</v>
      </c>
      <c r="F12" s="11" t="s">
        <v>674</v>
      </c>
    </row>
    <row r="13" spans="1:6">
      <c r="A13" s="11" t="s">
        <v>15</v>
      </c>
      <c r="B13" s="10"/>
      <c r="C13" s="11" t="s">
        <v>15</v>
      </c>
      <c r="D13" s="11" t="s">
        <v>15</v>
      </c>
      <c r="E13" s="11" t="s">
        <v>15</v>
      </c>
      <c r="F13" s="11" t="s">
        <v>15</v>
      </c>
    </row>
    <row r="14" spans="1:6">
      <c r="A14" s="11" t="s">
        <v>675</v>
      </c>
      <c r="B14" s="10"/>
      <c r="C14" s="11" t="s">
        <v>676</v>
      </c>
      <c r="D14" s="11" t="s">
        <v>676</v>
      </c>
      <c r="E14" s="11" t="s">
        <v>676</v>
      </c>
      <c r="F14" s="11" t="s">
        <v>676</v>
      </c>
    </row>
    <row r="15" spans="1:6">
      <c r="A15" s="11"/>
      <c r="B15" s="10"/>
      <c r="C15" s="11">
        <v>0</v>
      </c>
      <c r="D15" s="11">
        <v>0</v>
      </c>
      <c r="E15" s="11">
        <v>0</v>
      </c>
      <c r="F15" s="11">
        <v>0</v>
      </c>
    </row>
    <row r="16" spans="1:5">
      <c r="A16">
        <v>1</v>
      </c>
      <c r="B16" s="8" t="s">
        <v>677</v>
      </c>
      <c r="C16" s="8">
        <v>1</v>
      </c>
      <c r="D16">
        <v>890049</v>
      </c>
      <c r="E16">
        <v>890049</v>
      </c>
    </row>
    <row r="17" s="7" customFormat="1" ht="15.75" spans="1:5">
      <c r="A17" s="13">
        <v>2</v>
      </c>
      <c r="B17" s="7" t="s">
        <v>678</v>
      </c>
      <c r="C17" s="8">
        <v>2</v>
      </c>
      <c r="D17">
        <v>890049</v>
      </c>
      <c r="E17">
        <v>890049</v>
      </c>
    </row>
    <row r="18" s="7" customFormat="1" ht="15.75" spans="1:5">
      <c r="A18">
        <v>3</v>
      </c>
      <c r="B18" s="7" t="s">
        <v>679</v>
      </c>
      <c r="C18" s="8">
        <v>3</v>
      </c>
      <c r="D18">
        <v>890049</v>
      </c>
      <c r="E18">
        <v>890049</v>
      </c>
    </row>
    <row r="19" s="7" customFormat="1" ht="15.75" spans="1:6">
      <c r="A19" s="13">
        <v>4</v>
      </c>
      <c r="B19" s="7" t="s">
        <v>680</v>
      </c>
      <c r="C19" s="8">
        <v>4</v>
      </c>
      <c r="D19">
        <v>890049</v>
      </c>
      <c r="E19">
        <v>890049</v>
      </c>
      <c r="F19" s="13"/>
    </row>
    <row r="20" s="7" customFormat="1" ht="15.75" spans="1:6">
      <c r="A20">
        <v>5</v>
      </c>
      <c r="B20" s="7" t="s">
        <v>681</v>
      </c>
      <c r="C20" s="8">
        <v>5</v>
      </c>
      <c r="D20">
        <v>890049</v>
      </c>
      <c r="E20">
        <v>890049</v>
      </c>
      <c r="F20" s="13"/>
    </row>
    <row r="21" ht="15.75" spans="1:6">
      <c r="A21" s="13"/>
      <c r="B21" s="7"/>
      <c r="E21"/>
      <c r="F21"/>
    </row>
    <row r="22" s="7" customFormat="1" ht="15.75" spans="1:6">
      <c r="A22"/>
      <c r="C22" s="8"/>
      <c r="E22" s="13"/>
      <c r="F22" s="13"/>
    </row>
    <row r="23" s="7" customFormat="1" ht="15.75" spans="1:6">
      <c r="A23" s="13"/>
      <c r="C23" s="8"/>
      <c r="E23" s="13"/>
      <c r="F23" s="13"/>
    </row>
    <row r="24" s="7" customFormat="1" ht="15.75" spans="1:6">
      <c r="A24"/>
      <c r="C24" s="8"/>
      <c r="E24" s="13"/>
      <c r="F24" s="13"/>
    </row>
    <row r="25" s="7" customFormat="1" ht="15.75" spans="1:6">
      <c r="A25" s="13"/>
      <c r="C25" s="8"/>
      <c r="E25" s="13"/>
      <c r="F25" s="13"/>
    </row>
    <row r="26" ht="15.75" spans="1:6">
      <c r="A26"/>
      <c r="B26" s="7"/>
      <c r="E26"/>
      <c r="F26"/>
    </row>
    <row r="27" s="7" customFormat="1" ht="15.75" spans="1:6">
      <c r="A27" s="13"/>
      <c r="C27" s="8"/>
      <c r="E27" s="13"/>
      <c r="F27" s="13"/>
    </row>
    <row r="28" ht="15.75" spans="1:6">
      <c r="A28"/>
      <c r="B28" s="7"/>
      <c r="D28"/>
      <c r="E28"/>
      <c r="F28"/>
    </row>
    <row r="29" ht="15.75" spans="1:6">
      <c r="A29" s="13"/>
      <c r="B29" s="7"/>
      <c r="E29"/>
      <c r="F29"/>
    </row>
    <row r="30" ht="15.75" spans="1:6">
      <c r="A30"/>
      <c r="B30" s="7"/>
      <c r="E30"/>
      <c r="F30"/>
    </row>
    <row r="31" ht="15.75" spans="1:6">
      <c r="A31" s="13"/>
      <c r="B31" s="7"/>
      <c r="E31"/>
      <c r="F31"/>
    </row>
    <row r="32" ht="15.75" spans="1:6">
      <c r="A32"/>
      <c r="B32" s="7"/>
      <c r="E32"/>
      <c r="F32"/>
    </row>
    <row r="33" ht="15.75" spans="1:2">
      <c r="A33" s="13"/>
      <c r="B33" s="7"/>
    </row>
    <row r="34" ht="15.75" spans="1:2">
      <c r="A34"/>
      <c r="B34" s="7"/>
    </row>
    <row r="35" ht="15.75" spans="1:4">
      <c r="A35" s="13"/>
      <c r="B35" s="7"/>
      <c r="D35"/>
    </row>
    <row r="36" ht="15.75" spans="1:2">
      <c r="A36"/>
      <c r="B36" s="7"/>
    </row>
    <row r="37" ht="15.75" spans="1:2">
      <c r="A37" s="13"/>
      <c r="B37" s="7"/>
    </row>
    <row r="38" ht="15.75" spans="1:2">
      <c r="A38"/>
      <c r="B38" s="7"/>
    </row>
    <row r="39" ht="15.75" spans="1:2">
      <c r="A39" s="13"/>
      <c r="B39" s="7"/>
    </row>
    <row r="40" ht="15.75" spans="1:2">
      <c r="A40"/>
      <c r="B40" s="7"/>
    </row>
    <row r="41" ht="15.75" spans="1:2">
      <c r="A41" s="13"/>
      <c r="B41" s="7"/>
    </row>
    <row r="42" ht="15.75" spans="1:2">
      <c r="A42"/>
      <c r="B42" s="7"/>
    </row>
    <row r="43" ht="15.75" spans="1:2">
      <c r="A43" s="13"/>
      <c r="B43" s="7"/>
    </row>
    <row r="44" ht="15.75" spans="1:2">
      <c r="A44"/>
      <c r="B44" s="7"/>
    </row>
    <row r="45" ht="15.75" spans="1:2">
      <c r="A45" s="13"/>
      <c r="B45" s="7"/>
    </row>
    <row r="46" spans="1:1">
      <c r="A46"/>
    </row>
    <row r="47" ht="15.75" spans="1:1">
      <c r="A47" s="13"/>
    </row>
    <row r="48" spans="1:1">
      <c r="A48"/>
    </row>
    <row r="49" ht="15.75" spans="1:1">
      <c r="A49" s="13"/>
    </row>
    <row r="50" spans="1:1">
      <c r="A50"/>
    </row>
    <row r="51" ht="15.75" spans="1:1">
      <c r="A51" s="13"/>
    </row>
    <row r="52" spans="1:1">
      <c r="A52"/>
    </row>
    <row r="53" ht="15.75" spans="1:1">
      <c r="A53" s="13"/>
    </row>
    <row r="54" spans="1:1">
      <c r="A54"/>
    </row>
    <row r="55" ht="15.75" spans="1:1">
      <c r="A55" s="13"/>
    </row>
    <row r="56" spans="1:1">
      <c r="A56"/>
    </row>
    <row r="57" ht="15.75" spans="1:1">
      <c r="A57" s="13"/>
    </row>
    <row r="58" spans="1:1">
      <c r="A58"/>
    </row>
    <row r="59" ht="15.75" spans="1:1">
      <c r="A59" s="13"/>
    </row>
    <row r="60" spans="1:1">
      <c r="A60"/>
    </row>
    <row r="61" ht="15.75" spans="1:1">
      <c r="A61" s="13"/>
    </row>
    <row r="62" spans="1:1">
      <c r="A62"/>
    </row>
    <row r="63" ht="15.75" spans="1:1">
      <c r="A63" s="13"/>
    </row>
    <row r="64" spans="1:1">
      <c r="A64"/>
    </row>
    <row r="65" ht="15.75" spans="1:1">
      <c r="A65" s="13"/>
    </row>
    <row r="66" spans="1:1">
      <c r="A66"/>
    </row>
    <row r="67" ht="15.75" spans="1:1">
      <c r="A67" s="13"/>
    </row>
    <row r="68" spans="1:1">
      <c r="A68"/>
    </row>
    <row r="69" ht="15.75" spans="1:1">
      <c r="A69" s="13"/>
    </row>
    <row r="70" spans="1:1">
      <c r="A70"/>
    </row>
    <row r="71" ht="15.75" spans="1:1">
      <c r="A71" s="13"/>
    </row>
    <row r="72" spans="1:1">
      <c r="A72"/>
    </row>
    <row r="73" ht="15.75" spans="1:1">
      <c r="A73" s="13"/>
    </row>
    <row r="74" spans="1:1">
      <c r="A74"/>
    </row>
    <row r="75" ht="15.75" spans="1:1">
      <c r="A75" s="13"/>
    </row>
    <row r="76" spans="1:1">
      <c r="A76"/>
    </row>
    <row r="77" ht="15.75" spans="1:1">
      <c r="A77" s="13"/>
    </row>
    <row r="78" spans="1:1">
      <c r="A78"/>
    </row>
    <row r="79" ht="15.75" spans="1:1">
      <c r="A79" s="13"/>
    </row>
    <row r="80" spans="1:1">
      <c r="A80"/>
    </row>
    <row r="81" ht="15.75" spans="1:1">
      <c r="A81" s="13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D33" sqref="D33"/>
    </sheetView>
  </sheetViews>
  <sheetFormatPr defaultColWidth="9" defaultRowHeight="14.25"/>
  <cols>
    <col min="1" max="1" width="14.775" style="1" customWidth="1"/>
    <col min="2" max="2" width="73.775" style="1" customWidth="1"/>
    <col min="3" max="3" width="17.2166666666667" style="1" customWidth="1"/>
    <col min="4" max="4" width="9" style="1" customWidth="1"/>
    <col min="5" max="16384" width="9" style="1"/>
  </cols>
  <sheetData>
    <row r="1" spans="1:3">
      <c r="A1" s="1" t="s">
        <v>682</v>
      </c>
      <c r="B1" s="1" t="s">
        <v>683</v>
      </c>
      <c r="C1" s="1" t="s">
        <v>684</v>
      </c>
    </row>
    <row r="2" ht="15.75" spans="1:3">
      <c r="A2" s="1">
        <v>1</v>
      </c>
      <c r="B2" s="4" t="s">
        <v>685</v>
      </c>
      <c r="C2" s="1" t="s">
        <v>686</v>
      </c>
    </row>
    <row r="3" ht="15.75" spans="1:3">
      <c r="A3" s="1">
        <v>2</v>
      </c>
      <c r="B3" s="4" t="s">
        <v>687</v>
      </c>
      <c r="C3" s="1" t="s">
        <v>686</v>
      </c>
    </row>
    <row r="4" ht="15.75" spans="1:3">
      <c r="A4" s="1">
        <v>3</v>
      </c>
      <c r="B4" s="4" t="s">
        <v>688</v>
      </c>
      <c r="C4" s="1" t="s">
        <v>686</v>
      </c>
    </row>
    <row r="5" ht="15.75" spans="1:3">
      <c r="A5" s="1">
        <v>4</v>
      </c>
      <c r="B5" s="4" t="s">
        <v>689</v>
      </c>
      <c r="C5" s="1" t="s">
        <v>690</v>
      </c>
    </row>
    <row r="6" ht="15.75" spans="1:3">
      <c r="A6" s="1">
        <v>5</v>
      </c>
      <c r="B6" s="4" t="s">
        <v>691</v>
      </c>
      <c r="C6" s="1" t="s">
        <v>692</v>
      </c>
    </row>
    <row r="7" ht="15.75" spans="1:3">
      <c r="A7" s="1">
        <v>6</v>
      </c>
      <c r="B7" s="4" t="s">
        <v>693</v>
      </c>
      <c r="C7" s="1" t="s">
        <v>694</v>
      </c>
    </row>
    <row r="8" ht="15.75" spans="1:3">
      <c r="A8" s="1">
        <v>7</v>
      </c>
      <c r="B8" s="4" t="s">
        <v>695</v>
      </c>
      <c r="C8" s="1" t="s">
        <v>694</v>
      </c>
    </row>
    <row r="9" ht="15.75" spans="1:3">
      <c r="A9" s="1">
        <v>8</v>
      </c>
      <c r="B9" s="4" t="s">
        <v>696</v>
      </c>
      <c r="C9" s="1" t="s">
        <v>697</v>
      </c>
    </row>
    <row r="10" ht="15.75" spans="1:3">
      <c r="A10" s="1">
        <v>9</v>
      </c>
      <c r="B10" s="4" t="s">
        <v>698</v>
      </c>
      <c r="C10" s="1" t="s">
        <v>686</v>
      </c>
    </row>
    <row r="11" ht="15.75" spans="1:3">
      <c r="A11" s="1">
        <v>10</v>
      </c>
      <c r="B11" s="4" t="s">
        <v>699</v>
      </c>
      <c r="C11" s="1" t="s">
        <v>700</v>
      </c>
    </row>
    <row r="12" ht="15.75" spans="1:3">
      <c r="A12" s="1">
        <v>11</v>
      </c>
      <c r="B12" s="4" t="s">
        <v>701</v>
      </c>
      <c r="C12" s="1" t="s">
        <v>686</v>
      </c>
    </row>
    <row r="13" s="2" customFormat="1" ht="15.75" spans="1:3">
      <c r="A13" s="2">
        <v>12</v>
      </c>
      <c r="B13" s="5" t="s">
        <v>702</v>
      </c>
      <c r="C13" s="2" t="s">
        <v>686</v>
      </c>
    </row>
    <row r="14" s="2" customFormat="1" ht="15.75" spans="1:3">
      <c r="A14" s="2">
        <v>13</v>
      </c>
      <c r="B14" s="5" t="s">
        <v>703</v>
      </c>
      <c r="C14" s="2" t="s">
        <v>686</v>
      </c>
    </row>
    <row r="15" ht="15.75" spans="1:3">
      <c r="A15" s="1">
        <v>14</v>
      </c>
      <c r="B15" s="4" t="s">
        <v>704</v>
      </c>
      <c r="C15" s="1" t="s">
        <v>700</v>
      </c>
    </row>
    <row r="16" ht="15.75" spans="1:3">
      <c r="A16" s="1">
        <v>15</v>
      </c>
      <c r="B16" s="4" t="s">
        <v>705</v>
      </c>
      <c r="C16" s="1" t="s">
        <v>706</v>
      </c>
    </row>
    <row r="17" ht="15.75" spans="1:3">
      <c r="A17" s="1">
        <v>16</v>
      </c>
      <c r="B17" s="4" t="s">
        <v>707</v>
      </c>
      <c r="C17" s="1" t="s">
        <v>686</v>
      </c>
    </row>
    <row r="18" ht="15.75" spans="1:3">
      <c r="A18" s="1">
        <v>17</v>
      </c>
      <c r="B18" s="4" t="s">
        <v>708</v>
      </c>
      <c r="C18" s="1" t="s">
        <v>686</v>
      </c>
    </row>
    <row r="19" ht="15.75" spans="1:3">
      <c r="A19" s="1">
        <v>18</v>
      </c>
      <c r="B19" s="4" t="s">
        <v>709</v>
      </c>
      <c r="C19" s="1" t="s">
        <v>686</v>
      </c>
    </row>
    <row r="20" ht="15.75" spans="1:3">
      <c r="A20" s="1">
        <v>19</v>
      </c>
      <c r="B20" s="4" t="s">
        <v>710</v>
      </c>
      <c r="C20" s="1" t="s">
        <v>686</v>
      </c>
    </row>
    <row r="21" ht="15.75" spans="1:3">
      <c r="A21" s="1">
        <v>20</v>
      </c>
      <c r="B21" s="4" t="s">
        <v>711</v>
      </c>
      <c r="C21" s="1" t="s">
        <v>686</v>
      </c>
    </row>
    <row r="22" ht="15.75" spans="1:3">
      <c r="A22" s="1">
        <v>21</v>
      </c>
      <c r="B22" s="4" t="s">
        <v>712</v>
      </c>
      <c r="C22" s="1" t="s">
        <v>686</v>
      </c>
    </row>
    <row r="23" ht="15.75" spans="1:9">
      <c r="A23" s="6">
        <v>22</v>
      </c>
      <c r="B23" s="4" t="s">
        <v>713</v>
      </c>
      <c r="C23" s="6" t="s">
        <v>714</v>
      </c>
      <c r="D23" s="6"/>
      <c r="E23" s="6"/>
      <c r="F23" s="6"/>
      <c r="G23" s="6"/>
      <c r="H23" s="6"/>
      <c r="I23" s="4"/>
    </row>
    <row r="24" ht="15.75" spans="1:9">
      <c r="A24" s="6">
        <v>23</v>
      </c>
      <c r="B24" s="4" t="s">
        <v>715</v>
      </c>
      <c r="C24" s="6" t="s">
        <v>686</v>
      </c>
      <c r="D24" s="6"/>
      <c r="E24" s="6"/>
      <c r="F24" s="6"/>
      <c r="G24" s="6"/>
      <c r="H24" s="6"/>
      <c r="I24" s="4"/>
    </row>
    <row r="25" ht="15.75" spans="1:9">
      <c r="A25" s="6">
        <v>24</v>
      </c>
      <c r="B25" s="4" t="s">
        <v>716</v>
      </c>
      <c r="C25" s="6" t="s">
        <v>686</v>
      </c>
      <c r="D25" s="6"/>
      <c r="E25" s="6"/>
      <c r="F25" s="6"/>
      <c r="G25" s="6"/>
      <c r="H25" s="6"/>
      <c r="I25" s="4"/>
    </row>
    <row r="26" ht="15.75" spans="1:9">
      <c r="A26" s="6"/>
      <c r="B26" s="4"/>
      <c r="C26" s="6"/>
      <c r="D26" s="6"/>
      <c r="E26" s="6"/>
      <c r="F26" s="6"/>
      <c r="G26" s="6"/>
      <c r="H26" s="6"/>
      <c r="I26" s="4"/>
    </row>
    <row r="27" ht="15.75" spans="1:9">
      <c r="A27" s="6"/>
      <c r="B27" s="4"/>
      <c r="C27" s="6"/>
      <c r="D27" s="6"/>
      <c r="E27" s="6"/>
      <c r="F27" s="6"/>
      <c r="G27" s="6"/>
      <c r="H27" s="6"/>
      <c r="I27" s="4"/>
    </row>
    <row r="28" ht="15.75" spans="1:9">
      <c r="A28" s="6"/>
      <c r="B28" s="4"/>
      <c r="C28" s="6"/>
      <c r="D28" s="6"/>
      <c r="E28" s="6"/>
      <c r="F28" s="6"/>
      <c r="G28" s="6"/>
      <c r="H28" s="6"/>
      <c r="I28" s="4"/>
    </row>
    <row r="29" ht="15.75" spans="1:9">
      <c r="A29" s="6"/>
      <c r="B29" s="4"/>
      <c r="C29" s="6"/>
      <c r="D29" s="6"/>
      <c r="E29" s="6"/>
      <c r="F29" s="6"/>
      <c r="G29" s="6"/>
      <c r="H29" s="6"/>
      <c r="I29" s="6"/>
    </row>
    <row r="30" ht="15.75" spans="1:9">
      <c r="A30" s="6"/>
      <c r="B30" s="4"/>
      <c r="C30" s="6"/>
      <c r="D30" s="6"/>
      <c r="E30" s="6"/>
      <c r="F30" s="6"/>
      <c r="G30" s="6"/>
      <c r="H30" s="6"/>
      <c r="I30" s="6"/>
    </row>
    <row r="31" ht="15.75" spans="1:9">
      <c r="A31" s="6"/>
      <c r="B31" s="4"/>
      <c r="C31" s="6"/>
      <c r="D31" s="6"/>
      <c r="E31" s="6"/>
      <c r="F31" s="6"/>
      <c r="G31" s="6"/>
      <c r="H31" s="6"/>
      <c r="I31" s="6"/>
    </row>
    <row r="32" ht="15.75" spans="1:9">
      <c r="A32" s="6"/>
      <c r="B32" s="4"/>
      <c r="C32" s="6"/>
      <c r="D32" s="6"/>
      <c r="E32" s="6"/>
      <c r="F32" s="6"/>
      <c r="G32" s="6"/>
      <c r="H32" s="6"/>
      <c r="I32" s="6"/>
    </row>
    <row r="33" ht="15.75" spans="1:9">
      <c r="A33" s="6"/>
      <c r="B33" s="6"/>
      <c r="C33" s="6"/>
      <c r="D33" s="6"/>
      <c r="E33" s="6"/>
      <c r="F33" s="6"/>
      <c r="G33" s="6"/>
      <c r="H33" s="6"/>
      <c r="I33" s="6"/>
    </row>
    <row r="34" ht="15.75" spans="1:9">
      <c r="A34" s="6"/>
      <c r="B34" s="6"/>
      <c r="C34" s="6"/>
      <c r="D34" s="6"/>
      <c r="E34" s="6"/>
      <c r="F34" s="6"/>
      <c r="G34" s="6"/>
      <c r="H34" s="6"/>
      <c r="I34" s="6"/>
    </row>
    <row r="35" ht="15.75" spans="1:9">
      <c r="A35" s="6"/>
      <c r="B35" s="6"/>
      <c r="C35" s="6"/>
      <c r="D35" s="6"/>
      <c r="E35" s="6"/>
      <c r="F35" s="6"/>
      <c r="G35" s="6"/>
      <c r="H35" s="6"/>
      <c r="I35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36" sqref="C36"/>
    </sheetView>
  </sheetViews>
  <sheetFormatPr defaultColWidth="9" defaultRowHeight="14.25" outlineLevelCol="2"/>
  <cols>
    <col min="1" max="1" width="14.775" style="1" customWidth="1"/>
    <col min="2" max="2" width="57.8833333333333" style="1" customWidth="1"/>
    <col min="3" max="3" width="23" style="1" customWidth="1"/>
    <col min="4" max="4" width="9" style="1" customWidth="1"/>
    <col min="5" max="16384" width="9" style="1"/>
  </cols>
  <sheetData>
    <row r="1" spans="1:3">
      <c r="A1" s="1" t="s">
        <v>717</v>
      </c>
      <c r="B1" s="1" t="s">
        <v>718</v>
      </c>
      <c r="C1" s="1" t="s">
        <v>719</v>
      </c>
    </row>
    <row r="2" spans="1:3">
      <c r="A2" s="1">
        <v>1</v>
      </c>
      <c r="B2" s="1" t="s">
        <v>720</v>
      </c>
      <c r="C2" s="1" t="s">
        <v>721</v>
      </c>
    </row>
    <row r="3" spans="1:3">
      <c r="A3" s="1">
        <v>2</v>
      </c>
      <c r="B3" s="1" t="s">
        <v>722</v>
      </c>
      <c r="C3" s="1" t="s">
        <v>723</v>
      </c>
    </row>
    <row r="4" spans="1:3">
      <c r="A4" s="1">
        <v>3</v>
      </c>
      <c r="B4" s="1" t="s">
        <v>724</v>
      </c>
      <c r="C4" s="1" t="s">
        <v>700</v>
      </c>
    </row>
    <row r="5" spans="1:3">
      <c r="A5" s="1">
        <v>4</v>
      </c>
      <c r="B5" s="1" t="s">
        <v>725</v>
      </c>
      <c r="C5" s="1" t="s">
        <v>700</v>
      </c>
    </row>
    <row r="6" spans="1:3">
      <c r="A6" s="1">
        <v>5</v>
      </c>
      <c r="B6" s="1" t="s">
        <v>726</v>
      </c>
      <c r="C6" s="1" t="s">
        <v>700</v>
      </c>
    </row>
    <row r="7" spans="1:3">
      <c r="A7" s="1">
        <v>6</v>
      </c>
      <c r="B7" s="1" t="s">
        <v>727</v>
      </c>
      <c r="C7" s="1" t="s">
        <v>728</v>
      </c>
    </row>
    <row r="8" spans="1:3">
      <c r="A8" s="1">
        <v>7</v>
      </c>
      <c r="B8" s="1" t="s">
        <v>729</v>
      </c>
      <c r="C8" s="1" t="s">
        <v>730</v>
      </c>
    </row>
    <row r="9" spans="1:3">
      <c r="A9" s="1">
        <v>8</v>
      </c>
      <c r="B9" s="1" t="s">
        <v>731</v>
      </c>
      <c r="C9" s="1" t="s">
        <v>700</v>
      </c>
    </row>
    <row r="10" s="2" customFormat="1" spans="1:3">
      <c r="A10" s="2">
        <v>9</v>
      </c>
      <c r="B10" s="2" t="s">
        <v>732</v>
      </c>
      <c r="C10" s="2" t="s">
        <v>686</v>
      </c>
    </row>
    <row r="11" s="2" customFormat="1" spans="1:3">
      <c r="A11" s="2">
        <v>10</v>
      </c>
      <c r="B11" s="2" t="s">
        <v>733</v>
      </c>
      <c r="C11" s="2" t="s">
        <v>686</v>
      </c>
    </row>
    <row r="12" s="2" customFormat="1" spans="1:3">
      <c r="A12" s="2">
        <v>11</v>
      </c>
      <c r="B12" s="2" t="s">
        <v>734</v>
      </c>
      <c r="C12" s="2" t="s">
        <v>735</v>
      </c>
    </row>
    <row r="13" spans="1:3">
      <c r="A13" s="1">
        <v>12</v>
      </c>
      <c r="B13" s="1" t="s">
        <v>736</v>
      </c>
      <c r="C13" s="1" t="s">
        <v>686</v>
      </c>
    </row>
    <row r="14" s="2" customFormat="1" spans="1:3">
      <c r="A14" s="2">
        <v>13</v>
      </c>
      <c r="B14" s="2" t="s">
        <v>737</v>
      </c>
      <c r="C14" s="2" t="s">
        <v>735</v>
      </c>
    </row>
    <row r="15" spans="1:3">
      <c r="A15" s="1">
        <v>14</v>
      </c>
      <c r="B15" s="1" t="s">
        <v>738</v>
      </c>
      <c r="C15" s="1" t="s">
        <v>739</v>
      </c>
    </row>
    <row r="16" spans="1:3">
      <c r="A16" s="1">
        <v>15</v>
      </c>
      <c r="B16" s="1" t="s">
        <v>740</v>
      </c>
      <c r="C16" s="1" t="s">
        <v>741</v>
      </c>
    </row>
    <row r="17" spans="1:3">
      <c r="A17" s="1">
        <v>16</v>
      </c>
      <c r="B17" s="1" t="s">
        <v>742</v>
      </c>
      <c r="C17" s="1" t="s">
        <v>686</v>
      </c>
    </row>
    <row r="18" s="3" customFormat="1" spans="1:3">
      <c r="A18" s="3">
        <v>17</v>
      </c>
      <c r="B18" s="3" t="s">
        <v>743</v>
      </c>
      <c r="C18" s="3" t="s">
        <v>686</v>
      </c>
    </row>
    <row r="19" spans="1:3">
      <c r="A19" s="1">
        <v>18</v>
      </c>
      <c r="B19" s="1" t="s">
        <v>744</v>
      </c>
      <c r="C19" s="1" t="s">
        <v>700</v>
      </c>
    </row>
    <row r="20" spans="1:3">
      <c r="A20" s="1">
        <v>19</v>
      </c>
      <c r="B20" s="1" t="s">
        <v>745</v>
      </c>
      <c r="C20" s="1" t="s">
        <v>741</v>
      </c>
    </row>
    <row r="21" s="2" customFormat="1" spans="1:3">
      <c r="A21" s="2">
        <v>20</v>
      </c>
      <c r="B21" s="2" t="s">
        <v>746</v>
      </c>
      <c r="C21" s="2" t="s">
        <v>686</v>
      </c>
    </row>
    <row r="22" spans="1:3">
      <c r="A22" s="1">
        <v>21</v>
      </c>
      <c r="B22" s="1" t="s">
        <v>747</v>
      </c>
      <c r="C22" s="1" t="s">
        <v>741</v>
      </c>
    </row>
    <row r="23" spans="1:3">
      <c r="A23" s="1">
        <v>22</v>
      </c>
      <c r="B23" s="1" t="s">
        <v>748</v>
      </c>
      <c r="C23" s="1" t="s">
        <v>706</v>
      </c>
    </row>
    <row r="24" spans="1:3">
      <c r="A24" s="1">
        <v>23</v>
      </c>
      <c r="B24" s="1" t="s">
        <v>749</v>
      </c>
      <c r="C24" s="1" t="s">
        <v>700</v>
      </c>
    </row>
    <row r="25" spans="1:3">
      <c r="A25" s="1">
        <v>24</v>
      </c>
      <c r="B25" s="1" t="s">
        <v>750</v>
      </c>
      <c r="C25" s="1" t="s">
        <v>700</v>
      </c>
    </row>
    <row r="26" s="3" customFormat="1" spans="1:3">
      <c r="A26" s="3">
        <v>25</v>
      </c>
      <c r="B26" s="3" t="s">
        <v>751</v>
      </c>
      <c r="C26" s="3" t="s">
        <v>752</v>
      </c>
    </row>
    <row r="27" s="3" customFormat="1" spans="1:1">
      <c r="A27" s="3">
        <v>26</v>
      </c>
    </row>
    <row r="28" s="3" customFormat="1" spans="1:3">
      <c r="A28" s="3">
        <v>27</v>
      </c>
      <c r="B28" s="3" t="s">
        <v>753</v>
      </c>
      <c r="C28" s="3" t="s">
        <v>686</v>
      </c>
    </row>
    <row r="29" s="3" customFormat="1" spans="1:3">
      <c r="A29" s="3">
        <v>28</v>
      </c>
      <c r="B29" s="3" t="s">
        <v>754</v>
      </c>
      <c r="C29" s="3" t="s">
        <v>686</v>
      </c>
    </row>
    <row r="30" s="3" customFormat="1" spans="1:3">
      <c r="A30" s="3">
        <v>29</v>
      </c>
      <c r="B30" s="3" t="s">
        <v>755</v>
      </c>
      <c r="C30" s="3" t="s">
        <v>686</v>
      </c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0" sqref="B10"/>
    </sheetView>
  </sheetViews>
  <sheetFormatPr defaultColWidth="9" defaultRowHeight="14.25" outlineLevelCol="2"/>
  <cols>
    <col min="1" max="1" width="21.6666666666667" customWidth="1"/>
    <col min="2" max="2" width="50.1083333333333" customWidth="1"/>
    <col min="3" max="3" width="21.1083333333333" customWidth="1"/>
  </cols>
  <sheetData>
    <row r="1" spans="1:3">
      <c r="A1" s="1" t="s">
        <v>717</v>
      </c>
      <c r="B1" s="1" t="s">
        <v>718</v>
      </c>
      <c r="C1" s="1" t="s">
        <v>719</v>
      </c>
    </row>
    <row r="2" spans="1:3">
      <c r="A2" s="1">
        <v>1</v>
      </c>
      <c r="B2" s="1" t="s">
        <v>756</v>
      </c>
      <c r="C2" s="1" t="s">
        <v>686</v>
      </c>
    </row>
    <row r="3" spans="1:3">
      <c r="A3" s="1">
        <v>2</v>
      </c>
      <c r="B3" s="1" t="s">
        <v>757</v>
      </c>
      <c r="C3" s="1" t="s">
        <v>758</v>
      </c>
    </row>
    <row r="4" spans="1:3">
      <c r="A4" s="1">
        <v>3</v>
      </c>
      <c r="B4" s="1" t="s">
        <v>759</v>
      </c>
      <c r="C4" s="1" t="s">
        <v>686</v>
      </c>
    </row>
    <row r="5" spans="1:3">
      <c r="A5" s="1">
        <v>4</v>
      </c>
      <c r="B5" s="1" t="s">
        <v>760</v>
      </c>
      <c r="C5" s="1" t="s">
        <v>728</v>
      </c>
    </row>
    <row r="6" spans="1:3">
      <c r="A6" s="1">
        <v>5</v>
      </c>
      <c r="B6" s="1" t="s">
        <v>761</v>
      </c>
      <c r="C6" s="1" t="s">
        <v>700</v>
      </c>
    </row>
    <row r="7" spans="1:3">
      <c r="A7" s="1">
        <v>6</v>
      </c>
      <c r="B7" s="1" t="s">
        <v>762</v>
      </c>
      <c r="C7" s="1" t="s">
        <v>700</v>
      </c>
    </row>
    <row r="8" spans="1:3">
      <c r="A8" s="1">
        <v>7</v>
      </c>
      <c r="B8" s="1" t="s">
        <v>763</v>
      </c>
      <c r="C8" s="1" t="s">
        <v>700</v>
      </c>
    </row>
    <row r="9" spans="1:3">
      <c r="A9" s="1"/>
      <c r="B9" s="1"/>
      <c r="C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activity_task</vt:lpstr>
      <vt:lpstr>task_reward_activity</vt:lpstr>
      <vt:lpstr>achievement</vt:lpstr>
      <vt:lpstr>achievement_level</vt:lpstr>
      <vt:lpstr>title</vt:lpstr>
      <vt:lpstr>master_task</vt:lpstr>
      <vt:lpstr>ring</vt:lpstr>
      <vt:lpstr>badge</vt:lpstr>
      <vt:lpstr>couple_clock</vt:lpstr>
      <vt:lpstr>blood_task</vt:lpstr>
      <vt:lpstr>blood_exchange</vt:lpstr>
      <vt:lpstr>Sheet1</vt:lpstr>
      <vt:lpstr>任务完成条件说明</vt:lpstr>
      <vt:lpstr>成就完成条件说明</vt:lpstr>
      <vt:lpstr>称号完成条件说明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ming</cp:lastModifiedBy>
  <dcterms:created xsi:type="dcterms:W3CDTF">2015-06-05T18:19:00Z</dcterms:created>
  <dcterms:modified xsi:type="dcterms:W3CDTF">2025-08-06T06:48:47Z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EM_Doc_Temp_ID">
    <vt:lpwstr>8de48796</vt:lpwstr>
  </property>
  <property fmtid="{D5CDD505-2E9C-101B-9397-08002B2CF9AE}" pid="4" name="ICV">
    <vt:lpwstr>F7004AF4EC74490EB40DB1122384AB60</vt:lpwstr>
  </property>
</Properties>
</file>