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7A00EDD0-D6C7-4A1D-8D4B-3B1890093B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iamond_discount" sheetId="1" r:id="rId1"/>
    <sheet name="diamond_discount_ran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  <c r="J41" i="1"/>
  <c r="I41" i="1"/>
  <c r="G41" i="1"/>
  <c r="K40" i="1"/>
  <c r="J40" i="1"/>
  <c r="I40" i="1"/>
  <c r="G40" i="1"/>
  <c r="K39" i="1"/>
  <c r="J39" i="1"/>
  <c r="I39" i="1"/>
  <c r="G39" i="1"/>
  <c r="K38" i="1"/>
  <c r="J38" i="1"/>
  <c r="I38" i="1"/>
  <c r="G38" i="1"/>
  <c r="K37" i="1"/>
  <c r="J37" i="1"/>
  <c r="I37" i="1"/>
  <c r="G37" i="1"/>
  <c r="K36" i="1"/>
  <c r="J36" i="1"/>
  <c r="I36" i="1"/>
  <c r="G36" i="1"/>
  <c r="K35" i="1"/>
  <c r="I35" i="1"/>
  <c r="G35" i="1"/>
  <c r="K34" i="1"/>
  <c r="I34" i="1"/>
  <c r="G34" i="1"/>
  <c r="K33" i="1"/>
  <c r="I33" i="1"/>
  <c r="G33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E2" authorId="0" shapeId="0" xr:uid="{00000000-0006-0000-0000-000001000000}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K2" authorId="1" shapeId="0" xr:uid="{00000000-0006-0000-0000-000002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[物品id，物品数量]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2" authorId="0" shapeId="0" xr:uid="{00000000-0006-0000-0100-000001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【【档位id，权重】，【档位id，权重】】</t>
        </r>
      </text>
    </comment>
  </commentList>
</comments>
</file>

<file path=xl/sharedStrings.xml><?xml version="1.0" encoding="utf-8"?>
<sst xmlns="http://schemas.openxmlformats.org/spreadsheetml/2006/main" count="203" uniqueCount="56">
  <si>
    <t>##comment</t>
  </si>
  <si>
    <t>序号</t>
  </si>
  <si>
    <t>折扣挡位</t>
  </si>
  <si>
    <t>签对应的图片</t>
  </si>
  <si>
    <t>参考中文名</t>
  </si>
  <si>
    <t>赠送折扣</t>
  </si>
  <si>
    <t>钻石</t>
  </si>
  <si>
    <t>折扣权重</t>
  </si>
  <si>
    <t>原价</t>
  </si>
  <si>
    <t>充值表对应id</t>
  </si>
  <si>
    <t>礼包内容</t>
  </si>
  <si>
    <t>礼包图片</t>
  </si>
  <si>
    <t>##var</t>
  </si>
  <si>
    <t>id</t>
  </si>
  <si>
    <t>gear_discount</t>
  </si>
  <si>
    <t>name_icon</t>
  </si>
  <si>
    <t>discount</t>
  </si>
  <si>
    <t>diamond</t>
  </si>
  <si>
    <t>discount_weight</t>
  </si>
  <si>
    <t>gear</t>
  </si>
  <si>
    <t>charge_id</t>
  </si>
  <si>
    <t>reward</t>
  </si>
  <si>
    <t>img</t>
  </si>
  <si>
    <t>##type</t>
  </si>
  <si>
    <t>int32</t>
  </si>
  <si>
    <t>string</t>
  </si>
  <si>
    <t>(list#sep=;),int</t>
  </si>
  <si>
    <t>##group</t>
  </si>
  <si>
    <t>c,s</t>
  </si>
  <si>
    <t>##</t>
  </si>
  <si>
    <t>[]</t>
  </si>
  <si>
    <t>ui_cq_gmtc_bt_5</t>
  </si>
  <si>
    <t>下下签</t>
  </si>
  <si>
    <t>2;1000000</t>
  </si>
  <si>
    <t>new_ui_draw_icon_fx</t>
  </si>
  <si>
    <t>ui_cq_gmtc_bt_4</t>
  </si>
  <si>
    <t>中平签</t>
  </si>
  <si>
    <t>ui_cq_gmtc_bt_3</t>
  </si>
  <si>
    <t>中吉签</t>
  </si>
  <si>
    <t>ui_cq_gmtc_bt_2</t>
  </si>
  <si>
    <t>上吉签</t>
  </si>
  <si>
    <t>new_ui_draw_goldicon_fx02</t>
  </si>
  <si>
    <t>ui_cq_gmtc_bt_1</t>
  </si>
  <si>
    <t>上上签</t>
  </si>
  <si>
    <t>每日钻石折扣礼包表</t>
  </si>
  <si>
    <t>vip等级</t>
  </si>
  <si>
    <t>档位区间</t>
  </si>
  <si>
    <t>range</t>
  </si>
  <si>
    <t>每日钻石直冲</t>
  </si>
  <si>
    <t>10,150;13,150;16,150;11,100;14,100;17,100</t>
  </si>
  <si>
    <t>10,100;13,100;16,100;11,100;14,100;17,100;1,100;4,100;7,100</t>
  </si>
  <si>
    <t>11,100;14,100;17,100;1,100;4,100;7,100;2,100;5,100;8,100</t>
  </si>
  <si>
    <t>1,100;4,100;7,100;2,100;5,100;8,100;3,100;6,100;9,100</t>
  </si>
  <si>
    <t>1,100;4,100;7,100;2,150;5,150;8,150;3,100;6,100;9,100</t>
  </si>
  <si>
    <t>1,100;4,100;7,100;2,150;5,150;8,150;3,100;6,100;9,100;12,100;15,100;18,100</t>
  </si>
  <si>
    <t>(list#sep=;),(list#sep=,),int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</si>
</sst>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8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B1" workbookViewId="0">
      <selection activeCell="O31" sqref="O31"/>
    </sheetView>
  </sheetViews>
  <sheetFormatPr defaultColWidth="9" defaultRowHeight="13.8" x14ac:dyDescent="0.25"/>
  <cols>
    <col min="11" max="11" width="14.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s="1" t="s">
        <v>13</v>
      </c>
      <c r="C2" s="1" t="s">
        <v>14</v>
      </c>
      <c r="D2" s="3" t="s">
        <v>15</v>
      </c>
      <c r="E2" s="4"/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5">
      <c r="A3" t="s">
        <v>23</v>
      </c>
      <c r="B3" s="1" t="s">
        <v>24</v>
      </c>
      <c r="C3" s="1" t="s">
        <v>24</v>
      </c>
      <c r="D3" s="1" t="s">
        <v>25</v>
      </c>
      <c r="E3" s="4" t="s">
        <v>25</v>
      </c>
      <c r="F3" s="1" t="s">
        <v>25</v>
      </c>
      <c r="G3" s="1" t="s">
        <v>24</v>
      </c>
      <c r="H3" s="1" t="s">
        <v>24</v>
      </c>
      <c r="I3" s="1" t="s">
        <v>25</v>
      </c>
      <c r="J3" s="1" t="s">
        <v>24</v>
      </c>
      <c r="K3" s="1" t="s">
        <v>26</v>
      </c>
      <c r="L3" s="1" t="s">
        <v>25</v>
      </c>
    </row>
    <row r="4" spans="1:12" x14ac:dyDescent="0.25">
      <c r="A4" t="s">
        <v>27</v>
      </c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</row>
    <row r="5" spans="1:12" ht="15.6" x14ac:dyDescent="0.3">
      <c r="A5" t="s">
        <v>29</v>
      </c>
      <c r="B5" s="1">
        <v>0</v>
      </c>
      <c r="C5" s="1">
        <v>0</v>
      </c>
      <c r="D5" s="3">
        <v>0</v>
      </c>
      <c r="E5" s="4"/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30</v>
      </c>
      <c r="L5" s="1">
        <v>0</v>
      </c>
    </row>
    <row r="6" spans="1:12" x14ac:dyDescent="0.25">
      <c r="A6" t="s">
        <v>29</v>
      </c>
      <c r="B6" s="4">
        <v>1</v>
      </c>
      <c r="C6">
        <v>18</v>
      </c>
      <c r="D6" s="5" t="s">
        <v>31</v>
      </c>
      <c r="E6" t="s">
        <v>32</v>
      </c>
      <c r="F6">
        <v>0.05</v>
      </c>
      <c r="G6">
        <f t="shared" ref="G6:G24" si="0">INT(C6*10*(1+F6))</f>
        <v>189</v>
      </c>
      <c r="H6">
        <v>1500</v>
      </c>
      <c r="I6">
        <f>G6/10</f>
        <v>18.899999999999999</v>
      </c>
      <c r="J6">
        <v>171</v>
      </c>
      <c r="K6" t="s">
        <v>33</v>
      </c>
      <c r="L6" t="s">
        <v>34</v>
      </c>
    </row>
    <row r="7" spans="1:12" x14ac:dyDescent="0.25">
      <c r="A7" t="s">
        <v>29</v>
      </c>
      <c r="B7" s="4">
        <v>2</v>
      </c>
      <c r="C7">
        <v>18</v>
      </c>
      <c r="D7" s="5" t="s">
        <v>35</v>
      </c>
      <c r="E7" t="s">
        <v>36</v>
      </c>
      <c r="F7">
        <v>0.06</v>
      </c>
      <c r="G7">
        <f t="shared" si="0"/>
        <v>190</v>
      </c>
      <c r="H7">
        <v>1500</v>
      </c>
      <c r="I7">
        <f t="shared" ref="I7:I41" si="1">G7/10</f>
        <v>19</v>
      </c>
      <c r="J7">
        <v>172</v>
      </c>
      <c r="L7" t="s">
        <v>34</v>
      </c>
    </row>
    <row r="8" spans="1:12" x14ac:dyDescent="0.25">
      <c r="A8" t="s">
        <v>29</v>
      </c>
      <c r="B8" s="4">
        <v>3</v>
      </c>
      <c r="C8">
        <v>18</v>
      </c>
      <c r="D8" s="5" t="s">
        <v>35</v>
      </c>
      <c r="E8" t="s">
        <v>36</v>
      </c>
      <c r="F8">
        <v>7.0000000000000007E-2</v>
      </c>
      <c r="G8">
        <f t="shared" si="0"/>
        <v>192</v>
      </c>
      <c r="H8">
        <v>900</v>
      </c>
      <c r="I8">
        <f t="shared" si="1"/>
        <v>19.2</v>
      </c>
      <c r="J8">
        <v>173</v>
      </c>
      <c r="L8" t="s">
        <v>34</v>
      </c>
    </row>
    <row r="9" spans="1:12" x14ac:dyDescent="0.25">
      <c r="A9" t="s">
        <v>29</v>
      </c>
      <c r="B9" s="4">
        <v>4</v>
      </c>
      <c r="C9">
        <v>18</v>
      </c>
      <c r="D9" s="5" t="s">
        <v>35</v>
      </c>
      <c r="E9" t="s">
        <v>36</v>
      </c>
      <c r="F9">
        <v>0.08</v>
      </c>
      <c r="G9">
        <f t="shared" si="0"/>
        <v>194</v>
      </c>
      <c r="H9">
        <v>900</v>
      </c>
      <c r="I9">
        <f t="shared" si="1"/>
        <v>19.399999999999999</v>
      </c>
      <c r="J9">
        <v>174</v>
      </c>
      <c r="L9" t="s">
        <v>34</v>
      </c>
    </row>
    <row r="10" spans="1:12" x14ac:dyDescent="0.25">
      <c r="A10" t="s">
        <v>29</v>
      </c>
      <c r="B10" s="4">
        <v>5</v>
      </c>
      <c r="C10">
        <v>18</v>
      </c>
      <c r="D10" s="5" t="s">
        <v>35</v>
      </c>
      <c r="E10" t="s">
        <v>36</v>
      </c>
      <c r="F10">
        <v>0.09</v>
      </c>
      <c r="G10">
        <f t="shared" si="0"/>
        <v>196</v>
      </c>
      <c r="H10">
        <v>600</v>
      </c>
      <c r="I10">
        <f t="shared" si="1"/>
        <v>19.600000000000001</v>
      </c>
      <c r="J10">
        <v>175</v>
      </c>
      <c r="L10" t="s">
        <v>34</v>
      </c>
    </row>
    <row r="11" spans="1:12" x14ac:dyDescent="0.25">
      <c r="A11" t="s">
        <v>29</v>
      </c>
      <c r="B11" s="4">
        <v>6</v>
      </c>
      <c r="C11">
        <v>18</v>
      </c>
      <c r="D11" s="5" t="s">
        <v>35</v>
      </c>
      <c r="E11" t="s">
        <v>36</v>
      </c>
      <c r="F11">
        <v>0.1</v>
      </c>
      <c r="G11">
        <f t="shared" si="0"/>
        <v>198</v>
      </c>
      <c r="H11">
        <v>600</v>
      </c>
      <c r="I11">
        <f t="shared" si="1"/>
        <v>19.8</v>
      </c>
      <c r="J11">
        <v>176</v>
      </c>
      <c r="L11" t="s">
        <v>34</v>
      </c>
    </row>
    <row r="12" spans="1:12" x14ac:dyDescent="0.25">
      <c r="A12" t="s">
        <v>29</v>
      </c>
      <c r="B12" s="4">
        <v>7</v>
      </c>
      <c r="C12">
        <v>30</v>
      </c>
      <c r="D12" s="5" t="s">
        <v>35</v>
      </c>
      <c r="E12" t="s">
        <v>36</v>
      </c>
      <c r="F12">
        <v>7.0000000000000007E-2</v>
      </c>
      <c r="G12">
        <f t="shared" si="0"/>
        <v>321</v>
      </c>
      <c r="H12">
        <v>750</v>
      </c>
      <c r="I12">
        <f t="shared" si="1"/>
        <v>32.1</v>
      </c>
      <c r="J12">
        <v>177</v>
      </c>
      <c r="L12" t="s">
        <v>34</v>
      </c>
    </row>
    <row r="13" spans="1:12" x14ac:dyDescent="0.25">
      <c r="A13" t="s">
        <v>29</v>
      </c>
      <c r="B13" s="4">
        <v>8</v>
      </c>
      <c r="C13">
        <v>30</v>
      </c>
      <c r="D13" s="5" t="s">
        <v>37</v>
      </c>
      <c r="E13" t="s">
        <v>38</v>
      </c>
      <c r="F13">
        <v>0.08</v>
      </c>
      <c r="G13">
        <f t="shared" si="0"/>
        <v>324</v>
      </c>
      <c r="H13">
        <v>750</v>
      </c>
      <c r="I13">
        <f t="shared" si="1"/>
        <v>32.4</v>
      </c>
      <c r="J13">
        <v>178</v>
      </c>
      <c r="L13" t="s">
        <v>34</v>
      </c>
    </row>
    <row r="14" spans="1:12" x14ac:dyDescent="0.25">
      <c r="A14" t="s">
        <v>29</v>
      </c>
      <c r="B14" s="4">
        <v>9</v>
      </c>
      <c r="C14">
        <v>30</v>
      </c>
      <c r="D14" s="5" t="s">
        <v>37</v>
      </c>
      <c r="E14" t="s">
        <v>38</v>
      </c>
      <c r="F14">
        <v>0.09</v>
      </c>
      <c r="G14">
        <f t="shared" si="0"/>
        <v>327</v>
      </c>
      <c r="H14">
        <v>450</v>
      </c>
      <c r="I14">
        <f t="shared" si="1"/>
        <v>32.700000000000003</v>
      </c>
      <c r="J14">
        <v>179</v>
      </c>
      <c r="L14" t="s">
        <v>34</v>
      </c>
    </row>
    <row r="15" spans="1:12" x14ac:dyDescent="0.25">
      <c r="A15" t="s">
        <v>29</v>
      </c>
      <c r="B15" s="4">
        <v>10</v>
      </c>
      <c r="C15">
        <v>30</v>
      </c>
      <c r="D15" s="5" t="s">
        <v>37</v>
      </c>
      <c r="E15" t="s">
        <v>38</v>
      </c>
      <c r="F15">
        <v>0.1</v>
      </c>
      <c r="G15">
        <f t="shared" si="0"/>
        <v>330</v>
      </c>
      <c r="H15">
        <v>450</v>
      </c>
      <c r="I15">
        <f t="shared" si="1"/>
        <v>33</v>
      </c>
      <c r="J15">
        <v>180</v>
      </c>
      <c r="L15" t="s">
        <v>34</v>
      </c>
    </row>
    <row r="16" spans="1:12" x14ac:dyDescent="0.25">
      <c r="A16" t="s">
        <v>29</v>
      </c>
      <c r="B16" s="4">
        <v>11</v>
      </c>
      <c r="C16">
        <v>30</v>
      </c>
      <c r="D16" s="5" t="s">
        <v>37</v>
      </c>
      <c r="E16" t="s">
        <v>38</v>
      </c>
      <c r="F16">
        <v>0.11</v>
      </c>
      <c r="G16">
        <f t="shared" si="0"/>
        <v>333</v>
      </c>
      <c r="H16">
        <v>300</v>
      </c>
      <c r="I16">
        <f t="shared" si="1"/>
        <v>33.299999999999997</v>
      </c>
      <c r="J16">
        <v>181</v>
      </c>
      <c r="L16" t="s">
        <v>34</v>
      </c>
    </row>
    <row r="17" spans="1:12" x14ac:dyDescent="0.25">
      <c r="A17" t="s">
        <v>29</v>
      </c>
      <c r="B17" s="4">
        <v>12</v>
      </c>
      <c r="C17">
        <v>30</v>
      </c>
      <c r="D17" s="5" t="s">
        <v>37</v>
      </c>
      <c r="E17" t="s">
        <v>38</v>
      </c>
      <c r="F17">
        <v>0.12</v>
      </c>
      <c r="G17">
        <f t="shared" si="0"/>
        <v>336</v>
      </c>
      <c r="H17">
        <v>300</v>
      </c>
      <c r="I17">
        <f t="shared" si="1"/>
        <v>33.6</v>
      </c>
      <c r="J17">
        <v>182</v>
      </c>
      <c r="L17" t="s">
        <v>34</v>
      </c>
    </row>
    <row r="18" spans="1:12" x14ac:dyDescent="0.25">
      <c r="A18" t="s">
        <v>29</v>
      </c>
      <c r="B18" s="4">
        <v>13</v>
      </c>
      <c r="C18">
        <v>68</v>
      </c>
      <c r="D18" s="5" t="s">
        <v>39</v>
      </c>
      <c r="E18" t="s">
        <v>40</v>
      </c>
      <c r="F18">
        <v>0.11</v>
      </c>
      <c r="G18">
        <f t="shared" si="0"/>
        <v>754</v>
      </c>
      <c r="H18">
        <v>250</v>
      </c>
      <c r="I18">
        <f t="shared" si="1"/>
        <v>75.400000000000006</v>
      </c>
      <c r="J18">
        <v>183</v>
      </c>
      <c r="L18" t="s">
        <v>34</v>
      </c>
    </row>
    <row r="19" spans="1:12" x14ac:dyDescent="0.25">
      <c r="A19" t="s">
        <v>29</v>
      </c>
      <c r="B19" s="4">
        <v>14</v>
      </c>
      <c r="C19">
        <v>68</v>
      </c>
      <c r="D19" s="5" t="s">
        <v>39</v>
      </c>
      <c r="E19" t="s">
        <v>40</v>
      </c>
      <c r="F19">
        <v>0.12</v>
      </c>
      <c r="G19">
        <f t="shared" si="0"/>
        <v>761</v>
      </c>
      <c r="H19">
        <v>250</v>
      </c>
      <c r="I19">
        <f t="shared" si="1"/>
        <v>76.099999999999994</v>
      </c>
      <c r="J19">
        <v>184</v>
      </c>
      <c r="L19" t="s">
        <v>34</v>
      </c>
    </row>
    <row r="20" spans="1:12" x14ac:dyDescent="0.25">
      <c r="A20" t="s">
        <v>29</v>
      </c>
      <c r="B20" s="4">
        <v>15</v>
      </c>
      <c r="C20">
        <v>68</v>
      </c>
      <c r="D20" s="5" t="s">
        <v>39</v>
      </c>
      <c r="E20" t="s">
        <v>40</v>
      </c>
      <c r="F20">
        <v>0.13</v>
      </c>
      <c r="G20">
        <f t="shared" si="0"/>
        <v>768</v>
      </c>
      <c r="H20">
        <v>150</v>
      </c>
      <c r="I20">
        <f t="shared" si="1"/>
        <v>76.8</v>
      </c>
      <c r="J20">
        <v>185</v>
      </c>
      <c r="L20" t="s">
        <v>41</v>
      </c>
    </row>
    <row r="21" spans="1:12" x14ac:dyDescent="0.25">
      <c r="A21" t="s">
        <v>29</v>
      </c>
      <c r="B21" s="4">
        <v>16</v>
      </c>
      <c r="C21">
        <v>68</v>
      </c>
      <c r="D21" s="5" t="s">
        <v>39</v>
      </c>
      <c r="E21" t="s">
        <v>40</v>
      </c>
      <c r="F21">
        <v>0.14000000000000001</v>
      </c>
      <c r="G21">
        <f t="shared" si="0"/>
        <v>775</v>
      </c>
      <c r="H21">
        <v>150</v>
      </c>
      <c r="I21">
        <f t="shared" si="1"/>
        <v>77.5</v>
      </c>
      <c r="J21">
        <v>186</v>
      </c>
      <c r="L21" t="s">
        <v>34</v>
      </c>
    </row>
    <row r="22" spans="1:12" x14ac:dyDescent="0.25">
      <c r="A22" t="s">
        <v>29</v>
      </c>
      <c r="B22" s="4">
        <v>17</v>
      </c>
      <c r="C22">
        <v>68</v>
      </c>
      <c r="D22" s="5" t="s">
        <v>42</v>
      </c>
      <c r="E22" t="s">
        <v>43</v>
      </c>
      <c r="F22">
        <v>0.15</v>
      </c>
      <c r="G22">
        <f t="shared" si="0"/>
        <v>782</v>
      </c>
      <c r="H22">
        <v>100</v>
      </c>
      <c r="I22">
        <f t="shared" si="1"/>
        <v>78.2</v>
      </c>
      <c r="J22">
        <v>187</v>
      </c>
      <c r="L22" t="s">
        <v>34</v>
      </c>
    </row>
    <row r="23" spans="1:12" x14ac:dyDescent="0.25">
      <c r="A23" t="s">
        <v>29</v>
      </c>
      <c r="B23" s="4">
        <v>18</v>
      </c>
      <c r="C23">
        <v>68</v>
      </c>
      <c r="D23" s="5" t="s">
        <v>42</v>
      </c>
      <c r="E23" t="s">
        <v>43</v>
      </c>
      <c r="F23">
        <v>0.16</v>
      </c>
      <c r="G23">
        <f t="shared" si="0"/>
        <v>788</v>
      </c>
      <c r="H23">
        <v>100</v>
      </c>
      <c r="I23">
        <f t="shared" si="1"/>
        <v>78.8</v>
      </c>
      <c r="J23">
        <v>188</v>
      </c>
      <c r="L23" t="s">
        <v>34</v>
      </c>
    </row>
    <row r="24" spans="1:12" x14ac:dyDescent="0.25">
      <c r="A24" t="s">
        <v>44</v>
      </c>
      <c r="B24" s="6">
        <v>1</v>
      </c>
      <c r="C24" s="6">
        <v>18</v>
      </c>
      <c r="D24" s="7" t="s">
        <v>37</v>
      </c>
      <c r="E24" t="s">
        <v>38</v>
      </c>
      <c r="F24" s="8">
        <v>0.15</v>
      </c>
      <c r="G24" s="2">
        <f t="shared" si="0"/>
        <v>207</v>
      </c>
      <c r="H24">
        <v>400</v>
      </c>
      <c r="I24" s="2">
        <f t="shared" si="1"/>
        <v>20.7</v>
      </c>
      <c r="J24">
        <v>171</v>
      </c>
      <c r="K24" s="2" t="str">
        <f t="shared" ref="K24:K41" si="2">"1;"&amp;G24&amp;""</f>
        <v>1;207</v>
      </c>
      <c r="L24" t="s">
        <v>34</v>
      </c>
    </row>
    <row r="25" spans="1:12" x14ac:dyDescent="0.25">
      <c r="B25" s="6">
        <v>2</v>
      </c>
      <c r="C25" s="6">
        <v>30</v>
      </c>
      <c r="D25" s="7" t="s">
        <v>37</v>
      </c>
      <c r="E25" t="s">
        <v>38</v>
      </c>
      <c r="F25" s="8">
        <v>0.15</v>
      </c>
      <c r="G25" s="2">
        <f t="shared" ref="G25:G41" si="3">INT(C25*10*(1+F25))</f>
        <v>345</v>
      </c>
      <c r="H25">
        <v>300</v>
      </c>
      <c r="I25" s="2">
        <f t="shared" si="1"/>
        <v>34.5</v>
      </c>
      <c r="J25">
        <v>177</v>
      </c>
      <c r="K25" s="2" t="str">
        <f t="shared" si="2"/>
        <v>1;345</v>
      </c>
      <c r="L25" t="s">
        <v>34</v>
      </c>
    </row>
    <row r="26" spans="1:12" x14ac:dyDescent="0.25">
      <c r="B26" s="6">
        <v>3</v>
      </c>
      <c r="C26" s="6">
        <v>68</v>
      </c>
      <c r="D26" s="7" t="s">
        <v>37</v>
      </c>
      <c r="E26" t="s">
        <v>38</v>
      </c>
      <c r="F26" s="8">
        <v>0.15</v>
      </c>
      <c r="G26" s="2">
        <f t="shared" si="3"/>
        <v>782</v>
      </c>
      <c r="H26">
        <v>300</v>
      </c>
      <c r="I26" s="2">
        <f t="shared" si="1"/>
        <v>78.2</v>
      </c>
      <c r="J26">
        <v>183</v>
      </c>
      <c r="K26" s="2" t="str">
        <f t="shared" si="2"/>
        <v>1;782</v>
      </c>
      <c r="L26" t="s">
        <v>34</v>
      </c>
    </row>
    <row r="27" spans="1:12" x14ac:dyDescent="0.25">
      <c r="B27" s="6">
        <v>4</v>
      </c>
      <c r="C27" s="6">
        <v>18</v>
      </c>
      <c r="D27" s="7" t="s">
        <v>39</v>
      </c>
      <c r="E27" t="s">
        <v>40</v>
      </c>
      <c r="F27" s="8">
        <v>0.18</v>
      </c>
      <c r="G27" s="2">
        <f t="shared" si="3"/>
        <v>212</v>
      </c>
      <c r="H27">
        <v>400</v>
      </c>
      <c r="I27" s="2">
        <f t="shared" si="1"/>
        <v>21.2</v>
      </c>
      <c r="J27">
        <v>172</v>
      </c>
      <c r="K27" s="2" t="str">
        <f t="shared" si="2"/>
        <v>1;212</v>
      </c>
      <c r="L27" t="s">
        <v>34</v>
      </c>
    </row>
    <row r="28" spans="1:12" x14ac:dyDescent="0.25">
      <c r="B28" s="6">
        <v>5</v>
      </c>
      <c r="C28" s="6">
        <v>30</v>
      </c>
      <c r="D28" s="7" t="s">
        <v>39</v>
      </c>
      <c r="E28" t="s">
        <v>40</v>
      </c>
      <c r="F28" s="8">
        <v>0.18</v>
      </c>
      <c r="G28" s="2">
        <f t="shared" si="3"/>
        <v>354</v>
      </c>
      <c r="H28">
        <v>300</v>
      </c>
      <c r="I28" s="2">
        <f t="shared" si="1"/>
        <v>35.4</v>
      </c>
      <c r="J28">
        <v>178</v>
      </c>
      <c r="K28" s="2" t="str">
        <f t="shared" si="2"/>
        <v>1;354</v>
      </c>
      <c r="L28" t="s">
        <v>34</v>
      </c>
    </row>
    <row r="29" spans="1:12" x14ac:dyDescent="0.25">
      <c r="B29" s="6">
        <v>6</v>
      </c>
      <c r="C29" s="6">
        <v>68</v>
      </c>
      <c r="D29" s="7" t="s">
        <v>39</v>
      </c>
      <c r="E29" t="s">
        <v>40</v>
      </c>
      <c r="F29" s="8">
        <v>0.18</v>
      </c>
      <c r="G29" s="2">
        <f t="shared" si="3"/>
        <v>802</v>
      </c>
      <c r="H29">
        <v>300</v>
      </c>
      <c r="I29" s="2">
        <f t="shared" si="1"/>
        <v>80.2</v>
      </c>
      <c r="J29">
        <v>184</v>
      </c>
      <c r="K29" s="2" t="str">
        <f t="shared" si="2"/>
        <v>1;802</v>
      </c>
      <c r="L29" t="s">
        <v>34</v>
      </c>
    </row>
    <row r="30" spans="1:12" x14ac:dyDescent="0.25">
      <c r="B30" s="6">
        <v>7</v>
      </c>
      <c r="C30" s="6">
        <v>18</v>
      </c>
      <c r="D30" s="7" t="s">
        <v>42</v>
      </c>
      <c r="E30" t="s">
        <v>43</v>
      </c>
      <c r="F30" s="8">
        <v>0.2</v>
      </c>
      <c r="G30" s="2">
        <f t="shared" si="3"/>
        <v>216</v>
      </c>
      <c r="H30">
        <v>400</v>
      </c>
      <c r="I30" s="2">
        <f t="shared" si="1"/>
        <v>21.6</v>
      </c>
      <c r="J30">
        <v>173</v>
      </c>
      <c r="K30" s="2" t="str">
        <f t="shared" si="2"/>
        <v>1;216</v>
      </c>
      <c r="L30" t="s">
        <v>34</v>
      </c>
    </row>
    <row r="31" spans="1:12" x14ac:dyDescent="0.25">
      <c r="B31" s="6">
        <v>8</v>
      </c>
      <c r="C31" s="6">
        <v>30</v>
      </c>
      <c r="D31" s="7" t="s">
        <v>42</v>
      </c>
      <c r="E31" t="s">
        <v>43</v>
      </c>
      <c r="F31" s="8">
        <v>0.2</v>
      </c>
      <c r="G31" s="2">
        <f t="shared" si="3"/>
        <v>360</v>
      </c>
      <c r="H31">
        <v>300</v>
      </c>
      <c r="I31" s="2">
        <f t="shared" si="1"/>
        <v>36</v>
      </c>
      <c r="J31">
        <v>179</v>
      </c>
      <c r="K31" s="2" t="str">
        <f t="shared" si="2"/>
        <v>1;360</v>
      </c>
      <c r="L31" t="s">
        <v>34</v>
      </c>
    </row>
    <row r="32" spans="1:12" x14ac:dyDescent="0.25">
      <c r="B32" s="6">
        <v>9</v>
      </c>
      <c r="C32" s="6">
        <v>68</v>
      </c>
      <c r="D32" s="7" t="s">
        <v>42</v>
      </c>
      <c r="E32" t="s">
        <v>43</v>
      </c>
      <c r="F32" s="8">
        <v>0.2</v>
      </c>
      <c r="G32" s="2">
        <f t="shared" si="3"/>
        <v>816</v>
      </c>
      <c r="H32">
        <v>300</v>
      </c>
      <c r="I32" s="2">
        <f t="shared" si="1"/>
        <v>81.599999999999994</v>
      </c>
      <c r="J32">
        <v>185</v>
      </c>
      <c r="K32" s="2" t="str">
        <f t="shared" si="2"/>
        <v>1;816</v>
      </c>
      <c r="L32" t="s">
        <v>34</v>
      </c>
    </row>
    <row r="33" spans="2:12" x14ac:dyDescent="0.25">
      <c r="B33" s="9">
        <v>10</v>
      </c>
      <c r="C33" s="9">
        <v>6</v>
      </c>
      <c r="D33" s="10" t="s">
        <v>37</v>
      </c>
      <c r="E33" s="2" t="s">
        <v>38</v>
      </c>
      <c r="F33" s="8">
        <v>0.15</v>
      </c>
      <c r="G33" s="2">
        <f t="shared" si="3"/>
        <v>69</v>
      </c>
      <c r="H33" s="2">
        <v>400</v>
      </c>
      <c r="I33" s="2">
        <f t="shared" si="1"/>
        <v>6.9</v>
      </c>
      <c r="J33" s="2">
        <v>174</v>
      </c>
      <c r="K33" s="2" t="str">
        <f t="shared" si="2"/>
        <v>1;69</v>
      </c>
      <c r="L33" t="s">
        <v>34</v>
      </c>
    </row>
    <row r="34" spans="2:12" x14ac:dyDescent="0.25">
      <c r="B34" s="9">
        <v>11</v>
      </c>
      <c r="C34" s="9">
        <v>12</v>
      </c>
      <c r="D34" s="10" t="s">
        <v>37</v>
      </c>
      <c r="E34" s="2" t="s">
        <v>38</v>
      </c>
      <c r="F34" s="8">
        <v>0.15</v>
      </c>
      <c r="G34" s="2">
        <f t="shared" si="3"/>
        <v>138</v>
      </c>
      <c r="H34" s="2">
        <v>400</v>
      </c>
      <c r="I34" s="2">
        <f t="shared" si="1"/>
        <v>13.8</v>
      </c>
      <c r="J34" s="2">
        <v>180</v>
      </c>
      <c r="K34" s="2" t="str">
        <f t="shared" si="2"/>
        <v>1;138</v>
      </c>
      <c r="L34" t="s">
        <v>34</v>
      </c>
    </row>
    <row r="35" spans="2:12" x14ac:dyDescent="0.25">
      <c r="B35" s="9">
        <v>12</v>
      </c>
      <c r="C35" s="9">
        <v>98</v>
      </c>
      <c r="D35" s="10" t="s">
        <v>37</v>
      </c>
      <c r="E35" s="2" t="s">
        <v>38</v>
      </c>
      <c r="F35" s="8">
        <v>0.15</v>
      </c>
      <c r="G35" s="2">
        <f t="shared" si="3"/>
        <v>1127</v>
      </c>
      <c r="H35" s="2">
        <v>400</v>
      </c>
      <c r="I35" s="2">
        <f t="shared" si="1"/>
        <v>112.7</v>
      </c>
      <c r="J35" s="2">
        <v>186</v>
      </c>
      <c r="K35" s="2" t="str">
        <f t="shared" si="2"/>
        <v>1;1127</v>
      </c>
      <c r="L35" t="s">
        <v>34</v>
      </c>
    </row>
    <row r="36" spans="2:12" x14ac:dyDescent="0.25">
      <c r="B36" s="9">
        <v>13</v>
      </c>
      <c r="C36" s="9">
        <v>6</v>
      </c>
      <c r="D36" s="10" t="s">
        <v>39</v>
      </c>
      <c r="E36" s="11" t="s">
        <v>40</v>
      </c>
      <c r="F36" s="8">
        <v>0.18</v>
      </c>
      <c r="G36" s="2">
        <f t="shared" si="3"/>
        <v>70</v>
      </c>
      <c r="H36" s="2">
        <v>400</v>
      </c>
      <c r="I36" s="2">
        <f t="shared" si="1"/>
        <v>7</v>
      </c>
      <c r="J36" s="2">
        <f t="shared" ref="J36:J41" si="4">J33+1</f>
        <v>175</v>
      </c>
      <c r="K36" s="2" t="str">
        <f t="shared" si="2"/>
        <v>1;70</v>
      </c>
      <c r="L36" t="s">
        <v>34</v>
      </c>
    </row>
    <row r="37" spans="2:12" x14ac:dyDescent="0.25">
      <c r="B37" s="9">
        <v>14</v>
      </c>
      <c r="C37" s="9">
        <v>12</v>
      </c>
      <c r="D37" s="10" t="s">
        <v>39</v>
      </c>
      <c r="E37" s="2" t="s">
        <v>40</v>
      </c>
      <c r="F37" s="8">
        <v>0.18</v>
      </c>
      <c r="G37" s="2">
        <f t="shared" si="3"/>
        <v>141</v>
      </c>
      <c r="H37" s="2">
        <v>400</v>
      </c>
      <c r="I37" s="2">
        <f t="shared" si="1"/>
        <v>14.1</v>
      </c>
      <c r="J37" s="2">
        <f t="shared" si="4"/>
        <v>181</v>
      </c>
      <c r="K37" s="2" t="str">
        <f t="shared" si="2"/>
        <v>1;141</v>
      </c>
      <c r="L37" t="s">
        <v>34</v>
      </c>
    </row>
    <row r="38" spans="2:12" x14ac:dyDescent="0.25">
      <c r="B38" s="9">
        <v>15</v>
      </c>
      <c r="C38" s="9">
        <v>98</v>
      </c>
      <c r="D38" s="10" t="s">
        <v>39</v>
      </c>
      <c r="E38" s="2" t="s">
        <v>40</v>
      </c>
      <c r="F38" s="8">
        <v>0.18</v>
      </c>
      <c r="G38" s="2">
        <f t="shared" si="3"/>
        <v>1156</v>
      </c>
      <c r="H38" s="2">
        <v>400</v>
      </c>
      <c r="I38" s="2">
        <f t="shared" si="1"/>
        <v>115.6</v>
      </c>
      <c r="J38" s="2">
        <f t="shared" si="4"/>
        <v>187</v>
      </c>
      <c r="K38" s="2" t="str">
        <f t="shared" si="2"/>
        <v>1;1156</v>
      </c>
      <c r="L38" t="s">
        <v>34</v>
      </c>
    </row>
    <row r="39" spans="2:12" x14ac:dyDescent="0.25">
      <c r="B39" s="9">
        <v>16</v>
      </c>
      <c r="C39" s="9">
        <v>6</v>
      </c>
      <c r="D39" s="10" t="s">
        <v>42</v>
      </c>
      <c r="E39" s="2" t="s">
        <v>43</v>
      </c>
      <c r="F39" s="8">
        <v>0.2</v>
      </c>
      <c r="G39" s="2">
        <f t="shared" si="3"/>
        <v>72</v>
      </c>
      <c r="H39" s="2">
        <v>400</v>
      </c>
      <c r="I39" s="2">
        <f t="shared" si="1"/>
        <v>7.2</v>
      </c>
      <c r="J39" s="2">
        <f t="shared" si="4"/>
        <v>176</v>
      </c>
      <c r="K39" s="2" t="str">
        <f t="shared" si="2"/>
        <v>1;72</v>
      </c>
      <c r="L39" t="s">
        <v>34</v>
      </c>
    </row>
    <row r="40" spans="2:12" x14ac:dyDescent="0.25">
      <c r="B40" s="9">
        <v>17</v>
      </c>
      <c r="C40" s="9">
        <v>12</v>
      </c>
      <c r="D40" s="10" t="s">
        <v>42</v>
      </c>
      <c r="E40" s="2" t="s">
        <v>43</v>
      </c>
      <c r="F40" s="8">
        <v>0.2</v>
      </c>
      <c r="G40" s="2">
        <f t="shared" si="3"/>
        <v>144</v>
      </c>
      <c r="H40" s="2">
        <v>400</v>
      </c>
      <c r="I40" s="2">
        <f t="shared" si="1"/>
        <v>14.4</v>
      </c>
      <c r="J40" s="2">
        <f t="shared" si="4"/>
        <v>182</v>
      </c>
      <c r="K40" s="2" t="str">
        <f t="shared" si="2"/>
        <v>1;144</v>
      </c>
      <c r="L40" t="s">
        <v>34</v>
      </c>
    </row>
    <row r="41" spans="2:12" x14ac:dyDescent="0.25">
      <c r="B41" s="9">
        <v>18</v>
      </c>
      <c r="C41" s="9">
        <v>98</v>
      </c>
      <c r="D41" s="10" t="s">
        <v>42</v>
      </c>
      <c r="E41" s="2" t="s">
        <v>43</v>
      </c>
      <c r="F41" s="8">
        <v>0.2</v>
      </c>
      <c r="G41" s="2">
        <f t="shared" si="3"/>
        <v>1176</v>
      </c>
      <c r="H41" s="2">
        <v>400</v>
      </c>
      <c r="I41" s="2">
        <f t="shared" si="1"/>
        <v>117.6</v>
      </c>
      <c r="J41" s="2">
        <f t="shared" si="4"/>
        <v>188</v>
      </c>
      <c r="K41" s="2" t="str">
        <f t="shared" si="2"/>
        <v>1;1176</v>
      </c>
      <c r="L41" t="s">
        <v>34</v>
      </c>
    </row>
    <row r="43" spans="2:12" s="2" customFormat="1" x14ac:dyDescent="0.25"/>
    <row r="44" spans="2:12" s="2" customFormat="1" x14ac:dyDescent="0.25"/>
    <row r="45" spans="2:12" s="2" customFormat="1" x14ac:dyDescent="0.25"/>
    <row r="46" spans="2:12" s="2" customFormat="1" x14ac:dyDescent="0.25"/>
    <row r="47" spans="2:12" s="2" customFormat="1" x14ac:dyDescent="0.25"/>
    <row r="48" spans="2:12" s="2" customFormat="1" x14ac:dyDescent="0.25"/>
    <row r="49" s="2" customFormat="1" x14ac:dyDescent="0.25"/>
    <row r="50" s="2" customFormat="1" x14ac:dyDescent="0.25"/>
    <row r="51" s="2" customFormat="1" x14ac:dyDescent="0.25"/>
  </sheetData>
  <phoneticPr fontId="7" type="noConversion"/>
  <conditionalFormatting sqref="B2:B4">
    <cfRule type="duplicateValues" dxfId="1" priority="2"/>
  </conditionalFormatting>
  <conditionalFormatting sqref="C4:L4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E20" sqref="E20"/>
    </sheetView>
  </sheetViews>
  <sheetFormatPr defaultColWidth="13.44140625" defaultRowHeight="13.8" x14ac:dyDescent="0.25"/>
  <sheetData>
    <row r="1" spans="1:3" x14ac:dyDescent="0.25">
      <c r="A1" t="s">
        <v>0</v>
      </c>
      <c r="B1" t="s">
        <v>45</v>
      </c>
      <c r="C1" t="s">
        <v>46</v>
      </c>
    </row>
    <row r="2" spans="1:3" x14ac:dyDescent="0.25">
      <c r="A2" t="s">
        <v>12</v>
      </c>
      <c r="B2" s="1" t="s">
        <v>13</v>
      </c>
      <c r="C2" s="1" t="s">
        <v>47</v>
      </c>
    </row>
    <row r="3" spans="1:3" x14ac:dyDescent="0.25">
      <c r="A3" t="s">
        <v>23</v>
      </c>
      <c r="B3" s="1" t="s">
        <v>24</v>
      </c>
      <c r="C3" s="1" t="s">
        <v>55</v>
      </c>
    </row>
    <row r="4" spans="1:3" x14ac:dyDescent="0.25">
      <c r="A4" t="s">
        <v>27</v>
      </c>
      <c r="B4" s="1" t="s">
        <v>28</v>
      </c>
      <c r="C4" s="1" t="s">
        <v>28</v>
      </c>
    </row>
    <row r="5" spans="1:3" x14ac:dyDescent="0.25">
      <c r="A5" t="s">
        <v>29</v>
      </c>
      <c r="B5" s="1"/>
      <c r="C5" s="1" t="s">
        <v>30</v>
      </c>
    </row>
    <row r="6" spans="1:3" x14ac:dyDescent="0.25">
      <c r="A6" t="s">
        <v>48</v>
      </c>
      <c r="B6">
        <v>0</v>
      </c>
      <c r="C6" t="s">
        <v>49</v>
      </c>
    </row>
    <row r="7" spans="1:3" x14ac:dyDescent="0.25">
      <c r="B7">
        <v>1</v>
      </c>
      <c r="C7" t="s">
        <v>49</v>
      </c>
    </row>
    <row r="8" spans="1:3" x14ac:dyDescent="0.25">
      <c r="B8">
        <v>2</v>
      </c>
      <c r="C8" t="s">
        <v>49</v>
      </c>
    </row>
    <row r="9" spans="1:3" x14ac:dyDescent="0.25">
      <c r="B9">
        <v>3</v>
      </c>
      <c r="C9" t="s">
        <v>50</v>
      </c>
    </row>
    <row r="10" spans="1:3" x14ac:dyDescent="0.25">
      <c r="B10">
        <v>4</v>
      </c>
      <c r="C10" t="s">
        <v>51</v>
      </c>
    </row>
    <row r="11" spans="1:3" x14ac:dyDescent="0.25">
      <c r="B11">
        <v>5</v>
      </c>
      <c r="C11" t="s">
        <v>52</v>
      </c>
    </row>
    <row r="12" spans="1:3" x14ac:dyDescent="0.25">
      <c r="B12">
        <v>6</v>
      </c>
      <c r="C12" t="s">
        <v>53</v>
      </c>
    </row>
    <row r="13" spans="1:3" x14ac:dyDescent="0.25">
      <c r="B13">
        <v>7</v>
      </c>
      <c r="C13" t="s">
        <v>54</v>
      </c>
    </row>
    <row r="14" spans="1:3" x14ac:dyDescent="0.25">
      <c r="B14">
        <v>8</v>
      </c>
      <c r="C14" t="s">
        <v>54</v>
      </c>
    </row>
    <row r="15" spans="1:3" x14ac:dyDescent="0.25">
      <c r="B15">
        <v>9</v>
      </c>
      <c r="C15" t="s">
        <v>54</v>
      </c>
    </row>
    <row r="16" spans="1:3" x14ac:dyDescent="0.25">
      <c r="B16">
        <v>10</v>
      </c>
      <c r="C16" t="s">
        <v>54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diamond_discount</vt:lpstr>
      <vt:lpstr>diamond_discount_range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Carys</dc:creator>
  <cp:lastModifiedBy>zhen zhou</cp:lastModifiedBy>
  <dcterms:created xsi:type="dcterms:W3CDTF">2015-06-05T18:19:00Z</dcterms:created>
  <dcterms:modified xsi:type="dcterms:W3CDTF">2025-02-15T09:00:58Z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49C9C377B4B441A5AD2425E26A045D9A_12</vt:lpwstr>
  </property>
  <property fmtid="{D5CDD505-2E9C-101B-9397-08002B2CF9AE}" pid="3" name="KSOProductBuildVer">
    <vt:lpwstr>2052-12.1.0.19770</vt:lpwstr>
  </property>
</Properties>
</file>